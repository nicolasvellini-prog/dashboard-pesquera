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las\Desktop\Dashboard\"/>
    </mc:Choice>
  </mc:AlternateContent>
  <xr:revisionPtr revIDLastSave="0" documentId="8_{93B6C0CD-FA5D-4550-8F76-CAC9968BDE4D}" xr6:coauthVersionLast="47" xr6:coauthVersionMax="47" xr10:uidLastSave="{00000000-0000-0000-0000-000000000000}"/>
  <bookViews>
    <workbookView xWindow="-120" yWindow="-120" windowWidth="29040" windowHeight="15720" tabRatio="500" firstSheet="1" activeTab="6" xr2:uid="{00000000-000D-0000-FFFF-FFFF00000000}"/>
  </bookViews>
  <sheets>
    <sheet name="INSTRUCCIONES" sheetId="1" r:id="rId1"/>
    <sheet name="POSICION_NETA" sheetId="2" r:id="rId2"/>
    <sheet name="VENCIMIENTOS" sheetId="3" r:id="rId3"/>
    <sheet name="DIVISAS" sheetId="4" r:id="rId4"/>
    <sheet name="CREDITOS_EXTERIOR" sheetId="5" r:id="rId5"/>
    <sheet name="CARGA_DIARIA" sheetId="6" r:id="rId6"/>
    <sheet name="CHEQUES" sheetId="7" r:id="rId7"/>
    <sheet name="Hoja1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4" i="7"/>
  <c r="AE4" i="6"/>
  <c r="E4" i="2" s="1"/>
  <c r="P4" i="6"/>
  <c r="F676" i="7"/>
  <c r="F675" i="7"/>
  <c r="F674" i="7"/>
  <c r="F673" i="7"/>
  <c r="F672" i="7"/>
  <c r="C671" i="7"/>
  <c r="H6" i="5"/>
  <c r="E6" i="5"/>
  <c r="H5" i="5"/>
  <c r="E5" i="5"/>
  <c r="H4" i="5"/>
  <c r="E4" i="5"/>
  <c r="H3" i="5"/>
  <c r="E3" i="5"/>
  <c r="E7" i="4"/>
  <c r="E6" i="4"/>
  <c r="E5" i="4"/>
  <c r="E4" i="4"/>
  <c r="E3" i="4"/>
  <c r="F12" i="3"/>
  <c r="F11" i="3"/>
  <c r="F10" i="3"/>
  <c r="F9" i="3"/>
  <c r="F8" i="3"/>
  <c r="F7" i="3"/>
  <c r="F6" i="3"/>
  <c r="F5" i="3"/>
  <c r="F4" i="3"/>
  <c r="E8" i="2"/>
  <c r="H8" i="2" s="1"/>
  <c r="D8" i="2"/>
  <c r="C8" i="2"/>
  <c r="B8" i="2"/>
  <c r="A8" i="2"/>
  <c r="E7" i="2"/>
  <c r="D7" i="2"/>
  <c r="C7" i="2"/>
  <c r="H7" i="2" s="1"/>
  <c r="B7" i="2"/>
  <c r="A7" i="2"/>
  <c r="E6" i="2"/>
  <c r="D6" i="2"/>
  <c r="H6" i="2" s="1"/>
  <c r="C6" i="2"/>
  <c r="B6" i="2"/>
  <c r="A6" i="2"/>
  <c r="E5" i="2"/>
  <c r="D5" i="2"/>
  <c r="C5" i="2"/>
  <c r="H5" i="2" s="1"/>
  <c r="B5" i="2"/>
  <c r="A5" i="2"/>
  <c r="D4" i="2"/>
  <c r="D9" i="2" s="1"/>
  <c r="C4" i="2"/>
  <c r="C9" i="2" s="1"/>
  <c r="B4" i="2"/>
  <c r="A4" i="2"/>
  <c r="H4" i="2" l="1"/>
  <c r="H9" i="2" s="1"/>
  <c r="E9" i="2"/>
</calcChain>
</file>

<file path=xl/sharedStrings.xml><?xml version="1.0" encoding="utf-8"?>
<sst xmlns="http://schemas.openxmlformats.org/spreadsheetml/2006/main" count="2475" uniqueCount="250">
  <si>
    <t>DASHBOARD FINANCIERO — EMPRESA PESQUERA</t>
  </si>
  <si>
    <t>Guía de uso y estructura del archivo</t>
  </si>
  <si>
    <t>📋 ESTRUCTURA DEL ARCHIVO</t>
  </si>
  <si>
    <t>Hoja</t>
  </si>
  <si>
    <t>Descripción</t>
  </si>
  <si>
    <t>INSTRUCCIONES</t>
  </si>
  <si>
    <t>Esta hoja — guía de uso</t>
  </si>
  <si>
    <t>CARGA_DIARIA</t>
  </si>
  <si>
    <t>Acá cargás los datos todos los días (una fila por día)</t>
  </si>
  <si>
    <t>ACTIVO_CORRIENTE</t>
  </si>
  <si>
    <t>Desglose diario de activos: bancos, cheques, divisas, créditos, FCI</t>
  </si>
  <si>
    <t>GASTOS_DIARIOS</t>
  </si>
  <si>
    <t>Detalle de egresos por sector (13 categorías)</t>
  </si>
  <si>
    <t>PASIVO_CORRIENTE</t>
  </si>
  <si>
    <t>Compromisos y deudas a corto plazo</t>
  </si>
  <si>
    <t>VENCIMIENTOS</t>
  </si>
  <si>
    <t>Cheques a cobrar y pagar en los próximos 30 días</t>
  </si>
  <si>
    <t>AJUSTES</t>
  </si>
  <si>
    <t>Stock a precio de venta, posición fiscal, otras deudas</t>
  </si>
  <si>
    <t>POSICION_NETA</t>
  </si>
  <si>
    <t>Hoja de cálculo automática — no modificar</t>
  </si>
  <si>
    <t>🎨 CONVENCIÓN DE COLORES</t>
  </si>
  <si>
    <t>Color</t>
  </si>
  <si>
    <t>Significado</t>
  </si>
  <si>
    <t>Texto AZUL</t>
  </si>
  <si>
    <t>Dato a ingresar manualmente (input)</t>
  </si>
  <si>
    <t>Texto NEGRO</t>
  </si>
  <si>
    <t>Fórmula calculada automáticamente — no modificar</t>
  </si>
  <si>
    <t>Texto VERDE</t>
  </si>
  <si>
    <t>Vínculo a otra hoja del mismo archivo</t>
  </si>
  <si>
    <t>Fondo AMARILLO</t>
  </si>
  <si>
    <t>Celda importante que requiere atención o actualización</t>
  </si>
  <si>
    <t>📌 INSTRUCCIONES DE CARGA DIARIA</t>
  </si>
  <si>
    <t>1.</t>
  </si>
  <si>
    <t>Abrir la hoja CARGA_DIARIA</t>
  </si>
  <si>
    <t>2.</t>
  </si>
  <si>
    <t>Ir a la última fila con datos e insertar una nueva fila debajo</t>
  </si>
  <si>
    <t>3.</t>
  </si>
  <si>
    <t>Ingresar la fecha del día en la columna A (formato DD/MM/AAAA)</t>
  </si>
  <si>
    <t>4.</t>
  </si>
  <si>
    <t>Ingresar el tipo de cambio BNA del día en la columna B</t>
  </si>
  <si>
    <t>5.</t>
  </si>
  <si>
    <t>Completar el resto de columnas con los valores en PESOS del día</t>
  </si>
  <si>
    <t>6.</t>
  </si>
  <si>
    <t>Los valores en USD se calculan automáticamente dividiendo por el TC</t>
  </si>
  <si>
    <t>7.</t>
  </si>
  <si>
    <t>La hoja POSICION_NETA se actualiza automáticamente</t>
  </si>
  <si>
    <t>⚠️  IMPORTANTE</t>
  </si>
  <si>
    <t>•</t>
  </si>
  <si>
    <t>No eliminar ni mover filas de encabezado</t>
  </si>
  <si>
    <t>No modificar las hojas de fórmulas (POSICION_NETA)</t>
  </si>
  <si>
    <t>Siempre cargar valores en PESOS — el dashboard convierte a USD</t>
  </si>
  <si>
    <t>Los cheques en cartera cargar en hoja VENCIMIENTOS con fecha de acreditación</t>
  </si>
  <si>
    <t>Guardar el archivo con Ctrl+S después de cada carga</t>
  </si>
  <si>
    <t>POSICIÓN FINANCIERA NETA DIARIA  |  Valores en USD (conversión automática)</t>
  </si>
  <si>
    <t>⚠  Hoja de cálculo automática — No modificar. Los datos vienen de CARGA_DIARIA.</t>
  </si>
  <si>
    <t>Fecha</t>
  </si>
  <si>
    <t>TC BNA</t>
  </si>
  <si>
    <t>Activo Corriente
(USD)</t>
  </si>
  <si>
    <t>Gastos del Día
(USD)</t>
  </si>
  <si>
    <t>Pasivo Corriente
(USD)</t>
  </si>
  <si>
    <t>Ajustes +
(incluido en Activo)</t>
  </si>
  <si>
    <t>Ajustes -
(incluido en Activo)</t>
  </si>
  <si>
    <t>POSICIÓN NETA
(USD)</t>
  </si>
  <si>
    <t>Promedio período</t>
  </si>
  <si>
    <t>—</t>
  </si>
  <si>
    <t>VENCIMIENTOS — Cheques a cobrar y compromisos de pago próximos</t>
  </si>
  <si>
    <t>Ingresá cada cheque o compromiso con su fecha exacta. El dashboard lo muestra en el calendario de vencimientos.</t>
  </si>
  <si>
    <t>Tipo</t>
  </si>
  <si>
    <t>Descripción / Contraparte</t>
  </si>
  <si>
    <t>Monto (ARS)</t>
  </si>
  <si>
    <t>TC del día</t>
  </si>
  <si>
    <t>Monto (USD)</t>
  </si>
  <si>
    <t>Estado</t>
  </si>
  <si>
    <t>COBRO</t>
  </si>
  <si>
    <t>Cheque acreditación — Cliente Norte</t>
  </si>
  <si>
    <t>Pendiente</t>
  </si>
  <si>
    <t>PAGO</t>
  </si>
  <si>
    <t>Proveedor Pescadores del Sur</t>
  </si>
  <si>
    <t>Cheque — Distribuidora Atlántica</t>
  </si>
  <si>
    <t>Cuota préstamo Banco Galicia</t>
  </si>
  <si>
    <t>Cobro exportación (USD 95.000)</t>
  </si>
  <si>
    <t>RRHH — sueldos quincena</t>
  </si>
  <si>
    <t>Arancel / canon mensual</t>
  </si>
  <si>
    <t>Cheque — Exportadora Patagónica</t>
  </si>
  <si>
    <t>Deuda proveedor exterior (USD 80.000)</t>
  </si>
  <si>
    <t>DIVISAS DISPONIBLES — Seguimiento diario de posición en USD</t>
  </si>
  <si>
    <t>Patag. (USD)</t>
  </si>
  <si>
    <t>Francés (USD)</t>
  </si>
  <si>
    <t>Total USD</t>
  </si>
  <si>
    <t>Liquidado hoy (USD)</t>
  </si>
  <si>
    <t>CRÉDITOS POR VENTAS AL EXTERIOR — Facturas de exportación pendientes de cobro</t>
  </si>
  <si>
    <t>N° Factura</t>
  </si>
  <si>
    <t>Cliente (País)</t>
  </si>
  <si>
    <t>Fecha Factura</t>
  </si>
  <si>
    <t>Fecha Vto.</t>
  </si>
  <si>
    <t>Días al vto.</t>
  </si>
  <si>
    <t>TC estimado</t>
  </si>
  <si>
    <t>ARS equivalente</t>
  </si>
  <si>
    <t>EXP-2026-041</t>
  </si>
  <si>
    <t>Nordic Fish AS (Noruega)</t>
  </si>
  <si>
    <t>EXP-2026-055</t>
  </si>
  <si>
    <t>Iberian Seafood SL (España)</t>
  </si>
  <si>
    <t>EXP-2026,062</t>
  </si>
  <si>
    <t>Ocean Trade LLC (EEUU)</t>
  </si>
  <si>
    <t>EXP-2026-071</t>
  </si>
  <si>
    <t>Maruha Nichiro (Japón)</t>
  </si>
  <si>
    <t>CARGA DIARIA — POSICIÓN FINANCIERA  |  Valores en PESOS argentinos (ARS)</t>
  </si>
  <si>
    <t>FECHA</t>
  </si>
  <si>
    <t>TIPO DE CAMBIO BNA (ARS/USD)</t>
  </si>
  <si>
    <t>ACTIVO CORRIENTE (ARS)</t>
  </si>
  <si>
    <t>GASTOS DEL DÍA POR SECTOR (ARS)</t>
  </si>
  <si>
    <t>PASIVO CORRIENTE (ARS)</t>
  </si>
  <si>
    <t>TC BNA
(ARS/USD)</t>
  </si>
  <si>
    <t>Efectivo
(MI)</t>
  </si>
  <si>
    <t>Cheques
en cartera</t>
  </si>
  <si>
    <t>Banco
Patagonia</t>
  </si>
  <si>
    <t>Banco
Galicia</t>
  </si>
  <si>
    <t>Banco
Francés</t>
  </si>
  <si>
    <t>Banco
Santander</t>
  </si>
  <si>
    <t>Créditos
MI</t>
  </si>
  <si>
    <t>Proveedores</t>
  </si>
  <si>
    <t>Aranceles
y Cánones</t>
  </si>
  <si>
    <t>Comercio
Exterior</t>
  </si>
  <si>
    <t>Directores /
Accionistas</t>
  </si>
  <si>
    <t>Empresas
del Grupo</t>
  </si>
  <si>
    <t>Gastos
de Buques</t>
  </si>
  <si>
    <t>Impuestos
y Tasas</t>
  </si>
  <si>
    <t>RRHH</t>
  </si>
  <si>
    <t>Servicios
Varios</t>
  </si>
  <si>
    <t>Retiros
Particulares</t>
  </si>
  <si>
    <t>Pago
Importaciones</t>
  </si>
  <si>
    <t>Compra
Dólares (CCL)</t>
  </si>
  <si>
    <t>Pago
Préstamos</t>
  </si>
  <si>
    <t>Otros
Gastos</t>
  </si>
  <si>
    <t>Cheques
Emitidos</t>
  </si>
  <si>
    <t>Gs. Presup.
Próximos</t>
  </si>
  <si>
    <t>Préstamos
ML
(ARS)</t>
  </si>
  <si>
    <t>Deuda
Proveed. MI</t>
  </si>
  <si>
    <t>Deuda
Proveed. Ext.
(USD)</t>
  </si>
  <si>
    <t>Préstamos
ME
(USD)</t>
  </si>
  <si>
    <t>Intereses
Proy.
(USD)</t>
  </si>
  <si>
    <t>Otras
Deudas
(USD)</t>
  </si>
  <si>
    <t>Stock a
Precio Venta
(USD)</t>
  </si>
  <si>
    <t>Posición
Fiscal</t>
  </si>
  <si>
    <t>Divisas
Disp. (ARS eq.)</t>
  </si>
  <si>
    <t>Créditos
Exterior (ARS eq.)</t>
  </si>
  <si>
    <t>Inversiones
FCI</t>
  </si>
  <si>
    <t>→ NUEVA FECHA</t>
  </si>
  <si>
    <t>← Ingresar TC del día</t>
  </si>
  <si>
    <t>⚠  Columnas en AMARILLO → valores ya expresados en USD (no se dividen por el tipo de cambio). Todas las demás columnas se ingresan en ARS.</t>
  </si>
  <si>
    <t>CHEQUES EN CARTERA — Listado completo para flujo de fondos</t>
  </si>
  <si>
    <t>Pegá acá los datos exportados del sistema. Fecha de acreditación = Fecha de pago + 2 días hábiles (48hs). El dashboard lee esta hoja automáticamente.</t>
  </si>
  <si>
    <t>Razón Social</t>
  </si>
  <si>
    <t>N° Cheque</t>
  </si>
  <si>
    <t>Fecha de Emisión</t>
  </si>
  <si>
    <t>Fecha de Pago</t>
  </si>
  <si>
    <t>Fecha Acreditación
(Pago + 48hs)</t>
  </si>
  <si>
    <t>Observaciones</t>
  </si>
  <si>
    <t>TOTAL</t>
  </si>
  <si>
    <t>📌  Para agregar cheques: pegá las filas del sistema sobre las filas grises, respetando el formato de fechas DD/MM/AAAA. La col. F (Acreditación) se calcula sola.</t>
  </si>
  <si>
    <t>Cuenta corriente</t>
  </si>
  <si>
    <t>Descripción cuenta de tesoreria</t>
  </si>
  <si>
    <t>Fecha calculada</t>
  </si>
  <si>
    <t>Número interno</t>
  </si>
  <si>
    <t>Número de cheque/doc</t>
  </si>
  <si>
    <t>Categoría del cheque</t>
  </si>
  <si>
    <t>Código de banco</t>
  </si>
  <si>
    <t>Importe</t>
  </si>
  <si>
    <t>CLIENTE</t>
  </si>
  <si>
    <t>PROVEEDOR</t>
  </si>
  <si>
    <t>NCLIENTE</t>
  </si>
  <si>
    <t>NPROVEEDOR</t>
  </si>
  <si>
    <t>BANCO</t>
  </si>
  <si>
    <t>MECHEQ</t>
  </si>
  <si>
    <t>ECHEQ</t>
  </si>
  <si>
    <t>VAL01</t>
  </si>
  <si>
    <t>Valores a depositar</t>
  </si>
  <si>
    <t>T</t>
  </si>
  <si>
    <t>011</t>
  </si>
  <si>
    <t>CONGELADOS LOS TANOS S. A.</t>
  </si>
  <si>
    <t/>
  </si>
  <si>
    <t>I7358</t>
  </si>
  <si>
    <t>BANCO DE LA NACION ARGENTINA</t>
  </si>
  <si>
    <t>014</t>
  </si>
  <si>
    <t>LUCRINO MARE SA</t>
  </si>
  <si>
    <t>I7159</t>
  </si>
  <si>
    <t>BANCO DE LA PROVINCIA DE BUENOS AIRES</t>
  </si>
  <si>
    <t>P</t>
  </si>
  <si>
    <t>015</t>
  </si>
  <si>
    <t>LUDAPEZ SA</t>
  </si>
  <si>
    <t>I7238</t>
  </si>
  <si>
    <t>ICBC-INDUSTRIAL AND COMMERCIAL BANK OF CHINA</t>
  </si>
  <si>
    <t>S</t>
  </si>
  <si>
    <t>E</t>
  </si>
  <si>
    <t>025</t>
  </si>
  <si>
    <t>LACAR FISH SA</t>
  </si>
  <si>
    <t>I7116</t>
  </si>
  <si>
    <t>BANCO SANTANDER RIO</t>
  </si>
  <si>
    <t>285</t>
  </si>
  <si>
    <t>SAORI SA</t>
  </si>
  <si>
    <t>I7302</t>
  </si>
  <si>
    <t>BANCO MACRO BANSUD S.A.</t>
  </si>
  <si>
    <t>FRIGOSUR SRL</t>
  </si>
  <si>
    <t>I468</t>
  </si>
  <si>
    <t>COOPERATIVA DE TRABAJO CAÑAMAR LIMITADA</t>
  </si>
  <si>
    <t>I7310</t>
  </si>
  <si>
    <t>299</t>
  </si>
  <si>
    <t>BANCO COMAFI SOCIEDAD ANONIMA</t>
  </si>
  <si>
    <t>007</t>
  </si>
  <si>
    <t>MARDI SA</t>
  </si>
  <si>
    <t>I227</t>
  </si>
  <si>
    <t>BANCO DE GALICIA Y BUENOS AIRES S.A.</t>
  </si>
  <si>
    <t>MARISQUERIA SANTA RITA SRL</t>
  </si>
  <si>
    <t>I6</t>
  </si>
  <si>
    <t>INDUSTRIAS EL CORSARIO S.A.</t>
  </si>
  <si>
    <t>I7335</t>
  </si>
  <si>
    <t>017</t>
  </si>
  <si>
    <t>LA ISOLANA SA</t>
  </si>
  <si>
    <t>I7356</t>
  </si>
  <si>
    <t>BBVA Banco Frances S.A</t>
  </si>
  <si>
    <t>191</t>
  </si>
  <si>
    <t>BANCO CREDICOOP COOPERATIVO LIMITADO</t>
  </si>
  <si>
    <t>FRIO SUR SRL</t>
  </si>
  <si>
    <t>I208</t>
  </si>
  <si>
    <t>093</t>
  </si>
  <si>
    <t>BANCO DE LA PAMPA SOCIEDAD DE ECONOMÍA M</t>
  </si>
  <si>
    <t>COMERCIAL INAL 2005 SA</t>
  </si>
  <si>
    <t>I7222</t>
  </si>
  <si>
    <t>PUERTO RAWAMAR S.A.</t>
  </si>
  <si>
    <t>I7359</t>
  </si>
  <si>
    <t>GUBITI SA</t>
  </si>
  <si>
    <t>I7325</t>
  </si>
  <si>
    <t>N</t>
  </si>
  <si>
    <t>27 DE NOVIEMBRE SA</t>
  </si>
  <si>
    <t>I596</t>
  </si>
  <si>
    <t>PROYECTOS DEL MAR SRL</t>
  </si>
  <si>
    <t>I636</t>
  </si>
  <si>
    <t>COOPERATIVA  DE TRABAJO DOÑA FRANCISCA LTDA</t>
  </si>
  <si>
    <t>I7149</t>
  </si>
  <si>
    <t>027</t>
  </si>
  <si>
    <t>BANCO SUPERVIELLE S.A.</t>
  </si>
  <si>
    <t>LUMELL SA</t>
  </si>
  <si>
    <t>I7253</t>
  </si>
  <si>
    <t>034</t>
  </si>
  <si>
    <t>CLUB ATLETICO ALDOSIVI</t>
  </si>
  <si>
    <t>I7203</t>
  </si>
  <si>
    <t>BANCO PATAGONIA S.A.</t>
  </si>
  <si>
    <t>NATUSUR SA</t>
  </si>
  <si>
    <t>I443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</si>
</sst>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;\(#,##0\);\-"/>
  </numFmts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444441"/>
      <name val="Arial"/>
      <charset val="1"/>
    </font>
    <font>
      <sz val="10"/>
      <color rgb="FF444441"/>
      <name val="Arial"/>
      <charset val="1"/>
    </font>
    <font>
      <sz val="10"/>
      <color rgb="FF000000"/>
      <name val="Arial"/>
      <charset val="1"/>
    </font>
    <font>
      <b/>
      <sz val="11"/>
      <color rgb="FF1B2A4A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i/>
      <sz val="10"/>
      <color rgb="FF854F0B"/>
      <name val="Arial"/>
      <charset val="1"/>
    </font>
    <font>
      <b/>
      <sz val="9"/>
      <color rgb="FFFFFFFF"/>
      <name val="Arial"/>
      <charset val="1"/>
    </font>
    <font>
      <b/>
      <sz val="8"/>
      <color rgb="FF888780"/>
      <name val="Arial"/>
      <charset val="1"/>
    </font>
    <font>
      <sz val="10"/>
      <color rgb="FF008000"/>
      <name val="Arial"/>
      <charset val="1"/>
    </font>
    <font>
      <sz val="10"/>
      <color rgb="FF0F6E56"/>
      <name val="Arial"/>
      <charset val="1"/>
    </font>
    <font>
      <sz val="10"/>
      <color rgb="FFA32D2D"/>
      <name val="Arial"/>
      <charset val="1"/>
    </font>
    <font>
      <sz val="10"/>
      <color rgb="FF854F0B"/>
      <name val="Arial"/>
      <charset val="1"/>
    </font>
    <font>
      <b/>
      <sz val="11"/>
      <color rgb="FF0F6E56"/>
      <name val="Arial"/>
      <charset val="1"/>
    </font>
    <font>
      <b/>
      <sz val="10"/>
      <color rgb="FF444441"/>
      <name val="Arial"/>
      <charset val="1"/>
    </font>
    <font>
      <b/>
      <sz val="10"/>
      <color rgb="FF1B2A4A"/>
      <name val="Arial"/>
      <charset val="1"/>
    </font>
    <font>
      <i/>
      <sz val="10"/>
      <color rgb="FF444441"/>
      <name val="Arial"/>
      <charset val="1"/>
    </font>
    <font>
      <sz val="10"/>
      <color rgb="FF0000FF"/>
      <name val="Arial"/>
      <charset val="1"/>
    </font>
    <font>
      <b/>
      <sz val="10"/>
      <color rgb="FF0F6E56"/>
      <name val="Arial"/>
      <charset val="1"/>
    </font>
    <font>
      <b/>
      <sz val="10"/>
      <color rgb="FFA32D2D"/>
      <name val="Arial"/>
      <charset val="1"/>
    </font>
    <font>
      <b/>
      <sz val="8"/>
      <color rgb="FFFFFFFF"/>
      <name val="Arial"/>
      <charset val="1"/>
    </font>
    <font>
      <b/>
      <sz val="10"/>
      <color rgb="FF854F0B"/>
      <name val="Arial"/>
      <charset val="1"/>
    </font>
    <font>
      <i/>
      <sz val="9"/>
      <color rgb="FF854F0B"/>
      <name val="Arial"/>
      <charset val="1"/>
    </font>
    <font>
      <i/>
      <sz val="9"/>
      <color rgb="FF633806"/>
      <name val="Arial"/>
      <charset val="1"/>
    </font>
    <font>
      <i/>
      <sz val="10"/>
      <color rgb="FF633806"/>
      <name val="Arial"/>
      <charset val="1"/>
    </font>
    <font>
      <sz val="10"/>
      <color rgb="FF0000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4A235A"/>
      </patternFill>
    </fill>
    <fill>
      <patternFill patternType="solid">
        <fgColor rgb="FFF1EFE8"/>
        <bgColor rgb="FFF4F3F0"/>
      </patternFill>
    </fill>
    <fill>
      <patternFill patternType="solid">
        <fgColor rgb="FFFAEEDA"/>
        <bgColor rgb="FFFCEBEB"/>
      </patternFill>
    </fill>
    <fill>
      <patternFill patternType="solid">
        <fgColor rgb="FFD3D1C7"/>
        <bgColor rgb="FFCCCCFF"/>
      </patternFill>
    </fill>
    <fill>
      <patternFill patternType="solid">
        <fgColor rgb="FFE1F5EE"/>
        <bgColor rgb="FFF1EFE8"/>
      </patternFill>
    </fill>
    <fill>
      <patternFill patternType="solid">
        <fgColor rgb="FFFCEBEB"/>
        <bgColor rgb="FFFAEEDA"/>
      </patternFill>
    </fill>
    <fill>
      <patternFill patternType="solid">
        <fgColor rgb="FFFFFFFF"/>
        <bgColor rgb="FFF4F3F0"/>
      </patternFill>
    </fill>
    <fill>
      <patternFill patternType="solid">
        <fgColor rgb="FFFFFF00"/>
        <bgColor rgb="FFFFFF00"/>
      </patternFill>
    </fill>
    <fill>
      <patternFill patternType="solid">
        <fgColor rgb="FF1B4F72"/>
        <bgColor rgb="FF0F6E56"/>
      </patternFill>
    </fill>
    <fill>
      <patternFill patternType="solid">
        <fgColor rgb="FF6E2020"/>
        <bgColor rgb="FF633806"/>
      </patternFill>
    </fill>
    <fill>
      <patternFill patternType="solid">
        <fgColor rgb="FF4A235A"/>
        <bgColor rgb="FF1B2A4A"/>
      </patternFill>
    </fill>
    <fill>
      <patternFill patternType="solid">
        <fgColor rgb="FF0F6E56"/>
        <bgColor rgb="FF008080"/>
      </patternFill>
    </fill>
    <fill>
      <patternFill patternType="solid">
        <fgColor rgb="FF7B4F00"/>
        <bgColor rgb="FF854F0B"/>
      </patternFill>
    </fill>
    <fill>
      <patternFill patternType="solid">
        <fgColor rgb="FFF4F3F0"/>
        <bgColor rgb="FFF1EFE8"/>
      </patternFill>
    </fill>
    <fill>
      <patternFill patternType="solid">
        <fgColor rgb="FFFFFFFF"/>
        <bgColor rgb="FFF1EFE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6" fillId="4" borderId="0" xfId="0" applyFont="1" applyFill="1" applyAlignment="1">
      <alignment horizontal="left" vertical="center" indent="1"/>
    </xf>
    <xf numFmtId="0" fontId="25" fillId="4" borderId="0" xfId="0" applyFont="1" applyFill="1" applyAlignment="1">
      <alignment horizontal="left" vertical="center" indent="1"/>
    </xf>
    <xf numFmtId="0" fontId="0" fillId="0" borderId="4" xfId="0" applyBorder="1"/>
    <xf numFmtId="0" fontId="9" fillId="12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5" fillId="3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6" fillId="2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right" vertical="center"/>
    </xf>
    <xf numFmtId="165" fontId="12" fillId="6" borderId="2" xfId="0" applyNumberFormat="1" applyFont="1" applyFill="1" applyBorder="1" applyAlignment="1">
      <alignment horizontal="right" vertical="center"/>
    </xf>
    <xf numFmtId="165" fontId="13" fillId="7" borderId="2" xfId="0" applyNumberFormat="1" applyFont="1" applyFill="1" applyBorder="1" applyAlignment="1">
      <alignment horizontal="right" vertical="center"/>
    </xf>
    <xf numFmtId="165" fontId="14" fillId="4" borderId="2" xfId="0" applyNumberFormat="1" applyFont="1" applyFill="1" applyBorder="1" applyAlignment="1">
      <alignment horizontal="right" vertical="center"/>
    </xf>
    <xf numFmtId="165" fontId="15" fillId="6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165" fontId="17" fillId="3" borderId="1" xfId="0" applyNumberFormat="1" applyFont="1" applyFill="1" applyBorder="1" applyAlignment="1">
      <alignment horizontal="right" vertical="center"/>
    </xf>
    <xf numFmtId="164" fontId="19" fillId="8" borderId="2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 vertical="center"/>
    </xf>
    <xf numFmtId="165" fontId="19" fillId="8" borderId="2" xfId="0" applyNumberFormat="1" applyFont="1" applyFill="1" applyBorder="1" applyAlignment="1">
      <alignment horizontal="right" vertical="center"/>
    </xf>
    <xf numFmtId="4" fontId="19" fillId="8" borderId="2" xfId="0" applyNumberFormat="1" applyFont="1" applyFill="1" applyBorder="1" applyAlignment="1">
      <alignment horizontal="right" vertical="center"/>
    </xf>
    <xf numFmtId="165" fontId="12" fillId="8" borderId="2" xfId="0" applyNumberFormat="1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165" fontId="13" fillId="8" borderId="2" xfId="0" applyNumberFormat="1" applyFont="1" applyFill="1" applyBorder="1" applyAlignment="1">
      <alignment horizontal="right" vertical="center"/>
    </xf>
    <xf numFmtId="164" fontId="19" fillId="0" borderId="2" xfId="0" applyNumberFormat="1" applyFont="1" applyBorder="1" applyAlignment="1">
      <alignment horizontal="center" vertical="center"/>
    </xf>
    <xf numFmtId="4" fontId="19" fillId="9" borderId="2" xfId="0" applyNumberFormat="1" applyFont="1" applyFill="1" applyBorder="1" applyAlignment="1">
      <alignment horizontal="right" vertical="center"/>
    </xf>
    <xf numFmtId="3" fontId="19" fillId="0" borderId="2" xfId="0" applyNumberFormat="1" applyFont="1" applyBorder="1" applyAlignment="1">
      <alignment horizontal="right" vertical="center"/>
    </xf>
    <xf numFmtId="3" fontId="12" fillId="6" borderId="2" xfId="0" applyNumberFormat="1" applyFont="1" applyFill="1" applyBorder="1" applyAlignment="1">
      <alignment horizontal="right" vertical="center"/>
    </xf>
    <xf numFmtId="0" fontId="19" fillId="0" borderId="2" xfId="0" applyFont="1" applyBorder="1" applyAlignment="1">
      <alignment horizontal="left" vertical="center"/>
    </xf>
    <xf numFmtId="1" fontId="14" fillId="0" borderId="2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0" xfId="0" applyFont="1" applyFill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165" fontId="19" fillId="9" borderId="2" xfId="0" applyNumberFormat="1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center" vertical="center"/>
    </xf>
    <xf numFmtId="0" fontId="24" fillId="4" borderId="2" xfId="0" applyFont="1" applyFill="1" applyBorder="1"/>
    <xf numFmtId="0" fontId="0" fillId="4" borderId="2" xfId="0" applyFill="1" applyBorder="1"/>
    <xf numFmtId="0" fontId="19" fillId="8" borderId="2" xfId="0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165" fontId="6" fillId="2" borderId="1" xfId="0" applyNumberFormat="1" applyFont="1" applyFill="1" applyBorder="1" applyAlignment="1">
      <alignment horizontal="right" vertical="center"/>
    </xf>
    <xf numFmtId="0" fontId="0" fillId="15" borderId="2" xfId="0" applyFill="1" applyBorder="1"/>
    <xf numFmtId="165" fontId="0" fillId="15" borderId="2" xfId="0" applyNumberFormat="1" applyFill="1" applyBorder="1" applyAlignment="1">
      <alignment horizontal="right" vertical="center"/>
    </xf>
    <xf numFmtId="164" fontId="0" fillId="15" borderId="2" xfId="0" applyNumberFormat="1" applyFill="1" applyBorder="1" applyAlignment="1">
      <alignment horizontal="center" vertical="center"/>
    </xf>
    <xf numFmtId="164" fontId="11" fillId="15" borderId="2" xfId="0" applyNumberFormat="1" applyFont="1" applyFill="1" applyBorder="1" applyAlignment="1">
      <alignment horizontal="center" vertical="center"/>
    </xf>
    <xf numFmtId="164" fontId="27" fillId="16" borderId="2" xfId="0" applyNumberFormat="1" applyFont="1" applyFill="1" applyBorder="1" applyAlignment="1">
      <alignment horizontal="center" vertical="center"/>
    </xf>
    <xf numFmtId="4" fontId="27" fillId="9" borderId="2" xfId="0" applyNumberFormat="1" applyFont="1" applyFill="1" applyBorder="1" applyAlignment="1">
      <alignment horizontal="right" vertical="center"/>
    </xf>
    <xf numFmtId="165" fontId="27" fillId="16" borderId="2" xfId="0" applyNumberFormat="1" applyFont="1" applyFill="1" applyBorder="1" applyAlignment="1">
      <alignment horizontal="right" vertical="center"/>
    </xf>
    <xf numFmtId="165" fontId="27" fillId="16" borderId="0" xfId="0" applyNumberFormat="1" applyFont="1" applyFill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2020"/>
      <rgbColor rgb="FF008000"/>
      <rgbColor rgb="FF000080"/>
      <rgbColor rgb="FF7B4F00"/>
      <rgbColor rgb="FF800080"/>
      <rgbColor rgb="FF0F6E56"/>
      <rgbColor rgb="FFD3D1C7"/>
      <rgbColor rgb="FF888780"/>
      <rgbColor rgb="FF9999FF"/>
      <rgbColor rgb="FF854F0B"/>
      <rgbColor rgb="FFFAEEDA"/>
      <rgbColor rgb="FFE1F5EE"/>
      <rgbColor rgb="FF660066"/>
      <rgbColor rgb="FFFF8080"/>
      <rgbColor rgb="FF1B4F7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3F0"/>
      <rgbColor rgb="FFF1EFE8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633806"/>
      <rgbColor rgb="FFA32D2D"/>
      <rgbColor rgb="FF993366"/>
      <rgbColor rgb="FF4A235A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32" customWidth="1"/>
    <col min="2" max="2" width="60" customWidth="1"/>
  </cols>
  <sheetData>
    <row r="1" spans="1:6" ht="36" customHeight="1" x14ac:dyDescent="0.25">
      <c r="A1" s="12" t="s">
        <v>0</v>
      </c>
      <c r="B1" s="12"/>
      <c r="C1" s="12"/>
      <c r="D1" s="12"/>
      <c r="E1" s="12"/>
      <c r="F1" s="12"/>
    </row>
    <row r="2" spans="1:6" ht="19.5" customHeight="1" x14ac:dyDescent="0.25">
      <c r="A2" s="11" t="s">
        <v>1</v>
      </c>
      <c r="B2" s="11"/>
      <c r="C2" s="11"/>
      <c r="D2" s="11"/>
      <c r="E2" s="11"/>
      <c r="F2" s="11"/>
    </row>
    <row r="5" spans="1:6" ht="15" customHeight="1" x14ac:dyDescent="0.25">
      <c r="A5" s="13"/>
      <c r="B5" s="14"/>
    </row>
    <row r="6" spans="1:6" ht="15" customHeight="1" x14ac:dyDescent="0.25">
      <c r="A6" s="10" t="s">
        <v>2</v>
      </c>
      <c r="B6" s="10"/>
      <c r="C6" s="10"/>
      <c r="D6" s="10"/>
      <c r="E6" s="10"/>
      <c r="F6" s="10"/>
    </row>
    <row r="7" spans="1:6" ht="15" customHeight="1" x14ac:dyDescent="0.25">
      <c r="A7" s="15" t="s">
        <v>3</v>
      </c>
      <c r="B7" s="15" t="s">
        <v>4</v>
      </c>
    </row>
    <row r="8" spans="1:6" ht="15" customHeight="1" x14ac:dyDescent="0.25">
      <c r="A8" s="13" t="s">
        <v>5</v>
      </c>
      <c r="B8" s="14" t="s">
        <v>6</v>
      </c>
    </row>
    <row r="9" spans="1:6" ht="15" customHeight="1" x14ac:dyDescent="0.25">
      <c r="A9" s="13" t="s">
        <v>7</v>
      </c>
      <c r="B9" s="14" t="s">
        <v>8</v>
      </c>
    </row>
    <row r="10" spans="1:6" ht="15" customHeight="1" x14ac:dyDescent="0.25">
      <c r="A10" s="13" t="s">
        <v>9</v>
      </c>
      <c r="B10" s="14" t="s">
        <v>10</v>
      </c>
    </row>
    <row r="11" spans="1:6" ht="15" customHeight="1" x14ac:dyDescent="0.25">
      <c r="A11" s="13" t="s">
        <v>11</v>
      </c>
      <c r="B11" s="14" t="s">
        <v>12</v>
      </c>
    </row>
    <row r="12" spans="1:6" ht="15" customHeight="1" x14ac:dyDescent="0.25">
      <c r="A12" s="13" t="s">
        <v>13</v>
      </c>
      <c r="B12" s="14" t="s">
        <v>14</v>
      </c>
    </row>
    <row r="13" spans="1:6" ht="15" customHeight="1" x14ac:dyDescent="0.25">
      <c r="A13" s="13" t="s">
        <v>15</v>
      </c>
      <c r="B13" s="14" t="s">
        <v>16</v>
      </c>
    </row>
    <row r="14" spans="1:6" ht="15" customHeight="1" x14ac:dyDescent="0.25">
      <c r="A14" s="13" t="s">
        <v>17</v>
      </c>
      <c r="B14" s="14" t="s">
        <v>18</v>
      </c>
    </row>
    <row r="15" spans="1:6" ht="15" customHeight="1" x14ac:dyDescent="0.25">
      <c r="A15" s="13" t="s">
        <v>19</v>
      </c>
      <c r="B15" s="14" t="s">
        <v>20</v>
      </c>
    </row>
    <row r="16" spans="1:6" ht="15" customHeight="1" x14ac:dyDescent="0.25">
      <c r="A16" s="13"/>
      <c r="B16" s="14"/>
    </row>
    <row r="17" spans="1:6" ht="15" customHeight="1" x14ac:dyDescent="0.25">
      <c r="A17" s="10" t="s">
        <v>21</v>
      </c>
      <c r="B17" s="10"/>
      <c r="C17" s="10"/>
      <c r="D17" s="10"/>
      <c r="E17" s="10"/>
      <c r="F17" s="10"/>
    </row>
    <row r="18" spans="1:6" ht="15" customHeight="1" x14ac:dyDescent="0.25">
      <c r="A18" s="15" t="s">
        <v>22</v>
      </c>
      <c r="B18" s="15" t="s">
        <v>23</v>
      </c>
    </row>
    <row r="19" spans="1:6" ht="15" customHeight="1" x14ac:dyDescent="0.25">
      <c r="A19" s="13" t="s">
        <v>24</v>
      </c>
      <c r="B19" s="14" t="s">
        <v>25</v>
      </c>
    </row>
    <row r="20" spans="1:6" ht="15" customHeight="1" x14ac:dyDescent="0.25">
      <c r="A20" s="13" t="s">
        <v>26</v>
      </c>
      <c r="B20" s="14" t="s">
        <v>27</v>
      </c>
    </row>
    <row r="21" spans="1:6" ht="15" customHeight="1" x14ac:dyDescent="0.25">
      <c r="A21" s="13" t="s">
        <v>28</v>
      </c>
      <c r="B21" s="14" t="s">
        <v>29</v>
      </c>
    </row>
    <row r="22" spans="1:6" ht="15" customHeight="1" x14ac:dyDescent="0.25">
      <c r="A22" s="13" t="s">
        <v>30</v>
      </c>
      <c r="B22" s="14" t="s">
        <v>31</v>
      </c>
    </row>
    <row r="23" spans="1:6" ht="15" customHeight="1" x14ac:dyDescent="0.25">
      <c r="A23" s="13"/>
      <c r="B23" s="14"/>
    </row>
    <row r="24" spans="1:6" ht="15" customHeight="1" x14ac:dyDescent="0.25">
      <c r="A24" s="10" t="s">
        <v>32</v>
      </c>
      <c r="B24" s="10"/>
      <c r="C24" s="10"/>
      <c r="D24" s="10"/>
      <c r="E24" s="10"/>
      <c r="F24" s="10"/>
    </row>
    <row r="25" spans="1:6" ht="15" customHeight="1" x14ac:dyDescent="0.25">
      <c r="A25" s="13" t="s">
        <v>33</v>
      </c>
      <c r="B25" s="14" t="s">
        <v>34</v>
      </c>
    </row>
    <row r="26" spans="1:6" ht="15" customHeight="1" x14ac:dyDescent="0.25">
      <c r="A26" s="13" t="s">
        <v>35</v>
      </c>
      <c r="B26" s="14" t="s">
        <v>36</v>
      </c>
    </row>
    <row r="27" spans="1:6" ht="15" customHeight="1" x14ac:dyDescent="0.25">
      <c r="A27" s="13" t="s">
        <v>37</v>
      </c>
      <c r="B27" s="14" t="s">
        <v>38</v>
      </c>
    </row>
    <row r="28" spans="1:6" ht="15" customHeight="1" x14ac:dyDescent="0.25">
      <c r="A28" s="13" t="s">
        <v>39</v>
      </c>
      <c r="B28" s="14" t="s">
        <v>40</v>
      </c>
    </row>
    <row r="29" spans="1:6" ht="15" customHeight="1" x14ac:dyDescent="0.25">
      <c r="A29" s="13" t="s">
        <v>41</v>
      </c>
      <c r="B29" s="14" t="s">
        <v>42</v>
      </c>
    </row>
    <row r="30" spans="1:6" ht="15" customHeight="1" x14ac:dyDescent="0.25">
      <c r="A30" s="13" t="s">
        <v>43</v>
      </c>
      <c r="B30" s="14" t="s">
        <v>44</v>
      </c>
    </row>
    <row r="31" spans="1:6" ht="15" customHeight="1" x14ac:dyDescent="0.25">
      <c r="A31" s="13" t="s">
        <v>45</v>
      </c>
      <c r="B31" s="14" t="s">
        <v>46</v>
      </c>
    </row>
    <row r="32" spans="1:6" ht="15" customHeight="1" x14ac:dyDescent="0.25">
      <c r="A32" s="13"/>
      <c r="B32" s="14"/>
    </row>
    <row r="33" spans="1:6" ht="15" customHeight="1" x14ac:dyDescent="0.25">
      <c r="A33" s="10" t="s">
        <v>47</v>
      </c>
      <c r="B33" s="10"/>
      <c r="C33" s="10"/>
      <c r="D33" s="10"/>
      <c r="E33" s="10"/>
      <c r="F33" s="10"/>
    </row>
    <row r="34" spans="1:6" ht="15" customHeight="1" x14ac:dyDescent="0.25">
      <c r="A34" s="13" t="s">
        <v>48</v>
      </c>
      <c r="B34" s="14" t="s">
        <v>49</v>
      </c>
    </row>
    <row r="35" spans="1:6" ht="15" customHeight="1" x14ac:dyDescent="0.25">
      <c r="A35" s="13" t="s">
        <v>48</v>
      </c>
      <c r="B35" s="14" t="s">
        <v>50</v>
      </c>
    </row>
    <row r="36" spans="1:6" ht="15" customHeight="1" x14ac:dyDescent="0.25">
      <c r="A36" s="13" t="s">
        <v>48</v>
      </c>
      <c r="B36" s="14" t="s">
        <v>51</v>
      </c>
    </row>
    <row r="37" spans="1:6" ht="15" customHeight="1" x14ac:dyDescent="0.25">
      <c r="A37" s="13" t="s">
        <v>48</v>
      </c>
      <c r="B37" s="14" t="s">
        <v>52</v>
      </c>
    </row>
    <row r="38" spans="1:6" ht="15" customHeight="1" x14ac:dyDescent="0.25">
      <c r="A38" s="13" t="s">
        <v>48</v>
      </c>
      <c r="B38" s="14" t="s">
        <v>53</v>
      </c>
    </row>
  </sheetData>
  <mergeCells count="6">
    <mergeCell ref="A33:F33"/>
    <mergeCell ref="A1:F1"/>
    <mergeCell ref="A2:F2"/>
    <mergeCell ref="A6:F6"/>
    <mergeCell ref="A17:F17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6" sqref="A6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18" customWidth="1"/>
    <col min="4" max="4" width="16" customWidth="1"/>
    <col min="5" max="5" width="18" customWidth="1"/>
    <col min="6" max="7" width="14" customWidth="1"/>
    <col min="8" max="8" width="18" customWidth="1"/>
  </cols>
  <sheetData>
    <row r="1" spans="1:8" ht="27.75" customHeight="1" x14ac:dyDescent="0.25">
      <c r="A1" s="9" t="s">
        <v>54</v>
      </c>
      <c r="B1" s="9"/>
      <c r="C1" s="9"/>
      <c r="D1" s="9"/>
      <c r="E1" s="9"/>
      <c r="F1" s="9"/>
      <c r="G1" s="9"/>
      <c r="H1" s="9"/>
    </row>
    <row r="2" spans="1:8" ht="18" customHeight="1" x14ac:dyDescent="0.25">
      <c r="A2" s="8" t="s">
        <v>55</v>
      </c>
      <c r="B2" s="8"/>
      <c r="C2" s="8"/>
      <c r="D2" s="8"/>
      <c r="E2" s="8"/>
      <c r="F2" s="8"/>
      <c r="G2" s="8"/>
      <c r="H2" s="8"/>
    </row>
    <row r="3" spans="1:8" ht="31.5" customHeight="1" x14ac:dyDescent="0.25">
      <c r="A3" s="16" t="s">
        <v>56</v>
      </c>
      <c r="B3" s="16" t="s">
        <v>57</v>
      </c>
      <c r="C3" s="16" t="s">
        <v>58</v>
      </c>
      <c r="D3" s="16" t="s">
        <v>59</v>
      </c>
      <c r="E3" s="16" t="s">
        <v>60</v>
      </c>
      <c r="F3" s="17" t="s">
        <v>61</v>
      </c>
      <c r="G3" s="17" t="s">
        <v>62</v>
      </c>
      <c r="H3" s="16" t="s">
        <v>63</v>
      </c>
    </row>
    <row r="4" spans="1:8" ht="15.75" customHeight="1" x14ac:dyDescent="0.25">
      <c r="A4" s="18">
        <f>CARGA_DIARIA!A4</f>
        <v>46148</v>
      </c>
      <c r="B4" s="19">
        <f>CARGA_DIARIA!B4</f>
        <v>1394</v>
      </c>
      <c r="C4" s="20">
        <f>IF(CARGA_DIARIA!B4=0,0,(CARGA_DIARIA!C4+CARGA_DIARIA!D4+CARGA_DIARIA!E4+CARGA_DIARIA!F4+CARGA_DIARIA!G4+CARGA_DIARIA!H4+CARGA_DIARIA!I4+CARGA_DIARIA!AG4+CARGA_DIARIA!AH4+CARGA_DIARIA!AI4+CARGA_DIARIA!AJ4)/CARGA_DIARIA!B4+CARGA_DIARIA!AF4)</f>
        <v>26967199.645440459</v>
      </c>
      <c r="D4" s="21">
        <f>IF(CARGA_DIARIA!B4=0,0,(CARGA_DIARIA!J4+CARGA_DIARIA!K4+CARGA_DIARIA!L4+CARGA_DIARIA!M4+CARGA_DIARIA!N4+CARGA_DIARIA!O4+CARGA_DIARIA!P4+CARGA_DIARIA!Q4+CARGA_DIARIA!R4+CARGA_DIARIA!S4+CARGA_DIARIA!T4+CARGA_DIARIA!U4+CARGA_DIARIA!V4+CARGA_DIARIA!W4)/CARGA_DIARIA!B4)</f>
        <v>405159.24533715926</v>
      </c>
      <c r="E4" s="21">
        <f>IF(CARGA_DIARIA!B4=0,0,(CARGA_DIARIA!X4+CARGA_DIARIA!Y4+CARGA_DIARIA!Z4+CARGA_DIARIA!AA4)/CARGA_DIARIA!B4+CARGA_DIARIA!AB4+CARGA_DIARIA!AC4+CARGA_DIARIA!AD4+CARGA_DIARIA!AE4)</f>
        <v>18836187.639562905</v>
      </c>
      <c r="F4" s="20"/>
      <c r="G4" s="22"/>
      <c r="H4" s="23">
        <f>C4-D4-E4</f>
        <v>7725852.760540396</v>
      </c>
    </row>
    <row r="5" spans="1:8" ht="15.75" customHeight="1" x14ac:dyDescent="0.25">
      <c r="A5" s="18">
        <f>CARGA_DIARIA!A5</f>
        <v>0</v>
      </c>
      <c r="B5" s="19">
        <f>CARGA_DIARIA!B5</f>
        <v>0</v>
      </c>
      <c r="C5" s="20">
        <f>IF(CARGA_DIARIA!B5=0,0,(CARGA_DIARIA!C5+CARGA_DIARIA!D5+CARGA_DIARIA!E5+CARGA_DIARIA!F5+CARGA_DIARIA!G5+CARGA_DIARIA!H5+CARGA_DIARIA!I5+CARGA_DIARIA!AG5+CARGA_DIARIA!AH5+CARGA_DIARIA!AI5+CARGA_DIARIA!AJ5)/CARGA_DIARIA!B5+CARGA_DIARIA!AF5)</f>
        <v>0</v>
      </c>
      <c r="D5" s="21">
        <f>IF(CARGA_DIARIA!B5=0,0,(CARGA_DIARIA!J5+CARGA_DIARIA!K5+CARGA_DIARIA!L5+CARGA_DIARIA!M5+CARGA_DIARIA!N5+CARGA_DIARIA!O5+CARGA_DIARIA!P5+CARGA_DIARIA!Q5+CARGA_DIARIA!R5+CARGA_DIARIA!S5+CARGA_DIARIA!T5+CARGA_DIARIA!U5+CARGA_DIARIA!V5+CARGA_DIARIA!W5)/CARGA_DIARIA!B5)</f>
        <v>0</v>
      </c>
      <c r="E5" s="21">
        <f>IF(CARGA_DIARIA!B5=0,0,(CARGA_DIARIA!X5+CARGA_DIARIA!Y5+CARGA_DIARIA!Z5+CARGA_DIARIA!AA5)/CARGA_DIARIA!B5+CARGA_DIARIA!AB5+CARGA_DIARIA!AC5+CARGA_DIARIA!AD5+CARGA_DIARIA!AE5)</f>
        <v>0</v>
      </c>
      <c r="F5" s="20"/>
      <c r="G5" s="22"/>
      <c r="H5" s="23">
        <f>C5-D5-E5</f>
        <v>0</v>
      </c>
    </row>
    <row r="6" spans="1:8" ht="15.75" customHeight="1" x14ac:dyDescent="0.25">
      <c r="A6" s="18">
        <f>CARGA_DIARIA!A6</f>
        <v>0</v>
      </c>
      <c r="B6" s="19">
        <f>CARGA_DIARIA!B6</f>
        <v>0</v>
      </c>
      <c r="C6" s="20">
        <f>IF(CARGA_DIARIA!B6=0,0,(CARGA_DIARIA!C6+CARGA_DIARIA!D6+CARGA_DIARIA!E6+CARGA_DIARIA!F6+CARGA_DIARIA!G6+CARGA_DIARIA!H6+CARGA_DIARIA!I6+CARGA_DIARIA!AG6+CARGA_DIARIA!AH6+CARGA_DIARIA!AI6+CARGA_DIARIA!AJ6)/CARGA_DIARIA!B6+CARGA_DIARIA!AF6)</f>
        <v>0</v>
      </c>
      <c r="D6" s="21">
        <f>IF(CARGA_DIARIA!B6=0,0,(CARGA_DIARIA!J6+CARGA_DIARIA!K6+CARGA_DIARIA!L6+CARGA_DIARIA!M6+CARGA_DIARIA!N6+CARGA_DIARIA!O6+CARGA_DIARIA!P6+CARGA_DIARIA!Q6+CARGA_DIARIA!R6+CARGA_DIARIA!S6+CARGA_DIARIA!T6+CARGA_DIARIA!U6+CARGA_DIARIA!V6+CARGA_DIARIA!W6)/CARGA_DIARIA!B6)</f>
        <v>0</v>
      </c>
      <c r="E6" s="21">
        <f>IF(CARGA_DIARIA!B6=0,0,(CARGA_DIARIA!X6+CARGA_DIARIA!Y6+CARGA_DIARIA!Z6+CARGA_DIARIA!AA6)/CARGA_DIARIA!B6+CARGA_DIARIA!AB6+CARGA_DIARIA!AC6+CARGA_DIARIA!AD6+CARGA_DIARIA!AE6)</f>
        <v>0</v>
      </c>
      <c r="F6" s="20"/>
      <c r="G6" s="22"/>
      <c r="H6" s="23">
        <f>C6-D6-E6</f>
        <v>0</v>
      </c>
    </row>
    <row r="7" spans="1:8" ht="15.75" customHeight="1" x14ac:dyDescent="0.25">
      <c r="A7" s="18">
        <f>CARGA_DIARIA!A7</f>
        <v>0</v>
      </c>
      <c r="B7" s="19">
        <f>CARGA_DIARIA!B7</f>
        <v>0</v>
      </c>
      <c r="C7" s="20">
        <f>IF(CARGA_DIARIA!B7=0,0,(CARGA_DIARIA!C7+CARGA_DIARIA!D7+CARGA_DIARIA!E7+CARGA_DIARIA!F7+CARGA_DIARIA!G7+CARGA_DIARIA!H7+CARGA_DIARIA!I7+CARGA_DIARIA!AG7+CARGA_DIARIA!AH7+CARGA_DIARIA!AI7+CARGA_DIARIA!AJ7)/CARGA_DIARIA!B7+CARGA_DIARIA!AF7)</f>
        <v>0</v>
      </c>
      <c r="D7" s="21">
        <f>IF(CARGA_DIARIA!B7=0,0,(CARGA_DIARIA!J7+CARGA_DIARIA!K7+CARGA_DIARIA!L7+CARGA_DIARIA!M7+CARGA_DIARIA!N7+CARGA_DIARIA!O7+CARGA_DIARIA!P7+CARGA_DIARIA!Q7+CARGA_DIARIA!R7+CARGA_DIARIA!S7+CARGA_DIARIA!T7+CARGA_DIARIA!U7+CARGA_DIARIA!V7+CARGA_DIARIA!W7)/CARGA_DIARIA!B7)</f>
        <v>0</v>
      </c>
      <c r="E7" s="21">
        <f>IF(CARGA_DIARIA!B7=0,0,(CARGA_DIARIA!X7+CARGA_DIARIA!Y7+CARGA_DIARIA!Z7+CARGA_DIARIA!AA7)/CARGA_DIARIA!B7+CARGA_DIARIA!AB7+CARGA_DIARIA!AC7+CARGA_DIARIA!AD7+CARGA_DIARIA!AE7)</f>
        <v>0</v>
      </c>
      <c r="F7" s="20"/>
      <c r="G7" s="22"/>
      <c r="H7" s="23">
        <f>C7-D7-E7</f>
        <v>0</v>
      </c>
    </row>
    <row r="8" spans="1:8" ht="15.75" customHeight="1" x14ac:dyDescent="0.25">
      <c r="A8" s="18">
        <f>CARGA_DIARIA!A8</f>
        <v>0</v>
      </c>
      <c r="B8" s="19">
        <f>CARGA_DIARIA!B8</f>
        <v>0</v>
      </c>
      <c r="C8" s="20">
        <f>IF(CARGA_DIARIA!B8=0,0,(CARGA_DIARIA!C8+CARGA_DIARIA!D8+CARGA_DIARIA!E8+CARGA_DIARIA!F8+CARGA_DIARIA!G8+CARGA_DIARIA!H8+CARGA_DIARIA!I8+CARGA_DIARIA!AG8+CARGA_DIARIA!AH8+CARGA_DIARIA!AI8+CARGA_DIARIA!AJ8)/CARGA_DIARIA!B8+CARGA_DIARIA!AF8)</f>
        <v>0</v>
      </c>
      <c r="D8" s="21">
        <f>IF(CARGA_DIARIA!B8=0,0,(CARGA_DIARIA!J8+CARGA_DIARIA!K8+CARGA_DIARIA!L8+CARGA_DIARIA!M8+CARGA_DIARIA!N8+CARGA_DIARIA!O8+CARGA_DIARIA!P8+CARGA_DIARIA!Q8+CARGA_DIARIA!R8+CARGA_DIARIA!S8+CARGA_DIARIA!T8+CARGA_DIARIA!U8+CARGA_DIARIA!V8+CARGA_DIARIA!W8)/CARGA_DIARIA!B8)</f>
        <v>0</v>
      </c>
      <c r="E8" s="21">
        <f>IF(CARGA_DIARIA!B8=0,0,(CARGA_DIARIA!X8+CARGA_DIARIA!Y8+CARGA_DIARIA!Z8+CARGA_DIARIA!AA8)/CARGA_DIARIA!B8+CARGA_DIARIA!AB8+CARGA_DIARIA!AC8+CARGA_DIARIA!AD8+CARGA_DIARIA!AE8)</f>
        <v>0</v>
      </c>
      <c r="F8" s="20"/>
      <c r="G8" s="22"/>
      <c r="H8" s="23">
        <f>C8-D8-E8</f>
        <v>0</v>
      </c>
    </row>
    <row r="9" spans="1:8" ht="19.5" customHeight="1" x14ac:dyDescent="0.25">
      <c r="A9" s="24" t="s">
        <v>64</v>
      </c>
      <c r="B9" s="25"/>
      <c r="C9" s="26">
        <f>IFERROR(AVERAGE(C4:C8),"-")</f>
        <v>5393439.9290880915</v>
      </c>
      <c r="D9" s="26">
        <f>IFERROR(AVERAGE(D4:D8),"-")</f>
        <v>81031.849067431845</v>
      </c>
      <c r="E9" s="26">
        <f>IFERROR(AVERAGE(E4:E8),"-")</f>
        <v>3767237.5279125809</v>
      </c>
      <c r="F9" s="26" t="s">
        <v>65</v>
      </c>
      <c r="G9" s="26" t="s">
        <v>65</v>
      </c>
      <c r="H9" s="26">
        <f>IFERROR(AVERAGE(H4:H8),"-")</f>
        <v>1545170.5521080792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14" customWidth="1"/>
    <col min="2" max="2" width="10" customWidth="1"/>
    <col min="3" max="3" width="42" customWidth="1"/>
    <col min="4" max="4" width="18" customWidth="1"/>
    <col min="5" max="5" width="12" customWidth="1"/>
    <col min="6" max="6" width="14" customWidth="1"/>
    <col min="7" max="7" width="12" customWidth="1"/>
  </cols>
  <sheetData>
    <row r="1" spans="1:7" ht="27.75" customHeight="1" x14ac:dyDescent="0.25">
      <c r="A1" s="9" t="s">
        <v>66</v>
      </c>
      <c r="B1" s="9"/>
      <c r="C1" s="9"/>
      <c r="D1" s="9"/>
      <c r="E1" s="9"/>
      <c r="F1" s="9"/>
      <c r="G1" s="9"/>
    </row>
    <row r="2" spans="1:7" ht="15.75" customHeight="1" x14ac:dyDescent="0.25">
      <c r="A2" s="7" t="s">
        <v>67</v>
      </c>
      <c r="B2" s="7"/>
      <c r="C2" s="7"/>
      <c r="D2" s="7"/>
      <c r="E2" s="7"/>
      <c r="F2" s="7"/>
      <c r="G2" s="7"/>
    </row>
    <row r="3" spans="1:7" ht="21.75" customHeight="1" x14ac:dyDescent="0.25">
      <c r="A3" s="16" t="s">
        <v>56</v>
      </c>
      <c r="B3" s="16" t="s">
        <v>68</v>
      </c>
      <c r="C3" s="16" t="s">
        <v>69</v>
      </c>
      <c r="D3" s="16" t="s">
        <v>70</v>
      </c>
      <c r="E3" s="16" t="s">
        <v>71</v>
      </c>
      <c r="F3" s="16" t="s">
        <v>72</v>
      </c>
      <c r="G3" s="16" t="s">
        <v>73</v>
      </c>
    </row>
    <row r="4" spans="1:7" ht="15.75" customHeight="1" x14ac:dyDescent="0.25">
      <c r="A4" s="27">
        <v>46148</v>
      </c>
      <c r="B4" s="28" t="s">
        <v>74</v>
      </c>
      <c r="C4" s="29" t="s">
        <v>75</v>
      </c>
      <c r="D4" s="30">
        <v>42000000</v>
      </c>
      <c r="E4" s="31">
        <v>1197</v>
      </c>
      <c r="F4" s="32">
        <f t="shared" ref="F4:F12" si="0">IFERROR(D4/E4,0)</f>
        <v>35087.719298245611</v>
      </c>
      <c r="G4" s="33" t="s">
        <v>76</v>
      </c>
    </row>
    <row r="5" spans="1:7" ht="15.75" customHeight="1" x14ac:dyDescent="0.25">
      <c r="A5" s="27">
        <v>46149</v>
      </c>
      <c r="B5" s="34" t="s">
        <v>77</v>
      </c>
      <c r="C5" s="29" t="s">
        <v>78</v>
      </c>
      <c r="D5" s="30">
        <v>87000000</v>
      </c>
      <c r="E5" s="31">
        <v>1197</v>
      </c>
      <c r="F5" s="35">
        <f t="shared" si="0"/>
        <v>72681.704260651633</v>
      </c>
      <c r="G5" s="33" t="s">
        <v>76</v>
      </c>
    </row>
    <row r="6" spans="1:7" ht="15.75" customHeight="1" x14ac:dyDescent="0.25">
      <c r="A6" s="27">
        <v>46150</v>
      </c>
      <c r="B6" s="28" t="s">
        <v>74</v>
      </c>
      <c r="C6" s="29" t="s">
        <v>79</v>
      </c>
      <c r="D6" s="30">
        <v>65000000</v>
      </c>
      <c r="E6" s="31">
        <v>1197</v>
      </c>
      <c r="F6" s="32">
        <f t="shared" si="0"/>
        <v>54302.422723475356</v>
      </c>
      <c r="G6" s="33" t="s">
        <v>76</v>
      </c>
    </row>
    <row r="7" spans="1:7" ht="15.75" customHeight="1" x14ac:dyDescent="0.25">
      <c r="A7" s="27">
        <v>46151</v>
      </c>
      <c r="B7" s="34" t="s">
        <v>77</v>
      </c>
      <c r="C7" s="29" t="s">
        <v>80</v>
      </c>
      <c r="D7" s="30">
        <v>48500000</v>
      </c>
      <c r="E7" s="31">
        <v>1197</v>
      </c>
      <c r="F7" s="35">
        <f t="shared" si="0"/>
        <v>40517.96157059315</v>
      </c>
      <c r="G7" s="33" t="s">
        <v>76</v>
      </c>
    </row>
    <row r="8" spans="1:7" ht="15.75" customHeight="1" x14ac:dyDescent="0.25">
      <c r="A8" s="27">
        <v>46152</v>
      </c>
      <c r="B8" s="28" t="s">
        <v>74</v>
      </c>
      <c r="C8" s="29" t="s">
        <v>81</v>
      </c>
      <c r="D8" s="30">
        <v>113715000</v>
      </c>
      <c r="E8" s="31">
        <v>1197</v>
      </c>
      <c r="F8" s="32">
        <f t="shared" si="0"/>
        <v>95000</v>
      </c>
      <c r="G8" s="33" t="s">
        <v>76</v>
      </c>
    </row>
    <row r="9" spans="1:7" ht="15.75" customHeight="1" x14ac:dyDescent="0.25">
      <c r="A9" s="27">
        <v>46152</v>
      </c>
      <c r="B9" s="34" t="s">
        <v>77</v>
      </c>
      <c r="C9" s="29" t="s">
        <v>82</v>
      </c>
      <c r="D9" s="30">
        <v>96000000</v>
      </c>
      <c r="E9" s="31">
        <v>1197</v>
      </c>
      <c r="F9" s="35">
        <f t="shared" si="0"/>
        <v>80200.501253132839</v>
      </c>
      <c r="G9" s="33" t="s">
        <v>76</v>
      </c>
    </row>
    <row r="10" spans="1:7" ht="15.75" customHeight="1" x14ac:dyDescent="0.25">
      <c r="A10" s="27">
        <v>46154</v>
      </c>
      <c r="B10" s="34" t="s">
        <v>77</v>
      </c>
      <c r="C10" s="29" t="s">
        <v>83</v>
      </c>
      <c r="D10" s="30">
        <v>23000000</v>
      </c>
      <c r="E10" s="31">
        <v>1197</v>
      </c>
      <c r="F10" s="35">
        <f t="shared" si="0"/>
        <v>19214.703425229742</v>
      </c>
      <c r="G10" s="33" t="s">
        <v>76</v>
      </c>
    </row>
    <row r="11" spans="1:7" ht="15.75" customHeight="1" x14ac:dyDescent="0.25">
      <c r="A11" s="27">
        <v>46157</v>
      </c>
      <c r="B11" s="28" t="s">
        <v>74</v>
      </c>
      <c r="C11" s="29" t="s">
        <v>84</v>
      </c>
      <c r="D11" s="30">
        <v>145000000</v>
      </c>
      <c r="E11" s="31">
        <v>1197</v>
      </c>
      <c r="F11" s="32">
        <f t="shared" si="0"/>
        <v>121136.17376775271</v>
      </c>
      <c r="G11" s="33" t="s">
        <v>76</v>
      </c>
    </row>
    <row r="12" spans="1:7" ht="15.75" customHeight="1" x14ac:dyDescent="0.25">
      <c r="A12" s="27">
        <v>46162</v>
      </c>
      <c r="B12" s="34" t="s">
        <v>77</v>
      </c>
      <c r="C12" s="29" t="s">
        <v>85</v>
      </c>
      <c r="D12" s="30">
        <v>95760000</v>
      </c>
      <c r="E12" s="31">
        <v>1197</v>
      </c>
      <c r="F12" s="35">
        <f t="shared" si="0"/>
        <v>80000</v>
      </c>
      <c r="G12" s="33" t="s">
        <v>76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5" width="14" customWidth="1"/>
    <col min="6" max="6" width="18" customWidth="1"/>
  </cols>
  <sheetData>
    <row r="1" spans="1:6" ht="27.75" customHeight="1" x14ac:dyDescent="0.25">
      <c r="A1" s="9" t="s">
        <v>86</v>
      </c>
      <c r="B1" s="9"/>
      <c r="C1" s="9"/>
      <c r="D1" s="9"/>
      <c r="E1" s="9"/>
      <c r="F1" s="9"/>
    </row>
    <row r="2" spans="1:6" ht="21.75" customHeight="1" x14ac:dyDescent="0.25">
      <c r="A2" s="16" t="s">
        <v>56</v>
      </c>
      <c r="B2" s="16" t="s">
        <v>57</v>
      </c>
      <c r="C2" s="16" t="s">
        <v>87</v>
      </c>
      <c r="D2" s="16" t="s">
        <v>88</v>
      </c>
      <c r="E2" s="16" t="s">
        <v>89</v>
      </c>
      <c r="F2" s="16" t="s">
        <v>90</v>
      </c>
    </row>
    <row r="3" spans="1:6" ht="15.75" customHeight="1" x14ac:dyDescent="0.25">
      <c r="A3" s="36">
        <v>46140</v>
      </c>
      <c r="B3" s="37">
        <v>1194</v>
      </c>
      <c r="C3" s="38">
        <v>285000</v>
      </c>
      <c r="D3" s="38">
        <v>140000</v>
      </c>
      <c r="E3" s="39">
        <f>C3+D3</f>
        <v>425000</v>
      </c>
      <c r="F3" s="38">
        <v>87000</v>
      </c>
    </row>
    <row r="4" spans="1:6" ht="15.75" customHeight="1" x14ac:dyDescent="0.25">
      <c r="A4" s="36">
        <v>46141</v>
      </c>
      <c r="B4" s="37">
        <v>1196</v>
      </c>
      <c r="C4" s="38">
        <v>268000</v>
      </c>
      <c r="D4" s="38">
        <v>135000</v>
      </c>
      <c r="E4" s="39">
        <f>C4+D4</f>
        <v>403000</v>
      </c>
      <c r="F4" s="38">
        <v>72000</v>
      </c>
    </row>
    <row r="5" spans="1:6" ht="15.75" customHeight="1" x14ac:dyDescent="0.25">
      <c r="A5" s="36">
        <v>46142</v>
      </c>
      <c r="B5" s="37">
        <v>1197</v>
      </c>
      <c r="C5" s="38">
        <v>301000</v>
      </c>
      <c r="D5" s="38">
        <v>148000</v>
      </c>
      <c r="E5" s="39">
        <f>C5+D5</f>
        <v>449000</v>
      </c>
      <c r="F5" s="38">
        <v>95000</v>
      </c>
    </row>
    <row r="6" spans="1:6" ht="15.75" customHeight="1" x14ac:dyDescent="0.25">
      <c r="A6" s="36">
        <v>46144</v>
      </c>
      <c r="B6" s="37">
        <v>1198.5</v>
      </c>
      <c r="C6" s="38">
        <v>275000</v>
      </c>
      <c r="D6" s="38">
        <v>128000</v>
      </c>
      <c r="E6" s="39">
        <f>C6+D6</f>
        <v>403000</v>
      </c>
      <c r="F6" s="38">
        <v>68000</v>
      </c>
    </row>
    <row r="7" spans="1:6" ht="15.75" customHeight="1" x14ac:dyDescent="0.25">
      <c r="A7" s="36">
        <v>46147</v>
      </c>
      <c r="B7" s="37">
        <v>1197</v>
      </c>
      <c r="C7" s="38">
        <v>285000</v>
      </c>
      <c r="D7" s="38">
        <v>140000</v>
      </c>
      <c r="E7" s="39">
        <f>C7+D7</f>
        <v>425000</v>
      </c>
      <c r="F7" s="38">
        <v>87000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4" width="14" customWidth="1"/>
    <col min="5" max="5" width="12" customWidth="1"/>
    <col min="6" max="6" width="14" customWidth="1"/>
    <col min="7" max="7" width="12" customWidth="1"/>
    <col min="8" max="8" width="18" customWidth="1"/>
    <col min="9" max="9" width="12" customWidth="1"/>
  </cols>
  <sheetData>
    <row r="1" spans="1:9" ht="27.75" customHeight="1" x14ac:dyDescent="0.25">
      <c r="A1" s="9" t="s">
        <v>91</v>
      </c>
      <c r="B1" s="9"/>
      <c r="C1" s="9"/>
      <c r="D1" s="9"/>
      <c r="E1" s="9"/>
      <c r="F1" s="9"/>
      <c r="G1" s="9"/>
      <c r="H1" s="9"/>
    </row>
    <row r="2" spans="1:9" ht="21.75" customHeight="1" x14ac:dyDescent="0.25">
      <c r="A2" s="16" t="s">
        <v>92</v>
      </c>
      <c r="B2" s="16" t="s">
        <v>93</v>
      </c>
      <c r="C2" s="16" t="s">
        <v>94</v>
      </c>
      <c r="D2" s="16" t="s">
        <v>95</v>
      </c>
      <c r="E2" s="16" t="s">
        <v>96</v>
      </c>
      <c r="F2" s="16" t="s">
        <v>72</v>
      </c>
      <c r="G2" s="16" t="s">
        <v>97</v>
      </c>
      <c r="H2" s="16" t="s">
        <v>98</v>
      </c>
      <c r="I2" s="16" t="s">
        <v>73</v>
      </c>
    </row>
    <row r="3" spans="1:9" ht="15.75" customHeight="1" x14ac:dyDescent="0.25">
      <c r="A3" s="40" t="s">
        <v>99</v>
      </c>
      <c r="B3" s="40" t="s">
        <v>100</v>
      </c>
      <c r="C3" s="36">
        <v>46096</v>
      </c>
      <c r="D3" s="36">
        <v>46157</v>
      </c>
      <c r="E3" s="41">
        <f ca="1">IFERROR(D3-TODAY(),"")</f>
        <v>8</v>
      </c>
      <c r="F3" s="38">
        <v>320000</v>
      </c>
      <c r="G3" s="37">
        <v>1197</v>
      </c>
      <c r="H3" s="20">
        <f>IFERROR(F3*G3,0)</f>
        <v>383040000</v>
      </c>
      <c r="I3" s="40" t="s">
        <v>76</v>
      </c>
    </row>
    <row r="4" spans="1:9" ht="15.75" customHeight="1" x14ac:dyDescent="0.25">
      <c r="A4" s="40" t="s">
        <v>101</v>
      </c>
      <c r="B4" s="40" t="s">
        <v>102</v>
      </c>
      <c r="C4" s="36">
        <v>46113</v>
      </c>
      <c r="D4" s="36">
        <v>46172</v>
      </c>
      <c r="E4" s="41">
        <f ca="1">IFERROR(D4-TODAY(),"")</f>
        <v>23</v>
      </c>
      <c r="F4" s="38">
        <v>185000</v>
      </c>
      <c r="G4" s="37">
        <v>1197</v>
      </c>
      <c r="H4" s="20">
        <f>IFERROR(F4*G4,0)</f>
        <v>221445000</v>
      </c>
      <c r="I4" s="40" t="s">
        <v>76</v>
      </c>
    </row>
    <row r="5" spans="1:9" ht="15.75" customHeight="1" x14ac:dyDescent="0.25">
      <c r="A5" s="40" t="s">
        <v>103</v>
      </c>
      <c r="B5" s="40" t="s">
        <v>104</v>
      </c>
      <c r="C5" s="36">
        <v>46122</v>
      </c>
      <c r="D5" s="36">
        <v>46183</v>
      </c>
      <c r="E5" s="41">
        <f ca="1">IFERROR(D5-TODAY(),"")</f>
        <v>34</v>
      </c>
      <c r="F5" s="38">
        <v>240000</v>
      </c>
      <c r="G5" s="37">
        <v>1197</v>
      </c>
      <c r="H5" s="20">
        <f>IFERROR(F5*G5,0)</f>
        <v>287280000</v>
      </c>
      <c r="I5" s="40" t="s">
        <v>76</v>
      </c>
    </row>
    <row r="6" spans="1:9" ht="15.75" customHeight="1" x14ac:dyDescent="0.25">
      <c r="A6" s="40" t="s">
        <v>105</v>
      </c>
      <c r="B6" s="40" t="s">
        <v>106</v>
      </c>
      <c r="C6" s="36">
        <v>46132</v>
      </c>
      <c r="D6" s="36">
        <v>46193</v>
      </c>
      <c r="E6" s="41">
        <f ca="1">IFERROR(D6-TODAY(),"")</f>
        <v>44</v>
      </c>
      <c r="F6" s="38">
        <v>495000</v>
      </c>
      <c r="G6" s="37">
        <v>1197</v>
      </c>
      <c r="H6" s="20">
        <f>IFERROR(F6*G6,0)</f>
        <v>592515000</v>
      </c>
      <c r="I6" s="40" t="s">
        <v>76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5" sqref="K25"/>
    </sheetView>
  </sheetViews>
  <sheetFormatPr baseColWidth="10" defaultColWidth="8.7109375" defaultRowHeight="15" x14ac:dyDescent="0.25"/>
  <cols>
    <col min="1" max="1" width="16.42578125" bestFit="1" customWidth="1"/>
    <col min="2" max="2" width="27.5703125" bestFit="1" customWidth="1"/>
    <col min="3" max="3" width="10.140625" bestFit="1" customWidth="1"/>
    <col min="4" max="10" width="11.140625" bestFit="1" customWidth="1"/>
    <col min="11" max="11" width="9.28515625" bestFit="1" customWidth="1"/>
    <col min="12" max="16" width="10.140625" bestFit="1" customWidth="1"/>
    <col min="17" max="17" width="11.140625" bestFit="1" customWidth="1"/>
    <col min="18" max="22" width="10.140625" bestFit="1" customWidth="1"/>
    <col min="23" max="23" width="9.140625" bestFit="1" customWidth="1"/>
    <col min="24" max="30" width="11.140625" bestFit="1" customWidth="1"/>
    <col min="31" max="31" width="10.140625" bestFit="1" customWidth="1"/>
    <col min="32" max="33" width="11.140625" bestFit="1" customWidth="1"/>
    <col min="34" max="34" width="12.42578125" bestFit="1" customWidth="1"/>
    <col min="35" max="35" width="12.7109375" bestFit="1" customWidth="1"/>
    <col min="36" max="36" width="11.140625" bestFit="1" customWidth="1"/>
    <col min="37" max="37" width="24.28515625" bestFit="1" customWidth="1"/>
  </cols>
  <sheetData>
    <row r="1" spans="1:39" ht="27.75" customHeight="1" x14ac:dyDescent="0.25">
      <c r="A1" s="9" t="s">
        <v>107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39" ht="21.75" customHeight="1" x14ac:dyDescent="0.25">
      <c r="A2" s="42" t="s">
        <v>108</v>
      </c>
      <c r="B2" s="42" t="s">
        <v>109</v>
      </c>
      <c r="C2" s="6" t="s">
        <v>110</v>
      </c>
      <c r="D2" s="6"/>
      <c r="E2" s="6"/>
      <c r="F2" s="6"/>
      <c r="G2" s="6"/>
      <c r="H2" s="6"/>
      <c r="I2" s="6"/>
      <c r="J2" s="5" t="s">
        <v>111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4" t="s">
        <v>112</v>
      </c>
      <c r="X2" s="4"/>
      <c r="Y2" s="4"/>
      <c r="Z2" s="4"/>
      <c r="AA2" s="4"/>
      <c r="AB2" s="4"/>
      <c r="AC2" s="4"/>
      <c r="AD2" s="4"/>
      <c r="AE2" s="4"/>
      <c r="AF2" s="43"/>
      <c r="AG2" s="3"/>
      <c r="AH2" s="3"/>
      <c r="AI2" s="3"/>
      <c r="AJ2" s="3"/>
    </row>
    <row r="3" spans="1:39" ht="36" customHeight="1" x14ac:dyDescent="0.25">
      <c r="A3" s="44" t="s">
        <v>56</v>
      </c>
      <c r="B3" s="44" t="s">
        <v>113</v>
      </c>
      <c r="C3" s="45" t="s">
        <v>114</v>
      </c>
      <c r="D3" s="45" t="s">
        <v>115</v>
      </c>
      <c r="E3" s="45" t="s">
        <v>116</v>
      </c>
      <c r="F3" s="45" t="s">
        <v>117</v>
      </c>
      <c r="G3" s="45" t="s">
        <v>118</v>
      </c>
      <c r="H3" s="45" t="s">
        <v>119</v>
      </c>
      <c r="I3" s="45" t="s">
        <v>120</v>
      </c>
      <c r="J3" s="46" t="s">
        <v>121</v>
      </c>
      <c r="K3" s="46" t="s">
        <v>122</v>
      </c>
      <c r="L3" s="46" t="s">
        <v>123</v>
      </c>
      <c r="M3" s="46" t="s">
        <v>124</v>
      </c>
      <c r="N3" s="46" t="s">
        <v>125</v>
      </c>
      <c r="O3" s="46" t="s">
        <v>126</v>
      </c>
      <c r="P3" s="46" t="s">
        <v>127</v>
      </c>
      <c r="Q3" s="46" t="s">
        <v>128</v>
      </c>
      <c r="R3" s="46" t="s">
        <v>129</v>
      </c>
      <c r="S3" s="46" t="s">
        <v>130</v>
      </c>
      <c r="T3" s="46" t="s">
        <v>131</v>
      </c>
      <c r="U3" s="46" t="s">
        <v>132</v>
      </c>
      <c r="V3" s="46" t="s">
        <v>133</v>
      </c>
      <c r="W3" s="47" t="s">
        <v>134</v>
      </c>
      <c r="X3" s="47" t="s">
        <v>135</v>
      </c>
      <c r="Y3" s="47" t="s">
        <v>136</v>
      </c>
      <c r="Z3" s="48" t="s">
        <v>137</v>
      </c>
      <c r="AA3" s="47" t="s">
        <v>138</v>
      </c>
      <c r="AB3" s="47" t="s">
        <v>139</v>
      </c>
      <c r="AC3" s="47" t="s">
        <v>140</v>
      </c>
      <c r="AD3" s="47" t="s">
        <v>141</v>
      </c>
      <c r="AE3" s="47" t="s">
        <v>142</v>
      </c>
      <c r="AF3" s="49" t="s">
        <v>143</v>
      </c>
      <c r="AG3" s="50" t="s">
        <v>144</v>
      </c>
      <c r="AH3" s="50" t="s">
        <v>145</v>
      </c>
      <c r="AI3" s="50" t="s">
        <v>146</v>
      </c>
      <c r="AJ3" s="50" t="s">
        <v>147</v>
      </c>
    </row>
    <row r="4" spans="1:39" ht="15.75" customHeight="1" x14ac:dyDescent="0.25">
      <c r="A4" s="64">
        <v>46148</v>
      </c>
      <c r="B4" s="65">
        <v>1394</v>
      </c>
      <c r="C4" s="66">
        <v>0</v>
      </c>
      <c r="D4" s="66">
        <v>1004100985</v>
      </c>
      <c r="E4" s="66">
        <v>169968000</v>
      </c>
      <c r="F4" s="66">
        <v>154116000</v>
      </c>
      <c r="G4" s="66">
        <v>5631000</v>
      </c>
      <c r="H4" s="66">
        <v>2000000</v>
      </c>
      <c r="I4" s="66">
        <v>1157142384</v>
      </c>
      <c r="J4" s="66">
        <v>164021678</v>
      </c>
      <c r="K4" s="66">
        <v>0</v>
      </c>
      <c r="L4" s="66">
        <v>8902350</v>
      </c>
      <c r="M4" s="66">
        <v>0</v>
      </c>
      <c r="N4" s="66">
        <v>0</v>
      </c>
      <c r="O4" s="66">
        <v>0</v>
      </c>
      <c r="P4" s="66">
        <f>8169453+7200000</f>
        <v>15369453</v>
      </c>
      <c r="Q4" s="66">
        <v>196498507</v>
      </c>
      <c r="R4" s="66">
        <v>0</v>
      </c>
      <c r="S4" s="66">
        <v>0</v>
      </c>
      <c r="T4" s="66">
        <v>0</v>
      </c>
      <c r="U4" s="66">
        <v>180000000</v>
      </c>
      <c r="V4" s="66">
        <v>0</v>
      </c>
      <c r="W4" s="66">
        <v>0</v>
      </c>
      <c r="X4" s="66">
        <v>1105183352</v>
      </c>
      <c r="Y4" s="66">
        <v>3123849992</v>
      </c>
      <c r="Z4" s="66">
        <v>202734656.16865012</v>
      </c>
      <c r="AA4" s="66">
        <v>7025155800</v>
      </c>
      <c r="AB4" s="67">
        <v>1196248</v>
      </c>
      <c r="AC4" s="66">
        <v>9000000</v>
      </c>
      <c r="AD4" s="66">
        <v>141199.46727549468</v>
      </c>
      <c r="AE4" s="66">
        <f>160000+120000</f>
        <v>280000</v>
      </c>
      <c r="AF4" s="66">
        <v>12797567.936000001</v>
      </c>
      <c r="AG4" s="66">
        <v>5582721359</v>
      </c>
      <c r="AH4" s="66">
        <v>2680599046.96</v>
      </c>
      <c r="AI4" s="66">
        <v>8928795828</v>
      </c>
      <c r="AJ4" s="66">
        <v>67392000</v>
      </c>
      <c r="AK4" s="30"/>
    </row>
    <row r="5" spans="1:39" ht="15.75" customHeight="1" x14ac:dyDescent="0.25">
      <c r="A5" s="27"/>
      <c r="B5" s="37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51"/>
      <c r="AC5" s="51"/>
      <c r="AD5" s="51"/>
      <c r="AE5" s="51"/>
      <c r="AF5" s="51"/>
      <c r="AG5" s="30"/>
      <c r="AH5" s="30"/>
      <c r="AI5" s="30"/>
      <c r="AJ5" s="30"/>
      <c r="AK5" s="30"/>
    </row>
    <row r="6" spans="1:39" ht="15.75" customHeight="1" x14ac:dyDescent="0.25">
      <c r="A6" s="27"/>
      <c r="B6" s="37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51"/>
      <c r="AC6" s="51"/>
      <c r="AD6" s="51"/>
      <c r="AE6" s="51"/>
      <c r="AF6" s="51"/>
      <c r="AG6" s="30"/>
      <c r="AH6" s="30"/>
      <c r="AI6" s="30"/>
      <c r="AJ6" s="30"/>
      <c r="AK6" s="30"/>
    </row>
    <row r="7" spans="1:39" ht="15.75" customHeight="1" x14ac:dyDescent="0.25">
      <c r="A7" s="27"/>
      <c r="B7" s="37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51"/>
      <c r="AC7" s="51"/>
      <c r="AD7" s="51"/>
      <c r="AE7" s="51"/>
      <c r="AF7" s="51"/>
      <c r="AG7" s="30"/>
      <c r="AH7" s="30"/>
      <c r="AI7" s="30"/>
      <c r="AJ7" s="30"/>
      <c r="AK7" s="30"/>
    </row>
    <row r="8" spans="1:39" ht="15.75" customHeight="1" x14ac:dyDescent="0.25">
      <c r="A8" s="27"/>
      <c r="B8" s="37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51"/>
      <c r="AC8" s="51"/>
      <c r="AD8" s="51"/>
      <c r="AE8" s="51"/>
      <c r="AF8" s="51"/>
      <c r="AG8" s="30"/>
      <c r="AH8" s="30"/>
      <c r="AI8" s="30"/>
      <c r="AJ8" s="30"/>
      <c r="AK8" s="30"/>
    </row>
    <row r="9" spans="1:39" ht="18" customHeight="1" x14ac:dyDescent="0.25">
      <c r="A9" s="52" t="s">
        <v>148</v>
      </c>
      <c r="B9" s="53" t="s">
        <v>149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</row>
    <row r="10" spans="1:39" ht="15.75" customHeight="1" x14ac:dyDescent="0.25">
      <c r="A10" s="2" t="s">
        <v>150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</sheetData>
  <mergeCells count="6">
    <mergeCell ref="A10:AJ10"/>
    <mergeCell ref="A1:Z1"/>
    <mergeCell ref="C2:I2"/>
    <mergeCell ref="J2:V2"/>
    <mergeCell ref="W2:AE2"/>
    <mergeCell ref="AG2:A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78"/>
  <sheetViews>
    <sheetView showGridLines="0" tabSelected="1" zoomScaleNormal="100" workbookViewId="0">
      <pane ySplit="3" topLeftCell="A179" activePane="bottomLeft" state="frozen"/>
      <selection pane="bottomLeft" activeCell="O189" sqref="O189"/>
    </sheetView>
  </sheetViews>
  <sheetFormatPr baseColWidth="10" defaultColWidth="8.7109375" defaultRowHeight="15" x14ac:dyDescent="0.25"/>
  <cols>
    <col min="1" max="1" width="32" customWidth="1"/>
    <col min="2" max="2" width="14" customWidth="1"/>
    <col min="3" max="3" width="16" customWidth="1"/>
    <col min="4" max="5" width="18" customWidth="1"/>
    <col min="6" max="6" width="20" customWidth="1"/>
    <col min="7" max="7" width="24" customWidth="1"/>
  </cols>
  <sheetData>
    <row r="1" spans="1:7" ht="27.75" customHeight="1" x14ac:dyDescent="0.25">
      <c r="A1" s="9" t="s">
        <v>151</v>
      </c>
      <c r="B1" s="9"/>
      <c r="C1" s="9"/>
      <c r="D1" s="9"/>
      <c r="E1" s="9"/>
      <c r="F1" s="9"/>
      <c r="G1" s="9"/>
    </row>
    <row r="2" spans="1:7" ht="15.75" customHeight="1" x14ac:dyDescent="0.25">
      <c r="A2" s="1" t="s">
        <v>152</v>
      </c>
      <c r="B2" s="1"/>
      <c r="C2" s="1"/>
      <c r="D2" s="1"/>
      <c r="E2" s="1"/>
      <c r="F2" s="1"/>
      <c r="G2" s="1"/>
    </row>
    <row r="3" spans="1:7" ht="30" customHeight="1" x14ac:dyDescent="0.25">
      <c r="A3" s="16" t="s">
        <v>153</v>
      </c>
      <c r="B3" s="16" t="s">
        <v>154</v>
      </c>
      <c r="C3" s="16" t="s">
        <v>70</v>
      </c>
      <c r="D3" s="16" t="s">
        <v>155</v>
      </c>
      <c r="E3" s="16" t="s">
        <v>156</v>
      </c>
      <c r="F3" s="16" t="s">
        <v>157</v>
      </c>
      <c r="G3" s="16" t="s">
        <v>158</v>
      </c>
    </row>
    <row r="4" spans="1:7" ht="15.75" customHeight="1" x14ac:dyDescent="0.25">
      <c r="A4" t="s">
        <v>180</v>
      </c>
      <c r="B4">
        <v>2219061</v>
      </c>
      <c r="C4">
        <v>3400000</v>
      </c>
      <c r="D4" s="27">
        <v>46149</v>
      </c>
      <c r="E4" s="68">
        <v>46127</v>
      </c>
      <c r="F4" s="56">
        <f>+E4+2</f>
        <v>46129</v>
      </c>
      <c r="G4" s="29"/>
    </row>
    <row r="5" spans="1:7" ht="15.75" customHeight="1" x14ac:dyDescent="0.25">
      <c r="A5" t="s">
        <v>185</v>
      </c>
      <c r="B5">
        <v>13111470</v>
      </c>
      <c r="C5">
        <v>3224950</v>
      </c>
      <c r="D5" s="27">
        <v>46150</v>
      </c>
      <c r="E5" s="68">
        <v>46132</v>
      </c>
      <c r="F5" s="56">
        <f t="shared" ref="F5:F68" si="0">+E5+2</f>
        <v>46134</v>
      </c>
      <c r="G5" s="29"/>
    </row>
    <row r="6" spans="1:7" ht="15.75" customHeight="1" x14ac:dyDescent="0.25">
      <c r="A6" t="s">
        <v>190</v>
      </c>
      <c r="B6">
        <v>13377997</v>
      </c>
      <c r="C6">
        <v>3100000</v>
      </c>
      <c r="D6" s="27">
        <v>46151</v>
      </c>
      <c r="E6" s="68">
        <v>46147</v>
      </c>
      <c r="F6" s="56">
        <f t="shared" si="0"/>
        <v>46149</v>
      </c>
      <c r="G6" s="29"/>
    </row>
    <row r="7" spans="1:7" ht="15.75" customHeight="1" x14ac:dyDescent="0.25">
      <c r="A7" t="s">
        <v>185</v>
      </c>
      <c r="B7">
        <v>12924495</v>
      </c>
      <c r="C7">
        <v>4981600</v>
      </c>
      <c r="D7" s="27">
        <v>46152</v>
      </c>
      <c r="E7" s="68">
        <v>46147</v>
      </c>
      <c r="F7" s="56">
        <f t="shared" si="0"/>
        <v>46149</v>
      </c>
      <c r="G7" s="29"/>
    </row>
    <row r="8" spans="1:7" ht="15.75" customHeight="1" x14ac:dyDescent="0.25">
      <c r="A8" t="s">
        <v>196</v>
      </c>
      <c r="B8">
        <v>78055845</v>
      </c>
      <c r="C8">
        <v>600000</v>
      </c>
      <c r="D8" s="27">
        <v>46153</v>
      </c>
      <c r="E8" s="68">
        <v>46147</v>
      </c>
      <c r="F8" s="56">
        <f t="shared" si="0"/>
        <v>46149</v>
      </c>
      <c r="G8" s="29"/>
    </row>
    <row r="9" spans="1:7" ht="15.75" customHeight="1" x14ac:dyDescent="0.25">
      <c r="A9" t="s">
        <v>200</v>
      </c>
      <c r="B9">
        <v>66003981</v>
      </c>
      <c r="C9">
        <v>4000000</v>
      </c>
      <c r="D9" s="27">
        <v>46154</v>
      </c>
      <c r="E9" s="68">
        <v>46147</v>
      </c>
      <c r="F9" s="56">
        <f t="shared" si="0"/>
        <v>46149</v>
      </c>
      <c r="G9" s="29"/>
    </row>
    <row r="10" spans="1:7" ht="15.75" customHeight="1" x14ac:dyDescent="0.25">
      <c r="A10" t="s">
        <v>196</v>
      </c>
      <c r="B10">
        <v>78055854</v>
      </c>
      <c r="C10">
        <v>1235000</v>
      </c>
      <c r="D10" s="27">
        <v>46155</v>
      </c>
      <c r="E10" s="68">
        <v>46147</v>
      </c>
      <c r="F10" s="56">
        <f t="shared" si="0"/>
        <v>46149</v>
      </c>
      <c r="G10" s="29"/>
    </row>
    <row r="11" spans="1:7" ht="15.75" customHeight="1" x14ac:dyDescent="0.25">
      <c r="A11" t="s">
        <v>196</v>
      </c>
      <c r="B11">
        <v>78055860</v>
      </c>
      <c r="C11">
        <v>1325000</v>
      </c>
      <c r="D11" s="27">
        <v>46156</v>
      </c>
      <c r="E11" s="68">
        <v>46147</v>
      </c>
      <c r="F11" s="56">
        <f t="shared" si="0"/>
        <v>46149</v>
      </c>
      <c r="G11" s="29"/>
    </row>
    <row r="12" spans="1:7" ht="15.75" customHeight="1" x14ac:dyDescent="0.25">
      <c r="A12" t="s">
        <v>203</v>
      </c>
      <c r="B12">
        <v>9583069</v>
      </c>
      <c r="C12">
        <v>12938400</v>
      </c>
      <c r="D12" s="27">
        <v>46157</v>
      </c>
      <c r="E12" s="68">
        <v>46147</v>
      </c>
      <c r="F12" s="56">
        <f t="shared" si="0"/>
        <v>46149</v>
      </c>
      <c r="G12" s="29"/>
    </row>
    <row r="13" spans="1:7" ht="15.75" customHeight="1" x14ac:dyDescent="0.25">
      <c r="A13" t="s">
        <v>205</v>
      </c>
      <c r="B13">
        <v>3940</v>
      </c>
      <c r="C13">
        <v>115144.56</v>
      </c>
      <c r="D13" s="27">
        <v>46158</v>
      </c>
      <c r="E13" s="68">
        <v>46147</v>
      </c>
      <c r="F13" s="56">
        <f t="shared" si="0"/>
        <v>46149</v>
      </c>
      <c r="G13" s="29"/>
    </row>
    <row r="14" spans="1:7" ht="15.75" customHeight="1" x14ac:dyDescent="0.25">
      <c r="A14" t="s">
        <v>205</v>
      </c>
      <c r="B14">
        <v>10333097</v>
      </c>
      <c r="C14">
        <v>509557.57</v>
      </c>
      <c r="D14" s="27">
        <v>46159</v>
      </c>
      <c r="E14" s="68">
        <v>46147</v>
      </c>
      <c r="F14" s="56">
        <f t="shared" si="0"/>
        <v>46149</v>
      </c>
      <c r="G14" s="29"/>
    </row>
    <row r="15" spans="1:7" ht="15.75" customHeight="1" x14ac:dyDescent="0.25">
      <c r="A15" t="s">
        <v>190</v>
      </c>
      <c r="B15">
        <v>13377998</v>
      </c>
      <c r="C15">
        <v>3100000</v>
      </c>
      <c r="D15" s="27">
        <v>46160</v>
      </c>
      <c r="E15" s="68">
        <v>46148</v>
      </c>
      <c r="F15" s="56">
        <f t="shared" si="0"/>
        <v>46150</v>
      </c>
      <c r="G15" s="29"/>
    </row>
    <row r="16" spans="1:7" ht="15.75" customHeight="1" x14ac:dyDescent="0.25">
      <c r="A16" t="s">
        <v>190</v>
      </c>
      <c r="B16">
        <v>13378000</v>
      </c>
      <c r="C16">
        <v>3100000</v>
      </c>
      <c r="D16" s="27">
        <v>46161</v>
      </c>
      <c r="E16" s="68">
        <v>46148</v>
      </c>
      <c r="F16" s="56">
        <f t="shared" si="0"/>
        <v>46150</v>
      </c>
      <c r="G16" s="29"/>
    </row>
    <row r="17" spans="1:7" ht="15.75" customHeight="1" x14ac:dyDescent="0.25">
      <c r="A17" t="s">
        <v>210</v>
      </c>
      <c r="B17">
        <v>1142</v>
      </c>
      <c r="C17">
        <v>24001062.5</v>
      </c>
      <c r="D17" s="27">
        <v>46162</v>
      </c>
      <c r="E17" s="68">
        <v>46148</v>
      </c>
      <c r="F17" s="56">
        <f t="shared" si="0"/>
        <v>46150</v>
      </c>
      <c r="G17" s="29"/>
    </row>
    <row r="18" spans="1:7" ht="15.75" customHeight="1" x14ac:dyDescent="0.25">
      <c r="A18" t="s">
        <v>213</v>
      </c>
      <c r="B18">
        <v>4444</v>
      </c>
      <c r="C18">
        <v>1200000</v>
      </c>
      <c r="D18" s="27">
        <v>46163</v>
      </c>
      <c r="E18" s="68">
        <v>46148</v>
      </c>
      <c r="F18" s="56">
        <f t="shared" si="0"/>
        <v>46150</v>
      </c>
      <c r="G18" s="29"/>
    </row>
    <row r="19" spans="1:7" ht="15.75" customHeight="1" x14ac:dyDescent="0.25">
      <c r="A19" t="s">
        <v>215</v>
      </c>
      <c r="B19">
        <v>4945</v>
      </c>
      <c r="C19">
        <v>1553004</v>
      </c>
      <c r="D19" s="27">
        <v>46164</v>
      </c>
      <c r="E19" s="68">
        <v>46148</v>
      </c>
      <c r="F19" s="56">
        <f t="shared" si="0"/>
        <v>46150</v>
      </c>
      <c r="G19" s="29"/>
    </row>
    <row r="20" spans="1:7" ht="15.75" customHeight="1" x14ac:dyDescent="0.25">
      <c r="A20" t="s">
        <v>218</v>
      </c>
      <c r="B20">
        <v>90018009</v>
      </c>
      <c r="C20">
        <v>17271355</v>
      </c>
      <c r="D20" s="27">
        <v>46165</v>
      </c>
      <c r="E20" s="68">
        <v>46148</v>
      </c>
      <c r="F20" s="56">
        <f t="shared" si="0"/>
        <v>46150</v>
      </c>
      <c r="G20" s="29"/>
    </row>
    <row r="21" spans="1:7" ht="15.75" customHeight="1" x14ac:dyDescent="0.25">
      <c r="A21" t="s">
        <v>205</v>
      </c>
      <c r="B21">
        <v>29065549</v>
      </c>
      <c r="C21">
        <v>3281631</v>
      </c>
      <c r="D21" s="27">
        <v>46166</v>
      </c>
      <c r="E21" s="68">
        <v>46148</v>
      </c>
      <c r="F21" s="56">
        <f t="shared" si="0"/>
        <v>46150</v>
      </c>
      <c r="G21" s="29"/>
    </row>
    <row r="22" spans="1:7" ht="15.75" customHeight="1" x14ac:dyDescent="0.25">
      <c r="A22" t="s">
        <v>223</v>
      </c>
      <c r="B22">
        <v>29133198</v>
      </c>
      <c r="C22">
        <v>6539100</v>
      </c>
      <c r="D22" s="27">
        <v>46167</v>
      </c>
      <c r="E22" s="68">
        <v>46148</v>
      </c>
      <c r="F22" s="56">
        <f t="shared" si="0"/>
        <v>46150</v>
      </c>
      <c r="G22" s="29"/>
    </row>
    <row r="23" spans="1:7" ht="15.75" customHeight="1" x14ac:dyDescent="0.25">
      <c r="A23" t="s">
        <v>190</v>
      </c>
      <c r="B23">
        <v>13377999</v>
      </c>
      <c r="C23">
        <v>3100000</v>
      </c>
      <c r="D23" s="27">
        <v>46168</v>
      </c>
      <c r="E23" s="68">
        <v>46149</v>
      </c>
      <c r="F23" s="56">
        <f t="shared" si="0"/>
        <v>46151</v>
      </c>
      <c r="G23" s="29"/>
    </row>
    <row r="24" spans="1:7" ht="15.75" customHeight="1" x14ac:dyDescent="0.25">
      <c r="A24" t="s">
        <v>196</v>
      </c>
      <c r="B24">
        <v>78055846</v>
      </c>
      <c r="C24">
        <v>600000</v>
      </c>
      <c r="D24" s="27">
        <v>46169</v>
      </c>
      <c r="E24" s="68">
        <v>46149</v>
      </c>
      <c r="F24" s="56">
        <f t="shared" si="0"/>
        <v>46151</v>
      </c>
      <c r="G24" s="29"/>
    </row>
    <row r="25" spans="1:7" ht="15.75" customHeight="1" x14ac:dyDescent="0.25">
      <c r="A25" t="s">
        <v>196</v>
      </c>
      <c r="B25">
        <v>78055855</v>
      </c>
      <c r="C25">
        <v>1235000</v>
      </c>
      <c r="D25" s="27">
        <v>46170</v>
      </c>
      <c r="E25" s="68">
        <v>46149</v>
      </c>
      <c r="F25" s="56">
        <f t="shared" si="0"/>
        <v>46151</v>
      </c>
      <c r="G25" s="29"/>
    </row>
    <row r="26" spans="1:7" ht="15.75" customHeight="1" x14ac:dyDescent="0.25">
      <c r="A26" t="s">
        <v>196</v>
      </c>
      <c r="B26">
        <v>78055861</v>
      </c>
      <c r="C26">
        <v>1325000</v>
      </c>
      <c r="D26" s="27">
        <v>46171</v>
      </c>
      <c r="E26" s="68">
        <v>46149</v>
      </c>
      <c r="F26" s="56">
        <f t="shared" si="0"/>
        <v>46151</v>
      </c>
      <c r="G26" s="29"/>
    </row>
    <row r="27" spans="1:7" ht="15.75" customHeight="1" x14ac:dyDescent="0.25">
      <c r="A27" t="s">
        <v>205</v>
      </c>
      <c r="B27">
        <v>29050276</v>
      </c>
      <c r="C27">
        <v>9811200</v>
      </c>
      <c r="D27" s="27">
        <v>46172</v>
      </c>
      <c r="E27" s="68">
        <v>46149</v>
      </c>
      <c r="F27" s="56">
        <f t="shared" si="0"/>
        <v>46151</v>
      </c>
      <c r="G27" s="29"/>
    </row>
    <row r="28" spans="1:7" ht="15.75" customHeight="1" x14ac:dyDescent="0.25">
      <c r="A28" t="s">
        <v>180</v>
      </c>
      <c r="B28">
        <v>65636545</v>
      </c>
      <c r="C28">
        <v>2800000</v>
      </c>
      <c r="D28" s="27">
        <v>46173</v>
      </c>
      <c r="E28" s="68">
        <v>46149</v>
      </c>
      <c r="F28" s="56">
        <f t="shared" si="0"/>
        <v>46151</v>
      </c>
      <c r="G28" s="29"/>
    </row>
    <row r="29" spans="1:7" ht="15.75" customHeight="1" x14ac:dyDescent="0.25">
      <c r="A29" t="s">
        <v>213</v>
      </c>
      <c r="B29">
        <v>4510</v>
      </c>
      <c r="C29">
        <v>1200000</v>
      </c>
      <c r="D29" s="27">
        <v>46174</v>
      </c>
      <c r="E29" s="68">
        <v>46149</v>
      </c>
      <c r="F29" s="56">
        <f t="shared" si="0"/>
        <v>46151</v>
      </c>
      <c r="G29" s="29"/>
    </row>
    <row r="30" spans="1:7" ht="15.75" customHeight="1" x14ac:dyDescent="0.25">
      <c r="A30" t="s">
        <v>196</v>
      </c>
      <c r="B30">
        <v>78055847</v>
      </c>
      <c r="C30">
        <v>589500</v>
      </c>
      <c r="D30" s="27">
        <v>46175</v>
      </c>
      <c r="E30" s="68">
        <v>46150</v>
      </c>
      <c r="F30" s="56">
        <f t="shared" si="0"/>
        <v>46152</v>
      </c>
      <c r="G30" s="29"/>
    </row>
    <row r="31" spans="1:7" ht="15.75" customHeight="1" x14ac:dyDescent="0.25">
      <c r="A31" t="s">
        <v>213</v>
      </c>
      <c r="B31">
        <v>4445</v>
      </c>
      <c r="C31">
        <v>1200000</v>
      </c>
      <c r="D31" s="27">
        <v>46176</v>
      </c>
      <c r="E31" s="68">
        <v>46150</v>
      </c>
      <c r="F31" s="56">
        <f t="shared" si="0"/>
        <v>46152</v>
      </c>
      <c r="G31" s="29"/>
    </row>
    <row r="32" spans="1:7" ht="15.75" customHeight="1" x14ac:dyDescent="0.25">
      <c r="A32" t="s">
        <v>227</v>
      </c>
      <c r="B32">
        <v>6753</v>
      </c>
      <c r="C32">
        <v>19891200</v>
      </c>
      <c r="D32" s="27">
        <v>46177</v>
      </c>
      <c r="E32" s="68">
        <v>46150</v>
      </c>
      <c r="F32" s="56">
        <f t="shared" si="0"/>
        <v>46152</v>
      </c>
      <c r="G32" s="29"/>
    </row>
    <row r="33" spans="1:7" ht="15.75" customHeight="1" x14ac:dyDescent="0.25">
      <c r="A33" t="s">
        <v>210</v>
      </c>
      <c r="B33">
        <v>1198</v>
      </c>
      <c r="C33">
        <v>9846730</v>
      </c>
      <c r="D33" s="27">
        <v>46178</v>
      </c>
      <c r="E33" s="68">
        <v>46150</v>
      </c>
      <c r="F33" s="56">
        <f t="shared" si="0"/>
        <v>46152</v>
      </c>
      <c r="G33" s="29"/>
    </row>
    <row r="34" spans="1:7" ht="15.75" customHeight="1" x14ac:dyDescent="0.25">
      <c r="A34" t="s">
        <v>203</v>
      </c>
      <c r="B34">
        <v>9583048</v>
      </c>
      <c r="C34">
        <v>12134230</v>
      </c>
      <c r="D34" s="27">
        <v>46179</v>
      </c>
      <c r="E34" s="68">
        <v>46150</v>
      </c>
      <c r="F34" s="56">
        <f t="shared" si="0"/>
        <v>46152</v>
      </c>
      <c r="G34" s="29"/>
    </row>
    <row r="35" spans="1:7" ht="15.75" customHeight="1" x14ac:dyDescent="0.25">
      <c r="A35" t="s">
        <v>196</v>
      </c>
      <c r="B35">
        <v>78055856</v>
      </c>
      <c r="C35">
        <v>1235000</v>
      </c>
      <c r="D35" s="27">
        <v>46180</v>
      </c>
      <c r="E35" s="68">
        <v>46150</v>
      </c>
      <c r="F35" s="56">
        <f t="shared" si="0"/>
        <v>46152</v>
      </c>
      <c r="G35" s="29"/>
    </row>
    <row r="36" spans="1:7" ht="15.75" customHeight="1" x14ac:dyDescent="0.25">
      <c r="A36" t="s">
        <v>196</v>
      </c>
      <c r="B36">
        <v>78055862</v>
      </c>
      <c r="C36">
        <v>1325000</v>
      </c>
      <c r="D36" s="27">
        <v>46181</v>
      </c>
      <c r="E36" s="68">
        <v>46150</v>
      </c>
      <c r="F36" s="56">
        <f t="shared" si="0"/>
        <v>46152</v>
      </c>
      <c r="G36" s="29"/>
    </row>
    <row r="37" spans="1:7" ht="15.75" customHeight="1" x14ac:dyDescent="0.25">
      <c r="A37" t="s">
        <v>229</v>
      </c>
      <c r="B37">
        <v>90000109</v>
      </c>
      <c r="C37">
        <v>2000000</v>
      </c>
      <c r="D37" s="27">
        <v>46182</v>
      </c>
      <c r="E37" s="68">
        <v>46150</v>
      </c>
      <c r="F37" s="56">
        <f t="shared" si="0"/>
        <v>46152</v>
      </c>
      <c r="G37" s="29"/>
    </row>
    <row r="38" spans="1:7" ht="15.75" customHeight="1" x14ac:dyDescent="0.25">
      <c r="A38" t="s">
        <v>213</v>
      </c>
      <c r="B38">
        <v>4511</v>
      </c>
      <c r="C38">
        <v>966000</v>
      </c>
      <c r="D38" s="27">
        <v>46183</v>
      </c>
      <c r="E38" s="68">
        <v>46150</v>
      </c>
      <c r="F38" s="56">
        <f t="shared" si="0"/>
        <v>46152</v>
      </c>
      <c r="G38" s="29"/>
    </row>
    <row r="39" spans="1:7" ht="15.75" customHeight="1" x14ac:dyDescent="0.25">
      <c r="A39" t="s">
        <v>213</v>
      </c>
      <c r="B39">
        <v>4536</v>
      </c>
      <c r="C39">
        <v>930000</v>
      </c>
      <c r="D39" s="27">
        <v>46184</v>
      </c>
      <c r="E39" s="68">
        <v>46150</v>
      </c>
      <c r="F39" s="56">
        <f t="shared" si="0"/>
        <v>46152</v>
      </c>
      <c r="G39" s="29"/>
    </row>
    <row r="40" spans="1:7" ht="15.75" customHeight="1" x14ac:dyDescent="0.25">
      <c r="A40" t="s">
        <v>196</v>
      </c>
      <c r="B40">
        <v>78055879</v>
      </c>
      <c r="C40">
        <v>500000</v>
      </c>
      <c r="D40" s="27">
        <v>46185</v>
      </c>
      <c r="E40" s="68">
        <v>46150</v>
      </c>
      <c r="F40" s="56">
        <f t="shared" si="0"/>
        <v>46152</v>
      </c>
      <c r="G40" s="29"/>
    </row>
    <row r="41" spans="1:7" ht="15.75" customHeight="1" x14ac:dyDescent="0.25">
      <c r="A41" t="s">
        <v>231</v>
      </c>
      <c r="B41">
        <v>51747693</v>
      </c>
      <c r="C41">
        <v>7588800</v>
      </c>
      <c r="D41" s="27">
        <v>46186</v>
      </c>
      <c r="E41" s="68">
        <v>46150</v>
      </c>
      <c r="F41" s="56">
        <f t="shared" si="0"/>
        <v>46152</v>
      </c>
      <c r="G41" s="29"/>
    </row>
    <row r="42" spans="1:7" ht="15.75" customHeight="1" x14ac:dyDescent="0.25">
      <c r="A42" t="s">
        <v>190</v>
      </c>
      <c r="B42">
        <v>13378001</v>
      </c>
      <c r="C42">
        <v>3100000</v>
      </c>
      <c r="D42" s="27">
        <v>46187</v>
      </c>
      <c r="E42" s="68">
        <v>46153</v>
      </c>
      <c r="F42" s="56">
        <f t="shared" si="0"/>
        <v>46155</v>
      </c>
      <c r="G42" s="29"/>
    </row>
    <row r="43" spans="1:7" ht="15.75" customHeight="1" x14ac:dyDescent="0.25">
      <c r="A43" t="s">
        <v>190</v>
      </c>
      <c r="B43">
        <v>13378002</v>
      </c>
      <c r="C43">
        <v>3100000</v>
      </c>
      <c r="D43" s="27">
        <v>46188</v>
      </c>
      <c r="E43" s="68">
        <v>46153</v>
      </c>
      <c r="F43" s="56">
        <f t="shared" si="0"/>
        <v>46155</v>
      </c>
      <c r="G43" s="29"/>
    </row>
    <row r="44" spans="1:7" ht="15.75" customHeight="1" x14ac:dyDescent="0.25">
      <c r="A44" t="s">
        <v>190</v>
      </c>
      <c r="B44">
        <v>13378003</v>
      </c>
      <c r="C44">
        <v>3100000</v>
      </c>
      <c r="D44" s="27">
        <v>46189</v>
      </c>
      <c r="E44" s="68">
        <v>46153</v>
      </c>
      <c r="F44" s="56">
        <f t="shared" si="0"/>
        <v>46155</v>
      </c>
      <c r="G44" s="29"/>
    </row>
    <row r="45" spans="1:7" ht="15.75" customHeight="1" x14ac:dyDescent="0.25">
      <c r="A45" t="s">
        <v>234</v>
      </c>
      <c r="B45">
        <v>65991486</v>
      </c>
      <c r="C45">
        <v>10000000</v>
      </c>
      <c r="D45" s="27">
        <v>46190</v>
      </c>
      <c r="E45" s="68">
        <v>46153</v>
      </c>
      <c r="F45" s="56">
        <f t="shared" si="0"/>
        <v>46155</v>
      </c>
      <c r="G45" s="29"/>
    </row>
    <row r="46" spans="1:7" ht="15.75" customHeight="1" x14ac:dyDescent="0.25">
      <c r="A46" t="s">
        <v>234</v>
      </c>
      <c r="B46">
        <v>65991495</v>
      </c>
      <c r="C46">
        <v>10000000</v>
      </c>
      <c r="D46" s="27">
        <v>46191</v>
      </c>
      <c r="E46" s="68">
        <v>46153</v>
      </c>
      <c r="F46" s="56">
        <f t="shared" si="0"/>
        <v>46155</v>
      </c>
      <c r="G46" s="29"/>
    </row>
    <row r="47" spans="1:7" ht="15.75" customHeight="1" x14ac:dyDescent="0.25">
      <c r="A47" t="s">
        <v>234</v>
      </c>
      <c r="B47">
        <v>65991500</v>
      </c>
      <c r="C47">
        <v>10000000</v>
      </c>
      <c r="D47" s="27">
        <v>46192</v>
      </c>
      <c r="E47" s="68">
        <v>46153</v>
      </c>
      <c r="F47" s="56">
        <f t="shared" si="0"/>
        <v>46155</v>
      </c>
      <c r="G47" s="29"/>
    </row>
    <row r="48" spans="1:7" ht="15.75" customHeight="1" x14ac:dyDescent="0.25">
      <c r="A48" t="s">
        <v>234</v>
      </c>
      <c r="B48">
        <v>65991510</v>
      </c>
      <c r="C48">
        <v>10000000</v>
      </c>
      <c r="D48" s="27">
        <v>46193</v>
      </c>
      <c r="E48" s="68">
        <v>46153</v>
      </c>
      <c r="F48" s="56">
        <f t="shared" si="0"/>
        <v>46155</v>
      </c>
      <c r="G48" s="29"/>
    </row>
    <row r="49" spans="1:7" ht="15.75" customHeight="1" x14ac:dyDescent="0.25">
      <c r="A49" t="s">
        <v>234</v>
      </c>
      <c r="B49">
        <v>65991522</v>
      </c>
      <c r="C49">
        <v>9035234.8800000008</v>
      </c>
      <c r="D49" s="27">
        <v>46194</v>
      </c>
      <c r="E49" s="68">
        <v>46153</v>
      </c>
      <c r="F49" s="56">
        <f t="shared" si="0"/>
        <v>46155</v>
      </c>
      <c r="G49" s="29"/>
    </row>
    <row r="50" spans="1:7" ht="15.75" customHeight="1" x14ac:dyDescent="0.25">
      <c r="A50" t="s">
        <v>227</v>
      </c>
      <c r="B50">
        <v>6747</v>
      </c>
      <c r="C50">
        <v>11370880</v>
      </c>
      <c r="D50" s="27">
        <v>46195</v>
      </c>
      <c r="E50" s="68">
        <v>46153</v>
      </c>
      <c r="F50" s="56">
        <f t="shared" si="0"/>
        <v>46155</v>
      </c>
      <c r="G50" s="29"/>
    </row>
    <row r="51" spans="1:7" ht="15.75" customHeight="1" x14ac:dyDescent="0.25">
      <c r="A51" t="s">
        <v>196</v>
      </c>
      <c r="B51">
        <v>78055857</v>
      </c>
      <c r="C51">
        <v>1227000</v>
      </c>
      <c r="D51" s="27">
        <v>46196</v>
      </c>
      <c r="E51" s="68">
        <v>46153</v>
      </c>
      <c r="F51" s="56">
        <f t="shared" si="0"/>
        <v>46155</v>
      </c>
      <c r="G51" s="29"/>
    </row>
    <row r="52" spans="1:7" ht="15.75" customHeight="1" x14ac:dyDescent="0.25">
      <c r="A52" t="s">
        <v>196</v>
      </c>
      <c r="B52">
        <v>78055863</v>
      </c>
      <c r="C52">
        <v>1325000</v>
      </c>
      <c r="D52" s="27">
        <v>46197</v>
      </c>
      <c r="E52" s="68">
        <v>46153</v>
      </c>
      <c r="F52" s="56">
        <f t="shared" si="0"/>
        <v>46155</v>
      </c>
      <c r="G52" s="29"/>
    </row>
    <row r="53" spans="1:7" ht="15.75" customHeight="1" x14ac:dyDescent="0.25">
      <c r="A53" t="s">
        <v>223</v>
      </c>
      <c r="B53">
        <v>29057187</v>
      </c>
      <c r="C53">
        <v>43000000</v>
      </c>
      <c r="D53" s="27">
        <v>46198</v>
      </c>
      <c r="E53" s="68">
        <v>46153</v>
      </c>
      <c r="F53" s="56">
        <f t="shared" si="0"/>
        <v>46155</v>
      </c>
      <c r="G53" s="29"/>
    </row>
    <row r="54" spans="1:7" ht="15.75" customHeight="1" x14ac:dyDescent="0.25">
      <c r="A54" t="s">
        <v>236</v>
      </c>
      <c r="B54">
        <v>9487742</v>
      </c>
      <c r="C54">
        <v>12289006.199999999</v>
      </c>
      <c r="D54" s="27">
        <v>46199</v>
      </c>
      <c r="E54" s="68">
        <v>46153</v>
      </c>
      <c r="F54" s="56">
        <f t="shared" si="0"/>
        <v>46155</v>
      </c>
      <c r="G54" s="29"/>
    </row>
    <row r="55" spans="1:7" ht="15.75" customHeight="1" x14ac:dyDescent="0.25">
      <c r="A55" t="s">
        <v>180</v>
      </c>
      <c r="B55">
        <v>14974124</v>
      </c>
      <c r="C55">
        <v>990000</v>
      </c>
      <c r="D55" s="27">
        <v>46200</v>
      </c>
      <c r="E55" s="68">
        <v>46153</v>
      </c>
      <c r="F55" s="56">
        <f t="shared" si="0"/>
        <v>46155</v>
      </c>
      <c r="G55" s="29"/>
    </row>
    <row r="56" spans="1:7" ht="15.75" customHeight="1" x14ac:dyDescent="0.25">
      <c r="A56" t="s">
        <v>203</v>
      </c>
      <c r="B56">
        <v>9583068</v>
      </c>
      <c r="C56">
        <v>12938400</v>
      </c>
      <c r="D56" s="27">
        <v>46201</v>
      </c>
      <c r="E56" s="68">
        <v>46153</v>
      </c>
      <c r="F56" s="56">
        <f t="shared" si="0"/>
        <v>46155</v>
      </c>
      <c r="G56" s="29"/>
    </row>
    <row r="57" spans="1:7" ht="15.75" customHeight="1" x14ac:dyDescent="0.25">
      <c r="A57" t="s">
        <v>185</v>
      </c>
      <c r="B57">
        <v>12924512</v>
      </c>
      <c r="C57">
        <v>10000000</v>
      </c>
      <c r="D57" s="27">
        <v>46202</v>
      </c>
      <c r="E57" s="68">
        <v>46153</v>
      </c>
      <c r="F57" s="56">
        <f t="shared" si="0"/>
        <v>46155</v>
      </c>
      <c r="G57" s="29"/>
    </row>
    <row r="58" spans="1:7" ht="15.75" customHeight="1" x14ac:dyDescent="0.25">
      <c r="A58" t="s">
        <v>213</v>
      </c>
      <c r="B58">
        <v>4537</v>
      </c>
      <c r="C58">
        <v>930000</v>
      </c>
      <c r="D58" s="27">
        <v>46203</v>
      </c>
      <c r="E58" s="68">
        <v>46153</v>
      </c>
      <c r="F58" s="56">
        <f t="shared" si="0"/>
        <v>46155</v>
      </c>
      <c r="G58" s="29"/>
    </row>
    <row r="59" spans="1:7" ht="15.75" customHeight="1" x14ac:dyDescent="0.25">
      <c r="A59" t="s">
        <v>213</v>
      </c>
      <c r="B59">
        <v>4571</v>
      </c>
      <c r="C59">
        <v>1300000</v>
      </c>
      <c r="D59" s="27">
        <v>46204</v>
      </c>
      <c r="E59" s="68">
        <v>46153</v>
      </c>
      <c r="F59" s="56">
        <f t="shared" si="0"/>
        <v>46155</v>
      </c>
      <c r="G59" s="29"/>
    </row>
    <row r="60" spans="1:7" ht="15.75" customHeight="1" x14ac:dyDescent="0.25">
      <c r="A60" t="s">
        <v>238</v>
      </c>
      <c r="B60">
        <v>9564653</v>
      </c>
      <c r="C60">
        <v>2754200</v>
      </c>
      <c r="D60" s="27">
        <v>46205</v>
      </c>
      <c r="E60" s="68">
        <v>46153</v>
      </c>
      <c r="F60" s="56">
        <f t="shared" si="0"/>
        <v>46155</v>
      </c>
      <c r="G60" s="29"/>
    </row>
    <row r="61" spans="1:7" ht="15.75" customHeight="1" x14ac:dyDescent="0.25">
      <c r="A61" t="s">
        <v>238</v>
      </c>
      <c r="B61">
        <v>9564654</v>
      </c>
      <c r="C61">
        <v>4500000</v>
      </c>
      <c r="D61" s="27">
        <v>46206</v>
      </c>
      <c r="E61" s="68">
        <v>46153</v>
      </c>
      <c r="F61" s="56">
        <f t="shared" si="0"/>
        <v>46155</v>
      </c>
      <c r="G61" s="29"/>
    </row>
    <row r="62" spans="1:7" ht="15.75" customHeight="1" x14ac:dyDescent="0.25">
      <c r="A62" t="s">
        <v>238</v>
      </c>
      <c r="B62">
        <v>9564655</v>
      </c>
      <c r="C62">
        <v>4500000</v>
      </c>
      <c r="D62" s="27">
        <v>46207</v>
      </c>
      <c r="E62" s="68">
        <v>46153</v>
      </c>
      <c r="F62" s="56">
        <f t="shared" si="0"/>
        <v>46155</v>
      </c>
      <c r="G62" s="29"/>
    </row>
    <row r="63" spans="1:7" ht="15.75" customHeight="1" x14ac:dyDescent="0.25">
      <c r="A63" t="s">
        <v>238</v>
      </c>
      <c r="B63">
        <v>9564656</v>
      </c>
      <c r="C63">
        <v>4500000</v>
      </c>
      <c r="D63" s="27">
        <v>46208</v>
      </c>
      <c r="E63" s="68">
        <v>46153</v>
      </c>
      <c r="F63" s="56">
        <f t="shared" si="0"/>
        <v>46155</v>
      </c>
      <c r="G63" s="29"/>
    </row>
    <row r="64" spans="1:7" ht="15.75" customHeight="1" x14ac:dyDescent="0.25">
      <c r="A64" t="s">
        <v>238</v>
      </c>
      <c r="B64">
        <v>697</v>
      </c>
      <c r="C64">
        <v>5000000</v>
      </c>
      <c r="D64" s="27">
        <v>46209</v>
      </c>
      <c r="E64" s="68">
        <v>46153</v>
      </c>
      <c r="F64" s="56">
        <f t="shared" si="0"/>
        <v>46155</v>
      </c>
      <c r="G64" s="29"/>
    </row>
    <row r="65" spans="1:7" ht="15.75" customHeight="1" x14ac:dyDescent="0.25">
      <c r="A65" t="s">
        <v>238</v>
      </c>
      <c r="B65">
        <v>698</v>
      </c>
      <c r="C65">
        <v>6756340</v>
      </c>
      <c r="D65" s="27">
        <v>46210</v>
      </c>
      <c r="E65" s="68">
        <v>46153</v>
      </c>
      <c r="F65" s="56">
        <f t="shared" si="0"/>
        <v>46155</v>
      </c>
      <c r="G65" s="29"/>
    </row>
    <row r="66" spans="1:7" ht="15.75" customHeight="1" x14ac:dyDescent="0.25">
      <c r="A66" t="s">
        <v>238</v>
      </c>
      <c r="B66">
        <v>699</v>
      </c>
      <c r="C66">
        <v>5000000</v>
      </c>
      <c r="D66" s="27">
        <v>46211</v>
      </c>
      <c r="E66" s="68">
        <v>46153</v>
      </c>
      <c r="F66" s="56">
        <f t="shared" si="0"/>
        <v>46155</v>
      </c>
      <c r="G66" s="29"/>
    </row>
    <row r="67" spans="1:7" ht="15.75" customHeight="1" x14ac:dyDescent="0.25">
      <c r="A67" t="s">
        <v>238</v>
      </c>
      <c r="B67">
        <v>700</v>
      </c>
      <c r="C67">
        <v>5000000</v>
      </c>
      <c r="D67" s="27">
        <v>46212</v>
      </c>
      <c r="E67" s="68">
        <v>46153</v>
      </c>
      <c r="F67" s="56">
        <f t="shared" si="0"/>
        <v>46155</v>
      </c>
      <c r="G67" s="29"/>
    </row>
    <row r="68" spans="1:7" ht="15.75" customHeight="1" x14ac:dyDescent="0.25">
      <c r="A68" t="s">
        <v>238</v>
      </c>
      <c r="B68">
        <v>701</v>
      </c>
      <c r="C68">
        <v>5000000</v>
      </c>
      <c r="D68" s="27">
        <v>46213</v>
      </c>
      <c r="E68" s="68">
        <v>46153</v>
      </c>
      <c r="F68" s="56">
        <f t="shared" si="0"/>
        <v>46155</v>
      </c>
      <c r="G68" s="29"/>
    </row>
    <row r="69" spans="1:7" ht="15.75" customHeight="1" x14ac:dyDescent="0.25">
      <c r="A69" t="s">
        <v>238</v>
      </c>
      <c r="B69">
        <v>711</v>
      </c>
      <c r="C69">
        <v>5000000</v>
      </c>
      <c r="D69" s="27">
        <v>46214</v>
      </c>
      <c r="E69" s="68">
        <v>46153</v>
      </c>
      <c r="F69" s="56">
        <f t="shared" ref="F69:F132" si="1">+E69+2</f>
        <v>46155</v>
      </c>
      <c r="G69" s="29"/>
    </row>
    <row r="70" spans="1:7" ht="15.75" customHeight="1" x14ac:dyDescent="0.25">
      <c r="A70" t="s">
        <v>196</v>
      </c>
      <c r="B70">
        <v>78055880</v>
      </c>
      <c r="C70">
        <v>500000</v>
      </c>
      <c r="D70" s="27">
        <v>46215</v>
      </c>
      <c r="E70" s="68">
        <v>46153</v>
      </c>
      <c r="F70" s="56">
        <f t="shared" si="1"/>
        <v>46155</v>
      </c>
      <c r="G70" s="29"/>
    </row>
    <row r="71" spans="1:7" ht="15.75" customHeight="1" x14ac:dyDescent="0.25">
      <c r="A71" t="s">
        <v>196</v>
      </c>
      <c r="B71">
        <v>78055888</v>
      </c>
      <c r="C71">
        <v>890000</v>
      </c>
      <c r="D71" s="27">
        <v>46216</v>
      </c>
      <c r="E71" s="68">
        <v>46153</v>
      </c>
      <c r="F71" s="56">
        <f t="shared" si="1"/>
        <v>46155</v>
      </c>
      <c r="G71" s="29"/>
    </row>
    <row r="72" spans="1:7" ht="15.75" customHeight="1" x14ac:dyDescent="0.25">
      <c r="A72" t="s">
        <v>242</v>
      </c>
      <c r="B72">
        <v>120</v>
      </c>
      <c r="C72">
        <v>3000343.8</v>
      </c>
      <c r="D72" s="27">
        <v>46217</v>
      </c>
      <c r="E72" s="68">
        <v>46153</v>
      </c>
      <c r="F72" s="56">
        <f t="shared" si="1"/>
        <v>46155</v>
      </c>
      <c r="G72" s="29"/>
    </row>
    <row r="73" spans="1:7" ht="15.75" customHeight="1" x14ac:dyDescent="0.25">
      <c r="A73" t="s">
        <v>242</v>
      </c>
      <c r="B73">
        <v>121</v>
      </c>
      <c r="C73">
        <v>4024000</v>
      </c>
      <c r="D73" s="27">
        <v>46218</v>
      </c>
      <c r="E73" s="68">
        <v>46153</v>
      </c>
      <c r="F73" s="56">
        <f t="shared" si="1"/>
        <v>46155</v>
      </c>
      <c r="G73" s="29"/>
    </row>
    <row r="74" spans="1:7" ht="15.75" customHeight="1" x14ac:dyDescent="0.25">
      <c r="A74" t="s">
        <v>190</v>
      </c>
      <c r="B74">
        <v>13378004</v>
      </c>
      <c r="C74">
        <v>3100000</v>
      </c>
      <c r="D74" s="27">
        <v>46219</v>
      </c>
      <c r="E74" s="68">
        <v>46154</v>
      </c>
      <c r="F74" s="56">
        <f t="shared" si="1"/>
        <v>46156</v>
      </c>
      <c r="G74" s="29"/>
    </row>
    <row r="75" spans="1:7" ht="15.75" customHeight="1" x14ac:dyDescent="0.25">
      <c r="A75" t="s">
        <v>190</v>
      </c>
      <c r="B75">
        <v>13378019</v>
      </c>
      <c r="C75">
        <v>2027843.4</v>
      </c>
      <c r="D75" s="27">
        <v>46220</v>
      </c>
      <c r="E75" s="68">
        <v>46154</v>
      </c>
      <c r="F75" s="56">
        <f t="shared" si="1"/>
        <v>46156</v>
      </c>
      <c r="G75" s="29"/>
    </row>
    <row r="76" spans="1:7" ht="15.75" customHeight="1" x14ac:dyDescent="0.25">
      <c r="A76" t="s">
        <v>196</v>
      </c>
      <c r="B76">
        <v>78055864</v>
      </c>
      <c r="C76">
        <v>1325000</v>
      </c>
      <c r="D76" s="27">
        <v>46221</v>
      </c>
      <c r="E76" s="68">
        <v>46154</v>
      </c>
      <c r="F76" s="56">
        <f t="shared" si="1"/>
        <v>46156</v>
      </c>
      <c r="G76" s="29"/>
    </row>
    <row r="77" spans="1:7" ht="15.75" customHeight="1" x14ac:dyDescent="0.25">
      <c r="A77" t="s">
        <v>185</v>
      </c>
      <c r="B77">
        <v>12924513</v>
      </c>
      <c r="C77">
        <v>10000000</v>
      </c>
      <c r="D77" s="27">
        <v>46222</v>
      </c>
      <c r="E77" s="68">
        <v>46154</v>
      </c>
      <c r="F77" s="56">
        <f t="shared" si="1"/>
        <v>46156</v>
      </c>
      <c r="G77" s="29"/>
    </row>
    <row r="78" spans="1:7" ht="15.75" customHeight="1" x14ac:dyDescent="0.25">
      <c r="A78" t="s">
        <v>213</v>
      </c>
      <c r="B78">
        <v>4538</v>
      </c>
      <c r="C78">
        <v>930000</v>
      </c>
      <c r="D78" s="27">
        <v>46223</v>
      </c>
      <c r="E78" s="68">
        <v>46154</v>
      </c>
      <c r="F78" s="56">
        <f t="shared" si="1"/>
        <v>46156</v>
      </c>
      <c r="G78" s="29"/>
    </row>
    <row r="79" spans="1:7" ht="15.75" customHeight="1" x14ac:dyDescent="0.25">
      <c r="A79" t="s">
        <v>213</v>
      </c>
      <c r="B79">
        <v>4572</v>
      </c>
      <c r="C79">
        <v>1300000</v>
      </c>
      <c r="D79" s="27">
        <v>46224</v>
      </c>
      <c r="E79" s="68">
        <v>46154</v>
      </c>
      <c r="F79" s="56">
        <f t="shared" si="1"/>
        <v>46156</v>
      </c>
      <c r="G79" s="29"/>
    </row>
    <row r="80" spans="1:7" ht="15.75" customHeight="1" x14ac:dyDescent="0.25">
      <c r="A80" t="s">
        <v>196</v>
      </c>
      <c r="B80">
        <v>78055881</v>
      </c>
      <c r="C80">
        <v>500000</v>
      </c>
      <c r="D80" s="27">
        <v>46225</v>
      </c>
      <c r="E80" s="68">
        <v>46154</v>
      </c>
      <c r="F80" s="56">
        <f t="shared" si="1"/>
        <v>46156</v>
      </c>
      <c r="G80" s="29"/>
    </row>
    <row r="81" spans="1:7" ht="15.75" customHeight="1" x14ac:dyDescent="0.25">
      <c r="A81" t="s">
        <v>196</v>
      </c>
      <c r="B81">
        <v>78055889</v>
      </c>
      <c r="C81">
        <v>890000</v>
      </c>
      <c r="D81" s="27">
        <v>46226</v>
      </c>
      <c r="E81" s="68">
        <v>46154</v>
      </c>
      <c r="F81" s="56">
        <f t="shared" si="1"/>
        <v>46156</v>
      </c>
      <c r="G81" s="29"/>
    </row>
    <row r="82" spans="1:7" ht="15.75" customHeight="1" x14ac:dyDescent="0.25">
      <c r="A82" t="s">
        <v>190</v>
      </c>
      <c r="B82">
        <v>13378005</v>
      </c>
      <c r="C82">
        <v>3100000</v>
      </c>
      <c r="D82" s="27">
        <v>46227</v>
      </c>
      <c r="E82" s="68">
        <v>46155</v>
      </c>
      <c r="F82" s="56">
        <f t="shared" si="1"/>
        <v>46157</v>
      </c>
      <c r="G82" s="29"/>
    </row>
    <row r="83" spans="1:7" ht="15.75" customHeight="1" x14ac:dyDescent="0.25">
      <c r="A83" t="s">
        <v>190</v>
      </c>
      <c r="B83">
        <v>13378020</v>
      </c>
      <c r="C83">
        <v>2200000</v>
      </c>
      <c r="D83" s="27">
        <v>46228</v>
      </c>
      <c r="E83" s="68">
        <v>46155</v>
      </c>
      <c r="F83" s="56">
        <f t="shared" si="1"/>
        <v>46157</v>
      </c>
      <c r="G83" s="29"/>
    </row>
    <row r="84" spans="1:7" ht="15.75" customHeight="1" x14ac:dyDescent="0.25">
      <c r="A84" t="s">
        <v>185</v>
      </c>
      <c r="B84">
        <v>12924514</v>
      </c>
      <c r="C84">
        <v>10000000</v>
      </c>
      <c r="D84" s="27">
        <v>46229</v>
      </c>
      <c r="E84" s="68">
        <v>46155</v>
      </c>
      <c r="F84" s="56">
        <f t="shared" si="1"/>
        <v>46157</v>
      </c>
      <c r="G84" s="29"/>
    </row>
    <row r="85" spans="1:7" ht="15.75" customHeight="1" x14ac:dyDescent="0.25">
      <c r="A85" t="s">
        <v>213</v>
      </c>
      <c r="B85">
        <v>4539</v>
      </c>
      <c r="C85">
        <v>930000</v>
      </c>
      <c r="D85" s="27">
        <v>46230</v>
      </c>
      <c r="E85" s="68">
        <v>46155</v>
      </c>
      <c r="F85" s="56">
        <f t="shared" si="1"/>
        <v>46157</v>
      </c>
      <c r="G85" s="29"/>
    </row>
    <row r="86" spans="1:7" ht="15.75" customHeight="1" x14ac:dyDescent="0.25">
      <c r="A86" t="s">
        <v>213</v>
      </c>
      <c r="B86">
        <v>4573</v>
      </c>
      <c r="C86">
        <v>1300000</v>
      </c>
      <c r="D86" s="27">
        <v>46231</v>
      </c>
      <c r="E86" s="68">
        <v>46155</v>
      </c>
      <c r="F86" s="56">
        <f t="shared" si="1"/>
        <v>46157</v>
      </c>
      <c r="G86" s="29"/>
    </row>
    <row r="87" spans="1:7" ht="15.75" customHeight="1" x14ac:dyDescent="0.25">
      <c r="A87" t="s">
        <v>210</v>
      </c>
      <c r="B87">
        <v>1367</v>
      </c>
      <c r="C87">
        <v>25000000</v>
      </c>
      <c r="D87" s="27">
        <v>46232</v>
      </c>
      <c r="E87" s="68">
        <v>46155</v>
      </c>
      <c r="F87" s="56">
        <f t="shared" si="1"/>
        <v>46157</v>
      </c>
      <c r="G87" s="29"/>
    </row>
    <row r="88" spans="1:7" ht="15.75" customHeight="1" x14ac:dyDescent="0.25">
      <c r="A88" t="s">
        <v>190</v>
      </c>
      <c r="B88">
        <v>13378006</v>
      </c>
      <c r="C88">
        <v>3100000</v>
      </c>
      <c r="D88" s="27">
        <v>46233</v>
      </c>
      <c r="E88" s="68">
        <v>46156</v>
      </c>
      <c r="F88" s="56">
        <f t="shared" si="1"/>
        <v>46158</v>
      </c>
      <c r="G88" s="29"/>
    </row>
    <row r="89" spans="1:7" ht="15.75" customHeight="1" x14ac:dyDescent="0.25">
      <c r="A89" t="s">
        <v>190</v>
      </c>
      <c r="B89">
        <v>13378021</v>
      </c>
      <c r="C89">
        <v>2200000</v>
      </c>
      <c r="D89" s="27">
        <v>46234</v>
      </c>
      <c r="E89" s="68">
        <v>46156</v>
      </c>
      <c r="F89" s="56">
        <f t="shared" si="1"/>
        <v>46158</v>
      </c>
      <c r="G89" s="29"/>
    </row>
    <row r="90" spans="1:7" ht="15.75" customHeight="1" x14ac:dyDescent="0.25">
      <c r="A90" t="s">
        <v>196</v>
      </c>
      <c r="B90">
        <v>78055865</v>
      </c>
      <c r="C90">
        <v>1325000</v>
      </c>
      <c r="D90" s="27">
        <v>46235</v>
      </c>
      <c r="E90" s="68">
        <v>46156</v>
      </c>
      <c r="F90" s="56">
        <f t="shared" si="1"/>
        <v>46158</v>
      </c>
      <c r="G90" s="29"/>
    </row>
    <row r="91" spans="1:7" ht="15.75" customHeight="1" x14ac:dyDescent="0.25">
      <c r="A91" t="s">
        <v>185</v>
      </c>
      <c r="B91">
        <v>12924515</v>
      </c>
      <c r="C91">
        <v>10000000</v>
      </c>
      <c r="D91" s="27">
        <v>46236</v>
      </c>
      <c r="E91" s="68">
        <v>46156</v>
      </c>
      <c r="F91" s="56">
        <f t="shared" si="1"/>
        <v>46158</v>
      </c>
      <c r="G91" s="29"/>
    </row>
    <row r="92" spans="1:7" ht="15.75" customHeight="1" x14ac:dyDescent="0.25">
      <c r="A92" t="s">
        <v>215</v>
      </c>
      <c r="B92">
        <v>4959</v>
      </c>
      <c r="C92">
        <v>3118540</v>
      </c>
      <c r="D92" s="27">
        <v>46237</v>
      </c>
      <c r="E92" s="68">
        <v>46156</v>
      </c>
      <c r="F92" s="56">
        <f t="shared" si="1"/>
        <v>46158</v>
      </c>
      <c r="G92" s="29"/>
    </row>
    <row r="93" spans="1:7" ht="15.75" customHeight="1" x14ac:dyDescent="0.25">
      <c r="A93" t="s">
        <v>196</v>
      </c>
      <c r="B93">
        <v>78055890</v>
      </c>
      <c r="C93">
        <v>890000</v>
      </c>
      <c r="D93" s="27">
        <v>46238</v>
      </c>
      <c r="E93" s="68">
        <v>46156</v>
      </c>
      <c r="F93" s="56">
        <f t="shared" si="1"/>
        <v>46158</v>
      </c>
      <c r="G93" s="29"/>
    </row>
    <row r="94" spans="1:7" ht="15.75" customHeight="1" x14ac:dyDescent="0.25">
      <c r="A94" t="s">
        <v>196</v>
      </c>
      <c r="B94">
        <v>8055882</v>
      </c>
      <c r="C94">
        <v>500000</v>
      </c>
      <c r="D94" s="27">
        <v>46239</v>
      </c>
      <c r="E94" s="68">
        <v>46156</v>
      </c>
      <c r="F94" s="56">
        <f t="shared" si="1"/>
        <v>46158</v>
      </c>
      <c r="G94" s="29"/>
    </row>
    <row r="95" spans="1:7" ht="15.75" customHeight="1" x14ac:dyDescent="0.25">
      <c r="A95" t="s">
        <v>190</v>
      </c>
      <c r="B95">
        <v>13378022</v>
      </c>
      <c r="C95">
        <v>2200000</v>
      </c>
      <c r="D95" s="27">
        <v>46240</v>
      </c>
      <c r="E95" s="68">
        <v>46157</v>
      </c>
      <c r="F95" s="56">
        <f t="shared" si="1"/>
        <v>46159</v>
      </c>
      <c r="G95" s="29"/>
    </row>
    <row r="96" spans="1:7" ht="15.75" customHeight="1" x14ac:dyDescent="0.25">
      <c r="A96" t="s">
        <v>196</v>
      </c>
      <c r="B96">
        <v>78055866</v>
      </c>
      <c r="C96">
        <v>1325000</v>
      </c>
      <c r="D96" s="27">
        <v>46241</v>
      </c>
      <c r="E96" s="68">
        <v>46157</v>
      </c>
      <c r="F96" s="56">
        <f t="shared" si="1"/>
        <v>46159</v>
      </c>
      <c r="G96" s="29"/>
    </row>
    <row r="97" spans="1:7" ht="15.75" customHeight="1" x14ac:dyDescent="0.25">
      <c r="A97" t="s">
        <v>227</v>
      </c>
      <c r="B97">
        <v>6769</v>
      </c>
      <c r="C97">
        <v>17049600</v>
      </c>
      <c r="D97" s="27">
        <v>46242</v>
      </c>
      <c r="E97" s="68">
        <v>46157</v>
      </c>
      <c r="F97" s="56">
        <f t="shared" si="1"/>
        <v>46159</v>
      </c>
      <c r="G97" s="29"/>
    </row>
    <row r="98" spans="1:7" ht="15.75" customHeight="1" x14ac:dyDescent="0.25">
      <c r="A98" t="s">
        <v>185</v>
      </c>
      <c r="B98">
        <v>12924516</v>
      </c>
      <c r="C98">
        <v>10000000</v>
      </c>
      <c r="D98" s="27">
        <v>46243</v>
      </c>
      <c r="E98" s="68">
        <v>46157</v>
      </c>
      <c r="F98" s="56">
        <f t="shared" si="1"/>
        <v>46159</v>
      </c>
      <c r="G98" s="29"/>
    </row>
    <row r="99" spans="1:7" ht="15.75" customHeight="1" x14ac:dyDescent="0.25">
      <c r="A99" t="s">
        <v>205</v>
      </c>
      <c r="B99">
        <v>29117288</v>
      </c>
      <c r="C99">
        <v>10000000</v>
      </c>
      <c r="D99" s="27">
        <v>46244</v>
      </c>
      <c r="E99" s="68">
        <v>46157</v>
      </c>
      <c r="F99" s="56">
        <f t="shared" si="1"/>
        <v>46159</v>
      </c>
      <c r="G99" s="29"/>
    </row>
    <row r="100" spans="1:7" ht="15.75" customHeight="1" x14ac:dyDescent="0.25">
      <c r="A100" t="s">
        <v>213</v>
      </c>
      <c r="B100">
        <v>4540</v>
      </c>
      <c r="C100">
        <v>891750</v>
      </c>
      <c r="D100" s="27">
        <v>46245</v>
      </c>
      <c r="E100" s="68">
        <v>46157</v>
      </c>
      <c r="F100" s="56">
        <f t="shared" si="1"/>
        <v>46159</v>
      </c>
      <c r="G100" s="29"/>
    </row>
    <row r="101" spans="1:7" ht="15.75" customHeight="1" x14ac:dyDescent="0.25">
      <c r="A101" t="s">
        <v>213</v>
      </c>
      <c r="B101">
        <v>4574</v>
      </c>
      <c r="C101">
        <v>1300000</v>
      </c>
      <c r="D101" s="27">
        <v>46246</v>
      </c>
      <c r="E101" s="68">
        <v>46157</v>
      </c>
      <c r="F101" s="56">
        <f t="shared" si="1"/>
        <v>46159</v>
      </c>
      <c r="G101" s="29"/>
    </row>
    <row r="102" spans="1:7" ht="15.75" customHeight="1" x14ac:dyDescent="0.25">
      <c r="A102" t="s">
        <v>205</v>
      </c>
      <c r="B102">
        <v>3360</v>
      </c>
      <c r="C102">
        <v>2190000</v>
      </c>
      <c r="D102" s="27">
        <v>46247</v>
      </c>
      <c r="E102" s="68">
        <v>46157</v>
      </c>
      <c r="F102" s="56">
        <f t="shared" si="1"/>
        <v>46159</v>
      </c>
      <c r="G102" s="29"/>
    </row>
    <row r="103" spans="1:7" ht="15.75" customHeight="1" x14ac:dyDescent="0.25">
      <c r="A103" t="s">
        <v>196</v>
      </c>
      <c r="B103">
        <v>78055883</v>
      </c>
      <c r="C103">
        <v>500000</v>
      </c>
      <c r="D103" s="27">
        <v>46248</v>
      </c>
      <c r="E103" s="68">
        <v>46157</v>
      </c>
      <c r="F103" s="56">
        <f t="shared" si="1"/>
        <v>46159</v>
      </c>
      <c r="G103" s="29"/>
    </row>
    <row r="104" spans="1:7" ht="15.75" customHeight="1" x14ac:dyDescent="0.25">
      <c r="A104" t="s">
        <v>196</v>
      </c>
      <c r="B104">
        <v>78055891</v>
      </c>
      <c r="C104">
        <v>890000</v>
      </c>
      <c r="D104" s="27">
        <v>46249</v>
      </c>
      <c r="E104" s="68">
        <v>46157</v>
      </c>
      <c r="F104" s="56">
        <f t="shared" si="1"/>
        <v>46159</v>
      </c>
      <c r="G104" s="29"/>
    </row>
    <row r="105" spans="1:7" ht="15.75" customHeight="1" x14ac:dyDescent="0.25">
      <c r="A105" t="s">
        <v>242</v>
      </c>
      <c r="B105">
        <v>122</v>
      </c>
      <c r="C105">
        <v>3000261.82</v>
      </c>
      <c r="D105" s="27">
        <v>46250</v>
      </c>
      <c r="E105" s="68">
        <v>46157</v>
      </c>
      <c r="F105" s="56">
        <f t="shared" si="1"/>
        <v>46159</v>
      </c>
      <c r="G105" s="29"/>
    </row>
    <row r="106" spans="1:7" ht="15.75" customHeight="1" x14ac:dyDescent="0.25">
      <c r="A106" t="s">
        <v>242</v>
      </c>
      <c r="B106">
        <v>123</v>
      </c>
      <c r="C106">
        <v>3870000</v>
      </c>
      <c r="D106" s="27">
        <v>46251</v>
      </c>
      <c r="E106" s="68">
        <v>46157</v>
      </c>
      <c r="F106" s="56">
        <f t="shared" si="1"/>
        <v>46159</v>
      </c>
      <c r="G106" s="29"/>
    </row>
    <row r="107" spans="1:7" ht="15.75" customHeight="1" x14ac:dyDescent="0.25">
      <c r="A107" t="s">
        <v>242</v>
      </c>
      <c r="B107">
        <v>124</v>
      </c>
      <c r="C107">
        <v>4000000</v>
      </c>
      <c r="D107" s="27">
        <v>46252</v>
      </c>
      <c r="E107" s="68">
        <v>46157</v>
      </c>
      <c r="F107" s="56">
        <f t="shared" si="1"/>
        <v>46159</v>
      </c>
      <c r="G107" s="29"/>
    </row>
    <row r="108" spans="1:7" ht="15.75" customHeight="1" x14ac:dyDescent="0.25">
      <c r="A108" t="s">
        <v>200</v>
      </c>
      <c r="B108">
        <v>66486728</v>
      </c>
      <c r="C108">
        <v>4528200</v>
      </c>
      <c r="D108" s="27">
        <v>46253</v>
      </c>
      <c r="E108" s="68">
        <v>46157</v>
      </c>
      <c r="F108" s="56">
        <f t="shared" si="1"/>
        <v>46159</v>
      </c>
      <c r="G108" s="29"/>
    </row>
    <row r="109" spans="1:7" ht="15.75" customHeight="1" x14ac:dyDescent="0.25">
      <c r="A109" t="s">
        <v>231</v>
      </c>
      <c r="B109">
        <v>61747694</v>
      </c>
      <c r="C109">
        <v>7365600</v>
      </c>
      <c r="D109" s="27">
        <v>46254</v>
      </c>
      <c r="E109" s="68">
        <v>46157</v>
      </c>
      <c r="F109" s="56">
        <f t="shared" si="1"/>
        <v>46159</v>
      </c>
      <c r="G109" s="29"/>
    </row>
    <row r="110" spans="1:7" ht="15.75" customHeight="1" x14ac:dyDescent="0.25">
      <c r="A110" t="s">
        <v>213</v>
      </c>
      <c r="B110">
        <v>4628</v>
      </c>
      <c r="C110">
        <v>1300000</v>
      </c>
      <c r="D110" s="27">
        <v>46255</v>
      </c>
      <c r="E110" s="68">
        <v>46157</v>
      </c>
      <c r="F110" s="56">
        <f t="shared" si="1"/>
        <v>46159</v>
      </c>
      <c r="G110" s="29"/>
    </row>
    <row r="111" spans="1:7" ht="15.75" customHeight="1" x14ac:dyDescent="0.25">
      <c r="A111" t="s">
        <v>245</v>
      </c>
      <c r="B111">
        <v>3436586</v>
      </c>
      <c r="C111">
        <v>1800000</v>
      </c>
      <c r="D111" s="27">
        <v>46256</v>
      </c>
      <c r="E111" s="68">
        <v>46160</v>
      </c>
      <c r="F111" s="56">
        <f t="shared" si="1"/>
        <v>46162</v>
      </c>
      <c r="G111" s="29"/>
    </row>
    <row r="112" spans="1:7" ht="15.75" customHeight="1" x14ac:dyDescent="0.25">
      <c r="A112" t="s">
        <v>245</v>
      </c>
      <c r="B112">
        <v>3436587</v>
      </c>
      <c r="C112">
        <v>1850000</v>
      </c>
      <c r="D112" s="27">
        <v>46257</v>
      </c>
      <c r="E112" s="68">
        <v>46160</v>
      </c>
      <c r="F112" s="56">
        <f t="shared" si="1"/>
        <v>46162</v>
      </c>
      <c r="G112" s="29"/>
    </row>
    <row r="113" spans="1:7" ht="15.75" customHeight="1" x14ac:dyDescent="0.25">
      <c r="A113" t="s">
        <v>196</v>
      </c>
      <c r="B113">
        <v>78055867</v>
      </c>
      <c r="C113">
        <v>1324500</v>
      </c>
      <c r="D113" s="27">
        <v>46258</v>
      </c>
      <c r="E113" s="68">
        <v>46160</v>
      </c>
      <c r="F113" s="56">
        <f t="shared" si="1"/>
        <v>46162</v>
      </c>
      <c r="G113" s="29"/>
    </row>
    <row r="114" spans="1:7" ht="15.75" customHeight="1" x14ac:dyDescent="0.25">
      <c r="A114" t="s">
        <v>236</v>
      </c>
      <c r="B114">
        <v>9487743</v>
      </c>
      <c r="C114">
        <v>12220447.59</v>
      </c>
      <c r="D114" s="27">
        <v>46259</v>
      </c>
      <c r="E114" s="68">
        <v>46160</v>
      </c>
      <c r="F114" s="56">
        <f t="shared" si="1"/>
        <v>46162</v>
      </c>
      <c r="G114" s="29"/>
    </row>
    <row r="115" spans="1:7" ht="15.75" customHeight="1" x14ac:dyDescent="0.25">
      <c r="A115" t="s">
        <v>185</v>
      </c>
      <c r="B115">
        <v>12924517</v>
      </c>
      <c r="C115">
        <v>7374980</v>
      </c>
      <c r="D115" s="27">
        <v>46260</v>
      </c>
      <c r="E115" s="68">
        <v>46160</v>
      </c>
      <c r="F115" s="56">
        <f t="shared" si="1"/>
        <v>46162</v>
      </c>
      <c r="G115" s="29"/>
    </row>
    <row r="116" spans="1:7" ht="15.75" customHeight="1" x14ac:dyDescent="0.25">
      <c r="A116" t="s">
        <v>213</v>
      </c>
      <c r="B116">
        <v>4575</v>
      </c>
      <c r="C116">
        <v>1300000</v>
      </c>
      <c r="D116" s="27">
        <v>46261</v>
      </c>
      <c r="E116" s="68">
        <v>46160</v>
      </c>
      <c r="F116" s="56">
        <f t="shared" si="1"/>
        <v>46162</v>
      </c>
      <c r="G116" s="29"/>
    </row>
    <row r="117" spans="1:7" ht="15.75" customHeight="1" x14ac:dyDescent="0.25">
      <c r="A117" t="s">
        <v>238</v>
      </c>
      <c r="B117">
        <v>674</v>
      </c>
      <c r="C117">
        <v>4500000</v>
      </c>
      <c r="D117" s="27">
        <v>46262</v>
      </c>
      <c r="E117" s="68">
        <v>46160</v>
      </c>
      <c r="F117" s="56">
        <f t="shared" si="1"/>
        <v>46162</v>
      </c>
      <c r="G117" s="29"/>
    </row>
    <row r="118" spans="1:7" ht="15.75" customHeight="1" x14ac:dyDescent="0.25">
      <c r="A118" t="s">
        <v>238</v>
      </c>
      <c r="B118">
        <v>675</v>
      </c>
      <c r="C118">
        <v>4500000</v>
      </c>
      <c r="D118" s="27">
        <v>46263</v>
      </c>
      <c r="E118" s="68">
        <v>46160</v>
      </c>
      <c r="F118" s="56">
        <f t="shared" si="1"/>
        <v>46162</v>
      </c>
      <c r="G118" s="29"/>
    </row>
    <row r="119" spans="1:7" ht="15.75" customHeight="1" x14ac:dyDescent="0.25">
      <c r="A119" t="s">
        <v>238</v>
      </c>
      <c r="B119">
        <v>676</v>
      </c>
      <c r="C119">
        <v>3724600</v>
      </c>
      <c r="D119" s="27">
        <v>46264</v>
      </c>
      <c r="E119" s="68">
        <v>46160</v>
      </c>
      <c r="F119" s="56">
        <f t="shared" si="1"/>
        <v>46162</v>
      </c>
      <c r="G119" s="29"/>
    </row>
    <row r="120" spans="1:7" ht="15.75" customHeight="1" x14ac:dyDescent="0.25">
      <c r="A120" t="s">
        <v>238</v>
      </c>
      <c r="B120">
        <v>677</v>
      </c>
      <c r="C120">
        <v>4500000</v>
      </c>
      <c r="D120" s="27">
        <v>46265</v>
      </c>
      <c r="E120" s="68">
        <v>46160</v>
      </c>
      <c r="F120" s="56">
        <f t="shared" si="1"/>
        <v>46162</v>
      </c>
      <c r="G120" s="29"/>
    </row>
    <row r="121" spans="1:7" ht="15.75" customHeight="1" x14ac:dyDescent="0.25">
      <c r="A121" t="s">
        <v>234</v>
      </c>
      <c r="B121">
        <v>66288756</v>
      </c>
      <c r="C121">
        <v>10766250</v>
      </c>
      <c r="D121" s="27">
        <v>46266</v>
      </c>
      <c r="E121" s="68">
        <v>46160</v>
      </c>
      <c r="F121" s="56">
        <f t="shared" si="1"/>
        <v>46162</v>
      </c>
      <c r="G121" s="29"/>
    </row>
    <row r="122" spans="1:7" ht="15.75" customHeight="1" x14ac:dyDescent="0.25">
      <c r="A122" t="s">
        <v>234</v>
      </c>
      <c r="B122">
        <v>66288779</v>
      </c>
      <c r="C122">
        <v>9000000</v>
      </c>
      <c r="D122" s="27">
        <v>46267</v>
      </c>
      <c r="E122" s="68">
        <v>46160</v>
      </c>
      <c r="F122" s="56">
        <f t="shared" si="1"/>
        <v>46162</v>
      </c>
      <c r="G122" s="29"/>
    </row>
    <row r="123" spans="1:7" ht="15.75" customHeight="1" x14ac:dyDescent="0.25">
      <c r="A123" t="s">
        <v>223</v>
      </c>
      <c r="B123">
        <v>29133200</v>
      </c>
      <c r="C123">
        <v>9455600</v>
      </c>
      <c r="D123" s="27">
        <v>46268</v>
      </c>
      <c r="E123" s="68">
        <v>46160</v>
      </c>
      <c r="F123" s="56">
        <f t="shared" si="1"/>
        <v>46162</v>
      </c>
      <c r="G123" s="29"/>
    </row>
    <row r="124" spans="1:7" ht="15.75" customHeight="1" x14ac:dyDescent="0.25">
      <c r="A124" t="s">
        <v>215</v>
      </c>
      <c r="B124">
        <v>4960</v>
      </c>
      <c r="C124">
        <v>1864135</v>
      </c>
      <c r="D124" s="27">
        <v>46269</v>
      </c>
      <c r="E124" s="68">
        <v>46160</v>
      </c>
      <c r="F124" s="56">
        <f t="shared" si="1"/>
        <v>46162</v>
      </c>
      <c r="G124" s="29"/>
    </row>
    <row r="125" spans="1:7" ht="15.75" customHeight="1" x14ac:dyDescent="0.25">
      <c r="A125" t="s">
        <v>196</v>
      </c>
      <c r="B125">
        <v>78055884</v>
      </c>
      <c r="C125">
        <v>500000</v>
      </c>
      <c r="D125" s="27">
        <v>46270</v>
      </c>
      <c r="E125" s="68">
        <v>46160</v>
      </c>
      <c r="F125" s="56">
        <f t="shared" si="1"/>
        <v>46162</v>
      </c>
      <c r="G125" s="29"/>
    </row>
    <row r="126" spans="1:7" ht="15.75" customHeight="1" x14ac:dyDescent="0.25">
      <c r="A126" t="s">
        <v>196</v>
      </c>
      <c r="B126">
        <v>78055892</v>
      </c>
      <c r="C126">
        <v>890000</v>
      </c>
      <c r="D126" s="27">
        <v>46271</v>
      </c>
      <c r="E126" s="68">
        <v>46160</v>
      </c>
      <c r="F126" s="56">
        <f t="shared" si="1"/>
        <v>46162</v>
      </c>
      <c r="G126" s="29"/>
    </row>
    <row r="127" spans="1:7" ht="15.75" customHeight="1" x14ac:dyDescent="0.25">
      <c r="A127" t="s">
        <v>242</v>
      </c>
      <c r="B127">
        <v>125</v>
      </c>
      <c r="C127">
        <v>3000314.05</v>
      </c>
      <c r="D127" s="27">
        <v>46272</v>
      </c>
      <c r="E127" s="68">
        <v>46160</v>
      </c>
      <c r="F127" s="56">
        <f t="shared" si="1"/>
        <v>46162</v>
      </c>
      <c r="G127" s="29"/>
    </row>
    <row r="128" spans="1:7" ht="15.75" customHeight="1" x14ac:dyDescent="0.25">
      <c r="A128" t="s">
        <v>242</v>
      </c>
      <c r="B128">
        <v>126</v>
      </c>
      <c r="C128">
        <v>3500000</v>
      </c>
      <c r="D128" s="27">
        <v>46273</v>
      </c>
      <c r="E128" s="68">
        <v>46160</v>
      </c>
      <c r="F128" s="56">
        <f t="shared" si="1"/>
        <v>46162</v>
      </c>
      <c r="G128" s="29"/>
    </row>
    <row r="129" spans="1:7" ht="15.75" customHeight="1" x14ac:dyDescent="0.25">
      <c r="A129" t="s">
        <v>242</v>
      </c>
      <c r="B129">
        <v>127</v>
      </c>
      <c r="C129">
        <v>3024000</v>
      </c>
      <c r="D129" s="27">
        <v>46274</v>
      </c>
      <c r="E129" s="68">
        <v>46160</v>
      </c>
      <c r="F129" s="56">
        <f t="shared" si="1"/>
        <v>46162</v>
      </c>
      <c r="G129" s="29"/>
    </row>
    <row r="130" spans="1:7" ht="15.75" customHeight="1" x14ac:dyDescent="0.25">
      <c r="A130" t="s">
        <v>242</v>
      </c>
      <c r="B130">
        <v>128</v>
      </c>
      <c r="C130">
        <v>2000000</v>
      </c>
      <c r="D130" s="27">
        <v>46275</v>
      </c>
      <c r="E130" s="68">
        <v>46160</v>
      </c>
      <c r="F130" s="56">
        <f t="shared" si="1"/>
        <v>46162</v>
      </c>
      <c r="G130" s="29"/>
    </row>
    <row r="131" spans="1:7" ht="15.75" customHeight="1" x14ac:dyDescent="0.25">
      <c r="A131" t="s">
        <v>234</v>
      </c>
      <c r="B131">
        <v>66612046</v>
      </c>
      <c r="C131">
        <v>13057192.01</v>
      </c>
      <c r="D131" s="27">
        <v>46276</v>
      </c>
      <c r="E131" s="68">
        <v>46160</v>
      </c>
      <c r="F131" s="56">
        <f t="shared" si="1"/>
        <v>46162</v>
      </c>
      <c r="G131" s="29"/>
    </row>
    <row r="132" spans="1:7" ht="15.75" customHeight="1" x14ac:dyDescent="0.25">
      <c r="A132" t="s">
        <v>196</v>
      </c>
      <c r="B132">
        <v>78055898</v>
      </c>
      <c r="C132">
        <v>960000</v>
      </c>
      <c r="D132" s="27">
        <v>46277</v>
      </c>
      <c r="E132" s="68">
        <v>46160</v>
      </c>
      <c r="F132" s="56">
        <f t="shared" si="1"/>
        <v>46162</v>
      </c>
      <c r="G132" s="29"/>
    </row>
    <row r="133" spans="1:7" ht="15.75" customHeight="1" x14ac:dyDescent="0.25">
      <c r="A133" t="s">
        <v>218</v>
      </c>
      <c r="B133">
        <v>90018038</v>
      </c>
      <c r="C133">
        <v>9684400</v>
      </c>
      <c r="D133" s="27">
        <v>46278</v>
      </c>
      <c r="E133" s="68">
        <v>46160</v>
      </c>
      <c r="F133" s="56">
        <f t="shared" ref="F133:F192" si="2">+E133+2</f>
        <v>46162</v>
      </c>
      <c r="G133" s="29"/>
    </row>
    <row r="134" spans="1:7" ht="15.75" customHeight="1" x14ac:dyDescent="0.25">
      <c r="A134" t="s">
        <v>213</v>
      </c>
      <c r="B134">
        <v>4629</v>
      </c>
      <c r="C134">
        <v>1300000</v>
      </c>
      <c r="D134" s="27">
        <v>46279</v>
      </c>
      <c r="E134" s="68">
        <v>46160</v>
      </c>
      <c r="F134" s="56">
        <f t="shared" si="2"/>
        <v>46162</v>
      </c>
      <c r="G134" s="29"/>
    </row>
    <row r="135" spans="1:7" ht="15.75" customHeight="1" x14ac:dyDescent="0.25">
      <c r="A135" t="s">
        <v>223</v>
      </c>
      <c r="B135">
        <v>29057186</v>
      </c>
      <c r="C135">
        <v>30901040</v>
      </c>
      <c r="D135" s="27">
        <v>46280</v>
      </c>
      <c r="E135" s="68">
        <v>46161</v>
      </c>
      <c r="F135" s="56">
        <f t="shared" si="2"/>
        <v>46163</v>
      </c>
      <c r="G135" s="29"/>
    </row>
    <row r="136" spans="1:7" ht="15.75" customHeight="1" x14ac:dyDescent="0.25">
      <c r="A136" t="s">
        <v>205</v>
      </c>
      <c r="B136">
        <v>29117287</v>
      </c>
      <c r="C136">
        <v>10216372.48</v>
      </c>
      <c r="D136" s="27">
        <v>46281</v>
      </c>
      <c r="E136" s="68">
        <v>46161</v>
      </c>
      <c r="F136" s="56">
        <f t="shared" si="2"/>
        <v>46163</v>
      </c>
      <c r="G136" s="29"/>
    </row>
    <row r="137" spans="1:7" ht="15.75" customHeight="1" x14ac:dyDescent="0.25">
      <c r="A137" t="s">
        <v>203</v>
      </c>
      <c r="B137">
        <v>9583076</v>
      </c>
      <c r="C137">
        <v>11530750</v>
      </c>
      <c r="D137" s="27">
        <v>46282</v>
      </c>
      <c r="E137" s="68">
        <v>46161</v>
      </c>
      <c r="F137" s="56">
        <f t="shared" si="2"/>
        <v>46163</v>
      </c>
      <c r="G137" s="29"/>
    </row>
    <row r="138" spans="1:7" ht="15.75" customHeight="1" x14ac:dyDescent="0.25">
      <c r="A138" t="s">
        <v>213</v>
      </c>
      <c r="B138">
        <v>4576</v>
      </c>
      <c r="C138">
        <v>949750</v>
      </c>
      <c r="D138" s="27">
        <v>46283</v>
      </c>
      <c r="E138" s="68">
        <v>46161</v>
      </c>
      <c r="F138" s="56">
        <f t="shared" si="2"/>
        <v>46163</v>
      </c>
      <c r="G138" s="29"/>
    </row>
    <row r="139" spans="1:7" ht="15.75" customHeight="1" x14ac:dyDescent="0.25">
      <c r="A139" t="s">
        <v>196</v>
      </c>
      <c r="B139">
        <v>78055885</v>
      </c>
      <c r="C139">
        <v>500000</v>
      </c>
      <c r="D139" s="27">
        <v>46284</v>
      </c>
      <c r="E139" s="68">
        <v>46161</v>
      </c>
      <c r="F139" s="56">
        <f t="shared" si="2"/>
        <v>46163</v>
      </c>
      <c r="G139" s="29"/>
    </row>
    <row r="140" spans="1:7" ht="15.75" customHeight="1" x14ac:dyDescent="0.25">
      <c r="A140" t="s">
        <v>196</v>
      </c>
      <c r="B140">
        <v>78055893</v>
      </c>
      <c r="C140">
        <v>890000</v>
      </c>
      <c r="D140" s="27">
        <v>46285</v>
      </c>
      <c r="E140" s="68">
        <v>46161</v>
      </c>
      <c r="F140" s="56">
        <f t="shared" si="2"/>
        <v>46163</v>
      </c>
      <c r="G140" s="29"/>
    </row>
    <row r="141" spans="1:7" ht="15.75" customHeight="1" x14ac:dyDescent="0.25">
      <c r="A141" t="s">
        <v>196</v>
      </c>
      <c r="B141">
        <v>78055899</v>
      </c>
      <c r="C141">
        <v>960000</v>
      </c>
      <c r="D141" s="27">
        <v>46286</v>
      </c>
      <c r="E141" s="68">
        <v>46161</v>
      </c>
      <c r="F141" s="56">
        <f t="shared" si="2"/>
        <v>46163</v>
      </c>
      <c r="G141" s="29"/>
    </row>
    <row r="142" spans="1:7" ht="15.75" customHeight="1" x14ac:dyDescent="0.25">
      <c r="A142" t="s">
        <v>213</v>
      </c>
      <c r="B142">
        <v>4630</v>
      </c>
      <c r="C142">
        <v>1300000</v>
      </c>
      <c r="D142" s="27">
        <v>46287</v>
      </c>
      <c r="E142" s="68">
        <v>46161</v>
      </c>
      <c r="F142" s="56">
        <f t="shared" si="2"/>
        <v>46163</v>
      </c>
      <c r="G142" s="29"/>
    </row>
    <row r="143" spans="1:7" ht="15.75" customHeight="1" x14ac:dyDescent="0.25">
      <c r="A143" t="s">
        <v>210</v>
      </c>
      <c r="B143">
        <v>1368</v>
      </c>
      <c r="C143">
        <v>26000000</v>
      </c>
      <c r="D143" s="27">
        <v>46288</v>
      </c>
      <c r="E143" s="68">
        <v>46162</v>
      </c>
      <c r="F143" s="56">
        <f t="shared" si="2"/>
        <v>46164</v>
      </c>
      <c r="G143" s="29"/>
    </row>
    <row r="144" spans="1:7" ht="15.75" customHeight="1" x14ac:dyDescent="0.25">
      <c r="A144" t="s">
        <v>200</v>
      </c>
      <c r="B144">
        <v>66486598</v>
      </c>
      <c r="C144">
        <v>5000000</v>
      </c>
      <c r="D144" s="27">
        <v>46289</v>
      </c>
      <c r="E144" s="68">
        <v>46162</v>
      </c>
      <c r="F144" s="56">
        <f t="shared" si="2"/>
        <v>46164</v>
      </c>
      <c r="G144" s="29"/>
    </row>
    <row r="145" spans="1:7" ht="15.75" customHeight="1" x14ac:dyDescent="0.25">
      <c r="A145" t="s">
        <v>213</v>
      </c>
      <c r="B145">
        <v>4631</v>
      </c>
      <c r="C145">
        <v>1300000</v>
      </c>
      <c r="D145" s="27">
        <v>46290</v>
      </c>
      <c r="E145" s="68">
        <v>46162</v>
      </c>
      <c r="F145" s="56">
        <f t="shared" si="2"/>
        <v>46164</v>
      </c>
      <c r="G145" s="29"/>
    </row>
    <row r="146" spans="1:7" ht="15.75" customHeight="1" x14ac:dyDescent="0.25">
      <c r="A146" t="s">
        <v>203</v>
      </c>
      <c r="B146">
        <v>1</v>
      </c>
      <c r="C146">
        <v>14034570</v>
      </c>
      <c r="D146" s="27">
        <v>46291</v>
      </c>
      <c r="E146" s="68">
        <v>46163</v>
      </c>
      <c r="F146" s="56">
        <f t="shared" si="2"/>
        <v>46165</v>
      </c>
      <c r="G146" s="29"/>
    </row>
    <row r="147" spans="1:7" ht="15.75" customHeight="1" x14ac:dyDescent="0.25">
      <c r="A147" t="s">
        <v>190</v>
      </c>
      <c r="B147">
        <v>13378069</v>
      </c>
      <c r="C147">
        <v>2465900</v>
      </c>
      <c r="D147" s="27">
        <v>46292</v>
      </c>
      <c r="E147" s="68">
        <v>46163</v>
      </c>
      <c r="F147" s="56">
        <f t="shared" si="2"/>
        <v>46165</v>
      </c>
      <c r="G147" s="29"/>
    </row>
    <row r="148" spans="1:7" ht="15.75" customHeight="1" x14ac:dyDescent="0.25">
      <c r="A148" t="s">
        <v>196</v>
      </c>
      <c r="B148">
        <v>78055886</v>
      </c>
      <c r="C148">
        <v>500000</v>
      </c>
      <c r="D148" s="27">
        <v>46293</v>
      </c>
      <c r="E148" s="68">
        <v>46163</v>
      </c>
      <c r="F148" s="56">
        <f t="shared" si="2"/>
        <v>46165</v>
      </c>
      <c r="G148" s="29"/>
    </row>
    <row r="149" spans="1:7" ht="15.75" customHeight="1" x14ac:dyDescent="0.25">
      <c r="A149" t="s">
        <v>196</v>
      </c>
      <c r="B149">
        <v>78055894</v>
      </c>
      <c r="C149">
        <v>890000</v>
      </c>
      <c r="D149" s="27">
        <v>46294</v>
      </c>
      <c r="E149" s="68">
        <v>46163</v>
      </c>
      <c r="F149" s="56">
        <f t="shared" si="2"/>
        <v>46165</v>
      </c>
      <c r="G149" s="29"/>
    </row>
    <row r="150" spans="1:7" ht="15.75" customHeight="1" x14ac:dyDescent="0.25">
      <c r="A150" t="s">
        <v>196</v>
      </c>
      <c r="B150">
        <v>78055900</v>
      </c>
      <c r="C150">
        <v>960000</v>
      </c>
      <c r="D150" s="27">
        <v>46295</v>
      </c>
      <c r="E150" s="68">
        <v>46163</v>
      </c>
      <c r="F150" s="56">
        <f t="shared" si="2"/>
        <v>46165</v>
      </c>
      <c r="G150" s="29"/>
    </row>
    <row r="151" spans="1:7" ht="15.75" customHeight="1" x14ac:dyDescent="0.25">
      <c r="A151" t="s">
        <v>190</v>
      </c>
      <c r="B151">
        <v>13378070</v>
      </c>
      <c r="C151">
        <v>2500000</v>
      </c>
      <c r="D151" s="27">
        <v>46296</v>
      </c>
      <c r="E151" s="68">
        <v>46164</v>
      </c>
      <c r="F151" s="56">
        <f t="shared" si="2"/>
        <v>46166</v>
      </c>
      <c r="G151" s="29"/>
    </row>
    <row r="152" spans="1:7" ht="15.75" customHeight="1" x14ac:dyDescent="0.25">
      <c r="A152" t="s">
        <v>215</v>
      </c>
      <c r="B152">
        <v>5214</v>
      </c>
      <c r="C152">
        <v>1373700</v>
      </c>
      <c r="D152" s="27">
        <v>46297</v>
      </c>
      <c r="E152" s="68">
        <v>46164</v>
      </c>
      <c r="F152" s="56">
        <f t="shared" si="2"/>
        <v>46166</v>
      </c>
      <c r="G152" s="29"/>
    </row>
    <row r="153" spans="1:7" ht="15.75" customHeight="1" x14ac:dyDescent="0.25">
      <c r="A153" t="s">
        <v>205</v>
      </c>
      <c r="B153">
        <v>1280</v>
      </c>
      <c r="C153">
        <v>5603667.5499999998</v>
      </c>
      <c r="D153" s="27">
        <v>46298</v>
      </c>
      <c r="E153" s="68">
        <v>46164</v>
      </c>
      <c r="F153" s="56">
        <f t="shared" si="2"/>
        <v>46166</v>
      </c>
      <c r="G153" s="29"/>
    </row>
    <row r="154" spans="1:7" ht="15.75" customHeight="1" x14ac:dyDescent="0.25">
      <c r="A154" t="s">
        <v>196</v>
      </c>
      <c r="B154">
        <v>78055895</v>
      </c>
      <c r="C154">
        <v>890000</v>
      </c>
      <c r="D154" s="27">
        <v>46299</v>
      </c>
      <c r="E154" s="68">
        <v>46164</v>
      </c>
      <c r="F154" s="56">
        <f t="shared" si="2"/>
        <v>46166</v>
      </c>
      <c r="G154" s="29"/>
    </row>
    <row r="155" spans="1:7" ht="15.75" customHeight="1" x14ac:dyDescent="0.25">
      <c r="A155" t="s">
        <v>196</v>
      </c>
      <c r="B155">
        <v>78055896</v>
      </c>
      <c r="C155">
        <v>890000</v>
      </c>
      <c r="D155" s="27">
        <v>46300</v>
      </c>
      <c r="E155" s="68">
        <v>46164</v>
      </c>
      <c r="F155" s="56">
        <f t="shared" si="2"/>
        <v>46166</v>
      </c>
      <c r="G155" s="29"/>
    </row>
    <row r="156" spans="1:7" ht="15.75" customHeight="1" x14ac:dyDescent="0.25">
      <c r="A156" t="s">
        <v>196</v>
      </c>
      <c r="B156">
        <v>8055887</v>
      </c>
      <c r="C156">
        <v>525400</v>
      </c>
      <c r="D156" s="27">
        <v>46301</v>
      </c>
      <c r="E156" s="68">
        <v>46164</v>
      </c>
      <c r="F156" s="56">
        <f t="shared" si="2"/>
        <v>46166</v>
      </c>
      <c r="G156" s="29"/>
    </row>
    <row r="157" spans="1:7" ht="15.75" customHeight="1" x14ac:dyDescent="0.25">
      <c r="A157" t="s">
        <v>210</v>
      </c>
      <c r="B157">
        <v>1369</v>
      </c>
      <c r="C157">
        <v>26348155</v>
      </c>
      <c r="D157" s="27">
        <v>46302</v>
      </c>
      <c r="E157" s="68">
        <v>46164</v>
      </c>
      <c r="F157" s="56">
        <f t="shared" si="2"/>
        <v>46166</v>
      </c>
      <c r="G157" s="29"/>
    </row>
    <row r="158" spans="1:7" ht="15.75" customHeight="1" x14ac:dyDescent="0.25">
      <c r="A158" t="s">
        <v>248</v>
      </c>
      <c r="B158">
        <v>6800188</v>
      </c>
      <c r="C158">
        <v>16576560</v>
      </c>
      <c r="D158" s="27">
        <v>46303</v>
      </c>
      <c r="E158" s="68">
        <v>46164</v>
      </c>
      <c r="F158" s="56">
        <f t="shared" si="2"/>
        <v>46166</v>
      </c>
      <c r="G158" s="29"/>
    </row>
    <row r="159" spans="1:7" ht="15.75" customHeight="1" x14ac:dyDescent="0.25">
      <c r="A159" t="s">
        <v>196</v>
      </c>
      <c r="B159">
        <v>78055901</v>
      </c>
      <c r="C159">
        <v>960000</v>
      </c>
      <c r="D159" s="27">
        <v>46304</v>
      </c>
      <c r="E159" s="68">
        <v>46164</v>
      </c>
      <c r="F159" s="56">
        <f t="shared" si="2"/>
        <v>46166</v>
      </c>
      <c r="G159" s="29"/>
    </row>
    <row r="160" spans="1:7" ht="15.75" customHeight="1" x14ac:dyDescent="0.25">
      <c r="A160" t="s">
        <v>218</v>
      </c>
      <c r="B160">
        <v>90018039</v>
      </c>
      <c r="C160">
        <v>9640400</v>
      </c>
      <c r="D160" s="27">
        <v>46305</v>
      </c>
      <c r="E160" s="68">
        <v>46164</v>
      </c>
      <c r="F160" s="56">
        <f t="shared" si="2"/>
        <v>46166</v>
      </c>
      <c r="G160" s="29"/>
    </row>
    <row r="161" spans="1:7" ht="15.75" customHeight="1" x14ac:dyDescent="0.25">
      <c r="A161" t="s">
        <v>213</v>
      </c>
      <c r="B161">
        <v>4715</v>
      </c>
      <c r="C161">
        <v>1300000</v>
      </c>
      <c r="D161" s="27">
        <v>46306</v>
      </c>
      <c r="E161" s="68">
        <v>46164</v>
      </c>
      <c r="F161" s="56">
        <f t="shared" si="2"/>
        <v>46166</v>
      </c>
      <c r="G161" s="29"/>
    </row>
    <row r="162" spans="1:7" ht="15.75" customHeight="1" x14ac:dyDescent="0.25">
      <c r="A162" t="s">
        <v>213</v>
      </c>
      <c r="B162">
        <v>4632</v>
      </c>
      <c r="C162">
        <v>1300000</v>
      </c>
      <c r="D162" s="27">
        <v>46307</v>
      </c>
      <c r="E162" s="68">
        <v>46164</v>
      </c>
      <c r="F162" s="56">
        <f t="shared" si="2"/>
        <v>46166</v>
      </c>
      <c r="G162" s="29"/>
    </row>
    <row r="163" spans="1:7" ht="15.75" customHeight="1" x14ac:dyDescent="0.25">
      <c r="A163" t="s">
        <v>227</v>
      </c>
      <c r="B163">
        <v>6818</v>
      </c>
      <c r="C163">
        <v>22336160</v>
      </c>
      <c r="D163" s="27">
        <v>46308</v>
      </c>
      <c r="E163" s="68">
        <v>46167</v>
      </c>
      <c r="F163" s="56">
        <f t="shared" si="2"/>
        <v>46169</v>
      </c>
      <c r="G163" s="29"/>
    </row>
    <row r="164" spans="1:7" ht="15.75" customHeight="1" x14ac:dyDescent="0.25">
      <c r="A164" t="s">
        <v>236</v>
      </c>
      <c r="B164">
        <v>9487744</v>
      </c>
      <c r="C164">
        <v>8879287.4600000009</v>
      </c>
      <c r="D164" s="27">
        <v>46309</v>
      </c>
      <c r="E164" s="68">
        <v>46167</v>
      </c>
      <c r="F164" s="56">
        <f t="shared" si="2"/>
        <v>46169</v>
      </c>
      <c r="G164" s="29"/>
    </row>
    <row r="165" spans="1:7" ht="15.75" customHeight="1" x14ac:dyDescent="0.25">
      <c r="A165" t="s">
        <v>190</v>
      </c>
      <c r="B165">
        <v>13378071</v>
      </c>
      <c r="C165">
        <v>2500000</v>
      </c>
      <c r="D165" s="27">
        <v>46310</v>
      </c>
      <c r="E165" s="68">
        <v>46167</v>
      </c>
      <c r="F165" s="56">
        <f t="shared" si="2"/>
        <v>46169</v>
      </c>
      <c r="G165" s="29"/>
    </row>
    <row r="166" spans="1:7" ht="15.75" customHeight="1" x14ac:dyDescent="0.25">
      <c r="A166" t="s">
        <v>190</v>
      </c>
      <c r="B166">
        <v>13378072</v>
      </c>
      <c r="C166">
        <v>2500000</v>
      </c>
      <c r="D166" s="27">
        <v>46311</v>
      </c>
      <c r="E166" s="68">
        <v>46167</v>
      </c>
      <c r="F166" s="56">
        <f t="shared" si="2"/>
        <v>46169</v>
      </c>
      <c r="G166" s="29"/>
    </row>
    <row r="167" spans="1:7" ht="15.75" customHeight="1" x14ac:dyDescent="0.25">
      <c r="A167" t="s">
        <v>190</v>
      </c>
      <c r="B167">
        <v>13378073</v>
      </c>
      <c r="C167">
        <v>2500000</v>
      </c>
      <c r="D167" s="27">
        <v>46312</v>
      </c>
      <c r="E167" s="68">
        <v>46167</v>
      </c>
      <c r="F167" s="56">
        <f t="shared" si="2"/>
        <v>46169</v>
      </c>
      <c r="G167" s="29"/>
    </row>
    <row r="168" spans="1:7" ht="15.75" customHeight="1" x14ac:dyDescent="0.25">
      <c r="A168" t="s">
        <v>234</v>
      </c>
      <c r="B168">
        <v>66612110</v>
      </c>
      <c r="C168">
        <v>14000000</v>
      </c>
      <c r="D168" s="27">
        <v>46313</v>
      </c>
      <c r="E168" s="68">
        <v>46167</v>
      </c>
      <c r="F168" s="56">
        <f t="shared" si="2"/>
        <v>46169</v>
      </c>
      <c r="G168" s="29"/>
    </row>
    <row r="169" spans="1:7" ht="15.75" customHeight="1" x14ac:dyDescent="0.25">
      <c r="A169" t="s">
        <v>200</v>
      </c>
      <c r="B169">
        <v>66487132</v>
      </c>
      <c r="C169">
        <v>4796000</v>
      </c>
      <c r="D169" s="27">
        <v>46314</v>
      </c>
      <c r="E169" s="68">
        <v>46167</v>
      </c>
      <c r="F169" s="56">
        <f t="shared" si="2"/>
        <v>46169</v>
      </c>
      <c r="G169" s="29"/>
    </row>
    <row r="170" spans="1:7" ht="15.75" customHeight="1" x14ac:dyDescent="0.25">
      <c r="A170" t="s">
        <v>196</v>
      </c>
      <c r="B170">
        <v>78055897</v>
      </c>
      <c r="C170">
        <v>907700</v>
      </c>
      <c r="D170" s="27">
        <v>46315</v>
      </c>
      <c r="E170" s="68">
        <v>46168</v>
      </c>
      <c r="F170" s="56">
        <f t="shared" si="2"/>
        <v>46170</v>
      </c>
      <c r="G170" s="29"/>
    </row>
    <row r="171" spans="1:7" ht="15.75" customHeight="1" x14ac:dyDescent="0.25">
      <c r="A171" t="s">
        <v>196</v>
      </c>
      <c r="B171">
        <v>78055902</v>
      </c>
      <c r="C171">
        <v>960000</v>
      </c>
      <c r="D171" s="27">
        <v>46316</v>
      </c>
      <c r="E171" s="68">
        <v>46168</v>
      </c>
      <c r="F171" s="56">
        <f t="shared" si="2"/>
        <v>46170</v>
      </c>
      <c r="G171" s="29"/>
    </row>
    <row r="172" spans="1:7" ht="15.75" customHeight="1" x14ac:dyDescent="0.25">
      <c r="A172" t="s">
        <v>213</v>
      </c>
      <c r="B172">
        <v>4716</v>
      </c>
      <c r="C172">
        <v>1300000</v>
      </c>
      <c r="D172" s="27">
        <v>46317</v>
      </c>
      <c r="E172" s="68">
        <v>46168</v>
      </c>
      <c r="F172" s="56">
        <f t="shared" si="2"/>
        <v>46170</v>
      </c>
      <c r="G172" s="29"/>
    </row>
    <row r="173" spans="1:7" ht="15.75" customHeight="1" x14ac:dyDescent="0.25">
      <c r="A173" t="s">
        <v>213</v>
      </c>
      <c r="B173">
        <v>4633</v>
      </c>
      <c r="C173">
        <v>1162600</v>
      </c>
      <c r="D173" s="27">
        <v>46318</v>
      </c>
      <c r="E173" s="68">
        <v>46168</v>
      </c>
      <c r="F173" s="56">
        <f t="shared" si="2"/>
        <v>46170</v>
      </c>
      <c r="G173" s="29"/>
    </row>
    <row r="174" spans="1:7" ht="15.75" customHeight="1" x14ac:dyDescent="0.25">
      <c r="A174" t="s">
        <v>203</v>
      </c>
      <c r="B174">
        <v>16</v>
      </c>
      <c r="C174">
        <v>19042210</v>
      </c>
      <c r="D174" s="27">
        <v>46319</v>
      </c>
      <c r="E174" s="68">
        <v>46169</v>
      </c>
      <c r="F174" s="56">
        <f t="shared" si="2"/>
        <v>46171</v>
      </c>
      <c r="G174" s="29"/>
    </row>
    <row r="175" spans="1:7" ht="15.75" customHeight="1" x14ac:dyDescent="0.25">
      <c r="A175" t="s">
        <v>200</v>
      </c>
      <c r="B175">
        <v>66486893</v>
      </c>
      <c r="C175">
        <v>5000000</v>
      </c>
      <c r="D175" s="27">
        <v>46320</v>
      </c>
      <c r="E175" s="68">
        <v>46169</v>
      </c>
      <c r="F175" s="56">
        <f t="shared" si="2"/>
        <v>46171</v>
      </c>
      <c r="G175" s="29"/>
    </row>
    <row r="176" spans="1:7" ht="15.75" customHeight="1" x14ac:dyDescent="0.25">
      <c r="A176" t="s">
        <v>196</v>
      </c>
      <c r="B176">
        <v>78055903</v>
      </c>
      <c r="C176">
        <v>960000</v>
      </c>
      <c r="D176" s="27">
        <v>46321</v>
      </c>
      <c r="E176" s="68">
        <v>46169</v>
      </c>
      <c r="F176" s="56">
        <f t="shared" si="2"/>
        <v>46171</v>
      </c>
      <c r="G176" s="29"/>
    </row>
    <row r="177" spans="1:7" ht="15.75" customHeight="1" x14ac:dyDescent="0.25">
      <c r="A177" t="s">
        <v>213</v>
      </c>
      <c r="B177">
        <v>4717</v>
      </c>
      <c r="C177">
        <v>1300000</v>
      </c>
      <c r="D177" s="27">
        <v>46322</v>
      </c>
      <c r="E177" s="68">
        <v>46169</v>
      </c>
      <c r="F177" s="56">
        <f t="shared" si="2"/>
        <v>46171</v>
      </c>
      <c r="G177" s="29"/>
    </row>
    <row r="178" spans="1:7" ht="15.75" customHeight="1" x14ac:dyDescent="0.25">
      <c r="A178" t="s">
        <v>205</v>
      </c>
      <c r="B178">
        <v>29153824</v>
      </c>
      <c r="C178">
        <v>8049582.4500000002</v>
      </c>
      <c r="D178" s="27">
        <v>46323</v>
      </c>
      <c r="E178" s="68">
        <v>46170</v>
      </c>
      <c r="F178" s="56">
        <f t="shared" si="2"/>
        <v>46172</v>
      </c>
      <c r="G178" s="29"/>
    </row>
    <row r="179" spans="1:7" ht="15.75" customHeight="1" x14ac:dyDescent="0.25">
      <c r="A179" t="s">
        <v>196</v>
      </c>
      <c r="B179">
        <v>78055904</v>
      </c>
      <c r="C179">
        <v>960000</v>
      </c>
      <c r="D179" s="27">
        <v>46324</v>
      </c>
      <c r="E179" s="68">
        <v>46170</v>
      </c>
      <c r="F179" s="56">
        <f t="shared" si="2"/>
        <v>46172</v>
      </c>
      <c r="G179" s="29"/>
    </row>
    <row r="180" spans="1:7" ht="15.75" customHeight="1" x14ac:dyDescent="0.25">
      <c r="A180" t="s">
        <v>215</v>
      </c>
      <c r="B180">
        <v>5221</v>
      </c>
      <c r="C180">
        <v>1626750</v>
      </c>
      <c r="D180" s="27">
        <v>46325</v>
      </c>
      <c r="E180" s="68">
        <v>46171</v>
      </c>
      <c r="F180" s="56">
        <f t="shared" si="2"/>
        <v>46173</v>
      </c>
      <c r="G180" s="29"/>
    </row>
    <row r="181" spans="1:7" ht="15.75" customHeight="1" x14ac:dyDescent="0.25">
      <c r="A181" t="s">
        <v>196</v>
      </c>
      <c r="B181">
        <v>78055905</v>
      </c>
      <c r="C181">
        <v>960000</v>
      </c>
      <c r="D181" s="27">
        <v>46326</v>
      </c>
      <c r="E181" s="68">
        <v>46171</v>
      </c>
      <c r="F181" s="56">
        <f t="shared" si="2"/>
        <v>46173</v>
      </c>
      <c r="G181" s="29"/>
    </row>
    <row r="182" spans="1:7" ht="15.75" customHeight="1" x14ac:dyDescent="0.25">
      <c r="A182" t="s">
        <v>213</v>
      </c>
      <c r="B182">
        <v>4718</v>
      </c>
      <c r="C182">
        <v>1300000</v>
      </c>
      <c r="D182" s="27">
        <v>46327</v>
      </c>
      <c r="E182" s="68">
        <v>46171</v>
      </c>
      <c r="F182" s="56">
        <f t="shared" si="2"/>
        <v>46173</v>
      </c>
      <c r="G182" s="29"/>
    </row>
    <row r="183" spans="1:7" ht="15.75" customHeight="1" x14ac:dyDescent="0.25">
      <c r="A183" t="s">
        <v>227</v>
      </c>
      <c r="B183">
        <v>6894</v>
      </c>
      <c r="C183">
        <v>19015040</v>
      </c>
      <c r="D183" s="27">
        <v>46328</v>
      </c>
      <c r="E183" s="68">
        <v>46174</v>
      </c>
      <c r="F183" s="56">
        <f t="shared" si="2"/>
        <v>46176</v>
      </c>
      <c r="G183" s="29"/>
    </row>
    <row r="184" spans="1:7" ht="15.75" customHeight="1" x14ac:dyDescent="0.25">
      <c r="A184" t="s">
        <v>196</v>
      </c>
      <c r="B184">
        <v>78055906</v>
      </c>
      <c r="C184">
        <v>960000</v>
      </c>
      <c r="D184" s="27">
        <v>46329</v>
      </c>
      <c r="E184" s="68">
        <v>46174</v>
      </c>
      <c r="F184" s="56">
        <f t="shared" si="2"/>
        <v>46176</v>
      </c>
      <c r="G184" s="29"/>
    </row>
    <row r="185" spans="1:7" ht="15.75" customHeight="1" x14ac:dyDescent="0.25">
      <c r="A185" t="s">
        <v>200</v>
      </c>
      <c r="B185">
        <v>66643962</v>
      </c>
      <c r="C185">
        <v>4457800</v>
      </c>
      <c r="D185" s="27">
        <v>46330</v>
      </c>
      <c r="E185" s="68">
        <v>46175</v>
      </c>
      <c r="F185" s="56">
        <f t="shared" si="2"/>
        <v>46177</v>
      </c>
      <c r="G185" s="29"/>
    </row>
    <row r="186" spans="1:7" ht="15.75" customHeight="1" x14ac:dyDescent="0.25">
      <c r="A186" t="s">
        <v>196</v>
      </c>
      <c r="B186">
        <v>78055907</v>
      </c>
      <c r="C186">
        <v>943200</v>
      </c>
      <c r="D186" s="27">
        <v>46331</v>
      </c>
      <c r="E186" s="68">
        <v>46175</v>
      </c>
      <c r="F186" s="56">
        <f t="shared" si="2"/>
        <v>46177</v>
      </c>
      <c r="G186" s="29"/>
    </row>
    <row r="187" spans="1:7" ht="15.75" customHeight="1" x14ac:dyDescent="0.25">
      <c r="A187" t="s">
        <v>200</v>
      </c>
      <c r="B187">
        <v>66643850</v>
      </c>
      <c r="C187">
        <v>4400000</v>
      </c>
      <c r="D187" s="27">
        <v>46332</v>
      </c>
      <c r="E187" s="68">
        <v>46176</v>
      </c>
      <c r="F187" s="56">
        <f t="shared" si="2"/>
        <v>46178</v>
      </c>
      <c r="G187" s="29"/>
    </row>
    <row r="188" spans="1:7" ht="15.75" customHeight="1" x14ac:dyDescent="0.25">
      <c r="A188" t="s">
        <v>227</v>
      </c>
      <c r="B188">
        <v>6948</v>
      </c>
      <c r="C188">
        <v>17842880</v>
      </c>
      <c r="D188" s="27">
        <v>46333</v>
      </c>
      <c r="E188" s="68">
        <v>46178</v>
      </c>
      <c r="F188" s="56">
        <f t="shared" si="2"/>
        <v>46180</v>
      </c>
      <c r="G188" s="29"/>
    </row>
    <row r="189" spans="1:7" ht="15.75" customHeight="1" x14ac:dyDescent="0.25">
      <c r="A189" t="s">
        <v>213</v>
      </c>
      <c r="B189">
        <v>4719</v>
      </c>
      <c r="C189">
        <v>1300000</v>
      </c>
      <c r="D189" s="27">
        <v>46334</v>
      </c>
      <c r="E189" s="68">
        <v>46178</v>
      </c>
      <c r="F189" s="56">
        <f t="shared" si="2"/>
        <v>46180</v>
      </c>
      <c r="G189" s="29"/>
    </row>
    <row r="190" spans="1:7" ht="15.75" customHeight="1" x14ac:dyDescent="0.25">
      <c r="A190" t="s">
        <v>213</v>
      </c>
      <c r="B190">
        <v>4720</v>
      </c>
      <c r="C190">
        <v>949750</v>
      </c>
      <c r="D190" s="27">
        <v>46335</v>
      </c>
      <c r="E190" s="68">
        <v>46181</v>
      </c>
      <c r="F190" s="56">
        <f t="shared" si="2"/>
        <v>46183</v>
      </c>
      <c r="G190" s="29"/>
    </row>
    <row r="191" spans="1:7" ht="15.75" customHeight="1" x14ac:dyDescent="0.25">
      <c r="A191" t="s">
        <v>248</v>
      </c>
      <c r="B191">
        <v>6760642</v>
      </c>
      <c r="C191">
        <v>24824194.600000001</v>
      </c>
      <c r="D191" s="27">
        <v>46336</v>
      </c>
      <c r="E191" s="68">
        <v>46185</v>
      </c>
      <c r="F191" s="56">
        <f t="shared" si="2"/>
        <v>46187</v>
      </c>
      <c r="G191" s="29"/>
    </row>
    <row r="192" spans="1:7" ht="15.75" customHeight="1" x14ac:dyDescent="0.25">
      <c r="A192" t="s">
        <v>245</v>
      </c>
      <c r="B192">
        <v>3436588</v>
      </c>
      <c r="C192">
        <v>1934482.85</v>
      </c>
      <c r="D192" s="27">
        <v>46337</v>
      </c>
      <c r="E192" s="68">
        <v>46223</v>
      </c>
      <c r="F192" s="56">
        <f t="shared" si="2"/>
        <v>46225</v>
      </c>
      <c r="G192" s="29"/>
    </row>
    <row r="193" spans="1:7" ht="15.75" customHeight="1" x14ac:dyDescent="0.25">
      <c r="A193" s="29"/>
      <c r="B193" s="55"/>
      <c r="C193" s="30"/>
      <c r="D193" s="27"/>
      <c r="E193" s="27"/>
      <c r="F193" s="56"/>
      <c r="G193" s="29"/>
    </row>
    <row r="194" spans="1:7" ht="15.75" customHeight="1" x14ac:dyDescent="0.25">
      <c r="A194" s="29"/>
      <c r="B194" s="55"/>
      <c r="C194" s="30"/>
      <c r="D194" s="27"/>
      <c r="E194" s="27"/>
      <c r="F194" s="56"/>
      <c r="G194" s="29"/>
    </row>
    <row r="195" spans="1:7" ht="15.75" customHeight="1" x14ac:dyDescent="0.25">
      <c r="A195" s="29"/>
      <c r="B195" s="55"/>
      <c r="C195" s="30"/>
      <c r="D195" s="27"/>
      <c r="E195" s="27"/>
      <c r="F195" s="56"/>
      <c r="G195" s="29"/>
    </row>
    <row r="196" spans="1:7" ht="15.75" customHeight="1" x14ac:dyDescent="0.25">
      <c r="A196" s="29"/>
      <c r="B196" s="55"/>
      <c r="C196" s="30"/>
      <c r="D196" s="27"/>
      <c r="E196" s="27"/>
      <c r="F196" s="56"/>
      <c r="G196" s="29"/>
    </row>
    <row r="197" spans="1:7" ht="15.75" customHeight="1" x14ac:dyDescent="0.25">
      <c r="A197" s="29"/>
      <c r="B197" s="55"/>
      <c r="C197" s="30"/>
      <c r="D197" s="27"/>
      <c r="E197" s="27"/>
      <c r="F197" s="56"/>
      <c r="G197" s="29"/>
    </row>
    <row r="198" spans="1:7" ht="15.75" customHeight="1" x14ac:dyDescent="0.25">
      <c r="A198" s="29"/>
      <c r="B198" s="55"/>
      <c r="C198" s="30"/>
      <c r="D198" s="27"/>
      <c r="E198" s="27"/>
      <c r="F198" s="56"/>
      <c r="G198" s="29"/>
    </row>
    <row r="199" spans="1:7" ht="15.75" customHeight="1" x14ac:dyDescent="0.25">
      <c r="A199" s="29"/>
      <c r="B199" s="55"/>
      <c r="C199" s="30"/>
      <c r="D199" s="27"/>
      <c r="E199" s="27"/>
      <c r="F199" s="56"/>
      <c r="G199" s="29"/>
    </row>
    <row r="200" spans="1:7" ht="15.75" customHeight="1" x14ac:dyDescent="0.25">
      <c r="A200" s="29"/>
      <c r="B200" s="55"/>
      <c r="C200" s="30"/>
      <c r="D200" s="27"/>
      <c r="E200" s="27"/>
      <c r="F200" s="56"/>
      <c r="G200" s="29"/>
    </row>
    <row r="201" spans="1:7" ht="15.75" customHeight="1" x14ac:dyDescent="0.25">
      <c r="A201" s="29"/>
      <c r="B201" s="55"/>
      <c r="C201" s="30"/>
      <c r="D201" s="27"/>
      <c r="E201" s="27"/>
      <c r="F201" s="56"/>
      <c r="G201" s="29"/>
    </row>
    <row r="202" spans="1:7" ht="15.75" customHeight="1" x14ac:dyDescent="0.25">
      <c r="A202" s="29"/>
      <c r="B202" s="55"/>
      <c r="C202" s="30"/>
      <c r="D202" s="27"/>
      <c r="E202" s="27"/>
      <c r="F202" s="56"/>
      <c r="G202" s="29"/>
    </row>
    <row r="203" spans="1:7" ht="15.75" customHeight="1" x14ac:dyDescent="0.25">
      <c r="A203" s="29"/>
      <c r="B203" s="55"/>
      <c r="C203" s="30"/>
      <c r="D203" s="27"/>
      <c r="E203" s="27"/>
      <c r="F203" s="56"/>
      <c r="G203" s="29"/>
    </row>
    <row r="204" spans="1:7" ht="15.75" customHeight="1" x14ac:dyDescent="0.25">
      <c r="A204" s="29"/>
      <c r="B204" s="55"/>
      <c r="C204" s="30"/>
      <c r="D204" s="27"/>
      <c r="E204" s="27"/>
      <c r="F204" s="56"/>
      <c r="G204" s="29"/>
    </row>
    <row r="205" spans="1:7" ht="15.75" customHeight="1" x14ac:dyDescent="0.25">
      <c r="A205" s="29"/>
      <c r="B205" s="55"/>
      <c r="C205" s="30"/>
      <c r="D205" s="27"/>
      <c r="E205" s="27"/>
      <c r="F205" s="56"/>
      <c r="G205" s="29"/>
    </row>
    <row r="206" spans="1:7" ht="15.75" customHeight="1" x14ac:dyDescent="0.25">
      <c r="A206" s="29"/>
      <c r="B206" s="55"/>
      <c r="C206" s="30"/>
      <c r="D206" s="27"/>
      <c r="E206" s="27"/>
      <c r="F206" s="56"/>
      <c r="G206" s="29"/>
    </row>
    <row r="207" spans="1:7" ht="15.75" customHeight="1" x14ac:dyDescent="0.25">
      <c r="A207" s="29"/>
      <c r="B207" s="55"/>
      <c r="C207" s="30"/>
      <c r="D207" s="27"/>
      <c r="E207" s="27"/>
      <c r="F207" s="56"/>
      <c r="G207" s="29"/>
    </row>
    <row r="208" spans="1:7" ht="15.75" customHeight="1" x14ac:dyDescent="0.25">
      <c r="A208" s="29"/>
      <c r="B208" s="55"/>
      <c r="C208" s="30"/>
      <c r="D208" s="27"/>
      <c r="E208" s="27"/>
      <c r="F208" s="56"/>
      <c r="G208" s="29"/>
    </row>
    <row r="209" spans="1:7" ht="15.75" customHeight="1" x14ac:dyDescent="0.25">
      <c r="A209" s="29"/>
      <c r="B209" s="55"/>
      <c r="C209" s="30"/>
      <c r="D209" s="27"/>
      <c r="E209" s="27"/>
      <c r="F209" s="56"/>
      <c r="G209" s="29"/>
    </row>
    <row r="210" spans="1:7" ht="15.75" customHeight="1" x14ac:dyDescent="0.25">
      <c r="A210" s="29"/>
      <c r="B210" s="55"/>
      <c r="C210" s="30"/>
      <c r="D210" s="27"/>
      <c r="E210" s="27"/>
      <c r="F210" s="56"/>
      <c r="G210" s="29"/>
    </row>
    <row r="211" spans="1:7" ht="15.75" customHeight="1" x14ac:dyDescent="0.25">
      <c r="A211" s="29"/>
      <c r="B211" s="55"/>
      <c r="C211" s="30"/>
      <c r="D211" s="27"/>
      <c r="E211" s="27"/>
      <c r="F211" s="56"/>
      <c r="G211" s="29"/>
    </row>
    <row r="212" spans="1:7" ht="15.75" customHeight="1" x14ac:dyDescent="0.25">
      <c r="A212" s="29"/>
      <c r="B212" s="55"/>
      <c r="C212" s="30"/>
      <c r="D212" s="27"/>
      <c r="E212" s="27"/>
      <c r="F212" s="56"/>
      <c r="G212" s="29"/>
    </row>
    <row r="213" spans="1:7" ht="15.75" customHeight="1" x14ac:dyDescent="0.25">
      <c r="A213" s="29"/>
      <c r="B213" s="55"/>
      <c r="C213" s="30"/>
      <c r="D213" s="27"/>
      <c r="E213" s="27"/>
      <c r="F213" s="56"/>
      <c r="G213" s="29"/>
    </row>
    <row r="214" spans="1:7" ht="15.75" customHeight="1" x14ac:dyDescent="0.25">
      <c r="A214" s="29"/>
      <c r="B214" s="55"/>
      <c r="C214" s="30"/>
      <c r="D214" s="27"/>
      <c r="E214" s="27"/>
      <c r="F214" s="56"/>
      <c r="G214" s="29"/>
    </row>
    <row r="215" spans="1:7" ht="15.75" customHeight="1" x14ac:dyDescent="0.25">
      <c r="A215" s="29"/>
      <c r="B215" s="55"/>
      <c r="C215" s="30"/>
      <c r="D215" s="27"/>
      <c r="E215" s="27"/>
      <c r="F215" s="56"/>
      <c r="G215" s="29"/>
    </row>
    <row r="216" spans="1:7" ht="15.75" customHeight="1" x14ac:dyDescent="0.25">
      <c r="A216" s="29"/>
      <c r="B216" s="55"/>
      <c r="C216" s="30"/>
      <c r="D216" s="27"/>
      <c r="E216" s="27"/>
      <c r="F216" s="56"/>
      <c r="G216" s="29"/>
    </row>
    <row r="217" spans="1:7" ht="15.75" customHeight="1" x14ac:dyDescent="0.25">
      <c r="A217" s="29"/>
      <c r="B217" s="55"/>
      <c r="C217" s="30"/>
      <c r="D217" s="27"/>
      <c r="E217" s="27"/>
      <c r="F217" s="56"/>
      <c r="G217" s="29"/>
    </row>
    <row r="218" spans="1:7" ht="15.75" customHeight="1" x14ac:dyDescent="0.25">
      <c r="A218" s="29"/>
      <c r="B218" s="55"/>
      <c r="C218" s="30"/>
      <c r="D218" s="27"/>
      <c r="E218" s="27"/>
      <c r="F218" s="56"/>
      <c r="G218" s="29"/>
    </row>
    <row r="219" spans="1:7" ht="15.75" customHeight="1" x14ac:dyDescent="0.25">
      <c r="A219" s="29"/>
      <c r="B219" s="55"/>
      <c r="C219" s="30"/>
      <c r="D219" s="27"/>
      <c r="E219" s="27"/>
      <c r="F219" s="56"/>
      <c r="G219" s="29"/>
    </row>
    <row r="220" spans="1:7" ht="15.75" customHeight="1" x14ac:dyDescent="0.25">
      <c r="A220" s="29"/>
      <c r="B220" s="55"/>
      <c r="C220" s="30"/>
      <c r="D220" s="27"/>
      <c r="E220" s="27"/>
      <c r="F220" s="56"/>
      <c r="G220" s="29"/>
    </row>
    <row r="221" spans="1:7" ht="15.75" customHeight="1" x14ac:dyDescent="0.25">
      <c r="A221" s="29"/>
      <c r="B221" s="55"/>
      <c r="C221" s="30"/>
      <c r="D221" s="27"/>
      <c r="E221" s="27"/>
      <c r="F221" s="56"/>
      <c r="G221" s="29"/>
    </row>
    <row r="222" spans="1:7" ht="15.75" customHeight="1" x14ac:dyDescent="0.25">
      <c r="A222" s="29"/>
      <c r="B222" s="55"/>
      <c r="C222" s="30"/>
      <c r="D222" s="27"/>
      <c r="E222" s="27"/>
      <c r="F222" s="56"/>
      <c r="G222" s="29"/>
    </row>
    <row r="223" spans="1:7" ht="15.75" customHeight="1" x14ac:dyDescent="0.25">
      <c r="A223" s="29"/>
      <c r="B223" s="55"/>
      <c r="C223" s="30"/>
      <c r="D223" s="27"/>
      <c r="E223" s="27"/>
      <c r="F223" s="56"/>
      <c r="G223" s="29"/>
    </row>
    <row r="224" spans="1:7" ht="15.75" customHeight="1" x14ac:dyDescent="0.25">
      <c r="A224" s="29"/>
      <c r="B224" s="55"/>
      <c r="C224" s="30"/>
      <c r="D224" s="27"/>
      <c r="E224" s="27"/>
      <c r="F224" s="56"/>
      <c r="G224" s="29"/>
    </row>
    <row r="225" spans="1:7" ht="15.75" customHeight="1" x14ac:dyDescent="0.25">
      <c r="A225" s="29"/>
      <c r="B225" s="55"/>
      <c r="C225" s="30"/>
      <c r="D225" s="27"/>
      <c r="E225" s="27"/>
      <c r="F225" s="56"/>
      <c r="G225" s="29"/>
    </row>
    <row r="226" spans="1:7" ht="15.75" customHeight="1" x14ac:dyDescent="0.25">
      <c r="A226" s="29"/>
      <c r="B226" s="55"/>
      <c r="C226" s="30"/>
      <c r="D226" s="27"/>
      <c r="E226" s="27"/>
      <c r="F226" s="56"/>
      <c r="G226" s="29"/>
    </row>
    <row r="227" spans="1:7" ht="15.75" customHeight="1" x14ac:dyDescent="0.25">
      <c r="A227" s="29"/>
      <c r="B227" s="55"/>
      <c r="C227" s="30"/>
      <c r="D227" s="27"/>
      <c r="E227" s="27"/>
      <c r="F227" s="56"/>
      <c r="G227" s="29"/>
    </row>
    <row r="228" spans="1:7" ht="15.75" customHeight="1" x14ac:dyDescent="0.25">
      <c r="A228" s="29"/>
      <c r="B228" s="55"/>
      <c r="C228" s="30"/>
      <c r="D228" s="27"/>
      <c r="E228" s="27"/>
      <c r="F228" s="56"/>
      <c r="G228" s="29"/>
    </row>
    <row r="229" spans="1:7" ht="15.75" customHeight="1" x14ac:dyDescent="0.25">
      <c r="A229" s="29"/>
      <c r="B229" s="55"/>
      <c r="C229" s="30"/>
      <c r="D229" s="27"/>
      <c r="E229" s="27"/>
      <c r="F229" s="56"/>
      <c r="G229" s="29"/>
    </row>
    <row r="230" spans="1:7" ht="15.75" customHeight="1" x14ac:dyDescent="0.25">
      <c r="A230" s="29"/>
      <c r="B230" s="55"/>
      <c r="C230" s="30"/>
      <c r="D230" s="27"/>
      <c r="E230" s="27"/>
      <c r="F230" s="56"/>
      <c r="G230" s="29"/>
    </row>
    <row r="231" spans="1:7" ht="15.75" customHeight="1" x14ac:dyDescent="0.25">
      <c r="A231" s="29"/>
      <c r="B231" s="55"/>
      <c r="C231" s="30"/>
      <c r="D231" s="27"/>
      <c r="E231" s="27"/>
      <c r="F231" s="56"/>
      <c r="G231" s="29"/>
    </row>
    <row r="232" spans="1:7" ht="15.75" customHeight="1" x14ac:dyDescent="0.25">
      <c r="A232" s="29"/>
      <c r="B232" s="55"/>
      <c r="C232" s="30"/>
      <c r="D232" s="27"/>
      <c r="E232" s="27"/>
      <c r="F232" s="56"/>
      <c r="G232" s="29"/>
    </row>
    <row r="233" spans="1:7" ht="15.75" customHeight="1" x14ac:dyDescent="0.25">
      <c r="A233" s="29"/>
      <c r="B233" s="55"/>
      <c r="C233" s="30"/>
      <c r="D233" s="27"/>
      <c r="E233" s="27"/>
      <c r="F233" s="56"/>
      <c r="G233" s="29"/>
    </row>
    <row r="234" spans="1:7" ht="15.75" customHeight="1" x14ac:dyDescent="0.25">
      <c r="A234" s="29"/>
      <c r="B234" s="55"/>
      <c r="C234" s="30"/>
      <c r="D234" s="27"/>
      <c r="E234" s="27"/>
      <c r="F234" s="56"/>
      <c r="G234" s="29"/>
    </row>
    <row r="235" spans="1:7" ht="15.75" customHeight="1" x14ac:dyDescent="0.25">
      <c r="A235" s="29"/>
      <c r="B235" s="55"/>
      <c r="C235" s="30"/>
      <c r="D235" s="27"/>
      <c r="E235" s="27"/>
      <c r="F235" s="56"/>
      <c r="G235" s="29"/>
    </row>
    <row r="236" spans="1:7" ht="15.75" customHeight="1" x14ac:dyDescent="0.25">
      <c r="A236" s="29"/>
      <c r="B236" s="55"/>
      <c r="C236" s="30"/>
      <c r="D236" s="27"/>
      <c r="E236" s="27"/>
      <c r="F236" s="56"/>
      <c r="G236" s="29"/>
    </row>
    <row r="237" spans="1:7" ht="15.75" customHeight="1" x14ac:dyDescent="0.25">
      <c r="A237" s="29"/>
      <c r="B237" s="55"/>
      <c r="C237" s="30"/>
      <c r="D237" s="27"/>
      <c r="E237" s="27"/>
      <c r="F237" s="56"/>
      <c r="G237" s="29"/>
    </row>
    <row r="238" spans="1:7" ht="15.75" customHeight="1" x14ac:dyDescent="0.25">
      <c r="A238" s="29"/>
      <c r="B238" s="55"/>
      <c r="C238" s="30"/>
      <c r="D238" s="27"/>
      <c r="E238" s="27"/>
      <c r="F238" s="56"/>
      <c r="G238" s="29"/>
    </row>
    <row r="239" spans="1:7" ht="15.75" customHeight="1" x14ac:dyDescent="0.25">
      <c r="A239" s="29"/>
      <c r="B239" s="55"/>
      <c r="C239" s="30"/>
      <c r="D239" s="27"/>
      <c r="E239" s="27"/>
      <c r="F239" s="56"/>
      <c r="G239" s="29"/>
    </row>
    <row r="240" spans="1:7" ht="15.75" customHeight="1" x14ac:dyDescent="0.25">
      <c r="A240" s="29"/>
      <c r="B240" s="55"/>
      <c r="C240" s="30"/>
      <c r="D240" s="27"/>
      <c r="E240" s="27"/>
      <c r="F240" s="56"/>
      <c r="G240" s="29"/>
    </row>
    <row r="241" spans="1:7" ht="15.75" customHeight="1" x14ac:dyDescent="0.25">
      <c r="A241" s="29"/>
      <c r="B241" s="55"/>
      <c r="C241" s="30"/>
      <c r="D241" s="27"/>
      <c r="E241" s="27"/>
      <c r="F241" s="56"/>
      <c r="G241" s="29"/>
    </row>
    <row r="242" spans="1:7" ht="15.75" customHeight="1" x14ac:dyDescent="0.25">
      <c r="A242" s="29"/>
      <c r="B242" s="55"/>
      <c r="C242" s="30"/>
      <c r="D242" s="27"/>
      <c r="E242" s="27"/>
      <c r="F242" s="56"/>
      <c r="G242" s="29"/>
    </row>
    <row r="243" spans="1:7" ht="15.75" customHeight="1" x14ac:dyDescent="0.25">
      <c r="A243" s="29"/>
      <c r="B243" s="55"/>
      <c r="C243" s="30"/>
      <c r="D243" s="27"/>
      <c r="E243" s="27"/>
      <c r="F243" s="56"/>
      <c r="G243" s="29"/>
    </row>
    <row r="244" spans="1:7" ht="15.75" customHeight="1" x14ac:dyDescent="0.25">
      <c r="A244" s="29"/>
      <c r="B244" s="55"/>
      <c r="C244" s="30"/>
      <c r="D244" s="27"/>
      <c r="E244" s="27"/>
      <c r="F244" s="56"/>
      <c r="G244" s="29"/>
    </row>
    <row r="245" spans="1:7" ht="15.75" customHeight="1" x14ac:dyDescent="0.25">
      <c r="A245" s="29"/>
      <c r="B245" s="55"/>
      <c r="C245" s="30"/>
      <c r="D245" s="27"/>
      <c r="E245" s="27"/>
      <c r="F245" s="56"/>
      <c r="G245" s="29"/>
    </row>
    <row r="246" spans="1:7" ht="15.75" customHeight="1" x14ac:dyDescent="0.25">
      <c r="A246" s="29"/>
      <c r="B246" s="55"/>
      <c r="C246" s="30"/>
      <c r="D246" s="27"/>
      <c r="E246" s="27"/>
      <c r="F246" s="56"/>
      <c r="G246" s="29"/>
    </row>
    <row r="247" spans="1:7" ht="15.75" customHeight="1" x14ac:dyDescent="0.25">
      <c r="A247" s="29"/>
      <c r="B247" s="55"/>
      <c r="C247" s="30"/>
      <c r="D247" s="27"/>
      <c r="E247" s="27"/>
      <c r="F247" s="56"/>
      <c r="G247" s="29"/>
    </row>
    <row r="248" spans="1:7" ht="15.75" customHeight="1" x14ac:dyDescent="0.25">
      <c r="A248" s="29"/>
      <c r="B248" s="55"/>
      <c r="C248" s="30"/>
      <c r="D248" s="27"/>
      <c r="E248" s="27"/>
      <c r="F248" s="56"/>
      <c r="G248" s="29"/>
    </row>
    <row r="249" spans="1:7" ht="15.75" customHeight="1" x14ac:dyDescent="0.25">
      <c r="A249" s="29"/>
      <c r="B249" s="55"/>
      <c r="C249" s="30"/>
      <c r="D249" s="27"/>
      <c r="E249" s="27"/>
      <c r="F249" s="56"/>
      <c r="G249" s="29"/>
    </row>
    <row r="250" spans="1:7" ht="15.75" customHeight="1" x14ac:dyDescent="0.25">
      <c r="A250" s="29"/>
      <c r="B250" s="55"/>
      <c r="C250" s="30"/>
      <c r="D250" s="27"/>
      <c r="E250" s="27"/>
      <c r="F250" s="56"/>
      <c r="G250" s="29"/>
    </row>
    <row r="251" spans="1:7" ht="15.75" customHeight="1" x14ac:dyDescent="0.25">
      <c r="A251" s="29"/>
      <c r="B251" s="55"/>
      <c r="C251" s="30"/>
      <c r="D251" s="27"/>
      <c r="E251" s="27"/>
      <c r="F251" s="56"/>
      <c r="G251" s="29"/>
    </row>
    <row r="252" spans="1:7" ht="15.75" customHeight="1" x14ac:dyDescent="0.25">
      <c r="A252" s="29"/>
      <c r="B252" s="55"/>
      <c r="C252" s="30"/>
      <c r="D252" s="27"/>
      <c r="E252" s="27"/>
      <c r="F252" s="56"/>
      <c r="G252" s="29"/>
    </row>
    <row r="253" spans="1:7" ht="15.75" customHeight="1" x14ac:dyDescent="0.25">
      <c r="A253" s="29"/>
      <c r="B253" s="55"/>
      <c r="C253" s="30"/>
      <c r="D253" s="27"/>
      <c r="E253" s="27"/>
      <c r="F253" s="56"/>
      <c r="G253" s="29"/>
    </row>
    <row r="254" spans="1:7" ht="15.75" customHeight="1" x14ac:dyDescent="0.25">
      <c r="A254" s="29"/>
      <c r="B254" s="55"/>
      <c r="C254" s="30"/>
      <c r="D254" s="27"/>
      <c r="E254" s="27"/>
      <c r="F254" s="56"/>
      <c r="G254" s="29"/>
    </row>
    <row r="255" spans="1:7" ht="15.75" customHeight="1" x14ac:dyDescent="0.25">
      <c r="A255" s="29"/>
      <c r="B255" s="55"/>
      <c r="C255" s="30"/>
      <c r="D255" s="27"/>
      <c r="E255" s="27"/>
      <c r="F255" s="56"/>
      <c r="G255" s="29"/>
    </row>
    <row r="256" spans="1:7" ht="15.75" customHeight="1" x14ac:dyDescent="0.25">
      <c r="A256" s="29"/>
      <c r="B256" s="55"/>
      <c r="C256" s="30"/>
      <c r="D256" s="27"/>
      <c r="E256" s="27"/>
      <c r="F256" s="56"/>
      <c r="G256" s="29"/>
    </row>
    <row r="257" spans="1:7" ht="15.75" customHeight="1" x14ac:dyDescent="0.25">
      <c r="A257" s="29"/>
      <c r="B257" s="55"/>
      <c r="C257" s="30"/>
      <c r="D257" s="27"/>
      <c r="E257" s="27"/>
      <c r="F257" s="56"/>
      <c r="G257" s="29"/>
    </row>
    <row r="258" spans="1:7" ht="15.75" customHeight="1" x14ac:dyDescent="0.25">
      <c r="A258" s="29"/>
      <c r="B258" s="55"/>
      <c r="C258" s="30"/>
      <c r="D258" s="27"/>
      <c r="E258" s="27"/>
      <c r="F258" s="56"/>
      <c r="G258" s="29"/>
    </row>
    <row r="259" spans="1:7" ht="15.75" customHeight="1" x14ac:dyDescent="0.25">
      <c r="A259" s="29"/>
      <c r="B259" s="55"/>
      <c r="C259" s="30"/>
      <c r="D259" s="27"/>
      <c r="E259" s="27"/>
      <c r="F259" s="56"/>
      <c r="G259" s="29"/>
    </row>
    <row r="260" spans="1:7" ht="15.75" customHeight="1" x14ac:dyDescent="0.25">
      <c r="A260" s="29"/>
      <c r="B260" s="55"/>
      <c r="C260" s="30"/>
      <c r="D260" s="27"/>
      <c r="E260" s="27"/>
      <c r="F260" s="56"/>
      <c r="G260" s="29"/>
    </row>
    <row r="261" spans="1:7" ht="15.75" customHeight="1" x14ac:dyDescent="0.25">
      <c r="A261" s="29"/>
      <c r="B261" s="55"/>
      <c r="C261" s="30"/>
      <c r="D261" s="27"/>
      <c r="E261" s="27"/>
      <c r="F261" s="56"/>
      <c r="G261" s="29"/>
    </row>
    <row r="262" spans="1:7" ht="15.75" customHeight="1" x14ac:dyDescent="0.25">
      <c r="A262" s="29"/>
      <c r="B262" s="55"/>
      <c r="C262" s="30"/>
      <c r="D262" s="27"/>
      <c r="E262" s="27"/>
      <c r="F262" s="56"/>
      <c r="G262" s="29"/>
    </row>
    <row r="263" spans="1:7" ht="15.75" customHeight="1" x14ac:dyDescent="0.25">
      <c r="A263" s="29"/>
      <c r="B263" s="55"/>
      <c r="C263" s="30"/>
      <c r="D263" s="27"/>
      <c r="E263" s="27"/>
      <c r="F263" s="56"/>
      <c r="G263" s="29"/>
    </row>
    <row r="264" spans="1:7" ht="15.75" customHeight="1" x14ac:dyDescent="0.25">
      <c r="A264" s="29"/>
      <c r="B264" s="55"/>
      <c r="C264" s="30"/>
      <c r="D264" s="27"/>
      <c r="E264" s="27"/>
      <c r="F264" s="56"/>
      <c r="G264" s="29"/>
    </row>
    <row r="265" spans="1:7" ht="15.75" customHeight="1" x14ac:dyDescent="0.25">
      <c r="A265" s="29"/>
      <c r="B265" s="55"/>
      <c r="C265" s="30"/>
      <c r="D265" s="27"/>
      <c r="E265" s="27"/>
      <c r="F265" s="56"/>
      <c r="G265" s="29"/>
    </row>
    <row r="266" spans="1:7" ht="15.75" customHeight="1" x14ac:dyDescent="0.25">
      <c r="A266" s="29"/>
      <c r="B266" s="55"/>
      <c r="C266" s="30"/>
      <c r="D266" s="27"/>
      <c r="E266" s="27"/>
      <c r="F266" s="56"/>
      <c r="G266" s="29"/>
    </row>
    <row r="267" spans="1:7" ht="15.75" customHeight="1" x14ac:dyDescent="0.25">
      <c r="A267" s="29"/>
      <c r="B267" s="55"/>
      <c r="C267" s="30"/>
      <c r="D267" s="27"/>
      <c r="E267" s="27"/>
      <c r="F267" s="56"/>
      <c r="G267" s="29"/>
    </row>
    <row r="268" spans="1:7" ht="15.75" customHeight="1" x14ac:dyDescent="0.25">
      <c r="A268" s="29"/>
      <c r="B268" s="55"/>
      <c r="C268" s="30"/>
      <c r="D268" s="27"/>
      <c r="E268" s="27"/>
      <c r="F268" s="56"/>
      <c r="G268" s="29"/>
    </row>
    <row r="269" spans="1:7" ht="15.75" customHeight="1" x14ac:dyDescent="0.25">
      <c r="A269" s="29"/>
      <c r="B269" s="55"/>
      <c r="C269" s="30"/>
      <c r="D269" s="27"/>
      <c r="E269" s="27"/>
      <c r="F269" s="56"/>
      <c r="G269" s="29"/>
    </row>
    <row r="270" spans="1:7" ht="15.75" customHeight="1" x14ac:dyDescent="0.25">
      <c r="A270" s="29"/>
      <c r="B270" s="55"/>
      <c r="C270" s="30"/>
      <c r="D270" s="27"/>
      <c r="E270" s="27"/>
      <c r="F270" s="56"/>
      <c r="G270" s="29"/>
    </row>
    <row r="271" spans="1:7" ht="15.75" customHeight="1" x14ac:dyDescent="0.25">
      <c r="A271" s="29"/>
      <c r="B271" s="55"/>
      <c r="C271" s="30"/>
      <c r="D271" s="27"/>
      <c r="E271" s="27"/>
      <c r="F271" s="56"/>
      <c r="G271" s="29"/>
    </row>
    <row r="272" spans="1:7" ht="15.75" customHeight="1" x14ac:dyDescent="0.25">
      <c r="A272" s="29"/>
      <c r="B272" s="55"/>
      <c r="C272" s="30"/>
      <c r="D272" s="27"/>
      <c r="E272" s="27"/>
      <c r="F272" s="56"/>
      <c r="G272" s="29"/>
    </row>
    <row r="273" spans="1:7" ht="15.75" customHeight="1" x14ac:dyDescent="0.25">
      <c r="A273" s="29"/>
      <c r="B273" s="55"/>
      <c r="C273" s="30"/>
      <c r="D273" s="27"/>
      <c r="E273" s="27"/>
      <c r="F273" s="56"/>
      <c r="G273" s="29"/>
    </row>
    <row r="274" spans="1:7" ht="15.75" customHeight="1" x14ac:dyDescent="0.25">
      <c r="A274" s="29"/>
      <c r="B274" s="55"/>
      <c r="C274" s="30"/>
      <c r="D274" s="27"/>
      <c r="E274" s="27"/>
      <c r="F274" s="56"/>
      <c r="G274" s="29"/>
    </row>
    <row r="275" spans="1:7" ht="15.75" customHeight="1" x14ac:dyDescent="0.25">
      <c r="A275" s="29"/>
      <c r="B275" s="55"/>
      <c r="C275" s="30"/>
      <c r="D275" s="27"/>
      <c r="E275" s="27"/>
      <c r="F275" s="56"/>
      <c r="G275" s="29"/>
    </row>
    <row r="276" spans="1:7" ht="15.75" customHeight="1" x14ac:dyDescent="0.25">
      <c r="A276" s="29"/>
      <c r="B276" s="55"/>
      <c r="C276" s="30"/>
      <c r="D276" s="27"/>
      <c r="E276" s="27"/>
      <c r="F276" s="56"/>
      <c r="G276" s="29"/>
    </row>
    <row r="277" spans="1:7" ht="15.75" customHeight="1" x14ac:dyDescent="0.25">
      <c r="A277" s="29"/>
      <c r="B277" s="55"/>
      <c r="C277" s="30"/>
      <c r="D277" s="27"/>
      <c r="E277" s="27"/>
      <c r="F277" s="56"/>
      <c r="G277" s="29"/>
    </row>
    <row r="278" spans="1:7" ht="15.75" customHeight="1" x14ac:dyDescent="0.25">
      <c r="A278" s="29"/>
      <c r="B278" s="55"/>
      <c r="C278" s="30"/>
      <c r="D278" s="27"/>
      <c r="E278" s="27"/>
      <c r="F278" s="56"/>
      <c r="G278" s="29"/>
    </row>
    <row r="279" spans="1:7" ht="15.75" customHeight="1" x14ac:dyDescent="0.25">
      <c r="A279" s="29"/>
      <c r="B279" s="55"/>
      <c r="C279" s="30"/>
      <c r="D279" s="27"/>
      <c r="E279" s="27"/>
      <c r="F279" s="56"/>
      <c r="G279" s="29"/>
    </row>
    <row r="280" spans="1:7" ht="15.75" customHeight="1" x14ac:dyDescent="0.25">
      <c r="A280" s="29"/>
      <c r="B280" s="55"/>
      <c r="C280" s="30"/>
      <c r="D280" s="27"/>
      <c r="E280" s="27"/>
      <c r="F280" s="56"/>
      <c r="G280" s="29"/>
    </row>
    <row r="281" spans="1:7" ht="15.75" customHeight="1" x14ac:dyDescent="0.25">
      <c r="A281" s="29"/>
      <c r="B281" s="55"/>
      <c r="C281" s="30"/>
      <c r="D281" s="27"/>
      <c r="E281" s="27"/>
      <c r="F281" s="56"/>
      <c r="G281" s="29"/>
    </row>
    <row r="282" spans="1:7" ht="15.75" customHeight="1" x14ac:dyDescent="0.25">
      <c r="A282" s="29"/>
      <c r="B282" s="55"/>
      <c r="C282" s="30"/>
      <c r="D282" s="27"/>
      <c r="E282" s="27"/>
      <c r="F282" s="56"/>
      <c r="G282" s="29"/>
    </row>
    <row r="283" spans="1:7" ht="15.75" customHeight="1" x14ac:dyDescent="0.25">
      <c r="A283" s="29"/>
      <c r="B283" s="55"/>
      <c r="C283" s="30"/>
      <c r="D283" s="27"/>
      <c r="E283" s="27"/>
      <c r="F283" s="56"/>
      <c r="G283" s="29"/>
    </row>
    <row r="284" spans="1:7" ht="15.75" customHeight="1" x14ac:dyDescent="0.25">
      <c r="A284" s="29"/>
      <c r="B284" s="55"/>
      <c r="C284" s="30"/>
      <c r="D284" s="27"/>
      <c r="E284" s="27"/>
      <c r="F284" s="56"/>
      <c r="G284" s="29"/>
    </row>
    <row r="285" spans="1:7" ht="15.75" customHeight="1" x14ac:dyDescent="0.25">
      <c r="A285" s="29"/>
      <c r="B285" s="55"/>
      <c r="C285" s="30"/>
      <c r="D285" s="27"/>
      <c r="E285" s="27"/>
      <c r="F285" s="56"/>
      <c r="G285" s="29"/>
    </row>
    <row r="286" spans="1:7" ht="15.75" customHeight="1" x14ac:dyDescent="0.25">
      <c r="A286" s="29"/>
      <c r="B286" s="55"/>
      <c r="C286" s="30"/>
      <c r="D286" s="27"/>
      <c r="E286" s="27"/>
      <c r="F286" s="56"/>
      <c r="G286" s="29"/>
    </row>
    <row r="287" spans="1:7" ht="15.75" customHeight="1" x14ac:dyDescent="0.25">
      <c r="A287" s="29"/>
      <c r="B287" s="55"/>
      <c r="C287" s="30"/>
      <c r="D287" s="27"/>
      <c r="E287" s="27"/>
      <c r="F287" s="56"/>
      <c r="G287" s="29"/>
    </row>
    <row r="288" spans="1:7" ht="15.75" customHeight="1" x14ac:dyDescent="0.25">
      <c r="A288" s="29"/>
      <c r="B288" s="55"/>
      <c r="C288" s="30"/>
      <c r="D288" s="27"/>
      <c r="E288" s="27"/>
      <c r="F288" s="56"/>
      <c r="G288" s="29"/>
    </row>
    <row r="289" spans="1:7" ht="15.75" customHeight="1" x14ac:dyDescent="0.25">
      <c r="A289" s="29"/>
      <c r="B289" s="55"/>
      <c r="C289" s="30"/>
      <c r="D289" s="27"/>
      <c r="E289" s="27"/>
      <c r="F289" s="56"/>
      <c r="G289" s="29"/>
    </row>
    <row r="290" spans="1:7" ht="15.75" customHeight="1" x14ac:dyDescent="0.25">
      <c r="A290" s="29"/>
      <c r="B290" s="55"/>
      <c r="C290" s="30"/>
      <c r="D290" s="27"/>
      <c r="E290" s="27"/>
      <c r="F290" s="56"/>
      <c r="G290" s="29"/>
    </row>
    <row r="291" spans="1:7" ht="15.75" customHeight="1" x14ac:dyDescent="0.25">
      <c r="A291" s="29"/>
      <c r="B291" s="55"/>
      <c r="C291" s="30"/>
      <c r="D291" s="27"/>
      <c r="E291" s="27"/>
      <c r="F291" s="56"/>
      <c r="G291" s="29"/>
    </row>
    <row r="292" spans="1:7" ht="15.75" customHeight="1" x14ac:dyDescent="0.25">
      <c r="A292" s="29"/>
      <c r="B292" s="55"/>
      <c r="C292" s="30"/>
      <c r="D292" s="27"/>
      <c r="E292" s="27"/>
      <c r="F292" s="56"/>
      <c r="G292" s="29"/>
    </row>
    <row r="293" spans="1:7" ht="15.75" customHeight="1" x14ac:dyDescent="0.25">
      <c r="A293" s="29"/>
      <c r="B293" s="55"/>
      <c r="C293" s="30"/>
      <c r="D293" s="27"/>
      <c r="E293" s="27"/>
      <c r="F293" s="56"/>
      <c r="G293" s="29"/>
    </row>
    <row r="294" spans="1:7" ht="15.75" customHeight="1" x14ac:dyDescent="0.25">
      <c r="A294" s="29"/>
      <c r="B294" s="55"/>
      <c r="C294" s="30"/>
      <c r="D294" s="27"/>
      <c r="E294" s="27"/>
      <c r="F294" s="56"/>
      <c r="G294" s="29"/>
    </row>
    <row r="295" spans="1:7" ht="15.75" customHeight="1" x14ac:dyDescent="0.25">
      <c r="A295" s="29"/>
      <c r="B295" s="55"/>
      <c r="C295" s="30"/>
      <c r="D295" s="27"/>
      <c r="E295" s="27"/>
      <c r="F295" s="56"/>
      <c r="G295" s="29"/>
    </row>
    <row r="296" spans="1:7" ht="15.75" customHeight="1" x14ac:dyDescent="0.25">
      <c r="A296" s="29"/>
      <c r="B296" s="55"/>
      <c r="C296" s="30"/>
      <c r="D296" s="27"/>
      <c r="E296" s="27"/>
      <c r="F296" s="56"/>
      <c r="G296" s="29"/>
    </row>
    <row r="297" spans="1:7" ht="15.75" customHeight="1" x14ac:dyDescent="0.25">
      <c r="A297" s="29"/>
      <c r="B297" s="55"/>
      <c r="C297" s="30"/>
      <c r="D297" s="27"/>
      <c r="E297" s="27"/>
      <c r="F297" s="56"/>
      <c r="G297" s="29"/>
    </row>
    <row r="298" spans="1:7" ht="15.75" customHeight="1" x14ac:dyDescent="0.25">
      <c r="A298" s="29"/>
      <c r="B298" s="55"/>
      <c r="C298" s="30"/>
      <c r="D298" s="27"/>
      <c r="E298" s="27"/>
      <c r="F298" s="56"/>
      <c r="G298" s="29"/>
    </row>
    <row r="299" spans="1:7" ht="15.75" customHeight="1" x14ac:dyDescent="0.25">
      <c r="A299" s="29"/>
      <c r="B299" s="55"/>
      <c r="C299" s="30"/>
      <c r="D299" s="27"/>
      <c r="E299" s="27"/>
      <c r="F299" s="56"/>
      <c r="G299" s="29"/>
    </row>
    <row r="300" spans="1:7" ht="15.75" customHeight="1" x14ac:dyDescent="0.25">
      <c r="A300" s="29"/>
      <c r="B300" s="55"/>
      <c r="C300" s="30"/>
      <c r="D300" s="27"/>
      <c r="E300" s="27"/>
      <c r="F300" s="56"/>
      <c r="G300" s="29"/>
    </row>
    <row r="301" spans="1:7" ht="15.75" customHeight="1" x14ac:dyDescent="0.25">
      <c r="A301" s="29"/>
      <c r="B301" s="55"/>
      <c r="C301" s="30"/>
      <c r="D301" s="27"/>
      <c r="E301" s="27"/>
      <c r="F301" s="56"/>
      <c r="G301" s="29"/>
    </row>
    <row r="302" spans="1:7" ht="15.75" customHeight="1" x14ac:dyDescent="0.25">
      <c r="A302" s="29"/>
      <c r="B302" s="55"/>
      <c r="C302" s="30"/>
      <c r="D302" s="27"/>
      <c r="E302" s="27"/>
      <c r="F302" s="56"/>
      <c r="G302" s="29"/>
    </row>
    <row r="303" spans="1:7" ht="15.75" customHeight="1" x14ac:dyDescent="0.25">
      <c r="A303" s="29"/>
      <c r="B303" s="55"/>
      <c r="C303" s="30"/>
      <c r="D303" s="27"/>
      <c r="E303" s="27"/>
      <c r="F303" s="56"/>
      <c r="G303" s="29"/>
    </row>
    <row r="304" spans="1:7" ht="15.75" customHeight="1" x14ac:dyDescent="0.25">
      <c r="A304" s="29"/>
      <c r="B304" s="55"/>
      <c r="C304" s="30"/>
      <c r="D304" s="27"/>
      <c r="E304" s="27"/>
      <c r="F304" s="56"/>
      <c r="G304" s="29"/>
    </row>
    <row r="305" spans="1:7" ht="15.75" customHeight="1" x14ac:dyDescent="0.25">
      <c r="A305" s="29"/>
      <c r="B305" s="55"/>
      <c r="C305" s="30"/>
      <c r="D305" s="27"/>
      <c r="E305" s="27"/>
      <c r="F305" s="56"/>
      <c r="G305" s="29"/>
    </row>
    <row r="306" spans="1:7" ht="15.75" customHeight="1" x14ac:dyDescent="0.25">
      <c r="A306" s="29"/>
      <c r="B306" s="55"/>
      <c r="C306" s="30"/>
      <c r="D306" s="27"/>
      <c r="E306" s="27"/>
      <c r="F306" s="56"/>
      <c r="G306" s="29"/>
    </row>
    <row r="307" spans="1:7" ht="15.75" customHeight="1" x14ac:dyDescent="0.25">
      <c r="A307" s="29"/>
      <c r="B307" s="55"/>
      <c r="C307" s="30"/>
      <c r="D307" s="27"/>
      <c r="E307" s="27"/>
      <c r="F307" s="56"/>
      <c r="G307" s="29"/>
    </row>
    <row r="308" spans="1:7" ht="15.75" customHeight="1" x14ac:dyDescent="0.25">
      <c r="A308" s="29"/>
      <c r="B308" s="55"/>
      <c r="C308" s="30"/>
      <c r="D308" s="27"/>
      <c r="E308" s="27"/>
      <c r="F308" s="56"/>
      <c r="G308" s="29"/>
    </row>
    <row r="309" spans="1:7" ht="15.75" customHeight="1" x14ac:dyDescent="0.25">
      <c r="A309" s="29"/>
      <c r="B309" s="55"/>
      <c r="C309" s="30"/>
      <c r="D309" s="27"/>
      <c r="E309" s="27"/>
      <c r="F309" s="56"/>
      <c r="G309" s="29"/>
    </row>
    <row r="310" spans="1:7" ht="15.75" customHeight="1" x14ac:dyDescent="0.25">
      <c r="A310" s="29"/>
      <c r="B310" s="55"/>
      <c r="C310" s="30"/>
      <c r="D310" s="27"/>
      <c r="E310" s="27"/>
      <c r="F310" s="56"/>
      <c r="G310" s="29"/>
    </row>
    <row r="311" spans="1:7" ht="15.75" customHeight="1" x14ac:dyDescent="0.25">
      <c r="A311" s="29"/>
      <c r="B311" s="55"/>
      <c r="C311" s="30"/>
      <c r="D311" s="27"/>
      <c r="E311" s="27"/>
      <c r="F311" s="56"/>
      <c r="G311" s="29"/>
    </row>
    <row r="312" spans="1:7" ht="15.75" customHeight="1" x14ac:dyDescent="0.25">
      <c r="A312" s="29"/>
      <c r="B312" s="55"/>
      <c r="C312" s="30"/>
      <c r="D312" s="27"/>
      <c r="E312" s="27"/>
      <c r="F312" s="56"/>
      <c r="G312" s="29"/>
    </row>
    <row r="313" spans="1:7" ht="15.75" customHeight="1" x14ac:dyDescent="0.25">
      <c r="A313" s="29"/>
      <c r="B313" s="55"/>
      <c r="C313" s="30"/>
      <c r="D313" s="27"/>
      <c r="E313" s="27"/>
      <c r="F313" s="56"/>
      <c r="G313" s="29"/>
    </row>
    <row r="314" spans="1:7" ht="15.75" customHeight="1" x14ac:dyDescent="0.25">
      <c r="A314" s="29"/>
      <c r="B314" s="55"/>
      <c r="C314" s="30"/>
      <c r="D314" s="27"/>
      <c r="E314" s="27"/>
      <c r="F314" s="56"/>
      <c r="G314" s="29"/>
    </row>
    <row r="315" spans="1:7" ht="15.75" customHeight="1" x14ac:dyDescent="0.25">
      <c r="A315" s="29"/>
      <c r="B315" s="55"/>
      <c r="C315" s="30"/>
      <c r="D315" s="27"/>
      <c r="E315" s="27"/>
      <c r="F315" s="56"/>
      <c r="G315" s="29"/>
    </row>
    <row r="316" spans="1:7" ht="15.75" customHeight="1" x14ac:dyDescent="0.25">
      <c r="A316" s="29"/>
      <c r="B316" s="55"/>
      <c r="C316" s="30"/>
      <c r="D316" s="27"/>
      <c r="E316" s="27"/>
      <c r="F316" s="56"/>
      <c r="G316" s="29"/>
    </row>
    <row r="317" spans="1:7" ht="15.75" customHeight="1" x14ac:dyDescent="0.25">
      <c r="A317" s="29"/>
      <c r="B317" s="55"/>
      <c r="C317" s="30"/>
      <c r="D317" s="27"/>
      <c r="E317" s="27"/>
      <c r="F317" s="56"/>
      <c r="G317" s="29"/>
    </row>
    <row r="318" spans="1:7" ht="15.75" customHeight="1" x14ac:dyDescent="0.25">
      <c r="A318" s="29"/>
      <c r="B318" s="55"/>
      <c r="C318" s="30"/>
      <c r="D318" s="27"/>
      <c r="E318" s="27"/>
      <c r="F318" s="56"/>
      <c r="G318" s="29"/>
    </row>
    <row r="319" spans="1:7" ht="15.75" customHeight="1" x14ac:dyDescent="0.25">
      <c r="A319" s="29"/>
      <c r="B319" s="55"/>
      <c r="C319" s="30"/>
      <c r="D319" s="27"/>
      <c r="E319" s="27"/>
      <c r="F319" s="56"/>
      <c r="G319" s="29"/>
    </row>
    <row r="320" spans="1:7" ht="15.75" customHeight="1" x14ac:dyDescent="0.25">
      <c r="A320" s="29"/>
      <c r="B320" s="55"/>
      <c r="C320" s="30"/>
      <c r="D320" s="27"/>
      <c r="E320" s="27"/>
      <c r="F320" s="56"/>
      <c r="G320" s="29"/>
    </row>
    <row r="321" spans="1:7" ht="15.75" customHeight="1" x14ac:dyDescent="0.25">
      <c r="A321" s="29"/>
      <c r="B321" s="55"/>
      <c r="C321" s="30"/>
      <c r="D321" s="27"/>
      <c r="E321" s="27"/>
      <c r="F321" s="56"/>
      <c r="G321" s="29"/>
    </row>
    <row r="322" spans="1:7" ht="15.75" customHeight="1" x14ac:dyDescent="0.25">
      <c r="A322" s="29"/>
      <c r="B322" s="55"/>
      <c r="C322" s="30"/>
      <c r="D322" s="27"/>
      <c r="E322" s="27"/>
      <c r="F322" s="56"/>
      <c r="G322" s="29"/>
    </row>
    <row r="323" spans="1:7" ht="15.75" customHeight="1" x14ac:dyDescent="0.25">
      <c r="A323" s="29"/>
      <c r="B323" s="55"/>
      <c r="C323" s="30"/>
      <c r="D323" s="27"/>
      <c r="E323" s="27"/>
      <c r="F323" s="56"/>
      <c r="G323" s="29"/>
    </row>
    <row r="324" spans="1:7" ht="15.75" customHeight="1" x14ac:dyDescent="0.25">
      <c r="A324" s="29"/>
      <c r="B324" s="55"/>
      <c r="C324" s="30"/>
      <c r="D324" s="27"/>
      <c r="E324" s="27"/>
      <c r="F324" s="56"/>
      <c r="G324" s="29"/>
    </row>
    <row r="325" spans="1:7" ht="15.75" customHeight="1" x14ac:dyDescent="0.25">
      <c r="A325" s="29"/>
      <c r="B325" s="55"/>
      <c r="C325" s="30"/>
      <c r="D325" s="27"/>
      <c r="E325" s="27"/>
      <c r="F325" s="56"/>
      <c r="G325" s="29"/>
    </row>
    <row r="326" spans="1:7" ht="15.75" customHeight="1" x14ac:dyDescent="0.25">
      <c r="A326" s="29"/>
      <c r="B326" s="55"/>
      <c r="C326" s="30"/>
      <c r="D326" s="27"/>
      <c r="E326" s="27"/>
      <c r="F326" s="56"/>
      <c r="G326" s="29"/>
    </row>
    <row r="327" spans="1:7" ht="15.75" customHeight="1" x14ac:dyDescent="0.25">
      <c r="A327" s="29"/>
      <c r="B327" s="55"/>
      <c r="C327" s="30"/>
      <c r="D327" s="27"/>
      <c r="E327" s="27"/>
      <c r="F327" s="56"/>
      <c r="G327" s="29"/>
    </row>
    <row r="328" spans="1:7" ht="15.75" customHeight="1" x14ac:dyDescent="0.25">
      <c r="A328" s="29"/>
      <c r="B328" s="55"/>
      <c r="C328" s="30"/>
      <c r="D328" s="27"/>
      <c r="E328" s="27"/>
      <c r="F328" s="56"/>
      <c r="G328" s="29"/>
    </row>
    <row r="329" spans="1:7" ht="15.75" customHeight="1" x14ac:dyDescent="0.25">
      <c r="A329" s="29"/>
      <c r="B329" s="55"/>
      <c r="C329" s="30"/>
      <c r="D329" s="27"/>
      <c r="E329" s="27"/>
      <c r="F329" s="56"/>
      <c r="G329" s="29"/>
    </row>
    <row r="330" spans="1:7" ht="15.75" customHeight="1" x14ac:dyDescent="0.25">
      <c r="A330" s="29"/>
      <c r="B330" s="55"/>
      <c r="C330" s="30"/>
      <c r="D330" s="27"/>
      <c r="E330" s="27"/>
      <c r="F330" s="56"/>
      <c r="G330" s="29"/>
    </row>
    <row r="331" spans="1:7" ht="15.75" customHeight="1" x14ac:dyDescent="0.25">
      <c r="A331" s="29"/>
      <c r="B331" s="55"/>
      <c r="C331" s="30"/>
      <c r="D331" s="27"/>
      <c r="E331" s="27"/>
      <c r="F331" s="56"/>
      <c r="G331" s="29"/>
    </row>
    <row r="332" spans="1:7" ht="15.75" customHeight="1" x14ac:dyDescent="0.25">
      <c r="A332" s="29"/>
      <c r="B332" s="55"/>
      <c r="C332" s="30"/>
      <c r="D332" s="27"/>
      <c r="E332" s="27"/>
      <c r="F332" s="56"/>
      <c r="G332" s="29"/>
    </row>
    <row r="333" spans="1:7" ht="15.75" customHeight="1" x14ac:dyDescent="0.25">
      <c r="A333" s="29"/>
      <c r="B333" s="55"/>
      <c r="C333" s="30"/>
      <c r="D333" s="27"/>
      <c r="E333" s="27"/>
      <c r="F333" s="56"/>
      <c r="G333" s="29"/>
    </row>
    <row r="334" spans="1:7" ht="15.75" customHeight="1" x14ac:dyDescent="0.25">
      <c r="A334" s="29"/>
      <c r="B334" s="55"/>
      <c r="C334" s="30"/>
      <c r="D334" s="27"/>
      <c r="E334" s="27"/>
      <c r="F334" s="56"/>
      <c r="G334" s="29"/>
    </row>
    <row r="335" spans="1:7" ht="15.75" customHeight="1" x14ac:dyDescent="0.25">
      <c r="A335" s="29"/>
      <c r="B335" s="55"/>
      <c r="C335" s="30"/>
      <c r="D335" s="27"/>
      <c r="E335" s="27"/>
      <c r="F335" s="56"/>
      <c r="G335" s="29"/>
    </row>
    <row r="336" spans="1:7" ht="15.75" customHeight="1" x14ac:dyDescent="0.25">
      <c r="A336" s="29"/>
      <c r="B336" s="55"/>
      <c r="C336" s="30"/>
      <c r="D336" s="27"/>
      <c r="E336" s="27"/>
      <c r="F336" s="56"/>
      <c r="G336" s="29"/>
    </row>
    <row r="337" spans="1:7" ht="15.75" customHeight="1" x14ac:dyDescent="0.25">
      <c r="A337" s="29"/>
      <c r="B337" s="55"/>
      <c r="C337" s="30"/>
      <c r="D337" s="27"/>
      <c r="E337" s="27"/>
      <c r="F337" s="56"/>
      <c r="G337" s="29"/>
    </row>
    <row r="338" spans="1:7" ht="15.75" customHeight="1" x14ac:dyDescent="0.25">
      <c r="A338" s="29"/>
      <c r="B338" s="55"/>
      <c r="C338" s="30"/>
      <c r="D338" s="27"/>
      <c r="E338" s="27"/>
      <c r="F338" s="56"/>
      <c r="G338" s="29"/>
    </row>
    <row r="339" spans="1:7" ht="15.75" customHeight="1" x14ac:dyDescent="0.25">
      <c r="A339" s="29"/>
      <c r="B339" s="55"/>
      <c r="C339" s="30"/>
      <c r="D339" s="27"/>
      <c r="E339" s="27"/>
      <c r="F339" s="56"/>
      <c r="G339" s="29"/>
    </row>
    <row r="340" spans="1:7" ht="15.75" customHeight="1" x14ac:dyDescent="0.25">
      <c r="A340" s="29"/>
      <c r="B340" s="55"/>
      <c r="C340" s="30"/>
      <c r="D340" s="27"/>
      <c r="E340" s="27"/>
      <c r="F340" s="56"/>
      <c r="G340" s="29"/>
    </row>
    <row r="341" spans="1:7" ht="15.75" customHeight="1" x14ac:dyDescent="0.25">
      <c r="A341" s="29"/>
      <c r="B341" s="55"/>
      <c r="C341" s="30"/>
      <c r="D341" s="27"/>
      <c r="E341" s="27"/>
      <c r="F341" s="56"/>
      <c r="G341" s="29"/>
    </row>
    <row r="342" spans="1:7" ht="15.75" customHeight="1" x14ac:dyDescent="0.25">
      <c r="A342" s="29"/>
      <c r="B342" s="55"/>
      <c r="C342" s="30"/>
      <c r="D342" s="27"/>
      <c r="E342" s="27"/>
      <c r="F342" s="56"/>
      <c r="G342" s="29"/>
    </row>
    <row r="343" spans="1:7" ht="15.75" customHeight="1" x14ac:dyDescent="0.25">
      <c r="A343" s="29"/>
      <c r="B343" s="55"/>
      <c r="C343" s="30"/>
      <c r="D343" s="27"/>
      <c r="E343" s="27"/>
      <c r="F343" s="56"/>
      <c r="G343" s="29"/>
    </row>
    <row r="344" spans="1:7" ht="15.75" customHeight="1" x14ac:dyDescent="0.25">
      <c r="A344" s="29"/>
      <c r="B344" s="55"/>
      <c r="C344" s="30"/>
      <c r="D344" s="27"/>
      <c r="E344" s="27"/>
      <c r="F344" s="56"/>
      <c r="G344" s="29"/>
    </row>
    <row r="345" spans="1:7" ht="15.75" customHeight="1" x14ac:dyDescent="0.25">
      <c r="A345" s="29"/>
      <c r="B345" s="55"/>
      <c r="C345" s="30"/>
      <c r="D345" s="27"/>
      <c r="E345" s="27"/>
      <c r="F345" s="56"/>
      <c r="G345" s="29"/>
    </row>
    <row r="346" spans="1:7" ht="15.75" customHeight="1" x14ac:dyDescent="0.25">
      <c r="A346" s="29"/>
      <c r="B346" s="55"/>
      <c r="C346" s="30"/>
      <c r="D346" s="27"/>
      <c r="E346" s="27"/>
      <c r="F346" s="56"/>
      <c r="G346" s="29"/>
    </row>
    <row r="347" spans="1:7" ht="15.75" customHeight="1" x14ac:dyDescent="0.25">
      <c r="A347" s="29"/>
      <c r="B347" s="55"/>
      <c r="C347" s="30"/>
      <c r="D347" s="27"/>
      <c r="E347" s="27"/>
      <c r="F347" s="56"/>
      <c r="G347" s="29"/>
    </row>
    <row r="348" spans="1:7" ht="15.75" customHeight="1" x14ac:dyDescent="0.25">
      <c r="A348" s="29"/>
      <c r="B348" s="55"/>
      <c r="C348" s="30"/>
      <c r="D348" s="27"/>
      <c r="E348" s="27"/>
      <c r="F348" s="56"/>
      <c r="G348" s="29"/>
    </row>
    <row r="349" spans="1:7" ht="15.75" customHeight="1" x14ac:dyDescent="0.25">
      <c r="A349" s="29"/>
      <c r="B349" s="55"/>
      <c r="C349" s="30"/>
      <c r="D349" s="27"/>
      <c r="E349" s="27"/>
      <c r="F349" s="56"/>
      <c r="G349" s="29"/>
    </row>
    <row r="350" spans="1:7" ht="15.75" customHeight="1" x14ac:dyDescent="0.25">
      <c r="A350" s="29"/>
      <c r="B350" s="55"/>
      <c r="C350" s="30"/>
      <c r="D350" s="27"/>
      <c r="E350" s="27"/>
      <c r="F350" s="56"/>
      <c r="G350" s="29"/>
    </row>
    <row r="351" spans="1:7" ht="15.75" customHeight="1" x14ac:dyDescent="0.25">
      <c r="A351" s="29"/>
      <c r="B351" s="55"/>
      <c r="C351" s="30"/>
      <c r="D351" s="27"/>
      <c r="E351" s="27"/>
      <c r="F351" s="56"/>
      <c r="G351" s="29"/>
    </row>
    <row r="352" spans="1:7" ht="15.75" customHeight="1" x14ac:dyDescent="0.25">
      <c r="A352" s="29"/>
      <c r="B352" s="55"/>
      <c r="C352" s="30"/>
      <c r="D352" s="27"/>
      <c r="E352" s="27"/>
      <c r="F352" s="56"/>
      <c r="G352" s="29"/>
    </row>
    <row r="353" spans="1:7" ht="15.75" customHeight="1" x14ac:dyDescent="0.25">
      <c r="A353" s="29"/>
      <c r="B353" s="55"/>
      <c r="C353" s="30"/>
      <c r="D353" s="27"/>
      <c r="E353" s="27"/>
      <c r="F353" s="56"/>
      <c r="G353" s="29"/>
    </row>
    <row r="354" spans="1:7" ht="15.75" customHeight="1" x14ac:dyDescent="0.25">
      <c r="A354" s="29"/>
      <c r="B354" s="55"/>
      <c r="C354" s="30"/>
      <c r="D354" s="27"/>
      <c r="E354" s="27"/>
      <c r="F354" s="56"/>
      <c r="G354" s="29"/>
    </row>
    <row r="355" spans="1:7" ht="15.75" customHeight="1" x14ac:dyDescent="0.25">
      <c r="A355" s="29"/>
      <c r="B355" s="55"/>
      <c r="C355" s="30"/>
      <c r="D355" s="27"/>
      <c r="E355" s="27"/>
      <c r="F355" s="56"/>
      <c r="G355" s="29"/>
    </row>
    <row r="356" spans="1:7" ht="15.75" customHeight="1" x14ac:dyDescent="0.25">
      <c r="A356" s="29"/>
      <c r="B356" s="55"/>
      <c r="C356" s="30"/>
      <c r="D356" s="27"/>
      <c r="E356" s="27"/>
      <c r="F356" s="56"/>
      <c r="G356" s="29"/>
    </row>
    <row r="357" spans="1:7" ht="15.75" customHeight="1" x14ac:dyDescent="0.25">
      <c r="A357" s="29"/>
      <c r="B357" s="55"/>
      <c r="C357" s="30"/>
      <c r="D357" s="27"/>
      <c r="E357" s="27"/>
      <c r="F357" s="56"/>
      <c r="G357" s="29"/>
    </row>
    <row r="358" spans="1:7" ht="15.75" customHeight="1" x14ac:dyDescent="0.25">
      <c r="A358" s="29"/>
      <c r="B358" s="55"/>
      <c r="C358" s="30"/>
      <c r="D358" s="27"/>
      <c r="E358" s="27"/>
      <c r="F358" s="56"/>
      <c r="G358" s="29"/>
    </row>
    <row r="359" spans="1:7" ht="15.75" customHeight="1" x14ac:dyDescent="0.25">
      <c r="A359" s="29"/>
      <c r="B359" s="55"/>
      <c r="C359" s="30"/>
      <c r="D359" s="27"/>
      <c r="E359" s="27"/>
      <c r="F359" s="56"/>
      <c r="G359" s="29"/>
    </row>
    <row r="360" spans="1:7" ht="15.75" customHeight="1" x14ac:dyDescent="0.25">
      <c r="A360" s="29"/>
      <c r="B360" s="55"/>
      <c r="C360" s="30"/>
      <c r="D360" s="27"/>
      <c r="E360" s="27"/>
      <c r="F360" s="56"/>
      <c r="G360" s="29"/>
    </row>
    <row r="361" spans="1:7" ht="15.75" customHeight="1" x14ac:dyDescent="0.25">
      <c r="A361" s="29"/>
      <c r="B361" s="55"/>
      <c r="C361" s="30"/>
      <c r="D361" s="27"/>
      <c r="E361" s="27"/>
      <c r="F361" s="56"/>
      <c r="G361" s="29"/>
    </row>
    <row r="362" spans="1:7" ht="15.75" customHeight="1" x14ac:dyDescent="0.25">
      <c r="A362" s="29"/>
      <c r="B362" s="55"/>
      <c r="C362" s="30"/>
      <c r="D362" s="27"/>
      <c r="E362" s="27"/>
      <c r="F362" s="56"/>
      <c r="G362" s="29"/>
    </row>
    <row r="363" spans="1:7" ht="15.75" customHeight="1" x14ac:dyDescent="0.25">
      <c r="A363" s="29"/>
      <c r="B363" s="55"/>
      <c r="C363" s="30"/>
      <c r="D363" s="27"/>
      <c r="E363" s="27"/>
      <c r="F363" s="56"/>
      <c r="G363" s="29"/>
    </row>
    <row r="364" spans="1:7" ht="15.75" customHeight="1" x14ac:dyDescent="0.25">
      <c r="A364" s="29"/>
      <c r="B364" s="55"/>
      <c r="C364" s="30"/>
      <c r="D364" s="27"/>
      <c r="E364" s="27"/>
      <c r="F364" s="56"/>
      <c r="G364" s="29"/>
    </row>
    <row r="365" spans="1:7" ht="15.75" customHeight="1" x14ac:dyDescent="0.25">
      <c r="A365" s="29"/>
      <c r="B365" s="55"/>
      <c r="C365" s="30"/>
      <c r="D365" s="27"/>
      <c r="E365" s="27"/>
      <c r="F365" s="56"/>
      <c r="G365" s="29"/>
    </row>
    <row r="366" spans="1:7" ht="15.75" customHeight="1" x14ac:dyDescent="0.25">
      <c r="A366" s="29"/>
      <c r="B366" s="55"/>
      <c r="C366" s="30"/>
      <c r="D366" s="27"/>
      <c r="E366" s="27"/>
      <c r="F366" s="56"/>
      <c r="G366" s="29"/>
    </row>
    <row r="367" spans="1:7" ht="15.75" customHeight="1" x14ac:dyDescent="0.25">
      <c r="A367" s="29"/>
      <c r="B367" s="55"/>
      <c r="C367" s="30"/>
      <c r="D367" s="27"/>
      <c r="E367" s="27"/>
      <c r="F367" s="56"/>
      <c r="G367" s="29"/>
    </row>
    <row r="368" spans="1:7" ht="15.75" customHeight="1" x14ac:dyDescent="0.25">
      <c r="A368" s="29"/>
      <c r="B368" s="55"/>
      <c r="C368" s="30"/>
      <c r="D368" s="27"/>
      <c r="E368" s="27"/>
      <c r="F368" s="56"/>
      <c r="G368" s="29"/>
    </row>
    <row r="369" spans="1:7" ht="15.75" customHeight="1" x14ac:dyDescent="0.25">
      <c r="A369" s="29"/>
      <c r="B369" s="55"/>
      <c r="C369" s="30"/>
      <c r="D369" s="27"/>
      <c r="E369" s="27"/>
      <c r="F369" s="56"/>
      <c r="G369" s="29"/>
    </row>
    <row r="370" spans="1:7" ht="15.75" customHeight="1" x14ac:dyDescent="0.25">
      <c r="A370" s="29"/>
      <c r="B370" s="55"/>
      <c r="C370" s="30"/>
      <c r="D370" s="27"/>
      <c r="E370" s="27"/>
      <c r="F370" s="56"/>
      <c r="G370" s="29"/>
    </row>
    <row r="371" spans="1:7" ht="15.75" customHeight="1" x14ac:dyDescent="0.25">
      <c r="A371" s="29"/>
      <c r="B371" s="55"/>
      <c r="C371" s="30"/>
      <c r="D371" s="27"/>
      <c r="E371" s="27"/>
      <c r="F371" s="56"/>
      <c r="G371" s="29"/>
    </row>
    <row r="372" spans="1:7" ht="15.75" customHeight="1" x14ac:dyDescent="0.25">
      <c r="A372" s="29"/>
      <c r="B372" s="55"/>
      <c r="C372" s="30"/>
      <c r="D372" s="27"/>
      <c r="E372" s="27"/>
      <c r="F372" s="56"/>
      <c r="G372" s="29"/>
    </row>
    <row r="373" spans="1:7" ht="15.75" customHeight="1" x14ac:dyDescent="0.25">
      <c r="A373" s="29"/>
      <c r="B373" s="55"/>
      <c r="C373" s="30"/>
      <c r="D373" s="27"/>
      <c r="E373" s="27"/>
      <c r="F373" s="56"/>
      <c r="G373" s="29"/>
    </row>
    <row r="374" spans="1:7" ht="15.75" customHeight="1" x14ac:dyDescent="0.25">
      <c r="A374" s="29"/>
      <c r="B374" s="55"/>
      <c r="C374" s="30"/>
      <c r="D374" s="27"/>
      <c r="E374" s="27"/>
      <c r="F374" s="56"/>
      <c r="G374" s="29"/>
    </row>
    <row r="375" spans="1:7" ht="15.75" customHeight="1" x14ac:dyDescent="0.25">
      <c r="A375" s="29"/>
      <c r="B375" s="55"/>
      <c r="C375" s="30"/>
      <c r="D375" s="27"/>
      <c r="E375" s="27"/>
      <c r="F375" s="56"/>
      <c r="G375" s="29"/>
    </row>
    <row r="376" spans="1:7" ht="15.75" customHeight="1" x14ac:dyDescent="0.25">
      <c r="A376" s="29"/>
      <c r="B376" s="55"/>
      <c r="C376" s="30"/>
      <c r="D376" s="27"/>
      <c r="E376" s="27"/>
      <c r="F376" s="56"/>
      <c r="G376" s="29"/>
    </row>
    <row r="377" spans="1:7" ht="15.75" customHeight="1" x14ac:dyDescent="0.25">
      <c r="A377" s="29"/>
      <c r="B377" s="55"/>
      <c r="C377" s="30"/>
      <c r="D377" s="27"/>
      <c r="E377" s="27"/>
      <c r="F377" s="56"/>
      <c r="G377" s="29"/>
    </row>
    <row r="378" spans="1:7" ht="15.75" customHeight="1" x14ac:dyDescent="0.25">
      <c r="A378" s="29"/>
      <c r="B378" s="55"/>
      <c r="C378" s="30"/>
      <c r="D378" s="27"/>
      <c r="E378" s="27"/>
      <c r="F378" s="56"/>
      <c r="G378" s="29"/>
    </row>
    <row r="379" spans="1:7" ht="15.75" customHeight="1" x14ac:dyDescent="0.25">
      <c r="A379" s="29"/>
      <c r="B379" s="55"/>
      <c r="C379" s="30"/>
      <c r="D379" s="27"/>
      <c r="E379" s="27"/>
      <c r="F379" s="56"/>
      <c r="G379" s="29"/>
    </row>
    <row r="380" spans="1:7" ht="15.75" customHeight="1" x14ac:dyDescent="0.25">
      <c r="A380" s="29"/>
      <c r="B380" s="55"/>
      <c r="C380" s="30"/>
      <c r="D380" s="27"/>
      <c r="E380" s="27"/>
      <c r="F380" s="56"/>
      <c r="G380" s="29"/>
    </row>
    <row r="381" spans="1:7" ht="15.75" customHeight="1" x14ac:dyDescent="0.25">
      <c r="A381" s="29"/>
      <c r="B381" s="55"/>
      <c r="C381" s="30"/>
      <c r="D381" s="27"/>
      <c r="E381" s="27"/>
      <c r="F381" s="56"/>
      <c r="G381" s="29"/>
    </row>
    <row r="382" spans="1:7" ht="15.75" customHeight="1" x14ac:dyDescent="0.25">
      <c r="A382" s="29"/>
      <c r="B382" s="55"/>
      <c r="C382" s="30"/>
      <c r="D382" s="27"/>
      <c r="E382" s="27"/>
      <c r="F382" s="56"/>
      <c r="G382" s="29"/>
    </row>
    <row r="383" spans="1:7" ht="15.75" customHeight="1" x14ac:dyDescent="0.25">
      <c r="A383" s="29"/>
      <c r="B383" s="55"/>
      <c r="C383" s="30"/>
      <c r="D383" s="27"/>
      <c r="E383" s="27"/>
      <c r="F383" s="56"/>
      <c r="G383" s="29"/>
    </row>
    <row r="384" spans="1:7" ht="15.75" customHeight="1" x14ac:dyDescent="0.25">
      <c r="A384" s="29"/>
      <c r="B384" s="55"/>
      <c r="C384" s="30"/>
      <c r="D384" s="27"/>
      <c r="E384" s="27"/>
      <c r="F384" s="56"/>
      <c r="G384" s="29"/>
    </row>
    <row r="385" spans="1:7" ht="15.75" customHeight="1" x14ac:dyDescent="0.25">
      <c r="A385" s="29"/>
      <c r="B385" s="55"/>
      <c r="C385" s="30"/>
      <c r="D385" s="27"/>
      <c r="E385" s="27"/>
      <c r="F385" s="56"/>
      <c r="G385" s="29"/>
    </row>
    <row r="386" spans="1:7" ht="15.75" customHeight="1" x14ac:dyDescent="0.25">
      <c r="A386" s="29"/>
      <c r="B386" s="55"/>
      <c r="C386" s="30"/>
      <c r="D386" s="27"/>
      <c r="E386" s="27"/>
      <c r="F386" s="56"/>
      <c r="G386" s="29"/>
    </row>
    <row r="387" spans="1:7" ht="15.75" customHeight="1" x14ac:dyDescent="0.25">
      <c r="A387" s="29"/>
      <c r="B387" s="55"/>
      <c r="C387" s="30"/>
      <c r="D387" s="27"/>
      <c r="E387" s="27"/>
      <c r="F387" s="56"/>
      <c r="G387" s="29"/>
    </row>
    <row r="388" spans="1:7" ht="15.75" customHeight="1" x14ac:dyDescent="0.25">
      <c r="A388" s="29"/>
      <c r="B388" s="55"/>
      <c r="C388" s="30"/>
      <c r="D388" s="27"/>
      <c r="E388" s="27"/>
      <c r="F388" s="56"/>
      <c r="G388" s="29"/>
    </row>
    <row r="389" spans="1:7" ht="15.75" customHeight="1" x14ac:dyDescent="0.25">
      <c r="A389" s="29"/>
      <c r="B389" s="55"/>
      <c r="C389" s="30"/>
      <c r="D389" s="27"/>
      <c r="E389" s="27"/>
      <c r="F389" s="56"/>
      <c r="G389" s="29"/>
    </row>
    <row r="390" spans="1:7" ht="15.75" customHeight="1" x14ac:dyDescent="0.25">
      <c r="A390" s="29"/>
      <c r="B390" s="55"/>
      <c r="C390" s="30"/>
      <c r="D390" s="27"/>
      <c r="E390" s="27"/>
      <c r="F390" s="56"/>
      <c r="G390" s="29"/>
    </row>
    <row r="391" spans="1:7" ht="15.75" customHeight="1" x14ac:dyDescent="0.25">
      <c r="A391" s="29"/>
      <c r="B391" s="55"/>
      <c r="C391" s="30"/>
      <c r="D391" s="27"/>
      <c r="E391" s="27"/>
      <c r="F391" s="56"/>
      <c r="G391" s="29"/>
    </row>
    <row r="392" spans="1:7" ht="15.75" customHeight="1" x14ac:dyDescent="0.25">
      <c r="A392" s="29"/>
      <c r="B392" s="55"/>
      <c r="C392" s="30"/>
      <c r="D392" s="27"/>
      <c r="E392" s="27"/>
      <c r="F392" s="56"/>
      <c r="G392" s="29"/>
    </row>
    <row r="393" spans="1:7" ht="15.75" customHeight="1" x14ac:dyDescent="0.25">
      <c r="A393" s="29"/>
      <c r="B393" s="55"/>
      <c r="C393" s="30"/>
      <c r="D393" s="27"/>
      <c r="E393" s="27"/>
      <c r="F393" s="56"/>
      <c r="G393" s="29"/>
    </row>
    <row r="394" spans="1:7" ht="15.75" customHeight="1" x14ac:dyDescent="0.25">
      <c r="A394" s="29"/>
      <c r="B394" s="55"/>
      <c r="C394" s="30"/>
      <c r="D394" s="27"/>
      <c r="E394" s="27"/>
      <c r="F394" s="56"/>
      <c r="G394" s="29"/>
    </row>
    <row r="395" spans="1:7" ht="15.75" customHeight="1" x14ac:dyDescent="0.25">
      <c r="A395" s="29"/>
      <c r="B395" s="55"/>
      <c r="C395" s="30"/>
      <c r="D395" s="27"/>
      <c r="E395" s="27"/>
      <c r="F395" s="56"/>
      <c r="G395" s="29"/>
    </row>
    <row r="396" spans="1:7" ht="15.75" customHeight="1" x14ac:dyDescent="0.25">
      <c r="A396" s="29"/>
      <c r="B396" s="55"/>
      <c r="C396" s="30"/>
      <c r="D396" s="27"/>
      <c r="E396" s="27"/>
      <c r="F396" s="56"/>
      <c r="G396" s="29"/>
    </row>
    <row r="397" spans="1:7" ht="15.75" customHeight="1" x14ac:dyDescent="0.25">
      <c r="A397" s="29"/>
      <c r="B397" s="55"/>
      <c r="C397" s="30"/>
      <c r="D397" s="27"/>
      <c r="E397" s="27"/>
      <c r="F397" s="56"/>
      <c r="G397" s="29"/>
    </row>
    <row r="398" spans="1:7" ht="15.75" customHeight="1" x14ac:dyDescent="0.25">
      <c r="A398" s="29"/>
      <c r="B398" s="55"/>
      <c r="C398" s="30"/>
      <c r="D398" s="27"/>
      <c r="E398" s="27"/>
      <c r="F398" s="56"/>
      <c r="G398" s="29"/>
    </row>
    <row r="399" spans="1:7" ht="15.75" customHeight="1" x14ac:dyDescent="0.25">
      <c r="A399" s="29"/>
      <c r="B399" s="55"/>
      <c r="C399" s="30"/>
      <c r="D399" s="27"/>
      <c r="E399" s="27"/>
      <c r="F399" s="56"/>
      <c r="G399" s="29"/>
    </row>
    <row r="400" spans="1:7" ht="15.75" customHeight="1" x14ac:dyDescent="0.25">
      <c r="A400" s="29"/>
      <c r="B400" s="55"/>
      <c r="C400" s="30"/>
      <c r="D400" s="27"/>
      <c r="E400" s="27"/>
      <c r="F400" s="56"/>
      <c r="G400" s="29"/>
    </row>
    <row r="401" spans="1:7" ht="15.75" customHeight="1" x14ac:dyDescent="0.25">
      <c r="A401" s="29"/>
      <c r="B401" s="55"/>
      <c r="C401" s="30"/>
      <c r="D401" s="27"/>
      <c r="E401" s="27"/>
      <c r="F401" s="56"/>
      <c r="G401" s="29"/>
    </row>
    <row r="402" spans="1:7" ht="15.75" customHeight="1" x14ac:dyDescent="0.25">
      <c r="A402" s="29"/>
      <c r="B402" s="55"/>
      <c r="C402" s="30"/>
      <c r="D402" s="27"/>
      <c r="E402" s="27"/>
      <c r="F402" s="56"/>
      <c r="G402" s="29"/>
    </row>
    <row r="403" spans="1:7" ht="15.75" customHeight="1" x14ac:dyDescent="0.25">
      <c r="A403" s="29"/>
      <c r="B403" s="55"/>
      <c r="C403" s="30"/>
      <c r="D403" s="27"/>
      <c r="E403" s="27"/>
      <c r="F403" s="56"/>
      <c r="G403" s="29"/>
    </row>
    <row r="404" spans="1:7" ht="15.75" customHeight="1" x14ac:dyDescent="0.25">
      <c r="A404" s="29"/>
      <c r="B404" s="55"/>
      <c r="C404" s="30"/>
      <c r="D404" s="27"/>
      <c r="E404" s="27"/>
      <c r="F404" s="56"/>
      <c r="G404" s="29"/>
    </row>
    <row r="405" spans="1:7" ht="15.75" customHeight="1" x14ac:dyDescent="0.25">
      <c r="A405" s="29"/>
      <c r="B405" s="55"/>
      <c r="C405" s="30"/>
      <c r="D405" s="27"/>
      <c r="E405" s="27"/>
      <c r="F405" s="56"/>
      <c r="G405" s="29"/>
    </row>
    <row r="406" spans="1:7" ht="15.75" customHeight="1" x14ac:dyDescent="0.25">
      <c r="A406" s="29"/>
      <c r="B406" s="55"/>
      <c r="C406" s="30"/>
      <c r="D406" s="27"/>
      <c r="E406" s="27"/>
      <c r="F406" s="56"/>
      <c r="G406" s="29"/>
    </row>
    <row r="407" spans="1:7" ht="15.75" customHeight="1" x14ac:dyDescent="0.25">
      <c r="A407" s="29"/>
      <c r="B407" s="55"/>
      <c r="C407" s="30"/>
      <c r="D407" s="27"/>
      <c r="E407" s="27"/>
      <c r="F407" s="56"/>
      <c r="G407" s="29"/>
    </row>
    <row r="408" spans="1:7" ht="15.75" customHeight="1" x14ac:dyDescent="0.25">
      <c r="A408" s="29"/>
      <c r="B408" s="55"/>
      <c r="C408" s="30"/>
      <c r="D408" s="27"/>
      <c r="E408" s="27"/>
      <c r="F408" s="56"/>
      <c r="G408" s="29"/>
    </row>
    <row r="409" spans="1:7" ht="15.75" customHeight="1" x14ac:dyDescent="0.25">
      <c r="A409" s="29"/>
      <c r="B409" s="55"/>
      <c r="C409" s="30"/>
      <c r="D409" s="27"/>
      <c r="E409" s="27"/>
      <c r="F409" s="56"/>
      <c r="G409" s="29"/>
    </row>
    <row r="410" spans="1:7" ht="15.75" customHeight="1" x14ac:dyDescent="0.25">
      <c r="A410" s="29"/>
      <c r="B410" s="55"/>
      <c r="C410" s="30"/>
      <c r="D410" s="27"/>
      <c r="E410" s="27"/>
      <c r="F410" s="56"/>
      <c r="G410" s="29"/>
    </row>
    <row r="411" spans="1:7" ht="15.75" customHeight="1" x14ac:dyDescent="0.25">
      <c r="A411" s="29"/>
      <c r="B411" s="55"/>
      <c r="C411" s="30"/>
      <c r="D411" s="27"/>
      <c r="E411" s="27"/>
      <c r="F411" s="56"/>
      <c r="G411" s="29"/>
    </row>
    <row r="412" spans="1:7" ht="15.75" customHeight="1" x14ac:dyDescent="0.25">
      <c r="A412" s="29"/>
      <c r="B412" s="55"/>
      <c r="C412" s="30"/>
      <c r="D412" s="27"/>
      <c r="E412" s="27"/>
      <c r="F412" s="56"/>
      <c r="G412" s="29"/>
    </row>
    <row r="413" spans="1:7" ht="15.75" customHeight="1" x14ac:dyDescent="0.25">
      <c r="A413" s="29"/>
      <c r="B413" s="55"/>
      <c r="C413" s="30"/>
      <c r="D413" s="27"/>
      <c r="E413" s="27"/>
      <c r="F413" s="56"/>
      <c r="G413" s="29"/>
    </row>
    <row r="414" spans="1:7" ht="15.75" customHeight="1" x14ac:dyDescent="0.25">
      <c r="A414" s="29"/>
      <c r="B414" s="55"/>
      <c r="C414" s="30"/>
      <c r="D414" s="27"/>
      <c r="E414" s="27"/>
      <c r="F414" s="56"/>
      <c r="G414" s="29"/>
    </row>
    <row r="415" spans="1:7" ht="15.75" customHeight="1" x14ac:dyDescent="0.25">
      <c r="A415" s="29"/>
      <c r="B415" s="55"/>
      <c r="C415" s="30"/>
      <c r="D415" s="27"/>
      <c r="E415" s="27"/>
      <c r="F415" s="56"/>
      <c r="G415" s="29"/>
    </row>
    <row r="416" spans="1:7" ht="15.75" customHeight="1" x14ac:dyDescent="0.25">
      <c r="A416" s="29"/>
      <c r="B416" s="55"/>
      <c r="C416" s="30"/>
      <c r="D416" s="27"/>
      <c r="E416" s="27"/>
      <c r="F416" s="56"/>
      <c r="G416" s="29"/>
    </row>
    <row r="417" spans="1:7" ht="15.75" customHeight="1" x14ac:dyDescent="0.25">
      <c r="A417" s="29"/>
      <c r="B417" s="55"/>
      <c r="C417" s="30"/>
      <c r="D417" s="27"/>
      <c r="E417" s="27"/>
      <c r="F417" s="56"/>
      <c r="G417" s="29"/>
    </row>
    <row r="418" spans="1:7" ht="15.75" customHeight="1" x14ac:dyDescent="0.25">
      <c r="A418" s="29"/>
      <c r="B418" s="55"/>
      <c r="C418" s="30"/>
      <c r="D418" s="27"/>
      <c r="E418" s="27"/>
      <c r="F418" s="56"/>
      <c r="G418" s="29"/>
    </row>
    <row r="419" spans="1:7" ht="15.75" customHeight="1" x14ac:dyDescent="0.25">
      <c r="A419" s="29"/>
      <c r="B419" s="55"/>
      <c r="C419" s="30"/>
      <c r="D419" s="27"/>
      <c r="E419" s="27"/>
      <c r="F419" s="56"/>
      <c r="G419" s="29"/>
    </row>
    <row r="420" spans="1:7" ht="15.75" customHeight="1" x14ac:dyDescent="0.25">
      <c r="A420" s="29"/>
      <c r="B420" s="55"/>
      <c r="C420" s="30"/>
      <c r="D420" s="27"/>
      <c r="E420" s="27"/>
      <c r="F420" s="56"/>
      <c r="G420" s="29"/>
    </row>
    <row r="421" spans="1:7" ht="15.75" customHeight="1" x14ac:dyDescent="0.25">
      <c r="A421" s="29"/>
      <c r="B421" s="55"/>
      <c r="C421" s="30"/>
      <c r="D421" s="27"/>
      <c r="E421" s="27"/>
      <c r="F421" s="56"/>
      <c r="G421" s="29"/>
    </row>
    <row r="422" spans="1:7" ht="15.75" customHeight="1" x14ac:dyDescent="0.25">
      <c r="A422" s="29"/>
      <c r="B422" s="55"/>
      <c r="C422" s="30"/>
      <c r="D422" s="27"/>
      <c r="E422" s="27"/>
      <c r="F422" s="56"/>
      <c r="G422" s="29"/>
    </row>
    <row r="423" spans="1:7" ht="15.75" customHeight="1" x14ac:dyDescent="0.25">
      <c r="A423" s="29"/>
      <c r="B423" s="55"/>
      <c r="C423" s="30"/>
      <c r="D423" s="27"/>
      <c r="E423" s="27"/>
      <c r="F423" s="56"/>
      <c r="G423" s="29"/>
    </row>
    <row r="424" spans="1:7" ht="15.75" customHeight="1" x14ac:dyDescent="0.25">
      <c r="A424" s="29"/>
      <c r="B424" s="55"/>
      <c r="C424" s="30"/>
      <c r="D424" s="27"/>
      <c r="E424" s="27"/>
      <c r="F424" s="56"/>
      <c r="G424" s="29"/>
    </row>
    <row r="425" spans="1:7" ht="15.75" customHeight="1" x14ac:dyDescent="0.25">
      <c r="A425" s="29"/>
      <c r="B425" s="55"/>
      <c r="C425" s="30"/>
      <c r="D425" s="27"/>
      <c r="E425" s="27"/>
      <c r="F425" s="56"/>
      <c r="G425" s="29"/>
    </row>
    <row r="426" spans="1:7" ht="15.75" customHeight="1" x14ac:dyDescent="0.25">
      <c r="A426" s="29"/>
      <c r="B426" s="55"/>
      <c r="C426" s="30"/>
      <c r="D426" s="27"/>
      <c r="E426" s="27"/>
      <c r="F426" s="56"/>
      <c r="G426" s="29"/>
    </row>
    <row r="427" spans="1:7" ht="15.75" customHeight="1" x14ac:dyDescent="0.25">
      <c r="A427" s="29"/>
      <c r="B427" s="55"/>
      <c r="C427" s="30"/>
      <c r="D427" s="27"/>
      <c r="E427" s="27"/>
      <c r="F427" s="56"/>
      <c r="G427" s="29"/>
    </row>
    <row r="428" spans="1:7" ht="15.75" customHeight="1" x14ac:dyDescent="0.25">
      <c r="A428" s="29"/>
      <c r="B428" s="55"/>
      <c r="C428" s="30"/>
      <c r="D428" s="27"/>
      <c r="E428" s="27"/>
      <c r="F428" s="56"/>
      <c r="G428" s="29"/>
    </row>
    <row r="429" spans="1:7" ht="15.75" customHeight="1" x14ac:dyDescent="0.25">
      <c r="A429" s="29"/>
      <c r="B429" s="55"/>
      <c r="C429" s="30"/>
      <c r="D429" s="27"/>
      <c r="E429" s="27"/>
      <c r="F429" s="56"/>
      <c r="G429" s="29"/>
    </row>
    <row r="430" spans="1:7" ht="15.75" customHeight="1" x14ac:dyDescent="0.25">
      <c r="A430" s="29"/>
      <c r="B430" s="55"/>
      <c r="C430" s="30"/>
      <c r="D430" s="27"/>
      <c r="E430" s="27"/>
      <c r="F430" s="56"/>
      <c r="G430" s="29"/>
    </row>
    <row r="431" spans="1:7" ht="15.75" customHeight="1" x14ac:dyDescent="0.25">
      <c r="A431" s="29"/>
      <c r="B431" s="55"/>
      <c r="C431" s="30"/>
      <c r="D431" s="27"/>
      <c r="E431" s="27"/>
      <c r="F431" s="56"/>
      <c r="G431" s="29"/>
    </row>
    <row r="432" spans="1:7" ht="15.75" customHeight="1" x14ac:dyDescent="0.25">
      <c r="A432" s="29"/>
      <c r="B432" s="55"/>
      <c r="C432" s="30"/>
      <c r="D432" s="27"/>
      <c r="E432" s="27"/>
      <c r="F432" s="56"/>
      <c r="G432" s="29"/>
    </row>
    <row r="433" spans="1:7" ht="15.75" customHeight="1" x14ac:dyDescent="0.25">
      <c r="A433" s="29"/>
      <c r="B433" s="55"/>
      <c r="C433" s="30"/>
      <c r="D433" s="27"/>
      <c r="E433" s="27"/>
      <c r="F433" s="56"/>
      <c r="G433" s="29"/>
    </row>
    <row r="434" spans="1:7" ht="15.75" customHeight="1" x14ac:dyDescent="0.25">
      <c r="A434" s="29"/>
      <c r="B434" s="55"/>
      <c r="C434" s="30"/>
      <c r="D434" s="27"/>
      <c r="E434" s="27"/>
      <c r="F434" s="56"/>
      <c r="G434" s="29"/>
    </row>
    <row r="435" spans="1:7" ht="15.75" customHeight="1" x14ac:dyDescent="0.25">
      <c r="A435" s="29"/>
      <c r="B435" s="55"/>
      <c r="C435" s="30"/>
      <c r="D435" s="27"/>
      <c r="E435" s="27"/>
      <c r="F435" s="56"/>
      <c r="G435" s="29"/>
    </row>
    <row r="436" spans="1:7" ht="15.75" customHeight="1" x14ac:dyDescent="0.25">
      <c r="A436" s="29"/>
      <c r="B436" s="55"/>
      <c r="C436" s="30"/>
      <c r="D436" s="27"/>
      <c r="E436" s="27"/>
      <c r="F436" s="56"/>
      <c r="G436" s="29"/>
    </row>
    <row r="437" spans="1:7" ht="15.75" customHeight="1" x14ac:dyDescent="0.25">
      <c r="A437" s="29"/>
      <c r="B437" s="55"/>
      <c r="C437" s="30"/>
      <c r="D437" s="27"/>
      <c r="E437" s="27"/>
      <c r="F437" s="56"/>
      <c r="G437" s="29"/>
    </row>
    <row r="438" spans="1:7" ht="15.75" customHeight="1" x14ac:dyDescent="0.25">
      <c r="A438" s="29"/>
      <c r="B438" s="55"/>
      <c r="C438" s="30"/>
      <c r="D438" s="27"/>
      <c r="E438" s="27"/>
      <c r="F438" s="56"/>
      <c r="G438" s="29"/>
    </row>
    <row r="439" spans="1:7" ht="15.75" customHeight="1" x14ac:dyDescent="0.25">
      <c r="A439" s="29"/>
      <c r="B439" s="55"/>
      <c r="C439" s="30"/>
      <c r="D439" s="27"/>
      <c r="E439" s="27"/>
      <c r="F439" s="56"/>
      <c r="G439" s="29"/>
    </row>
    <row r="440" spans="1:7" ht="15.75" customHeight="1" x14ac:dyDescent="0.25">
      <c r="A440" s="29"/>
      <c r="B440" s="55"/>
      <c r="C440" s="30"/>
      <c r="D440" s="27"/>
      <c r="E440" s="27"/>
      <c r="F440" s="56"/>
      <c r="G440" s="29"/>
    </row>
    <row r="441" spans="1:7" ht="15.75" customHeight="1" x14ac:dyDescent="0.25">
      <c r="A441" s="29"/>
      <c r="B441" s="55"/>
      <c r="C441" s="30"/>
      <c r="D441" s="27"/>
      <c r="E441" s="27"/>
      <c r="F441" s="56"/>
      <c r="G441" s="29"/>
    </row>
    <row r="442" spans="1:7" ht="15.75" customHeight="1" x14ac:dyDescent="0.25">
      <c r="A442" s="29"/>
      <c r="B442" s="55"/>
      <c r="C442" s="30"/>
      <c r="D442" s="27"/>
      <c r="E442" s="27"/>
      <c r="F442" s="56"/>
      <c r="G442" s="29"/>
    </row>
    <row r="443" spans="1:7" ht="15.75" customHeight="1" x14ac:dyDescent="0.25">
      <c r="A443" s="29"/>
      <c r="B443" s="55"/>
      <c r="C443" s="30"/>
      <c r="D443" s="27"/>
      <c r="E443" s="27"/>
      <c r="F443" s="56"/>
      <c r="G443" s="29"/>
    </row>
    <row r="444" spans="1:7" ht="15.75" customHeight="1" x14ac:dyDescent="0.25">
      <c r="A444" s="29"/>
      <c r="B444" s="55"/>
      <c r="C444" s="30"/>
      <c r="D444" s="27"/>
      <c r="E444" s="27"/>
      <c r="F444" s="56"/>
      <c r="G444" s="29"/>
    </row>
    <row r="445" spans="1:7" ht="15.75" customHeight="1" x14ac:dyDescent="0.25">
      <c r="A445" s="29"/>
      <c r="B445" s="55"/>
      <c r="C445" s="30"/>
      <c r="D445" s="27"/>
      <c r="E445" s="27"/>
      <c r="F445" s="56"/>
      <c r="G445" s="29"/>
    </row>
    <row r="446" spans="1:7" ht="15.75" customHeight="1" x14ac:dyDescent="0.25">
      <c r="A446" s="29"/>
      <c r="B446" s="55"/>
      <c r="C446" s="30"/>
      <c r="D446" s="27"/>
      <c r="E446" s="27"/>
      <c r="F446" s="56"/>
      <c r="G446" s="29"/>
    </row>
    <row r="447" spans="1:7" ht="15.75" customHeight="1" x14ac:dyDescent="0.25">
      <c r="A447" s="29"/>
      <c r="B447" s="55"/>
      <c r="C447" s="30"/>
      <c r="D447" s="27"/>
      <c r="E447" s="27"/>
      <c r="F447" s="56"/>
      <c r="G447" s="29"/>
    </row>
    <row r="448" spans="1:7" ht="15.75" customHeight="1" x14ac:dyDescent="0.25">
      <c r="A448" s="29"/>
      <c r="B448" s="55"/>
      <c r="C448" s="30"/>
      <c r="D448" s="27"/>
      <c r="E448" s="27"/>
      <c r="F448" s="56"/>
      <c r="G448" s="29"/>
    </row>
    <row r="449" spans="1:7" ht="15.75" customHeight="1" x14ac:dyDescent="0.25">
      <c r="A449" s="29"/>
      <c r="B449" s="55"/>
      <c r="C449" s="30"/>
      <c r="D449" s="27"/>
      <c r="E449" s="27"/>
      <c r="F449" s="56"/>
      <c r="G449" s="29"/>
    </row>
    <row r="450" spans="1:7" ht="15.75" customHeight="1" x14ac:dyDescent="0.25">
      <c r="A450" s="29"/>
      <c r="B450" s="55"/>
      <c r="C450" s="30"/>
      <c r="D450" s="27"/>
      <c r="E450" s="27"/>
      <c r="F450" s="56"/>
      <c r="G450" s="29"/>
    </row>
    <row r="451" spans="1:7" ht="15.75" customHeight="1" x14ac:dyDescent="0.25">
      <c r="A451" s="29"/>
      <c r="B451" s="55"/>
      <c r="C451" s="30"/>
      <c r="D451" s="27"/>
      <c r="E451" s="27"/>
      <c r="F451" s="56"/>
      <c r="G451" s="29"/>
    </row>
    <row r="452" spans="1:7" ht="15.75" customHeight="1" x14ac:dyDescent="0.25">
      <c r="A452" s="29"/>
      <c r="B452" s="55"/>
      <c r="C452" s="30"/>
      <c r="D452" s="27"/>
      <c r="E452" s="27"/>
      <c r="F452" s="56"/>
      <c r="G452" s="29"/>
    </row>
    <row r="453" spans="1:7" ht="15.75" customHeight="1" x14ac:dyDescent="0.25">
      <c r="A453" s="29"/>
      <c r="B453" s="55"/>
      <c r="C453" s="30"/>
      <c r="D453" s="27"/>
      <c r="E453" s="27"/>
      <c r="F453" s="56"/>
      <c r="G453" s="29"/>
    </row>
    <row r="454" spans="1:7" ht="15.75" customHeight="1" x14ac:dyDescent="0.25">
      <c r="A454" s="29"/>
      <c r="B454" s="55"/>
      <c r="C454" s="30"/>
      <c r="D454" s="27"/>
      <c r="E454" s="27"/>
      <c r="F454" s="56"/>
      <c r="G454" s="29"/>
    </row>
    <row r="455" spans="1:7" ht="15.75" customHeight="1" x14ac:dyDescent="0.25">
      <c r="A455" s="29"/>
      <c r="B455" s="55"/>
      <c r="C455" s="30"/>
      <c r="D455" s="27"/>
      <c r="E455" s="27"/>
      <c r="F455" s="56"/>
      <c r="G455" s="29"/>
    </row>
    <row r="456" spans="1:7" ht="15.75" customHeight="1" x14ac:dyDescent="0.25">
      <c r="A456" s="29"/>
      <c r="B456" s="55"/>
      <c r="C456" s="30"/>
      <c r="D456" s="27"/>
      <c r="E456" s="27"/>
      <c r="F456" s="56"/>
      <c r="G456" s="29"/>
    </row>
    <row r="457" spans="1:7" ht="15.75" customHeight="1" x14ac:dyDescent="0.25">
      <c r="A457" s="29"/>
      <c r="B457" s="55"/>
      <c r="C457" s="30"/>
      <c r="D457" s="27"/>
      <c r="E457" s="27"/>
      <c r="F457" s="56"/>
      <c r="G457" s="29"/>
    </row>
    <row r="458" spans="1:7" ht="15.75" customHeight="1" x14ac:dyDescent="0.25">
      <c r="A458" s="29"/>
      <c r="B458" s="55"/>
      <c r="C458" s="30"/>
      <c r="D458" s="27"/>
      <c r="E458" s="27"/>
      <c r="F458" s="56"/>
      <c r="G458" s="29"/>
    </row>
    <row r="459" spans="1:7" ht="15.75" customHeight="1" x14ac:dyDescent="0.25">
      <c r="A459" s="29"/>
      <c r="B459" s="55"/>
      <c r="C459" s="30"/>
      <c r="D459" s="27"/>
      <c r="E459" s="27"/>
      <c r="F459" s="56"/>
      <c r="G459" s="29"/>
    </row>
    <row r="460" spans="1:7" ht="15.75" customHeight="1" x14ac:dyDescent="0.25">
      <c r="A460" s="29"/>
      <c r="B460" s="55"/>
      <c r="C460" s="30"/>
      <c r="D460" s="27"/>
      <c r="E460" s="27"/>
      <c r="F460" s="56"/>
      <c r="G460" s="29"/>
    </row>
    <row r="461" spans="1:7" ht="15.75" customHeight="1" x14ac:dyDescent="0.25">
      <c r="A461" s="29"/>
      <c r="B461" s="55"/>
      <c r="C461" s="30"/>
      <c r="D461" s="27"/>
      <c r="E461" s="27"/>
      <c r="F461" s="56"/>
      <c r="G461" s="29"/>
    </row>
    <row r="462" spans="1:7" ht="15.75" customHeight="1" x14ac:dyDescent="0.25">
      <c r="A462" s="29"/>
      <c r="B462" s="55"/>
      <c r="C462" s="30"/>
      <c r="D462" s="27"/>
      <c r="E462" s="27"/>
      <c r="F462" s="56"/>
      <c r="G462" s="29"/>
    </row>
    <row r="463" spans="1:7" ht="15.75" customHeight="1" x14ac:dyDescent="0.25">
      <c r="A463" s="29"/>
      <c r="B463" s="55"/>
      <c r="C463" s="30"/>
      <c r="D463" s="27"/>
      <c r="E463" s="27"/>
      <c r="F463" s="56"/>
      <c r="G463" s="29"/>
    </row>
    <row r="464" spans="1:7" ht="15.75" customHeight="1" x14ac:dyDescent="0.25">
      <c r="A464" s="29"/>
      <c r="B464" s="55"/>
      <c r="C464" s="30"/>
      <c r="D464" s="27"/>
      <c r="E464" s="27"/>
      <c r="F464" s="56"/>
      <c r="G464" s="29"/>
    </row>
    <row r="465" spans="1:7" ht="15.75" customHeight="1" x14ac:dyDescent="0.25">
      <c r="A465" s="29"/>
      <c r="B465" s="55"/>
      <c r="C465" s="30"/>
      <c r="D465" s="27"/>
      <c r="E465" s="27"/>
      <c r="F465" s="56"/>
      <c r="G465" s="29"/>
    </row>
    <row r="466" spans="1:7" ht="15.75" customHeight="1" x14ac:dyDescent="0.25">
      <c r="A466" s="29"/>
      <c r="B466" s="55"/>
      <c r="C466" s="30"/>
      <c r="D466" s="27"/>
      <c r="E466" s="27"/>
      <c r="F466" s="56"/>
      <c r="G466" s="29"/>
    </row>
    <row r="467" spans="1:7" ht="15.75" customHeight="1" x14ac:dyDescent="0.25">
      <c r="A467" s="29"/>
      <c r="B467" s="55"/>
      <c r="C467" s="30"/>
      <c r="D467" s="27"/>
      <c r="E467" s="27"/>
      <c r="F467" s="56"/>
      <c r="G467" s="29"/>
    </row>
    <row r="468" spans="1:7" ht="15.75" customHeight="1" x14ac:dyDescent="0.25">
      <c r="A468" s="29"/>
      <c r="B468" s="55"/>
      <c r="C468" s="30"/>
      <c r="D468" s="27"/>
      <c r="E468" s="27"/>
      <c r="F468" s="56"/>
      <c r="G468" s="29"/>
    </row>
    <row r="469" spans="1:7" ht="15.75" customHeight="1" x14ac:dyDescent="0.25">
      <c r="A469" s="29"/>
      <c r="B469" s="55"/>
      <c r="C469" s="30"/>
      <c r="D469" s="27"/>
      <c r="E469" s="27"/>
      <c r="F469" s="56"/>
      <c r="G469" s="29"/>
    </row>
    <row r="470" spans="1:7" ht="15.75" customHeight="1" x14ac:dyDescent="0.25">
      <c r="A470" s="29"/>
      <c r="B470" s="55"/>
      <c r="C470" s="30"/>
      <c r="D470" s="27"/>
      <c r="E470" s="27"/>
      <c r="F470" s="56"/>
      <c r="G470" s="29"/>
    </row>
    <row r="471" spans="1:7" ht="15.75" customHeight="1" x14ac:dyDescent="0.25">
      <c r="A471" s="29"/>
      <c r="B471" s="55"/>
      <c r="C471" s="30"/>
      <c r="D471" s="27"/>
      <c r="E471" s="27"/>
      <c r="F471" s="56"/>
      <c r="G471" s="29"/>
    </row>
    <row r="472" spans="1:7" ht="15.75" customHeight="1" x14ac:dyDescent="0.25">
      <c r="A472" s="29"/>
      <c r="B472" s="55"/>
      <c r="C472" s="30"/>
      <c r="D472" s="27"/>
      <c r="E472" s="27"/>
      <c r="F472" s="56"/>
      <c r="G472" s="29"/>
    </row>
    <row r="473" spans="1:7" ht="15.75" customHeight="1" x14ac:dyDescent="0.25">
      <c r="A473" s="29"/>
      <c r="B473" s="55"/>
      <c r="C473" s="30"/>
      <c r="D473" s="27"/>
      <c r="E473" s="27"/>
      <c r="F473" s="56"/>
      <c r="G473" s="29"/>
    </row>
    <row r="474" spans="1:7" ht="15.75" customHeight="1" x14ac:dyDescent="0.25">
      <c r="A474" s="29"/>
      <c r="B474" s="55"/>
      <c r="C474" s="30"/>
      <c r="D474" s="27"/>
      <c r="E474" s="27"/>
      <c r="F474" s="56"/>
      <c r="G474" s="29"/>
    </row>
    <row r="475" spans="1:7" ht="15.75" customHeight="1" x14ac:dyDescent="0.25">
      <c r="A475" s="29"/>
      <c r="B475" s="55"/>
      <c r="C475" s="30"/>
      <c r="D475" s="27"/>
      <c r="E475" s="27"/>
      <c r="F475" s="56"/>
      <c r="G475" s="29"/>
    </row>
    <row r="476" spans="1:7" ht="15.75" customHeight="1" x14ac:dyDescent="0.25">
      <c r="A476" s="29"/>
      <c r="B476" s="55"/>
      <c r="C476" s="30"/>
      <c r="D476" s="27"/>
      <c r="E476" s="27"/>
      <c r="F476" s="56"/>
      <c r="G476" s="29"/>
    </row>
    <row r="477" spans="1:7" ht="15.75" customHeight="1" x14ac:dyDescent="0.25">
      <c r="A477" s="29"/>
      <c r="B477" s="55"/>
      <c r="C477" s="30"/>
      <c r="D477" s="27"/>
      <c r="E477" s="27"/>
      <c r="F477" s="56"/>
      <c r="G477" s="29"/>
    </row>
    <row r="478" spans="1:7" ht="15.75" customHeight="1" x14ac:dyDescent="0.25">
      <c r="A478" s="29"/>
      <c r="B478" s="55"/>
      <c r="C478" s="30"/>
      <c r="D478" s="27"/>
      <c r="E478" s="27"/>
      <c r="F478" s="56"/>
      <c r="G478" s="29"/>
    </row>
    <row r="479" spans="1:7" ht="15.75" customHeight="1" x14ac:dyDescent="0.25">
      <c r="A479" s="29"/>
      <c r="B479" s="55"/>
      <c r="C479" s="30"/>
      <c r="D479" s="27"/>
      <c r="E479" s="27"/>
      <c r="F479" s="56"/>
      <c r="G479" s="29"/>
    </row>
    <row r="480" spans="1:7" ht="15.75" customHeight="1" x14ac:dyDescent="0.25">
      <c r="A480" s="29"/>
      <c r="B480" s="55"/>
      <c r="C480" s="30"/>
      <c r="D480" s="27"/>
      <c r="E480" s="27"/>
      <c r="F480" s="56"/>
      <c r="G480" s="29"/>
    </row>
    <row r="481" spans="1:7" ht="15.75" customHeight="1" x14ac:dyDescent="0.25">
      <c r="A481" s="29"/>
      <c r="B481" s="55"/>
      <c r="C481" s="30"/>
      <c r="D481" s="27"/>
      <c r="E481" s="27"/>
      <c r="F481" s="56"/>
      <c r="G481" s="29"/>
    </row>
    <row r="482" spans="1:7" ht="15.75" customHeight="1" x14ac:dyDescent="0.25">
      <c r="A482" s="29"/>
      <c r="B482" s="55"/>
      <c r="C482" s="30"/>
      <c r="D482" s="27"/>
      <c r="E482" s="27"/>
      <c r="F482" s="56"/>
      <c r="G482" s="29"/>
    </row>
    <row r="483" spans="1:7" ht="15.75" customHeight="1" x14ac:dyDescent="0.25">
      <c r="A483" s="29"/>
      <c r="B483" s="55"/>
      <c r="C483" s="30"/>
      <c r="D483" s="27"/>
      <c r="E483" s="27"/>
      <c r="F483" s="56"/>
      <c r="G483" s="29"/>
    </row>
    <row r="484" spans="1:7" ht="15.75" customHeight="1" x14ac:dyDescent="0.25">
      <c r="A484" s="29"/>
      <c r="B484" s="55"/>
      <c r="C484" s="30"/>
      <c r="D484" s="27"/>
      <c r="E484" s="27"/>
      <c r="F484" s="56"/>
      <c r="G484" s="29"/>
    </row>
    <row r="485" spans="1:7" ht="15.75" customHeight="1" x14ac:dyDescent="0.25">
      <c r="A485" s="29"/>
      <c r="B485" s="55"/>
      <c r="C485" s="30"/>
      <c r="D485" s="27"/>
      <c r="E485" s="27"/>
      <c r="F485" s="56"/>
      <c r="G485" s="29"/>
    </row>
    <row r="486" spans="1:7" ht="15.75" customHeight="1" x14ac:dyDescent="0.25">
      <c r="A486" s="29"/>
      <c r="B486" s="55"/>
      <c r="C486" s="30"/>
      <c r="D486" s="27"/>
      <c r="E486" s="27"/>
      <c r="F486" s="56"/>
      <c r="G486" s="29"/>
    </row>
    <row r="487" spans="1:7" ht="15.75" customHeight="1" x14ac:dyDescent="0.25">
      <c r="A487" s="29"/>
      <c r="B487" s="55"/>
      <c r="C487" s="30"/>
      <c r="D487" s="27"/>
      <c r="E487" s="27"/>
      <c r="F487" s="56"/>
      <c r="G487" s="29"/>
    </row>
    <row r="488" spans="1:7" ht="15.75" customHeight="1" x14ac:dyDescent="0.25">
      <c r="A488" s="29"/>
      <c r="B488" s="55"/>
      <c r="C488" s="30"/>
      <c r="D488" s="27"/>
      <c r="E488" s="27"/>
      <c r="F488" s="56"/>
      <c r="G488" s="29"/>
    </row>
    <row r="489" spans="1:7" ht="15.75" customHeight="1" x14ac:dyDescent="0.25">
      <c r="A489" s="29"/>
      <c r="B489" s="55"/>
      <c r="C489" s="30"/>
      <c r="D489" s="27"/>
      <c r="E489" s="27"/>
      <c r="F489" s="56"/>
      <c r="G489" s="29"/>
    </row>
    <row r="490" spans="1:7" ht="15.75" customHeight="1" x14ac:dyDescent="0.25">
      <c r="A490" s="29"/>
      <c r="B490" s="55"/>
      <c r="C490" s="30"/>
      <c r="D490" s="27"/>
      <c r="E490" s="27"/>
      <c r="F490" s="56"/>
      <c r="G490" s="29"/>
    </row>
    <row r="491" spans="1:7" ht="15.75" customHeight="1" x14ac:dyDescent="0.25">
      <c r="A491" s="29"/>
      <c r="B491" s="55"/>
      <c r="C491" s="30"/>
      <c r="D491" s="27"/>
      <c r="E491" s="27"/>
      <c r="F491" s="56"/>
      <c r="G491" s="29"/>
    </row>
    <row r="492" spans="1:7" ht="15.75" customHeight="1" x14ac:dyDescent="0.25">
      <c r="A492" s="29"/>
      <c r="B492" s="55"/>
      <c r="C492" s="30"/>
      <c r="D492" s="27"/>
      <c r="E492" s="27"/>
      <c r="F492" s="56"/>
      <c r="G492" s="29"/>
    </row>
    <row r="493" spans="1:7" ht="15.75" customHeight="1" x14ac:dyDescent="0.25">
      <c r="A493" s="29"/>
      <c r="B493" s="55"/>
      <c r="C493" s="30"/>
      <c r="D493" s="27"/>
      <c r="E493" s="27"/>
      <c r="F493" s="56"/>
      <c r="G493" s="29"/>
    </row>
    <row r="494" spans="1:7" ht="15.75" customHeight="1" x14ac:dyDescent="0.25">
      <c r="A494" s="29"/>
      <c r="B494" s="55"/>
      <c r="C494" s="30"/>
      <c r="D494" s="27"/>
      <c r="E494" s="27"/>
      <c r="F494" s="56"/>
      <c r="G494" s="29"/>
    </row>
    <row r="495" spans="1:7" ht="15.75" customHeight="1" x14ac:dyDescent="0.25">
      <c r="A495" s="29"/>
      <c r="B495" s="55"/>
      <c r="C495" s="30"/>
      <c r="D495" s="27"/>
      <c r="E495" s="27"/>
      <c r="F495" s="56"/>
      <c r="G495" s="29"/>
    </row>
    <row r="496" spans="1:7" ht="15.75" customHeight="1" x14ac:dyDescent="0.25">
      <c r="A496" s="29"/>
      <c r="B496" s="55"/>
      <c r="C496" s="30"/>
      <c r="D496" s="27"/>
      <c r="E496" s="27"/>
      <c r="F496" s="56"/>
      <c r="G496" s="29"/>
    </row>
    <row r="497" spans="1:7" ht="15.75" customHeight="1" x14ac:dyDescent="0.25">
      <c r="A497" s="29"/>
      <c r="B497" s="55"/>
      <c r="C497" s="30"/>
      <c r="D497" s="27"/>
      <c r="E497" s="27"/>
      <c r="F497" s="56"/>
      <c r="G497" s="29"/>
    </row>
    <row r="498" spans="1:7" ht="15.75" customHeight="1" x14ac:dyDescent="0.25">
      <c r="A498" s="29"/>
      <c r="B498" s="55"/>
      <c r="C498" s="30"/>
      <c r="D498" s="27"/>
      <c r="E498" s="27"/>
      <c r="F498" s="56"/>
      <c r="G498" s="29"/>
    </row>
    <row r="499" spans="1:7" ht="15.75" customHeight="1" x14ac:dyDescent="0.25">
      <c r="A499" s="29"/>
      <c r="B499" s="55"/>
      <c r="C499" s="30"/>
      <c r="D499" s="27"/>
      <c r="E499" s="27"/>
      <c r="F499" s="56"/>
      <c r="G499" s="29"/>
    </row>
    <row r="500" spans="1:7" ht="15.75" customHeight="1" x14ac:dyDescent="0.25">
      <c r="A500" s="29"/>
      <c r="B500" s="55"/>
      <c r="C500" s="30"/>
      <c r="D500" s="27"/>
      <c r="E500" s="27"/>
      <c r="F500" s="56"/>
      <c r="G500" s="29"/>
    </row>
    <row r="501" spans="1:7" ht="15.75" customHeight="1" x14ac:dyDescent="0.25">
      <c r="A501" s="29"/>
      <c r="B501" s="55"/>
      <c r="C501" s="30"/>
      <c r="D501" s="27"/>
      <c r="E501" s="27"/>
      <c r="F501" s="56"/>
      <c r="G501" s="29"/>
    </row>
    <row r="502" spans="1:7" ht="15.75" customHeight="1" x14ac:dyDescent="0.25">
      <c r="A502" s="29"/>
      <c r="B502" s="55"/>
      <c r="C502" s="30"/>
      <c r="D502" s="27"/>
      <c r="E502" s="27"/>
      <c r="F502" s="56"/>
      <c r="G502" s="29"/>
    </row>
    <row r="503" spans="1:7" ht="15.75" customHeight="1" x14ac:dyDescent="0.25">
      <c r="A503" s="29"/>
      <c r="B503" s="55"/>
      <c r="C503" s="30"/>
      <c r="D503" s="27"/>
      <c r="E503" s="27"/>
      <c r="F503" s="56"/>
      <c r="G503" s="29"/>
    </row>
    <row r="504" spans="1:7" ht="15.75" customHeight="1" x14ac:dyDescent="0.25">
      <c r="A504" s="29"/>
      <c r="B504" s="55"/>
      <c r="C504" s="30"/>
      <c r="D504" s="27"/>
      <c r="E504" s="27"/>
      <c r="F504" s="56"/>
      <c r="G504" s="29"/>
    </row>
    <row r="505" spans="1:7" ht="15.75" customHeight="1" x14ac:dyDescent="0.25">
      <c r="A505" s="29"/>
      <c r="B505" s="55"/>
      <c r="C505" s="30"/>
      <c r="D505" s="27"/>
      <c r="E505" s="27"/>
      <c r="F505" s="56"/>
      <c r="G505" s="29"/>
    </row>
    <row r="506" spans="1:7" ht="15.75" customHeight="1" x14ac:dyDescent="0.25">
      <c r="A506" s="29"/>
      <c r="B506" s="55"/>
      <c r="C506" s="30"/>
      <c r="D506" s="27"/>
      <c r="E506" s="27"/>
      <c r="F506" s="56"/>
      <c r="G506" s="29"/>
    </row>
    <row r="507" spans="1:7" ht="15.75" customHeight="1" x14ac:dyDescent="0.25">
      <c r="A507" s="29"/>
      <c r="B507" s="55"/>
      <c r="C507" s="30"/>
      <c r="D507" s="27"/>
      <c r="E507" s="27"/>
      <c r="F507" s="56"/>
      <c r="G507" s="29"/>
    </row>
    <row r="508" spans="1:7" ht="15.75" customHeight="1" x14ac:dyDescent="0.25">
      <c r="A508" s="29"/>
      <c r="B508" s="55"/>
      <c r="C508" s="30"/>
      <c r="D508" s="27"/>
      <c r="E508" s="27"/>
      <c r="F508" s="56"/>
      <c r="G508" s="29"/>
    </row>
    <row r="509" spans="1:7" ht="15.75" customHeight="1" x14ac:dyDescent="0.25">
      <c r="A509" s="29"/>
      <c r="B509" s="55"/>
      <c r="C509" s="30"/>
      <c r="D509" s="27"/>
      <c r="E509" s="27"/>
      <c r="F509" s="56"/>
      <c r="G509" s="29"/>
    </row>
    <row r="510" spans="1:7" ht="15.75" customHeight="1" x14ac:dyDescent="0.25">
      <c r="A510" s="29"/>
      <c r="B510" s="55"/>
      <c r="C510" s="30"/>
      <c r="D510" s="27"/>
      <c r="E510" s="27"/>
      <c r="F510" s="56"/>
      <c r="G510" s="29"/>
    </row>
    <row r="511" spans="1:7" ht="15.75" customHeight="1" x14ac:dyDescent="0.25">
      <c r="A511" s="29"/>
      <c r="B511" s="55"/>
      <c r="C511" s="30"/>
      <c r="D511" s="27"/>
      <c r="E511" s="27"/>
      <c r="F511" s="56"/>
      <c r="G511" s="29"/>
    </row>
    <row r="512" spans="1:7" ht="15.75" customHeight="1" x14ac:dyDescent="0.25">
      <c r="A512" s="29"/>
      <c r="B512" s="55"/>
      <c r="C512" s="30"/>
      <c r="D512" s="27"/>
      <c r="E512" s="27"/>
      <c r="F512" s="56"/>
      <c r="G512" s="29"/>
    </row>
    <row r="513" spans="1:7" ht="15.75" customHeight="1" x14ac:dyDescent="0.25">
      <c r="A513" s="29"/>
      <c r="B513" s="55"/>
      <c r="C513" s="30"/>
      <c r="D513" s="27"/>
      <c r="E513" s="27"/>
      <c r="F513" s="56"/>
      <c r="G513" s="29"/>
    </row>
    <row r="514" spans="1:7" ht="15.75" customHeight="1" x14ac:dyDescent="0.25">
      <c r="A514" s="29"/>
      <c r="B514" s="55"/>
      <c r="C514" s="30"/>
      <c r="D514" s="27"/>
      <c r="E514" s="27"/>
      <c r="F514" s="56"/>
      <c r="G514" s="29"/>
    </row>
    <row r="515" spans="1:7" ht="15.75" customHeight="1" x14ac:dyDescent="0.25">
      <c r="A515" s="29"/>
      <c r="B515" s="55"/>
      <c r="C515" s="30"/>
      <c r="D515" s="27"/>
      <c r="E515" s="27"/>
      <c r="F515" s="56"/>
      <c r="G515" s="29"/>
    </row>
    <row r="516" spans="1:7" ht="15.75" customHeight="1" x14ac:dyDescent="0.25">
      <c r="A516" s="29"/>
      <c r="B516" s="55"/>
      <c r="C516" s="30"/>
      <c r="D516" s="27"/>
      <c r="E516" s="27"/>
      <c r="F516" s="56"/>
      <c r="G516" s="29"/>
    </row>
    <row r="517" spans="1:7" ht="15.75" customHeight="1" x14ac:dyDescent="0.25">
      <c r="A517" s="29"/>
      <c r="B517" s="55"/>
      <c r="C517" s="30"/>
      <c r="D517" s="27"/>
      <c r="E517" s="27"/>
      <c r="F517" s="56"/>
      <c r="G517" s="29"/>
    </row>
    <row r="518" spans="1:7" ht="15.75" customHeight="1" x14ac:dyDescent="0.25">
      <c r="A518" s="29"/>
      <c r="B518" s="55"/>
      <c r="C518" s="30"/>
      <c r="D518" s="27"/>
      <c r="E518" s="27"/>
      <c r="F518" s="56"/>
      <c r="G518" s="29"/>
    </row>
    <row r="519" spans="1:7" ht="15.75" customHeight="1" x14ac:dyDescent="0.25">
      <c r="A519" s="29"/>
      <c r="B519" s="55"/>
      <c r="C519" s="30"/>
      <c r="D519" s="27"/>
      <c r="E519" s="27"/>
      <c r="F519" s="56"/>
      <c r="G519" s="29"/>
    </row>
    <row r="520" spans="1:7" ht="15.75" customHeight="1" x14ac:dyDescent="0.25">
      <c r="A520" s="29"/>
      <c r="B520" s="55"/>
      <c r="C520" s="30"/>
      <c r="D520" s="27"/>
      <c r="E520" s="27"/>
      <c r="F520" s="56"/>
      <c r="G520" s="29"/>
    </row>
    <row r="521" spans="1:7" ht="15.75" customHeight="1" x14ac:dyDescent="0.25">
      <c r="A521" s="29"/>
      <c r="B521" s="55"/>
      <c r="C521" s="30"/>
      <c r="D521" s="27"/>
      <c r="E521" s="27"/>
      <c r="F521" s="56"/>
      <c r="G521" s="29"/>
    </row>
    <row r="522" spans="1:7" ht="15.75" customHeight="1" x14ac:dyDescent="0.25">
      <c r="A522" s="29"/>
      <c r="B522" s="55"/>
      <c r="C522" s="30"/>
      <c r="D522" s="27"/>
      <c r="E522" s="27"/>
      <c r="F522" s="56"/>
      <c r="G522" s="29"/>
    </row>
    <row r="523" spans="1:7" ht="15.75" customHeight="1" x14ac:dyDescent="0.25">
      <c r="A523" s="29"/>
      <c r="B523" s="55"/>
      <c r="C523" s="30"/>
      <c r="D523" s="27"/>
      <c r="E523" s="27"/>
      <c r="F523" s="56"/>
      <c r="G523" s="29"/>
    </row>
    <row r="524" spans="1:7" ht="15.75" customHeight="1" x14ac:dyDescent="0.25">
      <c r="A524" s="29"/>
      <c r="B524" s="55"/>
      <c r="C524" s="30"/>
      <c r="D524" s="27"/>
      <c r="E524" s="27"/>
      <c r="F524" s="56"/>
      <c r="G524" s="29"/>
    </row>
    <row r="525" spans="1:7" ht="15.75" customHeight="1" x14ac:dyDescent="0.25">
      <c r="A525" s="29"/>
      <c r="B525" s="55"/>
      <c r="C525" s="30"/>
      <c r="D525" s="27"/>
      <c r="E525" s="27"/>
      <c r="F525" s="56"/>
      <c r="G525" s="29"/>
    </row>
    <row r="526" spans="1:7" ht="15.75" customHeight="1" x14ac:dyDescent="0.25">
      <c r="A526" s="29"/>
      <c r="B526" s="55"/>
      <c r="C526" s="30"/>
      <c r="D526" s="27"/>
      <c r="E526" s="27"/>
      <c r="F526" s="56"/>
      <c r="G526" s="29"/>
    </row>
    <row r="527" spans="1:7" ht="15.75" customHeight="1" x14ac:dyDescent="0.25">
      <c r="A527" s="29"/>
      <c r="B527" s="55"/>
      <c r="C527" s="30"/>
      <c r="D527" s="27"/>
      <c r="E527" s="27"/>
      <c r="F527" s="56"/>
      <c r="G527" s="29"/>
    </row>
    <row r="528" spans="1:7" ht="15.75" customHeight="1" x14ac:dyDescent="0.25">
      <c r="A528" s="29"/>
      <c r="B528" s="55"/>
      <c r="C528" s="30"/>
      <c r="D528" s="27"/>
      <c r="E528" s="27"/>
      <c r="F528" s="56"/>
      <c r="G528" s="29"/>
    </row>
    <row r="529" spans="1:7" ht="15.75" customHeight="1" x14ac:dyDescent="0.25">
      <c r="A529" s="29"/>
      <c r="B529" s="55"/>
      <c r="C529" s="30"/>
      <c r="D529" s="27"/>
      <c r="E529" s="27"/>
      <c r="F529" s="56"/>
      <c r="G529" s="29"/>
    </row>
    <row r="530" spans="1:7" ht="15.75" customHeight="1" x14ac:dyDescent="0.25">
      <c r="A530" s="29"/>
      <c r="B530" s="55"/>
      <c r="C530" s="30"/>
      <c r="D530" s="27"/>
      <c r="E530" s="27"/>
      <c r="F530" s="56"/>
      <c r="G530" s="29"/>
    </row>
    <row r="531" spans="1:7" ht="15.75" customHeight="1" x14ac:dyDescent="0.25">
      <c r="A531" s="29"/>
      <c r="B531" s="55"/>
      <c r="C531" s="30"/>
      <c r="D531" s="27"/>
      <c r="E531" s="27"/>
      <c r="F531" s="56"/>
      <c r="G531" s="29"/>
    </row>
    <row r="532" spans="1:7" ht="15.75" customHeight="1" x14ac:dyDescent="0.25">
      <c r="A532" s="29"/>
      <c r="B532" s="55"/>
      <c r="C532" s="30"/>
      <c r="D532" s="27"/>
      <c r="E532" s="27"/>
      <c r="F532" s="56"/>
      <c r="G532" s="29"/>
    </row>
    <row r="533" spans="1:7" ht="15.75" customHeight="1" x14ac:dyDescent="0.25">
      <c r="A533" s="29"/>
      <c r="B533" s="55"/>
      <c r="C533" s="30"/>
      <c r="D533" s="27"/>
      <c r="E533" s="27"/>
      <c r="F533" s="56"/>
      <c r="G533" s="29"/>
    </row>
    <row r="534" spans="1:7" ht="15.75" customHeight="1" x14ac:dyDescent="0.25">
      <c r="A534" s="29"/>
      <c r="B534" s="55"/>
      <c r="C534" s="30"/>
      <c r="D534" s="27"/>
      <c r="E534" s="27"/>
      <c r="F534" s="56"/>
      <c r="G534" s="29"/>
    </row>
    <row r="535" spans="1:7" ht="15.75" customHeight="1" x14ac:dyDescent="0.25">
      <c r="A535" s="29"/>
      <c r="B535" s="55"/>
      <c r="C535" s="30"/>
      <c r="D535" s="27"/>
      <c r="E535" s="27"/>
      <c r="F535" s="56"/>
      <c r="G535" s="29"/>
    </row>
    <row r="536" spans="1:7" ht="15.75" customHeight="1" x14ac:dyDescent="0.25">
      <c r="A536" s="29"/>
      <c r="B536" s="55"/>
      <c r="C536" s="30"/>
      <c r="D536" s="27"/>
      <c r="E536" s="27"/>
      <c r="F536" s="56"/>
      <c r="G536" s="29"/>
    </row>
    <row r="537" spans="1:7" ht="15.75" customHeight="1" x14ac:dyDescent="0.25">
      <c r="A537" s="29"/>
      <c r="B537" s="55"/>
      <c r="C537" s="30"/>
      <c r="D537" s="27"/>
      <c r="E537" s="27"/>
      <c r="F537" s="56"/>
      <c r="G537" s="29"/>
    </row>
    <row r="538" spans="1:7" ht="15.75" customHeight="1" x14ac:dyDescent="0.25">
      <c r="A538" s="29"/>
      <c r="B538" s="55"/>
      <c r="C538" s="30"/>
      <c r="D538" s="27"/>
      <c r="E538" s="27"/>
      <c r="F538" s="56"/>
      <c r="G538" s="29"/>
    </row>
    <row r="539" spans="1:7" ht="15.75" customHeight="1" x14ac:dyDescent="0.25">
      <c r="A539" s="29"/>
      <c r="B539" s="55"/>
      <c r="C539" s="30"/>
      <c r="D539" s="27"/>
      <c r="E539" s="27"/>
      <c r="F539" s="56"/>
      <c r="G539" s="29"/>
    </row>
    <row r="540" spans="1:7" ht="15.75" customHeight="1" x14ac:dyDescent="0.25">
      <c r="A540" s="29"/>
      <c r="B540" s="55"/>
      <c r="C540" s="30"/>
      <c r="D540" s="27"/>
      <c r="E540" s="27"/>
      <c r="F540" s="56"/>
      <c r="G540" s="29"/>
    </row>
    <row r="541" spans="1:7" ht="15.75" customHeight="1" x14ac:dyDescent="0.25">
      <c r="A541" s="29"/>
      <c r="B541" s="55"/>
      <c r="C541" s="30"/>
      <c r="D541" s="27"/>
      <c r="E541" s="27"/>
      <c r="F541" s="56"/>
      <c r="G541" s="29"/>
    </row>
    <row r="542" spans="1:7" ht="15.75" customHeight="1" x14ac:dyDescent="0.25">
      <c r="A542" s="29"/>
      <c r="B542" s="55"/>
      <c r="C542" s="30"/>
      <c r="D542" s="27"/>
      <c r="E542" s="27"/>
      <c r="F542" s="56"/>
      <c r="G542" s="29"/>
    </row>
    <row r="543" spans="1:7" ht="15.75" customHeight="1" x14ac:dyDescent="0.25">
      <c r="A543" s="29"/>
      <c r="B543" s="55"/>
      <c r="C543" s="30"/>
      <c r="D543" s="27"/>
      <c r="E543" s="27"/>
      <c r="F543" s="56"/>
      <c r="G543" s="29"/>
    </row>
    <row r="544" spans="1:7" ht="15.75" customHeight="1" x14ac:dyDescent="0.25">
      <c r="A544" s="29"/>
      <c r="B544" s="55"/>
      <c r="C544" s="30"/>
      <c r="D544" s="27"/>
      <c r="E544" s="27"/>
      <c r="F544" s="56"/>
      <c r="G544" s="29"/>
    </row>
    <row r="545" spans="1:7" ht="15.75" customHeight="1" x14ac:dyDescent="0.25">
      <c r="A545" s="29"/>
      <c r="B545" s="55"/>
      <c r="C545" s="30"/>
      <c r="D545" s="27"/>
      <c r="E545" s="27"/>
      <c r="F545" s="56"/>
      <c r="G545" s="29"/>
    </row>
    <row r="546" spans="1:7" ht="15.75" customHeight="1" x14ac:dyDescent="0.25">
      <c r="A546" s="29"/>
      <c r="B546" s="55"/>
      <c r="C546" s="30"/>
      <c r="D546" s="27"/>
      <c r="E546" s="27"/>
      <c r="F546" s="56"/>
      <c r="G546" s="29"/>
    </row>
    <row r="547" spans="1:7" ht="15.75" customHeight="1" x14ac:dyDescent="0.25">
      <c r="A547" s="29"/>
      <c r="B547" s="55"/>
      <c r="C547" s="30"/>
      <c r="D547" s="27"/>
      <c r="E547" s="27"/>
      <c r="F547" s="56"/>
      <c r="G547" s="29"/>
    </row>
    <row r="548" spans="1:7" ht="15.75" customHeight="1" x14ac:dyDescent="0.25">
      <c r="A548" s="29"/>
      <c r="B548" s="55"/>
      <c r="C548" s="30"/>
      <c r="D548" s="27"/>
      <c r="E548" s="27"/>
      <c r="F548" s="56"/>
      <c r="G548" s="29"/>
    </row>
    <row r="549" spans="1:7" ht="15.75" customHeight="1" x14ac:dyDescent="0.25">
      <c r="A549" s="29"/>
      <c r="B549" s="55"/>
      <c r="C549" s="30"/>
      <c r="D549" s="27"/>
      <c r="E549" s="27"/>
      <c r="F549" s="56"/>
      <c r="G549" s="29"/>
    </row>
    <row r="550" spans="1:7" ht="15.75" customHeight="1" x14ac:dyDescent="0.25">
      <c r="A550" s="29"/>
      <c r="B550" s="55"/>
      <c r="C550" s="30"/>
      <c r="D550" s="27"/>
      <c r="E550" s="27"/>
      <c r="F550" s="56"/>
      <c r="G550" s="29"/>
    </row>
    <row r="551" spans="1:7" ht="15.75" customHeight="1" x14ac:dyDescent="0.25">
      <c r="A551" s="29"/>
      <c r="B551" s="55"/>
      <c r="C551" s="30"/>
      <c r="D551" s="27"/>
      <c r="E551" s="27"/>
      <c r="F551" s="56"/>
      <c r="G551" s="29"/>
    </row>
    <row r="552" spans="1:7" ht="15.75" customHeight="1" x14ac:dyDescent="0.25">
      <c r="A552" s="29"/>
      <c r="B552" s="55"/>
      <c r="C552" s="30"/>
      <c r="D552" s="27"/>
      <c r="E552" s="27"/>
      <c r="F552" s="56"/>
      <c r="G552" s="29"/>
    </row>
    <row r="553" spans="1:7" ht="15.75" customHeight="1" x14ac:dyDescent="0.25">
      <c r="A553" s="29"/>
      <c r="B553" s="55"/>
      <c r="C553" s="30"/>
      <c r="D553" s="27"/>
      <c r="E553" s="27"/>
      <c r="F553" s="56"/>
      <c r="G553" s="29"/>
    </row>
    <row r="554" spans="1:7" ht="15.75" customHeight="1" x14ac:dyDescent="0.25">
      <c r="A554" s="29"/>
      <c r="B554" s="55"/>
      <c r="C554" s="30"/>
      <c r="D554" s="27"/>
      <c r="E554" s="27"/>
      <c r="F554" s="56"/>
      <c r="G554" s="29"/>
    </row>
    <row r="555" spans="1:7" ht="15.75" customHeight="1" x14ac:dyDescent="0.25">
      <c r="A555" s="29"/>
      <c r="B555" s="55"/>
      <c r="C555" s="30"/>
      <c r="D555" s="27"/>
      <c r="E555" s="27"/>
      <c r="F555" s="56"/>
      <c r="G555" s="29"/>
    </row>
    <row r="556" spans="1:7" ht="15.75" customHeight="1" x14ac:dyDescent="0.25">
      <c r="A556" s="29"/>
      <c r="B556" s="55"/>
      <c r="C556" s="30"/>
      <c r="D556" s="27"/>
      <c r="E556" s="27"/>
      <c r="F556" s="56"/>
      <c r="G556" s="29"/>
    </row>
    <row r="557" spans="1:7" ht="15.75" customHeight="1" x14ac:dyDescent="0.25">
      <c r="A557" s="29"/>
      <c r="B557" s="55"/>
      <c r="C557" s="30"/>
      <c r="D557" s="27"/>
      <c r="E557" s="27"/>
      <c r="F557" s="56"/>
      <c r="G557" s="29"/>
    </row>
    <row r="558" spans="1:7" ht="15.75" customHeight="1" x14ac:dyDescent="0.25">
      <c r="A558" s="29"/>
      <c r="B558" s="55"/>
      <c r="C558" s="30"/>
      <c r="D558" s="27"/>
      <c r="E558" s="27"/>
      <c r="F558" s="56"/>
      <c r="G558" s="29"/>
    </row>
    <row r="559" spans="1:7" ht="15.75" customHeight="1" x14ac:dyDescent="0.25">
      <c r="A559" s="29"/>
      <c r="B559" s="55"/>
      <c r="C559" s="30"/>
      <c r="D559" s="27"/>
      <c r="E559" s="27"/>
      <c r="F559" s="56"/>
      <c r="G559" s="29"/>
    </row>
    <row r="560" spans="1:7" ht="15.75" customHeight="1" x14ac:dyDescent="0.25">
      <c r="A560" s="29"/>
      <c r="B560" s="55"/>
      <c r="C560" s="30"/>
      <c r="D560" s="27"/>
      <c r="E560" s="27"/>
      <c r="F560" s="56"/>
      <c r="G560" s="29"/>
    </row>
    <row r="561" spans="1:7" ht="15.75" customHeight="1" x14ac:dyDescent="0.25">
      <c r="A561" s="29"/>
      <c r="B561" s="55"/>
      <c r="C561" s="30"/>
      <c r="D561" s="27"/>
      <c r="E561" s="27"/>
      <c r="F561" s="56"/>
      <c r="G561" s="29"/>
    </row>
    <row r="562" spans="1:7" ht="15.75" customHeight="1" x14ac:dyDescent="0.25">
      <c r="A562" s="29"/>
      <c r="B562" s="55"/>
      <c r="C562" s="30"/>
      <c r="D562" s="27"/>
      <c r="E562" s="27"/>
      <c r="F562" s="56"/>
      <c r="G562" s="29"/>
    </row>
    <row r="563" spans="1:7" ht="15.75" customHeight="1" x14ac:dyDescent="0.25">
      <c r="A563" s="29"/>
      <c r="B563" s="55"/>
      <c r="C563" s="30"/>
      <c r="D563" s="27"/>
      <c r="E563" s="27"/>
      <c r="F563" s="56"/>
      <c r="G563" s="29"/>
    </row>
    <row r="564" spans="1:7" ht="15.75" customHeight="1" x14ac:dyDescent="0.25">
      <c r="A564" s="29"/>
      <c r="B564" s="55"/>
      <c r="C564" s="30"/>
      <c r="D564" s="27"/>
      <c r="E564" s="27"/>
      <c r="F564" s="56"/>
      <c r="G564" s="29"/>
    </row>
    <row r="565" spans="1:7" ht="15.75" customHeight="1" x14ac:dyDescent="0.25">
      <c r="A565" s="29"/>
      <c r="B565" s="55"/>
      <c r="C565" s="30"/>
      <c r="D565" s="27"/>
      <c r="E565" s="27"/>
      <c r="F565" s="56"/>
      <c r="G565" s="29"/>
    </row>
    <row r="566" spans="1:7" ht="15.75" customHeight="1" x14ac:dyDescent="0.25">
      <c r="A566" s="29"/>
      <c r="B566" s="55"/>
      <c r="C566" s="30"/>
      <c r="D566" s="27"/>
      <c r="E566" s="27"/>
      <c r="F566" s="56"/>
      <c r="G566" s="29"/>
    </row>
    <row r="567" spans="1:7" ht="15.75" customHeight="1" x14ac:dyDescent="0.25">
      <c r="A567" s="29"/>
      <c r="B567" s="55"/>
      <c r="C567" s="30"/>
      <c r="D567" s="27"/>
      <c r="E567" s="27"/>
      <c r="F567" s="56"/>
      <c r="G567" s="29"/>
    </row>
    <row r="568" spans="1:7" ht="15.75" customHeight="1" x14ac:dyDescent="0.25">
      <c r="A568" s="29"/>
      <c r="B568" s="55"/>
      <c r="C568" s="30"/>
      <c r="D568" s="27"/>
      <c r="E568" s="27"/>
      <c r="F568" s="56"/>
      <c r="G568" s="29"/>
    </row>
    <row r="569" spans="1:7" ht="15.75" customHeight="1" x14ac:dyDescent="0.25">
      <c r="A569" s="29"/>
      <c r="B569" s="55"/>
      <c r="C569" s="30"/>
      <c r="D569" s="27"/>
      <c r="E569" s="27"/>
      <c r="F569" s="56"/>
      <c r="G569" s="29"/>
    </row>
    <row r="570" spans="1:7" ht="15.75" customHeight="1" x14ac:dyDescent="0.25">
      <c r="A570" s="29"/>
      <c r="B570" s="55"/>
      <c r="C570" s="30"/>
      <c r="D570" s="27"/>
      <c r="E570" s="27"/>
      <c r="F570" s="56"/>
      <c r="G570" s="29"/>
    </row>
    <row r="571" spans="1:7" ht="15.75" customHeight="1" x14ac:dyDescent="0.25">
      <c r="A571" s="29"/>
      <c r="B571" s="55"/>
      <c r="C571" s="30"/>
      <c r="D571" s="27"/>
      <c r="E571" s="27"/>
      <c r="F571" s="56"/>
      <c r="G571" s="29"/>
    </row>
    <row r="572" spans="1:7" ht="15.75" customHeight="1" x14ac:dyDescent="0.25">
      <c r="A572" s="29"/>
      <c r="B572" s="55"/>
      <c r="C572" s="30"/>
      <c r="D572" s="27"/>
      <c r="E572" s="27"/>
      <c r="F572" s="56"/>
      <c r="G572" s="29"/>
    </row>
    <row r="573" spans="1:7" ht="15.75" customHeight="1" x14ac:dyDescent="0.25">
      <c r="A573" s="29"/>
      <c r="B573" s="55"/>
      <c r="C573" s="30"/>
      <c r="D573" s="27"/>
      <c r="E573" s="27"/>
      <c r="F573" s="56"/>
      <c r="G573" s="29"/>
    </row>
    <row r="574" spans="1:7" ht="15.75" customHeight="1" x14ac:dyDescent="0.25">
      <c r="A574" s="29"/>
      <c r="B574" s="55"/>
      <c r="C574" s="30"/>
      <c r="D574" s="27"/>
      <c r="E574" s="27"/>
      <c r="F574" s="56"/>
      <c r="G574" s="29"/>
    </row>
    <row r="575" spans="1:7" ht="15.75" customHeight="1" x14ac:dyDescent="0.25">
      <c r="A575" s="29"/>
      <c r="B575" s="55"/>
      <c r="C575" s="30"/>
      <c r="D575" s="27"/>
      <c r="E575" s="27"/>
      <c r="F575" s="56"/>
      <c r="G575" s="29"/>
    </row>
    <row r="576" spans="1:7" ht="15.75" customHeight="1" x14ac:dyDescent="0.25">
      <c r="A576" s="29"/>
      <c r="B576" s="55"/>
      <c r="C576" s="30"/>
      <c r="D576" s="27"/>
      <c r="E576" s="27"/>
      <c r="F576" s="56"/>
      <c r="G576" s="29"/>
    </row>
    <row r="577" spans="1:7" ht="15.75" customHeight="1" x14ac:dyDescent="0.25">
      <c r="A577" s="29"/>
      <c r="B577" s="55"/>
      <c r="C577" s="30"/>
      <c r="D577" s="27"/>
      <c r="E577" s="27"/>
      <c r="F577" s="56"/>
      <c r="G577" s="29"/>
    </row>
    <row r="578" spans="1:7" ht="15.75" customHeight="1" x14ac:dyDescent="0.25">
      <c r="A578" s="29"/>
      <c r="B578" s="55"/>
      <c r="C578" s="30"/>
      <c r="D578" s="27"/>
      <c r="E578" s="27"/>
      <c r="F578" s="56"/>
      <c r="G578" s="29"/>
    </row>
    <row r="579" spans="1:7" ht="15.75" customHeight="1" x14ac:dyDescent="0.25">
      <c r="A579" s="29"/>
      <c r="B579" s="55"/>
      <c r="C579" s="30"/>
      <c r="D579" s="27"/>
      <c r="E579" s="27"/>
      <c r="F579" s="56"/>
      <c r="G579" s="29"/>
    </row>
    <row r="580" spans="1:7" ht="15.75" customHeight="1" x14ac:dyDescent="0.25">
      <c r="A580" s="29"/>
      <c r="B580" s="55"/>
      <c r="C580" s="30"/>
      <c r="D580" s="27"/>
      <c r="E580" s="27"/>
      <c r="F580" s="56"/>
      <c r="G580" s="29"/>
    </row>
    <row r="581" spans="1:7" ht="15.75" customHeight="1" x14ac:dyDescent="0.25">
      <c r="A581" s="29"/>
      <c r="B581" s="55"/>
      <c r="C581" s="30"/>
      <c r="D581" s="27"/>
      <c r="E581" s="27"/>
      <c r="F581" s="56"/>
      <c r="G581" s="29"/>
    </row>
    <row r="582" spans="1:7" ht="15.75" customHeight="1" x14ac:dyDescent="0.25">
      <c r="A582" s="29"/>
      <c r="B582" s="55"/>
      <c r="C582" s="30"/>
      <c r="D582" s="27"/>
      <c r="E582" s="27"/>
      <c r="F582" s="56"/>
      <c r="G582" s="29"/>
    </row>
    <row r="583" spans="1:7" ht="15.75" customHeight="1" x14ac:dyDescent="0.25">
      <c r="A583" s="29"/>
      <c r="B583" s="55"/>
      <c r="C583" s="30"/>
      <c r="D583" s="27"/>
      <c r="E583" s="27"/>
      <c r="F583" s="56"/>
      <c r="G583" s="29"/>
    </row>
    <row r="584" spans="1:7" ht="15.75" customHeight="1" x14ac:dyDescent="0.25">
      <c r="A584" s="29"/>
      <c r="B584" s="55"/>
      <c r="C584" s="30"/>
      <c r="D584" s="27"/>
      <c r="E584" s="27"/>
      <c r="F584" s="56"/>
      <c r="G584" s="29"/>
    </row>
    <row r="585" spans="1:7" ht="15.75" customHeight="1" x14ac:dyDescent="0.25">
      <c r="A585" s="29"/>
      <c r="B585" s="55"/>
      <c r="C585" s="30"/>
      <c r="D585" s="27"/>
      <c r="E585" s="27"/>
      <c r="F585" s="56"/>
      <c r="G585" s="29"/>
    </row>
    <row r="586" spans="1:7" ht="15.75" customHeight="1" x14ac:dyDescent="0.25">
      <c r="A586" s="29"/>
      <c r="B586" s="55"/>
      <c r="C586" s="30"/>
      <c r="D586" s="27"/>
      <c r="E586" s="27"/>
      <c r="F586" s="56"/>
      <c r="G586" s="29"/>
    </row>
    <row r="587" spans="1:7" ht="15.75" customHeight="1" x14ac:dyDescent="0.25">
      <c r="A587" s="29"/>
      <c r="B587" s="55"/>
      <c r="C587" s="30"/>
      <c r="D587" s="27"/>
      <c r="E587" s="27"/>
      <c r="F587" s="56"/>
      <c r="G587" s="29"/>
    </row>
    <row r="588" spans="1:7" ht="15.75" customHeight="1" x14ac:dyDescent="0.25">
      <c r="A588" s="29"/>
      <c r="B588" s="55"/>
      <c r="C588" s="30"/>
      <c r="D588" s="27"/>
      <c r="E588" s="27"/>
      <c r="F588" s="56"/>
      <c r="G588" s="29"/>
    </row>
    <row r="589" spans="1:7" ht="15.75" customHeight="1" x14ac:dyDescent="0.25">
      <c r="A589" s="29"/>
      <c r="B589" s="55"/>
      <c r="C589" s="30"/>
      <c r="D589" s="27"/>
      <c r="E589" s="27"/>
      <c r="F589" s="56"/>
      <c r="G589" s="29"/>
    </row>
    <row r="590" spans="1:7" ht="15.75" customHeight="1" x14ac:dyDescent="0.25">
      <c r="A590" s="29"/>
      <c r="B590" s="55"/>
      <c r="C590" s="30"/>
      <c r="D590" s="27"/>
      <c r="E590" s="27"/>
      <c r="F590" s="56"/>
      <c r="G590" s="29"/>
    </row>
    <row r="591" spans="1:7" ht="15.75" customHeight="1" x14ac:dyDescent="0.25">
      <c r="A591" s="29"/>
      <c r="B591" s="55"/>
      <c r="C591" s="30"/>
      <c r="D591" s="27"/>
      <c r="E591" s="27"/>
      <c r="F591" s="56"/>
      <c r="G591" s="29"/>
    </row>
    <row r="592" spans="1:7" ht="15.75" customHeight="1" x14ac:dyDescent="0.25">
      <c r="A592" s="29"/>
      <c r="B592" s="55"/>
      <c r="C592" s="30"/>
      <c r="D592" s="27"/>
      <c r="E592" s="27"/>
      <c r="F592" s="56"/>
      <c r="G592" s="29"/>
    </row>
    <row r="593" spans="1:7" ht="15.75" customHeight="1" x14ac:dyDescent="0.25">
      <c r="A593" s="29"/>
      <c r="B593" s="55"/>
      <c r="C593" s="30"/>
      <c r="D593" s="27"/>
      <c r="E593" s="27"/>
      <c r="F593" s="56"/>
      <c r="G593" s="29"/>
    </row>
    <row r="594" spans="1:7" ht="15.75" customHeight="1" x14ac:dyDescent="0.25">
      <c r="A594" s="29"/>
      <c r="B594" s="55"/>
      <c r="C594" s="30"/>
      <c r="D594" s="27"/>
      <c r="E594" s="27"/>
      <c r="F594" s="56"/>
      <c r="G594" s="29"/>
    </row>
    <row r="595" spans="1:7" ht="15.75" customHeight="1" x14ac:dyDescent="0.25">
      <c r="A595" s="29"/>
      <c r="B595" s="55"/>
      <c r="C595" s="30"/>
      <c r="D595" s="27"/>
      <c r="E595" s="27"/>
      <c r="F595" s="56"/>
      <c r="G595" s="29"/>
    </row>
    <row r="596" spans="1:7" ht="15.75" customHeight="1" x14ac:dyDescent="0.25">
      <c r="A596" s="29"/>
      <c r="B596" s="55"/>
      <c r="C596" s="30"/>
      <c r="D596" s="27"/>
      <c r="E596" s="27"/>
      <c r="F596" s="56"/>
      <c r="G596" s="29"/>
    </row>
    <row r="597" spans="1:7" ht="15.75" customHeight="1" x14ac:dyDescent="0.25">
      <c r="A597" s="29"/>
      <c r="B597" s="55"/>
      <c r="C597" s="30"/>
      <c r="D597" s="27"/>
      <c r="E597" s="27"/>
      <c r="F597" s="56"/>
      <c r="G597" s="29"/>
    </row>
    <row r="598" spans="1:7" ht="15.75" customHeight="1" x14ac:dyDescent="0.25">
      <c r="A598" s="29"/>
      <c r="B598" s="55"/>
      <c r="C598" s="30"/>
      <c r="D598" s="27"/>
      <c r="E598" s="27"/>
      <c r="F598" s="56"/>
      <c r="G598" s="29"/>
    </row>
    <row r="599" spans="1:7" ht="15.75" customHeight="1" x14ac:dyDescent="0.25">
      <c r="A599" s="29"/>
      <c r="B599" s="55"/>
      <c r="C599" s="30"/>
      <c r="D599" s="27"/>
      <c r="E599" s="27"/>
      <c r="F599" s="56"/>
      <c r="G599" s="29"/>
    </row>
    <row r="600" spans="1:7" ht="15.75" customHeight="1" x14ac:dyDescent="0.25">
      <c r="A600" s="29"/>
      <c r="B600" s="55"/>
      <c r="C600" s="30"/>
      <c r="D600" s="27"/>
      <c r="E600" s="27"/>
      <c r="F600" s="56"/>
      <c r="G600" s="29"/>
    </row>
    <row r="601" spans="1:7" ht="15.75" customHeight="1" x14ac:dyDescent="0.25">
      <c r="A601" s="29"/>
      <c r="B601" s="55"/>
      <c r="C601" s="30"/>
      <c r="D601" s="27"/>
      <c r="E601" s="27"/>
      <c r="F601" s="56"/>
      <c r="G601" s="29"/>
    </row>
    <row r="602" spans="1:7" ht="15.75" customHeight="1" x14ac:dyDescent="0.25">
      <c r="A602" s="29"/>
      <c r="B602" s="55"/>
      <c r="C602" s="30"/>
      <c r="D602" s="27"/>
      <c r="E602" s="27"/>
      <c r="F602" s="56"/>
      <c r="G602" s="29"/>
    </row>
    <row r="603" spans="1:7" ht="15.75" customHeight="1" x14ac:dyDescent="0.25">
      <c r="A603" s="29"/>
      <c r="B603" s="55"/>
      <c r="C603" s="30"/>
      <c r="D603" s="27"/>
      <c r="E603" s="27"/>
      <c r="F603" s="56"/>
      <c r="G603" s="29"/>
    </row>
    <row r="604" spans="1:7" ht="15.75" customHeight="1" x14ac:dyDescent="0.25">
      <c r="A604" s="29"/>
      <c r="B604" s="55"/>
      <c r="C604" s="30"/>
      <c r="D604" s="27"/>
      <c r="E604" s="27"/>
      <c r="F604" s="56"/>
      <c r="G604" s="29"/>
    </row>
    <row r="605" spans="1:7" ht="15.75" customHeight="1" x14ac:dyDescent="0.25">
      <c r="A605" s="29"/>
      <c r="B605" s="55"/>
      <c r="C605" s="30"/>
      <c r="D605" s="27"/>
      <c r="E605" s="27"/>
      <c r="F605" s="56"/>
      <c r="G605" s="29"/>
    </row>
    <row r="606" spans="1:7" ht="15.75" customHeight="1" x14ac:dyDescent="0.25">
      <c r="A606" s="29"/>
      <c r="B606" s="55"/>
      <c r="C606" s="30"/>
      <c r="D606" s="27"/>
      <c r="E606" s="27"/>
      <c r="F606" s="56"/>
      <c r="G606" s="29"/>
    </row>
    <row r="607" spans="1:7" ht="15.75" customHeight="1" x14ac:dyDescent="0.25">
      <c r="A607" s="29"/>
      <c r="B607" s="55"/>
      <c r="C607" s="30"/>
      <c r="D607" s="27"/>
      <c r="E607" s="27"/>
      <c r="F607" s="56"/>
      <c r="G607" s="29"/>
    </row>
    <row r="608" spans="1:7" ht="15.75" customHeight="1" x14ac:dyDescent="0.25">
      <c r="A608" s="29"/>
      <c r="B608" s="55"/>
      <c r="C608" s="30"/>
      <c r="D608" s="27"/>
      <c r="E608" s="27"/>
      <c r="F608" s="56"/>
      <c r="G608" s="29"/>
    </row>
    <row r="609" spans="1:7" ht="15.75" customHeight="1" x14ac:dyDescent="0.25">
      <c r="A609" s="29"/>
      <c r="B609" s="55"/>
      <c r="C609" s="30"/>
      <c r="D609" s="27"/>
      <c r="E609" s="27"/>
      <c r="F609" s="56"/>
      <c r="G609" s="29"/>
    </row>
    <row r="610" spans="1:7" ht="15.75" customHeight="1" x14ac:dyDescent="0.25">
      <c r="A610" s="29"/>
      <c r="B610" s="55"/>
      <c r="C610" s="30"/>
      <c r="D610" s="27"/>
      <c r="E610" s="27"/>
      <c r="F610" s="56"/>
      <c r="G610" s="29"/>
    </row>
    <row r="611" spans="1:7" ht="15.75" customHeight="1" x14ac:dyDescent="0.25">
      <c r="A611" s="29"/>
      <c r="B611" s="55"/>
      <c r="C611" s="30"/>
      <c r="D611" s="27"/>
      <c r="E611" s="27"/>
      <c r="F611" s="56"/>
      <c r="G611" s="29"/>
    </row>
    <row r="612" spans="1:7" ht="15.75" customHeight="1" x14ac:dyDescent="0.25">
      <c r="A612" s="29"/>
      <c r="B612" s="55"/>
      <c r="C612" s="30"/>
      <c r="D612" s="27"/>
      <c r="E612" s="27"/>
      <c r="F612" s="56"/>
      <c r="G612" s="29"/>
    </row>
    <row r="613" spans="1:7" ht="15.75" customHeight="1" x14ac:dyDescent="0.25">
      <c r="A613" s="29"/>
      <c r="B613" s="55"/>
      <c r="C613" s="30"/>
      <c r="D613" s="27"/>
      <c r="E613" s="27"/>
      <c r="F613" s="56"/>
      <c r="G613" s="29"/>
    </row>
    <row r="614" spans="1:7" ht="15.75" customHeight="1" x14ac:dyDescent="0.25">
      <c r="A614" s="29"/>
      <c r="B614" s="55"/>
      <c r="C614" s="30"/>
      <c r="D614" s="27"/>
      <c r="E614" s="27"/>
      <c r="F614" s="56"/>
      <c r="G614" s="29"/>
    </row>
    <row r="615" spans="1:7" ht="15.75" customHeight="1" x14ac:dyDescent="0.25">
      <c r="A615" s="29"/>
      <c r="B615" s="55"/>
      <c r="C615" s="30"/>
      <c r="D615" s="27"/>
      <c r="E615" s="27"/>
      <c r="F615" s="56"/>
      <c r="G615" s="29"/>
    </row>
    <row r="616" spans="1:7" ht="15.75" customHeight="1" x14ac:dyDescent="0.25">
      <c r="A616" s="29"/>
      <c r="B616" s="55"/>
      <c r="C616" s="30"/>
      <c r="D616" s="27"/>
      <c r="E616" s="27"/>
      <c r="F616" s="56"/>
      <c r="G616" s="29"/>
    </row>
    <row r="617" spans="1:7" ht="15.75" customHeight="1" x14ac:dyDescent="0.25">
      <c r="A617" s="29"/>
      <c r="B617" s="55"/>
      <c r="C617" s="30"/>
      <c r="D617" s="27"/>
      <c r="E617" s="27"/>
      <c r="F617" s="56"/>
      <c r="G617" s="29"/>
    </row>
    <row r="618" spans="1:7" ht="15.75" customHeight="1" x14ac:dyDescent="0.25">
      <c r="A618" s="29"/>
      <c r="B618" s="55"/>
      <c r="C618" s="30"/>
      <c r="D618" s="27"/>
      <c r="E618" s="27"/>
      <c r="F618" s="56"/>
      <c r="G618" s="29"/>
    </row>
    <row r="619" spans="1:7" ht="15.75" customHeight="1" x14ac:dyDescent="0.25">
      <c r="A619" s="29"/>
      <c r="B619" s="55"/>
      <c r="C619" s="30"/>
      <c r="D619" s="27"/>
      <c r="E619" s="27"/>
      <c r="F619" s="56"/>
      <c r="G619" s="29"/>
    </row>
    <row r="620" spans="1:7" ht="15.75" customHeight="1" x14ac:dyDescent="0.25">
      <c r="A620" s="29"/>
      <c r="B620" s="55"/>
      <c r="C620" s="30"/>
      <c r="D620" s="27"/>
      <c r="E620" s="27"/>
      <c r="F620" s="56"/>
      <c r="G620" s="29"/>
    </row>
    <row r="621" spans="1:7" ht="15.75" customHeight="1" x14ac:dyDescent="0.25">
      <c r="A621" s="29"/>
      <c r="B621" s="55"/>
      <c r="C621" s="30"/>
      <c r="D621" s="27"/>
      <c r="E621" s="27"/>
      <c r="F621" s="56"/>
      <c r="G621" s="29"/>
    </row>
    <row r="622" spans="1:7" ht="15.75" customHeight="1" x14ac:dyDescent="0.25">
      <c r="A622" s="29"/>
      <c r="B622" s="55"/>
      <c r="C622" s="30"/>
      <c r="D622" s="27"/>
      <c r="E622" s="27"/>
      <c r="F622" s="56"/>
      <c r="G622" s="29"/>
    </row>
    <row r="623" spans="1:7" ht="15.75" customHeight="1" x14ac:dyDescent="0.25">
      <c r="A623" s="29"/>
      <c r="B623" s="55"/>
      <c r="C623" s="30"/>
      <c r="D623" s="27"/>
      <c r="E623" s="27"/>
      <c r="F623" s="56"/>
      <c r="G623" s="29"/>
    </row>
    <row r="624" spans="1:7" ht="15.75" customHeight="1" x14ac:dyDescent="0.25">
      <c r="A624" s="29"/>
      <c r="B624" s="55"/>
      <c r="C624" s="30"/>
      <c r="D624" s="27"/>
      <c r="E624" s="27"/>
      <c r="F624" s="56"/>
      <c r="G624" s="29"/>
    </row>
    <row r="625" spans="1:7" ht="15.75" customHeight="1" x14ac:dyDescent="0.25">
      <c r="A625" s="29"/>
      <c r="B625" s="55"/>
      <c r="C625" s="30"/>
      <c r="D625" s="27"/>
      <c r="E625" s="27"/>
      <c r="F625" s="56"/>
      <c r="G625" s="29"/>
    </row>
    <row r="626" spans="1:7" ht="15.75" customHeight="1" x14ac:dyDescent="0.25">
      <c r="A626" s="29"/>
      <c r="B626" s="55"/>
      <c r="C626" s="30"/>
      <c r="D626" s="27"/>
      <c r="E626" s="27"/>
      <c r="F626" s="56"/>
      <c r="G626" s="29"/>
    </row>
    <row r="627" spans="1:7" ht="15.75" customHeight="1" x14ac:dyDescent="0.25">
      <c r="A627" s="29"/>
      <c r="B627" s="55"/>
      <c r="C627" s="30"/>
      <c r="D627" s="27"/>
      <c r="E627" s="27"/>
      <c r="F627" s="56"/>
      <c r="G627" s="29"/>
    </row>
    <row r="628" spans="1:7" ht="15.75" customHeight="1" x14ac:dyDescent="0.25">
      <c r="A628" s="29"/>
      <c r="B628" s="55"/>
      <c r="C628" s="30"/>
      <c r="D628" s="27"/>
      <c r="E628" s="27"/>
      <c r="F628" s="56"/>
      <c r="G628" s="29"/>
    </row>
    <row r="629" spans="1:7" ht="15.75" customHeight="1" x14ac:dyDescent="0.25">
      <c r="A629" s="29"/>
      <c r="B629" s="55"/>
      <c r="C629" s="30"/>
      <c r="D629" s="27"/>
      <c r="E629" s="27"/>
      <c r="F629" s="56"/>
      <c r="G629" s="29"/>
    </row>
    <row r="630" spans="1:7" ht="15.75" customHeight="1" x14ac:dyDescent="0.25">
      <c r="A630" s="29"/>
      <c r="B630" s="55"/>
      <c r="C630" s="30"/>
      <c r="D630" s="27"/>
      <c r="E630" s="27"/>
      <c r="F630" s="56"/>
      <c r="G630" s="29"/>
    </row>
    <row r="631" spans="1:7" ht="15.75" customHeight="1" x14ac:dyDescent="0.25">
      <c r="A631" s="29"/>
      <c r="B631" s="55"/>
      <c r="C631" s="30"/>
      <c r="D631" s="27"/>
      <c r="E631" s="27"/>
      <c r="F631" s="56"/>
      <c r="G631" s="29"/>
    </row>
    <row r="632" spans="1:7" ht="15.75" customHeight="1" x14ac:dyDescent="0.25">
      <c r="A632" s="29"/>
      <c r="B632" s="55"/>
      <c r="C632" s="30"/>
      <c r="D632" s="27"/>
      <c r="E632" s="27"/>
      <c r="F632" s="56"/>
      <c r="G632" s="29"/>
    </row>
    <row r="633" spans="1:7" ht="15.75" customHeight="1" x14ac:dyDescent="0.25">
      <c r="A633" s="29"/>
      <c r="B633" s="55"/>
      <c r="C633" s="30"/>
      <c r="D633" s="27"/>
      <c r="E633" s="27"/>
      <c r="F633" s="56"/>
      <c r="G633" s="29"/>
    </row>
    <row r="634" spans="1:7" ht="15.75" customHeight="1" x14ac:dyDescent="0.25">
      <c r="A634" s="29"/>
      <c r="B634" s="55"/>
      <c r="C634" s="30"/>
      <c r="D634" s="27"/>
      <c r="E634" s="27"/>
      <c r="F634" s="56"/>
      <c r="G634" s="29"/>
    </row>
    <row r="635" spans="1:7" ht="15.75" customHeight="1" x14ac:dyDescent="0.25">
      <c r="A635" s="29"/>
      <c r="B635" s="55"/>
      <c r="C635" s="30"/>
      <c r="D635" s="27"/>
      <c r="E635" s="27"/>
      <c r="F635" s="56"/>
      <c r="G635" s="29"/>
    </row>
    <row r="636" spans="1:7" ht="15.75" customHeight="1" x14ac:dyDescent="0.25">
      <c r="A636" s="29"/>
      <c r="B636" s="55"/>
      <c r="C636" s="30"/>
      <c r="D636" s="27"/>
      <c r="E636" s="27"/>
      <c r="F636" s="56"/>
      <c r="G636" s="29"/>
    </row>
    <row r="637" spans="1:7" ht="15.75" customHeight="1" x14ac:dyDescent="0.25">
      <c r="A637" s="29"/>
      <c r="B637" s="55"/>
      <c r="C637" s="30"/>
      <c r="D637" s="27"/>
      <c r="E637" s="27"/>
      <c r="F637" s="56"/>
      <c r="G637" s="29"/>
    </row>
    <row r="638" spans="1:7" ht="15.75" customHeight="1" x14ac:dyDescent="0.25">
      <c r="A638" s="29"/>
      <c r="B638" s="55"/>
      <c r="C638" s="30"/>
      <c r="D638" s="27"/>
      <c r="E638" s="27"/>
      <c r="F638" s="56"/>
      <c r="G638" s="29"/>
    </row>
    <row r="639" spans="1:7" ht="15.75" customHeight="1" x14ac:dyDescent="0.25">
      <c r="A639" s="29"/>
      <c r="B639" s="55"/>
      <c r="C639" s="30"/>
      <c r="D639" s="27"/>
      <c r="E639" s="27"/>
      <c r="F639" s="56"/>
      <c r="G639" s="29"/>
    </row>
    <row r="640" spans="1:7" ht="15.75" customHeight="1" x14ac:dyDescent="0.25">
      <c r="A640" s="29"/>
      <c r="B640" s="55"/>
      <c r="C640" s="30"/>
      <c r="D640" s="27"/>
      <c r="E640" s="27"/>
      <c r="F640" s="56"/>
      <c r="G640" s="29"/>
    </row>
    <row r="641" spans="1:7" ht="15.75" customHeight="1" x14ac:dyDescent="0.25">
      <c r="A641" s="29"/>
      <c r="B641" s="55"/>
      <c r="C641" s="30"/>
      <c r="D641" s="27"/>
      <c r="E641" s="27"/>
      <c r="F641" s="56"/>
      <c r="G641" s="29"/>
    </row>
    <row r="642" spans="1:7" ht="15.75" customHeight="1" x14ac:dyDescent="0.25">
      <c r="A642" s="29"/>
      <c r="B642" s="55"/>
      <c r="C642" s="30"/>
      <c r="D642" s="27"/>
      <c r="E642" s="27"/>
      <c r="F642" s="56"/>
      <c r="G642" s="29"/>
    </row>
    <row r="643" spans="1:7" ht="15.75" customHeight="1" x14ac:dyDescent="0.25">
      <c r="A643" s="29"/>
      <c r="B643" s="55"/>
      <c r="C643" s="30"/>
      <c r="D643" s="27"/>
      <c r="E643" s="27"/>
      <c r="F643" s="56"/>
      <c r="G643" s="29"/>
    </row>
    <row r="644" spans="1:7" ht="15.75" customHeight="1" x14ac:dyDescent="0.25">
      <c r="A644" s="29"/>
      <c r="B644" s="55"/>
      <c r="C644" s="30"/>
      <c r="D644" s="27"/>
      <c r="E644" s="27"/>
      <c r="F644" s="56"/>
      <c r="G644" s="29"/>
    </row>
    <row r="645" spans="1:7" ht="15.75" customHeight="1" x14ac:dyDescent="0.25">
      <c r="A645" s="29"/>
      <c r="B645" s="55"/>
      <c r="C645" s="30"/>
      <c r="D645" s="27"/>
      <c r="E645" s="27"/>
      <c r="F645" s="56"/>
      <c r="G645" s="29"/>
    </row>
    <row r="646" spans="1:7" ht="15.75" customHeight="1" x14ac:dyDescent="0.25">
      <c r="A646" s="29"/>
      <c r="B646" s="55"/>
      <c r="C646" s="30"/>
      <c r="D646" s="27"/>
      <c r="E646" s="27"/>
      <c r="F646" s="56"/>
      <c r="G646" s="29"/>
    </row>
    <row r="647" spans="1:7" ht="15.75" customHeight="1" x14ac:dyDescent="0.25">
      <c r="A647" s="29"/>
      <c r="B647" s="55"/>
      <c r="C647" s="30"/>
      <c r="D647" s="27"/>
      <c r="E647" s="27"/>
      <c r="F647" s="56"/>
      <c r="G647" s="29"/>
    </row>
    <row r="648" spans="1:7" ht="15.75" customHeight="1" x14ac:dyDescent="0.25">
      <c r="A648" s="29"/>
      <c r="B648" s="55"/>
      <c r="C648" s="30"/>
      <c r="D648" s="27"/>
      <c r="E648" s="27"/>
      <c r="F648" s="56"/>
      <c r="G648" s="29"/>
    </row>
    <row r="649" spans="1:7" ht="15.75" customHeight="1" x14ac:dyDescent="0.25">
      <c r="A649" s="29"/>
      <c r="B649" s="55"/>
      <c r="C649" s="30"/>
      <c r="D649" s="27"/>
      <c r="E649" s="27"/>
      <c r="F649" s="56"/>
      <c r="G649" s="29"/>
    </row>
    <row r="650" spans="1:7" ht="15.75" customHeight="1" x14ac:dyDescent="0.25">
      <c r="A650" s="29"/>
      <c r="B650" s="55"/>
      <c r="C650" s="30"/>
      <c r="D650" s="27"/>
      <c r="E650" s="27"/>
      <c r="F650" s="56"/>
      <c r="G650" s="29"/>
    </row>
    <row r="651" spans="1:7" ht="15.75" customHeight="1" x14ac:dyDescent="0.25">
      <c r="A651" s="29"/>
      <c r="B651" s="55"/>
      <c r="C651" s="30"/>
      <c r="D651" s="27"/>
      <c r="E651" s="27"/>
      <c r="F651" s="56"/>
      <c r="G651" s="29"/>
    </row>
    <row r="652" spans="1:7" ht="15.75" customHeight="1" x14ac:dyDescent="0.25">
      <c r="A652" s="29"/>
      <c r="B652" s="55"/>
      <c r="C652" s="30"/>
      <c r="D652" s="27"/>
      <c r="E652" s="27"/>
      <c r="F652" s="56"/>
      <c r="G652" s="29"/>
    </row>
    <row r="653" spans="1:7" ht="15.75" customHeight="1" x14ac:dyDescent="0.25">
      <c r="A653" s="29"/>
      <c r="B653" s="55"/>
      <c r="C653" s="30"/>
      <c r="D653" s="27"/>
      <c r="E653" s="27"/>
      <c r="F653" s="56"/>
      <c r="G653" s="29"/>
    </row>
    <row r="654" spans="1:7" ht="15.75" customHeight="1" x14ac:dyDescent="0.25">
      <c r="A654" s="29"/>
      <c r="B654" s="55"/>
      <c r="C654" s="30"/>
      <c r="D654" s="27"/>
      <c r="E654" s="27"/>
      <c r="F654" s="56"/>
      <c r="G654" s="29"/>
    </row>
    <row r="655" spans="1:7" ht="15.75" customHeight="1" x14ac:dyDescent="0.25">
      <c r="A655" s="29"/>
      <c r="B655" s="55"/>
      <c r="C655" s="30"/>
      <c r="D655" s="27"/>
      <c r="E655" s="27"/>
      <c r="F655" s="56"/>
      <c r="G655" s="29"/>
    </row>
    <row r="656" spans="1:7" ht="15.75" customHeight="1" x14ac:dyDescent="0.25">
      <c r="A656" s="29"/>
      <c r="B656" s="55"/>
      <c r="C656" s="30"/>
      <c r="D656" s="27"/>
      <c r="E656" s="27"/>
      <c r="F656" s="56"/>
      <c r="G656" s="29"/>
    </row>
    <row r="657" spans="1:7" ht="15.75" customHeight="1" x14ac:dyDescent="0.25">
      <c r="A657" s="29"/>
      <c r="B657" s="55"/>
      <c r="C657" s="30"/>
      <c r="D657" s="27"/>
      <c r="E657" s="27"/>
      <c r="F657" s="56"/>
      <c r="G657" s="29"/>
    </row>
    <row r="658" spans="1:7" ht="15.75" customHeight="1" x14ac:dyDescent="0.25">
      <c r="A658" s="29"/>
      <c r="B658" s="55"/>
      <c r="C658" s="30"/>
      <c r="D658" s="27"/>
      <c r="E658" s="27"/>
      <c r="F658" s="56"/>
      <c r="G658" s="29"/>
    </row>
    <row r="659" spans="1:7" ht="15.75" customHeight="1" x14ac:dyDescent="0.25">
      <c r="A659" s="29"/>
      <c r="B659" s="55"/>
      <c r="C659" s="30"/>
      <c r="D659" s="27"/>
      <c r="E659" s="27"/>
      <c r="F659" s="56"/>
      <c r="G659" s="29"/>
    </row>
    <row r="660" spans="1:7" ht="15.75" customHeight="1" x14ac:dyDescent="0.25">
      <c r="A660" s="29"/>
      <c r="B660" s="55"/>
      <c r="C660" s="30"/>
      <c r="D660" s="27"/>
      <c r="E660" s="27"/>
      <c r="F660" s="56"/>
      <c r="G660" s="29"/>
    </row>
    <row r="661" spans="1:7" ht="15.75" customHeight="1" x14ac:dyDescent="0.25">
      <c r="A661" s="29"/>
      <c r="B661" s="55"/>
      <c r="C661" s="30"/>
      <c r="D661" s="27"/>
      <c r="E661" s="27"/>
      <c r="F661" s="56"/>
      <c r="G661" s="29"/>
    </row>
    <row r="662" spans="1:7" ht="15.75" customHeight="1" x14ac:dyDescent="0.25">
      <c r="A662" s="29"/>
      <c r="B662" s="55"/>
      <c r="C662" s="30"/>
      <c r="D662" s="27"/>
      <c r="E662" s="27"/>
      <c r="F662" s="56"/>
      <c r="G662" s="29"/>
    </row>
    <row r="663" spans="1:7" ht="15.75" customHeight="1" x14ac:dyDescent="0.25">
      <c r="A663" s="29"/>
      <c r="B663" s="55"/>
      <c r="C663" s="30"/>
      <c r="D663" s="27"/>
      <c r="E663" s="27"/>
      <c r="F663" s="56"/>
      <c r="G663" s="29"/>
    </row>
    <row r="664" spans="1:7" ht="15.75" customHeight="1" x14ac:dyDescent="0.25">
      <c r="A664" s="29"/>
      <c r="B664" s="55"/>
      <c r="C664" s="30"/>
      <c r="D664" s="27"/>
      <c r="E664" s="27"/>
      <c r="F664" s="56"/>
      <c r="G664" s="29"/>
    </row>
    <row r="665" spans="1:7" ht="15.75" customHeight="1" x14ac:dyDescent="0.25">
      <c r="A665" s="29"/>
      <c r="B665" s="55"/>
      <c r="C665" s="30"/>
      <c r="D665" s="27"/>
      <c r="E665" s="27"/>
      <c r="F665" s="56"/>
      <c r="G665" s="29"/>
    </row>
    <row r="666" spans="1:7" ht="15.75" customHeight="1" x14ac:dyDescent="0.25">
      <c r="A666" s="29"/>
      <c r="B666" s="55"/>
      <c r="C666" s="30"/>
      <c r="D666" s="27"/>
      <c r="E666" s="27"/>
      <c r="F666" s="56"/>
      <c r="G666" s="29"/>
    </row>
    <row r="667" spans="1:7" ht="15.75" customHeight="1" x14ac:dyDescent="0.25">
      <c r="A667" s="29"/>
      <c r="B667" s="55"/>
      <c r="C667" s="30"/>
      <c r="D667" s="27"/>
      <c r="E667" s="27"/>
      <c r="F667" s="56"/>
      <c r="G667" s="29"/>
    </row>
    <row r="668" spans="1:7" ht="15.75" customHeight="1" x14ac:dyDescent="0.25">
      <c r="A668" s="29"/>
      <c r="B668" s="55"/>
      <c r="C668" s="30"/>
      <c r="D668" s="27"/>
      <c r="E668" s="27"/>
      <c r="F668" s="56"/>
      <c r="G668" s="29"/>
    </row>
    <row r="669" spans="1:7" ht="15.75" customHeight="1" x14ac:dyDescent="0.25">
      <c r="A669" s="29"/>
      <c r="B669" s="55"/>
      <c r="C669" s="30"/>
      <c r="D669" s="27"/>
      <c r="E669" s="27"/>
      <c r="F669" s="56"/>
      <c r="G669" s="29"/>
    </row>
    <row r="670" spans="1:7" ht="15.75" customHeight="1" x14ac:dyDescent="0.25">
      <c r="A670" s="29"/>
      <c r="B670" s="55"/>
      <c r="C670" s="30"/>
      <c r="D670" s="27"/>
      <c r="E670" s="27"/>
      <c r="F670" s="56"/>
      <c r="G670" s="29"/>
    </row>
    <row r="671" spans="1:7" ht="18" customHeight="1" x14ac:dyDescent="0.25">
      <c r="A671" s="57" t="s">
        <v>159</v>
      </c>
      <c r="B671" s="58"/>
      <c r="C671" s="59">
        <f>SUM(C4:C8)</f>
        <v>15306550</v>
      </c>
      <c r="D671" s="58"/>
      <c r="E671" s="58"/>
      <c r="F671" s="58"/>
      <c r="G671" s="58"/>
    </row>
    <row r="672" spans="1:7" ht="15.75" customHeight="1" x14ac:dyDescent="0.25">
      <c r="A672" s="60"/>
      <c r="B672" s="60"/>
      <c r="C672" s="61"/>
      <c r="D672" s="62"/>
      <c r="E672" s="62"/>
      <c r="F672" s="63" t="str">
        <f>IF(E672="","",E672+2)</f>
        <v/>
      </c>
      <c r="G672" s="60"/>
    </row>
    <row r="673" spans="1:7" ht="15.75" customHeight="1" x14ac:dyDescent="0.25">
      <c r="A673" s="60"/>
      <c r="B673" s="60"/>
      <c r="C673" s="61"/>
      <c r="D673" s="62"/>
      <c r="E673" s="62"/>
      <c r="F673" s="63" t="str">
        <f>IF(E673="","",E673+2)</f>
        <v/>
      </c>
      <c r="G673" s="60"/>
    </row>
    <row r="674" spans="1:7" ht="15.75" customHeight="1" x14ac:dyDescent="0.25">
      <c r="A674" s="60"/>
      <c r="B674" s="60"/>
      <c r="C674" s="61"/>
      <c r="D674" s="62"/>
      <c r="E674" s="62"/>
      <c r="F674" s="63" t="str">
        <f>IF(E674="","",E674+2)</f>
        <v/>
      </c>
      <c r="G674" s="60"/>
    </row>
    <row r="675" spans="1:7" ht="15.75" customHeight="1" x14ac:dyDescent="0.25">
      <c r="A675" s="60"/>
      <c r="B675" s="60"/>
      <c r="C675" s="61"/>
      <c r="D675" s="62"/>
      <c r="E675" s="62"/>
      <c r="F675" s="63" t="str">
        <f>IF(E675="","",E675+2)</f>
        <v/>
      </c>
      <c r="G675" s="60"/>
    </row>
    <row r="676" spans="1:7" ht="15.75" customHeight="1" x14ac:dyDescent="0.25">
      <c r="A676" s="60"/>
      <c r="B676" s="60"/>
      <c r="C676" s="61"/>
      <c r="D676" s="62"/>
      <c r="E676" s="62"/>
      <c r="F676" s="63" t="str">
        <f>IF(E676="","",E676+2)</f>
        <v/>
      </c>
      <c r="G676" s="60"/>
    </row>
    <row r="678" spans="1:7" x14ac:dyDescent="0.25">
      <c r="A678" s="2" t="s">
        <v>160</v>
      </c>
      <c r="B678" s="2"/>
      <c r="C678" s="2"/>
      <c r="D678" s="2"/>
      <c r="E678" s="2"/>
      <c r="F678" s="2"/>
      <c r="G678" s="2"/>
    </row>
  </sheetData>
  <mergeCells count="3">
    <mergeCell ref="A1:G1"/>
    <mergeCell ref="A2:G2"/>
    <mergeCell ref="A678:G67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D9ED-0796-43C1-8B26-41E0EABE6A8F}">
  <dimension ref="A1:O190"/>
  <sheetViews>
    <sheetView topLeftCell="A155" workbookViewId="0">
      <selection activeCell="C2" sqref="C2:C190"/>
    </sheetView>
  </sheetViews>
  <sheetFormatPr baseColWidth="10" defaultRowHeight="15" x14ac:dyDescent="0.25"/>
  <sheetData>
    <row r="1" spans="1:1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</row>
    <row r="2" spans="1:15" x14ac:dyDescent="0.25">
      <c r="A2" t="s">
        <v>176</v>
      </c>
      <c r="B2" t="s">
        <v>177</v>
      </c>
      <c r="C2" s="68">
        <v>46127</v>
      </c>
      <c r="D2">
        <v>23454</v>
      </c>
      <c r="E2">
        <v>2219061</v>
      </c>
      <c r="F2" t="s">
        <v>178</v>
      </c>
      <c r="G2" t="s">
        <v>179</v>
      </c>
      <c r="H2">
        <v>3400000</v>
      </c>
      <c r="I2" t="s">
        <v>180</v>
      </c>
      <c r="J2" t="s">
        <v>181</v>
      </c>
      <c r="K2" t="s">
        <v>182</v>
      </c>
      <c r="L2" t="s">
        <v>181</v>
      </c>
      <c r="M2" t="s">
        <v>183</v>
      </c>
      <c r="N2" t="s">
        <v>181</v>
      </c>
      <c r="O2" t="s">
        <v>181</v>
      </c>
    </row>
    <row r="3" spans="1:15" x14ac:dyDescent="0.25">
      <c r="A3" t="s">
        <v>176</v>
      </c>
      <c r="B3" t="s">
        <v>177</v>
      </c>
      <c r="C3" s="68">
        <v>46132</v>
      </c>
      <c r="D3">
        <v>23238</v>
      </c>
      <c r="E3">
        <v>13111470</v>
      </c>
      <c r="F3" t="s">
        <v>178</v>
      </c>
      <c r="G3" t="s">
        <v>184</v>
      </c>
      <c r="H3">
        <v>3224950</v>
      </c>
      <c r="I3" t="s">
        <v>185</v>
      </c>
      <c r="J3" t="s">
        <v>181</v>
      </c>
      <c r="K3" t="s">
        <v>186</v>
      </c>
      <c r="L3" t="s">
        <v>181</v>
      </c>
      <c r="M3" t="s">
        <v>187</v>
      </c>
      <c r="N3" t="s">
        <v>181</v>
      </c>
      <c r="O3" t="s">
        <v>181</v>
      </c>
    </row>
    <row r="4" spans="1:15" x14ac:dyDescent="0.25">
      <c r="A4" t="s">
        <v>176</v>
      </c>
      <c r="B4" t="s">
        <v>177</v>
      </c>
      <c r="C4" s="68">
        <v>46147</v>
      </c>
      <c r="D4">
        <v>23289</v>
      </c>
      <c r="E4">
        <v>13377997</v>
      </c>
      <c r="F4" t="s">
        <v>188</v>
      </c>
      <c r="G4" t="s">
        <v>189</v>
      </c>
      <c r="H4">
        <v>3100000</v>
      </c>
      <c r="I4" t="s">
        <v>190</v>
      </c>
      <c r="J4" t="s">
        <v>181</v>
      </c>
      <c r="K4" t="s">
        <v>191</v>
      </c>
      <c r="L4" t="s">
        <v>181</v>
      </c>
      <c r="M4" t="s">
        <v>192</v>
      </c>
      <c r="N4" t="s">
        <v>193</v>
      </c>
      <c r="O4" t="s">
        <v>194</v>
      </c>
    </row>
    <row r="5" spans="1:15" x14ac:dyDescent="0.25">
      <c r="A5" t="s">
        <v>176</v>
      </c>
      <c r="B5" t="s">
        <v>177</v>
      </c>
      <c r="C5" s="68">
        <v>46147</v>
      </c>
      <c r="D5">
        <v>23353</v>
      </c>
      <c r="E5">
        <v>12924495</v>
      </c>
      <c r="F5" t="s">
        <v>188</v>
      </c>
      <c r="G5" t="s">
        <v>184</v>
      </c>
      <c r="H5">
        <v>4981600</v>
      </c>
      <c r="I5" t="s">
        <v>185</v>
      </c>
      <c r="J5" t="s">
        <v>181</v>
      </c>
      <c r="K5" t="s">
        <v>186</v>
      </c>
      <c r="L5" t="s">
        <v>181</v>
      </c>
      <c r="M5" t="s">
        <v>187</v>
      </c>
      <c r="N5" t="s">
        <v>193</v>
      </c>
      <c r="O5" t="s">
        <v>194</v>
      </c>
    </row>
    <row r="6" spans="1:15" x14ac:dyDescent="0.25">
      <c r="A6" t="s">
        <v>176</v>
      </c>
      <c r="B6" t="s">
        <v>177</v>
      </c>
      <c r="C6" s="68">
        <v>46147</v>
      </c>
      <c r="D6">
        <v>23378</v>
      </c>
      <c r="E6">
        <v>78055845</v>
      </c>
      <c r="F6" t="s">
        <v>188</v>
      </c>
      <c r="G6" t="s">
        <v>195</v>
      </c>
      <c r="H6">
        <v>600000</v>
      </c>
      <c r="I6" t="s">
        <v>196</v>
      </c>
      <c r="J6" t="s">
        <v>181</v>
      </c>
      <c r="K6" t="s">
        <v>197</v>
      </c>
      <c r="L6" t="s">
        <v>181</v>
      </c>
      <c r="M6" t="s">
        <v>198</v>
      </c>
      <c r="N6" t="s">
        <v>193</v>
      </c>
      <c r="O6" t="s">
        <v>194</v>
      </c>
    </row>
    <row r="7" spans="1:15" x14ac:dyDescent="0.25">
      <c r="A7" t="s">
        <v>176</v>
      </c>
      <c r="B7" t="s">
        <v>177</v>
      </c>
      <c r="C7" s="68">
        <v>46147</v>
      </c>
      <c r="D7">
        <v>23395</v>
      </c>
      <c r="E7">
        <v>66003981</v>
      </c>
      <c r="F7" t="s">
        <v>188</v>
      </c>
      <c r="G7" t="s">
        <v>199</v>
      </c>
      <c r="H7">
        <v>4000000</v>
      </c>
      <c r="I7" t="s">
        <v>200</v>
      </c>
      <c r="J7" t="s">
        <v>181</v>
      </c>
      <c r="K7" t="s">
        <v>201</v>
      </c>
      <c r="L7" t="s">
        <v>181</v>
      </c>
      <c r="M7" t="s">
        <v>202</v>
      </c>
      <c r="N7" t="s">
        <v>193</v>
      </c>
      <c r="O7" t="s">
        <v>194</v>
      </c>
    </row>
    <row r="8" spans="1:15" x14ac:dyDescent="0.25">
      <c r="A8" t="s">
        <v>176</v>
      </c>
      <c r="B8" t="s">
        <v>177</v>
      </c>
      <c r="C8" s="68">
        <v>46147</v>
      </c>
      <c r="D8">
        <v>23416</v>
      </c>
      <c r="E8">
        <v>78055854</v>
      </c>
      <c r="F8" t="s">
        <v>188</v>
      </c>
      <c r="G8" t="s">
        <v>195</v>
      </c>
      <c r="H8">
        <v>1235000</v>
      </c>
      <c r="I8" t="s">
        <v>196</v>
      </c>
      <c r="J8" t="s">
        <v>181</v>
      </c>
      <c r="K8" t="s">
        <v>197</v>
      </c>
      <c r="L8" t="s">
        <v>181</v>
      </c>
      <c r="M8" t="s">
        <v>198</v>
      </c>
      <c r="N8" t="s">
        <v>193</v>
      </c>
      <c r="O8" t="s">
        <v>194</v>
      </c>
    </row>
    <row r="9" spans="1:15" x14ac:dyDescent="0.25">
      <c r="A9" t="s">
        <v>176</v>
      </c>
      <c r="B9" t="s">
        <v>177</v>
      </c>
      <c r="C9" s="68">
        <v>46147</v>
      </c>
      <c r="D9">
        <v>23422</v>
      </c>
      <c r="E9">
        <v>78055860</v>
      </c>
      <c r="F9" t="s">
        <v>188</v>
      </c>
      <c r="G9" t="s">
        <v>195</v>
      </c>
      <c r="H9">
        <v>1325000</v>
      </c>
      <c r="I9" t="s">
        <v>196</v>
      </c>
      <c r="J9" t="s">
        <v>181</v>
      </c>
      <c r="K9" t="s">
        <v>197</v>
      </c>
      <c r="L9" t="s">
        <v>181</v>
      </c>
      <c r="M9" t="s">
        <v>198</v>
      </c>
      <c r="N9" t="s">
        <v>193</v>
      </c>
      <c r="O9" t="s">
        <v>194</v>
      </c>
    </row>
    <row r="10" spans="1:15" x14ac:dyDescent="0.25">
      <c r="A10" t="s">
        <v>176</v>
      </c>
      <c r="B10" t="s">
        <v>177</v>
      </c>
      <c r="C10" s="68">
        <v>46147</v>
      </c>
      <c r="D10">
        <v>23462</v>
      </c>
      <c r="E10">
        <v>9583069</v>
      </c>
      <c r="F10" t="s">
        <v>188</v>
      </c>
      <c r="G10" t="s">
        <v>184</v>
      </c>
      <c r="H10">
        <v>12938400</v>
      </c>
      <c r="I10" t="s">
        <v>203</v>
      </c>
      <c r="J10" t="s">
        <v>181</v>
      </c>
      <c r="K10" t="s">
        <v>204</v>
      </c>
      <c r="L10" t="s">
        <v>181</v>
      </c>
      <c r="M10" t="s">
        <v>187</v>
      </c>
      <c r="N10" t="s">
        <v>193</v>
      </c>
      <c r="O10" t="s">
        <v>194</v>
      </c>
    </row>
    <row r="11" spans="1:15" x14ac:dyDescent="0.25">
      <c r="A11" t="s">
        <v>176</v>
      </c>
      <c r="B11" t="s">
        <v>177</v>
      </c>
      <c r="C11" s="68">
        <v>46147</v>
      </c>
      <c r="D11">
        <v>23475</v>
      </c>
      <c r="E11">
        <v>3940</v>
      </c>
      <c r="F11" t="s">
        <v>178</v>
      </c>
      <c r="G11" t="s">
        <v>195</v>
      </c>
      <c r="H11">
        <v>115144.56</v>
      </c>
      <c r="I11" t="s">
        <v>205</v>
      </c>
      <c r="J11" t="s">
        <v>181</v>
      </c>
      <c r="K11" t="s">
        <v>206</v>
      </c>
      <c r="L11" t="s">
        <v>181</v>
      </c>
      <c r="M11" t="s">
        <v>198</v>
      </c>
      <c r="N11" t="s">
        <v>193</v>
      </c>
      <c r="O11" t="s">
        <v>194</v>
      </c>
    </row>
    <row r="12" spans="1:15" x14ac:dyDescent="0.25">
      <c r="A12" t="s">
        <v>176</v>
      </c>
      <c r="B12" t="s">
        <v>177</v>
      </c>
      <c r="C12" s="68">
        <v>46147</v>
      </c>
      <c r="D12">
        <v>23476</v>
      </c>
      <c r="E12">
        <v>10333097</v>
      </c>
      <c r="F12" t="s">
        <v>178</v>
      </c>
      <c r="G12" t="s">
        <v>207</v>
      </c>
      <c r="H12">
        <v>509557.57</v>
      </c>
      <c r="I12" t="s">
        <v>205</v>
      </c>
      <c r="J12" t="s">
        <v>181</v>
      </c>
      <c r="K12" t="s">
        <v>206</v>
      </c>
      <c r="L12" t="s">
        <v>181</v>
      </c>
      <c r="M12" t="s">
        <v>208</v>
      </c>
      <c r="N12" t="s">
        <v>193</v>
      </c>
      <c r="O12" t="s">
        <v>194</v>
      </c>
    </row>
    <row r="13" spans="1:15" x14ac:dyDescent="0.25">
      <c r="A13" t="s">
        <v>176</v>
      </c>
      <c r="B13" t="s">
        <v>177</v>
      </c>
      <c r="C13" s="68">
        <v>46148</v>
      </c>
      <c r="D13">
        <v>23290</v>
      </c>
      <c r="E13">
        <v>13377998</v>
      </c>
      <c r="F13" t="s">
        <v>188</v>
      </c>
      <c r="G13" t="s">
        <v>189</v>
      </c>
      <c r="H13">
        <v>3100000</v>
      </c>
      <c r="I13" t="s">
        <v>190</v>
      </c>
      <c r="J13" t="s">
        <v>181</v>
      </c>
      <c r="K13" t="s">
        <v>191</v>
      </c>
      <c r="L13" t="s">
        <v>181</v>
      </c>
      <c r="M13" t="s">
        <v>192</v>
      </c>
      <c r="N13" t="s">
        <v>193</v>
      </c>
      <c r="O13" t="s">
        <v>194</v>
      </c>
    </row>
    <row r="14" spans="1:15" x14ac:dyDescent="0.25">
      <c r="A14" t="s">
        <v>176</v>
      </c>
      <c r="B14" t="s">
        <v>177</v>
      </c>
      <c r="C14" s="68">
        <v>46148</v>
      </c>
      <c r="D14">
        <v>23292</v>
      </c>
      <c r="E14">
        <v>13378000</v>
      </c>
      <c r="F14" t="s">
        <v>188</v>
      </c>
      <c r="G14" t="s">
        <v>189</v>
      </c>
      <c r="H14">
        <v>3100000</v>
      </c>
      <c r="I14" t="s">
        <v>190</v>
      </c>
      <c r="J14" t="s">
        <v>181</v>
      </c>
      <c r="K14" t="s">
        <v>191</v>
      </c>
      <c r="L14" t="s">
        <v>181</v>
      </c>
      <c r="M14" t="s">
        <v>192</v>
      </c>
      <c r="N14" t="s">
        <v>193</v>
      </c>
      <c r="O14" t="s">
        <v>194</v>
      </c>
    </row>
    <row r="15" spans="1:15" x14ac:dyDescent="0.25">
      <c r="A15" t="s">
        <v>176</v>
      </c>
      <c r="B15" t="s">
        <v>177</v>
      </c>
      <c r="C15" s="68">
        <v>46148</v>
      </c>
      <c r="D15">
        <v>23383</v>
      </c>
      <c r="E15">
        <v>1142</v>
      </c>
      <c r="F15" t="s">
        <v>188</v>
      </c>
      <c r="G15" t="s">
        <v>209</v>
      </c>
      <c r="H15">
        <v>24001062.5</v>
      </c>
      <c r="I15" t="s">
        <v>210</v>
      </c>
      <c r="J15" t="s">
        <v>181</v>
      </c>
      <c r="K15" t="s">
        <v>211</v>
      </c>
      <c r="L15" t="s">
        <v>181</v>
      </c>
      <c r="M15" t="s">
        <v>212</v>
      </c>
      <c r="N15" t="s">
        <v>193</v>
      </c>
      <c r="O15" t="s">
        <v>194</v>
      </c>
    </row>
    <row r="16" spans="1:15" x14ac:dyDescent="0.25">
      <c r="A16" t="s">
        <v>176</v>
      </c>
      <c r="B16" t="s">
        <v>177</v>
      </c>
      <c r="C16" s="68">
        <v>46148</v>
      </c>
      <c r="D16">
        <v>23393</v>
      </c>
      <c r="E16">
        <v>4444</v>
      </c>
      <c r="F16" t="s">
        <v>188</v>
      </c>
      <c r="G16" t="s">
        <v>209</v>
      </c>
      <c r="H16">
        <v>1200000</v>
      </c>
      <c r="I16" t="s">
        <v>213</v>
      </c>
      <c r="J16" t="s">
        <v>181</v>
      </c>
      <c r="K16" t="s">
        <v>214</v>
      </c>
      <c r="L16" t="s">
        <v>181</v>
      </c>
      <c r="M16" t="s">
        <v>212</v>
      </c>
      <c r="N16" t="s">
        <v>193</v>
      </c>
      <c r="O16" t="s">
        <v>194</v>
      </c>
    </row>
    <row r="17" spans="1:15" x14ac:dyDescent="0.25">
      <c r="A17" t="s">
        <v>176</v>
      </c>
      <c r="B17" t="s">
        <v>177</v>
      </c>
      <c r="C17" s="68">
        <v>46148</v>
      </c>
      <c r="D17">
        <v>23399</v>
      </c>
      <c r="E17">
        <v>4945</v>
      </c>
      <c r="F17" t="s">
        <v>188</v>
      </c>
      <c r="G17" t="s">
        <v>195</v>
      </c>
      <c r="H17">
        <v>1553004</v>
      </c>
      <c r="I17" t="s">
        <v>215</v>
      </c>
      <c r="J17" t="s">
        <v>181</v>
      </c>
      <c r="K17" t="s">
        <v>216</v>
      </c>
      <c r="L17" t="s">
        <v>181</v>
      </c>
      <c r="M17" t="s">
        <v>198</v>
      </c>
      <c r="N17" t="s">
        <v>193</v>
      </c>
      <c r="O17" t="s">
        <v>194</v>
      </c>
    </row>
    <row r="18" spans="1:15" x14ac:dyDescent="0.25">
      <c r="A18" t="s">
        <v>176</v>
      </c>
      <c r="B18" t="s">
        <v>177</v>
      </c>
      <c r="C18" s="68">
        <v>46148</v>
      </c>
      <c r="D18">
        <v>23436</v>
      </c>
      <c r="E18">
        <v>90018009</v>
      </c>
      <c r="F18" t="s">
        <v>188</v>
      </c>
      <c r="G18" t="s">
        <v>217</v>
      </c>
      <c r="H18">
        <v>17271355</v>
      </c>
      <c r="I18" t="s">
        <v>218</v>
      </c>
      <c r="J18" t="s">
        <v>181</v>
      </c>
      <c r="K18" t="s">
        <v>219</v>
      </c>
      <c r="L18" t="s">
        <v>181</v>
      </c>
      <c r="M18" t="s">
        <v>220</v>
      </c>
      <c r="N18" t="s">
        <v>193</v>
      </c>
      <c r="O18" t="s">
        <v>194</v>
      </c>
    </row>
    <row r="19" spans="1:15" x14ac:dyDescent="0.25">
      <c r="A19" t="s">
        <v>176</v>
      </c>
      <c r="B19" t="s">
        <v>177</v>
      </c>
      <c r="C19" s="68">
        <v>46148</v>
      </c>
      <c r="D19">
        <v>23449</v>
      </c>
      <c r="E19">
        <v>29065549</v>
      </c>
      <c r="F19" t="s">
        <v>188</v>
      </c>
      <c r="G19" t="s">
        <v>221</v>
      </c>
      <c r="H19">
        <v>3281631</v>
      </c>
      <c r="I19" t="s">
        <v>205</v>
      </c>
      <c r="J19" t="s">
        <v>181</v>
      </c>
      <c r="K19" t="s">
        <v>206</v>
      </c>
      <c r="L19" t="s">
        <v>181</v>
      </c>
      <c r="M19" t="s">
        <v>222</v>
      </c>
      <c r="N19" t="s">
        <v>193</v>
      </c>
      <c r="O19" t="s">
        <v>194</v>
      </c>
    </row>
    <row r="20" spans="1:15" x14ac:dyDescent="0.25">
      <c r="A20" t="s">
        <v>176</v>
      </c>
      <c r="B20" t="s">
        <v>177</v>
      </c>
      <c r="C20" s="68">
        <v>46148</v>
      </c>
      <c r="D20">
        <v>23513</v>
      </c>
      <c r="E20">
        <v>29133198</v>
      </c>
      <c r="F20" t="s">
        <v>188</v>
      </c>
      <c r="G20" t="s">
        <v>221</v>
      </c>
      <c r="H20">
        <v>6539100</v>
      </c>
      <c r="I20" t="s">
        <v>223</v>
      </c>
      <c r="J20" t="s">
        <v>181</v>
      </c>
      <c r="K20" t="s">
        <v>224</v>
      </c>
      <c r="L20" t="s">
        <v>181</v>
      </c>
      <c r="M20" t="s">
        <v>222</v>
      </c>
      <c r="N20" t="s">
        <v>193</v>
      </c>
      <c r="O20" t="s">
        <v>194</v>
      </c>
    </row>
    <row r="21" spans="1:15" x14ac:dyDescent="0.25">
      <c r="A21" t="s">
        <v>176</v>
      </c>
      <c r="B21" t="s">
        <v>177</v>
      </c>
      <c r="C21" s="68">
        <v>46149</v>
      </c>
      <c r="D21">
        <v>23291</v>
      </c>
      <c r="E21">
        <v>13377999</v>
      </c>
      <c r="F21" t="s">
        <v>188</v>
      </c>
      <c r="G21" t="s">
        <v>189</v>
      </c>
      <c r="H21">
        <v>3100000</v>
      </c>
      <c r="I21" t="s">
        <v>190</v>
      </c>
      <c r="J21" t="s">
        <v>181</v>
      </c>
      <c r="K21" t="s">
        <v>191</v>
      </c>
      <c r="L21" t="s">
        <v>181</v>
      </c>
      <c r="M21" t="s">
        <v>192</v>
      </c>
      <c r="N21" t="s">
        <v>193</v>
      </c>
      <c r="O21" t="s">
        <v>194</v>
      </c>
    </row>
    <row r="22" spans="1:15" x14ac:dyDescent="0.25">
      <c r="A22" t="s">
        <v>176</v>
      </c>
      <c r="B22" t="s">
        <v>177</v>
      </c>
      <c r="C22" s="68">
        <v>46149</v>
      </c>
      <c r="D22">
        <v>23379</v>
      </c>
      <c r="E22">
        <v>78055846</v>
      </c>
      <c r="F22" t="s">
        <v>188</v>
      </c>
      <c r="G22" t="s">
        <v>195</v>
      </c>
      <c r="H22">
        <v>600000</v>
      </c>
      <c r="I22" t="s">
        <v>196</v>
      </c>
      <c r="J22" t="s">
        <v>181</v>
      </c>
      <c r="K22" t="s">
        <v>197</v>
      </c>
      <c r="L22" t="s">
        <v>181</v>
      </c>
      <c r="M22" t="s">
        <v>198</v>
      </c>
      <c r="N22" t="s">
        <v>193</v>
      </c>
      <c r="O22" t="s">
        <v>194</v>
      </c>
    </row>
    <row r="23" spans="1:15" x14ac:dyDescent="0.25">
      <c r="A23" t="s">
        <v>176</v>
      </c>
      <c r="B23" t="s">
        <v>177</v>
      </c>
      <c r="C23" s="68">
        <v>46149</v>
      </c>
      <c r="D23">
        <v>23417</v>
      </c>
      <c r="E23">
        <v>78055855</v>
      </c>
      <c r="F23" t="s">
        <v>188</v>
      </c>
      <c r="G23" t="s">
        <v>195</v>
      </c>
      <c r="H23">
        <v>1235000</v>
      </c>
      <c r="I23" t="s">
        <v>196</v>
      </c>
      <c r="J23" t="s">
        <v>181</v>
      </c>
      <c r="K23" t="s">
        <v>197</v>
      </c>
      <c r="L23" t="s">
        <v>181</v>
      </c>
      <c r="M23" t="s">
        <v>198</v>
      </c>
      <c r="N23" t="s">
        <v>193</v>
      </c>
      <c r="O23" t="s">
        <v>194</v>
      </c>
    </row>
    <row r="24" spans="1:15" x14ac:dyDescent="0.25">
      <c r="A24" t="s">
        <v>176</v>
      </c>
      <c r="B24" t="s">
        <v>177</v>
      </c>
      <c r="C24" s="68">
        <v>46149</v>
      </c>
      <c r="D24">
        <v>23423</v>
      </c>
      <c r="E24">
        <v>78055861</v>
      </c>
      <c r="F24" t="s">
        <v>188</v>
      </c>
      <c r="G24" t="s">
        <v>195</v>
      </c>
      <c r="H24">
        <v>1325000</v>
      </c>
      <c r="I24" t="s">
        <v>196</v>
      </c>
      <c r="J24" t="s">
        <v>181</v>
      </c>
      <c r="K24" t="s">
        <v>197</v>
      </c>
      <c r="L24" t="s">
        <v>181</v>
      </c>
      <c r="M24" t="s">
        <v>198</v>
      </c>
      <c r="N24" t="s">
        <v>193</v>
      </c>
      <c r="O24" t="s">
        <v>194</v>
      </c>
    </row>
    <row r="25" spans="1:15" x14ac:dyDescent="0.25">
      <c r="A25" t="s">
        <v>176</v>
      </c>
      <c r="B25" t="s">
        <v>177</v>
      </c>
      <c r="C25" s="68">
        <v>46149</v>
      </c>
      <c r="D25">
        <v>23451</v>
      </c>
      <c r="E25">
        <v>29050276</v>
      </c>
      <c r="F25" t="s">
        <v>188</v>
      </c>
      <c r="G25" t="s">
        <v>221</v>
      </c>
      <c r="H25">
        <v>9811200</v>
      </c>
      <c r="I25" t="s">
        <v>205</v>
      </c>
      <c r="J25" t="s">
        <v>181</v>
      </c>
      <c r="K25" t="s">
        <v>206</v>
      </c>
      <c r="L25" t="s">
        <v>181</v>
      </c>
      <c r="M25" t="s">
        <v>222</v>
      </c>
      <c r="N25" t="s">
        <v>193</v>
      </c>
      <c r="O25" t="s">
        <v>194</v>
      </c>
    </row>
    <row r="26" spans="1:15" x14ac:dyDescent="0.25">
      <c r="A26" t="s">
        <v>176</v>
      </c>
      <c r="B26" t="s">
        <v>177</v>
      </c>
      <c r="C26" s="68">
        <v>46149</v>
      </c>
      <c r="D26">
        <v>23455</v>
      </c>
      <c r="E26">
        <v>65636545</v>
      </c>
      <c r="F26" t="s">
        <v>178</v>
      </c>
      <c r="G26" t="s">
        <v>225</v>
      </c>
      <c r="H26">
        <v>2800000</v>
      </c>
      <c r="I26" t="s">
        <v>180</v>
      </c>
      <c r="J26" t="s">
        <v>181</v>
      </c>
      <c r="K26" t="s">
        <v>182</v>
      </c>
      <c r="L26" t="s">
        <v>181</v>
      </c>
      <c r="M26" t="s">
        <v>226</v>
      </c>
      <c r="N26" t="s">
        <v>181</v>
      </c>
      <c r="O26" t="s">
        <v>181</v>
      </c>
    </row>
    <row r="27" spans="1:15" x14ac:dyDescent="0.25">
      <c r="A27" t="s">
        <v>176</v>
      </c>
      <c r="B27" t="s">
        <v>177</v>
      </c>
      <c r="C27" s="68">
        <v>46149</v>
      </c>
      <c r="D27">
        <v>23467</v>
      </c>
      <c r="E27">
        <v>4510</v>
      </c>
      <c r="F27" t="s">
        <v>188</v>
      </c>
      <c r="G27" t="s">
        <v>209</v>
      </c>
      <c r="H27">
        <v>1200000</v>
      </c>
      <c r="I27" t="s">
        <v>213</v>
      </c>
      <c r="J27" t="s">
        <v>181</v>
      </c>
      <c r="K27" t="s">
        <v>214</v>
      </c>
      <c r="L27" t="s">
        <v>181</v>
      </c>
      <c r="M27" t="s">
        <v>212</v>
      </c>
      <c r="N27" t="s">
        <v>193</v>
      </c>
      <c r="O27" t="s">
        <v>194</v>
      </c>
    </row>
    <row r="28" spans="1:15" x14ac:dyDescent="0.25">
      <c r="A28" t="s">
        <v>176</v>
      </c>
      <c r="B28" t="s">
        <v>177</v>
      </c>
      <c r="C28" s="68">
        <v>46150</v>
      </c>
      <c r="D28">
        <v>23380</v>
      </c>
      <c r="E28">
        <v>78055847</v>
      </c>
      <c r="F28" t="s">
        <v>188</v>
      </c>
      <c r="G28" t="s">
        <v>195</v>
      </c>
      <c r="H28">
        <v>589500</v>
      </c>
      <c r="I28" t="s">
        <v>196</v>
      </c>
      <c r="J28" t="s">
        <v>181</v>
      </c>
      <c r="K28" t="s">
        <v>197</v>
      </c>
      <c r="L28" t="s">
        <v>181</v>
      </c>
      <c r="M28" t="s">
        <v>198</v>
      </c>
      <c r="N28" t="s">
        <v>193</v>
      </c>
      <c r="O28" t="s">
        <v>194</v>
      </c>
    </row>
    <row r="29" spans="1:15" x14ac:dyDescent="0.25">
      <c r="A29" t="s">
        <v>176</v>
      </c>
      <c r="B29" t="s">
        <v>177</v>
      </c>
      <c r="C29" s="68">
        <v>46150</v>
      </c>
      <c r="D29">
        <v>23394</v>
      </c>
      <c r="E29">
        <v>4445</v>
      </c>
      <c r="F29" t="s">
        <v>188</v>
      </c>
      <c r="G29" t="s">
        <v>209</v>
      </c>
      <c r="H29">
        <v>1200000</v>
      </c>
      <c r="I29" t="s">
        <v>213</v>
      </c>
      <c r="J29" t="s">
        <v>181</v>
      </c>
      <c r="K29" t="s">
        <v>214</v>
      </c>
      <c r="L29" t="s">
        <v>181</v>
      </c>
      <c r="M29" t="s">
        <v>212</v>
      </c>
      <c r="N29" t="s">
        <v>193</v>
      </c>
      <c r="O29" t="s">
        <v>194</v>
      </c>
    </row>
    <row r="30" spans="1:15" x14ac:dyDescent="0.25">
      <c r="A30" t="s">
        <v>176</v>
      </c>
      <c r="B30" t="s">
        <v>177</v>
      </c>
      <c r="C30" s="68">
        <v>46150</v>
      </c>
      <c r="D30">
        <v>23400</v>
      </c>
      <c r="E30">
        <v>6753</v>
      </c>
      <c r="F30" t="s">
        <v>188</v>
      </c>
      <c r="G30" t="s">
        <v>209</v>
      </c>
      <c r="H30">
        <v>19891200</v>
      </c>
      <c r="I30" t="s">
        <v>227</v>
      </c>
      <c r="J30" t="s">
        <v>181</v>
      </c>
      <c r="K30" t="s">
        <v>228</v>
      </c>
      <c r="L30" t="s">
        <v>181</v>
      </c>
      <c r="M30" t="s">
        <v>212</v>
      </c>
      <c r="N30" t="s">
        <v>193</v>
      </c>
      <c r="O30" t="s">
        <v>194</v>
      </c>
    </row>
    <row r="31" spans="1:15" x14ac:dyDescent="0.25">
      <c r="A31" t="s">
        <v>176</v>
      </c>
      <c r="B31" t="s">
        <v>177</v>
      </c>
      <c r="C31" s="68">
        <v>46150</v>
      </c>
      <c r="D31">
        <v>23405</v>
      </c>
      <c r="E31">
        <v>1198</v>
      </c>
      <c r="F31" t="s">
        <v>188</v>
      </c>
      <c r="G31" t="s">
        <v>209</v>
      </c>
      <c r="H31">
        <v>9846730</v>
      </c>
      <c r="I31" t="s">
        <v>210</v>
      </c>
      <c r="J31" t="s">
        <v>181</v>
      </c>
      <c r="K31" t="s">
        <v>211</v>
      </c>
      <c r="L31" t="s">
        <v>181</v>
      </c>
      <c r="M31" t="s">
        <v>212</v>
      </c>
      <c r="N31" t="s">
        <v>193</v>
      </c>
      <c r="O31" t="s">
        <v>194</v>
      </c>
    </row>
    <row r="32" spans="1:15" x14ac:dyDescent="0.25">
      <c r="A32" t="s">
        <v>176</v>
      </c>
      <c r="B32" t="s">
        <v>177</v>
      </c>
      <c r="C32" s="68">
        <v>46150</v>
      </c>
      <c r="D32">
        <v>23406</v>
      </c>
      <c r="E32">
        <v>9583048</v>
      </c>
      <c r="F32" t="s">
        <v>188</v>
      </c>
      <c r="G32" t="s">
        <v>184</v>
      </c>
      <c r="H32">
        <v>12134230</v>
      </c>
      <c r="I32" t="s">
        <v>203</v>
      </c>
      <c r="J32" t="s">
        <v>181</v>
      </c>
      <c r="K32" t="s">
        <v>204</v>
      </c>
      <c r="L32" t="s">
        <v>181</v>
      </c>
      <c r="M32" t="s">
        <v>187</v>
      </c>
      <c r="N32" t="s">
        <v>193</v>
      </c>
      <c r="O32" t="s">
        <v>194</v>
      </c>
    </row>
    <row r="33" spans="1:15" x14ac:dyDescent="0.25">
      <c r="A33" t="s">
        <v>176</v>
      </c>
      <c r="B33" t="s">
        <v>177</v>
      </c>
      <c r="C33" s="68">
        <v>46150</v>
      </c>
      <c r="D33">
        <v>23418</v>
      </c>
      <c r="E33">
        <v>78055856</v>
      </c>
      <c r="F33" t="s">
        <v>188</v>
      </c>
      <c r="G33" t="s">
        <v>195</v>
      </c>
      <c r="H33">
        <v>1235000</v>
      </c>
      <c r="I33" t="s">
        <v>196</v>
      </c>
      <c r="J33" t="s">
        <v>181</v>
      </c>
      <c r="K33" t="s">
        <v>197</v>
      </c>
      <c r="L33" t="s">
        <v>181</v>
      </c>
      <c r="M33" t="s">
        <v>198</v>
      </c>
      <c r="N33" t="s">
        <v>193</v>
      </c>
      <c r="O33" t="s">
        <v>194</v>
      </c>
    </row>
    <row r="34" spans="1:15" x14ac:dyDescent="0.25">
      <c r="A34" t="s">
        <v>176</v>
      </c>
      <c r="B34" t="s">
        <v>177</v>
      </c>
      <c r="C34" s="68">
        <v>46150</v>
      </c>
      <c r="D34">
        <v>23424</v>
      </c>
      <c r="E34">
        <v>78055862</v>
      </c>
      <c r="F34" t="s">
        <v>188</v>
      </c>
      <c r="G34" t="s">
        <v>195</v>
      </c>
      <c r="H34">
        <v>1325000</v>
      </c>
      <c r="I34" t="s">
        <v>196</v>
      </c>
      <c r="J34" t="s">
        <v>181</v>
      </c>
      <c r="K34" t="s">
        <v>197</v>
      </c>
      <c r="L34" t="s">
        <v>181</v>
      </c>
      <c r="M34" t="s">
        <v>198</v>
      </c>
      <c r="N34" t="s">
        <v>193</v>
      </c>
      <c r="O34" t="s">
        <v>194</v>
      </c>
    </row>
    <row r="35" spans="1:15" x14ac:dyDescent="0.25">
      <c r="A35" t="s">
        <v>176</v>
      </c>
      <c r="B35" t="s">
        <v>177</v>
      </c>
      <c r="C35" s="68">
        <v>46150</v>
      </c>
      <c r="D35">
        <v>23430</v>
      </c>
      <c r="E35">
        <v>90000109</v>
      </c>
      <c r="F35" t="s">
        <v>188</v>
      </c>
      <c r="G35" t="s">
        <v>217</v>
      </c>
      <c r="H35">
        <v>2000000</v>
      </c>
      <c r="I35" t="s">
        <v>229</v>
      </c>
      <c r="J35" t="s">
        <v>181</v>
      </c>
      <c r="K35" t="s">
        <v>230</v>
      </c>
      <c r="L35" t="s">
        <v>181</v>
      </c>
      <c r="M35" t="s">
        <v>220</v>
      </c>
      <c r="N35" t="s">
        <v>193</v>
      </c>
      <c r="O35" t="s">
        <v>194</v>
      </c>
    </row>
    <row r="36" spans="1:15" x14ac:dyDescent="0.25">
      <c r="A36" t="s">
        <v>176</v>
      </c>
      <c r="B36" t="s">
        <v>177</v>
      </c>
      <c r="C36" s="68">
        <v>46150</v>
      </c>
      <c r="D36">
        <v>23468</v>
      </c>
      <c r="E36">
        <v>4511</v>
      </c>
      <c r="F36" t="s">
        <v>188</v>
      </c>
      <c r="G36" t="s">
        <v>209</v>
      </c>
      <c r="H36">
        <v>966000</v>
      </c>
      <c r="I36" t="s">
        <v>213</v>
      </c>
      <c r="J36" t="s">
        <v>181</v>
      </c>
      <c r="K36" t="s">
        <v>214</v>
      </c>
      <c r="L36" t="s">
        <v>181</v>
      </c>
      <c r="M36" t="s">
        <v>212</v>
      </c>
      <c r="N36" t="s">
        <v>193</v>
      </c>
      <c r="O36" t="s">
        <v>194</v>
      </c>
    </row>
    <row r="37" spans="1:15" x14ac:dyDescent="0.25">
      <c r="A37" t="s">
        <v>176</v>
      </c>
      <c r="B37" t="s">
        <v>177</v>
      </c>
      <c r="C37" s="68">
        <v>46150</v>
      </c>
      <c r="D37">
        <v>23490</v>
      </c>
      <c r="E37">
        <v>4536</v>
      </c>
      <c r="F37" t="s">
        <v>188</v>
      </c>
      <c r="G37" t="s">
        <v>209</v>
      </c>
      <c r="H37">
        <v>930000</v>
      </c>
      <c r="I37" t="s">
        <v>213</v>
      </c>
      <c r="J37" t="s">
        <v>181</v>
      </c>
      <c r="K37" t="s">
        <v>214</v>
      </c>
      <c r="L37" t="s">
        <v>181</v>
      </c>
      <c r="M37" t="s">
        <v>212</v>
      </c>
      <c r="N37" t="s">
        <v>193</v>
      </c>
      <c r="O37" t="s">
        <v>194</v>
      </c>
    </row>
    <row r="38" spans="1:15" x14ac:dyDescent="0.25">
      <c r="A38" t="s">
        <v>176</v>
      </c>
      <c r="B38" t="s">
        <v>177</v>
      </c>
      <c r="C38" s="68">
        <v>46150</v>
      </c>
      <c r="D38">
        <v>23551</v>
      </c>
      <c r="E38">
        <v>78055879</v>
      </c>
      <c r="F38" t="s">
        <v>188</v>
      </c>
      <c r="G38" t="s">
        <v>195</v>
      </c>
      <c r="H38">
        <v>500000</v>
      </c>
      <c r="I38" t="s">
        <v>196</v>
      </c>
      <c r="J38" t="s">
        <v>181</v>
      </c>
      <c r="K38" t="s">
        <v>197</v>
      </c>
      <c r="L38" t="s">
        <v>181</v>
      </c>
      <c r="M38" t="s">
        <v>198</v>
      </c>
      <c r="N38" t="s">
        <v>193</v>
      </c>
      <c r="O38" t="s">
        <v>194</v>
      </c>
    </row>
    <row r="39" spans="1:15" x14ac:dyDescent="0.25">
      <c r="A39" t="s">
        <v>176</v>
      </c>
      <c r="B39" t="s">
        <v>177</v>
      </c>
      <c r="C39" s="68">
        <v>46150</v>
      </c>
      <c r="D39">
        <v>23590</v>
      </c>
      <c r="E39">
        <v>51747693</v>
      </c>
      <c r="F39" t="s">
        <v>188</v>
      </c>
      <c r="G39" t="s">
        <v>199</v>
      </c>
      <c r="H39">
        <v>7588800</v>
      </c>
      <c r="I39" t="s">
        <v>231</v>
      </c>
      <c r="J39" t="s">
        <v>181</v>
      </c>
      <c r="K39" t="s">
        <v>232</v>
      </c>
      <c r="L39" t="s">
        <v>181</v>
      </c>
      <c r="M39" t="s">
        <v>202</v>
      </c>
      <c r="N39" t="s">
        <v>233</v>
      </c>
      <c r="O39" t="s">
        <v>181</v>
      </c>
    </row>
    <row r="40" spans="1:15" x14ac:dyDescent="0.25">
      <c r="A40" t="s">
        <v>176</v>
      </c>
      <c r="B40" t="s">
        <v>177</v>
      </c>
      <c r="C40" s="68">
        <v>46153</v>
      </c>
      <c r="D40">
        <v>23293</v>
      </c>
      <c r="E40">
        <v>13378001</v>
      </c>
      <c r="F40" t="s">
        <v>188</v>
      </c>
      <c r="G40" t="s">
        <v>189</v>
      </c>
      <c r="H40">
        <v>3100000</v>
      </c>
      <c r="I40" t="s">
        <v>190</v>
      </c>
      <c r="J40" t="s">
        <v>181</v>
      </c>
      <c r="K40" t="s">
        <v>191</v>
      </c>
      <c r="L40" t="s">
        <v>181</v>
      </c>
      <c r="M40" t="s">
        <v>192</v>
      </c>
      <c r="N40" t="s">
        <v>193</v>
      </c>
      <c r="O40" t="s">
        <v>194</v>
      </c>
    </row>
    <row r="41" spans="1:15" x14ac:dyDescent="0.25">
      <c r="A41" t="s">
        <v>176</v>
      </c>
      <c r="B41" t="s">
        <v>177</v>
      </c>
      <c r="C41" s="68">
        <v>46153</v>
      </c>
      <c r="D41">
        <v>23294</v>
      </c>
      <c r="E41">
        <v>13378002</v>
      </c>
      <c r="F41" t="s">
        <v>188</v>
      </c>
      <c r="G41" t="s">
        <v>189</v>
      </c>
      <c r="H41">
        <v>3100000</v>
      </c>
      <c r="I41" t="s">
        <v>190</v>
      </c>
      <c r="J41" t="s">
        <v>181</v>
      </c>
      <c r="K41" t="s">
        <v>191</v>
      </c>
      <c r="L41" t="s">
        <v>181</v>
      </c>
      <c r="M41" t="s">
        <v>192</v>
      </c>
      <c r="N41" t="s">
        <v>193</v>
      </c>
      <c r="O41" t="s">
        <v>194</v>
      </c>
    </row>
    <row r="42" spans="1:15" x14ac:dyDescent="0.25">
      <c r="A42" t="s">
        <v>176</v>
      </c>
      <c r="B42" t="s">
        <v>177</v>
      </c>
      <c r="C42" s="68">
        <v>46153</v>
      </c>
      <c r="D42">
        <v>23295</v>
      </c>
      <c r="E42">
        <v>13378003</v>
      </c>
      <c r="F42" t="s">
        <v>188</v>
      </c>
      <c r="G42" t="s">
        <v>189</v>
      </c>
      <c r="H42">
        <v>3100000</v>
      </c>
      <c r="I42" t="s">
        <v>190</v>
      </c>
      <c r="J42" t="s">
        <v>181</v>
      </c>
      <c r="K42" t="s">
        <v>191</v>
      </c>
      <c r="L42" t="s">
        <v>181</v>
      </c>
      <c r="M42" t="s">
        <v>192</v>
      </c>
      <c r="N42" t="s">
        <v>193</v>
      </c>
      <c r="O42" t="s">
        <v>194</v>
      </c>
    </row>
    <row r="43" spans="1:15" x14ac:dyDescent="0.25">
      <c r="A43" t="s">
        <v>176</v>
      </c>
      <c r="B43" t="s">
        <v>177</v>
      </c>
      <c r="C43" s="68">
        <v>46153</v>
      </c>
      <c r="D43">
        <v>23359</v>
      </c>
      <c r="E43">
        <v>65991486</v>
      </c>
      <c r="F43" t="s">
        <v>188</v>
      </c>
      <c r="G43" t="s">
        <v>199</v>
      </c>
      <c r="H43">
        <v>10000000</v>
      </c>
      <c r="I43" t="s">
        <v>234</v>
      </c>
      <c r="J43" t="s">
        <v>181</v>
      </c>
      <c r="K43" t="s">
        <v>235</v>
      </c>
      <c r="L43" t="s">
        <v>181</v>
      </c>
      <c r="M43" t="s">
        <v>202</v>
      </c>
      <c r="N43" t="s">
        <v>193</v>
      </c>
      <c r="O43" t="s">
        <v>194</v>
      </c>
    </row>
    <row r="44" spans="1:15" x14ac:dyDescent="0.25">
      <c r="A44" t="s">
        <v>176</v>
      </c>
      <c r="B44" t="s">
        <v>177</v>
      </c>
      <c r="C44" s="68">
        <v>46153</v>
      </c>
      <c r="D44">
        <v>23360</v>
      </c>
      <c r="E44">
        <v>65991495</v>
      </c>
      <c r="F44" t="s">
        <v>188</v>
      </c>
      <c r="G44" t="s">
        <v>199</v>
      </c>
      <c r="H44">
        <v>10000000</v>
      </c>
      <c r="I44" t="s">
        <v>234</v>
      </c>
      <c r="J44" t="s">
        <v>181</v>
      </c>
      <c r="K44" t="s">
        <v>235</v>
      </c>
      <c r="L44" t="s">
        <v>181</v>
      </c>
      <c r="M44" t="s">
        <v>202</v>
      </c>
      <c r="N44" t="s">
        <v>193</v>
      </c>
      <c r="O44" t="s">
        <v>194</v>
      </c>
    </row>
    <row r="45" spans="1:15" x14ac:dyDescent="0.25">
      <c r="A45" t="s">
        <v>176</v>
      </c>
      <c r="B45" t="s">
        <v>177</v>
      </c>
      <c r="C45" s="68">
        <v>46153</v>
      </c>
      <c r="D45">
        <v>23361</v>
      </c>
      <c r="E45">
        <v>65991500</v>
      </c>
      <c r="F45" t="s">
        <v>188</v>
      </c>
      <c r="G45" t="s">
        <v>199</v>
      </c>
      <c r="H45">
        <v>10000000</v>
      </c>
      <c r="I45" t="s">
        <v>234</v>
      </c>
      <c r="J45" t="s">
        <v>181</v>
      </c>
      <c r="K45" t="s">
        <v>235</v>
      </c>
      <c r="L45" t="s">
        <v>181</v>
      </c>
      <c r="M45" t="s">
        <v>202</v>
      </c>
      <c r="N45" t="s">
        <v>193</v>
      </c>
      <c r="O45" t="s">
        <v>194</v>
      </c>
    </row>
    <row r="46" spans="1:15" x14ac:dyDescent="0.25">
      <c r="A46" t="s">
        <v>176</v>
      </c>
      <c r="B46" t="s">
        <v>177</v>
      </c>
      <c r="C46" s="68">
        <v>46153</v>
      </c>
      <c r="D46">
        <v>23362</v>
      </c>
      <c r="E46">
        <v>65991510</v>
      </c>
      <c r="F46" t="s">
        <v>188</v>
      </c>
      <c r="G46" t="s">
        <v>199</v>
      </c>
      <c r="H46">
        <v>10000000</v>
      </c>
      <c r="I46" t="s">
        <v>234</v>
      </c>
      <c r="J46" t="s">
        <v>181</v>
      </c>
      <c r="K46" t="s">
        <v>235</v>
      </c>
      <c r="L46" t="s">
        <v>181</v>
      </c>
      <c r="M46" t="s">
        <v>202</v>
      </c>
      <c r="N46" t="s">
        <v>193</v>
      </c>
      <c r="O46" t="s">
        <v>194</v>
      </c>
    </row>
    <row r="47" spans="1:15" x14ac:dyDescent="0.25">
      <c r="A47" t="s">
        <v>176</v>
      </c>
      <c r="B47" t="s">
        <v>177</v>
      </c>
      <c r="C47" s="68">
        <v>46153</v>
      </c>
      <c r="D47">
        <v>23363</v>
      </c>
      <c r="E47">
        <v>65991522</v>
      </c>
      <c r="F47" t="s">
        <v>188</v>
      </c>
      <c r="G47" t="s">
        <v>199</v>
      </c>
      <c r="H47">
        <v>9035234.8800000008</v>
      </c>
      <c r="I47" t="s">
        <v>234</v>
      </c>
      <c r="J47" t="s">
        <v>181</v>
      </c>
      <c r="K47" t="s">
        <v>235</v>
      </c>
      <c r="L47" t="s">
        <v>181</v>
      </c>
      <c r="M47" t="s">
        <v>202</v>
      </c>
      <c r="N47" t="s">
        <v>193</v>
      </c>
      <c r="O47" t="s">
        <v>194</v>
      </c>
    </row>
    <row r="48" spans="1:15" x14ac:dyDescent="0.25">
      <c r="A48" t="s">
        <v>176</v>
      </c>
      <c r="B48" t="s">
        <v>177</v>
      </c>
      <c r="C48" s="68">
        <v>46153</v>
      </c>
      <c r="D48">
        <v>23381</v>
      </c>
      <c r="E48">
        <v>6747</v>
      </c>
      <c r="F48" t="s">
        <v>188</v>
      </c>
      <c r="G48" t="s">
        <v>209</v>
      </c>
      <c r="H48">
        <v>11370880</v>
      </c>
      <c r="I48" t="s">
        <v>227</v>
      </c>
      <c r="J48" t="s">
        <v>181</v>
      </c>
      <c r="K48" t="s">
        <v>228</v>
      </c>
      <c r="L48" t="s">
        <v>181</v>
      </c>
      <c r="M48" t="s">
        <v>212</v>
      </c>
      <c r="N48" t="s">
        <v>193</v>
      </c>
      <c r="O48" t="s">
        <v>194</v>
      </c>
    </row>
    <row r="49" spans="1:15" x14ac:dyDescent="0.25">
      <c r="A49" t="s">
        <v>176</v>
      </c>
      <c r="B49" t="s">
        <v>177</v>
      </c>
      <c r="C49" s="68">
        <v>46153</v>
      </c>
      <c r="D49">
        <v>23419</v>
      </c>
      <c r="E49">
        <v>78055857</v>
      </c>
      <c r="F49" t="s">
        <v>188</v>
      </c>
      <c r="G49" t="s">
        <v>195</v>
      </c>
      <c r="H49">
        <v>1227000</v>
      </c>
      <c r="I49" t="s">
        <v>196</v>
      </c>
      <c r="J49" t="s">
        <v>181</v>
      </c>
      <c r="K49" t="s">
        <v>197</v>
      </c>
      <c r="L49" t="s">
        <v>181</v>
      </c>
      <c r="M49" t="s">
        <v>198</v>
      </c>
      <c r="N49" t="s">
        <v>193</v>
      </c>
      <c r="O49" t="s">
        <v>194</v>
      </c>
    </row>
    <row r="50" spans="1:15" x14ac:dyDescent="0.25">
      <c r="A50" t="s">
        <v>176</v>
      </c>
      <c r="B50" t="s">
        <v>177</v>
      </c>
      <c r="C50" s="68">
        <v>46153</v>
      </c>
      <c r="D50">
        <v>23425</v>
      </c>
      <c r="E50">
        <v>78055863</v>
      </c>
      <c r="F50" t="s">
        <v>188</v>
      </c>
      <c r="G50" t="s">
        <v>195</v>
      </c>
      <c r="H50">
        <v>1325000</v>
      </c>
      <c r="I50" t="s">
        <v>196</v>
      </c>
      <c r="J50" t="s">
        <v>181</v>
      </c>
      <c r="K50" t="s">
        <v>197</v>
      </c>
      <c r="L50" t="s">
        <v>181</v>
      </c>
      <c r="M50" t="s">
        <v>198</v>
      </c>
      <c r="N50" t="s">
        <v>193</v>
      </c>
      <c r="O50" t="s">
        <v>194</v>
      </c>
    </row>
    <row r="51" spans="1:15" x14ac:dyDescent="0.25">
      <c r="A51" t="s">
        <v>176</v>
      </c>
      <c r="B51" t="s">
        <v>177</v>
      </c>
      <c r="C51" s="68">
        <v>46153</v>
      </c>
      <c r="D51">
        <v>23432</v>
      </c>
      <c r="E51">
        <v>29057187</v>
      </c>
      <c r="F51" t="s">
        <v>188</v>
      </c>
      <c r="G51" t="s">
        <v>221</v>
      </c>
      <c r="H51">
        <v>43000000</v>
      </c>
      <c r="I51" t="s">
        <v>223</v>
      </c>
      <c r="J51" t="s">
        <v>181</v>
      </c>
      <c r="K51" t="s">
        <v>224</v>
      </c>
      <c r="L51" t="s">
        <v>181</v>
      </c>
      <c r="M51" t="s">
        <v>222</v>
      </c>
      <c r="N51" t="s">
        <v>193</v>
      </c>
      <c r="O51" t="s">
        <v>194</v>
      </c>
    </row>
    <row r="52" spans="1:15" x14ac:dyDescent="0.25">
      <c r="A52" t="s">
        <v>176</v>
      </c>
      <c r="B52" t="s">
        <v>177</v>
      </c>
      <c r="C52" s="68">
        <v>46153</v>
      </c>
      <c r="D52">
        <v>23452</v>
      </c>
      <c r="E52">
        <v>9487742</v>
      </c>
      <c r="F52" t="s">
        <v>188</v>
      </c>
      <c r="G52" t="s">
        <v>184</v>
      </c>
      <c r="H52">
        <v>12289006.199999999</v>
      </c>
      <c r="I52" t="s">
        <v>236</v>
      </c>
      <c r="J52" t="s">
        <v>181</v>
      </c>
      <c r="K52" t="s">
        <v>237</v>
      </c>
      <c r="L52" t="s">
        <v>181</v>
      </c>
      <c r="M52" t="s">
        <v>187</v>
      </c>
      <c r="N52" t="s">
        <v>193</v>
      </c>
      <c r="O52" t="s">
        <v>194</v>
      </c>
    </row>
    <row r="53" spans="1:15" x14ac:dyDescent="0.25">
      <c r="A53" t="s">
        <v>176</v>
      </c>
      <c r="B53" t="s">
        <v>177</v>
      </c>
      <c r="C53" s="68">
        <v>46153</v>
      </c>
      <c r="D53">
        <v>23456</v>
      </c>
      <c r="E53">
        <v>14974124</v>
      </c>
      <c r="F53" t="s">
        <v>178</v>
      </c>
      <c r="G53" t="s">
        <v>184</v>
      </c>
      <c r="H53">
        <v>990000</v>
      </c>
      <c r="I53" t="s">
        <v>180</v>
      </c>
      <c r="J53" t="s">
        <v>181</v>
      </c>
      <c r="K53" t="s">
        <v>182</v>
      </c>
      <c r="L53" t="s">
        <v>181</v>
      </c>
      <c r="M53" t="s">
        <v>187</v>
      </c>
      <c r="N53" t="s">
        <v>181</v>
      </c>
      <c r="O53" t="s">
        <v>181</v>
      </c>
    </row>
    <row r="54" spans="1:15" x14ac:dyDescent="0.25">
      <c r="A54" t="s">
        <v>176</v>
      </c>
      <c r="B54" t="s">
        <v>177</v>
      </c>
      <c r="C54" s="68">
        <v>46153</v>
      </c>
      <c r="D54">
        <v>23461</v>
      </c>
      <c r="E54">
        <v>9583068</v>
      </c>
      <c r="F54" t="s">
        <v>188</v>
      </c>
      <c r="G54" t="s">
        <v>184</v>
      </c>
      <c r="H54">
        <v>12938400</v>
      </c>
      <c r="I54" t="s">
        <v>203</v>
      </c>
      <c r="J54" t="s">
        <v>181</v>
      </c>
      <c r="K54" t="s">
        <v>204</v>
      </c>
      <c r="L54" t="s">
        <v>181</v>
      </c>
      <c r="M54" t="s">
        <v>187</v>
      </c>
      <c r="N54" t="s">
        <v>193</v>
      </c>
      <c r="O54" t="s">
        <v>194</v>
      </c>
    </row>
    <row r="55" spans="1:15" x14ac:dyDescent="0.25">
      <c r="A55" t="s">
        <v>176</v>
      </c>
      <c r="B55" t="s">
        <v>177</v>
      </c>
      <c r="C55" s="68">
        <v>46153</v>
      </c>
      <c r="D55">
        <v>23469</v>
      </c>
      <c r="E55">
        <v>12924512</v>
      </c>
      <c r="F55" t="s">
        <v>188</v>
      </c>
      <c r="G55" t="s">
        <v>184</v>
      </c>
      <c r="H55">
        <v>10000000</v>
      </c>
      <c r="I55" t="s">
        <v>185</v>
      </c>
      <c r="J55" t="s">
        <v>181</v>
      </c>
      <c r="K55" t="s">
        <v>186</v>
      </c>
      <c r="L55" t="s">
        <v>181</v>
      </c>
      <c r="M55" t="s">
        <v>187</v>
      </c>
      <c r="N55" t="s">
        <v>181</v>
      </c>
      <c r="O55" t="s">
        <v>181</v>
      </c>
    </row>
    <row r="56" spans="1:15" x14ac:dyDescent="0.25">
      <c r="A56" t="s">
        <v>176</v>
      </c>
      <c r="B56" t="s">
        <v>177</v>
      </c>
      <c r="C56" s="68">
        <v>46153</v>
      </c>
      <c r="D56">
        <v>23491</v>
      </c>
      <c r="E56">
        <v>4537</v>
      </c>
      <c r="F56" t="s">
        <v>188</v>
      </c>
      <c r="G56" t="s">
        <v>209</v>
      </c>
      <c r="H56">
        <v>930000</v>
      </c>
      <c r="I56" t="s">
        <v>213</v>
      </c>
      <c r="J56" t="s">
        <v>181</v>
      </c>
      <c r="K56" t="s">
        <v>214</v>
      </c>
      <c r="L56" t="s">
        <v>181</v>
      </c>
      <c r="M56" t="s">
        <v>212</v>
      </c>
      <c r="N56" t="s">
        <v>193</v>
      </c>
      <c r="O56" t="s">
        <v>194</v>
      </c>
    </row>
    <row r="57" spans="1:15" x14ac:dyDescent="0.25">
      <c r="A57" t="s">
        <v>176</v>
      </c>
      <c r="B57" t="s">
        <v>177</v>
      </c>
      <c r="C57" s="68">
        <v>46153</v>
      </c>
      <c r="D57">
        <v>23495</v>
      </c>
      <c r="E57">
        <v>4571</v>
      </c>
      <c r="F57" t="s">
        <v>188</v>
      </c>
      <c r="G57" t="s">
        <v>209</v>
      </c>
      <c r="H57">
        <v>1300000</v>
      </c>
      <c r="I57" t="s">
        <v>213</v>
      </c>
      <c r="J57" t="s">
        <v>181</v>
      </c>
      <c r="K57" t="s">
        <v>214</v>
      </c>
      <c r="L57" t="s">
        <v>181</v>
      </c>
      <c r="M57" t="s">
        <v>212</v>
      </c>
      <c r="N57" t="s">
        <v>193</v>
      </c>
      <c r="O57" t="s">
        <v>194</v>
      </c>
    </row>
    <row r="58" spans="1:15" x14ac:dyDescent="0.25">
      <c r="A58" t="s">
        <v>176</v>
      </c>
      <c r="B58" t="s">
        <v>177</v>
      </c>
      <c r="C58" s="68">
        <v>46153</v>
      </c>
      <c r="D58">
        <v>23506</v>
      </c>
      <c r="E58">
        <v>9564653</v>
      </c>
      <c r="F58" t="s">
        <v>188</v>
      </c>
      <c r="G58" t="s">
        <v>184</v>
      </c>
      <c r="H58">
        <v>2754200</v>
      </c>
      <c r="I58" t="s">
        <v>238</v>
      </c>
      <c r="J58" t="s">
        <v>181</v>
      </c>
      <c r="K58" t="s">
        <v>239</v>
      </c>
      <c r="L58" t="s">
        <v>181</v>
      </c>
      <c r="M58" t="s">
        <v>187</v>
      </c>
      <c r="N58" t="s">
        <v>193</v>
      </c>
      <c r="O58" t="s">
        <v>194</v>
      </c>
    </row>
    <row r="59" spans="1:15" x14ac:dyDescent="0.25">
      <c r="A59" t="s">
        <v>176</v>
      </c>
      <c r="B59" t="s">
        <v>177</v>
      </c>
      <c r="C59" s="68">
        <v>46153</v>
      </c>
      <c r="D59">
        <v>23507</v>
      </c>
      <c r="E59">
        <v>9564654</v>
      </c>
      <c r="F59" t="s">
        <v>188</v>
      </c>
      <c r="G59" t="s">
        <v>184</v>
      </c>
      <c r="H59">
        <v>4500000</v>
      </c>
      <c r="I59" t="s">
        <v>238</v>
      </c>
      <c r="J59" t="s">
        <v>181</v>
      </c>
      <c r="K59" t="s">
        <v>239</v>
      </c>
      <c r="L59" t="s">
        <v>181</v>
      </c>
      <c r="M59" t="s">
        <v>187</v>
      </c>
      <c r="N59" t="s">
        <v>193</v>
      </c>
      <c r="O59" t="s">
        <v>194</v>
      </c>
    </row>
    <row r="60" spans="1:15" x14ac:dyDescent="0.25">
      <c r="A60" t="s">
        <v>176</v>
      </c>
      <c r="B60" t="s">
        <v>177</v>
      </c>
      <c r="C60" s="68">
        <v>46153</v>
      </c>
      <c r="D60">
        <v>23508</v>
      </c>
      <c r="E60">
        <v>9564655</v>
      </c>
      <c r="F60" t="s">
        <v>188</v>
      </c>
      <c r="G60" t="s">
        <v>184</v>
      </c>
      <c r="H60">
        <v>4500000</v>
      </c>
      <c r="I60" t="s">
        <v>238</v>
      </c>
      <c r="J60" t="s">
        <v>181</v>
      </c>
      <c r="K60" t="s">
        <v>239</v>
      </c>
      <c r="L60" t="s">
        <v>181</v>
      </c>
      <c r="M60" t="s">
        <v>187</v>
      </c>
      <c r="N60" t="s">
        <v>193</v>
      </c>
      <c r="O60" t="s">
        <v>194</v>
      </c>
    </row>
    <row r="61" spans="1:15" x14ac:dyDescent="0.25">
      <c r="A61" t="s">
        <v>176</v>
      </c>
      <c r="B61" t="s">
        <v>177</v>
      </c>
      <c r="C61" s="68">
        <v>46153</v>
      </c>
      <c r="D61">
        <v>23509</v>
      </c>
      <c r="E61">
        <v>9564656</v>
      </c>
      <c r="F61" t="s">
        <v>188</v>
      </c>
      <c r="G61" t="s">
        <v>184</v>
      </c>
      <c r="H61">
        <v>4500000</v>
      </c>
      <c r="I61" t="s">
        <v>238</v>
      </c>
      <c r="J61" t="s">
        <v>181</v>
      </c>
      <c r="K61" t="s">
        <v>239</v>
      </c>
      <c r="L61" t="s">
        <v>181</v>
      </c>
      <c r="M61" t="s">
        <v>187</v>
      </c>
      <c r="N61" t="s">
        <v>193</v>
      </c>
      <c r="O61" t="s">
        <v>194</v>
      </c>
    </row>
    <row r="62" spans="1:15" x14ac:dyDescent="0.25">
      <c r="A62" t="s">
        <v>176</v>
      </c>
      <c r="B62" t="s">
        <v>177</v>
      </c>
      <c r="C62" s="68">
        <v>46153</v>
      </c>
      <c r="D62">
        <v>23541</v>
      </c>
      <c r="E62">
        <v>697</v>
      </c>
      <c r="F62" t="s">
        <v>188</v>
      </c>
      <c r="G62" t="s">
        <v>240</v>
      </c>
      <c r="H62">
        <v>5000000</v>
      </c>
      <c r="I62" t="s">
        <v>238</v>
      </c>
      <c r="J62" t="s">
        <v>181</v>
      </c>
      <c r="K62" t="s">
        <v>239</v>
      </c>
      <c r="L62" t="s">
        <v>181</v>
      </c>
      <c r="M62" t="s">
        <v>241</v>
      </c>
      <c r="N62" t="s">
        <v>193</v>
      </c>
      <c r="O62" t="s">
        <v>194</v>
      </c>
    </row>
    <row r="63" spans="1:15" x14ac:dyDescent="0.25">
      <c r="A63" t="s">
        <v>176</v>
      </c>
      <c r="B63" t="s">
        <v>177</v>
      </c>
      <c r="C63" s="68">
        <v>46153</v>
      </c>
      <c r="D63">
        <v>23542</v>
      </c>
      <c r="E63">
        <v>698</v>
      </c>
      <c r="F63" t="s">
        <v>188</v>
      </c>
      <c r="G63" t="s">
        <v>240</v>
      </c>
      <c r="H63">
        <v>6756340</v>
      </c>
      <c r="I63" t="s">
        <v>238</v>
      </c>
      <c r="J63" t="s">
        <v>181</v>
      </c>
      <c r="K63" t="s">
        <v>239</v>
      </c>
      <c r="L63" t="s">
        <v>181</v>
      </c>
      <c r="M63" t="s">
        <v>241</v>
      </c>
      <c r="N63" t="s">
        <v>193</v>
      </c>
      <c r="O63" t="s">
        <v>194</v>
      </c>
    </row>
    <row r="64" spans="1:15" x14ac:dyDescent="0.25">
      <c r="A64" t="s">
        <v>176</v>
      </c>
      <c r="B64" t="s">
        <v>177</v>
      </c>
      <c r="C64" s="68">
        <v>46153</v>
      </c>
      <c r="D64">
        <v>23543</v>
      </c>
      <c r="E64">
        <v>699</v>
      </c>
      <c r="F64" t="s">
        <v>188</v>
      </c>
      <c r="G64" t="s">
        <v>240</v>
      </c>
      <c r="H64">
        <v>5000000</v>
      </c>
      <c r="I64" t="s">
        <v>238</v>
      </c>
      <c r="J64" t="s">
        <v>181</v>
      </c>
      <c r="K64" t="s">
        <v>239</v>
      </c>
      <c r="L64" t="s">
        <v>181</v>
      </c>
      <c r="M64" t="s">
        <v>241</v>
      </c>
      <c r="N64" t="s">
        <v>193</v>
      </c>
      <c r="O64" t="s">
        <v>194</v>
      </c>
    </row>
    <row r="65" spans="1:15" x14ac:dyDescent="0.25">
      <c r="A65" t="s">
        <v>176</v>
      </c>
      <c r="B65" t="s">
        <v>177</v>
      </c>
      <c r="C65" s="68">
        <v>46153</v>
      </c>
      <c r="D65">
        <v>23544</v>
      </c>
      <c r="E65">
        <v>700</v>
      </c>
      <c r="F65" t="s">
        <v>188</v>
      </c>
      <c r="G65" t="s">
        <v>240</v>
      </c>
      <c r="H65">
        <v>5000000</v>
      </c>
      <c r="I65" t="s">
        <v>238</v>
      </c>
      <c r="J65" t="s">
        <v>181</v>
      </c>
      <c r="K65" t="s">
        <v>239</v>
      </c>
      <c r="L65" t="s">
        <v>181</v>
      </c>
      <c r="M65" t="s">
        <v>241</v>
      </c>
      <c r="N65" t="s">
        <v>193</v>
      </c>
      <c r="O65" t="s">
        <v>194</v>
      </c>
    </row>
    <row r="66" spans="1:15" x14ac:dyDescent="0.25">
      <c r="A66" t="s">
        <v>176</v>
      </c>
      <c r="B66" t="s">
        <v>177</v>
      </c>
      <c r="C66" s="68">
        <v>46153</v>
      </c>
      <c r="D66">
        <v>23545</v>
      </c>
      <c r="E66">
        <v>701</v>
      </c>
      <c r="F66" t="s">
        <v>188</v>
      </c>
      <c r="G66" t="s">
        <v>240</v>
      </c>
      <c r="H66">
        <v>5000000</v>
      </c>
      <c r="I66" t="s">
        <v>238</v>
      </c>
      <c r="J66" t="s">
        <v>181</v>
      </c>
      <c r="K66" t="s">
        <v>239</v>
      </c>
      <c r="L66" t="s">
        <v>181</v>
      </c>
      <c r="M66" t="s">
        <v>241</v>
      </c>
      <c r="N66" t="s">
        <v>193</v>
      </c>
      <c r="O66" t="s">
        <v>194</v>
      </c>
    </row>
    <row r="67" spans="1:15" x14ac:dyDescent="0.25">
      <c r="A67" t="s">
        <v>176</v>
      </c>
      <c r="B67" t="s">
        <v>177</v>
      </c>
      <c r="C67" s="68">
        <v>46153</v>
      </c>
      <c r="D67">
        <v>23546</v>
      </c>
      <c r="E67">
        <v>711</v>
      </c>
      <c r="F67" t="s">
        <v>188</v>
      </c>
      <c r="G67" t="s">
        <v>240</v>
      </c>
      <c r="H67">
        <v>5000000</v>
      </c>
      <c r="I67" t="s">
        <v>238</v>
      </c>
      <c r="J67" t="s">
        <v>181</v>
      </c>
      <c r="K67" t="s">
        <v>239</v>
      </c>
      <c r="L67" t="s">
        <v>181</v>
      </c>
      <c r="M67" t="s">
        <v>241</v>
      </c>
      <c r="N67" t="s">
        <v>193</v>
      </c>
      <c r="O67" t="s">
        <v>194</v>
      </c>
    </row>
    <row r="68" spans="1:15" x14ac:dyDescent="0.25">
      <c r="A68" t="s">
        <v>176</v>
      </c>
      <c r="B68" t="s">
        <v>177</v>
      </c>
      <c r="C68" s="68">
        <v>46153</v>
      </c>
      <c r="D68">
        <v>23552</v>
      </c>
      <c r="E68">
        <v>78055880</v>
      </c>
      <c r="F68" t="s">
        <v>188</v>
      </c>
      <c r="G68" t="s">
        <v>195</v>
      </c>
      <c r="H68">
        <v>500000</v>
      </c>
      <c r="I68" t="s">
        <v>196</v>
      </c>
      <c r="J68" t="s">
        <v>181</v>
      </c>
      <c r="K68" t="s">
        <v>197</v>
      </c>
      <c r="L68" t="s">
        <v>181</v>
      </c>
      <c r="M68" t="s">
        <v>198</v>
      </c>
      <c r="N68" t="s">
        <v>193</v>
      </c>
      <c r="O68" t="s">
        <v>194</v>
      </c>
    </row>
    <row r="69" spans="1:15" x14ac:dyDescent="0.25">
      <c r="A69" t="s">
        <v>176</v>
      </c>
      <c r="B69" t="s">
        <v>177</v>
      </c>
      <c r="C69" s="68">
        <v>46153</v>
      </c>
      <c r="D69">
        <v>23558</v>
      </c>
      <c r="E69">
        <v>78055888</v>
      </c>
      <c r="F69" t="s">
        <v>188</v>
      </c>
      <c r="G69" t="s">
        <v>195</v>
      </c>
      <c r="H69">
        <v>890000</v>
      </c>
      <c r="I69" t="s">
        <v>196</v>
      </c>
      <c r="J69" t="s">
        <v>181</v>
      </c>
      <c r="K69" t="s">
        <v>197</v>
      </c>
      <c r="L69" t="s">
        <v>181</v>
      </c>
      <c r="M69" t="s">
        <v>198</v>
      </c>
      <c r="N69" t="s">
        <v>193</v>
      </c>
      <c r="O69" t="s">
        <v>194</v>
      </c>
    </row>
    <row r="70" spans="1:15" x14ac:dyDescent="0.25">
      <c r="A70" t="s">
        <v>176</v>
      </c>
      <c r="B70" t="s">
        <v>177</v>
      </c>
      <c r="C70" s="68">
        <v>46153</v>
      </c>
      <c r="D70">
        <v>23575</v>
      </c>
      <c r="E70">
        <v>120</v>
      </c>
      <c r="F70" t="s">
        <v>188</v>
      </c>
      <c r="G70" t="s">
        <v>209</v>
      </c>
      <c r="H70">
        <v>3000343.8</v>
      </c>
      <c r="I70" t="s">
        <v>242</v>
      </c>
      <c r="J70" t="s">
        <v>181</v>
      </c>
      <c r="K70" t="s">
        <v>243</v>
      </c>
      <c r="L70" t="s">
        <v>181</v>
      </c>
      <c r="M70" t="s">
        <v>212</v>
      </c>
      <c r="N70" t="s">
        <v>193</v>
      </c>
      <c r="O70" t="s">
        <v>194</v>
      </c>
    </row>
    <row r="71" spans="1:15" x14ac:dyDescent="0.25">
      <c r="A71" t="s">
        <v>176</v>
      </c>
      <c r="B71" t="s">
        <v>177</v>
      </c>
      <c r="C71" s="68">
        <v>46153</v>
      </c>
      <c r="D71">
        <v>23576</v>
      </c>
      <c r="E71">
        <v>121</v>
      </c>
      <c r="F71" t="s">
        <v>188</v>
      </c>
      <c r="G71" t="s">
        <v>209</v>
      </c>
      <c r="H71">
        <v>4024000</v>
      </c>
      <c r="I71" t="s">
        <v>242</v>
      </c>
      <c r="J71" t="s">
        <v>181</v>
      </c>
      <c r="K71" t="s">
        <v>243</v>
      </c>
      <c r="L71" t="s">
        <v>181</v>
      </c>
      <c r="M71" t="s">
        <v>212</v>
      </c>
      <c r="N71" t="s">
        <v>193</v>
      </c>
      <c r="O71" t="s">
        <v>194</v>
      </c>
    </row>
    <row r="72" spans="1:15" x14ac:dyDescent="0.25">
      <c r="A72" t="s">
        <v>176</v>
      </c>
      <c r="B72" t="s">
        <v>177</v>
      </c>
      <c r="C72" s="68">
        <v>46154</v>
      </c>
      <c r="D72">
        <v>23297</v>
      </c>
      <c r="E72">
        <v>13378004</v>
      </c>
      <c r="F72" t="s">
        <v>188</v>
      </c>
      <c r="G72" t="s">
        <v>189</v>
      </c>
      <c r="H72">
        <v>3100000</v>
      </c>
      <c r="I72" t="s">
        <v>190</v>
      </c>
      <c r="J72" t="s">
        <v>181</v>
      </c>
      <c r="K72" t="s">
        <v>191</v>
      </c>
      <c r="L72" t="s">
        <v>181</v>
      </c>
      <c r="M72" t="s">
        <v>192</v>
      </c>
      <c r="N72" t="s">
        <v>193</v>
      </c>
      <c r="O72" t="s">
        <v>194</v>
      </c>
    </row>
    <row r="73" spans="1:15" x14ac:dyDescent="0.25">
      <c r="A73" t="s">
        <v>176</v>
      </c>
      <c r="B73" t="s">
        <v>177</v>
      </c>
      <c r="C73" s="68">
        <v>46154</v>
      </c>
      <c r="D73">
        <v>23401</v>
      </c>
      <c r="E73">
        <v>13378019</v>
      </c>
      <c r="F73" t="s">
        <v>188</v>
      </c>
      <c r="G73" t="s">
        <v>189</v>
      </c>
      <c r="H73">
        <v>2027843.4</v>
      </c>
      <c r="I73" t="s">
        <v>190</v>
      </c>
      <c r="J73" t="s">
        <v>181</v>
      </c>
      <c r="K73" t="s">
        <v>191</v>
      </c>
      <c r="L73" t="s">
        <v>181</v>
      </c>
      <c r="M73" t="s">
        <v>192</v>
      </c>
      <c r="N73" t="s">
        <v>193</v>
      </c>
      <c r="O73" t="s">
        <v>194</v>
      </c>
    </row>
    <row r="74" spans="1:15" x14ac:dyDescent="0.25">
      <c r="A74" t="s">
        <v>176</v>
      </c>
      <c r="B74" t="s">
        <v>177</v>
      </c>
      <c r="C74" s="68">
        <v>46154</v>
      </c>
      <c r="D74">
        <v>23426</v>
      </c>
      <c r="E74">
        <v>78055864</v>
      </c>
      <c r="F74" t="s">
        <v>188</v>
      </c>
      <c r="G74" t="s">
        <v>195</v>
      </c>
      <c r="H74">
        <v>1325000</v>
      </c>
      <c r="I74" t="s">
        <v>196</v>
      </c>
      <c r="J74" t="s">
        <v>181</v>
      </c>
      <c r="K74" t="s">
        <v>197</v>
      </c>
      <c r="L74" t="s">
        <v>181</v>
      </c>
      <c r="M74" t="s">
        <v>198</v>
      </c>
      <c r="N74" t="s">
        <v>193</v>
      </c>
      <c r="O74" t="s">
        <v>194</v>
      </c>
    </row>
    <row r="75" spans="1:15" x14ac:dyDescent="0.25">
      <c r="A75" t="s">
        <v>176</v>
      </c>
      <c r="B75" t="s">
        <v>177</v>
      </c>
      <c r="C75" s="68">
        <v>46154</v>
      </c>
      <c r="D75">
        <v>23470</v>
      </c>
      <c r="E75">
        <v>12924513</v>
      </c>
      <c r="F75" t="s">
        <v>188</v>
      </c>
      <c r="G75" t="s">
        <v>184</v>
      </c>
      <c r="H75">
        <v>10000000</v>
      </c>
      <c r="I75" t="s">
        <v>185</v>
      </c>
      <c r="J75" t="s">
        <v>181</v>
      </c>
      <c r="K75" t="s">
        <v>186</v>
      </c>
      <c r="L75" t="s">
        <v>181</v>
      </c>
      <c r="M75" t="s">
        <v>187</v>
      </c>
      <c r="N75" t="s">
        <v>181</v>
      </c>
      <c r="O75" t="s">
        <v>181</v>
      </c>
    </row>
    <row r="76" spans="1:15" x14ac:dyDescent="0.25">
      <c r="A76" t="s">
        <v>176</v>
      </c>
      <c r="B76" t="s">
        <v>177</v>
      </c>
      <c r="C76" s="68">
        <v>46154</v>
      </c>
      <c r="D76">
        <v>23492</v>
      </c>
      <c r="E76">
        <v>4538</v>
      </c>
      <c r="F76" t="s">
        <v>188</v>
      </c>
      <c r="G76" t="s">
        <v>209</v>
      </c>
      <c r="H76">
        <v>930000</v>
      </c>
      <c r="I76" t="s">
        <v>213</v>
      </c>
      <c r="J76" t="s">
        <v>181</v>
      </c>
      <c r="K76" t="s">
        <v>214</v>
      </c>
      <c r="L76" t="s">
        <v>181</v>
      </c>
      <c r="M76" t="s">
        <v>212</v>
      </c>
      <c r="N76" t="s">
        <v>193</v>
      </c>
      <c r="O76" t="s">
        <v>194</v>
      </c>
    </row>
    <row r="77" spans="1:15" x14ac:dyDescent="0.25">
      <c r="A77" t="s">
        <v>176</v>
      </c>
      <c r="B77" t="s">
        <v>177</v>
      </c>
      <c r="C77" s="68">
        <v>46154</v>
      </c>
      <c r="D77">
        <v>23496</v>
      </c>
      <c r="E77">
        <v>4572</v>
      </c>
      <c r="F77" t="s">
        <v>188</v>
      </c>
      <c r="G77" t="s">
        <v>209</v>
      </c>
      <c r="H77">
        <v>1300000</v>
      </c>
      <c r="I77" t="s">
        <v>213</v>
      </c>
      <c r="J77" t="s">
        <v>181</v>
      </c>
      <c r="K77" t="s">
        <v>214</v>
      </c>
      <c r="L77" t="s">
        <v>181</v>
      </c>
      <c r="M77" t="s">
        <v>212</v>
      </c>
      <c r="N77" t="s">
        <v>193</v>
      </c>
      <c r="O77" t="s">
        <v>194</v>
      </c>
    </row>
    <row r="78" spans="1:15" x14ac:dyDescent="0.25">
      <c r="A78" t="s">
        <v>176</v>
      </c>
      <c r="B78" t="s">
        <v>177</v>
      </c>
      <c r="C78" s="68">
        <v>46154</v>
      </c>
      <c r="D78">
        <v>23553</v>
      </c>
      <c r="E78">
        <v>78055881</v>
      </c>
      <c r="F78" t="s">
        <v>188</v>
      </c>
      <c r="G78" t="s">
        <v>195</v>
      </c>
      <c r="H78">
        <v>500000</v>
      </c>
      <c r="I78" t="s">
        <v>196</v>
      </c>
      <c r="J78" t="s">
        <v>181</v>
      </c>
      <c r="K78" t="s">
        <v>197</v>
      </c>
      <c r="L78" t="s">
        <v>181</v>
      </c>
      <c r="M78" t="s">
        <v>198</v>
      </c>
      <c r="N78" t="s">
        <v>193</v>
      </c>
      <c r="O78" t="s">
        <v>194</v>
      </c>
    </row>
    <row r="79" spans="1:15" x14ac:dyDescent="0.25">
      <c r="A79" t="s">
        <v>176</v>
      </c>
      <c r="B79" t="s">
        <v>177</v>
      </c>
      <c r="C79" s="68">
        <v>46154</v>
      </c>
      <c r="D79">
        <v>23559</v>
      </c>
      <c r="E79">
        <v>78055889</v>
      </c>
      <c r="F79" t="s">
        <v>188</v>
      </c>
      <c r="G79" t="s">
        <v>195</v>
      </c>
      <c r="H79">
        <v>890000</v>
      </c>
      <c r="I79" t="s">
        <v>196</v>
      </c>
      <c r="J79" t="s">
        <v>181</v>
      </c>
      <c r="K79" t="s">
        <v>197</v>
      </c>
      <c r="L79" t="s">
        <v>181</v>
      </c>
      <c r="M79" t="s">
        <v>198</v>
      </c>
      <c r="N79" t="s">
        <v>193</v>
      </c>
      <c r="O79" t="s">
        <v>194</v>
      </c>
    </row>
    <row r="80" spans="1:15" x14ac:dyDescent="0.25">
      <c r="A80" t="s">
        <v>176</v>
      </c>
      <c r="B80" t="s">
        <v>177</v>
      </c>
      <c r="C80" s="68">
        <v>46155</v>
      </c>
      <c r="D80">
        <v>23296</v>
      </c>
      <c r="E80">
        <v>13378005</v>
      </c>
      <c r="F80" t="s">
        <v>188</v>
      </c>
      <c r="G80" t="s">
        <v>189</v>
      </c>
      <c r="H80">
        <v>3100000</v>
      </c>
      <c r="I80" t="s">
        <v>190</v>
      </c>
      <c r="J80" t="s">
        <v>181</v>
      </c>
      <c r="K80" t="s">
        <v>191</v>
      </c>
      <c r="L80" t="s">
        <v>181</v>
      </c>
      <c r="M80" t="s">
        <v>192</v>
      </c>
      <c r="N80" t="s">
        <v>193</v>
      </c>
      <c r="O80" t="s">
        <v>194</v>
      </c>
    </row>
    <row r="81" spans="1:15" x14ac:dyDescent="0.25">
      <c r="A81" t="s">
        <v>176</v>
      </c>
      <c r="B81" t="s">
        <v>177</v>
      </c>
      <c r="C81" s="68">
        <v>46155</v>
      </c>
      <c r="D81">
        <v>23402</v>
      </c>
      <c r="E81">
        <v>13378020</v>
      </c>
      <c r="F81" t="s">
        <v>188</v>
      </c>
      <c r="G81" t="s">
        <v>189</v>
      </c>
      <c r="H81">
        <v>2200000</v>
      </c>
      <c r="I81" t="s">
        <v>190</v>
      </c>
      <c r="J81" t="s">
        <v>181</v>
      </c>
      <c r="K81" t="s">
        <v>191</v>
      </c>
      <c r="L81" t="s">
        <v>181</v>
      </c>
      <c r="M81" t="s">
        <v>192</v>
      </c>
      <c r="N81" t="s">
        <v>193</v>
      </c>
      <c r="O81" t="s">
        <v>194</v>
      </c>
    </row>
    <row r="82" spans="1:15" x14ac:dyDescent="0.25">
      <c r="A82" t="s">
        <v>176</v>
      </c>
      <c r="B82" t="s">
        <v>177</v>
      </c>
      <c r="C82" s="68">
        <v>46155</v>
      </c>
      <c r="D82">
        <v>23471</v>
      </c>
      <c r="E82">
        <v>12924514</v>
      </c>
      <c r="F82" t="s">
        <v>188</v>
      </c>
      <c r="G82" t="s">
        <v>184</v>
      </c>
      <c r="H82">
        <v>10000000</v>
      </c>
      <c r="I82" t="s">
        <v>185</v>
      </c>
      <c r="J82" t="s">
        <v>181</v>
      </c>
      <c r="K82" t="s">
        <v>186</v>
      </c>
      <c r="L82" t="s">
        <v>181</v>
      </c>
      <c r="M82" t="s">
        <v>187</v>
      </c>
      <c r="N82" t="s">
        <v>181</v>
      </c>
      <c r="O82" t="s">
        <v>181</v>
      </c>
    </row>
    <row r="83" spans="1:15" x14ac:dyDescent="0.25">
      <c r="A83" t="s">
        <v>176</v>
      </c>
      <c r="B83" t="s">
        <v>177</v>
      </c>
      <c r="C83" s="68">
        <v>46155</v>
      </c>
      <c r="D83">
        <v>23493</v>
      </c>
      <c r="E83">
        <v>4539</v>
      </c>
      <c r="F83" t="s">
        <v>188</v>
      </c>
      <c r="G83" t="s">
        <v>209</v>
      </c>
      <c r="H83">
        <v>930000</v>
      </c>
      <c r="I83" t="s">
        <v>213</v>
      </c>
      <c r="J83" t="s">
        <v>181</v>
      </c>
      <c r="K83" t="s">
        <v>214</v>
      </c>
      <c r="L83" t="s">
        <v>181</v>
      </c>
      <c r="M83" t="s">
        <v>212</v>
      </c>
      <c r="N83" t="s">
        <v>193</v>
      </c>
      <c r="O83" t="s">
        <v>194</v>
      </c>
    </row>
    <row r="84" spans="1:15" x14ac:dyDescent="0.25">
      <c r="A84" t="s">
        <v>176</v>
      </c>
      <c r="B84" t="s">
        <v>177</v>
      </c>
      <c r="C84" s="68">
        <v>46155</v>
      </c>
      <c r="D84">
        <v>23497</v>
      </c>
      <c r="E84">
        <v>4573</v>
      </c>
      <c r="F84" t="s">
        <v>188</v>
      </c>
      <c r="G84" t="s">
        <v>209</v>
      </c>
      <c r="H84">
        <v>1300000</v>
      </c>
      <c r="I84" t="s">
        <v>213</v>
      </c>
      <c r="J84" t="s">
        <v>181</v>
      </c>
      <c r="K84" t="s">
        <v>214</v>
      </c>
      <c r="L84" t="s">
        <v>181</v>
      </c>
      <c r="M84" t="s">
        <v>212</v>
      </c>
      <c r="N84" t="s">
        <v>193</v>
      </c>
      <c r="O84" t="s">
        <v>194</v>
      </c>
    </row>
    <row r="85" spans="1:15" x14ac:dyDescent="0.25">
      <c r="A85" t="s">
        <v>176</v>
      </c>
      <c r="B85" t="s">
        <v>177</v>
      </c>
      <c r="C85" s="68">
        <v>46155</v>
      </c>
      <c r="D85">
        <v>23581</v>
      </c>
      <c r="E85">
        <v>1367</v>
      </c>
      <c r="F85" t="s">
        <v>188</v>
      </c>
      <c r="G85" t="s">
        <v>209</v>
      </c>
      <c r="H85">
        <v>25000000</v>
      </c>
      <c r="I85" t="s">
        <v>210</v>
      </c>
      <c r="J85" t="s">
        <v>181</v>
      </c>
      <c r="K85" t="s">
        <v>211</v>
      </c>
      <c r="L85" t="s">
        <v>181</v>
      </c>
      <c r="M85" t="s">
        <v>212</v>
      </c>
      <c r="N85" t="s">
        <v>193</v>
      </c>
      <c r="O85" t="s">
        <v>194</v>
      </c>
    </row>
    <row r="86" spans="1:15" x14ac:dyDescent="0.25">
      <c r="A86" t="s">
        <v>176</v>
      </c>
      <c r="B86" t="s">
        <v>177</v>
      </c>
      <c r="C86" s="68">
        <v>46156</v>
      </c>
      <c r="D86">
        <v>23298</v>
      </c>
      <c r="E86">
        <v>13378006</v>
      </c>
      <c r="F86" t="s">
        <v>188</v>
      </c>
      <c r="G86" t="s">
        <v>189</v>
      </c>
      <c r="H86">
        <v>3100000</v>
      </c>
      <c r="I86" t="s">
        <v>190</v>
      </c>
      <c r="J86" t="s">
        <v>181</v>
      </c>
      <c r="K86" t="s">
        <v>191</v>
      </c>
      <c r="L86" t="s">
        <v>181</v>
      </c>
      <c r="M86" t="s">
        <v>192</v>
      </c>
      <c r="N86" t="s">
        <v>193</v>
      </c>
      <c r="O86" t="s">
        <v>194</v>
      </c>
    </row>
    <row r="87" spans="1:15" x14ac:dyDescent="0.25">
      <c r="A87" t="s">
        <v>176</v>
      </c>
      <c r="B87" t="s">
        <v>177</v>
      </c>
      <c r="C87" s="68">
        <v>46156</v>
      </c>
      <c r="D87">
        <v>23403</v>
      </c>
      <c r="E87">
        <v>13378021</v>
      </c>
      <c r="F87" t="s">
        <v>188</v>
      </c>
      <c r="G87" t="s">
        <v>189</v>
      </c>
      <c r="H87">
        <v>2200000</v>
      </c>
      <c r="I87" t="s">
        <v>190</v>
      </c>
      <c r="J87" t="s">
        <v>181</v>
      </c>
      <c r="K87" t="s">
        <v>191</v>
      </c>
      <c r="L87" t="s">
        <v>181</v>
      </c>
      <c r="M87" t="s">
        <v>192</v>
      </c>
      <c r="N87" t="s">
        <v>193</v>
      </c>
      <c r="O87" t="s">
        <v>194</v>
      </c>
    </row>
    <row r="88" spans="1:15" x14ac:dyDescent="0.25">
      <c r="A88" t="s">
        <v>176</v>
      </c>
      <c r="B88" t="s">
        <v>177</v>
      </c>
      <c r="C88" s="68">
        <v>46156</v>
      </c>
      <c r="D88">
        <v>23427</v>
      </c>
      <c r="E88">
        <v>78055865</v>
      </c>
      <c r="F88" t="s">
        <v>188</v>
      </c>
      <c r="G88" t="s">
        <v>195</v>
      </c>
      <c r="H88">
        <v>1325000</v>
      </c>
      <c r="I88" t="s">
        <v>196</v>
      </c>
      <c r="J88" t="s">
        <v>181</v>
      </c>
      <c r="K88" t="s">
        <v>197</v>
      </c>
      <c r="L88" t="s">
        <v>181</v>
      </c>
      <c r="M88" t="s">
        <v>198</v>
      </c>
      <c r="N88" t="s">
        <v>193</v>
      </c>
      <c r="O88" t="s">
        <v>194</v>
      </c>
    </row>
    <row r="89" spans="1:15" x14ac:dyDescent="0.25">
      <c r="A89" t="s">
        <v>176</v>
      </c>
      <c r="B89" t="s">
        <v>177</v>
      </c>
      <c r="C89" s="68">
        <v>46156</v>
      </c>
      <c r="D89">
        <v>23472</v>
      </c>
      <c r="E89">
        <v>12924515</v>
      </c>
      <c r="F89" t="s">
        <v>188</v>
      </c>
      <c r="G89" t="s">
        <v>184</v>
      </c>
      <c r="H89">
        <v>10000000</v>
      </c>
      <c r="I89" t="s">
        <v>185</v>
      </c>
      <c r="J89" t="s">
        <v>181</v>
      </c>
      <c r="K89" t="s">
        <v>186</v>
      </c>
      <c r="L89" t="s">
        <v>181</v>
      </c>
      <c r="M89" t="s">
        <v>187</v>
      </c>
      <c r="N89" t="s">
        <v>181</v>
      </c>
      <c r="O89" t="s">
        <v>181</v>
      </c>
    </row>
    <row r="90" spans="1:15" x14ac:dyDescent="0.25">
      <c r="A90" t="s">
        <v>176</v>
      </c>
      <c r="B90" t="s">
        <v>177</v>
      </c>
      <c r="C90" s="68">
        <v>46156</v>
      </c>
      <c r="D90">
        <v>23481</v>
      </c>
      <c r="E90">
        <v>4959</v>
      </c>
      <c r="F90" t="s">
        <v>188</v>
      </c>
      <c r="G90" t="s">
        <v>195</v>
      </c>
      <c r="H90">
        <v>3118540</v>
      </c>
      <c r="I90" t="s">
        <v>215</v>
      </c>
      <c r="J90" t="s">
        <v>181</v>
      </c>
      <c r="K90" t="s">
        <v>216</v>
      </c>
      <c r="L90" t="s">
        <v>181</v>
      </c>
      <c r="M90" t="s">
        <v>198</v>
      </c>
      <c r="N90" t="s">
        <v>193</v>
      </c>
      <c r="O90" t="s">
        <v>194</v>
      </c>
    </row>
    <row r="91" spans="1:15" x14ac:dyDescent="0.25">
      <c r="A91" t="s">
        <v>176</v>
      </c>
      <c r="B91" t="s">
        <v>177</v>
      </c>
      <c r="C91" s="68">
        <v>46156</v>
      </c>
      <c r="D91">
        <v>23560</v>
      </c>
      <c r="E91">
        <v>78055890</v>
      </c>
      <c r="F91" t="s">
        <v>188</v>
      </c>
      <c r="G91" t="s">
        <v>195</v>
      </c>
      <c r="H91">
        <v>890000</v>
      </c>
      <c r="I91" t="s">
        <v>196</v>
      </c>
      <c r="J91" t="s">
        <v>181</v>
      </c>
      <c r="K91" t="s">
        <v>197</v>
      </c>
      <c r="L91" t="s">
        <v>181</v>
      </c>
      <c r="M91" t="s">
        <v>198</v>
      </c>
      <c r="N91" t="s">
        <v>193</v>
      </c>
      <c r="O91" t="s">
        <v>194</v>
      </c>
    </row>
    <row r="92" spans="1:15" x14ac:dyDescent="0.25">
      <c r="A92" t="s">
        <v>176</v>
      </c>
      <c r="B92" t="s">
        <v>177</v>
      </c>
      <c r="C92" s="68">
        <v>46156</v>
      </c>
      <c r="D92">
        <v>23569</v>
      </c>
      <c r="E92">
        <v>8055882</v>
      </c>
      <c r="F92" t="s">
        <v>188</v>
      </c>
      <c r="G92" t="s">
        <v>195</v>
      </c>
      <c r="H92">
        <v>500000</v>
      </c>
      <c r="I92" t="s">
        <v>196</v>
      </c>
      <c r="J92" t="s">
        <v>181</v>
      </c>
      <c r="K92" t="s">
        <v>197</v>
      </c>
      <c r="L92" t="s">
        <v>181</v>
      </c>
      <c r="M92" t="s">
        <v>198</v>
      </c>
      <c r="N92" t="s">
        <v>193</v>
      </c>
      <c r="O92" t="s">
        <v>194</v>
      </c>
    </row>
    <row r="93" spans="1:15" x14ac:dyDescent="0.25">
      <c r="A93" t="s">
        <v>176</v>
      </c>
      <c r="B93" t="s">
        <v>177</v>
      </c>
      <c r="C93" s="68">
        <v>46157</v>
      </c>
      <c r="D93">
        <v>23404</v>
      </c>
      <c r="E93">
        <v>13378022</v>
      </c>
      <c r="F93" t="s">
        <v>188</v>
      </c>
      <c r="G93" t="s">
        <v>189</v>
      </c>
      <c r="H93">
        <v>2200000</v>
      </c>
      <c r="I93" t="s">
        <v>190</v>
      </c>
      <c r="J93" t="s">
        <v>181</v>
      </c>
      <c r="K93" t="s">
        <v>191</v>
      </c>
      <c r="L93" t="s">
        <v>181</v>
      </c>
      <c r="M93" t="s">
        <v>192</v>
      </c>
      <c r="N93" t="s">
        <v>193</v>
      </c>
      <c r="O93" t="s">
        <v>194</v>
      </c>
    </row>
    <row r="94" spans="1:15" x14ac:dyDescent="0.25">
      <c r="A94" t="s">
        <v>176</v>
      </c>
      <c r="B94" t="s">
        <v>177</v>
      </c>
      <c r="C94" s="68">
        <v>46157</v>
      </c>
      <c r="D94">
        <v>23428</v>
      </c>
      <c r="E94">
        <v>78055866</v>
      </c>
      <c r="F94" t="s">
        <v>188</v>
      </c>
      <c r="G94" t="s">
        <v>195</v>
      </c>
      <c r="H94">
        <v>1325000</v>
      </c>
      <c r="I94" t="s">
        <v>196</v>
      </c>
      <c r="J94" t="s">
        <v>181</v>
      </c>
      <c r="K94" t="s">
        <v>197</v>
      </c>
      <c r="L94" t="s">
        <v>181</v>
      </c>
      <c r="M94" t="s">
        <v>198</v>
      </c>
      <c r="N94" t="s">
        <v>193</v>
      </c>
      <c r="O94" t="s">
        <v>194</v>
      </c>
    </row>
    <row r="95" spans="1:15" x14ac:dyDescent="0.25">
      <c r="A95" t="s">
        <v>176</v>
      </c>
      <c r="B95" t="s">
        <v>177</v>
      </c>
      <c r="C95" s="68">
        <v>46157</v>
      </c>
      <c r="D95">
        <v>23443</v>
      </c>
      <c r="E95">
        <v>6769</v>
      </c>
      <c r="F95" t="s">
        <v>188</v>
      </c>
      <c r="G95" t="s">
        <v>209</v>
      </c>
      <c r="H95">
        <v>17049600</v>
      </c>
      <c r="I95" t="s">
        <v>227</v>
      </c>
      <c r="J95" t="s">
        <v>181</v>
      </c>
      <c r="K95" t="s">
        <v>228</v>
      </c>
      <c r="L95" t="s">
        <v>181</v>
      </c>
      <c r="M95" t="s">
        <v>212</v>
      </c>
      <c r="N95" t="s">
        <v>193</v>
      </c>
      <c r="O95" t="s">
        <v>194</v>
      </c>
    </row>
    <row r="96" spans="1:15" x14ac:dyDescent="0.25">
      <c r="A96" t="s">
        <v>176</v>
      </c>
      <c r="B96" t="s">
        <v>177</v>
      </c>
      <c r="C96" s="68">
        <v>46157</v>
      </c>
      <c r="D96">
        <v>23473</v>
      </c>
      <c r="E96">
        <v>12924516</v>
      </c>
      <c r="F96" t="s">
        <v>188</v>
      </c>
      <c r="G96" t="s">
        <v>184</v>
      </c>
      <c r="H96">
        <v>10000000</v>
      </c>
      <c r="I96" t="s">
        <v>185</v>
      </c>
      <c r="J96" t="s">
        <v>181</v>
      </c>
      <c r="K96" t="s">
        <v>186</v>
      </c>
      <c r="L96" t="s">
        <v>181</v>
      </c>
      <c r="M96" t="s">
        <v>187</v>
      </c>
      <c r="N96" t="s">
        <v>181</v>
      </c>
      <c r="O96" t="s">
        <v>181</v>
      </c>
    </row>
    <row r="97" spans="1:15" x14ac:dyDescent="0.25">
      <c r="A97" t="s">
        <v>176</v>
      </c>
      <c r="B97" t="s">
        <v>177</v>
      </c>
      <c r="C97" s="68">
        <v>46157</v>
      </c>
      <c r="D97">
        <v>23479</v>
      </c>
      <c r="E97">
        <v>29117288</v>
      </c>
      <c r="F97" t="s">
        <v>188</v>
      </c>
      <c r="G97" t="s">
        <v>221</v>
      </c>
      <c r="H97">
        <v>10000000</v>
      </c>
      <c r="I97" t="s">
        <v>205</v>
      </c>
      <c r="J97" t="s">
        <v>181</v>
      </c>
      <c r="K97" t="s">
        <v>206</v>
      </c>
      <c r="L97" t="s">
        <v>181</v>
      </c>
      <c r="M97" t="s">
        <v>222</v>
      </c>
      <c r="N97" t="s">
        <v>193</v>
      </c>
      <c r="O97" t="s">
        <v>194</v>
      </c>
    </row>
    <row r="98" spans="1:15" x14ac:dyDescent="0.25">
      <c r="A98" t="s">
        <v>176</v>
      </c>
      <c r="B98" t="s">
        <v>177</v>
      </c>
      <c r="C98" s="68">
        <v>46157</v>
      </c>
      <c r="D98">
        <v>23494</v>
      </c>
      <c r="E98">
        <v>4540</v>
      </c>
      <c r="F98" t="s">
        <v>188</v>
      </c>
      <c r="G98" t="s">
        <v>209</v>
      </c>
      <c r="H98">
        <v>891750</v>
      </c>
      <c r="I98" t="s">
        <v>213</v>
      </c>
      <c r="J98" t="s">
        <v>181</v>
      </c>
      <c r="K98" t="s">
        <v>214</v>
      </c>
      <c r="L98" t="s">
        <v>181</v>
      </c>
      <c r="M98" t="s">
        <v>212</v>
      </c>
      <c r="N98" t="s">
        <v>193</v>
      </c>
      <c r="O98" t="s">
        <v>194</v>
      </c>
    </row>
    <row r="99" spans="1:15" x14ac:dyDescent="0.25">
      <c r="A99" t="s">
        <v>176</v>
      </c>
      <c r="B99" t="s">
        <v>177</v>
      </c>
      <c r="C99" s="68">
        <v>46157</v>
      </c>
      <c r="D99">
        <v>23498</v>
      </c>
      <c r="E99">
        <v>4574</v>
      </c>
      <c r="F99" t="s">
        <v>188</v>
      </c>
      <c r="G99" t="s">
        <v>209</v>
      </c>
      <c r="H99">
        <v>1300000</v>
      </c>
      <c r="I99" t="s">
        <v>213</v>
      </c>
      <c r="J99" t="s">
        <v>181</v>
      </c>
      <c r="K99" t="s">
        <v>214</v>
      </c>
      <c r="L99" t="s">
        <v>181</v>
      </c>
      <c r="M99" t="s">
        <v>212</v>
      </c>
      <c r="N99" t="s">
        <v>193</v>
      </c>
      <c r="O99" t="s">
        <v>194</v>
      </c>
    </row>
    <row r="100" spans="1:15" x14ac:dyDescent="0.25">
      <c r="A100" t="s">
        <v>176</v>
      </c>
      <c r="B100" t="s">
        <v>177</v>
      </c>
      <c r="C100" s="68">
        <v>46157</v>
      </c>
      <c r="D100">
        <v>23549</v>
      </c>
      <c r="E100">
        <v>3360</v>
      </c>
      <c r="F100" t="s">
        <v>178</v>
      </c>
      <c r="G100" t="s">
        <v>179</v>
      </c>
      <c r="H100">
        <v>2190000</v>
      </c>
      <c r="I100" t="s">
        <v>205</v>
      </c>
      <c r="J100" t="s">
        <v>181</v>
      </c>
      <c r="K100" t="s">
        <v>206</v>
      </c>
      <c r="L100" t="s">
        <v>181</v>
      </c>
      <c r="M100" t="s">
        <v>183</v>
      </c>
      <c r="N100" t="s">
        <v>193</v>
      </c>
      <c r="O100" t="s">
        <v>194</v>
      </c>
    </row>
    <row r="101" spans="1:15" x14ac:dyDescent="0.25">
      <c r="A101" t="s">
        <v>176</v>
      </c>
      <c r="B101" t="s">
        <v>177</v>
      </c>
      <c r="C101" s="68">
        <v>46157</v>
      </c>
      <c r="D101">
        <v>23554</v>
      </c>
      <c r="E101">
        <v>78055883</v>
      </c>
      <c r="F101" t="s">
        <v>188</v>
      </c>
      <c r="G101" t="s">
        <v>195</v>
      </c>
      <c r="H101">
        <v>500000</v>
      </c>
      <c r="I101" t="s">
        <v>196</v>
      </c>
      <c r="J101" t="s">
        <v>181</v>
      </c>
      <c r="K101" t="s">
        <v>197</v>
      </c>
      <c r="L101" t="s">
        <v>181</v>
      </c>
      <c r="M101" t="s">
        <v>198</v>
      </c>
      <c r="N101" t="s">
        <v>193</v>
      </c>
      <c r="O101" t="s">
        <v>194</v>
      </c>
    </row>
    <row r="102" spans="1:15" x14ac:dyDescent="0.25">
      <c r="A102" t="s">
        <v>176</v>
      </c>
      <c r="B102" t="s">
        <v>177</v>
      </c>
      <c r="C102" s="68">
        <v>46157</v>
      </c>
      <c r="D102">
        <v>23561</v>
      </c>
      <c r="E102">
        <v>78055891</v>
      </c>
      <c r="F102" t="s">
        <v>188</v>
      </c>
      <c r="G102" t="s">
        <v>195</v>
      </c>
      <c r="H102">
        <v>890000</v>
      </c>
      <c r="I102" t="s">
        <v>196</v>
      </c>
      <c r="J102" t="s">
        <v>181</v>
      </c>
      <c r="K102" t="s">
        <v>197</v>
      </c>
      <c r="L102" t="s">
        <v>181</v>
      </c>
      <c r="M102" t="s">
        <v>198</v>
      </c>
      <c r="N102" t="s">
        <v>193</v>
      </c>
      <c r="O102" t="s">
        <v>194</v>
      </c>
    </row>
    <row r="103" spans="1:15" x14ac:dyDescent="0.25">
      <c r="A103" t="s">
        <v>176</v>
      </c>
      <c r="B103" t="s">
        <v>177</v>
      </c>
      <c r="C103" s="68">
        <v>46157</v>
      </c>
      <c r="D103">
        <v>23572</v>
      </c>
      <c r="E103">
        <v>122</v>
      </c>
      <c r="F103" t="s">
        <v>188</v>
      </c>
      <c r="G103" t="s">
        <v>209</v>
      </c>
      <c r="H103">
        <v>3000261.82</v>
      </c>
      <c r="I103" t="s">
        <v>242</v>
      </c>
      <c r="J103" t="s">
        <v>181</v>
      </c>
      <c r="K103" t="s">
        <v>243</v>
      </c>
      <c r="L103" t="s">
        <v>181</v>
      </c>
      <c r="M103" t="s">
        <v>212</v>
      </c>
      <c r="N103" t="s">
        <v>193</v>
      </c>
      <c r="O103" t="s">
        <v>194</v>
      </c>
    </row>
    <row r="104" spans="1:15" x14ac:dyDescent="0.25">
      <c r="A104" t="s">
        <v>176</v>
      </c>
      <c r="B104" t="s">
        <v>177</v>
      </c>
      <c r="C104" s="68">
        <v>46157</v>
      </c>
      <c r="D104">
        <v>23573</v>
      </c>
      <c r="E104">
        <v>123</v>
      </c>
      <c r="F104" t="s">
        <v>188</v>
      </c>
      <c r="G104" t="s">
        <v>209</v>
      </c>
      <c r="H104">
        <v>3870000</v>
      </c>
      <c r="I104" t="s">
        <v>242</v>
      </c>
      <c r="J104" t="s">
        <v>181</v>
      </c>
      <c r="K104" t="s">
        <v>243</v>
      </c>
      <c r="L104" t="s">
        <v>181</v>
      </c>
      <c r="M104" t="s">
        <v>212</v>
      </c>
      <c r="N104" t="s">
        <v>193</v>
      </c>
      <c r="O104" t="s">
        <v>194</v>
      </c>
    </row>
    <row r="105" spans="1:15" x14ac:dyDescent="0.25">
      <c r="A105" t="s">
        <v>176</v>
      </c>
      <c r="B105" t="s">
        <v>177</v>
      </c>
      <c r="C105" s="68">
        <v>46157</v>
      </c>
      <c r="D105">
        <v>23574</v>
      </c>
      <c r="E105">
        <v>124</v>
      </c>
      <c r="F105" t="s">
        <v>188</v>
      </c>
      <c r="G105" t="s">
        <v>209</v>
      </c>
      <c r="H105">
        <v>4000000</v>
      </c>
      <c r="I105" t="s">
        <v>242</v>
      </c>
      <c r="J105" t="s">
        <v>181</v>
      </c>
      <c r="K105" t="s">
        <v>243</v>
      </c>
      <c r="L105" t="s">
        <v>181</v>
      </c>
      <c r="M105" t="s">
        <v>212</v>
      </c>
      <c r="N105" t="s">
        <v>193</v>
      </c>
      <c r="O105" t="s">
        <v>194</v>
      </c>
    </row>
    <row r="106" spans="1:15" x14ac:dyDescent="0.25">
      <c r="A106" t="s">
        <v>176</v>
      </c>
      <c r="B106" t="s">
        <v>177</v>
      </c>
      <c r="C106" s="68">
        <v>46157</v>
      </c>
      <c r="D106">
        <v>23587</v>
      </c>
      <c r="E106">
        <v>66486728</v>
      </c>
      <c r="F106" t="s">
        <v>188</v>
      </c>
      <c r="G106" t="s">
        <v>199</v>
      </c>
      <c r="H106">
        <v>4528200</v>
      </c>
      <c r="I106" t="s">
        <v>200</v>
      </c>
      <c r="J106" t="s">
        <v>181</v>
      </c>
      <c r="K106" t="s">
        <v>201</v>
      </c>
      <c r="L106" t="s">
        <v>181</v>
      </c>
      <c r="M106" t="s">
        <v>202</v>
      </c>
      <c r="N106" t="s">
        <v>193</v>
      </c>
      <c r="O106" t="s">
        <v>194</v>
      </c>
    </row>
    <row r="107" spans="1:15" x14ac:dyDescent="0.25">
      <c r="A107" t="s">
        <v>176</v>
      </c>
      <c r="B107" t="s">
        <v>177</v>
      </c>
      <c r="C107" s="68">
        <v>46157</v>
      </c>
      <c r="D107">
        <v>23591</v>
      </c>
      <c r="E107">
        <v>61747694</v>
      </c>
      <c r="F107" t="s">
        <v>188</v>
      </c>
      <c r="G107" t="s">
        <v>199</v>
      </c>
      <c r="H107">
        <v>7365600</v>
      </c>
      <c r="I107" t="s">
        <v>231</v>
      </c>
      <c r="J107" t="s">
        <v>181</v>
      </c>
      <c r="K107" t="s">
        <v>232</v>
      </c>
      <c r="L107" t="s">
        <v>181</v>
      </c>
      <c r="M107" t="s">
        <v>202</v>
      </c>
      <c r="N107" t="s">
        <v>233</v>
      </c>
      <c r="O107" t="s">
        <v>181</v>
      </c>
    </row>
    <row r="108" spans="1:15" x14ac:dyDescent="0.25">
      <c r="A108" t="s">
        <v>176</v>
      </c>
      <c r="B108" t="s">
        <v>177</v>
      </c>
      <c r="C108" s="68">
        <v>46157</v>
      </c>
      <c r="D108">
        <v>23615</v>
      </c>
      <c r="E108">
        <v>4628</v>
      </c>
      <c r="F108" t="s">
        <v>188</v>
      </c>
      <c r="G108" t="s">
        <v>209</v>
      </c>
      <c r="H108">
        <v>1300000</v>
      </c>
      <c r="I108" t="s">
        <v>213</v>
      </c>
      <c r="J108" t="s">
        <v>181</v>
      </c>
      <c r="K108" t="s">
        <v>214</v>
      </c>
      <c r="L108" t="s">
        <v>181</v>
      </c>
      <c r="M108" t="s">
        <v>212</v>
      </c>
      <c r="N108" t="s">
        <v>193</v>
      </c>
      <c r="O108" t="s">
        <v>194</v>
      </c>
    </row>
    <row r="109" spans="1:15" x14ac:dyDescent="0.25">
      <c r="A109" t="s">
        <v>176</v>
      </c>
      <c r="B109" t="s">
        <v>177</v>
      </c>
      <c r="C109" s="68">
        <v>46160</v>
      </c>
      <c r="D109">
        <v>23265</v>
      </c>
      <c r="E109">
        <v>3436586</v>
      </c>
      <c r="F109" t="s">
        <v>188</v>
      </c>
      <c r="G109" t="s">
        <v>244</v>
      </c>
      <c r="H109">
        <v>1800000</v>
      </c>
      <c r="I109" t="s">
        <v>245</v>
      </c>
      <c r="J109" t="s">
        <v>181</v>
      </c>
      <c r="K109" t="s">
        <v>246</v>
      </c>
      <c r="L109" t="s">
        <v>181</v>
      </c>
      <c r="M109" t="s">
        <v>247</v>
      </c>
      <c r="N109" t="s">
        <v>193</v>
      </c>
      <c r="O109" t="s">
        <v>194</v>
      </c>
    </row>
    <row r="110" spans="1:15" x14ac:dyDescent="0.25">
      <c r="A110" t="s">
        <v>176</v>
      </c>
      <c r="B110" t="s">
        <v>177</v>
      </c>
      <c r="C110" s="68">
        <v>46160</v>
      </c>
      <c r="D110">
        <v>23266</v>
      </c>
      <c r="E110">
        <v>3436587</v>
      </c>
      <c r="F110" t="s">
        <v>188</v>
      </c>
      <c r="G110" t="s">
        <v>244</v>
      </c>
      <c r="H110">
        <v>1850000</v>
      </c>
      <c r="I110" t="s">
        <v>245</v>
      </c>
      <c r="J110" t="s">
        <v>181</v>
      </c>
      <c r="K110" t="s">
        <v>246</v>
      </c>
      <c r="L110" t="s">
        <v>181</v>
      </c>
      <c r="M110" t="s">
        <v>247</v>
      </c>
      <c r="N110" t="s">
        <v>193</v>
      </c>
      <c r="O110" t="s">
        <v>194</v>
      </c>
    </row>
    <row r="111" spans="1:15" x14ac:dyDescent="0.25">
      <c r="A111" t="s">
        <v>176</v>
      </c>
      <c r="B111" t="s">
        <v>177</v>
      </c>
      <c r="C111" s="68">
        <v>46160</v>
      </c>
      <c r="D111">
        <v>23429</v>
      </c>
      <c r="E111">
        <v>78055867</v>
      </c>
      <c r="F111" t="s">
        <v>188</v>
      </c>
      <c r="G111" t="s">
        <v>195</v>
      </c>
      <c r="H111">
        <v>1324500</v>
      </c>
      <c r="I111" t="s">
        <v>196</v>
      </c>
      <c r="J111" t="s">
        <v>181</v>
      </c>
      <c r="K111" t="s">
        <v>197</v>
      </c>
      <c r="L111" t="s">
        <v>181</v>
      </c>
      <c r="M111" t="s">
        <v>198</v>
      </c>
      <c r="N111" t="s">
        <v>193</v>
      </c>
      <c r="O111" t="s">
        <v>194</v>
      </c>
    </row>
    <row r="112" spans="1:15" x14ac:dyDescent="0.25">
      <c r="A112" t="s">
        <v>176</v>
      </c>
      <c r="B112" t="s">
        <v>177</v>
      </c>
      <c r="C112" s="68">
        <v>46160</v>
      </c>
      <c r="D112">
        <v>23453</v>
      </c>
      <c r="E112">
        <v>9487743</v>
      </c>
      <c r="F112" t="s">
        <v>188</v>
      </c>
      <c r="G112" t="s">
        <v>184</v>
      </c>
      <c r="H112">
        <v>12220447.59</v>
      </c>
      <c r="I112" t="s">
        <v>236</v>
      </c>
      <c r="J112" t="s">
        <v>181</v>
      </c>
      <c r="K112" t="s">
        <v>237</v>
      </c>
      <c r="L112" t="s">
        <v>181</v>
      </c>
      <c r="M112" t="s">
        <v>187</v>
      </c>
      <c r="N112" t="s">
        <v>193</v>
      </c>
      <c r="O112" t="s">
        <v>194</v>
      </c>
    </row>
    <row r="113" spans="1:15" x14ac:dyDescent="0.25">
      <c r="A113" t="s">
        <v>176</v>
      </c>
      <c r="B113" t="s">
        <v>177</v>
      </c>
      <c r="C113" s="68">
        <v>46160</v>
      </c>
      <c r="D113">
        <v>23474</v>
      </c>
      <c r="E113">
        <v>12924517</v>
      </c>
      <c r="F113" t="s">
        <v>188</v>
      </c>
      <c r="G113" t="s">
        <v>184</v>
      </c>
      <c r="H113">
        <v>7374980</v>
      </c>
      <c r="I113" t="s">
        <v>185</v>
      </c>
      <c r="J113" t="s">
        <v>181</v>
      </c>
      <c r="K113" t="s">
        <v>186</v>
      </c>
      <c r="L113" t="s">
        <v>181</v>
      </c>
      <c r="M113" t="s">
        <v>187</v>
      </c>
      <c r="N113" t="s">
        <v>181</v>
      </c>
      <c r="O113" t="s">
        <v>181</v>
      </c>
    </row>
    <row r="114" spans="1:15" x14ac:dyDescent="0.25">
      <c r="A114" t="s">
        <v>176</v>
      </c>
      <c r="B114" t="s">
        <v>177</v>
      </c>
      <c r="C114" s="68">
        <v>46160</v>
      </c>
      <c r="D114">
        <v>23499</v>
      </c>
      <c r="E114">
        <v>4575</v>
      </c>
      <c r="F114" t="s">
        <v>188</v>
      </c>
      <c r="G114" t="s">
        <v>209</v>
      </c>
      <c r="H114">
        <v>1300000</v>
      </c>
      <c r="I114" t="s">
        <v>213</v>
      </c>
      <c r="J114" t="s">
        <v>181</v>
      </c>
      <c r="K114" t="s">
        <v>214</v>
      </c>
      <c r="L114" t="s">
        <v>181</v>
      </c>
      <c r="M114" t="s">
        <v>212</v>
      </c>
      <c r="N114" t="s">
        <v>193</v>
      </c>
      <c r="O114" t="s">
        <v>194</v>
      </c>
    </row>
    <row r="115" spans="1:15" x14ac:dyDescent="0.25">
      <c r="A115" t="s">
        <v>176</v>
      </c>
      <c r="B115" t="s">
        <v>177</v>
      </c>
      <c r="C115" s="68">
        <v>46160</v>
      </c>
      <c r="D115">
        <v>23502</v>
      </c>
      <c r="E115">
        <v>674</v>
      </c>
      <c r="F115" t="s">
        <v>188</v>
      </c>
      <c r="G115" t="s">
        <v>240</v>
      </c>
      <c r="H115">
        <v>4500000</v>
      </c>
      <c r="I115" t="s">
        <v>238</v>
      </c>
      <c r="J115" t="s">
        <v>181</v>
      </c>
      <c r="K115" t="s">
        <v>239</v>
      </c>
      <c r="L115" t="s">
        <v>181</v>
      </c>
      <c r="M115" t="s">
        <v>241</v>
      </c>
      <c r="N115" t="s">
        <v>193</v>
      </c>
      <c r="O115" t="s">
        <v>194</v>
      </c>
    </row>
    <row r="116" spans="1:15" x14ac:dyDescent="0.25">
      <c r="A116" t="s">
        <v>176</v>
      </c>
      <c r="B116" t="s">
        <v>177</v>
      </c>
      <c r="C116" s="68">
        <v>46160</v>
      </c>
      <c r="D116">
        <v>23503</v>
      </c>
      <c r="E116">
        <v>675</v>
      </c>
      <c r="F116" t="s">
        <v>188</v>
      </c>
      <c r="G116" t="s">
        <v>209</v>
      </c>
      <c r="H116">
        <v>4500000</v>
      </c>
      <c r="I116" t="s">
        <v>238</v>
      </c>
      <c r="J116" t="s">
        <v>181</v>
      </c>
      <c r="K116" t="s">
        <v>239</v>
      </c>
      <c r="L116" t="s">
        <v>181</v>
      </c>
      <c r="M116" t="s">
        <v>212</v>
      </c>
      <c r="N116" t="s">
        <v>193</v>
      </c>
      <c r="O116" t="s">
        <v>194</v>
      </c>
    </row>
    <row r="117" spans="1:15" x14ac:dyDescent="0.25">
      <c r="A117" t="s">
        <v>176</v>
      </c>
      <c r="B117" t="s">
        <v>177</v>
      </c>
      <c r="C117" s="68">
        <v>46160</v>
      </c>
      <c r="D117">
        <v>23504</v>
      </c>
      <c r="E117">
        <v>676</v>
      </c>
      <c r="F117" t="s">
        <v>188</v>
      </c>
      <c r="G117" t="s">
        <v>209</v>
      </c>
      <c r="H117">
        <v>3724600</v>
      </c>
      <c r="I117" t="s">
        <v>238</v>
      </c>
      <c r="J117" t="s">
        <v>181</v>
      </c>
      <c r="K117" t="s">
        <v>239</v>
      </c>
      <c r="L117" t="s">
        <v>181</v>
      </c>
      <c r="M117" t="s">
        <v>212</v>
      </c>
      <c r="N117" t="s">
        <v>193</v>
      </c>
      <c r="O117" t="s">
        <v>194</v>
      </c>
    </row>
    <row r="118" spans="1:15" x14ac:dyDescent="0.25">
      <c r="A118" t="s">
        <v>176</v>
      </c>
      <c r="B118" t="s">
        <v>177</v>
      </c>
      <c r="C118" s="68">
        <v>46160</v>
      </c>
      <c r="D118">
        <v>23505</v>
      </c>
      <c r="E118">
        <v>677</v>
      </c>
      <c r="F118" t="s">
        <v>188</v>
      </c>
      <c r="G118" t="s">
        <v>209</v>
      </c>
      <c r="H118">
        <v>4500000</v>
      </c>
      <c r="I118" t="s">
        <v>238</v>
      </c>
      <c r="J118" t="s">
        <v>181</v>
      </c>
      <c r="K118" t="s">
        <v>239</v>
      </c>
      <c r="L118" t="s">
        <v>181</v>
      </c>
      <c r="M118" t="s">
        <v>212</v>
      </c>
      <c r="N118" t="s">
        <v>193</v>
      </c>
      <c r="O118" t="s">
        <v>194</v>
      </c>
    </row>
    <row r="119" spans="1:15" x14ac:dyDescent="0.25">
      <c r="A119" t="s">
        <v>176</v>
      </c>
      <c r="B119" t="s">
        <v>177</v>
      </c>
      <c r="C119" s="68">
        <v>46160</v>
      </c>
      <c r="D119">
        <v>23510</v>
      </c>
      <c r="E119">
        <v>66288756</v>
      </c>
      <c r="F119" t="s">
        <v>188</v>
      </c>
      <c r="G119" t="s">
        <v>199</v>
      </c>
      <c r="H119">
        <v>10766250</v>
      </c>
      <c r="I119" t="s">
        <v>234</v>
      </c>
      <c r="J119" t="s">
        <v>181</v>
      </c>
      <c r="K119" t="s">
        <v>235</v>
      </c>
      <c r="L119" t="s">
        <v>181</v>
      </c>
      <c r="M119" t="s">
        <v>202</v>
      </c>
      <c r="N119" t="s">
        <v>193</v>
      </c>
      <c r="O119" t="s">
        <v>194</v>
      </c>
    </row>
    <row r="120" spans="1:15" x14ac:dyDescent="0.25">
      <c r="A120" t="s">
        <v>176</v>
      </c>
      <c r="B120" t="s">
        <v>177</v>
      </c>
      <c r="C120" s="68">
        <v>46160</v>
      </c>
      <c r="D120">
        <v>23511</v>
      </c>
      <c r="E120">
        <v>66288779</v>
      </c>
      <c r="F120" t="s">
        <v>188</v>
      </c>
      <c r="G120" t="s">
        <v>199</v>
      </c>
      <c r="H120">
        <v>9000000</v>
      </c>
      <c r="I120" t="s">
        <v>234</v>
      </c>
      <c r="J120" t="s">
        <v>181</v>
      </c>
      <c r="K120" t="s">
        <v>235</v>
      </c>
      <c r="L120" t="s">
        <v>181</v>
      </c>
      <c r="M120" t="s">
        <v>202</v>
      </c>
      <c r="N120" t="s">
        <v>193</v>
      </c>
      <c r="O120" t="s">
        <v>194</v>
      </c>
    </row>
    <row r="121" spans="1:15" x14ac:dyDescent="0.25">
      <c r="A121" t="s">
        <v>176</v>
      </c>
      <c r="B121" t="s">
        <v>177</v>
      </c>
      <c r="C121" s="68">
        <v>46160</v>
      </c>
      <c r="D121">
        <v>23514</v>
      </c>
      <c r="E121">
        <v>29133200</v>
      </c>
      <c r="F121" t="s">
        <v>188</v>
      </c>
      <c r="G121" t="s">
        <v>221</v>
      </c>
      <c r="H121">
        <v>9455600</v>
      </c>
      <c r="I121" t="s">
        <v>223</v>
      </c>
      <c r="J121" t="s">
        <v>181</v>
      </c>
      <c r="K121" t="s">
        <v>224</v>
      </c>
      <c r="L121" t="s">
        <v>181</v>
      </c>
      <c r="M121" t="s">
        <v>222</v>
      </c>
      <c r="N121" t="s">
        <v>193</v>
      </c>
      <c r="O121" t="s">
        <v>194</v>
      </c>
    </row>
    <row r="122" spans="1:15" x14ac:dyDescent="0.25">
      <c r="A122" t="s">
        <v>176</v>
      </c>
      <c r="B122" t="s">
        <v>177</v>
      </c>
      <c r="C122" s="68">
        <v>46160</v>
      </c>
      <c r="D122">
        <v>23531</v>
      </c>
      <c r="E122">
        <v>4960</v>
      </c>
      <c r="F122" t="s">
        <v>188</v>
      </c>
      <c r="G122" t="s">
        <v>195</v>
      </c>
      <c r="H122">
        <v>1864135</v>
      </c>
      <c r="I122" t="s">
        <v>215</v>
      </c>
      <c r="J122" t="s">
        <v>181</v>
      </c>
      <c r="K122" t="s">
        <v>216</v>
      </c>
      <c r="L122" t="s">
        <v>181</v>
      </c>
      <c r="M122" t="s">
        <v>198</v>
      </c>
      <c r="N122" t="s">
        <v>193</v>
      </c>
      <c r="O122" t="s">
        <v>194</v>
      </c>
    </row>
    <row r="123" spans="1:15" x14ac:dyDescent="0.25">
      <c r="A123" t="s">
        <v>176</v>
      </c>
      <c r="B123" t="s">
        <v>177</v>
      </c>
      <c r="C123" s="68">
        <v>46160</v>
      </c>
      <c r="D123">
        <v>23555</v>
      </c>
      <c r="E123">
        <v>78055884</v>
      </c>
      <c r="F123" t="s">
        <v>188</v>
      </c>
      <c r="G123" t="s">
        <v>195</v>
      </c>
      <c r="H123">
        <v>500000</v>
      </c>
      <c r="I123" t="s">
        <v>196</v>
      </c>
      <c r="J123" t="s">
        <v>181</v>
      </c>
      <c r="K123" t="s">
        <v>197</v>
      </c>
      <c r="L123" t="s">
        <v>181</v>
      </c>
      <c r="M123" t="s">
        <v>198</v>
      </c>
      <c r="N123" t="s">
        <v>193</v>
      </c>
      <c r="O123" t="s">
        <v>194</v>
      </c>
    </row>
    <row r="124" spans="1:15" x14ac:dyDescent="0.25">
      <c r="A124" t="s">
        <v>176</v>
      </c>
      <c r="B124" t="s">
        <v>177</v>
      </c>
      <c r="C124" s="68">
        <v>46160</v>
      </c>
      <c r="D124">
        <v>23562</v>
      </c>
      <c r="E124">
        <v>78055892</v>
      </c>
      <c r="F124" t="s">
        <v>188</v>
      </c>
      <c r="G124" t="s">
        <v>195</v>
      </c>
      <c r="H124">
        <v>890000</v>
      </c>
      <c r="I124" t="s">
        <v>196</v>
      </c>
      <c r="J124" t="s">
        <v>181</v>
      </c>
      <c r="K124" t="s">
        <v>197</v>
      </c>
      <c r="L124" t="s">
        <v>181</v>
      </c>
      <c r="M124" t="s">
        <v>198</v>
      </c>
      <c r="N124" t="s">
        <v>193</v>
      </c>
      <c r="O124" t="s">
        <v>194</v>
      </c>
    </row>
    <row r="125" spans="1:15" x14ac:dyDescent="0.25">
      <c r="A125" t="s">
        <v>176</v>
      </c>
      <c r="B125" t="s">
        <v>177</v>
      </c>
      <c r="C125" s="68">
        <v>46160</v>
      </c>
      <c r="D125">
        <v>23577</v>
      </c>
      <c r="E125">
        <v>125</v>
      </c>
      <c r="F125" t="s">
        <v>188</v>
      </c>
      <c r="G125" t="s">
        <v>209</v>
      </c>
      <c r="H125">
        <v>3000314.05</v>
      </c>
      <c r="I125" t="s">
        <v>242</v>
      </c>
      <c r="J125" t="s">
        <v>181</v>
      </c>
      <c r="K125" t="s">
        <v>243</v>
      </c>
      <c r="L125" t="s">
        <v>181</v>
      </c>
      <c r="M125" t="s">
        <v>212</v>
      </c>
      <c r="N125" t="s">
        <v>193</v>
      </c>
      <c r="O125" t="s">
        <v>194</v>
      </c>
    </row>
    <row r="126" spans="1:15" x14ac:dyDescent="0.25">
      <c r="A126" t="s">
        <v>176</v>
      </c>
      <c r="B126" t="s">
        <v>177</v>
      </c>
      <c r="C126" s="68">
        <v>46160</v>
      </c>
      <c r="D126">
        <v>23578</v>
      </c>
      <c r="E126">
        <v>126</v>
      </c>
      <c r="F126" t="s">
        <v>188</v>
      </c>
      <c r="G126" t="s">
        <v>209</v>
      </c>
      <c r="H126">
        <v>3500000</v>
      </c>
      <c r="I126" t="s">
        <v>242</v>
      </c>
      <c r="J126" t="s">
        <v>181</v>
      </c>
      <c r="K126" t="s">
        <v>243</v>
      </c>
      <c r="L126" t="s">
        <v>181</v>
      </c>
      <c r="M126" t="s">
        <v>212</v>
      </c>
      <c r="N126" t="s">
        <v>193</v>
      </c>
      <c r="O126" t="s">
        <v>194</v>
      </c>
    </row>
    <row r="127" spans="1:15" x14ac:dyDescent="0.25">
      <c r="A127" t="s">
        <v>176</v>
      </c>
      <c r="B127" t="s">
        <v>177</v>
      </c>
      <c r="C127" s="68">
        <v>46160</v>
      </c>
      <c r="D127">
        <v>23579</v>
      </c>
      <c r="E127">
        <v>127</v>
      </c>
      <c r="F127" t="s">
        <v>188</v>
      </c>
      <c r="G127" t="s">
        <v>209</v>
      </c>
      <c r="H127">
        <v>3024000</v>
      </c>
      <c r="I127" t="s">
        <v>242</v>
      </c>
      <c r="J127" t="s">
        <v>181</v>
      </c>
      <c r="K127" t="s">
        <v>243</v>
      </c>
      <c r="L127" t="s">
        <v>181</v>
      </c>
      <c r="M127" t="s">
        <v>212</v>
      </c>
      <c r="N127" t="s">
        <v>193</v>
      </c>
      <c r="O127" t="s">
        <v>194</v>
      </c>
    </row>
    <row r="128" spans="1:15" x14ac:dyDescent="0.25">
      <c r="A128" t="s">
        <v>176</v>
      </c>
      <c r="B128" t="s">
        <v>177</v>
      </c>
      <c r="C128" s="68">
        <v>46160</v>
      </c>
      <c r="D128">
        <v>23580</v>
      </c>
      <c r="E128">
        <v>128</v>
      </c>
      <c r="F128" t="s">
        <v>188</v>
      </c>
      <c r="G128" t="s">
        <v>209</v>
      </c>
      <c r="H128">
        <v>2000000</v>
      </c>
      <c r="I128" t="s">
        <v>242</v>
      </c>
      <c r="J128" t="s">
        <v>181</v>
      </c>
      <c r="K128" t="s">
        <v>243</v>
      </c>
      <c r="L128" t="s">
        <v>181</v>
      </c>
      <c r="M128" t="s">
        <v>212</v>
      </c>
      <c r="N128" t="s">
        <v>193</v>
      </c>
      <c r="O128" t="s">
        <v>194</v>
      </c>
    </row>
    <row r="129" spans="1:15" x14ac:dyDescent="0.25">
      <c r="A129" t="s">
        <v>176</v>
      </c>
      <c r="B129" t="s">
        <v>177</v>
      </c>
      <c r="C129" s="68">
        <v>46160</v>
      </c>
      <c r="D129">
        <v>23584</v>
      </c>
      <c r="E129">
        <v>66612046</v>
      </c>
      <c r="F129" t="s">
        <v>188</v>
      </c>
      <c r="G129" t="s">
        <v>199</v>
      </c>
      <c r="H129">
        <v>13057192.01</v>
      </c>
      <c r="I129" t="s">
        <v>234</v>
      </c>
      <c r="J129" t="s">
        <v>181</v>
      </c>
      <c r="K129" t="s">
        <v>235</v>
      </c>
      <c r="L129" t="s">
        <v>181</v>
      </c>
      <c r="M129" t="s">
        <v>202</v>
      </c>
      <c r="N129" t="s">
        <v>193</v>
      </c>
      <c r="O129" t="s">
        <v>194</v>
      </c>
    </row>
    <row r="130" spans="1:15" x14ac:dyDescent="0.25">
      <c r="A130" t="s">
        <v>176</v>
      </c>
      <c r="B130" t="s">
        <v>177</v>
      </c>
      <c r="C130" s="68">
        <v>46160</v>
      </c>
      <c r="D130">
        <v>23597</v>
      </c>
      <c r="E130">
        <v>78055898</v>
      </c>
      <c r="F130" t="s">
        <v>188</v>
      </c>
      <c r="G130" t="s">
        <v>195</v>
      </c>
      <c r="H130">
        <v>960000</v>
      </c>
      <c r="I130" t="s">
        <v>196</v>
      </c>
      <c r="J130" t="s">
        <v>181</v>
      </c>
      <c r="K130" t="s">
        <v>197</v>
      </c>
      <c r="L130" t="s">
        <v>181</v>
      </c>
      <c r="M130" t="s">
        <v>198</v>
      </c>
      <c r="N130" t="s">
        <v>193</v>
      </c>
      <c r="O130" t="s">
        <v>194</v>
      </c>
    </row>
    <row r="131" spans="1:15" x14ac:dyDescent="0.25">
      <c r="A131" t="s">
        <v>176</v>
      </c>
      <c r="B131" t="s">
        <v>177</v>
      </c>
      <c r="C131" s="68">
        <v>46160</v>
      </c>
      <c r="D131">
        <v>23607</v>
      </c>
      <c r="E131">
        <v>90018038</v>
      </c>
      <c r="F131" t="s">
        <v>188</v>
      </c>
      <c r="G131" t="s">
        <v>217</v>
      </c>
      <c r="H131">
        <v>9684400</v>
      </c>
      <c r="I131" t="s">
        <v>218</v>
      </c>
      <c r="J131" t="s">
        <v>181</v>
      </c>
      <c r="K131" t="s">
        <v>219</v>
      </c>
      <c r="L131" t="s">
        <v>181</v>
      </c>
      <c r="M131" t="s">
        <v>220</v>
      </c>
      <c r="N131" t="s">
        <v>193</v>
      </c>
      <c r="O131" t="s">
        <v>194</v>
      </c>
    </row>
    <row r="132" spans="1:15" x14ac:dyDescent="0.25">
      <c r="A132" t="s">
        <v>176</v>
      </c>
      <c r="B132" t="s">
        <v>177</v>
      </c>
      <c r="C132" s="68">
        <v>46160</v>
      </c>
      <c r="D132">
        <v>23616</v>
      </c>
      <c r="E132">
        <v>4629</v>
      </c>
      <c r="F132" t="s">
        <v>188</v>
      </c>
      <c r="G132" t="s">
        <v>209</v>
      </c>
      <c r="H132">
        <v>1300000</v>
      </c>
      <c r="I132" t="s">
        <v>213</v>
      </c>
      <c r="J132" t="s">
        <v>181</v>
      </c>
      <c r="K132" t="s">
        <v>214</v>
      </c>
      <c r="L132" t="s">
        <v>181</v>
      </c>
      <c r="M132" t="s">
        <v>212</v>
      </c>
      <c r="N132" t="s">
        <v>193</v>
      </c>
      <c r="O132" t="s">
        <v>194</v>
      </c>
    </row>
    <row r="133" spans="1:15" x14ac:dyDescent="0.25">
      <c r="A133" t="s">
        <v>176</v>
      </c>
      <c r="B133" t="s">
        <v>177</v>
      </c>
      <c r="C133" s="68">
        <v>46161</v>
      </c>
      <c r="D133">
        <v>23431</v>
      </c>
      <c r="E133">
        <v>29057186</v>
      </c>
      <c r="F133" t="s">
        <v>188</v>
      </c>
      <c r="G133" t="s">
        <v>221</v>
      </c>
      <c r="H133">
        <v>30901040</v>
      </c>
      <c r="I133" t="s">
        <v>223</v>
      </c>
      <c r="J133" t="s">
        <v>181</v>
      </c>
      <c r="K133" t="s">
        <v>224</v>
      </c>
      <c r="L133" t="s">
        <v>181</v>
      </c>
      <c r="M133" t="s">
        <v>222</v>
      </c>
      <c r="N133" t="s">
        <v>193</v>
      </c>
      <c r="O133" t="s">
        <v>194</v>
      </c>
    </row>
    <row r="134" spans="1:15" x14ac:dyDescent="0.25">
      <c r="A134" t="s">
        <v>176</v>
      </c>
      <c r="B134" t="s">
        <v>177</v>
      </c>
      <c r="C134" s="68">
        <v>46161</v>
      </c>
      <c r="D134">
        <v>23478</v>
      </c>
      <c r="E134">
        <v>29117287</v>
      </c>
      <c r="F134" t="s">
        <v>188</v>
      </c>
      <c r="G134" t="s">
        <v>221</v>
      </c>
      <c r="H134">
        <v>10216372.48</v>
      </c>
      <c r="I134" t="s">
        <v>205</v>
      </c>
      <c r="J134" t="s">
        <v>181</v>
      </c>
      <c r="K134" t="s">
        <v>206</v>
      </c>
      <c r="L134" t="s">
        <v>181</v>
      </c>
      <c r="M134" t="s">
        <v>222</v>
      </c>
      <c r="N134" t="s">
        <v>193</v>
      </c>
      <c r="O134" t="s">
        <v>194</v>
      </c>
    </row>
    <row r="135" spans="1:15" x14ac:dyDescent="0.25">
      <c r="A135" t="s">
        <v>176</v>
      </c>
      <c r="B135" t="s">
        <v>177</v>
      </c>
      <c r="C135" s="68">
        <v>46161</v>
      </c>
      <c r="D135">
        <v>23482</v>
      </c>
      <c r="E135">
        <v>9583076</v>
      </c>
      <c r="F135" t="s">
        <v>188</v>
      </c>
      <c r="G135" t="s">
        <v>184</v>
      </c>
      <c r="H135">
        <v>11530750</v>
      </c>
      <c r="I135" t="s">
        <v>203</v>
      </c>
      <c r="J135" t="s">
        <v>181</v>
      </c>
      <c r="K135" t="s">
        <v>204</v>
      </c>
      <c r="L135" t="s">
        <v>181</v>
      </c>
      <c r="M135" t="s">
        <v>187</v>
      </c>
      <c r="N135" t="s">
        <v>193</v>
      </c>
      <c r="O135" t="s">
        <v>194</v>
      </c>
    </row>
    <row r="136" spans="1:15" x14ac:dyDescent="0.25">
      <c r="A136" t="s">
        <v>176</v>
      </c>
      <c r="B136" t="s">
        <v>177</v>
      </c>
      <c r="C136" s="68">
        <v>46161</v>
      </c>
      <c r="D136">
        <v>23500</v>
      </c>
      <c r="E136">
        <v>4576</v>
      </c>
      <c r="F136" t="s">
        <v>188</v>
      </c>
      <c r="G136" t="s">
        <v>209</v>
      </c>
      <c r="H136">
        <v>949750</v>
      </c>
      <c r="I136" t="s">
        <v>213</v>
      </c>
      <c r="J136" t="s">
        <v>181</v>
      </c>
      <c r="K136" t="s">
        <v>214</v>
      </c>
      <c r="L136" t="s">
        <v>181</v>
      </c>
      <c r="M136" t="s">
        <v>212</v>
      </c>
      <c r="N136" t="s">
        <v>193</v>
      </c>
      <c r="O136" t="s">
        <v>194</v>
      </c>
    </row>
    <row r="137" spans="1:15" x14ac:dyDescent="0.25">
      <c r="A137" t="s">
        <v>176</v>
      </c>
      <c r="B137" t="s">
        <v>177</v>
      </c>
      <c r="C137" s="68">
        <v>46161</v>
      </c>
      <c r="D137">
        <v>23556</v>
      </c>
      <c r="E137">
        <v>78055885</v>
      </c>
      <c r="F137" t="s">
        <v>188</v>
      </c>
      <c r="G137" t="s">
        <v>195</v>
      </c>
      <c r="H137">
        <v>500000</v>
      </c>
      <c r="I137" t="s">
        <v>196</v>
      </c>
      <c r="J137" t="s">
        <v>181</v>
      </c>
      <c r="K137" t="s">
        <v>197</v>
      </c>
      <c r="L137" t="s">
        <v>181</v>
      </c>
      <c r="M137" t="s">
        <v>198</v>
      </c>
      <c r="N137" t="s">
        <v>193</v>
      </c>
      <c r="O137" t="s">
        <v>194</v>
      </c>
    </row>
    <row r="138" spans="1:15" x14ac:dyDescent="0.25">
      <c r="A138" t="s">
        <v>176</v>
      </c>
      <c r="B138" t="s">
        <v>177</v>
      </c>
      <c r="C138" s="68">
        <v>46161</v>
      </c>
      <c r="D138">
        <v>23563</v>
      </c>
      <c r="E138">
        <v>78055893</v>
      </c>
      <c r="F138" t="s">
        <v>188</v>
      </c>
      <c r="G138" t="s">
        <v>195</v>
      </c>
      <c r="H138">
        <v>890000</v>
      </c>
      <c r="I138" t="s">
        <v>196</v>
      </c>
      <c r="J138" t="s">
        <v>181</v>
      </c>
      <c r="K138" t="s">
        <v>197</v>
      </c>
      <c r="L138" t="s">
        <v>181</v>
      </c>
      <c r="M138" t="s">
        <v>198</v>
      </c>
      <c r="N138" t="s">
        <v>193</v>
      </c>
      <c r="O138" t="s">
        <v>194</v>
      </c>
    </row>
    <row r="139" spans="1:15" x14ac:dyDescent="0.25">
      <c r="A139" t="s">
        <v>176</v>
      </c>
      <c r="B139" t="s">
        <v>177</v>
      </c>
      <c r="C139" s="68">
        <v>46161</v>
      </c>
      <c r="D139">
        <v>23598</v>
      </c>
      <c r="E139">
        <v>78055899</v>
      </c>
      <c r="F139" t="s">
        <v>188</v>
      </c>
      <c r="G139" t="s">
        <v>195</v>
      </c>
      <c r="H139">
        <v>960000</v>
      </c>
      <c r="I139" t="s">
        <v>196</v>
      </c>
      <c r="J139" t="s">
        <v>181</v>
      </c>
      <c r="K139" t="s">
        <v>197</v>
      </c>
      <c r="L139" t="s">
        <v>181</v>
      </c>
      <c r="M139" t="s">
        <v>198</v>
      </c>
      <c r="N139" t="s">
        <v>193</v>
      </c>
      <c r="O139" t="s">
        <v>194</v>
      </c>
    </row>
    <row r="140" spans="1:15" x14ac:dyDescent="0.25">
      <c r="A140" t="s">
        <v>176</v>
      </c>
      <c r="B140" t="s">
        <v>177</v>
      </c>
      <c r="C140" s="68">
        <v>46161</v>
      </c>
      <c r="D140">
        <v>23617</v>
      </c>
      <c r="E140">
        <v>4630</v>
      </c>
      <c r="F140" t="s">
        <v>188</v>
      </c>
      <c r="G140" t="s">
        <v>209</v>
      </c>
      <c r="H140">
        <v>1300000</v>
      </c>
      <c r="I140" t="s">
        <v>213</v>
      </c>
      <c r="J140" t="s">
        <v>181</v>
      </c>
      <c r="K140" t="s">
        <v>214</v>
      </c>
      <c r="L140" t="s">
        <v>181</v>
      </c>
      <c r="M140" t="s">
        <v>212</v>
      </c>
      <c r="N140" t="s">
        <v>193</v>
      </c>
      <c r="O140" t="s">
        <v>194</v>
      </c>
    </row>
    <row r="141" spans="1:15" x14ac:dyDescent="0.25">
      <c r="A141" t="s">
        <v>176</v>
      </c>
      <c r="B141" t="s">
        <v>177</v>
      </c>
      <c r="C141" s="68">
        <v>46162</v>
      </c>
      <c r="D141">
        <v>23582</v>
      </c>
      <c r="E141">
        <v>1368</v>
      </c>
      <c r="F141" t="s">
        <v>188</v>
      </c>
      <c r="G141" t="s">
        <v>209</v>
      </c>
      <c r="H141">
        <v>26000000</v>
      </c>
      <c r="I141" t="s">
        <v>210</v>
      </c>
      <c r="J141" t="s">
        <v>181</v>
      </c>
      <c r="K141" t="s">
        <v>211</v>
      </c>
      <c r="L141" t="s">
        <v>181</v>
      </c>
      <c r="M141" t="s">
        <v>212</v>
      </c>
      <c r="N141" t="s">
        <v>193</v>
      </c>
      <c r="O141" t="s">
        <v>194</v>
      </c>
    </row>
    <row r="142" spans="1:15" x14ac:dyDescent="0.25">
      <c r="A142" t="s">
        <v>176</v>
      </c>
      <c r="B142" t="s">
        <v>177</v>
      </c>
      <c r="C142" s="68">
        <v>46162</v>
      </c>
      <c r="D142">
        <v>23586</v>
      </c>
      <c r="E142">
        <v>66486598</v>
      </c>
      <c r="F142" t="s">
        <v>188</v>
      </c>
      <c r="G142" t="s">
        <v>199</v>
      </c>
      <c r="H142">
        <v>5000000</v>
      </c>
      <c r="I142" t="s">
        <v>200</v>
      </c>
      <c r="J142" t="s">
        <v>181</v>
      </c>
      <c r="K142" t="s">
        <v>201</v>
      </c>
      <c r="L142" t="s">
        <v>181</v>
      </c>
      <c r="M142" t="s">
        <v>202</v>
      </c>
      <c r="N142" t="s">
        <v>193</v>
      </c>
      <c r="O142" t="s">
        <v>194</v>
      </c>
    </row>
    <row r="143" spans="1:15" x14ac:dyDescent="0.25">
      <c r="A143" t="s">
        <v>176</v>
      </c>
      <c r="B143" t="s">
        <v>177</v>
      </c>
      <c r="C143" s="68">
        <v>46162</v>
      </c>
      <c r="D143">
        <v>23618</v>
      </c>
      <c r="E143">
        <v>4631</v>
      </c>
      <c r="F143" t="s">
        <v>188</v>
      </c>
      <c r="G143" t="s">
        <v>209</v>
      </c>
      <c r="H143">
        <v>1300000</v>
      </c>
      <c r="I143" t="s">
        <v>213</v>
      </c>
      <c r="J143" t="s">
        <v>181</v>
      </c>
      <c r="K143" t="s">
        <v>214</v>
      </c>
      <c r="L143" t="s">
        <v>181</v>
      </c>
      <c r="M143" t="s">
        <v>212</v>
      </c>
      <c r="N143" t="s">
        <v>193</v>
      </c>
      <c r="O143" t="s">
        <v>194</v>
      </c>
    </row>
    <row r="144" spans="1:15" x14ac:dyDescent="0.25">
      <c r="A144" t="s">
        <v>176</v>
      </c>
      <c r="B144" t="s">
        <v>177</v>
      </c>
      <c r="C144" s="68">
        <v>46163</v>
      </c>
      <c r="D144">
        <v>23532</v>
      </c>
      <c r="E144">
        <v>1</v>
      </c>
      <c r="F144" t="s">
        <v>188</v>
      </c>
      <c r="G144" t="s">
        <v>179</v>
      </c>
      <c r="H144">
        <v>14034570</v>
      </c>
      <c r="I144" t="s">
        <v>203</v>
      </c>
      <c r="J144" t="s">
        <v>181</v>
      </c>
      <c r="K144" t="s">
        <v>204</v>
      </c>
      <c r="L144" t="s">
        <v>181</v>
      </c>
      <c r="M144" t="s">
        <v>183</v>
      </c>
      <c r="N144" t="s">
        <v>193</v>
      </c>
      <c r="O144" t="s">
        <v>194</v>
      </c>
    </row>
    <row r="145" spans="1:15" x14ac:dyDescent="0.25">
      <c r="A145" t="s">
        <v>176</v>
      </c>
      <c r="B145" t="s">
        <v>177</v>
      </c>
      <c r="C145" s="68">
        <v>46163</v>
      </c>
      <c r="D145">
        <v>23533</v>
      </c>
      <c r="E145">
        <v>13378069</v>
      </c>
      <c r="F145" t="s">
        <v>188</v>
      </c>
      <c r="G145" t="s">
        <v>189</v>
      </c>
      <c r="H145">
        <v>2465900</v>
      </c>
      <c r="I145" t="s">
        <v>190</v>
      </c>
      <c r="J145" t="s">
        <v>181</v>
      </c>
      <c r="K145" t="s">
        <v>191</v>
      </c>
      <c r="L145" t="s">
        <v>181</v>
      </c>
      <c r="M145" t="s">
        <v>192</v>
      </c>
      <c r="N145" t="s">
        <v>193</v>
      </c>
      <c r="O145" t="s">
        <v>194</v>
      </c>
    </row>
    <row r="146" spans="1:15" x14ac:dyDescent="0.25">
      <c r="A146" t="s">
        <v>176</v>
      </c>
      <c r="B146" t="s">
        <v>177</v>
      </c>
      <c r="C146" s="68">
        <v>46163</v>
      </c>
      <c r="D146">
        <v>23557</v>
      </c>
      <c r="E146">
        <v>78055886</v>
      </c>
      <c r="F146" t="s">
        <v>188</v>
      </c>
      <c r="G146" t="s">
        <v>195</v>
      </c>
      <c r="H146">
        <v>500000</v>
      </c>
      <c r="I146" t="s">
        <v>196</v>
      </c>
      <c r="J146" t="s">
        <v>181</v>
      </c>
      <c r="K146" t="s">
        <v>197</v>
      </c>
      <c r="L146" t="s">
        <v>181</v>
      </c>
      <c r="M146" t="s">
        <v>198</v>
      </c>
      <c r="N146" t="s">
        <v>193</v>
      </c>
      <c r="O146" t="s">
        <v>194</v>
      </c>
    </row>
    <row r="147" spans="1:15" x14ac:dyDescent="0.25">
      <c r="A147" t="s">
        <v>176</v>
      </c>
      <c r="B147" t="s">
        <v>177</v>
      </c>
      <c r="C147" s="68">
        <v>46163</v>
      </c>
      <c r="D147">
        <v>23564</v>
      </c>
      <c r="E147">
        <v>78055894</v>
      </c>
      <c r="F147" t="s">
        <v>188</v>
      </c>
      <c r="G147" t="s">
        <v>195</v>
      </c>
      <c r="H147">
        <v>890000</v>
      </c>
      <c r="I147" t="s">
        <v>196</v>
      </c>
      <c r="J147" t="s">
        <v>181</v>
      </c>
      <c r="K147" t="s">
        <v>197</v>
      </c>
      <c r="L147" t="s">
        <v>181</v>
      </c>
      <c r="M147" t="s">
        <v>198</v>
      </c>
      <c r="N147" t="s">
        <v>193</v>
      </c>
      <c r="O147" t="s">
        <v>194</v>
      </c>
    </row>
    <row r="148" spans="1:15" x14ac:dyDescent="0.25">
      <c r="A148" t="s">
        <v>176</v>
      </c>
      <c r="B148" t="s">
        <v>177</v>
      </c>
      <c r="C148" s="68">
        <v>46163</v>
      </c>
      <c r="D148">
        <v>23599</v>
      </c>
      <c r="E148">
        <v>78055900</v>
      </c>
      <c r="F148" t="s">
        <v>188</v>
      </c>
      <c r="G148" t="s">
        <v>195</v>
      </c>
      <c r="H148">
        <v>960000</v>
      </c>
      <c r="I148" t="s">
        <v>196</v>
      </c>
      <c r="J148" t="s">
        <v>181</v>
      </c>
      <c r="K148" t="s">
        <v>197</v>
      </c>
      <c r="L148" t="s">
        <v>181</v>
      </c>
      <c r="M148" t="s">
        <v>198</v>
      </c>
      <c r="N148" t="s">
        <v>193</v>
      </c>
      <c r="O148" t="s">
        <v>194</v>
      </c>
    </row>
    <row r="149" spans="1:15" x14ac:dyDescent="0.25">
      <c r="A149" t="s">
        <v>176</v>
      </c>
      <c r="B149" t="s">
        <v>177</v>
      </c>
      <c r="C149" s="68">
        <v>46164</v>
      </c>
      <c r="D149">
        <v>23534</v>
      </c>
      <c r="E149">
        <v>13378070</v>
      </c>
      <c r="F149" t="s">
        <v>188</v>
      </c>
      <c r="G149" t="s">
        <v>189</v>
      </c>
      <c r="H149">
        <v>2500000</v>
      </c>
      <c r="I149" t="s">
        <v>190</v>
      </c>
      <c r="J149" t="s">
        <v>181</v>
      </c>
      <c r="K149" t="s">
        <v>191</v>
      </c>
      <c r="L149" t="s">
        <v>181</v>
      </c>
      <c r="M149" t="s">
        <v>192</v>
      </c>
      <c r="N149" t="s">
        <v>193</v>
      </c>
      <c r="O149" t="s">
        <v>194</v>
      </c>
    </row>
    <row r="150" spans="1:15" x14ac:dyDescent="0.25">
      <c r="A150" t="s">
        <v>176</v>
      </c>
      <c r="B150" t="s">
        <v>177</v>
      </c>
      <c r="C150" s="68">
        <v>46164</v>
      </c>
      <c r="D150">
        <v>23538</v>
      </c>
      <c r="E150">
        <v>5214</v>
      </c>
      <c r="F150" t="s">
        <v>188</v>
      </c>
      <c r="G150" t="s">
        <v>195</v>
      </c>
      <c r="H150">
        <v>1373700</v>
      </c>
      <c r="I150" t="s">
        <v>215</v>
      </c>
      <c r="J150" t="s">
        <v>181</v>
      </c>
      <c r="K150" t="s">
        <v>216</v>
      </c>
      <c r="L150" t="s">
        <v>181</v>
      </c>
      <c r="M150" t="s">
        <v>198</v>
      </c>
      <c r="N150" t="s">
        <v>193</v>
      </c>
      <c r="O150" t="s">
        <v>194</v>
      </c>
    </row>
    <row r="151" spans="1:15" x14ac:dyDescent="0.25">
      <c r="A151" t="s">
        <v>176</v>
      </c>
      <c r="B151" t="s">
        <v>177</v>
      </c>
      <c r="C151" s="68">
        <v>46164</v>
      </c>
      <c r="D151">
        <v>23548</v>
      </c>
      <c r="E151">
        <v>1280</v>
      </c>
      <c r="F151" t="s">
        <v>188</v>
      </c>
      <c r="G151" t="s">
        <v>209</v>
      </c>
      <c r="H151">
        <v>5603667.5499999998</v>
      </c>
      <c r="I151" t="s">
        <v>205</v>
      </c>
      <c r="J151" t="s">
        <v>181</v>
      </c>
      <c r="K151" t="s">
        <v>206</v>
      </c>
      <c r="L151" t="s">
        <v>181</v>
      </c>
      <c r="M151" t="s">
        <v>212</v>
      </c>
      <c r="N151" t="s">
        <v>193</v>
      </c>
      <c r="O151" t="s">
        <v>194</v>
      </c>
    </row>
    <row r="152" spans="1:15" x14ac:dyDescent="0.25">
      <c r="A152" t="s">
        <v>176</v>
      </c>
      <c r="B152" t="s">
        <v>177</v>
      </c>
      <c r="C152" s="68">
        <v>46164</v>
      </c>
      <c r="D152">
        <v>23565</v>
      </c>
      <c r="E152">
        <v>78055895</v>
      </c>
      <c r="F152" t="s">
        <v>188</v>
      </c>
      <c r="G152" t="s">
        <v>195</v>
      </c>
      <c r="H152">
        <v>890000</v>
      </c>
      <c r="I152" t="s">
        <v>196</v>
      </c>
      <c r="J152" t="s">
        <v>181</v>
      </c>
      <c r="K152" t="s">
        <v>197</v>
      </c>
      <c r="L152" t="s">
        <v>181</v>
      </c>
      <c r="M152" t="s">
        <v>198</v>
      </c>
      <c r="N152" t="s">
        <v>193</v>
      </c>
      <c r="O152" t="s">
        <v>194</v>
      </c>
    </row>
    <row r="153" spans="1:15" x14ac:dyDescent="0.25">
      <c r="A153" t="s">
        <v>176</v>
      </c>
      <c r="B153" t="s">
        <v>177</v>
      </c>
      <c r="C153" s="68">
        <v>46164</v>
      </c>
      <c r="D153">
        <v>23566</v>
      </c>
      <c r="E153">
        <v>78055896</v>
      </c>
      <c r="F153" t="s">
        <v>188</v>
      </c>
      <c r="G153" t="s">
        <v>195</v>
      </c>
      <c r="H153">
        <v>890000</v>
      </c>
      <c r="I153" t="s">
        <v>196</v>
      </c>
      <c r="J153" t="s">
        <v>181</v>
      </c>
      <c r="K153" t="s">
        <v>197</v>
      </c>
      <c r="L153" t="s">
        <v>181</v>
      </c>
      <c r="M153" t="s">
        <v>198</v>
      </c>
      <c r="N153" t="s">
        <v>193</v>
      </c>
      <c r="O153" t="s">
        <v>194</v>
      </c>
    </row>
    <row r="154" spans="1:15" x14ac:dyDescent="0.25">
      <c r="A154" t="s">
        <v>176</v>
      </c>
      <c r="B154" t="s">
        <v>177</v>
      </c>
      <c r="C154" s="68">
        <v>46164</v>
      </c>
      <c r="D154">
        <v>23568</v>
      </c>
      <c r="E154">
        <v>8055887</v>
      </c>
      <c r="F154" t="s">
        <v>188</v>
      </c>
      <c r="G154" t="s">
        <v>195</v>
      </c>
      <c r="H154">
        <v>525400</v>
      </c>
      <c r="I154" t="s">
        <v>196</v>
      </c>
      <c r="J154" t="s">
        <v>181</v>
      </c>
      <c r="K154" t="s">
        <v>197</v>
      </c>
      <c r="L154" t="s">
        <v>181</v>
      </c>
      <c r="M154" t="s">
        <v>198</v>
      </c>
      <c r="N154" t="s">
        <v>193</v>
      </c>
      <c r="O154" t="s">
        <v>194</v>
      </c>
    </row>
    <row r="155" spans="1:15" x14ac:dyDescent="0.25">
      <c r="A155" t="s">
        <v>176</v>
      </c>
      <c r="B155" t="s">
        <v>177</v>
      </c>
      <c r="C155" s="68">
        <v>46164</v>
      </c>
      <c r="D155">
        <v>23583</v>
      </c>
      <c r="E155">
        <v>1369</v>
      </c>
      <c r="F155" t="s">
        <v>188</v>
      </c>
      <c r="G155" t="s">
        <v>209</v>
      </c>
      <c r="H155">
        <v>26348155</v>
      </c>
      <c r="I155" t="s">
        <v>210</v>
      </c>
      <c r="J155" t="s">
        <v>181</v>
      </c>
      <c r="K155" t="s">
        <v>211</v>
      </c>
      <c r="L155" t="s">
        <v>181</v>
      </c>
      <c r="M155" t="s">
        <v>212</v>
      </c>
      <c r="N155" t="s">
        <v>193</v>
      </c>
      <c r="O155" t="s">
        <v>194</v>
      </c>
    </row>
    <row r="156" spans="1:15" x14ac:dyDescent="0.25">
      <c r="A156" t="s">
        <v>176</v>
      </c>
      <c r="B156" t="s">
        <v>177</v>
      </c>
      <c r="C156" s="68">
        <v>46164</v>
      </c>
      <c r="D156">
        <v>23592</v>
      </c>
      <c r="E156">
        <v>6800188</v>
      </c>
      <c r="F156" t="s">
        <v>188</v>
      </c>
      <c r="G156" t="s">
        <v>221</v>
      </c>
      <c r="H156">
        <v>16576560</v>
      </c>
      <c r="I156" t="s">
        <v>248</v>
      </c>
      <c r="J156" t="s">
        <v>181</v>
      </c>
      <c r="K156" t="s">
        <v>249</v>
      </c>
      <c r="L156" t="s">
        <v>181</v>
      </c>
      <c r="M156" t="s">
        <v>222</v>
      </c>
      <c r="N156" t="s">
        <v>193</v>
      </c>
      <c r="O156" t="s">
        <v>194</v>
      </c>
    </row>
    <row r="157" spans="1:15" x14ac:dyDescent="0.25">
      <c r="A157" t="s">
        <v>176</v>
      </c>
      <c r="B157" t="s">
        <v>177</v>
      </c>
      <c r="C157" s="68">
        <v>46164</v>
      </c>
      <c r="D157">
        <v>23600</v>
      </c>
      <c r="E157">
        <v>78055901</v>
      </c>
      <c r="F157" t="s">
        <v>188</v>
      </c>
      <c r="G157" t="s">
        <v>195</v>
      </c>
      <c r="H157">
        <v>960000</v>
      </c>
      <c r="I157" t="s">
        <v>196</v>
      </c>
      <c r="J157" t="s">
        <v>181</v>
      </c>
      <c r="K157" t="s">
        <v>197</v>
      </c>
      <c r="L157" t="s">
        <v>181</v>
      </c>
      <c r="M157" t="s">
        <v>198</v>
      </c>
      <c r="N157" t="s">
        <v>193</v>
      </c>
      <c r="O157" t="s">
        <v>194</v>
      </c>
    </row>
    <row r="158" spans="1:15" x14ac:dyDescent="0.25">
      <c r="A158" t="s">
        <v>176</v>
      </c>
      <c r="B158" t="s">
        <v>177</v>
      </c>
      <c r="C158" s="68">
        <v>46164</v>
      </c>
      <c r="D158">
        <v>23608</v>
      </c>
      <c r="E158">
        <v>90018039</v>
      </c>
      <c r="F158" t="s">
        <v>188</v>
      </c>
      <c r="G158" t="s">
        <v>217</v>
      </c>
      <c r="H158">
        <v>9640400</v>
      </c>
      <c r="I158" t="s">
        <v>218</v>
      </c>
      <c r="J158" t="s">
        <v>181</v>
      </c>
      <c r="K158" t="s">
        <v>219</v>
      </c>
      <c r="L158" t="s">
        <v>181</v>
      </c>
      <c r="M158" t="s">
        <v>220</v>
      </c>
      <c r="N158" t="s">
        <v>193</v>
      </c>
      <c r="O158" t="s">
        <v>194</v>
      </c>
    </row>
    <row r="159" spans="1:15" x14ac:dyDescent="0.25">
      <c r="A159" t="s">
        <v>176</v>
      </c>
      <c r="B159" t="s">
        <v>177</v>
      </c>
      <c r="C159" s="68">
        <v>46164</v>
      </c>
      <c r="D159">
        <v>23609</v>
      </c>
      <c r="E159">
        <v>4715</v>
      </c>
      <c r="F159" t="s">
        <v>188</v>
      </c>
      <c r="G159" t="s">
        <v>209</v>
      </c>
      <c r="H159">
        <v>1300000</v>
      </c>
      <c r="I159" t="s">
        <v>213</v>
      </c>
      <c r="J159" t="s">
        <v>181</v>
      </c>
      <c r="K159" t="s">
        <v>214</v>
      </c>
      <c r="L159" t="s">
        <v>181</v>
      </c>
      <c r="M159" t="s">
        <v>212</v>
      </c>
      <c r="N159" t="s">
        <v>193</v>
      </c>
      <c r="O159" t="s">
        <v>194</v>
      </c>
    </row>
    <row r="160" spans="1:15" x14ac:dyDescent="0.25">
      <c r="A160" t="s">
        <v>176</v>
      </c>
      <c r="B160" t="s">
        <v>177</v>
      </c>
      <c r="C160" s="68">
        <v>46164</v>
      </c>
      <c r="D160">
        <v>23619</v>
      </c>
      <c r="E160">
        <v>4632</v>
      </c>
      <c r="F160" t="s">
        <v>188</v>
      </c>
      <c r="G160" t="s">
        <v>209</v>
      </c>
      <c r="H160">
        <v>1300000</v>
      </c>
      <c r="I160" t="s">
        <v>213</v>
      </c>
      <c r="J160" t="s">
        <v>181</v>
      </c>
      <c r="K160" t="s">
        <v>214</v>
      </c>
      <c r="L160" t="s">
        <v>181</v>
      </c>
      <c r="M160" t="s">
        <v>212</v>
      </c>
      <c r="N160" t="s">
        <v>193</v>
      </c>
      <c r="O160" t="s">
        <v>194</v>
      </c>
    </row>
    <row r="161" spans="1:15" x14ac:dyDescent="0.25">
      <c r="A161" t="s">
        <v>176</v>
      </c>
      <c r="B161" t="s">
        <v>177</v>
      </c>
      <c r="C161" s="68">
        <v>46167</v>
      </c>
      <c r="D161">
        <v>23480</v>
      </c>
      <c r="E161">
        <v>6818</v>
      </c>
      <c r="F161" t="s">
        <v>188</v>
      </c>
      <c r="G161" t="s">
        <v>209</v>
      </c>
      <c r="H161">
        <v>22336160</v>
      </c>
      <c r="I161" t="s">
        <v>227</v>
      </c>
      <c r="J161" t="s">
        <v>181</v>
      </c>
      <c r="K161" t="s">
        <v>228</v>
      </c>
      <c r="L161" t="s">
        <v>181</v>
      </c>
      <c r="M161" t="s">
        <v>212</v>
      </c>
      <c r="N161" t="s">
        <v>193</v>
      </c>
      <c r="O161" t="s">
        <v>194</v>
      </c>
    </row>
    <row r="162" spans="1:15" x14ac:dyDescent="0.25">
      <c r="A162" t="s">
        <v>176</v>
      </c>
      <c r="B162" t="s">
        <v>177</v>
      </c>
      <c r="C162" s="68">
        <v>46167</v>
      </c>
      <c r="D162">
        <v>23501</v>
      </c>
      <c r="E162">
        <v>9487744</v>
      </c>
      <c r="F162" t="s">
        <v>188</v>
      </c>
      <c r="G162" t="s">
        <v>184</v>
      </c>
      <c r="H162">
        <v>8879287.4600000009</v>
      </c>
      <c r="I162" t="s">
        <v>236</v>
      </c>
      <c r="J162" t="s">
        <v>181</v>
      </c>
      <c r="K162" t="s">
        <v>237</v>
      </c>
      <c r="L162" t="s">
        <v>181</v>
      </c>
      <c r="M162" t="s">
        <v>187</v>
      </c>
      <c r="N162" t="s">
        <v>193</v>
      </c>
      <c r="O162" t="s">
        <v>194</v>
      </c>
    </row>
    <row r="163" spans="1:15" x14ac:dyDescent="0.25">
      <c r="A163" t="s">
        <v>176</v>
      </c>
      <c r="B163" t="s">
        <v>177</v>
      </c>
      <c r="C163" s="68">
        <v>46167</v>
      </c>
      <c r="D163">
        <v>23535</v>
      </c>
      <c r="E163">
        <v>13378071</v>
      </c>
      <c r="F163" t="s">
        <v>188</v>
      </c>
      <c r="G163" t="s">
        <v>189</v>
      </c>
      <c r="H163">
        <v>2500000</v>
      </c>
      <c r="I163" t="s">
        <v>190</v>
      </c>
      <c r="J163" t="s">
        <v>181</v>
      </c>
      <c r="K163" t="s">
        <v>191</v>
      </c>
      <c r="L163" t="s">
        <v>181</v>
      </c>
      <c r="M163" t="s">
        <v>192</v>
      </c>
      <c r="N163" t="s">
        <v>193</v>
      </c>
      <c r="O163" t="s">
        <v>194</v>
      </c>
    </row>
    <row r="164" spans="1:15" x14ac:dyDescent="0.25">
      <c r="A164" t="s">
        <v>176</v>
      </c>
      <c r="B164" t="s">
        <v>177</v>
      </c>
      <c r="C164" s="68">
        <v>46167</v>
      </c>
      <c r="D164">
        <v>23536</v>
      </c>
      <c r="E164">
        <v>13378072</v>
      </c>
      <c r="F164" t="s">
        <v>188</v>
      </c>
      <c r="G164" t="s">
        <v>189</v>
      </c>
      <c r="H164">
        <v>2500000</v>
      </c>
      <c r="I164" t="s">
        <v>190</v>
      </c>
      <c r="J164" t="s">
        <v>181</v>
      </c>
      <c r="K164" t="s">
        <v>191</v>
      </c>
      <c r="L164" t="s">
        <v>181</v>
      </c>
      <c r="M164" t="s">
        <v>192</v>
      </c>
      <c r="N164" t="s">
        <v>193</v>
      </c>
      <c r="O164" t="s">
        <v>194</v>
      </c>
    </row>
    <row r="165" spans="1:15" x14ac:dyDescent="0.25">
      <c r="A165" t="s">
        <v>176</v>
      </c>
      <c r="B165" t="s">
        <v>177</v>
      </c>
      <c r="C165" s="68">
        <v>46167</v>
      </c>
      <c r="D165">
        <v>23537</v>
      </c>
      <c r="E165">
        <v>13378073</v>
      </c>
      <c r="F165" t="s">
        <v>188</v>
      </c>
      <c r="G165" t="s">
        <v>189</v>
      </c>
      <c r="H165">
        <v>2500000</v>
      </c>
      <c r="I165" t="s">
        <v>190</v>
      </c>
      <c r="J165" t="s">
        <v>181</v>
      </c>
      <c r="K165" t="s">
        <v>191</v>
      </c>
      <c r="L165" t="s">
        <v>181</v>
      </c>
      <c r="M165" t="s">
        <v>192</v>
      </c>
      <c r="N165" t="s">
        <v>193</v>
      </c>
      <c r="O165" t="s">
        <v>194</v>
      </c>
    </row>
    <row r="166" spans="1:15" x14ac:dyDescent="0.25">
      <c r="A166" t="s">
        <v>176</v>
      </c>
      <c r="B166" t="s">
        <v>177</v>
      </c>
      <c r="C166" s="68">
        <v>46167</v>
      </c>
      <c r="D166">
        <v>23585</v>
      </c>
      <c r="E166">
        <v>66612110</v>
      </c>
      <c r="F166" t="s">
        <v>188</v>
      </c>
      <c r="G166" t="s">
        <v>199</v>
      </c>
      <c r="H166">
        <v>14000000</v>
      </c>
      <c r="I166" t="s">
        <v>234</v>
      </c>
      <c r="J166" t="s">
        <v>181</v>
      </c>
      <c r="K166" t="s">
        <v>235</v>
      </c>
      <c r="L166" t="s">
        <v>181</v>
      </c>
      <c r="M166" t="s">
        <v>202</v>
      </c>
      <c r="N166" t="s">
        <v>193</v>
      </c>
      <c r="O166" t="s">
        <v>194</v>
      </c>
    </row>
    <row r="167" spans="1:15" x14ac:dyDescent="0.25">
      <c r="A167" t="s">
        <v>176</v>
      </c>
      <c r="B167" t="s">
        <v>177</v>
      </c>
      <c r="C167" s="68">
        <v>46167</v>
      </c>
      <c r="D167">
        <v>23589</v>
      </c>
      <c r="E167">
        <v>66487132</v>
      </c>
      <c r="F167" t="s">
        <v>188</v>
      </c>
      <c r="G167" t="s">
        <v>199</v>
      </c>
      <c r="H167">
        <v>4796000</v>
      </c>
      <c r="I167" t="s">
        <v>200</v>
      </c>
      <c r="J167" t="s">
        <v>181</v>
      </c>
      <c r="K167" t="s">
        <v>201</v>
      </c>
      <c r="L167" t="s">
        <v>181</v>
      </c>
      <c r="M167" t="s">
        <v>202</v>
      </c>
      <c r="N167" t="s">
        <v>193</v>
      </c>
      <c r="O167" t="s">
        <v>194</v>
      </c>
    </row>
    <row r="168" spans="1:15" x14ac:dyDescent="0.25">
      <c r="A168" t="s">
        <v>176</v>
      </c>
      <c r="B168" t="s">
        <v>177</v>
      </c>
      <c r="C168" s="68">
        <v>46168</v>
      </c>
      <c r="D168">
        <v>23567</v>
      </c>
      <c r="E168">
        <v>78055897</v>
      </c>
      <c r="F168" t="s">
        <v>188</v>
      </c>
      <c r="G168" t="s">
        <v>195</v>
      </c>
      <c r="H168">
        <v>907700</v>
      </c>
      <c r="I168" t="s">
        <v>196</v>
      </c>
      <c r="J168" t="s">
        <v>181</v>
      </c>
      <c r="K168" t="s">
        <v>197</v>
      </c>
      <c r="L168" t="s">
        <v>181</v>
      </c>
      <c r="M168" t="s">
        <v>198</v>
      </c>
      <c r="N168" t="s">
        <v>193</v>
      </c>
      <c r="O168" t="s">
        <v>194</v>
      </c>
    </row>
    <row r="169" spans="1:15" x14ac:dyDescent="0.25">
      <c r="A169" t="s">
        <v>176</v>
      </c>
      <c r="B169" t="s">
        <v>177</v>
      </c>
      <c r="C169" s="68">
        <v>46168</v>
      </c>
      <c r="D169">
        <v>23601</v>
      </c>
      <c r="E169">
        <v>78055902</v>
      </c>
      <c r="F169" t="s">
        <v>188</v>
      </c>
      <c r="G169" t="s">
        <v>195</v>
      </c>
      <c r="H169">
        <v>960000</v>
      </c>
      <c r="I169" t="s">
        <v>196</v>
      </c>
      <c r="J169" t="s">
        <v>181</v>
      </c>
      <c r="K169" t="s">
        <v>197</v>
      </c>
      <c r="L169" t="s">
        <v>181</v>
      </c>
      <c r="M169" t="s">
        <v>198</v>
      </c>
      <c r="N169" t="s">
        <v>193</v>
      </c>
      <c r="O169" t="s">
        <v>194</v>
      </c>
    </row>
    <row r="170" spans="1:15" x14ac:dyDescent="0.25">
      <c r="A170" t="s">
        <v>176</v>
      </c>
      <c r="B170" t="s">
        <v>177</v>
      </c>
      <c r="C170" s="68">
        <v>46168</v>
      </c>
      <c r="D170">
        <v>23610</v>
      </c>
      <c r="E170">
        <v>4716</v>
      </c>
      <c r="F170" t="s">
        <v>188</v>
      </c>
      <c r="G170" t="s">
        <v>209</v>
      </c>
      <c r="H170">
        <v>1300000</v>
      </c>
      <c r="I170" t="s">
        <v>213</v>
      </c>
      <c r="J170" t="s">
        <v>181</v>
      </c>
      <c r="K170" t="s">
        <v>214</v>
      </c>
      <c r="L170" t="s">
        <v>181</v>
      </c>
      <c r="M170" t="s">
        <v>212</v>
      </c>
      <c r="N170" t="s">
        <v>193</v>
      </c>
      <c r="O170" t="s">
        <v>194</v>
      </c>
    </row>
    <row r="171" spans="1:15" x14ac:dyDescent="0.25">
      <c r="A171" t="s">
        <v>176</v>
      </c>
      <c r="B171" t="s">
        <v>177</v>
      </c>
      <c r="C171" s="68">
        <v>46168</v>
      </c>
      <c r="D171">
        <v>23620</v>
      </c>
      <c r="E171">
        <v>4633</v>
      </c>
      <c r="F171" t="s">
        <v>188</v>
      </c>
      <c r="G171" t="s">
        <v>209</v>
      </c>
      <c r="H171">
        <v>1162600</v>
      </c>
      <c r="I171" t="s">
        <v>213</v>
      </c>
      <c r="J171" t="s">
        <v>181</v>
      </c>
      <c r="K171" t="s">
        <v>214</v>
      </c>
      <c r="L171" t="s">
        <v>181</v>
      </c>
      <c r="M171" t="s">
        <v>212</v>
      </c>
      <c r="N171" t="s">
        <v>193</v>
      </c>
      <c r="O171" t="s">
        <v>194</v>
      </c>
    </row>
    <row r="172" spans="1:15" x14ac:dyDescent="0.25">
      <c r="A172" t="s">
        <v>176</v>
      </c>
      <c r="B172" t="s">
        <v>177</v>
      </c>
      <c r="C172" s="68">
        <v>46169</v>
      </c>
      <c r="D172">
        <v>23539</v>
      </c>
      <c r="E172">
        <v>16</v>
      </c>
      <c r="F172" t="s">
        <v>188</v>
      </c>
      <c r="G172" t="s">
        <v>179</v>
      </c>
      <c r="H172">
        <v>19042210</v>
      </c>
      <c r="I172" t="s">
        <v>203</v>
      </c>
      <c r="J172" t="s">
        <v>181</v>
      </c>
      <c r="K172" t="s">
        <v>204</v>
      </c>
      <c r="L172" t="s">
        <v>181</v>
      </c>
      <c r="M172" t="s">
        <v>183</v>
      </c>
      <c r="N172" t="s">
        <v>193</v>
      </c>
      <c r="O172" t="s">
        <v>194</v>
      </c>
    </row>
    <row r="173" spans="1:15" x14ac:dyDescent="0.25">
      <c r="A173" t="s">
        <v>176</v>
      </c>
      <c r="B173" t="s">
        <v>177</v>
      </c>
      <c r="C173" s="68">
        <v>46169</v>
      </c>
      <c r="D173">
        <v>23588</v>
      </c>
      <c r="E173">
        <v>66486893</v>
      </c>
      <c r="F173" t="s">
        <v>188</v>
      </c>
      <c r="G173" t="s">
        <v>199</v>
      </c>
      <c r="H173">
        <v>5000000</v>
      </c>
      <c r="I173" t="s">
        <v>200</v>
      </c>
      <c r="J173" t="s">
        <v>181</v>
      </c>
      <c r="K173" t="s">
        <v>201</v>
      </c>
      <c r="L173" t="s">
        <v>181</v>
      </c>
      <c r="M173" t="s">
        <v>202</v>
      </c>
      <c r="N173" t="s">
        <v>193</v>
      </c>
      <c r="O173" t="s">
        <v>194</v>
      </c>
    </row>
    <row r="174" spans="1:15" x14ac:dyDescent="0.25">
      <c r="A174" t="s">
        <v>176</v>
      </c>
      <c r="B174" t="s">
        <v>177</v>
      </c>
      <c r="C174" s="68">
        <v>46169</v>
      </c>
      <c r="D174">
        <v>23602</v>
      </c>
      <c r="E174">
        <v>78055903</v>
      </c>
      <c r="F174" t="s">
        <v>188</v>
      </c>
      <c r="G174" t="s">
        <v>195</v>
      </c>
      <c r="H174">
        <v>960000</v>
      </c>
      <c r="I174" t="s">
        <v>196</v>
      </c>
      <c r="J174" t="s">
        <v>181</v>
      </c>
      <c r="K174" t="s">
        <v>197</v>
      </c>
      <c r="L174" t="s">
        <v>181</v>
      </c>
      <c r="M174" t="s">
        <v>198</v>
      </c>
      <c r="N174" t="s">
        <v>193</v>
      </c>
      <c r="O174" t="s">
        <v>194</v>
      </c>
    </row>
    <row r="175" spans="1:15" x14ac:dyDescent="0.25">
      <c r="A175" t="s">
        <v>176</v>
      </c>
      <c r="B175" t="s">
        <v>177</v>
      </c>
      <c r="C175" s="68">
        <v>46169</v>
      </c>
      <c r="D175">
        <v>23611</v>
      </c>
      <c r="E175">
        <v>4717</v>
      </c>
      <c r="F175" t="s">
        <v>188</v>
      </c>
      <c r="G175" t="s">
        <v>209</v>
      </c>
      <c r="H175">
        <v>1300000</v>
      </c>
      <c r="I175" t="s">
        <v>213</v>
      </c>
      <c r="J175" t="s">
        <v>181</v>
      </c>
      <c r="K175" t="s">
        <v>214</v>
      </c>
      <c r="L175" t="s">
        <v>181</v>
      </c>
      <c r="M175" t="s">
        <v>212</v>
      </c>
      <c r="N175" t="s">
        <v>193</v>
      </c>
      <c r="O175" t="s">
        <v>194</v>
      </c>
    </row>
    <row r="176" spans="1:15" x14ac:dyDescent="0.25">
      <c r="A176" t="s">
        <v>176</v>
      </c>
      <c r="B176" t="s">
        <v>177</v>
      </c>
      <c r="C176" s="68">
        <v>46170</v>
      </c>
      <c r="D176">
        <v>23550</v>
      </c>
      <c r="E176">
        <v>29153824</v>
      </c>
      <c r="F176" t="s">
        <v>188</v>
      </c>
      <c r="G176" t="s">
        <v>221</v>
      </c>
      <c r="H176">
        <v>8049582.4500000002</v>
      </c>
      <c r="I176" t="s">
        <v>205</v>
      </c>
      <c r="J176" t="s">
        <v>181</v>
      </c>
      <c r="K176" t="s">
        <v>206</v>
      </c>
      <c r="L176" t="s">
        <v>181</v>
      </c>
      <c r="M176" t="s">
        <v>222</v>
      </c>
      <c r="N176" t="s">
        <v>193</v>
      </c>
      <c r="O176" t="s">
        <v>194</v>
      </c>
    </row>
    <row r="177" spans="1:15" x14ac:dyDescent="0.25">
      <c r="A177" t="s">
        <v>176</v>
      </c>
      <c r="B177" t="s">
        <v>177</v>
      </c>
      <c r="C177" s="68">
        <v>46170</v>
      </c>
      <c r="D177">
        <v>23603</v>
      </c>
      <c r="E177">
        <v>78055904</v>
      </c>
      <c r="F177" t="s">
        <v>188</v>
      </c>
      <c r="G177" t="s">
        <v>195</v>
      </c>
      <c r="H177">
        <v>960000</v>
      </c>
      <c r="I177" t="s">
        <v>196</v>
      </c>
      <c r="J177" t="s">
        <v>181</v>
      </c>
      <c r="K177" t="s">
        <v>197</v>
      </c>
      <c r="L177" t="s">
        <v>181</v>
      </c>
      <c r="M177" t="s">
        <v>198</v>
      </c>
      <c r="N177" t="s">
        <v>193</v>
      </c>
      <c r="O177" t="s">
        <v>194</v>
      </c>
    </row>
    <row r="178" spans="1:15" x14ac:dyDescent="0.25">
      <c r="A178" t="s">
        <v>176</v>
      </c>
      <c r="B178" t="s">
        <v>177</v>
      </c>
      <c r="C178" s="68">
        <v>46171</v>
      </c>
      <c r="D178">
        <v>23596</v>
      </c>
      <c r="E178">
        <v>5221</v>
      </c>
      <c r="F178" t="s">
        <v>188</v>
      </c>
      <c r="G178" t="s">
        <v>195</v>
      </c>
      <c r="H178">
        <v>1626750</v>
      </c>
      <c r="I178" t="s">
        <v>215</v>
      </c>
      <c r="J178" t="s">
        <v>181</v>
      </c>
      <c r="K178" t="s">
        <v>216</v>
      </c>
      <c r="L178" t="s">
        <v>181</v>
      </c>
      <c r="M178" t="s">
        <v>198</v>
      </c>
      <c r="N178" t="s">
        <v>193</v>
      </c>
      <c r="O178" t="s">
        <v>194</v>
      </c>
    </row>
    <row r="179" spans="1:15" x14ac:dyDescent="0.25">
      <c r="A179" t="s">
        <v>176</v>
      </c>
      <c r="B179" t="s">
        <v>177</v>
      </c>
      <c r="C179" s="68">
        <v>46171</v>
      </c>
      <c r="D179">
        <v>23604</v>
      </c>
      <c r="E179">
        <v>78055905</v>
      </c>
      <c r="F179" t="s">
        <v>188</v>
      </c>
      <c r="G179" t="s">
        <v>195</v>
      </c>
      <c r="H179">
        <v>960000</v>
      </c>
      <c r="I179" t="s">
        <v>196</v>
      </c>
      <c r="J179" t="s">
        <v>181</v>
      </c>
      <c r="K179" t="s">
        <v>197</v>
      </c>
      <c r="L179" t="s">
        <v>181</v>
      </c>
      <c r="M179" t="s">
        <v>198</v>
      </c>
      <c r="N179" t="s">
        <v>193</v>
      </c>
      <c r="O179" t="s">
        <v>194</v>
      </c>
    </row>
    <row r="180" spans="1:15" x14ac:dyDescent="0.25">
      <c r="A180" t="s">
        <v>176</v>
      </c>
      <c r="B180" t="s">
        <v>177</v>
      </c>
      <c r="C180" s="68">
        <v>46171</v>
      </c>
      <c r="D180">
        <v>23612</v>
      </c>
      <c r="E180">
        <v>4718</v>
      </c>
      <c r="F180" t="s">
        <v>188</v>
      </c>
      <c r="G180" t="s">
        <v>209</v>
      </c>
      <c r="H180">
        <v>1300000</v>
      </c>
      <c r="I180" t="s">
        <v>213</v>
      </c>
      <c r="J180" t="s">
        <v>181</v>
      </c>
      <c r="K180" t="s">
        <v>214</v>
      </c>
      <c r="L180" t="s">
        <v>181</v>
      </c>
      <c r="M180" t="s">
        <v>212</v>
      </c>
      <c r="N180" t="s">
        <v>193</v>
      </c>
      <c r="O180" t="s">
        <v>194</v>
      </c>
    </row>
    <row r="181" spans="1:15" x14ac:dyDescent="0.25">
      <c r="A181" t="s">
        <v>176</v>
      </c>
      <c r="B181" t="s">
        <v>177</v>
      </c>
      <c r="C181" s="68">
        <v>46174</v>
      </c>
      <c r="D181">
        <v>23540</v>
      </c>
      <c r="E181">
        <v>6894</v>
      </c>
      <c r="F181" t="s">
        <v>188</v>
      </c>
      <c r="G181" t="s">
        <v>209</v>
      </c>
      <c r="H181">
        <v>19015040</v>
      </c>
      <c r="I181" t="s">
        <v>227</v>
      </c>
      <c r="J181" t="s">
        <v>181</v>
      </c>
      <c r="K181" t="s">
        <v>228</v>
      </c>
      <c r="L181" t="s">
        <v>181</v>
      </c>
      <c r="M181" t="s">
        <v>212</v>
      </c>
      <c r="N181" t="s">
        <v>193</v>
      </c>
      <c r="O181" t="s">
        <v>194</v>
      </c>
    </row>
    <row r="182" spans="1:15" x14ac:dyDescent="0.25">
      <c r="A182" t="s">
        <v>176</v>
      </c>
      <c r="B182" t="s">
        <v>177</v>
      </c>
      <c r="C182" s="68">
        <v>46174</v>
      </c>
      <c r="D182">
        <v>23605</v>
      </c>
      <c r="E182">
        <v>78055906</v>
      </c>
      <c r="F182" t="s">
        <v>188</v>
      </c>
      <c r="G182" t="s">
        <v>195</v>
      </c>
      <c r="H182">
        <v>960000</v>
      </c>
      <c r="I182" t="s">
        <v>196</v>
      </c>
      <c r="J182" t="s">
        <v>181</v>
      </c>
      <c r="K182" t="s">
        <v>197</v>
      </c>
      <c r="L182" t="s">
        <v>181</v>
      </c>
      <c r="M182" t="s">
        <v>198</v>
      </c>
      <c r="N182" t="s">
        <v>193</v>
      </c>
      <c r="O182" t="s">
        <v>194</v>
      </c>
    </row>
    <row r="183" spans="1:15" x14ac:dyDescent="0.25">
      <c r="A183" t="s">
        <v>176</v>
      </c>
      <c r="B183" t="s">
        <v>177</v>
      </c>
      <c r="C183" s="68">
        <v>46175</v>
      </c>
      <c r="D183">
        <v>23595</v>
      </c>
      <c r="E183">
        <v>66643962</v>
      </c>
      <c r="F183" t="s">
        <v>188</v>
      </c>
      <c r="G183" t="s">
        <v>199</v>
      </c>
      <c r="H183">
        <v>4457800</v>
      </c>
      <c r="I183" t="s">
        <v>200</v>
      </c>
      <c r="J183" t="s">
        <v>181</v>
      </c>
      <c r="K183" t="s">
        <v>201</v>
      </c>
      <c r="L183" t="s">
        <v>181</v>
      </c>
      <c r="M183" t="s">
        <v>202</v>
      </c>
      <c r="N183" t="s">
        <v>193</v>
      </c>
      <c r="O183" t="s">
        <v>194</v>
      </c>
    </row>
    <row r="184" spans="1:15" x14ac:dyDescent="0.25">
      <c r="A184" t="s">
        <v>176</v>
      </c>
      <c r="B184" t="s">
        <v>177</v>
      </c>
      <c r="C184" s="68">
        <v>46175</v>
      </c>
      <c r="D184">
        <v>23606</v>
      </c>
      <c r="E184">
        <v>78055907</v>
      </c>
      <c r="F184" t="s">
        <v>188</v>
      </c>
      <c r="G184" t="s">
        <v>195</v>
      </c>
      <c r="H184">
        <v>943200</v>
      </c>
      <c r="I184" t="s">
        <v>196</v>
      </c>
      <c r="J184" t="s">
        <v>181</v>
      </c>
      <c r="K184" t="s">
        <v>197</v>
      </c>
      <c r="L184" t="s">
        <v>181</v>
      </c>
      <c r="M184" t="s">
        <v>198</v>
      </c>
      <c r="N184" t="s">
        <v>193</v>
      </c>
      <c r="O184" t="s">
        <v>194</v>
      </c>
    </row>
    <row r="185" spans="1:15" x14ac:dyDescent="0.25">
      <c r="A185" t="s">
        <v>176</v>
      </c>
      <c r="B185" t="s">
        <v>177</v>
      </c>
      <c r="C185" s="68">
        <v>46176</v>
      </c>
      <c r="D185">
        <v>23594</v>
      </c>
      <c r="E185">
        <v>66643850</v>
      </c>
      <c r="F185" t="s">
        <v>188</v>
      </c>
      <c r="G185" t="s">
        <v>199</v>
      </c>
      <c r="H185">
        <v>4400000</v>
      </c>
      <c r="I185" t="s">
        <v>200</v>
      </c>
      <c r="J185" t="s">
        <v>181</v>
      </c>
      <c r="K185" t="s">
        <v>201</v>
      </c>
      <c r="L185" t="s">
        <v>181</v>
      </c>
      <c r="M185" t="s">
        <v>202</v>
      </c>
      <c r="N185" t="s">
        <v>193</v>
      </c>
      <c r="O185" t="s">
        <v>194</v>
      </c>
    </row>
    <row r="186" spans="1:15" x14ac:dyDescent="0.25">
      <c r="A186" t="s">
        <v>176</v>
      </c>
      <c r="B186" t="s">
        <v>177</v>
      </c>
      <c r="C186" s="68">
        <v>46178</v>
      </c>
      <c r="D186">
        <v>23593</v>
      </c>
      <c r="E186">
        <v>6948</v>
      </c>
      <c r="F186" t="s">
        <v>188</v>
      </c>
      <c r="G186" t="s">
        <v>209</v>
      </c>
      <c r="H186">
        <v>17842880</v>
      </c>
      <c r="I186" t="s">
        <v>227</v>
      </c>
      <c r="J186" t="s">
        <v>181</v>
      </c>
      <c r="K186" t="s">
        <v>228</v>
      </c>
      <c r="L186" t="s">
        <v>181</v>
      </c>
      <c r="M186" t="s">
        <v>212</v>
      </c>
      <c r="N186" t="s">
        <v>193</v>
      </c>
      <c r="O186" t="s">
        <v>194</v>
      </c>
    </row>
    <row r="187" spans="1:15" x14ac:dyDescent="0.25">
      <c r="A187" t="s">
        <v>176</v>
      </c>
      <c r="B187" t="s">
        <v>177</v>
      </c>
      <c r="C187" s="68">
        <v>46178</v>
      </c>
      <c r="D187">
        <v>23613</v>
      </c>
      <c r="E187">
        <v>4719</v>
      </c>
      <c r="F187" t="s">
        <v>188</v>
      </c>
      <c r="G187" t="s">
        <v>209</v>
      </c>
      <c r="H187">
        <v>1300000</v>
      </c>
      <c r="I187" t="s">
        <v>213</v>
      </c>
      <c r="J187" t="s">
        <v>181</v>
      </c>
      <c r="K187" t="s">
        <v>214</v>
      </c>
      <c r="L187" t="s">
        <v>181</v>
      </c>
      <c r="M187" t="s">
        <v>212</v>
      </c>
      <c r="N187" t="s">
        <v>193</v>
      </c>
      <c r="O187" t="s">
        <v>194</v>
      </c>
    </row>
    <row r="188" spans="1:15" x14ac:dyDescent="0.25">
      <c r="A188" t="s">
        <v>176</v>
      </c>
      <c r="B188" t="s">
        <v>177</v>
      </c>
      <c r="C188" s="68">
        <v>46181</v>
      </c>
      <c r="D188">
        <v>23614</v>
      </c>
      <c r="E188">
        <v>4720</v>
      </c>
      <c r="F188" t="s">
        <v>188</v>
      </c>
      <c r="G188" t="s">
        <v>209</v>
      </c>
      <c r="H188">
        <v>949750</v>
      </c>
      <c r="I188" t="s">
        <v>213</v>
      </c>
      <c r="J188" t="s">
        <v>181</v>
      </c>
      <c r="K188" t="s">
        <v>214</v>
      </c>
      <c r="L188" t="s">
        <v>181</v>
      </c>
      <c r="M188" t="s">
        <v>212</v>
      </c>
      <c r="N188" t="s">
        <v>193</v>
      </c>
      <c r="O188" t="s">
        <v>194</v>
      </c>
    </row>
    <row r="189" spans="1:15" x14ac:dyDescent="0.25">
      <c r="A189" t="s">
        <v>176</v>
      </c>
      <c r="B189" t="s">
        <v>177</v>
      </c>
      <c r="C189" s="68">
        <v>46185</v>
      </c>
      <c r="D189">
        <v>23387</v>
      </c>
      <c r="E189">
        <v>6760642</v>
      </c>
      <c r="F189" t="s">
        <v>188</v>
      </c>
      <c r="G189" t="s">
        <v>221</v>
      </c>
      <c r="H189">
        <v>24824194.600000001</v>
      </c>
      <c r="I189" t="s">
        <v>248</v>
      </c>
      <c r="J189" t="s">
        <v>181</v>
      </c>
      <c r="K189" t="s">
        <v>249</v>
      </c>
      <c r="L189" t="s">
        <v>181</v>
      </c>
      <c r="M189" t="s">
        <v>222</v>
      </c>
      <c r="N189" t="s">
        <v>193</v>
      </c>
      <c r="O189" t="s">
        <v>194</v>
      </c>
    </row>
    <row r="190" spans="1:15" x14ac:dyDescent="0.25">
      <c r="A190" t="s">
        <v>176</v>
      </c>
      <c r="B190" t="s">
        <v>177</v>
      </c>
      <c r="C190" s="68">
        <v>46223</v>
      </c>
      <c r="D190">
        <v>23267</v>
      </c>
      <c r="E190">
        <v>3436588</v>
      </c>
      <c r="F190" t="s">
        <v>188</v>
      </c>
      <c r="G190" t="s">
        <v>244</v>
      </c>
      <c r="H190">
        <v>1934482.85</v>
      </c>
      <c r="I190" t="s">
        <v>245</v>
      </c>
      <c r="J190" t="s">
        <v>181</v>
      </c>
      <c r="K190" t="s">
        <v>246</v>
      </c>
      <c r="L190" t="s">
        <v>181</v>
      </c>
      <c r="M190" t="s">
        <v>247</v>
      </c>
      <c r="N190" t="s">
        <v>193</v>
      </c>
      <c r="O19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POSICION_NETA</vt:lpstr>
      <vt:lpstr>VENCIMIENTOS</vt:lpstr>
      <vt:lpstr>DIVISAS</vt:lpstr>
      <vt:lpstr>CREDITOS_EXTERIOR</vt:lpstr>
      <vt:lpstr>CARGA_DIARIA</vt:lpstr>
      <vt:lpstr>CHEQUES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 Vellini</cp:lastModifiedBy>
  <cp:revision>0</cp:revision>
  <dcterms:created xsi:type="dcterms:W3CDTF">2026-05-06T18:33:43Z</dcterms:created>
  <dcterms:modified xsi:type="dcterms:W3CDTF">2026-05-07T14:44:54Z</dcterms:modified>
  <dc:language>en-US</dc:language>
</cp:coreProperties>
</file>