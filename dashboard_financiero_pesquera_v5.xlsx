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colas\Desktop\"/>
    </mc:Choice>
  </mc:AlternateContent>
  <xr:revisionPtr revIDLastSave="0" documentId="8_{A9D41CB8-3DFD-4D1E-BD0E-84D327FA98C9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INSTRUCCIONES" sheetId="1" r:id="rId1"/>
    <sheet name="CARGA_DIARIA" sheetId="2" r:id="rId2"/>
    <sheet name="POSICION_NETA" sheetId="3" r:id="rId3"/>
    <sheet name="VENCIMIENTOS" sheetId="4" r:id="rId4"/>
    <sheet name="DIVISAS" sheetId="5" r:id="rId5"/>
    <sheet name="CREDITOS_EXTERIOR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2" l="1"/>
  <c r="F15" i="2" s="1"/>
  <c r="F17" i="2" s="1"/>
  <c r="F16" i="2"/>
  <c r="E16" i="2"/>
  <c r="AE4" i="2"/>
  <c r="E4" i="3" s="1"/>
  <c r="P4" i="2"/>
  <c r="D4" i="3" s="1"/>
  <c r="H6" i="6"/>
  <c r="E6" i="6"/>
  <c r="H5" i="6"/>
  <c r="E5" i="6"/>
  <c r="H4" i="6"/>
  <c r="E4" i="6"/>
  <c r="H3" i="6"/>
  <c r="E3" i="6"/>
  <c r="E7" i="5"/>
  <c r="E6" i="5"/>
  <c r="E5" i="5"/>
  <c r="E4" i="5"/>
  <c r="E3" i="5"/>
  <c r="F12" i="4"/>
  <c r="F11" i="4"/>
  <c r="F10" i="4"/>
  <c r="F9" i="4"/>
  <c r="F8" i="4"/>
  <c r="F7" i="4"/>
  <c r="F6" i="4"/>
  <c r="F5" i="4"/>
  <c r="F4" i="4"/>
  <c r="E8" i="3"/>
  <c r="D8" i="3"/>
  <c r="C8" i="3"/>
  <c r="B8" i="3"/>
  <c r="A8" i="3"/>
  <c r="E7" i="3"/>
  <c r="D7" i="3"/>
  <c r="C7" i="3"/>
  <c r="H7" i="3" s="1"/>
  <c r="B7" i="3"/>
  <c r="A7" i="3"/>
  <c r="E6" i="3"/>
  <c r="D6" i="3"/>
  <c r="C6" i="3"/>
  <c r="B6" i="3"/>
  <c r="A6" i="3"/>
  <c r="E5" i="3"/>
  <c r="D5" i="3"/>
  <c r="C5" i="3"/>
  <c r="H5" i="3" s="1"/>
  <c r="B5" i="3"/>
  <c r="A5" i="3"/>
  <c r="C4" i="3"/>
  <c r="C9" i="3" s="1"/>
  <c r="B4" i="3"/>
  <c r="A4" i="3"/>
  <c r="H4" i="3" l="1"/>
  <c r="H9" i="3" s="1"/>
  <c r="H8" i="3"/>
  <c r="D9" i="3"/>
  <c r="H6" i="3"/>
  <c r="E9" i="3"/>
</calcChain>
</file>

<file path=xl/sharedStrings.xml><?xml version="1.0" encoding="utf-8"?>
<sst xmlns="http://schemas.openxmlformats.org/spreadsheetml/2006/main" count="186" uniqueCount="156">
  <si>
    <t>DASHBOARD FINANCIERO — EMPRESA PESQUERA</t>
  </si>
  <si>
    <t>Guía de uso y estructura del archivo</t>
  </si>
  <si>
    <t>📋 ESTRUCTURA DEL ARCHIVO</t>
  </si>
  <si>
    <t>Hoja</t>
  </si>
  <si>
    <t>Descripción</t>
  </si>
  <si>
    <t>INSTRUCCIONES</t>
  </si>
  <si>
    <t>Esta hoja — guía de uso</t>
  </si>
  <si>
    <t>CARGA_DIARIA</t>
  </si>
  <si>
    <t>Acá cargás los datos todos los días (una fila por día)</t>
  </si>
  <si>
    <t>ACTIVO_CORRIENTE</t>
  </si>
  <si>
    <t>Desglose diario de activos: bancos, cheques, divisas, créditos, FCI</t>
  </si>
  <si>
    <t>GASTOS_DIARIOS</t>
  </si>
  <si>
    <t>Detalle de egresos por sector (13 categorías)</t>
  </si>
  <si>
    <t>PASIVO_CORRIENTE</t>
  </si>
  <si>
    <t>Compromisos y deudas a corto plazo</t>
  </si>
  <si>
    <t>VENCIMIENTOS</t>
  </si>
  <si>
    <t>Cheques a cobrar y pagar en los próximos 30 días</t>
  </si>
  <si>
    <t>AJUSTES</t>
  </si>
  <si>
    <t>Stock a precio de venta, posición fiscal, otras deudas</t>
  </si>
  <si>
    <t>POSICION_NETA</t>
  </si>
  <si>
    <t>Hoja de cálculo automática — no modificar</t>
  </si>
  <si>
    <t>🎨 CONVENCIÓN DE COLORES</t>
  </si>
  <si>
    <t>Color</t>
  </si>
  <si>
    <t>Significado</t>
  </si>
  <si>
    <t>Texto AZUL</t>
  </si>
  <si>
    <t>Dato a ingresar manualmente (input)</t>
  </si>
  <si>
    <t>Texto NEGRO</t>
  </si>
  <si>
    <t>Fórmula calculada automáticamente — no modificar</t>
  </si>
  <si>
    <t>Texto VERDE</t>
  </si>
  <si>
    <t>Vínculo a otra hoja del mismo archivo</t>
  </si>
  <si>
    <t>Fondo AMARILLO</t>
  </si>
  <si>
    <t>Celda importante que requiere atención o actualización</t>
  </si>
  <si>
    <t>📌 INSTRUCCIONES DE CARGA DIARIA</t>
  </si>
  <si>
    <t>1.</t>
  </si>
  <si>
    <t>Abrir la hoja CARGA_DIARIA</t>
  </si>
  <si>
    <t>2.</t>
  </si>
  <si>
    <t>Ir a la última fila con datos e insertar una nueva fila debajo</t>
  </si>
  <si>
    <t>3.</t>
  </si>
  <si>
    <t>Ingresar la fecha del día en la columna A (formato DD/MM/AAAA)</t>
  </si>
  <si>
    <t>4.</t>
  </si>
  <si>
    <t>Ingresar el tipo de cambio BNA del día en la columna B</t>
  </si>
  <si>
    <t>5.</t>
  </si>
  <si>
    <t>Completar el resto de columnas con los valores en PESOS del día</t>
  </si>
  <si>
    <t>6.</t>
  </si>
  <si>
    <t>Los valores en USD se calculan automáticamente dividiendo por el TC</t>
  </si>
  <si>
    <t>7.</t>
  </si>
  <si>
    <t>La hoja POSICION_NETA se actualiza automáticamente</t>
  </si>
  <si>
    <t>⚠️  IMPORTANTE</t>
  </si>
  <si>
    <t>•</t>
  </si>
  <si>
    <t>No eliminar ni mover filas de encabezado</t>
  </si>
  <si>
    <t>No modificar las hojas de fórmulas (POSICION_NETA)</t>
  </si>
  <si>
    <t>Siempre cargar valores en PESOS — el dashboard convierte a USD</t>
  </si>
  <si>
    <t>Los cheques en cartera cargar en hoja VENCIMIENTOS con fecha de acreditación</t>
  </si>
  <si>
    <t>Guardar el archivo con Ctrl+S después de cada carga</t>
  </si>
  <si>
    <t>CARGA DIARIA — POSICIÓN FINANCIERA  |  Valores en PESOS argentinos (ARS)</t>
  </si>
  <si>
    <t>FECHA</t>
  </si>
  <si>
    <t>TIPO DE CAMBIO BNA (ARS/USD)</t>
  </si>
  <si>
    <t>ACTIVO CORRIENTE (ARS)</t>
  </si>
  <si>
    <t>GASTOS DEL DÍA POR SECTOR (ARS)</t>
  </si>
  <si>
    <t>PASIVO CORRIENTE (ARS)</t>
  </si>
  <si>
    <t>Fecha</t>
  </si>
  <si>
    <t>TC BNA
(ARS/USD)</t>
  </si>
  <si>
    <t>Efectivo
(MI)</t>
  </si>
  <si>
    <t>Cheques
en cartera</t>
  </si>
  <si>
    <t>Banco
Patagonia</t>
  </si>
  <si>
    <t>Banco
Galicia</t>
  </si>
  <si>
    <t>Banco
Francés</t>
  </si>
  <si>
    <t>Banco
Santander</t>
  </si>
  <si>
    <t>Créditos
MI</t>
  </si>
  <si>
    <t>Proveedores</t>
  </si>
  <si>
    <t>Aranceles
y Cánones</t>
  </si>
  <si>
    <t>Comercio
Exterior</t>
  </si>
  <si>
    <t>Directores /
Accionistas</t>
  </si>
  <si>
    <t>Empresas
del Grupo</t>
  </si>
  <si>
    <t>Gastos
de Buques</t>
  </si>
  <si>
    <t>Impuestos
y Tasas</t>
  </si>
  <si>
    <t>RRHH</t>
  </si>
  <si>
    <t>Servicios
Varios</t>
  </si>
  <si>
    <t>Retiros
Particulares</t>
  </si>
  <si>
    <t>Pago
Importaciones</t>
  </si>
  <si>
    <t>Compra
Dólares (CCL)</t>
  </si>
  <si>
    <t>Pago
Préstamos</t>
  </si>
  <si>
    <t>Otros
Gastos</t>
  </si>
  <si>
    <t>Cheques
Emitidos</t>
  </si>
  <si>
    <t>Gs. Presup.
Próximos</t>
  </si>
  <si>
    <t>Préstamos
ML
(ARS)</t>
  </si>
  <si>
    <t>Deuda
Proveed. MI</t>
  </si>
  <si>
    <t>Deuda
Proveed. Ext.
(USD)</t>
  </si>
  <si>
    <t>Préstamos
ME
(USD)</t>
  </si>
  <si>
    <t>Intereses
Proy.
(USD)</t>
  </si>
  <si>
    <t>Otras
Deudas
(USD)</t>
  </si>
  <si>
    <t>Stock a
Precio Venta
(USD)</t>
  </si>
  <si>
    <t>Posición
Fiscal</t>
  </si>
  <si>
    <t>Divisas
Disp. (ARS eq.)</t>
  </si>
  <si>
    <t>Créditos
Exterior (ARS eq.)</t>
  </si>
  <si>
    <t>Inversiones
FCI</t>
  </si>
  <si>
    <t>Pago cuota Galicia</t>
  </si>
  <si>
    <t>Cobro exportación USD 80k</t>
  </si>
  <si>
    <t>Datos de ejemplo</t>
  </si>
  <si>
    <t>→ NUEVA FECHA</t>
  </si>
  <si>
    <t>← Ingresar TC del día</t>
  </si>
  <si>
    <t>⚠  Columnas en AMARILLO → valores ya expresados en USD (no se dividen por el tipo de cambio). Todas las demás columnas se ingresan en ARS.</t>
  </si>
  <si>
    <t>POSICIÓN FINANCIERA NETA DIARIA  |  Valores en USD (conversión automática)</t>
  </si>
  <si>
    <t>⚠  Hoja de cálculo automática — No modificar. Los datos vienen de CARGA_DIARIA.</t>
  </si>
  <si>
    <t>TC BNA</t>
  </si>
  <si>
    <t>Activo Corriente
(USD)</t>
  </si>
  <si>
    <t>Gastos del Día
(USD)</t>
  </si>
  <si>
    <t>Pasivo Corriente
(USD)</t>
  </si>
  <si>
    <t>Ajustes +
(incluido en Activo)</t>
  </si>
  <si>
    <t>Ajustes -
(incluido en Activo)</t>
  </si>
  <si>
    <t>POSICIÓN NETA
(USD)</t>
  </si>
  <si>
    <t>Promedio período</t>
  </si>
  <si>
    <t>—</t>
  </si>
  <si>
    <t>VENCIMIENTOS — Cheques a cobrar y compromisos de pago próximos</t>
  </si>
  <si>
    <t>Ingresá cada cheque o compromiso con su fecha exacta. El dashboard lo muestra en el calendario de vencimientos.</t>
  </si>
  <si>
    <t>Tipo</t>
  </si>
  <si>
    <t>Descripción / Contraparte</t>
  </si>
  <si>
    <t>Monto (ARS)</t>
  </si>
  <si>
    <t>TC del día</t>
  </si>
  <si>
    <t>Monto (USD)</t>
  </si>
  <si>
    <t>Estado</t>
  </si>
  <si>
    <t>COBRO</t>
  </si>
  <si>
    <t>Cheque acreditación — Cliente Norte</t>
  </si>
  <si>
    <t>Pendiente</t>
  </si>
  <si>
    <t>PAGO</t>
  </si>
  <si>
    <t>Proveedor Pescadores del Sur</t>
  </si>
  <si>
    <t>Cheque — Distribuidora Atlántica</t>
  </si>
  <si>
    <t>Cuota préstamo Banco Galicia</t>
  </si>
  <si>
    <t>Cobro exportación (USD 95.000)</t>
  </si>
  <si>
    <t>RRHH — sueldos quincena</t>
  </si>
  <si>
    <t>Arancel / canon mensual</t>
  </si>
  <si>
    <t>Cheque — Exportadora Patagónica</t>
  </si>
  <si>
    <t>Deuda proveedor exterior (USD 80.000)</t>
  </si>
  <si>
    <t>DIVISAS DISPONIBLES — Seguimiento diario de posición en USD</t>
  </si>
  <si>
    <t>Patag. (USD)</t>
  </si>
  <si>
    <t>Francés (USD)</t>
  </si>
  <si>
    <t>Total USD</t>
  </si>
  <si>
    <t>Liquidado hoy (USD)</t>
  </si>
  <si>
    <t>CRÉDITOS POR VENTAS AL EXTERIOR — Facturas de exportación pendientes de cobro</t>
  </si>
  <si>
    <t>N° Factura</t>
  </si>
  <si>
    <t>Cliente (País)</t>
  </si>
  <si>
    <t>Fecha Factura</t>
  </si>
  <si>
    <t>Fecha Vto.</t>
  </si>
  <si>
    <t>Días al vto.</t>
  </si>
  <si>
    <t>TC estimado</t>
  </si>
  <si>
    <t>ARS equivalente</t>
  </si>
  <si>
    <t>EXP-2026-041</t>
  </si>
  <si>
    <t>Nordic Fish AS (Noruega)</t>
  </si>
  <si>
    <t>EXP-2026-055</t>
  </si>
  <si>
    <t>Iberian Seafood SL (España)</t>
  </si>
  <si>
    <t>EXP-2026,062</t>
  </si>
  <si>
    <t>Ocean Trade LLC (EEUU)</t>
  </si>
  <si>
    <t>EXP-2026-071</t>
  </si>
  <si>
    <t>Maruha Nichiro (Japón)</t>
  </si>
  <si>
    <t>activo corriente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</si>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</sst>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d/mm/yyyy"/>
    <numFmt numFmtId="165" formatCode="#,##0;\(#,##0\);\-"/>
  </numFmts>
  <fonts count="2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sz val="11"/>
      <color rgb="FF444441"/>
      <name val="Arial"/>
      <family val="2"/>
    </font>
    <font>
      <sz val="10"/>
      <color rgb="FF444441"/>
      <name val="Arial"/>
      <family val="2"/>
    </font>
    <font>
      <sz val="10"/>
      <color rgb="FF000000"/>
      <name val="Arial"/>
      <family val="2"/>
    </font>
    <font>
      <b/>
      <sz val="11"/>
      <color rgb="FF1B2A4A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854F0B"/>
      <name val="Arial"/>
      <family val="2"/>
    </font>
    <font>
      <i/>
      <sz val="9"/>
      <color rgb="FF854F0B"/>
      <name val="Arial"/>
      <family val="2"/>
    </font>
    <font>
      <i/>
      <sz val="9"/>
      <color rgb="FF633806"/>
      <name val="Arial"/>
      <family val="2"/>
    </font>
    <font>
      <i/>
      <sz val="10"/>
      <color rgb="FF854F0B"/>
      <name val="Arial"/>
      <family val="2"/>
    </font>
    <font>
      <b/>
      <sz val="8"/>
      <color rgb="FF888780"/>
      <name val="Arial"/>
      <family val="2"/>
    </font>
    <font>
      <sz val="10"/>
      <color rgb="FF008000"/>
      <name val="Arial"/>
      <family val="2"/>
    </font>
    <font>
      <sz val="10"/>
      <color rgb="FF0F6E56"/>
      <name val="Arial"/>
      <family val="2"/>
    </font>
    <font>
      <sz val="10"/>
      <color rgb="FFA32D2D"/>
      <name val="Arial"/>
      <family val="2"/>
    </font>
    <font>
      <sz val="10"/>
      <color rgb="FF854F0B"/>
      <name val="Arial"/>
      <family val="2"/>
    </font>
    <font>
      <b/>
      <sz val="11"/>
      <color rgb="FF0F6E56"/>
      <name val="Arial"/>
      <family val="2"/>
    </font>
    <font>
      <b/>
      <sz val="10"/>
      <color rgb="FF444441"/>
      <name val="Arial"/>
      <family val="2"/>
    </font>
    <font>
      <b/>
      <sz val="10"/>
      <color rgb="FF1B2A4A"/>
      <name val="Arial"/>
      <family val="2"/>
    </font>
    <font>
      <i/>
      <sz val="10"/>
      <color rgb="FF444441"/>
      <name val="Arial"/>
      <family val="2"/>
    </font>
    <font>
      <b/>
      <sz val="10"/>
      <color rgb="FF0F6E56"/>
      <name val="Arial"/>
      <family val="2"/>
    </font>
    <font>
      <b/>
      <sz val="10"/>
      <color rgb="FFA32D2D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4A235A"/>
      </patternFill>
    </fill>
    <fill>
      <patternFill patternType="solid">
        <fgColor rgb="FFF1EFE8"/>
        <bgColor rgb="FFFAEEDA"/>
      </patternFill>
    </fill>
    <fill>
      <patternFill patternType="solid">
        <fgColor rgb="FF1B4F72"/>
        <bgColor rgb="FF0F6E56"/>
      </patternFill>
    </fill>
    <fill>
      <patternFill patternType="solid">
        <fgColor rgb="FF6E2020"/>
        <bgColor rgb="FF633806"/>
      </patternFill>
    </fill>
    <fill>
      <patternFill patternType="solid">
        <fgColor rgb="FF4A235A"/>
        <bgColor rgb="FF1B2A4A"/>
      </patternFill>
    </fill>
    <fill>
      <patternFill patternType="solid">
        <fgColor rgb="FF0F6E56"/>
        <bgColor rgb="FF008080"/>
      </patternFill>
    </fill>
    <fill>
      <patternFill patternType="solid">
        <fgColor rgb="FF7B4F00"/>
        <bgColor rgb="FF854F0B"/>
      </patternFill>
    </fill>
    <fill>
      <patternFill patternType="solid">
        <fgColor rgb="FFFFFFFF"/>
        <bgColor rgb="FFF1EFE8"/>
      </patternFill>
    </fill>
    <fill>
      <patternFill patternType="solid">
        <fgColor rgb="FFFFFF00"/>
        <bgColor rgb="FFFFFF00"/>
      </patternFill>
    </fill>
    <fill>
      <patternFill patternType="solid">
        <fgColor rgb="FFFAEEDA"/>
        <bgColor rgb="FFFCEBEB"/>
      </patternFill>
    </fill>
    <fill>
      <patternFill patternType="solid">
        <fgColor rgb="FFD3D1C7"/>
        <bgColor rgb="FFCCCCFF"/>
      </patternFill>
    </fill>
    <fill>
      <patternFill patternType="solid">
        <fgColor rgb="FFE1F5EE"/>
        <bgColor rgb="FFF1EFE8"/>
      </patternFill>
    </fill>
    <fill>
      <patternFill patternType="solid">
        <fgColor rgb="FFFCEBEB"/>
        <bgColor rgb="FFFAEE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57">
    <xf numFmtId="0" fontId="0" fillId="0" borderId="0" xfId="0"/>
    <xf numFmtId="0" fontId="24" fillId="3" borderId="0" xfId="0" applyFont="1" applyFill="1" applyAlignment="1">
      <alignment horizontal="left" vertical="center" indent="1"/>
    </xf>
    <xf numFmtId="0" fontId="15" fillId="11" borderId="0" xfId="0" applyFont="1" applyFill="1" applyAlignment="1">
      <alignment horizontal="left" vertical="center" indent="1"/>
    </xf>
    <xf numFmtId="0" fontId="14" fillId="11" borderId="0" xfId="0" applyFont="1" applyFill="1" applyAlignment="1">
      <alignment horizontal="left" vertical="center" indent="1"/>
    </xf>
    <xf numFmtId="0" fontId="0" fillId="0" borderId="3" xfId="0" applyBorder="1"/>
    <xf numFmtId="0" fontId="9" fillId="6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6" fillId="3" borderId="0" xfId="0" applyFont="1" applyFill="1"/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7" fillId="2" borderId="0" xfId="0" applyFont="1" applyFill="1"/>
    <xf numFmtId="0" fontId="9" fillId="2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164" fontId="11" fillId="9" borderId="4" xfId="0" applyNumberFormat="1" applyFont="1" applyFill="1" applyBorder="1" applyAlignment="1">
      <alignment horizontal="center" vertical="center"/>
    </xf>
    <xf numFmtId="4" fontId="11" fillId="10" borderId="4" xfId="0" applyNumberFormat="1" applyFont="1" applyFill="1" applyBorder="1" applyAlignment="1">
      <alignment horizontal="right" vertical="center"/>
    </xf>
    <xf numFmtId="165" fontId="11" fillId="9" borderId="4" xfId="0" applyNumberFormat="1" applyFont="1" applyFill="1" applyBorder="1" applyAlignment="1">
      <alignment horizontal="right" vertical="center"/>
    </xf>
    <xf numFmtId="165" fontId="11" fillId="10" borderId="4" xfId="0" applyNumberFormat="1" applyFont="1" applyFill="1" applyBorder="1" applyAlignment="1">
      <alignment horizontal="right" vertical="center"/>
    </xf>
    <xf numFmtId="0" fontId="12" fillId="11" borderId="1" xfId="0" applyFont="1" applyFill="1" applyBorder="1" applyAlignment="1">
      <alignment horizontal="center" vertical="center"/>
    </xf>
    <xf numFmtId="0" fontId="13" fillId="11" borderId="4" xfId="0" applyFont="1" applyFill="1" applyBorder="1"/>
    <xf numFmtId="0" fontId="0" fillId="11" borderId="4" xfId="0" applyFill="1" applyBorder="1"/>
    <xf numFmtId="0" fontId="9" fillId="2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164" fontId="17" fillId="0" borderId="4" xfId="0" applyNumberFormat="1" applyFont="1" applyBorder="1" applyAlignment="1">
      <alignment horizontal="center" vertical="center"/>
    </xf>
    <xf numFmtId="4" fontId="17" fillId="0" borderId="4" xfId="0" applyNumberFormat="1" applyFont="1" applyBorder="1" applyAlignment="1">
      <alignment horizontal="right" vertical="center"/>
    </xf>
    <xf numFmtId="165" fontId="18" fillId="13" borderId="4" xfId="0" applyNumberFormat="1" applyFont="1" applyFill="1" applyBorder="1" applyAlignment="1">
      <alignment horizontal="right" vertical="center"/>
    </xf>
    <xf numFmtId="165" fontId="19" fillId="14" borderId="4" xfId="0" applyNumberFormat="1" applyFont="1" applyFill="1" applyBorder="1" applyAlignment="1">
      <alignment horizontal="right" vertical="center"/>
    </xf>
    <xf numFmtId="165" fontId="20" fillId="11" borderId="4" xfId="0" applyNumberFormat="1" applyFont="1" applyFill="1" applyBorder="1" applyAlignment="1">
      <alignment horizontal="right" vertical="center"/>
    </xf>
    <xf numFmtId="165" fontId="21" fillId="13" borderId="1" xfId="0" applyNumberFormat="1" applyFont="1" applyFill="1" applyBorder="1" applyAlignment="1">
      <alignment horizontal="right" vertical="center"/>
    </xf>
    <xf numFmtId="0" fontId="22" fillId="3" borderId="1" xfId="0" applyFont="1" applyFill="1" applyBorder="1" applyAlignment="1">
      <alignment horizontal="left" vertical="center" indent="1"/>
    </xf>
    <xf numFmtId="0" fontId="0" fillId="3" borderId="1" xfId="0" applyFill="1" applyBorder="1"/>
    <xf numFmtId="165" fontId="23" fillId="3" borderId="1" xfId="0" applyNumberFormat="1" applyFont="1" applyFill="1" applyBorder="1" applyAlignment="1">
      <alignment horizontal="right" vertical="center"/>
    </xf>
    <xf numFmtId="0" fontId="25" fillId="13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left" vertical="center"/>
    </xf>
    <xf numFmtId="4" fontId="11" fillId="9" borderId="4" xfId="0" applyNumberFormat="1" applyFont="1" applyFill="1" applyBorder="1" applyAlignment="1">
      <alignment horizontal="right" vertical="center"/>
    </xf>
    <xf numFmtId="165" fontId="18" fillId="9" borderId="4" xfId="0" applyNumberFormat="1" applyFont="1" applyFill="1" applyBorder="1" applyAlignment="1">
      <alignment horizontal="right" vertical="center"/>
    </xf>
    <xf numFmtId="0" fontId="4" fillId="9" borderId="4" xfId="0" applyFont="1" applyFill="1" applyBorder="1" applyAlignment="1">
      <alignment horizontal="left" vertical="center"/>
    </xf>
    <xf numFmtId="0" fontId="26" fillId="14" borderId="4" xfId="0" applyFont="1" applyFill="1" applyBorder="1" applyAlignment="1">
      <alignment horizontal="center" vertical="center"/>
    </xf>
    <xf numFmtId="165" fontId="19" fillId="9" borderId="4" xfId="0" applyNumberFormat="1" applyFont="1" applyFill="1" applyBorder="1" applyAlignment="1">
      <alignment horizontal="right" vertical="center"/>
    </xf>
    <xf numFmtId="164" fontId="11" fillId="0" borderId="4" xfId="0" applyNumberFormat="1" applyFont="1" applyBorder="1" applyAlignment="1">
      <alignment horizontal="center" vertical="center"/>
    </xf>
    <xf numFmtId="3" fontId="11" fillId="0" borderId="4" xfId="0" applyNumberFormat="1" applyFont="1" applyBorder="1" applyAlignment="1">
      <alignment horizontal="right" vertical="center"/>
    </xf>
    <xf numFmtId="3" fontId="18" fillId="13" borderId="4" xfId="0" applyNumberFormat="1" applyFont="1" applyFill="1" applyBorder="1" applyAlignment="1">
      <alignment horizontal="right" vertical="center"/>
    </xf>
    <xf numFmtId="0" fontId="11" fillId="0" borderId="4" xfId="0" applyFont="1" applyBorder="1" applyAlignment="1">
      <alignment horizontal="left" vertical="center"/>
    </xf>
    <xf numFmtId="1" fontId="20" fillId="0" borderId="4" xfId="0" applyNumberFormat="1" applyFont="1" applyBorder="1" applyAlignment="1">
      <alignment horizontal="right" vertical="center"/>
    </xf>
    <xf numFmtId="165" fontId="11" fillId="9" borderId="0" xfId="0" applyNumberFormat="1" applyFont="1" applyFill="1" applyAlignment="1">
      <alignment horizontal="right" vertical="center"/>
    </xf>
    <xf numFmtId="165" fontId="0" fillId="0" borderId="0" xfId="0" applyNumberFormat="1"/>
    <xf numFmtId="44" fontId="1" fillId="0" borderId="0" xfId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E2020"/>
      <rgbColor rgb="FF008000"/>
      <rgbColor rgb="FF000080"/>
      <rgbColor rgb="FF7B4F00"/>
      <rgbColor rgb="FF800080"/>
      <rgbColor rgb="FF0F6E56"/>
      <rgbColor rgb="FFD3D1C7"/>
      <rgbColor rgb="FF888780"/>
      <rgbColor rgb="FF9999FF"/>
      <rgbColor rgb="FF854F0B"/>
      <rgbColor rgb="FFFAEEDA"/>
      <rgbColor rgb="FFE1F5EE"/>
      <rgbColor rgb="FF660066"/>
      <rgbColor rgb="FFFF8080"/>
      <rgbColor rgb="FF1B4F7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CCFFCC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633806"/>
      <rgbColor rgb="FFA32D2D"/>
      <rgbColor rgb="FF993366"/>
      <rgbColor rgb="FF4A235A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showGridLines="0" zoomScaleNormal="100" workbookViewId="0">
      <selection sqref="A1:F1"/>
    </sheetView>
  </sheetViews>
  <sheetFormatPr baseColWidth="10" defaultColWidth="8.7109375" defaultRowHeight="15" x14ac:dyDescent="0.25"/>
  <cols>
    <col min="1" max="1" width="32" customWidth="1"/>
    <col min="2" max="2" width="60" customWidth="1"/>
  </cols>
  <sheetData>
    <row r="1" spans="1:6" ht="36" customHeight="1" x14ac:dyDescent="0.25">
      <c r="A1" s="11" t="s">
        <v>0</v>
      </c>
      <c r="B1" s="11"/>
      <c r="C1" s="11"/>
      <c r="D1" s="11"/>
      <c r="E1" s="11"/>
      <c r="F1" s="11"/>
    </row>
    <row r="2" spans="1:6" ht="19.5" customHeight="1" x14ac:dyDescent="0.25">
      <c r="A2" s="10" t="s">
        <v>1</v>
      </c>
      <c r="B2" s="10"/>
      <c r="C2" s="10"/>
      <c r="D2" s="10"/>
      <c r="E2" s="10"/>
      <c r="F2" s="10"/>
    </row>
    <row r="5" spans="1:6" ht="15" customHeight="1" x14ac:dyDescent="0.25">
      <c r="A5" s="12"/>
      <c r="B5" s="13"/>
    </row>
    <row r="6" spans="1:6" ht="15" customHeight="1" x14ac:dyDescent="0.25">
      <c r="A6" s="9" t="s">
        <v>2</v>
      </c>
      <c r="B6" s="9"/>
      <c r="C6" s="9"/>
      <c r="D6" s="9"/>
      <c r="E6" s="9"/>
      <c r="F6" s="9"/>
    </row>
    <row r="7" spans="1:6" ht="15" customHeight="1" x14ac:dyDescent="0.25">
      <c r="A7" s="14" t="s">
        <v>3</v>
      </c>
      <c r="B7" s="14" t="s">
        <v>4</v>
      </c>
    </row>
    <row r="8" spans="1:6" ht="15" customHeight="1" x14ac:dyDescent="0.25">
      <c r="A8" s="12" t="s">
        <v>5</v>
      </c>
      <c r="B8" s="13" t="s">
        <v>6</v>
      </c>
    </row>
    <row r="9" spans="1:6" ht="15" customHeight="1" x14ac:dyDescent="0.25">
      <c r="A9" s="12" t="s">
        <v>7</v>
      </c>
      <c r="B9" s="13" t="s">
        <v>8</v>
      </c>
    </row>
    <row r="10" spans="1:6" ht="15" customHeight="1" x14ac:dyDescent="0.25">
      <c r="A10" s="12" t="s">
        <v>9</v>
      </c>
      <c r="B10" s="13" t="s">
        <v>10</v>
      </c>
    </row>
    <row r="11" spans="1:6" ht="15" customHeight="1" x14ac:dyDescent="0.25">
      <c r="A11" s="12" t="s">
        <v>11</v>
      </c>
      <c r="B11" s="13" t="s">
        <v>12</v>
      </c>
    </row>
    <row r="12" spans="1:6" ht="15" customHeight="1" x14ac:dyDescent="0.25">
      <c r="A12" s="12" t="s">
        <v>13</v>
      </c>
      <c r="B12" s="13" t="s">
        <v>14</v>
      </c>
    </row>
    <row r="13" spans="1:6" ht="15" customHeight="1" x14ac:dyDescent="0.25">
      <c r="A13" s="12" t="s">
        <v>15</v>
      </c>
      <c r="B13" s="13" t="s">
        <v>16</v>
      </c>
    </row>
    <row r="14" spans="1:6" ht="15" customHeight="1" x14ac:dyDescent="0.25">
      <c r="A14" s="12" t="s">
        <v>17</v>
      </c>
      <c r="B14" s="13" t="s">
        <v>18</v>
      </c>
    </row>
    <row r="15" spans="1:6" ht="15" customHeight="1" x14ac:dyDescent="0.25">
      <c r="A15" s="12" t="s">
        <v>19</v>
      </c>
      <c r="B15" s="13" t="s">
        <v>20</v>
      </c>
    </row>
    <row r="16" spans="1:6" ht="15" customHeight="1" x14ac:dyDescent="0.25">
      <c r="A16" s="12"/>
      <c r="B16" s="13"/>
    </row>
    <row r="17" spans="1:6" ht="15" customHeight="1" x14ac:dyDescent="0.25">
      <c r="A17" s="9" t="s">
        <v>21</v>
      </c>
      <c r="B17" s="9"/>
      <c r="C17" s="9"/>
      <c r="D17" s="9"/>
      <c r="E17" s="9"/>
      <c r="F17" s="9"/>
    </row>
    <row r="18" spans="1:6" ht="15" customHeight="1" x14ac:dyDescent="0.25">
      <c r="A18" s="14" t="s">
        <v>22</v>
      </c>
      <c r="B18" s="14" t="s">
        <v>23</v>
      </c>
    </row>
    <row r="19" spans="1:6" ht="15" customHeight="1" x14ac:dyDescent="0.25">
      <c r="A19" s="12" t="s">
        <v>24</v>
      </c>
      <c r="B19" s="13" t="s">
        <v>25</v>
      </c>
    </row>
    <row r="20" spans="1:6" ht="15" customHeight="1" x14ac:dyDescent="0.25">
      <c r="A20" s="12" t="s">
        <v>26</v>
      </c>
      <c r="B20" s="13" t="s">
        <v>27</v>
      </c>
    </row>
    <row r="21" spans="1:6" ht="15" customHeight="1" x14ac:dyDescent="0.25">
      <c r="A21" s="12" t="s">
        <v>28</v>
      </c>
      <c r="B21" s="13" t="s">
        <v>29</v>
      </c>
    </row>
    <row r="22" spans="1:6" ht="15" customHeight="1" x14ac:dyDescent="0.25">
      <c r="A22" s="12" t="s">
        <v>30</v>
      </c>
      <c r="B22" s="13" t="s">
        <v>31</v>
      </c>
    </row>
    <row r="23" spans="1:6" ht="15" customHeight="1" x14ac:dyDescent="0.25">
      <c r="A23" s="12"/>
      <c r="B23" s="13"/>
    </row>
    <row r="24" spans="1:6" ht="15" customHeight="1" x14ac:dyDescent="0.25">
      <c r="A24" s="9" t="s">
        <v>32</v>
      </c>
      <c r="B24" s="9"/>
      <c r="C24" s="9"/>
      <c r="D24" s="9"/>
      <c r="E24" s="9"/>
      <c r="F24" s="9"/>
    </row>
    <row r="25" spans="1:6" ht="15" customHeight="1" x14ac:dyDescent="0.25">
      <c r="A25" s="12" t="s">
        <v>33</v>
      </c>
      <c r="B25" s="13" t="s">
        <v>34</v>
      </c>
    </row>
    <row r="26" spans="1:6" ht="15" customHeight="1" x14ac:dyDescent="0.25">
      <c r="A26" s="12" t="s">
        <v>35</v>
      </c>
      <c r="B26" s="13" t="s">
        <v>36</v>
      </c>
    </row>
    <row r="27" spans="1:6" ht="15" customHeight="1" x14ac:dyDescent="0.25">
      <c r="A27" s="12" t="s">
        <v>37</v>
      </c>
      <c r="B27" s="13" t="s">
        <v>38</v>
      </c>
    </row>
    <row r="28" spans="1:6" ht="15" customHeight="1" x14ac:dyDescent="0.25">
      <c r="A28" s="12" t="s">
        <v>39</v>
      </c>
      <c r="B28" s="13" t="s">
        <v>40</v>
      </c>
    </row>
    <row r="29" spans="1:6" ht="15" customHeight="1" x14ac:dyDescent="0.25">
      <c r="A29" s="12" t="s">
        <v>41</v>
      </c>
      <c r="B29" s="13" t="s">
        <v>42</v>
      </c>
    </row>
    <row r="30" spans="1:6" ht="15" customHeight="1" x14ac:dyDescent="0.25">
      <c r="A30" s="12" t="s">
        <v>43</v>
      </c>
      <c r="B30" s="13" t="s">
        <v>44</v>
      </c>
    </row>
    <row r="31" spans="1:6" ht="15" customHeight="1" x14ac:dyDescent="0.25">
      <c r="A31" s="12" t="s">
        <v>45</v>
      </c>
      <c r="B31" s="13" t="s">
        <v>46</v>
      </c>
    </row>
    <row r="32" spans="1:6" ht="15" customHeight="1" x14ac:dyDescent="0.25">
      <c r="A32" s="12"/>
      <c r="B32" s="13"/>
    </row>
    <row r="33" spans="1:6" ht="15" customHeight="1" x14ac:dyDescent="0.25">
      <c r="A33" s="9" t="s">
        <v>47</v>
      </c>
      <c r="B33" s="9"/>
      <c r="C33" s="9"/>
      <c r="D33" s="9"/>
      <c r="E33" s="9"/>
      <c r="F33" s="9"/>
    </row>
    <row r="34" spans="1:6" ht="15" customHeight="1" x14ac:dyDescent="0.25">
      <c r="A34" s="12" t="s">
        <v>48</v>
      </c>
      <c r="B34" s="13" t="s">
        <v>49</v>
      </c>
    </row>
    <row r="35" spans="1:6" ht="15" customHeight="1" x14ac:dyDescent="0.25">
      <c r="A35" s="12" t="s">
        <v>48</v>
      </c>
      <c r="B35" s="13" t="s">
        <v>50</v>
      </c>
    </row>
    <row r="36" spans="1:6" ht="15" customHeight="1" x14ac:dyDescent="0.25">
      <c r="A36" s="12" t="s">
        <v>48</v>
      </c>
      <c r="B36" s="13" t="s">
        <v>51</v>
      </c>
    </row>
    <row r="37" spans="1:6" ht="15" customHeight="1" x14ac:dyDescent="0.25">
      <c r="A37" s="12" t="s">
        <v>48</v>
      </c>
      <c r="B37" s="13" t="s">
        <v>52</v>
      </c>
    </row>
    <row r="38" spans="1:6" ht="15" customHeight="1" x14ac:dyDescent="0.25">
      <c r="A38" s="12" t="s">
        <v>48</v>
      </c>
      <c r="B38" s="13" t="s">
        <v>53</v>
      </c>
    </row>
  </sheetData>
  <mergeCells count="6">
    <mergeCell ref="A33:F33"/>
    <mergeCell ref="A1:F1"/>
    <mergeCell ref="A2:F2"/>
    <mergeCell ref="A6:F6"/>
    <mergeCell ref="A17:F17"/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7"/>
  <sheetViews>
    <sheetView showGridLines="0" zoomScaleNormal="100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AJ5" sqref="AJ5"/>
    </sheetView>
  </sheetViews>
  <sheetFormatPr baseColWidth="10" defaultColWidth="8.7109375" defaultRowHeight="15" x14ac:dyDescent="0.25"/>
  <cols>
    <col min="1" max="1" width="16.42578125" bestFit="1" customWidth="1"/>
    <col min="2" max="2" width="27.5703125" bestFit="1" customWidth="1"/>
    <col min="3" max="3" width="7.140625" bestFit="1" customWidth="1"/>
    <col min="4" max="4" width="12.7109375" bestFit="1" customWidth="1"/>
    <col min="5" max="5" width="13.7109375" bestFit="1" customWidth="1"/>
    <col min="6" max="6" width="15.42578125" bestFit="1" customWidth="1"/>
    <col min="7" max="8" width="9.140625" bestFit="1" customWidth="1"/>
    <col min="9" max="9" width="12.7109375" bestFit="1" customWidth="1"/>
    <col min="10" max="10" width="12.85546875" bestFit="1" customWidth="1"/>
    <col min="11" max="11" width="9.28515625" bestFit="1" customWidth="1"/>
    <col min="12" max="12" width="9.140625" bestFit="1" customWidth="1"/>
    <col min="13" max="13" width="10.140625" bestFit="1" customWidth="1"/>
    <col min="14" max="14" width="9" bestFit="1" customWidth="1"/>
    <col min="15" max="15" width="9.42578125" bestFit="1" customWidth="1"/>
    <col min="16" max="16" width="10.140625" bestFit="1" customWidth="1"/>
    <col min="17" max="17" width="11.140625" bestFit="1" customWidth="1"/>
    <col min="18" max="18" width="8.28515625" bestFit="1" customWidth="1"/>
    <col min="19" max="20" width="9.42578125" bestFit="1" customWidth="1"/>
    <col min="21" max="21" width="11.140625" bestFit="1" customWidth="1"/>
    <col min="22" max="22" width="9.7109375" bestFit="1" customWidth="1"/>
    <col min="23" max="23" width="6.5703125" bestFit="1" customWidth="1"/>
    <col min="24" max="25" width="12.7109375" bestFit="1" customWidth="1"/>
    <col min="26" max="26" width="11.140625" bestFit="1" customWidth="1"/>
    <col min="27" max="27" width="12.7109375" bestFit="1" customWidth="1"/>
    <col min="28" max="28" width="11.140625" bestFit="1" customWidth="1"/>
    <col min="29" max="29" width="9.7109375" bestFit="1" customWidth="1"/>
    <col min="30" max="30" width="8.7109375" bestFit="1" customWidth="1"/>
    <col min="31" max="31" width="7.5703125" bestFit="1" customWidth="1"/>
    <col min="32" max="32" width="11" bestFit="1" customWidth="1"/>
    <col min="33" max="35" width="12.7109375" bestFit="1" customWidth="1"/>
    <col min="36" max="36" width="10.42578125" bestFit="1" customWidth="1"/>
    <col min="37" max="37" width="24.28515625" bestFit="1" customWidth="1"/>
  </cols>
  <sheetData>
    <row r="1" spans="1:39" ht="27.75" customHeight="1" x14ac:dyDescent="0.25">
      <c r="A1" s="8" t="s">
        <v>54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9" ht="21.75" customHeight="1" x14ac:dyDescent="0.25">
      <c r="A2" s="15" t="s">
        <v>55</v>
      </c>
      <c r="B2" s="15" t="s">
        <v>56</v>
      </c>
      <c r="C2" s="7" t="s">
        <v>57</v>
      </c>
      <c r="D2" s="7"/>
      <c r="E2" s="7"/>
      <c r="F2" s="7"/>
      <c r="G2" s="7"/>
      <c r="H2" s="7"/>
      <c r="I2" s="7"/>
      <c r="J2" s="6" t="s">
        <v>58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5" t="s">
        <v>59</v>
      </c>
      <c r="X2" s="5"/>
      <c r="Y2" s="5"/>
      <c r="Z2" s="5"/>
      <c r="AA2" s="5"/>
      <c r="AB2" s="5"/>
      <c r="AC2" s="5"/>
      <c r="AD2" s="5"/>
      <c r="AE2" s="5"/>
      <c r="AF2" s="16"/>
      <c r="AG2" s="4"/>
      <c r="AH2" s="4"/>
      <c r="AI2" s="4"/>
      <c r="AJ2" s="4"/>
    </row>
    <row r="3" spans="1:39" ht="36" customHeight="1" x14ac:dyDescent="0.25">
      <c r="A3" s="17" t="s">
        <v>60</v>
      </c>
      <c r="B3" s="17" t="s">
        <v>61</v>
      </c>
      <c r="C3" s="18" t="s">
        <v>62</v>
      </c>
      <c r="D3" s="18" t="s">
        <v>63</v>
      </c>
      <c r="E3" s="18" t="s">
        <v>64</v>
      </c>
      <c r="F3" s="18" t="s">
        <v>65</v>
      </c>
      <c r="G3" s="18" t="s">
        <v>66</v>
      </c>
      <c r="H3" s="18" t="s">
        <v>67</v>
      </c>
      <c r="I3" s="18" t="s">
        <v>68</v>
      </c>
      <c r="J3" s="19" t="s">
        <v>69</v>
      </c>
      <c r="K3" s="19" t="s">
        <v>70</v>
      </c>
      <c r="L3" s="19" t="s">
        <v>71</v>
      </c>
      <c r="M3" s="19" t="s">
        <v>72</v>
      </c>
      <c r="N3" s="19" t="s">
        <v>73</v>
      </c>
      <c r="O3" s="19" t="s">
        <v>74</v>
      </c>
      <c r="P3" s="19" t="s">
        <v>75</v>
      </c>
      <c r="Q3" s="19" t="s">
        <v>76</v>
      </c>
      <c r="R3" s="19" t="s">
        <v>77</v>
      </c>
      <c r="S3" s="19" t="s">
        <v>78</v>
      </c>
      <c r="T3" s="19" t="s">
        <v>79</v>
      </c>
      <c r="U3" s="19" t="s">
        <v>80</v>
      </c>
      <c r="V3" s="19" t="s">
        <v>81</v>
      </c>
      <c r="W3" s="20" t="s">
        <v>82</v>
      </c>
      <c r="X3" s="20" t="s">
        <v>83</v>
      </c>
      <c r="Y3" s="20" t="s">
        <v>84</v>
      </c>
      <c r="Z3" s="21" t="s">
        <v>85</v>
      </c>
      <c r="AA3" s="20" t="s">
        <v>86</v>
      </c>
      <c r="AB3" s="20" t="s">
        <v>87</v>
      </c>
      <c r="AC3" s="20" t="s">
        <v>88</v>
      </c>
      <c r="AD3" s="20" t="s">
        <v>89</v>
      </c>
      <c r="AE3" s="20" t="s">
        <v>90</v>
      </c>
      <c r="AF3" s="22" t="s">
        <v>91</v>
      </c>
      <c r="AG3" s="23" t="s">
        <v>92</v>
      </c>
      <c r="AH3" s="23" t="s">
        <v>93</v>
      </c>
      <c r="AI3" s="23" t="s">
        <v>94</v>
      </c>
      <c r="AJ3" s="23" t="s">
        <v>95</v>
      </c>
    </row>
    <row r="4" spans="1:39" ht="15.75" customHeight="1" x14ac:dyDescent="0.25">
      <c r="A4" s="24">
        <v>46148</v>
      </c>
      <c r="B4" s="25">
        <v>1394</v>
      </c>
      <c r="C4" s="26">
        <v>0</v>
      </c>
      <c r="D4" s="26">
        <v>1004100985</v>
      </c>
      <c r="E4" s="26">
        <v>169968000</v>
      </c>
      <c r="F4" s="26">
        <v>154116000</v>
      </c>
      <c r="G4" s="26">
        <v>5631000</v>
      </c>
      <c r="H4" s="26">
        <v>2000000</v>
      </c>
      <c r="I4" s="26">
        <v>1157142384</v>
      </c>
      <c r="J4" s="26">
        <v>164021678</v>
      </c>
      <c r="K4" s="26">
        <v>0</v>
      </c>
      <c r="L4" s="26">
        <v>8902350</v>
      </c>
      <c r="M4" s="26">
        <v>0</v>
      </c>
      <c r="N4" s="26">
        <v>0</v>
      </c>
      <c r="O4" s="26">
        <v>0</v>
      </c>
      <c r="P4" s="26">
        <f>8169453+7200000</f>
        <v>15369453</v>
      </c>
      <c r="Q4" s="26">
        <v>196498507</v>
      </c>
      <c r="R4" s="26">
        <v>0</v>
      </c>
      <c r="S4" s="26">
        <v>0</v>
      </c>
      <c r="T4" s="26">
        <v>0</v>
      </c>
      <c r="U4" s="26">
        <v>180000000</v>
      </c>
      <c r="V4" s="26">
        <v>0</v>
      </c>
      <c r="W4" s="26">
        <v>0</v>
      </c>
      <c r="X4" s="26">
        <v>1105183352</v>
      </c>
      <c r="Y4" s="26">
        <v>3123849992</v>
      </c>
      <c r="Z4" s="26">
        <v>202734656.16865012</v>
      </c>
      <c r="AA4" s="26">
        <v>7025155800</v>
      </c>
      <c r="AB4" s="54">
        <v>1196248</v>
      </c>
      <c r="AC4" s="26">
        <v>9000000</v>
      </c>
      <c r="AD4" s="26">
        <v>141199.46727549468</v>
      </c>
      <c r="AE4" s="26">
        <f>160000+120000</f>
        <v>280000</v>
      </c>
      <c r="AF4" s="26">
        <v>12797567.936000001</v>
      </c>
      <c r="AG4" s="26">
        <v>5582721359</v>
      </c>
      <c r="AH4" s="26">
        <v>2680599046.96</v>
      </c>
      <c r="AI4" s="26">
        <v>8928795828</v>
      </c>
      <c r="AJ4" s="26">
        <v>67392000</v>
      </c>
      <c r="AK4" s="26"/>
    </row>
    <row r="5" spans="1:39" ht="15.75" customHeight="1" x14ac:dyDescent="0.25">
      <c r="A5" s="24"/>
      <c r="B5" s="25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7"/>
      <c r="AC5" s="27"/>
      <c r="AD5" s="27"/>
      <c r="AE5" s="27"/>
      <c r="AF5" s="27"/>
      <c r="AG5" s="26"/>
      <c r="AH5" s="26"/>
      <c r="AI5" s="26"/>
      <c r="AJ5" s="26"/>
      <c r="AK5" s="26" t="s">
        <v>96</v>
      </c>
    </row>
    <row r="6" spans="1:39" ht="15.75" customHeight="1" x14ac:dyDescent="0.25">
      <c r="A6" s="24"/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7"/>
      <c r="AC6" s="27"/>
      <c r="AD6" s="27"/>
      <c r="AE6" s="27"/>
      <c r="AF6" s="27"/>
      <c r="AG6" s="26"/>
      <c r="AH6" s="26"/>
      <c r="AI6" s="26"/>
      <c r="AJ6" s="26"/>
      <c r="AK6" s="26" t="s">
        <v>97</v>
      </c>
    </row>
    <row r="7" spans="1:39" ht="15.75" customHeight="1" x14ac:dyDescent="0.25">
      <c r="A7" s="24"/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7"/>
      <c r="AC7" s="27"/>
      <c r="AD7" s="27"/>
      <c r="AE7" s="27"/>
      <c r="AF7" s="27"/>
      <c r="AG7" s="26"/>
      <c r="AH7" s="26"/>
      <c r="AI7" s="26"/>
      <c r="AJ7" s="26"/>
      <c r="AK7" s="26"/>
    </row>
    <row r="8" spans="1:39" ht="15.75" customHeight="1" x14ac:dyDescent="0.25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7"/>
      <c r="AC8" s="27"/>
      <c r="AD8" s="27"/>
      <c r="AE8" s="27"/>
      <c r="AF8" s="27"/>
      <c r="AG8" s="26"/>
      <c r="AH8" s="26"/>
      <c r="AI8" s="26"/>
      <c r="AJ8" s="26"/>
      <c r="AK8" s="26" t="s">
        <v>98</v>
      </c>
    </row>
    <row r="9" spans="1:39" ht="18" customHeight="1" x14ac:dyDescent="0.25">
      <c r="A9" s="28" t="s">
        <v>99</v>
      </c>
      <c r="B9" s="29" t="s">
        <v>100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</row>
    <row r="10" spans="1:39" ht="15.75" customHeight="1" x14ac:dyDescent="0.25">
      <c r="A10" s="3" t="s">
        <v>101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3" spans="1:39" x14ac:dyDescent="0.25">
      <c r="J13" s="55"/>
    </row>
    <row r="14" spans="1:39" x14ac:dyDescent="0.25">
      <c r="J14" s="56"/>
    </row>
    <row r="15" spans="1:39" x14ac:dyDescent="0.25">
      <c r="D15" t="s">
        <v>154</v>
      </c>
      <c r="E15" s="55">
        <f>+D4+E4+F4+G4+H4+I4+AG4+AH4</f>
        <v>10756278774.959999</v>
      </c>
      <c r="F15">
        <f>+E15/B4</f>
        <v>7716125.3765853653</v>
      </c>
    </row>
    <row r="16" spans="1:39" x14ac:dyDescent="0.25">
      <c r="D16" t="s">
        <v>155</v>
      </c>
      <c r="E16" s="55">
        <f>+AF4</f>
        <v>12797567.936000001</v>
      </c>
      <c r="F16" s="55">
        <f>+E16</f>
        <v>12797567.936000001</v>
      </c>
    </row>
    <row r="17" spans="6:6" x14ac:dyDescent="0.25">
      <c r="F17" s="56">
        <f>SUM(F15:F16)</f>
        <v>20513693.312585365</v>
      </c>
    </row>
  </sheetData>
  <mergeCells count="6">
    <mergeCell ref="A10:AJ10"/>
    <mergeCell ref="A1:Z1"/>
    <mergeCell ref="C2:I2"/>
    <mergeCell ref="J2:V2"/>
    <mergeCell ref="W2:AE2"/>
    <mergeCell ref="AG2:A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13" sqref="F13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18" customWidth="1"/>
    <col min="4" max="4" width="16" customWidth="1"/>
    <col min="5" max="5" width="18" customWidth="1"/>
    <col min="6" max="7" width="14" customWidth="1"/>
    <col min="8" max="8" width="18" customWidth="1"/>
    <col min="10" max="10" width="15.42578125" bestFit="1" customWidth="1"/>
  </cols>
  <sheetData>
    <row r="1" spans="1:10" ht="27.75" customHeight="1" x14ac:dyDescent="0.25">
      <c r="A1" s="8" t="s">
        <v>102</v>
      </c>
      <c r="B1" s="8"/>
      <c r="C1" s="8"/>
      <c r="D1" s="8"/>
      <c r="E1" s="8"/>
      <c r="F1" s="8"/>
      <c r="G1" s="8"/>
      <c r="H1" s="8"/>
    </row>
    <row r="2" spans="1:10" ht="18" customHeight="1" x14ac:dyDescent="0.25">
      <c r="A2" s="2" t="s">
        <v>103</v>
      </c>
      <c r="B2" s="2"/>
      <c r="C2" s="2"/>
      <c r="D2" s="2"/>
      <c r="E2" s="2"/>
      <c r="F2" s="2"/>
      <c r="G2" s="2"/>
      <c r="H2" s="2"/>
    </row>
    <row r="3" spans="1:10" ht="31.5" customHeight="1" x14ac:dyDescent="0.25">
      <c r="A3" s="31" t="s">
        <v>60</v>
      </c>
      <c r="B3" s="31" t="s">
        <v>104</v>
      </c>
      <c r="C3" s="31" t="s">
        <v>105</v>
      </c>
      <c r="D3" s="31" t="s">
        <v>106</v>
      </c>
      <c r="E3" s="31" t="s">
        <v>107</v>
      </c>
      <c r="F3" s="32" t="s">
        <v>108</v>
      </c>
      <c r="G3" s="32" t="s">
        <v>109</v>
      </c>
      <c r="H3" s="31" t="s">
        <v>110</v>
      </c>
    </row>
    <row r="4" spans="1:10" ht="15.75" customHeight="1" x14ac:dyDescent="0.25">
      <c r="A4" s="33">
        <f>CARGA_DIARIA!A4</f>
        <v>46148</v>
      </c>
      <c r="B4" s="34">
        <f>CARGA_DIARIA!B4</f>
        <v>1394</v>
      </c>
      <c r="C4" s="35">
        <f>IF(CARGA_DIARIA!B4=0,0,(CARGA_DIARIA!C4+CARGA_DIARIA!D4+CARGA_DIARIA!E4+CARGA_DIARIA!F4+CARGA_DIARIA!G4+CARGA_DIARIA!H4+CARGA_DIARIA!I4+CARGA_DIARIA!AG4+CARGA_DIARIA!AH4+CARGA_DIARIA!AI4+CARGA_DIARIA!AJ4)/CARGA_DIARIA!B4+CARGA_DIARIA!AF4)</f>
        <v>26967199.645440459</v>
      </c>
      <c r="D4" s="36">
        <f>IF(CARGA_DIARIA!B4=0,0,(CARGA_DIARIA!J4+CARGA_DIARIA!K4+CARGA_DIARIA!L4+CARGA_DIARIA!M4+CARGA_DIARIA!N4+CARGA_DIARIA!O4+CARGA_DIARIA!P4+CARGA_DIARIA!Q4+CARGA_DIARIA!R4+CARGA_DIARIA!S4+CARGA_DIARIA!T4+CARGA_DIARIA!U4+CARGA_DIARIA!V4+CARGA_DIARIA!W4)/CARGA_DIARIA!B4)</f>
        <v>405159.24533715926</v>
      </c>
      <c r="E4" s="36">
        <f>IF(CARGA_DIARIA!B4=0,0,(CARGA_DIARIA!X4+CARGA_DIARIA!Y4+CARGA_DIARIA!Z4+CARGA_DIARIA!AA4)/CARGA_DIARIA!B4+CARGA_DIARIA!AB4+CARGA_DIARIA!AC4+CARGA_DIARIA!AD4+CARGA_DIARIA!AE4)</f>
        <v>18836187.639562905</v>
      </c>
      <c r="F4" s="35"/>
      <c r="G4" s="37"/>
      <c r="H4" s="38">
        <f>C4-D4-E4</f>
        <v>7725852.760540396</v>
      </c>
      <c r="I4" s="55"/>
      <c r="J4" s="56"/>
    </row>
    <row r="5" spans="1:10" ht="15.75" customHeight="1" x14ac:dyDescent="0.25">
      <c r="A5" s="33">
        <f>CARGA_DIARIA!A5</f>
        <v>0</v>
      </c>
      <c r="B5" s="34">
        <f>CARGA_DIARIA!B5</f>
        <v>0</v>
      </c>
      <c r="C5" s="35">
        <f>IF(CARGA_DIARIA!B5=0,0,(CARGA_DIARIA!C5+CARGA_DIARIA!D5+CARGA_DIARIA!E5+CARGA_DIARIA!F5+CARGA_DIARIA!G5+CARGA_DIARIA!H5+CARGA_DIARIA!I5+CARGA_DIARIA!AG5+CARGA_DIARIA!AH5+CARGA_DIARIA!AI5+CARGA_DIARIA!AJ5)/CARGA_DIARIA!B5+CARGA_DIARIA!AF5)</f>
        <v>0</v>
      </c>
      <c r="D5" s="36">
        <f>IF(CARGA_DIARIA!B5=0,0,(CARGA_DIARIA!J5+CARGA_DIARIA!K5+CARGA_DIARIA!L5+CARGA_DIARIA!M5+CARGA_DIARIA!N5+CARGA_DIARIA!O5+CARGA_DIARIA!P5+CARGA_DIARIA!Q5+CARGA_DIARIA!R5+CARGA_DIARIA!S5+CARGA_DIARIA!T5+CARGA_DIARIA!U5+CARGA_DIARIA!V5+CARGA_DIARIA!W5)/CARGA_DIARIA!B5)</f>
        <v>0</v>
      </c>
      <c r="E5" s="36">
        <f>IF(CARGA_DIARIA!B5=0,0,(CARGA_DIARIA!X5+CARGA_DIARIA!Y5+CARGA_DIARIA!Z5+CARGA_DIARIA!AA5)/CARGA_DIARIA!B5+CARGA_DIARIA!AB5+CARGA_DIARIA!AC5+CARGA_DIARIA!AD5+CARGA_DIARIA!AE5)</f>
        <v>0</v>
      </c>
      <c r="F5" s="35"/>
      <c r="G5" s="37"/>
      <c r="H5" s="38">
        <f>C5-D5-E5</f>
        <v>0</v>
      </c>
    </row>
    <row r="6" spans="1:10" ht="15.75" customHeight="1" x14ac:dyDescent="0.25">
      <c r="A6" s="33">
        <f>CARGA_DIARIA!A6</f>
        <v>0</v>
      </c>
      <c r="B6" s="34">
        <f>CARGA_DIARIA!B6</f>
        <v>0</v>
      </c>
      <c r="C6" s="35">
        <f>IF(CARGA_DIARIA!B6=0,0,(CARGA_DIARIA!C6+CARGA_DIARIA!D6+CARGA_DIARIA!E6+CARGA_DIARIA!F6+CARGA_DIARIA!G6+CARGA_DIARIA!H6+CARGA_DIARIA!I6+CARGA_DIARIA!AG6+CARGA_DIARIA!AH6+CARGA_DIARIA!AI6+CARGA_DIARIA!AJ6)/CARGA_DIARIA!B6+CARGA_DIARIA!AF6)</f>
        <v>0</v>
      </c>
      <c r="D6" s="36">
        <f>IF(CARGA_DIARIA!B6=0,0,(CARGA_DIARIA!J6+CARGA_DIARIA!K6+CARGA_DIARIA!L6+CARGA_DIARIA!M6+CARGA_DIARIA!N6+CARGA_DIARIA!O6+CARGA_DIARIA!P6+CARGA_DIARIA!Q6+CARGA_DIARIA!R6+CARGA_DIARIA!S6+CARGA_DIARIA!T6+CARGA_DIARIA!U6+CARGA_DIARIA!V6+CARGA_DIARIA!W6)/CARGA_DIARIA!B6)</f>
        <v>0</v>
      </c>
      <c r="E6" s="36">
        <f>IF(CARGA_DIARIA!B6=0,0,(CARGA_DIARIA!X6+CARGA_DIARIA!Y6+CARGA_DIARIA!Z6+CARGA_DIARIA!AA6)/CARGA_DIARIA!B6+CARGA_DIARIA!AB6+CARGA_DIARIA!AC6+CARGA_DIARIA!AD6+CARGA_DIARIA!AE6)</f>
        <v>0</v>
      </c>
      <c r="F6" s="35"/>
      <c r="G6" s="37"/>
      <c r="H6" s="38">
        <f>C6-D6-E6</f>
        <v>0</v>
      </c>
    </row>
    <row r="7" spans="1:10" ht="15.75" customHeight="1" x14ac:dyDescent="0.25">
      <c r="A7" s="33">
        <f>CARGA_DIARIA!A7</f>
        <v>0</v>
      </c>
      <c r="B7" s="34">
        <f>CARGA_DIARIA!B7</f>
        <v>0</v>
      </c>
      <c r="C7" s="35">
        <f>IF(CARGA_DIARIA!B7=0,0,(CARGA_DIARIA!C7+CARGA_DIARIA!D7+CARGA_DIARIA!E7+CARGA_DIARIA!F7+CARGA_DIARIA!G7+CARGA_DIARIA!H7+CARGA_DIARIA!I7+CARGA_DIARIA!AG7+CARGA_DIARIA!AH7+CARGA_DIARIA!AI7+CARGA_DIARIA!AJ7)/CARGA_DIARIA!B7+CARGA_DIARIA!AF7)</f>
        <v>0</v>
      </c>
      <c r="D7" s="36">
        <f>IF(CARGA_DIARIA!B7=0,0,(CARGA_DIARIA!J7+CARGA_DIARIA!K7+CARGA_DIARIA!L7+CARGA_DIARIA!M7+CARGA_DIARIA!N7+CARGA_DIARIA!O7+CARGA_DIARIA!P7+CARGA_DIARIA!Q7+CARGA_DIARIA!R7+CARGA_DIARIA!S7+CARGA_DIARIA!T7+CARGA_DIARIA!U7+CARGA_DIARIA!V7+CARGA_DIARIA!W7)/CARGA_DIARIA!B7)</f>
        <v>0</v>
      </c>
      <c r="E7" s="36">
        <f>IF(CARGA_DIARIA!B7=0,0,(CARGA_DIARIA!X7+CARGA_DIARIA!Y7+CARGA_DIARIA!Z7+CARGA_DIARIA!AA7)/CARGA_DIARIA!B7+CARGA_DIARIA!AB7+CARGA_DIARIA!AC7+CARGA_DIARIA!AD7+CARGA_DIARIA!AE7)</f>
        <v>0</v>
      </c>
      <c r="F7" s="35"/>
      <c r="G7" s="37"/>
      <c r="H7" s="38">
        <f>C7-D7-E7</f>
        <v>0</v>
      </c>
    </row>
    <row r="8" spans="1:10" ht="15.75" customHeight="1" x14ac:dyDescent="0.25">
      <c r="A8" s="33">
        <f>CARGA_DIARIA!A8</f>
        <v>0</v>
      </c>
      <c r="B8" s="34">
        <f>CARGA_DIARIA!B8</f>
        <v>0</v>
      </c>
      <c r="C8" s="35">
        <f>IF(CARGA_DIARIA!B8=0,0,(CARGA_DIARIA!C8+CARGA_DIARIA!D8+CARGA_DIARIA!E8+CARGA_DIARIA!F8+CARGA_DIARIA!G8+CARGA_DIARIA!H8+CARGA_DIARIA!I8+CARGA_DIARIA!AG8+CARGA_DIARIA!AH8+CARGA_DIARIA!AI8+CARGA_DIARIA!AJ8)/CARGA_DIARIA!B8+CARGA_DIARIA!AF8)</f>
        <v>0</v>
      </c>
      <c r="D8" s="36">
        <f>IF(CARGA_DIARIA!B8=0,0,(CARGA_DIARIA!J8+CARGA_DIARIA!K8+CARGA_DIARIA!L8+CARGA_DIARIA!M8+CARGA_DIARIA!N8+CARGA_DIARIA!O8+CARGA_DIARIA!P8+CARGA_DIARIA!Q8+CARGA_DIARIA!R8+CARGA_DIARIA!S8+CARGA_DIARIA!T8+CARGA_DIARIA!U8+CARGA_DIARIA!V8+CARGA_DIARIA!W8)/CARGA_DIARIA!B8)</f>
        <v>0</v>
      </c>
      <c r="E8" s="36">
        <f>IF(CARGA_DIARIA!B8=0,0,(CARGA_DIARIA!X8+CARGA_DIARIA!Y8+CARGA_DIARIA!Z8+CARGA_DIARIA!AA8)/CARGA_DIARIA!B8+CARGA_DIARIA!AB8+CARGA_DIARIA!AC8+CARGA_DIARIA!AD8+CARGA_DIARIA!AE8)</f>
        <v>0</v>
      </c>
      <c r="F8" s="35"/>
      <c r="G8" s="37"/>
      <c r="H8" s="38">
        <f>C8-D8-E8</f>
        <v>0</v>
      </c>
    </row>
    <row r="9" spans="1:10" ht="19.5" customHeight="1" x14ac:dyDescent="0.25">
      <c r="A9" s="39" t="s">
        <v>111</v>
      </c>
      <c r="B9" s="40"/>
      <c r="C9" s="41">
        <f>IFERROR(AVERAGE(C4:C8),"-")</f>
        <v>5393439.9290880915</v>
      </c>
      <c r="D9" s="41">
        <f>IFERROR(AVERAGE(D4:D8),"-")</f>
        <v>81031.849067431845</v>
      </c>
      <c r="E9" s="41">
        <f>IFERROR(AVERAGE(E4:E8),"-")</f>
        <v>3767237.5279125809</v>
      </c>
      <c r="F9" s="41" t="s">
        <v>112</v>
      </c>
      <c r="G9" s="41" t="s">
        <v>112</v>
      </c>
      <c r="H9" s="41">
        <f>IFERROR(AVERAGE(H4:H8),"-")</f>
        <v>1545170.5521080792</v>
      </c>
    </row>
    <row r="11" spans="1:10" x14ac:dyDescent="0.25">
      <c r="D11" s="55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showGridLines="0" zoomScaleNormal="100" workbookViewId="0">
      <pane ySplit="3" topLeftCell="A4" activePane="bottomLeft" state="frozen"/>
      <selection pane="bottomLeft" sqref="A1:G1"/>
    </sheetView>
  </sheetViews>
  <sheetFormatPr baseColWidth="10" defaultColWidth="8.7109375" defaultRowHeight="15" x14ac:dyDescent="0.25"/>
  <cols>
    <col min="1" max="1" width="14" customWidth="1"/>
    <col min="2" max="2" width="10" customWidth="1"/>
    <col min="3" max="3" width="42" customWidth="1"/>
    <col min="4" max="4" width="18" customWidth="1"/>
    <col min="5" max="5" width="12" customWidth="1"/>
    <col min="6" max="6" width="14" customWidth="1"/>
    <col min="7" max="7" width="12" customWidth="1"/>
  </cols>
  <sheetData>
    <row r="1" spans="1:7" ht="27.75" customHeight="1" x14ac:dyDescent="0.25">
      <c r="A1" s="8" t="s">
        <v>113</v>
      </c>
      <c r="B1" s="8"/>
      <c r="C1" s="8"/>
      <c r="D1" s="8"/>
      <c r="E1" s="8"/>
      <c r="F1" s="8"/>
      <c r="G1" s="8"/>
    </row>
    <row r="2" spans="1:7" ht="15.75" customHeight="1" x14ac:dyDescent="0.25">
      <c r="A2" s="1" t="s">
        <v>114</v>
      </c>
      <c r="B2" s="1"/>
      <c r="C2" s="1"/>
      <c r="D2" s="1"/>
      <c r="E2" s="1"/>
      <c r="F2" s="1"/>
      <c r="G2" s="1"/>
    </row>
    <row r="3" spans="1:7" ht="21.75" customHeight="1" x14ac:dyDescent="0.25">
      <c r="A3" s="31" t="s">
        <v>60</v>
      </c>
      <c r="B3" s="31" t="s">
        <v>115</v>
      </c>
      <c r="C3" s="31" t="s">
        <v>116</v>
      </c>
      <c r="D3" s="31" t="s">
        <v>117</v>
      </c>
      <c r="E3" s="31" t="s">
        <v>118</v>
      </c>
      <c r="F3" s="31" t="s">
        <v>119</v>
      </c>
      <c r="G3" s="31" t="s">
        <v>120</v>
      </c>
    </row>
    <row r="4" spans="1:7" ht="15.75" customHeight="1" x14ac:dyDescent="0.25">
      <c r="A4" s="24">
        <v>46148</v>
      </c>
      <c r="B4" s="42" t="s">
        <v>121</v>
      </c>
      <c r="C4" s="43" t="s">
        <v>122</v>
      </c>
      <c r="D4" s="26">
        <v>42000000</v>
      </c>
      <c r="E4" s="44">
        <v>1197</v>
      </c>
      <c r="F4" s="45">
        <f t="shared" ref="F4:F12" si="0">IFERROR(D4/E4,0)</f>
        <v>35087.719298245611</v>
      </c>
      <c r="G4" s="46" t="s">
        <v>123</v>
      </c>
    </row>
    <row r="5" spans="1:7" ht="15.75" customHeight="1" x14ac:dyDescent="0.25">
      <c r="A5" s="24">
        <v>46149</v>
      </c>
      <c r="B5" s="47" t="s">
        <v>124</v>
      </c>
      <c r="C5" s="43" t="s">
        <v>125</v>
      </c>
      <c r="D5" s="26">
        <v>87000000</v>
      </c>
      <c r="E5" s="44">
        <v>1197</v>
      </c>
      <c r="F5" s="48">
        <f t="shared" si="0"/>
        <v>72681.704260651633</v>
      </c>
      <c r="G5" s="46" t="s">
        <v>123</v>
      </c>
    </row>
    <row r="6" spans="1:7" ht="15.75" customHeight="1" x14ac:dyDescent="0.25">
      <c r="A6" s="24">
        <v>46150</v>
      </c>
      <c r="B6" s="42" t="s">
        <v>121</v>
      </c>
      <c r="C6" s="43" t="s">
        <v>126</v>
      </c>
      <c r="D6" s="26">
        <v>65000000</v>
      </c>
      <c r="E6" s="44">
        <v>1197</v>
      </c>
      <c r="F6" s="45">
        <f t="shared" si="0"/>
        <v>54302.422723475356</v>
      </c>
      <c r="G6" s="46" t="s">
        <v>123</v>
      </c>
    </row>
    <row r="7" spans="1:7" ht="15.75" customHeight="1" x14ac:dyDescent="0.25">
      <c r="A7" s="24">
        <v>46151</v>
      </c>
      <c r="B7" s="47" t="s">
        <v>124</v>
      </c>
      <c r="C7" s="43" t="s">
        <v>127</v>
      </c>
      <c r="D7" s="26">
        <v>48500000</v>
      </c>
      <c r="E7" s="44">
        <v>1197</v>
      </c>
      <c r="F7" s="48">
        <f t="shared" si="0"/>
        <v>40517.96157059315</v>
      </c>
      <c r="G7" s="46" t="s">
        <v>123</v>
      </c>
    </row>
    <row r="8" spans="1:7" ht="15.75" customHeight="1" x14ac:dyDescent="0.25">
      <c r="A8" s="24">
        <v>46152</v>
      </c>
      <c r="B8" s="42" t="s">
        <v>121</v>
      </c>
      <c r="C8" s="43" t="s">
        <v>128</v>
      </c>
      <c r="D8" s="26">
        <v>113715000</v>
      </c>
      <c r="E8" s="44">
        <v>1197</v>
      </c>
      <c r="F8" s="45">
        <f t="shared" si="0"/>
        <v>95000</v>
      </c>
      <c r="G8" s="46" t="s">
        <v>123</v>
      </c>
    </row>
    <row r="9" spans="1:7" ht="15.75" customHeight="1" x14ac:dyDescent="0.25">
      <c r="A9" s="24">
        <v>46152</v>
      </c>
      <c r="B9" s="47" t="s">
        <v>124</v>
      </c>
      <c r="C9" s="43" t="s">
        <v>129</v>
      </c>
      <c r="D9" s="26">
        <v>96000000</v>
      </c>
      <c r="E9" s="44">
        <v>1197</v>
      </c>
      <c r="F9" s="48">
        <f t="shared" si="0"/>
        <v>80200.501253132839</v>
      </c>
      <c r="G9" s="46" t="s">
        <v>123</v>
      </c>
    </row>
    <row r="10" spans="1:7" ht="15.75" customHeight="1" x14ac:dyDescent="0.25">
      <c r="A10" s="24">
        <v>46154</v>
      </c>
      <c r="B10" s="47" t="s">
        <v>124</v>
      </c>
      <c r="C10" s="43" t="s">
        <v>130</v>
      </c>
      <c r="D10" s="26">
        <v>23000000</v>
      </c>
      <c r="E10" s="44">
        <v>1197</v>
      </c>
      <c r="F10" s="48">
        <f t="shared" si="0"/>
        <v>19214.703425229742</v>
      </c>
      <c r="G10" s="46" t="s">
        <v>123</v>
      </c>
    </row>
    <row r="11" spans="1:7" ht="15.75" customHeight="1" x14ac:dyDescent="0.25">
      <c r="A11" s="24">
        <v>46157</v>
      </c>
      <c r="B11" s="42" t="s">
        <v>121</v>
      </c>
      <c r="C11" s="43" t="s">
        <v>131</v>
      </c>
      <c r="D11" s="26">
        <v>145000000</v>
      </c>
      <c r="E11" s="44">
        <v>1197</v>
      </c>
      <c r="F11" s="45">
        <f t="shared" si="0"/>
        <v>121136.17376775271</v>
      </c>
      <c r="G11" s="46" t="s">
        <v>123</v>
      </c>
    </row>
    <row r="12" spans="1:7" ht="15.75" customHeight="1" x14ac:dyDescent="0.25">
      <c r="A12" s="24">
        <v>46162</v>
      </c>
      <c r="B12" s="47" t="s">
        <v>124</v>
      </c>
      <c r="C12" s="43" t="s">
        <v>132</v>
      </c>
      <c r="D12" s="26">
        <v>95760000</v>
      </c>
      <c r="E12" s="44">
        <v>1197</v>
      </c>
      <c r="F12" s="48">
        <f t="shared" si="0"/>
        <v>80000</v>
      </c>
      <c r="G12" s="46" t="s">
        <v>123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showGridLines="0" zoomScaleNormal="100" workbookViewId="0">
      <selection sqref="A1:F1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5" width="14" customWidth="1"/>
    <col min="6" max="6" width="18" customWidth="1"/>
  </cols>
  <sheetData>
    <row r="1" spans="1:6" ht="27.75" customHeight="1" x14ac:dyDescent="0.25">
      <c r="A1" s="8" t="s">
        <v>133</v>
      </c>
      <c r="B1" s="8"/>
      <c r="C1" s="8"/>
      <c r="D1" s="8"/>
      <c r="E1" s="8"/>
      <c r="F1" s="8"/>
    </row>
    <row r="2" spans="1:6" ht="21.75" customHeight="1" x14ac:dyDescent="0.25">
      <c r="A2" s="31" t="s">
        <v>60</v>
      </c>
      <c r="B2" s="31" t="s">
        <v>104</v>
      </c>
      <c r="C2" s="31" t="s">
        <v>134</v>
      </c>
      <c r="D2" s="31" t="s">
        <v>135</v>
      </c>
      <c r="E2" s="31" t="s">
        <v>136</v>
      </c>
      <c r="F2" s="31" t="s">
        <v>137</v>
      </c>
    </row>
    <row r="3" spans="1:6" ht="15.75" customHeight="1" x14ac:dyDescent="0.25">
      <c r="A3" s="49">
        <v>46140</v>
      </c>
      <c r="B3" s="25">
        <v>1194</v>
      </c>
      <c r="C3" s="50">
        <v>285000</v>
      </c>
      <c r="D3" s="50">
        <v>140000</v>
      </c>
      <c r="E3" s="51">
        <f>C3+D3</f>
        <v>425000</v>
      </c>
      <c r="F3" s="50">
        <v>87000</v>
      </c>
    </row>
    <row r="4" spans="1:6" ht="15.75" customHeight="1" x14ac:dyDescent="0.25">
      <c r="A4" s="49">
        <v>46141</v>
      </c>
      <c r="B4" s="25">
        <v>1196</v>
      </c>
      <c r="C4" s="50">
        <v>268000</v>
      </c>
      <c r="D4" s="50">
        <v>135000</v>
      </c>
      <c r="E4" s="51">
        <f>C4+D4</f>
        <v>403000</v>
      </c>
      <c r="F4" s="50">
        <v>72000</v>
      </c>
    </row>
    <row r="5" spans="1:6" ht="15.75" customHeight="1" x14ac:dyDescent="0.25">
      <c r="A5" s="49">
        <v>46142</v>
      </c>
      <c r="B5" s="25">
        <v>1197</v>
      </c>
      <c r="C5" s="50">
        <v>301000</v>
      </c>
      <c r="D5" s="50">
        <v>148000</v>
      </c>
      <c r="E5" s="51">
        <f>C5+D5</f>
        <v>449000</v>
      </c>
      <c r="F5" s="50">
        <v>95000</v>
      </c>
    </row>
    <row r="6" spans="1:6" ht="15.75" customHeight="1" x14ac:dyDescent="0.25">
      <c r="A6" s="49">
        <v>46144</v>
      </c>
      <c r="B6" s="25">
        <v>1198.5</v>
      </c>
      <c r="C6" s="50">
        <v>275000</v>
      </c>
      <c r="D6" s="50">
        <v>128000</v>
      </c>
      <c r="E6" s="51">
        <f>C6+D6</f>
        <v>403000</v>
      </c>
      <c r="F6" s="50">
        <v>68000</v>
      </c>
    </row>
    <row r="7" spans="1:6" ht="15.75" customHeight="1" x14ac:dyDescent="0.25">
      <c r="A7" s="49">
        <v>46147</v>
      </c>
      <c r="B7" s="25">
        <v>1197</v>
      </c>
      <c r="C7" s="50">
        <v>285000</v>
      </c>
      <c r="D7" s="50">
        <v>140000</v>
      </c>
      <c r="E7" s="51">
        <f>C7+D7</f>
        <v>425000</v>
      </c>
      <c r="F7" s="50">
        <v>87000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showGridLines="0" zoomScaleNormal="100" workbookViewId="0">
      <selection sqref="A1:H1"/>
    </sheetView>
  </sheetViews>
  <sheetFormatPr baseColWidth="10" defaultColWidth="8.7109375" defaultRowHeight="15" x14ac:dyDescent="0.25"/>
  <cols>
    <col min="1" max="1" width="14" customWidth="1"/>
    <col min="2" max="2" width="28" customWidth="1"/>
    <col min="3" max="4" width="14" customWidth="1"/>
    <col min="5" max="5" width="12" customWidth="1"/>
    <col min="6" max="6" width="14" customWidth="1"/>
    <col min="7" max="7" width="12" customWidth="1"/>
    <col min="8" max="8" width="18" customWidth="1"/>
    <col min="9" max="9" width="12" customWidth="1"/>
  </cols>
  <sheetData>
    <row r="1" spans="1:9" ht="27.75" customHeight="1" x14ac:dyDescent="0.25">
      <c r="A1" s="8" t="s">
        <v>138</v>
      </c>
      <c r="B1" s="8"/>
      <c r="C1" s="8"/>
      <c r="D1" s="8"/>
      <c r="E1" s="8"/>
      <c r="F1" s="8"/>
      <c r="G1" s="8"/>
      <c r="H1" s="8"/>
    </row>
    <row r="2" spans="1:9" ht="21.75" customHeight="1" x14ac:dyDescent="0.25">
      <c r="A2" s="31" t="s">
        <v>139</v>
      </c>
      <c r="B2" s="31" t="s">
        <v>140</v>
      </c>
      <c r="C2" s="31" t="s">
        <v>141</v>
      </c>
      <c r="D2" s="31" t="s">
        <v>142</v>
      </c>
      <c r="E2" s="31" t="s">
        <v>143</v>
      </c>
      <c r="F2" s="31" t="s">
        <v>119</v>
      </c>
      <c r="G2" s="31" t="s">
        <v>144</v>
      </c>
      <c r="H2" s="31" t="s">
        <v>145</v>
      </c>
      <c r="I2" s="31" t="s">
        <v>120</v>
      </c>
    </row>
    <row r="3" spans="1:9" ht="15.75" customHeight="1" x14ac:dyDescent="0.25">
      <c r="A3" s="52" t="s">
        <v>146</v>
      </c>
      <c r="B3" s="52" t="s">
        <v>147</v>
      </c>
      <c r="C3" s="49">
        <v>46096</v>
      </c>
      <c r="D3" s="49">
        <v>46157</v>
      </c>
      <c r="E3" s="53">
        <f ca="1">IFERROR(D3-TODAY(),"")</f>
        <v>9</v>
      </c>
      <c r="F3" s="50">
        <v>320000</v>
      </c>
      <c r="G3" s="25">
        <v>1197</v>
      </c>
      <c r="H3" s="35">
        <f>IFERROR(F3*G3,0)</f>
        <v>383040000</v>
      </c>
      <c r="I3" s="52" t="s">
        <v>123</v>
      </c>
    </row>
    <row r="4" spans="1:9" ht="15.75" customHeight="1" x14ac:dyDescent="0.25">
      <c r="A4" s="52" t="s">
        <v>148</v>
      </c>
      <c r="B4" s="52" t="s">
        <v>149</v>
      </c>
      <c r="C4" s="49">
        <v>46113</v>
      </c>
      <c r="D4" s="49">
        <v>46172</v>
      </c>
      <c r="E4" s="53">
        <f ca="1">IFERROR(D4-TODAY(),"")</f>
        <v>24</v>
      </c>
      <c r="F4" s="50">
        <v>185000</v>
      </c>
      <c r="G4" s="25">
        <v>1197</v>
      </c>
      <c r="H4" s="35">
        <f>IFERROR(F4*G4,0)</f>
        <v>221445000</v>
      </c>
      <c r="I4" s="52" t="s">
        <v>123</v>
      </c>
    </row>
    <row r="5" spans="1:9" ht="15.75" customHeight="1" x14ac:dyDescent="0.25">
      <c r="A5" s="52" t="s">
        <v>150</v>
      </c>
      <c r="B5" s="52" t="s">
        <v>151</v>
      </c>
      <c r="C5" s="49">
        <v>46122</v>
      </c>
      <c r="D5" s="49">
        <v>46183</v>
      </c>
      <c r="E5" s="53">
        <f ca="1">IFERROR(D5-TODAY(),"")</f>
        <v>35</v>
      </c>
      <c r="F5" s="50">
        <v>240000</v>
      </c>
      <c r="G5" s="25">
        <v>1197</v>
      </c>
      <c r="H5" s="35">
        <f>IFERROR(F5*G5,0)</f>
        <v>287280000</v>
      </c>
      <c r="I5" s="52" t="s">
        <v>123</v>
      </c>
    </row>
    <row r="6" spans="1:9" ht="15.75" customHeight="1" x14ac:dyDescent="0.25">
      <c r="A6" s="52" t="s">
        <v>152</v>
      </c>
      <c r="B6" s="52" t="s">
        <v>153</v>
      </c>
      <c r="C6" s="49">
        <v>46132</v>
      </c>
      <c r="D6" s="49">
        <v>46193</v>
      </c>
      <c r="E6" s="53">
        <f ca="1">IFERROR(D6-TODAY(),"")</f>
        <v>45</v>
      </c>
      <c r="F6" s="50">
        <v>495000</v>
      </c>
      <c r="G6" s="25">
        <v>1197</v>
      </c>
      <c r="H6" s="35">
        <f>IFERROR(F6*G6,0)</f>
        <v>592515000</v>
      </c>
      <c r="I6" s="52" t="s">
        <v>123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CARGA_DIARIA</vt:lpstr>
      <vt:lpstr>POSICION_NETA</vt:lpstr>
      <vt:lpstr>VENCIMIENTOS</vt:lpstr>
      <vt:lpstr>DIVISAS</vt:lpstr>
      <vt:lpstr>CREDITOS_EXTERIOR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 Vellini</cp:lastModifiedBy>
  <cp:revision>0</cp:revision>
  <dcterms:created xsi:type="dcterms:W3CDTF">2026-05-06T18:33:43Z</dcterms:created>
  <dcterms:modified xsi:type="dcterms:W3CDTF">2026-05-06T19:38:27Z</dcterms:modified>
  <dc:language>en-US</dc:language>
</cp:coreProperties>
</file>