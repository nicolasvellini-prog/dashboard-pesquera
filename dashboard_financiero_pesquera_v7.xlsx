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25461912-08E8-4127-B150-B4A5AEC9887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9" i="2" l="1"/>
  <c r="AH169" i="2"/>
  <c r="AG169" i="2"/>
  <c r="AF169" i="2"/>
  <c r="AE169" i="2"/>
  <c r="AD169" i="2"/>
  <c r="AC169" i="2"/>
  <c r="AB169" i="2"/>
  <c r="AA169" i="2"/>
  <c r="Z169" i="2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E168" i="2"/>
  <c r="AE167" i="2"/>
  <c r="AD168" i="2"/>
  <c r="AD167" i="2"/>
  <c r="AC168" i="2"/>
  <c r="AC167" i="2"/>
  <c r="Z168" i="2"/>
  <c r="Z167" i="2"/>
  <c r="AI166" i="2"/>
  <c r="AH166" i="2"/>
  <c r="AF166" i="2"/>
  <c r="AE166" i="2"/>
  <c r="AD166" i="2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E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E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E169" i="6"/>
  <c r="D169" i="6"/>
  <c r="C169" i="6"/>
  <c r="B169" i="6"/>
  <c r="A169" i="6"/>
  <c r="E168" i="6"/>
  <c r="D168" i="6"/>
  <c r="C168" i="6"/>
  <c r="B168" i="6"/>
  <c r="A168" i="6"/>
  <c r="E167" i="6"/>
  <c r="D167" i="6"/>
  <c r="C167" i="6"/>
  <c r="B167" i="6"/>
  <c r="A167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9" i="6" l="1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<sst xmlns="http://schemas.openxmlformats.org/spreadsheetml/2006/main" count="4285" uniqueCount="1241">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</sst>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T3" zoomScaleNormal="100" workbookViewId="0">
      <pane ySplit="1" topLeftCell="A148" activePane="bottomLeft" state="frozen"/>
      <selection activeCell="A3" sqref="A3"/>
      <selection pane="bottomLeft" activeCell="AJ169" sqref="AJ16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342551.78082191787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342551.78082191787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342551.78082191787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>+AD165</f>
        <v>245288.76712328769</v>
      </c>
      <c r="AE166" s="63">
        <f t="shared" si="47"/>
        <v>342551.78082191787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>+AD166</f>
        <v>245288.76712328769</v>
      </c>
      <c r="AE167" s="63">
        <f t="shared" si="47"/>
        <v>342551.78082191787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>+AD167</f>
        <v>245288.76712328769</v>
      </c>
      <c r="AE168" s="63">
        <f t="shared" si="47"/>
        <v>342551.78082191787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>+Z168</f>
        <v>179326122.93125013</v>
      </c>
      <c r="AA169" s="63">
        <f>+'[1]CF Dia V1'!$FU$102</f>
        <v>5456915233</v>
      </c>
      <c r="AB169" s="63">
        <f>+AB168</f>
        <v>1745997.6</v>
      </c>
      <c r="AC169" s="63">
        <f>+AC168</f>
        <v>17800000</v>
      </c>
      <c r="AD169" s="63">
        <f>+AD168</f>
        <v>245288.76712328769</v>
      </c>
      <c r="AE169" s="63">
        <f>+AE168</f>
        <v>342551.78082191787</v>
      </c>
      <c r="AF169" s="63">
        <f>+'[1]CF Dia V1'!$FU$97</f>
        <v>18320136.857999999</v>
      </c>
      <c r="AG169" s="63">
        <f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-143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-128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-117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-107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30706525.793082252</v>
      </c>
      <c r="F166" s="39" t="s">
        <v>146</v>
      </c>
      <c r="G166" s="39" t="s">
        <v>146</v>
      </c>
      <c r="H166" s="38">
        <f>IF(CARGA_DIARIA!A166="","",C166-D166-E166)</f>
        <v>13719943.470480867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29717999.888983022</v>
      </c>
      <c r="F167" s="39" t="s">
        <v>146</v>
      </c>
      <c r="G167" s="39" t="s">
        <v>146</v>
      </c>
      <c r="H167" s="38">
        <f>IF(CARGA_DIARIA!A167="","",C167-D167-E167)</f>
        <v>6721505.7607316412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29366265.474001259</v>
      </c>
      <c r="F168" s="39" t="s">
        <v>146</v>
      </c>
      <c r="G168" s="39" t="s">
        <v>146</v>
      </c>
      <c r="H168" s="38">
        <f>IF(CARGA_DIARIA!A168="","",C168-D168-E168)</f>
        <v>7135565.1355437785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29164026.397978924</v>
      </c>
      <c r="F169" s="39" t="s">
        <v>146</v>
      </c>
      <c r="G169" s="39" t="s">
        <v>146</v>
      </c>
      <c r="H169" s="38">
        <f>IF(CARGA_DIARIA!A169="","",C169-D169-E169)</f>
        <v>6104048.3692315966</v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-19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-3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134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17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66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107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58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60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134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149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79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135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85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84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31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303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351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-46300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-46300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-46300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-46300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-46300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2026-10-05T14:08:31Z</dcterms:modified>
  <dc:language>en-US</dc:language>
</cp:coreProperties>
</file>