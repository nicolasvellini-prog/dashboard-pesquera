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A5180D98-7A61-4055-ADA3-9A3320F8BAFA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74" i="2" l="1"/>
  <c r="AI173" i="2"/>
  <c r="AI172" i="2"/>
  <c r="AI171" i="2"/>
  <c r="AI170" i="2"/>
  <c r="AH174" i="2"/>
  <c r="AH173" i="2"/>
  <c r="AH172" i="2"/>
  <c r="AH171" i="2"/>
  <c r="AH170" i="2"/>
  <c r="AG174" i="2"/>
  <c r="AG173" i="2"/>
  <c r="AG172" i="2"/>
  <c r="AG171" i="2"/>
  <c r="AG170" i="2"/>
  <c r="AE174" i="2"/>
  <c r="AE173" i="2"/>
  <c r="AE172" i="2"/>
  <c r="AE171" i="2"/>
  <c r="AE170" i="2"/>
  <c r="AD174" i="2"/>
  <c r="AD173" i="2"/>
  <c r="AD172" i="2"/>
  <c r="AD171" i="2"/>
  <c r="AD170" i="2"/>
  <c r="AC174" i="2"/>
  <c r="AC173" i="2"/>
  <c r="AC172" i="2"/>
  <c r="AC171" i="2"/>
  <c r="AC170" i="2"/>
  <c r="Z174" i="2"/>
  <c r="Z173" i="2"/>
  <c r="Z172" i="2"/>
  <c r="Z171" i="2"/>
  <c r="Z170" i="2"/>
  <c r="A170" i="2"/>
  <c r="A171" i="2" s="1"/>
  <c r="A172" i="2" s="1"/>
  <c r="A173" i="2" s="1"/>
  <c r="A174" i="2" s="1"/>
  <c r="AI169" i="2"/>
  <c r="AH169" i="2"/>
  <c r="AG169" i="2"/>
  <c r="AF169" i="2"/>
  <c r="AE169" i="2"/>
  <c r="AD169" i="2"/>
  <c r="AC169" i="2"/>
  <c r="AA169" i="2"/>
  <c r="Z169" i="2"/>
  <c r="Y169" i="2"/>
  <c r="X169" i="2"/>
  <c r="V169" i="2"/>
  <c r="Q169" i="2"/>
  <c r="P169" i="2"/>
  <c r="J169" i="2"/>
  <c r="I169" i="2"/>
  <c r="H169" i="2"/>
  <c r="G169" i="2"/>
  <c r="F169" i="2"/>
  <c r="E169" i="2"/>
  <c r="D169" i="2"/>
  <c r="AI168" i="2"/>
  <c r="AI167" i="2"/>
  <c r="AH168" i="2"/>
  <c r="AH167" i="2"/>
  <c r="AG168" i="2"/>
  <c r="AG167" i="2"/>
  <c r="AF168" i="2"/>
  <c r="AF167" i="2"/>
  <c r="AE168" i="2"/>
  <c r="AE167" i="2"/>
  <c r="AD168" i="2"/>
  <c r="AD167" i="2"/>
  <c r="AC168" i="2"/>
  <c r="AC167" i="2"/>
  <c r="Z168" i="2"/>
  <c r="Z167" i="2"/>
  <c r="AI166" i="2"/>
  <c r="AH166" i="2"/>
  <c r="AF166" i="2"/>
  <c r="AE166" i="2"/>
  <c r="AD166" i="2"/>
  <c r="AC166" i="2"/>
  <c r="AA166" i="2"/>
  <c r="Y166" i="2"/>
  <c r="X166" i="2"/>
  <c r="Q166" i="2"/>
  <c r="P166" i="2"/>
  <c r="J166" i="2"/>
  <c r="I166" i="2"/>
  <c r="H166" i="2"/>
  <c r="G166" i="2"/>
  <c r="F166" i="2"/>
  <c r="E166" i="2"/>
  <c r="D166" i="2"/>
  <c r="AI165" i="2"/>
  <c r="AH165" i="2"/>
  <c r="AF165" i="2"/>
  <c r="AE165" i="2"/>
  <c r="AD165" i="2"/>
  <c r="AC165" i="2"/>
  <c r="AA165" i="2"/>
  <c r="Y165" i="2"/>
  <c r="X165" i="2"/>
  <c r="Q165" i="2"/>
  <c r="P165" i="2"/>
  <c r="L165" i="2"/>
  <c r="J165" i="2"/>
  <c r="I165" i="2"/>
  <c r="H165" i="2"/>
  <c r="G165" i="2"/>
  <c r="F165" i="2"/>
  <c r="E165" i="2"/>
  <c r="D165" i="2"/>
  <c r="B165" i="2"/>
  <c r="AI164" i="2"/>
  <c r="AH164" i="2"/>
  <c r="AF164" i="2"/>
  <c r="AE164" i="2"/>
  <c r="AD164" i="2"/>
  <c r="AC164" i="2"/>
  <c r="AA164" i="2"/>
  <c r="Y164" i="2"/>
  <c r="X164" i="2"/>
  <c r="Q164" i="2"/>
  <c r="P164" i="2"/>
  <c r="J164" i="2"/>
  <c r="I164" i="2"/>
  <c r="H164" i="2"/>
  <c r="G164" i="2"/>
  <c r="F164" i="2"/>
  <c r="E164" i="2"/>
  <c r="D164" i="2"/>
  <c r="AI163" i="2"/>
  <c r="AH163" i="2"/>
  <c r="AG163" i="2"/>
  <c r="AG164" i="2" s="1"/>
  <c r="AG165" i="2" s="1"/>
  <c r="AG166" i="2" s="1"/>
  <c r="AF163" i="2"/>
  <c r="AE163" i="2"/>
  <c r="AD163" i="2"/>
  <c r="AC163" i="2"/>
  <c r="AA163" i="2"/>
  <c r="Z163" i="2"/>
  <c r="Z164" i="2" s="1"/>
  <c r="Z165" i="2" s="1"/>
  <c r="Z166" i="2" s="1"/>
  <c r="Y163" i="2"/>
  <c r="X163" i="2"/>
  <c r="Q163" i="2"/>
  <c r="P163" i="2"/>
  <c r="J163" i="2"/>
  <c r="I163" i="2"/>
  <c r="H163" i="2"/>
  <c r="G163" i="2"/>
  <c r="F163" i="2"/>
  <c r="E163" i="2"/>
  <c r="D163" i="2"/>
  <c r="AJ162" i="2"/>
  <c r="AI162" i="2"/>
  <c r="AH162" i="2"/>
  <c r="AG162" i="2"/>
  <c r="AF162" i="2"/>
  <c r="AE162" i="2"/>
  <c r="AD162" i="2"/>
  <c r="AC162" i="2"/>
  <c r="AA162" i="2"/>
  <c r="Z162" i="2"/>
  <c r="Y162" i="2"/>
  <c r="X162" i="2"/>
  <c r="U162" i="2"/>
  <c r="Q162" i="2"/>
  <c r="P162" i="2"/>
  <c r="L162" i="2"/>
  <c r="J162" i="2"/>
  <c r="I162" i="2"/>
  <c r="H162" i="2"/>
  <c r="G162" i="2"/>
  <c r="F162" i="2"/>
  <c r="E162" i="2"/>
  <c r="D162" i="2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4" i="7"/>
  <c r="C328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D173" i="8" s="1"/>
  <c r="C174" i="8"/>
  <c r="D174" i="8" s="1"/>
  <c r="C175" i="8"/>
  <c r="D175" i="8" s="1"/>
  <c r="C176" i="8"/>
  <c r="D176" i="8" s="1"/>
  <c r="C177" i="8"/>
  <c r="D177" i="8" s="1"/>
  <c r="C178" i="8"/>
  <c r="D178" i="8" s="1"/>
  <c r="C179" i="8"/>
  <c r="D179" i="8" s="1"/>
  <c r="C180" i="8"/>
  <c r="D180" i="8" s="1"/>
  <c r="C181" i="8"/>
  <c r="D181" i="8" s="1"/>
  <c r="C182" i="8"/>
  <c r="D182" i="8" s="1"/>
  <c r="C183" i="8"/>
  <c r="D183" i="8" s="1"/>
  <c r="C184" i="8"/>
  <c r="D184" i="8" s="1"/>
  <c r="C185" i="8"/>
  <c r="D185" i="8" s="1"/>
  <c r="C186" i="8"/>
  <c r="D186" i="8" s="1"/>
  <c r="C187" i="8"/>
  <c r="D187" i="8" s="1"/>
  <c r="C188" i="8"/>
  <c r="D188" i="8" s="1"/>
  <c r="C189" i="8"/>
  <c r="D189" i="8" s="1"/>
  <c r="C190" i="8"/>
  <c r="D190" i="8" s="1"/>
  <c r="C191" i="8"/>
  <c r="D191" i="8" s="1"/>
  <c r="C192" i="8"/>
  <c r="D192" i="8" s="1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5" i="8"/>
  <c r="AE161" i="2"/>
  <c r="AJ161" i="2"/>
  <c r="AI161" i="2"/>
  <c r="AH161" i="2"/>
  <c r="AF161" i="2"/>
  <c r="AD161" i="2"/>
  <c r="AC161" i="2"/>
  <c r="AB161" i="2"/>
  <c r="AB162" i="2" s="1"/>
  <c r="AB163" i="2" s="1"/>
  <c r="AB164" i="2" s="1"/>
  <c r="AB165" i="2" s="1"/>
  <c r="AB166" i="2" s="1"/>
  <c r="AB167" i="2" s="1"/>
  <c r="AB168" i="2" s="1"/>
  <c r="AB169" i="2" s="1"/>
  <c r="AB170" i="2" s="1"/>
  <c r="AB171" i="2" s="1"/>
  <c r="AB172" i="2" s="1"/>
  <c r="AB173" i="2" s="1"/>
  <c r="AB174" i="2" s="1"/>
  <c r="AA161" i="2"/>
  <c r="Y161" i="2"/>
  <c r="X161" i="2"/>
  <c r="Q161" i="2"/>
  <c r="P161" i="2"/>
  <c r="L161" i="2"/>
  <c r="J161" i="2"/>
  <c r="I161" i="2"/>
  <c r="H161" i="2"/>
  <c r="G161" i="2"/>
  <c r="F161" i="2"/>
  <c r="E161" i="2"/>
  <c r="D161" i="2"/>
  <c r="AI160" i="2"/>
  <c r="AH160" i="2"/>
  <c r="AF160" i="2"/>
  <c r="AE160" i="2"/>
  <c r="AD160" i="2"/>
  <c r="AC160" i="2"/>
  <c r="AA160" i="2"/>
  <c r="Y160" i="2"/>
  <c r="X160" i="2"/>
  <c r="V160" i="2"/>
  <c r="Q160" i="2"/>
  <c r="J160" i="2"/>
  <c r="I160" i="2"/>
  <c r="H160" i="2"/>
  <c r="G160" i="2"/>
  <c r="F160" i="2"/>
  <c r="E160" i="2"/>
  <c r="D160" i="2"/>
  <c r="B160" i="2"/>
  <c r="A160" i="2"/>
  <c r="AI159" i="2"/>
  <c r="AI158" i="2"/>
  <c r="AH159" i="2"/>
  <c r="AH158" i="2"/>
  <c r="AF159" i="2"/>
  <c r="AF158" i="2"/>
  <c r="AE159" i="2"/>
  <c r="AE158" i="2"/>
  <c r="AD159" i="2"/>
  <c r="AD158" i="2"/>
  <c r="AC159" i="2"/>
  <c r="AC158" i="2"/>
  <c r="Z157" i="2"/>
  <c r="Z158" i="2" s="1"/>
  <c r="Z159" i="2" s="1"/>
  <c r="Z160" i="2" s="1"/>
  <c r="Z161" i="2" s="1"/>
  <c r="AA157" i="2"/>
  <c r="A158" i="2"/>
  <c r="A159" i="2" s="1"/>
  <c r="H6" i="9"/>
  <c r="H5" i="9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AI157" i="2"/>
  <c r="AH157" i="2"/>
  <c r="AG157" i="2"/>
  <c r="AG158" i="2" s="1"/>
  <c r="AG159" i="2" s="1"/>
  <c r="AG160" i="2" s="1"/>
  <c r="AG161" i="2" s="1"/>
  <c r="AF157" i="2"/>
  <c r="AE157" i="2"/>
  <c r="AD151" i="2"/>
  <c r="AD152" i="2" s="1"/>
  <c r="AD153" i="2" s="1"/>
  <c r="AD154" i="2" s="1"/>
  <c r="AD155" i="2" s="1"/>
  <c r="AD156" i="2" s="1"/>
  <c r="AD157" i="2" s="1"/>
  <c r="AB157" i="2"/>
  <c r="AB158" i="2" s="1"/>
  <c r="AB159" i="2" s="1"/>
  <c r="AB160" i="2" s="1"/>
  <c r="Y157" i="2"/>
  <c r="X157" i="2"/>
  <c r="U157" i="2"/>
  <c r="Q157" i="2"/>
  <c r="L157" i="2"/>
  <c r="J157" i="2"/>
  <c r="I157" i="2"/>
  <c r="H157" i="2"/>
  <c r="G157" i="2"/>
  <c r="F157" i="2"/>
  <c r="E157" i="2"/>
  <c r="F21" i="9"/>
  <c r="G21" i="9"/>
  <c r="H21" i="9"/>
  <c r="I21" i="9"/>
  <c r="B22" i="9"/>
  <c r="F5" i="9"/>
  <c r="G5" i="9" s="1"/>
  <c r="F6" i="9"/>
  <c r="F7" i="9"/>
  <c r="F8" i="9"/>
  <c r="F9" i="9"/>
  <c r="F10" i="9"/>
  <c r="F11" i="9"/>
  <c r="F12" i="9"/>
  <c r="F13" i="9"/>
  <c r="F14" i="9"/>
  <c r="G14" i="9" s="1"/>
  <c r="F15" i="9"/>
  <c r="G15" i="9" s="1"/>
  <c r="H15" i="9" s="1"/>
  <c r="F16" i="9"/>
  <c r="G16" i="9" s="1"/>
  <c r="H16" i="9" s="1"/>
  <c r="F17" i="9"/>
  <c r="G17" i="9" s="1"/>
  <c r="F18" i="9"/>
  <c r="G18" i="9" s="1"/>
  <c r="H18" i="9" s="1"/>
  <c r="F19" i="9"/>
  <c r="G19" i="9" s="1"/>
  <c r="H19" i="9" s="1"/>
  <c r="F20" i="9"/>
  <c r="G20" i="9" s="1"/>
  <c r="H20" i="9" s="1"/>
  <c r="I16" i="9"/>
  <c r="AI156" i="2"/>
  <c r="AI155" i="2"/>
  <c r="AH156" i="2"/>
  <c r="AH155" i="2"/>
  <c r="AG156" i="2"/>
  <c r="AG155" i="2"/>
  <c r="AF156" i="2"/>
  <c r="AF155" i="2"/>
  <c r="AE156" i="2"/>
  <c r="AE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B154" i="2"/>
  <c r="AB153" i="2"/>
  <c r="A153" i="2"/>
  <c r="A154" i="2" s="1"/>
  <c r="AJ152" i="2"/>
  <c r="AI152" i="2"/>
  <c r="AH152" i="2"/>
  <c r="AF152" i="2"/>
  <c r="AE152" i="2"/>
  <c r="AC152" i="2"/>
  <c r="AC153" i="2" s="1"/>
  <c r="AC154" i="2" s="1"/>
  <c r="AC155" i="2" s="1"/>
  <c r="AC156" i="2" s="1"/>
  <c r="AC157" i="2" s="1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I20" i="9"/>
  <c r="I19" i="9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8" i="9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I17" i="9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I9" i="9"/>
  <c r="I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7" i="9" l="1"/>
  <c r="G22" i="9"/>
  <c r="D5" i="8"/>
  <c r="D328" i="8" s="1"/>
  <c r="H14" i="9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G12" i="9"/>
  <c r="H12" i="9" s="1"/>
  <c r="I12" i="9"/>
  <c r="I10" i="9"/>
  <c r="I11" i="9"/>
  <c r="G11" i="9"/>
  <c r="H11" i="9" s="1"/>
  <c r="I5" i="9"/>
  <c r="G6" i="9"/>
  <c r="I6" i="9"/>
  <c r="G7" i="9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22" i="9" l="1"/>
  <c r="E326" i="8"/>
  <c r="E327" i="8"/>
  <c r="E324" i="8"/>
  <c r="E325" i="8"/>
  <c r="E321" i="8"/>
  <c r="E323" i="8"/>
  <c r="E322" i="8"/>
  <c r="E319" i="8"/>
  <c r="E318" i="8"/>
  <c r="E320" i="8"/>
  <c r="E314" i="8"/>
  <c r="E302" i="8"/>
  <c r="E307" i="8"/>
  <c r="E315" i="8"/>
  <c r="E310" i="8"/>
  <c r="E306" i="8"/>
  <c r="E317" i="8"/>
  <c r="E312" i="8"/>
  <c r="E308" i="8"/>
  <c r="E304" i="8"/>
  <c r="E309" i="8"/>
  <c r="E313" i="8"/>
  <c r="E303" i="8"/>
  <c r="E316" i="8"/>
  <c r="E311" i="8"/>
  <c r="E305" i="8"/>
  <c r="AG112" i="2"/>
  <c r="C112" i="6" s="1"/>
  <c r="AG113" i="2"/>
  <c r="G10" i="9"/>
  <c r="H13" i="9"/>
  <c r="I27" i="9"/>
  <c r="F27" i="9"/>
  <c r="G27" i="9" s="1"/>
  <c r="H27" i="9" s="1"/>
  <c r="I26" i="9"/>
  <c r="F26" i="9"/>
  <c r="G26" i="9" s="1"/>
  <c r="H26" i="9" s="1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E174" i="6"/>
  <c r="D174" i="6"/>
  <c r="C174" i="6"/>
  <c r="B174" i="6"/>
  <c r="A174" i="6"/>
  <c r="E173" i="6"/>
  <c r="D173" i="6"/>
  <c r="C173" i="6"/>
  <c r="B173" i="6"/>
  <c r="A173" i="6"/>
  <c r="E172" i="6"/>
  <c r="D172" i="6"/>
  <c r="C172" i="6"/>
  <c r="B172" i="6"/>
  <c r="A172" i="6"/>
  <c r="E171" i="6"/>
  <c r="D171" i="6"/>
  <c r="C171" i="6"/>
  <c r="B171" i="6"/>
  <c r="A171" i="6"/>
  <c r="E170" i="6"/>
  <c r="D170" i="6"/>
  <c r="C170" i="6"/>
  <c r="B170" i="6"/>
  <c r="A170" i="6"/>
  <c r="E169" i="6"/>
  <c r="D169" i="6"/>
  <c r="C169" i="6"/>
  <c r="B169" i="6"/>
  <c r="A169" i="6"/>
  <c r="E168" i="6"/>
  <c r="D168" i="6"/>
  <c r="C168" i="6"/>
  <c r="B168" i="6"/>
  <c r="A168" i="6"/>
  <c r="E167" i="6"/>
  <c r="D167" i="6"/>
  <c r="C167" i="6"/>
  <c r="B167" i="6"/>
  <c r="A167" i="6"/>
  <c r="E166" i="6"/>
  <c r="D166" i="6"/>
  <c r="C166" i="6"/>
  <c r="B166" i="6"/>
  <c r="A166" i="6"/>
  <c r="E165" i="6"/>
  <c r="D165" i="6"/>
  <c r="C165" i="6"/>
  <c r="B165" i="6"/>
  <c r="A165" i="6"/>
  <c r="E164" i="6"/>
  <c r="D164" i="6"/>
  <c r="C164" i="6"/>
  <c r="B164" i="6"/>
  <c r="A164" i="6"/>
  <c r="E163" i="6"/>
  <c r="D163" i="6"/>
  <c r="C163" i="6"/>
  <c r="B163" i="6"/>
  <c r="A163" i="6"/>
  <c r="E162" i="6"/>
  <c r="D162" i="6"/>
  <c r="C162" i="6"/>
  <c r="B162" i="6"/>
  <c r="A162" i="6"/>
  <c r="E161" i="6"/>
  <c r="D161" i="6"/>
  <c r="C161" i="6"/>
  <c r="B161" i="6"/>
  <c r="A161" i="6"/>
  <c r="E160" i="6"/>
  <c r="D160" i="6"/>
  <c r="C160" i="6"/>
  <c r="B160" i="6"/>
  <c r="A160" i="6"/>
  <c r="E159" i="6"/>
  <c r="D159" i="6"/>
  <c r="C159" i="6"/>
  <c r="B159" i="6"/>
  <c r="A159" i="6"/>
  <c r="E158" i="6"/>
  <c r="D158" i="6"/>
  <c r="C158" i="6"/>
  <c r="B158" i="6"/>
  <c r="A158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71" i="6" l="1"/>
  <c r="H172" i="6"/>
  <c r="H173" i="6"/>
  <c r="H174" i="6"/>
  <c r="H170" i="6"/>
  <c r="H169" i="6"/>
  <c r="H168" i="6"/>
  <c r="H167" i="6"/>
  <c r="H166" i="6"/>
  <c r="H165" i="6"/>
  <c r="H164" i="6"/>
  <c r="H163" i="6"/>
  <c r="H162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328" i="8" l="1"/>
  <c r="C114" i="6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<sst xmlns="http://schemas.openxmlformats.org/spreadsheetml/2006/main" count="4285" uniqueCount="1241">
  <si>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</si>
  <si>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</si>
  <si>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</si>
  <si>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</si>
  <si>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</si>
  <si>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</si>
  <si>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</si>
  <si>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</si>
  <si>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</si>
  <si>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</si>
  <si>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</si>
  <si>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</si>
  <si>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</si>
  <si>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</si>
  <si>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</si>
  <si>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</si>
  <si>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</si>
  <si>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</si>
  <si>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</si>
  <si>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</si>
  <si>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</si>
  <si>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</si>
  <si>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</si>
  <si>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</si>
  <si>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</si>
  <si>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</si>
  <si>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</si>
  <si>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</si>
  <si>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</si>
  <si>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</si>
  <si>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</si>
  <si>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</si>
  <si>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</si>
  <si>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</si>
  <si>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</si>
  <si>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</si>
  <si>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</si>
  <si>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</si>
  <si>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</si>
  <si>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</si>
  <si>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</si>
  <si>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</si>
  <si>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</si>
  <si>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</si>
  <si>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</si>
  <si>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</si>
  <si>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</si>
  <si>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</si>
  <si>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</si>
  <si>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</si>
  <si>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</si>
  <si>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</si>
  <si>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</si>
  <si>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</si>
  <si>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</si>
  <si>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</si>
  <si>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</si>
  <si>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</si>
  <si>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</si>
  <si>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</si>
  <si>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</si>
  <si>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</si>
  <si>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</si>
  <si>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</si>
  <si>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</si>
  <si>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</si>
  <si>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</si>
  <si>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</si>
  <si>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</si>
  <si>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</si>
  <si>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</si>
  <si>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</si>
  <si>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</si>
  <si>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</si>
  <si>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</si>
  <si>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</si>
  <si>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</si>
  <si>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</si>
  <si>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</si>
  <si>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</si>
  <si>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</si>
  <si>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</si>
  <si>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</si>
  <si>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</si>
  <si>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</si>
  <si>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</si>
  <si>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</si>
  <si>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</si>
  <si>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</si>
  <si>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</si>
  <si>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</si>
  <si>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</si>
  <si>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</si>
  <si>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</si>
  <si>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</si>
  <si>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</si>
  <si>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</si>
  <si>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</si>
  <si>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</si>
  <si>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</si>
  <si>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</si>
  <si>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</si>
  <si>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</si>
  <si>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</si>
  <si>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</si>
  <si>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</si>
  <si>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</si>
  <si>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</si>
  <si>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</si>
  <si>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</si>
  <si>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</si>
  <si>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</si>
  <si>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</si>
  <si>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</si>
  <si>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</si>
  <si>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</si>
  <si>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</si>
  <si>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</si>
  <si>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</si>
  <si>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</si>
  <si>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</si>
  <si>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</si>
  <si>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</si>
  <si>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</si>
  <si>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</si>
  <si>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</si>
  <si>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</si>
  <si>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</si>
  <si>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</si>
  <si>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</si>
  <si>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</si>
  <si>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</si>
  <si>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</si>
  <si>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</si>
  <si>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</si>
  <si>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</si>
  <si>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</si>
  <si>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</si>
  <si>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</si>
  <si>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</si>
  <si>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</si>
  <si>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</si>
  <si>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</si>
  <si>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</si>
  <si>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</si>
  <si>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</si>
  <si>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</si>
  <si>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</si>
  <si>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</si>
  <si>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</si>
  <si>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</si>
  <si>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</si>
  <si>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</si>
  <si>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</si>
  <si>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</si>
  <si>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</si>
  <si>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</si>
  <si>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</si>
  <si>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</si>
  <si>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</si>
  <si>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</si>
  <si>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</si>
  <si>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</si>
  <si>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</si>
  <si>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</si>
  <si>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</si>
  <si>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</si>
  <si>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</si>
  <si>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</si>
  <si>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</si>
  <si>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</si>
  <si>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</si>
  <si>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</si>
  <si>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</si>
  <si>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</si>
  <si>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</si>
  <si>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</si>
  <si>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</si>
  <si>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</si>
  <si>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</si>
  <si>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</si>
  <si>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</si>
  <si>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</si>
  <si>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</si>
  <si>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</si>
  <si>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</si>
  <si>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</si>
  <si>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</si>
  <si>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</si>
  <si>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</si>
  <si>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</si>
  <si>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</si>
  <si>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</si>
  <si>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</si>
  <si>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</si>
  <si>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</si>
  <si>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</si>
  <si>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</si>
  <si>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</si>
  <si>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</si>
  <si>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</si>
  <si>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</si>
  <si>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</si>
  <si>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</si>
  <si>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</si>
  <si>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</si>
  <si>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</si>
  <si>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</si>
  <si>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</si>
  <si>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</si>
  <si>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</si>
  <si>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</si>
  <si>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</si>
  <si>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</si>
  <si>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</si>
  <si>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</si>
  <si>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</si>
  <si>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</si>
  <si>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</si>
  <si>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</si>
  <si>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</si>
  <si>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</si>
  <si>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</si>
  <si>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</si>
  <si>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</si>
  <si>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</si>
  <si>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</si>
  <si>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</si>
  <si>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</si>
  <si>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</si>
  <si>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</si>
  <si>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</si>
  <si>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</si>
  <si>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</si>
  <si>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</si>
  <si>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</si>
  <si>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</si>
  <si>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</si>
  <si>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</si>
  <si>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</si>
  <si>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</si>
  <si>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</si>
  <si>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</si>
  <si>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</si>
  <si>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</si>
  <si>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</si>
  <si>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</si>
  <si>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</si>
  <si>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</si>
  <si>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</si>
  <si>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</si>
  <si>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</si>
  <si>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</si>
  <si>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</si>
  <si>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</si>
  <si>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</si>
  <si>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</si>
  <si>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</si>
  <si>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</si>
  <si>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</si>
  <si>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</si>
  <si>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</si>
  <si>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</si>
  <si>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</si>
  <si>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</si>
  <si>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</si>
  <si>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</si>
  <si>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</si>
  <si>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</si>
  <si>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</si>
  <si>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</si>
  <si>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</si>
  <si>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</si>
  <si>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</si>
  <si>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</si>
  <si>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</si>
  <si>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</si>
  <si>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</si>
  <si>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</si>
  <si>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</si>
  <si>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</si>
  <si>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</si>
  <si>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</si>
  <si>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</si>
  <si>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</si>
  <si>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</si>
  <si>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</si>
  <si>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</si>
  <si>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</si>
  <si>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</si>
  <si>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</si>
  <si>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</si>
  <si>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</si>
  <si>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</si>
  <si>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</si>
  <si>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</si>
  <si>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</si>
  <si>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</si>
  <si>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</si>
  <si>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</si>
  <si>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</si>
  <si>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</si>
  <si>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</si>
  <si>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</si>
  <si>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</si>
  <si>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</si>
  <si>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</si>
  <si>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</si>
  <si>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</si>
  <si>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</si>
  <si>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</si>
  <si>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</si>
  <si>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</si>
  <si>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</si>
  <si>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</si>
  <si>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</si>
  <si>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</si>
  <si>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</si>
  <si>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</si>
  <si>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</si>
  <si>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</si>
  <si>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</si>
  <si>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</si>
  <si>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</si>
  <si>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</si>
  <si>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</si>
  <si>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</si>
  <si>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</si>
  <si>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</si>
  <si>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</si>
  <si>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</si>
  <si>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</si>
  <si>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</si>
  <si>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</si>
  <si>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</si>
  <si>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</si>
  <si>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</si>
  <si>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</si>
  <si>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</si>
  <si>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</si>
  <si>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</si>
  <si>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</si>
  <si>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</si>
  <si>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</si>
  <si>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</si>
  <si>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</si>
  <si>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</si>
  <si>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</si>
  <si>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</si>
  <si>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</si>
  <si>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</si>
  <si>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</si>
  <si>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</si>
  <si>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</si>
  <si>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</si>
  <si>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</si>
  <si>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</si>
  <si>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</si>
  <si>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</si>
  <si>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</si>
  <si>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</si>
  <si>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</si>
  <si>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</si>
  <si>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</si>
  <si>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</si>
  <si>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</si>
  <si>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</si>
  <si>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</si>
  <si>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</si>
  <si>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</si>
  <si>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</si>
  <si>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</si>
  <si>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</si>
  <si>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</si>
  <si>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</si>
  <si>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</si>
  <si>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</si>
  <si>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</si>
  <si>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</si>
  <si>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</si>
  <si>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</si>
  <si>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</si>
  <si>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</si>
  <si>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</si>
  <si>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</si>
  <si>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</si>
  <si>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</si>
  <si>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</si>
  <si>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</si>
  <si>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</si>
  <si>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</si>
  <si>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</si>
  <si>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</si>
  <si>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</si>
  <si>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</si>
  <si>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</si>
  <si>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</si>
  <si>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</si>
  <si>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</si>
  <si>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</si>
  <si>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</si>
  <si>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</si>
  <si>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</si>
  <si>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</si>
  <si>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</si>
  <si>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</si>
  <si>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</si>
  <si>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</si>
  <si>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</si>
  <si>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</si>
  <si>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</si>
  <si>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</si>
  <si>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</si>
  <si>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</si>
  <si>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</si>
  <si>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</si>
  <si>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</si>
  <si>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</si>
  <si>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</si>
  <si>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</si>
  <si>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</si>
  <si>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</si>
  <si>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</si>
  <si>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</si>
  <si>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</si>
  <si>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</si>
  <si>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</si>
  <si>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</si>
  <si>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</si>
  <si>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</si>
  <si>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</si>
  <si>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</si>
  <si>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</si>
  <si>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</si>
  <si>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</si>
  <si>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</si>
  <si>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</si>
  <si>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</si>
  <si>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</si>
  <si>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</si>
  <si>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</si>
  <si>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</si>
  <si>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</si>
  <si>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</si>
  <si>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</si>
  <si>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</si>
  <si>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</si>
  <si>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</si>
  <si>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</si>
  <si>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</si>
  <si>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</si>
  <si>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</si>
  <si>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</si>
  <si>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</si>
  <si>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</si>
  <si>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</si>
  <si>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</si>
  <si>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</si>
  <si>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</si>
  <si>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</si>
  <si>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</si>
  <si>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</si>
  <si>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</si>
  <si>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</si>
  <si>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</si>
  <si>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</si>
  <si>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</si>
  <si>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</si>
  <si>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</si>
  <si>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</si>
  <si>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</si>
  <si>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</si>
  <si>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</si>
  <si>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</si>
  <si>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</si>
  <si>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</si>
  <si>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</si>
  <si>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</si>
  <si>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</si>
  <si>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</si>
  <si>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</si>
  <si>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</si>
  <si>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</si>
  <si>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</si>
  <si>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</si>
  <si>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</si>
  <si>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</si>
  <si>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</si>
  <si>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</si>
  <si>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</si>
  <si>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</si>
  <si>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</si>
  <si>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</si>
  <si>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</si>
  <si>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</si>
  <si>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</si>
  <si>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</si>
  <si>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</si>
  <si>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</si>
  <si>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</si>
  <si>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</si>
  <si>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</si>
  <si>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</si>
  <si>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</si>
  <si>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</si>
  <si>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</si>
  <si>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</si>
  <si>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</si>
  <si>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</si>
  <si>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</si>
  <si>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</si>
  <si>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</si>
  <si>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</si>
  <si>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</si>
  <si>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</si>
  <si>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</si>
  <si>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</si>
  <si>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</si>
  <si>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</si>
  <si>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</si>
  <si>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</si>
  <si>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</si>
  <si>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</si>
  <si>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</si>
  <si>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</si>
  <si>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</si>
  <si>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</si>
  <si>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</si>
  <si>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</si>
  <si>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</si>
  <si>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</si>
  <si>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</si>
  <si>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</si>
  <si>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</si>
  <si>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</si>
  <si>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</si>
  <si>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</si>
  <si>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</si>
  <si>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</si>
  <si>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</si>
  <si>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</si>
  <si>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</si>
  <si>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</si>
  <si>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</si>
  <si>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</si>
  <si>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</si>
  <si>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</si>
  <si>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</si>
  <si>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</si>
  <si>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</si>
  <si>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</si>
  <si>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</si>
  <si>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</si>
  <si>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</si>
  <si>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</si>
  <si>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</si>
  <si>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</si>
  <si>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</si>
  <si>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</si>
  <si>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</si>
  <si>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</si>
  <si>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</si>
  <si>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</si>
  <si>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</si>
  <si>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</si>
  <si>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</si>
  <si>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</si>
  <si>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</si>
  <si>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</si>
  <si>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</si>
  <si>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</si>
  <si>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</si>
  <si>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</si>
  <si>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</si>
  <si>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</si>
  <si>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</si>
  <si>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</si>
  <si>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</si>
  <si>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</si>
  <si>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</si>
  <si>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</si>
  <si>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</si>
  <si>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</si>
  <si>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</si>
  <si>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</si>
  <si>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</si>
  <si>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</si>
  <si>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</si>
  <si>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</si>
  <si>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</si>
  <si>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</si>
  <si>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</si>
  <si>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</si>
  <si>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</si>
  <si>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</si>
  <si>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</si>
  <si>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</si>
  <si>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</si>
  <si>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</si>
  <si>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</si>
  <si>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</si>
  <si>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</si>
  <si>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</si>
  <si>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</si>
  <si>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</si>
  <si>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</si>
  <si>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</si>
  <si>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</si>
  <si>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</si>
  <si>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</si>
  <si>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</si>
  <si>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</si>
  <si>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</si>
  <si>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</si>
  <si>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</si>
  <si>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</si>
  <si>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</si>
  <si>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</si>
  <si>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</si>
  <si>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</si>
  <si>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</si>
  <si>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</si>
  <si>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</si>
  <si>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</si>
  <si>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</si>
  <si>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</si>
  <si>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</si>
  <si>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</si>
  <si>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</si>
  <si>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</si>
  <si>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</si>
  <si>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</si>
  <si>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</si>
  <si>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</si>
  <si>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</si>
  <si>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</si>
  <si>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</si>
  <si>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</si>
  <si>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</si>
  <si>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</si>
  <si>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</si>
  <si>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</si>
  <si>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</si>
  <si>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</si>
  <si>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</si>
  <si>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</si>
  <si>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</si>
  <si>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</si>
  <si>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</si>
  <si>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</si>
  <si>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</si>
  <si>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</si>
  <si>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</si>
  <si>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</si>
  <si>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</si>
  <si>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</si>
  <si>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</si>
  <si>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</si>
  <si>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</si>
  <si>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</si>
  <si>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</si>
  <si>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</si>
  <si>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</si>
  <si>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</si>
  <si>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</si>
  <si>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</si>
  <si>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</si>
  <si>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</si>
  <si>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</si>
  <si>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</si>
  <si>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</si>
  <si>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</si>
  <si>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</si>
  <si>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</si>
  <si>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</si>
  <si>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</si>
  <si>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</si>
  <si>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</si>
  <si>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</si>
  <si>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</si>
  <si>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</si>
  <si>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</si>
  <si>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</si>
  <si>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</si>
  <si>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</si>
  <si>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</si>
  <si>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</si>
  <si>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</si>
  <si>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</si>
  <si>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</si>
  <si>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</si>
  <si>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</si>
  <si>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</si>
  <si>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</si>
  <si>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</si>
  <si>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</si>
  <si>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</si>
  <si>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</si>
  <si>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</si>
  <si>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</si>
  <si>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</si>
  <si>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</si>
  <si>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</si>
  <si>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</si>
  <si>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</si>
  <si>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</si>
  <si>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</si>
  <si>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</si>
  <si>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</si>
  <si>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</si>
  <si>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</si>
  <si>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</si>
  <si>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</si>
  <si>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</si>
  <si>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</si>
  <si>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</si>
  <si>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</si>
  <si>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</si>
  <si>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</si>
  <si>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</si>
  <si>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</si>
  <si>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</si>
  <si>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</si>
  <si>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</si>
  <si>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</si>
  <si>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</si>
  <si>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</si>
  <si>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</si>
  <si>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</si>
  <si>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</si>
  <si>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</si>
  <si>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</si>
  <si>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</si>
  <si>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</si>
  <si>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</si>
  <si>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</si>
  <si>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</si>
  <si>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</si>
  <si>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</si>
  <si>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</si>
  <si>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</si>
  <si>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</si>
  <si>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</si>
  <si>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</si>
  <si>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</si>
  <si>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</si>
  <si>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</si>
  <si>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</si>
  <si>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</si>
  <si>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</si>
  <si>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</si>
  <si>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</si>
  <si>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</si>
  <si>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</si>
  <si>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</si>
  <si>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</si>
  <si>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</si>
  <si>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</si>
  <si>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</si>
  <si>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</si>
  <si>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</si>
  <si>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</si>
  <si>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</si>
  <si>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</si>
  <si>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</si>
  <si>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</si>
  <si>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</si>
  <si>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</si>
  <si>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</si>
  <si>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</si>
  <si>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</si>
  <si>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</si>
  <si>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</si>
  <si>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</si>
  <si>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</si>
  <si>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</si>
  <si>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</si>
  <si>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</si>
  <si>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</si>
  <si>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</si>
  <si>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</si>
  <si>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</si>
  <si>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</si>
  <si>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</si>
  <si>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</si>
  <si>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</si>
  <si>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</si>
  <si>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</si>
  <si>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</si>
  <si>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</si>
  <si>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</si>
  <si>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</si>
  <si>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</si>
  <si>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</si>
  <si>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</si>
  <si>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</si>
  <si>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</si>
  <si>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</si>
  <si>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</si>
  <si>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</si>
  <si>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</si>
  <si>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</si>
  <si>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</si>
  <si>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</si>
  <si>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</si>
  <si>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</si>
  <si>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</si>
  <si>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</si>
  <si>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</si>
  <si>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</si>
  <si>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</si>
  <si>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</si>
  <si>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</si>
  <si>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</si>
  <si>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</si>
  <si>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</si>
  <si>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</si>
  <si>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</si>
  <si>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</si>
  <si>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</si>
  <si>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</si>
  <si>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</si>
  <si>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</si>
  <si>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</si>
  <si>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</si>
  <si>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</si>
  <si>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</si>
  <si>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</si>
  <si>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</si>
  <si>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</si>
  <si>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</si>
  <si>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</si>
  <si>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</si>
  <si>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</si>
  <si>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</si>
  <si>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</si>
  <si>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</si>
  <si>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</si>
  <si>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</si>
  <si>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</si>
  <si>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</si>
  <si>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</si>
  <si>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</si>
  <si>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</si>
  <si>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</si>
  <si>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</si>
  <si>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</si>
  <si>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</si>
  <si>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</si>
  <si>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</si>
  <si>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</si>
  <si>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</si>
  <si>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</si>
  <si>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</si>
  <si>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</si>
  <si>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</si>
  <si>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</si>
  <si>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</si>
  <si>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</si>
  <si>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</si>
  <si>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</si>
  <si>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</si>
  <si>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</si>
  <si>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</si>
  <si>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</si>
  <si>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</si>
  <si>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</si>
  <si>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</si>
  <si>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</si>
  <si>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</si>
  <si>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</si>
  <si>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</si>
  <si>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</si>
  <si>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</si>
  <si>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</si>
  <si>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</si>
  <si>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</si>
  <si>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</si>
  <si>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</si>
  <si>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</si>
  <si>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</si>
  <si>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</si>
  <si>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</si>
  <si>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</si>
  <si>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</si>
  <si>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</si>
  <si>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</si>
  <si>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</si>
  <si>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</si>
  <si>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</si>
  <si>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</si>
  <si>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</si>
  <si>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</si>
  <si>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</si>
  <si>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</si>
  <si>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</si>
  <si>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</si>
  <si>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</si>
  <si>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</si>
  <si>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</si>
  <si>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</si>
  <si>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</si>
  <si>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</si>
  <si>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</si>
  <si>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</si>
  <si>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</si>
  <si>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</si>
  <si>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</si>
  <si>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</si>
  <si>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</si>
  <si>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</si>
  <si>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</si>
  <si>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</si>
  <si>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</si>
  <si>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</si>
  <si>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</si>
  <si>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</si>
  <si>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</si>
  <si>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</si>
  <si>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</si>
  <si>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</si>
  <si>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</si>
  <si>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</si>
  <si>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</si>
  <si>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</si>
  <si>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</si>
  <si>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</si>
  <si>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</si>
  <si>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</si>
  <si>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</si>
  <si>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</si>
  <si>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</si>
  <si>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ANDRADE RICARDO ALBERTO</t>
  </si>
  <si>
    <t>ARCANGEL SAN MIGUEL S R L</t>
  </si>
  <si>
    <t>BALIÑA GERARDO DANIEL</t>
  </si>
  <si>
    <t>BUIZ LEONARDO RAUL</t>
  </si>
  <si>
    <t>DISTRIBUIDORA LEBENSHON 8061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</si>
  <si>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</si>
  <si>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</si>
  <si>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</si>
  <si>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</si>
  <si>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</si>
  <si>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</si>
  <si>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</si>
  <si>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GERAHARD HNOS SOCIEDAD DE RESPONSABILIDAD LIMITADA EN FORMACION</t>
  </si>
  <si>
    <t>GOGNIAT SOLDADURA SA</t>
  </si>
  <si>
    <t>GRAMAJO PABLO MARTIN</t>
  </si>
  <si>
    <t>GRUPO MELECSUR S.R.L.</t>
  </si>
  <si>
    <t>HERNANDEZ CORTES MIGUEL</t>
  </si>
  <si>
    <t>HOLMBACK JORGE EDUARDO</t>
  </si>
  <si>
    <t>KUHN PALACIOS Y PEREZ S.R.L</t>
  </si>
  <si>
    <t>MALEVO MEDINA BUZOS S.R.L.</t>
  </si>
  <si>
    <t>MANGIATERRA RICARDO</t>
  </si>
  <si>
    <t>MARCELO D. RODRIGUEZ CONSULTORES TRIBUTARIOS Y AUDITORES ASOCIADOS S.A.</t>
  </si>
  <si>
    <t>MOENS PABLO ENRIQUE</t>
  </si>
  <si>
    <t>NSM FOODS &amp; LOG S.R.L</t>
  </si>
  <si>
    <t>OVERRUKA S.R.L.</t>
  </si>
  <si>
    <t>PM REFRIGERACION INDUSTRIAL S.A</t>
  </si>
  <si>
    <t>SAMLOG S.R.L.</t>
  </si>
  <si>
    <t>SERVICIOS PORTUARIOS INTEGRADOS S.A.</t>
  </si>
  <si>
    <t>SUCESION DE ARCAMONE ANA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</si>
  <si>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</si>
  <si>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</si>
  <si>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</si>
  <si>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</si>
  <si>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</si>
  <si>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</si>
  <si>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</si>
  <si>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</si>
  <si>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</si>
  <si>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Banco Santander</t>
  </si>
  <si>
    <t>SISTEMAS INFORMATICOS</t>
  </si>
  <si>
    <t>PR067</t>
  </si>
  <si>
    <t>00182</t>
  </si>
  <si>
    <t>03882</t>
  </si>
  <si>
    <t>08992</t>
  </si>
  <si>
    <t>06846</t>
  </si>
  <si>
    <t>00089</t>
  </si>
  <si>
    <t>ASTILLERO NAVAL FEDERICO CONTESSI Y CIA SA.</t>
  </si>
  <si>
    <t>07910</t>
  </si>
  <si>
    <t>COMPRA DE CAMARAS Y CUBIERTAS PARA RODADOS</t>
  </si>
  <si>
    <t>PR223</t>
  </si>
  <si>
    <t>REPARACIONES RODADOS</t>
  </si>
  <si>
    <t>PR188</t>
  </si>
  <si>
    <t>09633</t>
  </si>
  <si>
    <t>09185</t>
  </si>
  <si>
    <t>CAPIZZANO ALEJANDRO LUIS</t>
  </si>
  <si>
    <t>09013</t>
  </si>
  <si>
    <t>COZZOLI FRANCO MATIAS</t>
  </si>
  <si>
    <t>08608</t>
  </si>
  <si>
    <t>D ALBIS DARIO OSVALDO</t>
  </si>
  <si>
    <t>08262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</si>
  <si>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</si>
  <si>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</si>
  <si>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</si>
  <si>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</si>
  <si>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</si>
  <si>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</si>
  <si>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</si>
  <si>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</si>
  <si>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</si>
  <si>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</si>
  <si>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</si>
  <si>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</si>
  <si>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</si>
  <si>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09053</t>
  </si>
  <si>
    <t>05571</t>
  </si>
  <si>
    <t>08744</t>
  </si>
  <si>
    <t>SERVICIO DE LAVADO</t>
  </si>
  <si>
    <t>PR002</t>
  </si>
  <si>
    <t>07794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</si>
  <si>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</si>
  <si>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</si>
  <si>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</si>
  <si>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</si>
  <si>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</si>
  <si>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</si>
  <si>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08048</t>
  </si>
  <si>
    <t>J KOSTZER LIBRERIA LURO S R L</t>
  </si>
  <si>
    <t>05773</t>
  </si>
  <si>
    <t>06934</t>
  </si>
  <si>
    <t>LAMAZON GILDO WERFIL</t>
  </si>
  <si>
    <t>06601</t>
  </si>
  <si>
    <t>LOQUAR S.R.L.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</si>
  <si>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</si>
  <si>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</si>
  <si>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</si>
  <si>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</si>
  <si>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</si>
  <si>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</si>
  <si>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</si>
  <si>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04293</t>
  </si>
  <si>
    <t>08485</t>
  </si>
  <si>
    <t>SERVICIOS DE GESTION Y LOGISTICA</t>
  </si>
  <si>
    <t>PR151</t>
  </si>
  <si>
    <t>07612</t>
  </si>
  <si>
    <t>03916</t>
  </si>
  <si>
    <t>00196</t>
  </si>
  <si>
    <t>SALVADOR MALVICA S.R.L.</t>
  </si>
  <si>
    <t>07655</t>
  </si>
  <si>
    <t>08377</t>
  </si>
  <si>
    <t>SELEC ELECTRICIDAD Y ELECTRONICA S.R.L</t>
  </si>
  <si>
    <t>REPARACIONES Y MANTENIMIENTO BUQUES</t>
  </si>
  <si>
    <t>PR186</t>
  </si>
  <si>
    <t>00192</t>
  </si>
  <si>
    <t>09011</t>
  </si>
  <si>
    <t>SZANTO JOSE ALEJANDRO</t>
  </si>
  <si>
    <t>02467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</si>
  <si>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</si>
  <si>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</si>
  <si>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</si>
  <si>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</si>
  <si>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</si>
  <si>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</si>
  <si>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</si>
  <si>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</si>
  <si>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</si>
  <si>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</si>
  <si>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</si>
  <si>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</si>
  <si>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</si>
  <si>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</si>
  <si>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</si>
  <si>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</si>
  <si>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</si>
  <si>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</si>
  <si>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05510</t>
  </si>
  <si>
    <t>COMERCIAL DEL MAR S.A.</t>
  </si>
  <si>
    <t>05482</t>
  </si>
  <si>
    <t>SERRANO JORGE ALBERTO</t>
  </si>
  <si>
    <t>PV - Análisis de Vencimientos 30-60-90</t>
  </si>
  <si>
    <t>Usuario: NICOLAS VELLINI</t>
  </si>
  <si>
    <t> </t>
  </si>
  <si>
    <t>05029</t>
  </si>
  <si>
    <t>ALMACEN NAVAL ELENA SRL</t>
  </si>
  <si>
    <t>05239</t>
  </si>
  <si>
    <t>ANTONIO PORPIGLIA SA</t>
  </si>
  <si>
    <t>HONORARIOS MEDICOS</t>
  </si>
  <si>
    <t>PR072</t>
  </si>
  <si>
    <t>08534</t>
  </si>
  <si>
    <t>CARGAS MARITIMAS INTERNACIONALES SA</t>
  </si>
  <si>
    <t>08861</t>
  </si>
  <si>
    <t>CONSTRUCCIONES Y PROYECTOS NAVAL. TEC.S.A.</t>
  </si>
  <si>
    <t>08768</t>
  </si>
  <si>
    <t>CUYAIRES S.R.L.</t>
  </si>
  <si>
    <t>05681</t>
  </si>
  <si>
    <t>ELECTRO STOCK S.A.</t>
  </si>
  <si>
    <t>ARTICULOS DE ILUMINACION</t>
  </si>
  <si>
    <t>PR043</t>
  </si>
  <si>
    <t>09336</t>
  </si>
  <si>
    <t>FARMA SRL</t>
  </si>
  <si>
    <t>09155</t>
  </si>
  <si>
    <t>GLAN S.R.L.</t>
  </si>
  <si>
    <t>HANDLER 04 MDP S.A.S</t>
  </si>
  <si>
    <t>05780</t>
  </si>
  <si>
    <t>HISPANO PATAGONICA S.A.</t>
  </si>
  <si>
    <t>07636</t>
  </si>
  <si>
    <t>IBARGAS SRL</t>
  </si>
  <si>
    <t>05634</t>
  </si>
  <si>
    <t>INDUSTRIAS TRICERRI HNOS E HIJOS SA ICFAGYF</t>
  </si>
  <si>
    <t>08555</t>
  </si>
  <si>
    <t>KEMKES ROMINA ALEJANDRA</t>
  </si>
  <si>
    <t>09649</t>
  </si>
  <si>
    <t>LUGO MAXIMILIANO JAVIER</t>
  </si>
  <si>
    <t>REPARACION DE GRUA</t>
  </si>
  <si>
    <t>PR213</t>
  </si>
  <si>
    <t>07498</t>
  </si>
  <si>
    <t>NAUTICAL SRL</t>
  </si>
  <si>
    <t>SERVICIO DE REMOLQUE</t>
  </si>
  <si>
    <t>PR155</t>
  </si>
  <si>
    <t>09197</t>
  </si>
  <si>
    <t>OCCUPATIONAL MEDICINAE PUERTO MAR DEL PLATA S.R.L.</t>
  </si>
  <si>
    <t>SALEM ALDO ALBERTO Y AICARDI DERNANDO SEBASTIAN S H</t>
  </si>
  <si>
    <t>06779</t>
  </si>
  <si>
    <t>SIDERSA SA</t>
  </si>
  <si>
    <t>04769</t>
  </si>
  <si>
    <t>SIMMONS DE ARGENTINA SAIC</t>
  </si>
  <si>
    <t>05609</t>
  </si>
  <si>
    <t>TALLER CENTRO UNION S.A.</t>
  </si>
  <si>
    <t>Parámetros</t>
  </si>
  <si>
    <t>Código de proveedor   desde:     hasta: </t>
  </si>
  <si>
    <t>No incluye   valor: PR006</t>
  </si>
  <si>
    <t>07639</t>
  </si>
  <si>
    <t>BARCIO JORGE EDUARDO</t>
  </si>
  <si>
    <t>05004</t>
  </si>
  <si>
    <t>BENEDETTO PELOSI S. A</t>
  </si>
  <si>
    <t>00762</t>
  </si>
  <si>
    <t>IACONO JORGE ALBERTO</t>
  </si>
  <si>
    <t>09108</t>
  </si>
  <si>
    <t> MAJLUF FABIO ADRIAN</t>
  </si>
  <si>
    <t>08859</t>
  </si>
  <si>
    <t> MODOC S.A</t>
  </si>
  <si>
    <t>09106</t>
  </si>
  <si>
    <t> MUTUAL DE PESCADORES MARITIMOS</t>
  </si>
  <si>
    <t>SERVICIOS DE MUTUALES, EXCEPTO MUTUALES DE SALUD Y FINANCIER</t>
  </si>
  <si>
    <t>949910</t>
  </si>
  <si>
    <t>07137</t>
  </si>
  <si>
    <t>ABBOUD MARCELO BANAIOT</t>
  </si>
  <si>
    <t>nylon stretch para barcos</t>
  </si>
  <si>
    <t>PR210</t>
  </si>
  <si>
    <t>07169</t>
  </si>
  <si>
    <t>ALLENDE Y BREA SOCIEDAD CIVIL</t>
  </si>
  <si>
    <t>04187</t>
  </si>
  <si>
    <t>ASOCIACION CAMARA DE LA INDUSTRIA PESQUERA ARGENTINA</t>
  </si>
  <si>
    <t>09174</t>
  </si>
  <si>
    <t>BENITEZ PABLO DAMIAN</t>
  </si>
  <si>
    <t>08032</t>
  </si>
  <si>
    <t>BIOMADRYN</t>
  </si>
  <si>
    <t>05416</t>
  </si>
  <si>
    <t>CIMSA SERVICIOS S.R.L</t>
  </si>
  <si>
    <t>09327</t>
  </si>
  <si>
    <t>CLUB MOTONAUTICA MAR DEL PLATA</t>
  </si>
  <si>
    <t>07959</t>
  </si>
  <si>
    <t>CONTI SOFIA</t>
  </si>
  <si>
    <t>07745</t>
  </si>
  <si>
    <t>DATCOM SOLUCIONES TECNOLOGICAS S.A.</t>
  </si>
  <si>
    <t>07241</t>
  </si>
  <si>
    <t>FINANCIAL TRADE S.A</t>
  </si>
  <si>
    <t>07213</t>
  </si>
  <si>
    <t>GALAY LEANDRO JOSE</t>
  </si>
  <si>
    <t>04898</t>
  </si>
  <si>
    <t>GOMEZ RUBEN MARIANO</t>
  </si>
  <si>
    <t>05232</t>
  </si>
  <si>
    <t>GONZALEZ VICENTE OMAR</t>
  </si>
  <si>
    <t>08264</t>
  </si>
  <si>
    <t>GROSS PAULA MARINA</t>
  </si>
  <si>
    <t>SERVICIO DE FRIO</t>
  </si>
  <si>
    <t>PR124</t>
  </si>
  <si>
    <t>08193</t>
  </si>
  <si>
    <t>GRUPO FB MARC EN FORMACION</t>
  </si>
  <si>
    <t>PROVEEDURIA:BAZAR P/BUQUES</t>
  </si>
  <si>
    <t>PR069</t>
  </si>
  <si>
    <t>09643</t>
  </si>
  <si>
    <t>H L RODRIGUEZ SRL</t>
  </si>
  <si>
    <t>06167</t>
  </si>
  <si>
    <t>INSTALACIONES COMERCIALES TISERA SA</t>
  </si>
  <si>
    <t>VTA MUEBLES P/ OFICINA</t>
  </si>
  <si>
    <t>PR094</t>
  </si>
  <si>
    <t>07837</t>
  </si>
  <si>
    <t>INZULZA PEDRO ORLANDO</t>
  </si>
  <si>
    <t>08668</t>
  </si>
  <si>
    <t>ISF SOFT S.A.</t>
  </si>
  <si>
    <t>09520</t>
  </si>
  <si>
    <t>KUDOS LAB S.R.L</t>
  </si>
  <si>
    <t>09658</t>
  </si>
  <si>
    <t>MANGIATERRA SANTIAGO EZEQUIEL</t>
  </si>
  <si>
    <t>SERVICIOS DE TERCEROS-PESADAS</t>
  </si>
  <si>
    <t>PR0103</t>
  </si>
  <si>
    <t>07946</t>
  </si>
  <si>
    <t>MATEJCICH SANDRA EDITH</t>
  </si>
  <si>
    <t>07823</t>
  </si>
  <si>
    <t>MELCHOR CESAR HUGO</t>
  </si>
  <si>
    <t>05186</t>
  </si>
  <si>
    <t>MPE S.A.</t>
  </si>
  <si>
    <t>EMERGENCIA MEDICA</t>
  </si>
  <si>
    <t>PR097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</si>
  <si>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</si>
  <si>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</si>
  <si>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</si>
  <si>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</si>
  <si>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</si>
  <si>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</si>
  <si>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09659</t>
  </si>
  <si>
    <t>OUBIÑA LUCIANA LORENA</t>
  </si>
  <si>
    <t>06190</t>
  </si>
  <si>
    <t>PALADINI SA</t>
  </si>
  <si>
    <t>04918</t>
  </si>
  <si>
    <t>PANZIERA FABIAN ENRIQUE</t>
  </si>
  <si>
    <t>AISLAMIENTO TÉRMICO, ACÚSTICO, HÍDRICO Y ANTIVIBRATORIO</t>
  </si>
  <si>
    <t>PR147</t>
  </si>
  <si>
    <t>09127</t>
  </si>
  <si>
    <t>POLIURETANO Y PLASTICO PROYECTADO S.R.L.</t>
  </si>
  <si>
    <t>MATERIAL DE  AISLAMIENTO POLIURATANO Y PLASTICO P/BUQUES</t>
  </si>
  <si>
    <t>PR219</t>
  </si>
  <si>
    <t>09416</t>
  </si>
  <si>
    <t>PREMIAR COMPAÑIA ARGENTINA DE SEGUROS</t>
  </si>
  <si>
    <t>SEGURO TRANSPORTE MERCADERIA</t>
  </si>
  <si>
    <t>PR135</t>
  </si>
  <si>
    <t>08781</t>
  </si>
  <si>
    <t>RECFIMAR S.A</t>
  </si>
  <si>
    <t>09626</t>
  </si>
  <si>
    <t>S.C.F. S.R.L.</t>
  </si>
  <si>
    <t>PRODUCTOS ELECTRONICOS BUQUES / PLANTA</t>
  </si>
  <si>
    <t>PR217</t>
  </si>
  <si>
    <t>09006</t>
  </si>
  <si>
    <t>SERMATEL S.A.</t>
  </si>
  <si>
    <t>04439</t>
  </si>
  <si>
    <t>TECNOMECANICA ESTEVAN SRL</t>
  </si>
  <si>
    <t>00084</t>
  </si>
  <si>
    <t>TORRES Y LIVA SACIF</t>
  </si>
  <si>
    <t>02090</t>
  </si>
  <si>
    <t>UNION DEL COMERCIO LA INDUSTRIA Y LA PRODUCCION</t>
  </si>
  <si>
    <t>Deuda al día   valor: 20260907</t>
  </si>
  <si>
    <t>COMERCIAL INAL 2005 SA</t>
  </si>
  <si>
    <t>LUMELL SA</t>
  </si>
  <si>
    <t>INDUSTRIAS EL CORSARIO SA</t>
  </si>
  <si>
    <t>CONGELADOS ARTICO SA</t>
  </si>
  <si>
    <t>ALIMENPES SA</t>
  </si>
  <si>
    <t xml:space="preserve">                                               FRIO SUR SRL</t>
  </si>
  <si>
    <t>MARDI SA</t>
  </si>
  <si>
    <t>FRIO POLAR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</si>
</sst>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  <numFmt numFmtId="170" formatCode="_-[$USD]\ * #,##0.00_-;\-[$USD]\ * #,##0.00_-;_-[$USD]\ * &quot;-&quot;??_-;_-@_-"/>
  </numFmts>
  <fonts count="29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7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44" fontId="27" fillId="0" borderId="0" xfId="1" applyFont="1" applyAlignment="1">
      <alignment horizontal="center"/>
    </xf>
    <xf numFmtId="44" fontId="28" fillId="0" borderId="0" xfId="1" applyFont="1" applyBorder="1" applyAlignment="1">
      <alignment horizontal="center"/>
    </xf>
    <xf numFmtId="44" fontId="28" fillId="16" borderId="0" xfId="1" applyFont="1" applyFill="1" applyAlignment="1">
      <alignment horizontal="center"/>
    </xf>
    <xf numFmtId="44" fontId="28" fillId="17" borderId="0" xfId="1" applyFont="1" applyFill="1" applyAlignment="1">
      <alignment horizontal="center"/>
    </xf>
    <xf numFmtId="170" fontId="28" fillId="16" borderId="0" xfId="0" applyNumberFormat="1" applyFont="1" applyFill="1" applyAlignment="1">
      <alignment horizont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  <cell r="FG1">
            <v>46269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  <cell r="FG2">
            <v>1505.5</v>
          </cell>
          <cell r="FL2">
            <v>1509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  <cell r="FG10">
            <v>190280000</v>
          </cell>
          <cell r="FH10">
            <v>204000000</v>
          </cell>
          <cell r="FI10">
            <v>415424000</v>
          </cell>
          <cell r="FJ10">
            <v>306408000</v>
          </cell>
          <cell r="FK10">
            <v>197414000</v>
          </cell>
          <cell r="FL10">
            <v>358410581</v>
          </cell>
          <cell r="FM10">
            <v>257838877</v>
          </cell>
          <cell r="FU10">
            <v>424267959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  <cell r="FD13">
            <v>604000</v>
          </cell>
          <cell r="FG13">
            <v>58017000</v>
          </cell>
          <cell r="FH13">
            <v>113928000</v>
          </cell>
          <cell r="FI13">
            <v>164014000</v>
          </cell>
          <cell r="FJ13">
            <v>83668000</v>
          </cell>
          <cell r="FK13">
            <v>29553000</v>
          </cell>
          <cell r="FL13">
            <v>58387000</v>
          </cell>
          <cell r="FM13">
            <v>64789000</v>
          </cell>
          <cell r="FU13">
            <v>84597000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  <cell r="FD14">
            <v>8107000</v>
          </cell>
          <cell r="FG14">
            <v>44344000</v>
          </cell>
          <cell r="FH14">
            <v>41937000</v>
          </cell>
          <cell r="FI14">
            <v>4649000</v>
          </cell>
          <cell r="FJ14">
            <v>7582000</v>
          </cell>
          <cell r="FK14">
            <v>10200000</v>
          </cell>
          <cell r="FL14">
            <v>6513000</v>
          </cell>
          <cell r="FM14">
            <v>6569000</v>
          </cell>
          <cell r="FU14">
            <v>12270000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  <cell r="FD15">
            <v>2967000</v>
          </cell>
          <cell r="FG15">
            <v>2203000</v>
          </cell>
          <cell r="FH15">
            <v>3370000</v>
          </cell>
          <cell r="FI15">
            <v>12518000</v>
          </cell>
          <cell r="FJ15">
            <v>12518000</v>
          </cell>
          <cell r="FK15">
            <v>5230000</v>
          </cell>
          <cell r="FL15">
            <v>4141000</v>
          </cell>
          <cell r="FM15">
            <v>3637000</v>
          </cell>
          <cell r="FU15">
            <v>1251000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  <cell r="FG16">
            <v>3821000</v>
          </cell>
          <cell r="FH16">
            <v>4016000</v>
          </cell>
          <cell r="FI16">
            <v>4441000</v>
          </cell>
          <cell r="FJ16">
            <v>39458000</v>
          </cell>
          <cell r="FK16">
            <v>33460000</v>
          </cell>
          <cell r="FL16">
            <v>3800000</v>
          </cell>
          <cell r="FM16">
            <v>3807000</v>
          </cell>
          <cell r="FU16">
            <v>5305000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  <cell r="FD22">
            <v>1387349000</v>
          </cell>
          <cell r="FG22">
            <v>1127963988</v>
          </cell>
          <cell r="FH22">
            <v>1386769447</v>
          </cell>
          <cell r="FI22">
            <v>1142598325</v>
          </cell>
          <cell r="FJ22">
            <v>896745000</v>
          </cell>
          <cell r="FK22">
            <v>896745000</v>
          </cell>
          <cell r="FL22">
            <v>1107000000</v>
          </cell>
          <cell r="FM22">
            <v>1107165633</v>
          </cell>
          <cell r="FU22">
            <v>1325977000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  <cell r="FD24">
            <v>2740130856</v>
          </cell>
          <cell r="FE24">
            <v>2305085022</v>
          </cell>
          <cell r="FF24">
            <v>2612678073</v>
          </cell>
          <cell r="FG24">
            <v>2874777843.5</v>
          </cell>
          <cell r="FH24">
            <v>975267296</v>
          </cell>
          <cell r="FI24">
            <v>978509541</v>
          </cell>
          <cell r="FJ24">
            <v>5503254381.5</v>
          </cell>
          <cell r="FK24">
            <v>3264171921</v>
          </cell>
          <cell r="FL24">
            <v>2688933879</v>
          </cell>
          <cell r="FM24">
            <v>2082674000</v>
          </cell>
          <cell r="FS24">
            <v>2324382126</v>
          </cell>
          <cell r="FT24">
            <v>2335130460</v>
          </cell>
          <cell r="FU24">
            <v>1725254720</v>
          </cell>
          <cell r="FV24">
            <v>3638285098</v>
          </cell>
          <cell r="FW24">
            <v>3130897770</v>
          </cell>
          <cell r="FX24">
            <v>2882106926</v>
          </cell>
          <cell r="FY24">
            <v>3255406245</v>
          </cell>
          <cell r="FZ24">
            <v>2036319587.5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  <cell r="FD25">
            <v>299507256</v>
          </cell>
          <cell r="FE25">
            <v>342543000</v>
          </cell>
          <cell r="FF25">
            <v>258039000</v>
          </cell>
          <cell r="FG25">
            <v>211015396.5</v>
          </cell>
          <cell r="FH25">
            <v>317193600</v>
          </cell>
          <cell r="FI25">
            <v>333338100</v>
          </cell>
          <cell r="FJ25">
            <v>255935000</v>
          </cell>
          <cell r="FK25">
            <v>453900000</v>
          </cell>
          <cell r="FL25">
            <v>325944000</v>
          </cell>
          <cell r="FM25">
            <v>331540000</v>
          </cell>
          <cell r="FS25">
            <v>109462200</v>
          </cell>
          <cell r="FT25">
            <v>109968300</v>
          </cell>
          <cell r="FU25">
            <v>564254400</v>
          </cell>
          <cell r="FV25">
            <v>351348973.5</v>
          </cell>
          <cell r="FW25">
            <v>486648030</v>
          </cell>
          <cell r="FX25">
            <v>625219597.5</v>
          </cell>
          <cell r="FY25">
            <v>323319180</v>
          </cell>
          <cell r="FZ25">
            <v>390181137.5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  <cell r="FD29">
            <v>8628895068</v>
          </cell>
          <cell r="FE29">
            <v>8734117653</v>
          </cell>
          <cell r="FF29">
            <v>8097476589</v>
          </cell>
          <cell r="FG29">
            <v>8070931302</v>
          </cell>
          <cell r="FH29">
            <v>9475210528</v>
          </cell>
          <cell r="FI29">
            <v>9314471508</v>
          </cell>
          <cell r="FJ29">
            <v>8877075365</v>
          </cell>
          <cell r="FK29">
            <v>9498361329</v>
          </cell>
          <cell r="FL29">
            <v>9129388131</v>
          </cell>
          <cell r="FM29">
            <v>9117288213</v>
          </cell>
          <cell r="FS29">
            <v>15720346480</v>
          </cell>
          <cell r="FT29">
            <v>15756099840</v>
          </cell>
          <cell r="FU29">
            <v>16813510400</v>
          </cell>
          <cell r="FV29">
            <v>15781697137.5</v>
          </cell>
          <cell r="FW29">
            <v>15326361006</v>
          </cell>
          <cell r="FX29">
            <v>15721030500</v>
          </cell>
          <cell r="FY29">
            <v>15286824195</v>
          </cell>
          <cell r="FZ29">
            <v>15497787387.5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  <cell r="FH31">
            <v>1507317626</v>
          </cell>
          <cell r="FI31">
            <v>607633370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  <cell r="FD43">
            <v>181112077</v>
          </cell>
          <cell r="FG43">
            <v>45290335</v>
          </cell>
          <cell r="FH43">
            <v>336815052</v>
          </cell>
          <cell r="FI43">
            <v>424319420</v>
          </cell>
          <cell r="FJ43">
            <v>2939544</v>
          </cell>
          <cell r="FK43">
            <v>63214078</v>
          </cell>
          <cell r="FL43">
            <v>121593571</v>
          </cell>
          <cell r="FM43">
            <v>421929408</v>
          </cell>
          <cell r="FU43">
            <v>400324888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  <cell r="FD46">
            <v>51477136</v>
          </cell>
          <cell r="FH46">
            <v>212885656</v>
          </cell>
          <cell r="FI46">
            <v>19575338</v>
          </cell>
          <cell r="FL46">
            <v>6074370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  <cell r="FL49">
            <v>2199600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  <cell r="FH50">
            <v>12611780</v>
          </cell>
          <cell r="FI50">
            <v>31902411</v>
          </cell>
          <cell r="FJ50">
            <v>2227081286</v>
          </cell>
          <cell r="FK50">
            <v>159022936</v>
          </cell>
          <cell r="FM50">
            <v>11201980</v>
          </cell>
          <cell r="FU50">
            <v>100748053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  <cell r="FD51">
            <v>169418024</v>
          </cell>
          <cell r="FG51">
            <v>688777988</v>
          </cell>
          <cell r="FH51">
            <v>338853719</v>
          </cell>
          <cell r="FI51">
            <v>156151989</v>
          </cell>
          <cell r="FJ51">
            <v>257288219</v>
          </cell>
          <cell r="FK51">
            <v>564628974</v>
          </cell>
          <cell r="FL51">
            <v>516948396</v>
          </cell>
          <cell r="FM51">
            <v>240753608</v>
          </cell>
          <cell r="FU51">
            <v>146353825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  <cell r="FI59">
            <v>160000000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  <cell r="FD60">
            <v>180000000</v>
          </cell>
        </row>
        <row r="61">
          <cell r="CJ61">
            <v>0</v>
          </cell>
        </row>
        <row r="68">
          <cell r="CJ68">
            <v>0</v>
          </cell>
        </row>
        <row r="73">
          <cell r="FG73">
            <v>130500000</v>
          </cell>
          <cell r="FU73">
            <v>131116450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  <cell r="FD97">
            <v>34505019.689000003</v>
          </cell>
          <cell r="FE97">
            <v>36005238.718999997</v>
          </cell>
          <cell r="FF97">
            <v>33243348.778999999</v>
          </cell>
          <cell r="FG97">
            <v>32031098.270000003</v>
          </cell>
          <cell r="FH97">
            <v>31412096.869999997</v>
          </cell>
          <cell r="FI97">
            <v>32336779.435999997</v>
          </cell>
          <cell r="FJ97">
            <v>33644452.497500002</v>
          </cell>
          <cell r="FK97">
            <v>30931429.434500001</v>
          </cell>
          <cell r="FL97">
            <v>31810521.982500002</v>
          </cell>
          <cell r="FM97">
            <v>32543316.3825</v>
          </cell>
          <cell r="FS97">
            <v>20019979.761999998</v>
          </cell>
          <cell r="FT97">
            <v>20145675.958000001</v>
          </cell>
          <cell r="FU97">
            <v>18320136.857999999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  <cell r="FD100">
            <v>706516864</v>
          </cell>
          <cell r="FG100">
            <v>1504790455</v>
          </cell>
          <cell r="FH100">
            <v>1248071376</v>
          </cell>
          <cell r="FI100">
            <v>865293563</v>
          </cell>
          <cell r="FJ100">
            <v>989741585</v>
          </cell>
          <cell r="FK100">
            <v>1451865442.78</v>
          </cell>
          <cell r="FL100">
            <v>1852178279</v>
          </cell>
          <cell r="FM100">
            <v>1779462460</v>
          </cell>
          <cell r="FU100">
            <v>1139790764.1199999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  <cell r="FD101">
            <v>13329945213</v>
          </cell>
          <cell r="FG101">
            <v>12353842398</v>
          </cell>
          <cell r="FH101">
            <v>11735279712</v>
          </cell>
          <cell r="FI101">
            <v>11387545619</v>
          </cell>
          <cell r="FJ101">
            <v>8774851720</v>
          </cell>
          <cell r="FK101">
            <v>7581875038</v>
          </cell>
          <cell r="FL101">
            <v>7471140512</v>
          </cell>
          <cell r="FM101">
            <v>6505310688</v>
          </cell>
          <cell r="FU101">
            <v>6949854020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  <cell r="FD102">
            <v>7550543000</v>
          </cell>
          <cell r="FH102">
            <v>6953976045.9499998</v>
          </cell>
          <cell r="FI102">
            <v>6960467958</v>
          </cell>
          <cell r="FJ102">
            <v>6796061384</v>
          </cell>
          <cell r="FK102">
            <v>7878950730</v>
          </cell>
          <cell r="FL102">
            <v>7301555646</v>
          </cell>
          <cell r="FM102">
            <v>7447795635</v>
          </cell>
          <cell r="FU102">
            <v>5456915233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  <cell r="FH103">
            <v>1745997.6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81" t="s">
        <v>0</v>
      </c>
      <c r="B1" s="81"/>
      <c r="C1" s="81"/>
      <c r="D1" s="81"/>
      <c r="E1" s="81"/>
      <c r="F1" s="81"/>
    </row>
    <row r="2" spans="1:6" ht="19.5" customHeight="1" x14ac:dyDescent="0.25">
      <c r="A2" s="82" t="s">
        <v>1</v>
      </c>
      <c r="B2" s="82"/>
      <c r="C2" s="82"/>
      <c r="D2" s="82"/>
      <c r="E2" s="82"/>
      <c r="F2" s="82"/>
    </row>
    <row r="5" spans="1:6" ht="15" customHeight="1" x14ac:dyDescent="0.25">
      <c r="A5" s="2"/>
      <c r="B5" s="3"/>
    </row>
    <row r="6" spans="1:6" ht="15" customHeight="1" x14ac:dyDescent="0.25">
      <c r="A6" s="80" t="s">
        <v>2</v>
      </c>
      <c r="B6" s="80"/>
      <c r="C6" s="80"/>
      <c r="D6" s="80"/>
      <c r="E6" s="80"/>
      <c r="F6" s="80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80" t="s">
        <v>21</v>
      </c>
      <c r="B17" s="80"/>
      <c r="C17" s="80"/>
      <c r="D17" s="80"/>
      <c r="E17" s="80"/>
      <c r="F17" s="80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80" t="s">
        <v>32</v>
      </c>
      <c r="B24" s="80"/>
      <c r="C24" s="80"/>
      <c r="D24" s="80"/>
      <c r="E24" s="80"/>
      <c r="F24" s="80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80" t="s">
        <v>47</v>
      </c>
      <c r="B33" s="80"/>
      <c r="C33" s="80"/>
      <c r="D33" s="80"/>
      <c r="E33" s="80"/>
      <c r="F33" s="80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T3" zoomScaleNormal="100" workbookViewId="0">
      <pane ySplit="1" topLeftCell="A160" activePane="bottomLeft" state="frozen"/>
      <selection activeCell="A3" sqref="A3"/>
      <selection pane="bottomLeft" activeCell="AI175" sqref="AI175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6" width="15.85546875" bestFit="1" customWidth="1"/>
    <col min="7" max="8" width="13.85546875" bestFit="1" customWidth="1"/>
    <col min="9" max="9" width="17.42578125" bestFit="1" customWidth="1"/>
    <col min="10" max="10" width="15.85546875" bestFit="1" customWidth="1"/>
    <col min="11" max="11" width="12.7109375" bestFit="1" customWidth="1"/>
    <col min="12" max="12" width="14.85546875" bestFit="1" customWidth="1"/>
    <col min="13" max="13" width="10.140625" bestFit="1" customWidth="1"/>
    <col min="14" max="14" width="9" bestFit="1" customWidth="1"/>
    <col min="15" max="15" width="13.7109375" bestFit="1" customWidth="1"/>
    <col min="16" max="16" width="17.42578125" bestFit="1" customWidth="1"/>
    <col min="17" max="17" width="15.85546875" bestFit="1" customWidth="1"/>
    <col min="18" max="18" width="13.7109375" bestFit="1" customWidth="1"/>
    <col min="19" max="19" width="10.140625" bestFit="1" customWidth="1"/>
    <col min="20" max="20" width="13.7109375" bestFit="1" customWidth="1"/>
    <col min="21" max="21" width="14.85546875" bestFit="1" customWidth="1"/>
    <col min="22" max="22" width="13.7109375" bestFit="1" customWidth="1"/>
    <col min="23" max="23" width="6.5703125" bestFit="1" customWidth="1"/>
    <col min="24" max="24" width="17.42578125" bestFit="1" customWidth="1"/>
    <col min="25" max="25" width="18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7.14062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5" t="s">
        <v>54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spans="1:37" ht="21.75" hidden="1" customHeight="1" x14ac:dyDescent="0.25">
      <c r="A2" s="5" t="s">
        <v>55</v>
      </c>
      <c r="B2" s="5" t="s">
        <v>56</v>
      </c>
      <c r="C2" s="76" t="s">
        <v>57</v>
      </c>
      <c r="D2" s="76"/>
      <c r="E2" s="76"/>
      <c r="F2" s="76"/>
      <c r="G2" s="76"/>
      <c r="H2" s="76"/>
      <c r="I2" s="76"/>
      <c r="J2" s="77" t="s">
        <v>58</v>
      </c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8" t="s">
        <v>59</v>
      </c>
      <c r="X2" s="78"/>
      <c r="Y2" s="78"/>
      <c r="Z2" s="78"/>
      <c r="AA2" s="78"/>
      <c r="AB2" s="78"/>
      <c r="AC2" s="78"/>
      <c r="AD2" s="78"/>
      <c r="AE2" s="78"/>
      <c r="AF2" s="1"/>
      <c r="AG2" s="79"/>
      <c r="AH2" s="79"/>
      <c r="AI2" s="79"/>
      <c r="AJ2" s="79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 t="shared" ref="Z151:Z156" si="37"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v>17800000</v>
      </c>
      <c r="AD151" s="63">
        <f>+AD150</f>
        <v>245288.76712328769</v>
      </c>
      <c r="AE151" s="63">
        <f t="shared" ref="AE151:AE156" si="38">+AE150</f>
        <v>280000</v>
      </c>
      <c r="AF151" s="63">
        <f>+'[1]CF Dia V1'!$EX$97</f>
        <v>34329322.403999999</v>
      </c>
      <c r="AG151" s="63">
        <f t="shared" ref="AG151:AG156" si="39"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 t="shared" si="37"/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 t="shared" ref="AC152:AC156" si="40">+AC151</f>
        <v>17800000</v>
      </c>
      <c r="AD152" s="63">
        <f t="shared" si="35"/>
        <v>245288.76712328769</v>
      </c>
      <c r="AE152" s="63">
        <f t="shared" si="38"/>
        <v>280000</v>
      </c>
      <c r="AF152" s="63">
        <f>+'[1]CF Dia V1'!$EY$97</f>
        <v>35001309.556000002</v>
      </c>
      <c r="AG152" s="63">
        <f t="shared" si="39"/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 t="shared" si="37"/>
        <v>179326122.93125013</v>
      </c>
      <c r="AA153" s="63">
        <v>8027776486.46</v>
      </c>
      <c r="AB153" s="63">
        <f t="shared" si="36"/>
        <v>1562000</v>
      </c>
      <c r="AC153" s="63">
        <f t="shared" si="40"/>
        <v>17800000</v>
      </c>
      <c r="AD153" s="63">
        <f t="shared" ref="AD153:AD159" si="41">+AD152</f>
        <v>245288.76712328769</v>
      </c>
      <c r="AE153" s="63">
        <f t="shared" si="38"/>
        <v>280000</v>
      </c>
      <c r="AF153" s="63">
        <f>+'[1]CF Dia V1'!$EZ$97</f>
        <v>32475209.347000003</v>
      </c>
      <c r="AG153" s="63">
        <f t="shared" si="39"/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 t="shared" si="37"/>
        <v>179326122.93125013</v>
      </c>
      <c r="AA154" s="63">
        <v>7969027248</v>
      </c>
      <c r="AB154" s="63">
        <f t="shared" si="36"/>
        <v>1562000</v>
      </c>
      <c r="AC154" s="63">
        <f t="shared" si="40"/>
        <v>17800000</v>
      </c>
      <c r="AD154" s="63">
        <f t="shared" si="41"/>
        <v>245288.76712328769</v>
      </c>
      <c r="AE154" s="63">
        <f t="shared" si="38"/>
        <v>280000</v>
      </c>
      <c r="AF154" s="63">
        <f>+'[1]CF Dia V1'!$FA$97</f>
        <v>32880196.405000001</v>
      </c>
      <c r="AG154" s="63">
        <f t="shared" si="39"/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 t="shared" si="37"/>
        <v>179326122.93125013</v>
      </c>
      <c r="AA155" s="63">
        <f>+AA154</f>
        <v>7969027248</v>
      </c>
      <c r="AB155" s="63">
        <f>+AB154</f>
        <v>1562000</v>
      </c>
      <c r="AC155" s="63">
        <f t="shared" si="40"/>
        <v>17800000</v>
      </c>
      <c r="AD155" s="63">
        <f t="shared" si="41"/>
        <v>245288.76712328769</v>
      </c>
      <c r="AE155" s="63">
        <f t="shared" si="38"/>
        <v>280000</v>
      </c>
      <c r="AF155" s="63">
        <f>+'[1]CF Dia V1'!$FB$97</f>
        <v>32912551.405000001</v>
      </c>
      <c r="AG155" s="63">
        <f t="shared" si="39"/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 t="shared" si="37"/>
        <v>179326122.93125013</v>
      </c>
      <c r="AA156" s="63">
        <v>7678749522</v>
      </c>
      <c r="AB156" s="63">
        <f>+AB155</f>
        <v>1562000</v>
      </c>
      <c r="AC156" s="63">
        <f t="shared" si="40"/>
        <v>17800000</v>
      </c>
      <c r="AD156" s="63">
        <f t="shared" si="41"/>
        <v>245288.76712328769</v>
      </c>
      <c r="AE156" s="63">
        <f t="shared" si="38"/>
        <v>280000</v>
      </c>
      <c r="AF156" s="63">
        <f>+'[1]CF Dia V1'!$FC$97</f>
        <v>33013997.166000001</v>
      </c>
      <c r="AG156" s="63">
        <f t="shared" si="39"/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>
        <v>46266</v>
      </c>
      <c r="B157" s="63">
        <v>1506</v>
      </c>
      <c r="C157" s="14"/>
      <c r="D157" s="14">
        <v>16000000</v>
      </c>
      <c r="E157" s="14">
        <f>+'[1]CF Dia V1'!$FD$13</f>
        <v>604000</v>
      </c>
      <c r="F157" s="14">
        <f>+F156</f>
        <v>3924000</v>
      </c>
      <c r="G157" s="14">
        <f>+'[1]CF Dia V1'!$FD$14</f>
        <v>8107000</v>
      </c>
      <c r="H157" s="14">
        <f>+'[1]CF Dia V1'!$FD$15</f>
        <v>2967000</v>
      </c>
      <c r="I157" s="14">
        <f>+'[1]CF Dia V1'!$FD$22</f>
        <v>1387349000</v>
      </c>
      <c r="J157" s="14">
        <f>+'[1]CF Dia V1'!$FD$43</f>
        <v>181112077</v>
      </c>
      <c r="K157" s="14"/>
      <c r="L157" s="14">
        <f>+'[1]CF Dia V1'!$FD$46</f>
        <v>51477136</v>
      </c>
      <c r="M157" s="14"/>
      <c r="N157" s="14"/>
      <c r="O157" s="14"/>
      <c r="P157" s="14"/>
      <c r="Q157" s="14">
        <f>+'[1]CF Dia V1'!$FD$51</f>
        <v>169418024</v>
      </c>
      <c r="R157" s="14"/>
      <c r="S157" s="14"/>
      <c r="T157" s="14"/>
      <c r="U157" s="14">
        <f>+'[1]CF Dia V1'!$FD$60</f>
        <v>180000000</v>
      </c>
      <c r="V157" s="14"/>
      <c r="W157" s="14"/>
      <c r="X157" s="14">
        <f>+'[1]CF Dia V1'!$FD$100</f>
        <v>706516864</v>
      </c>
      <c r="Y157" s="14">
        <f>+'[1]CF Dia V1'!$FD$101</f>
        <v>13329945213</v>
      </c>
      <c r="Z157" s="14">
        <f t="shared" ref="Z157:Z162" si="42">+Z156</f>
        <v>179326122.93125013</v>
      </c>
      <c r="AA157" s="63">
        <f>+'[1]CF Dia V1'!$FD$102</f>
        <v>7550543000</v>
      </c>
      <c r="AB157" s="63">
        <f>+AB156</f>
        <v>1562000</v>
      </c>
      <c r="AC157" s="63">
        <f t="shared" ref="AC157:AC162" si="43">+AC156</f>
        <v>17800000</v>
      </c>
      <c r="AD157" s="63">
        <f t="shared" si="41"/>
        <v>245288.76712328769</v>
      </c>
      <c r="AE157" s="63">
        <f>+AE156</f>
        <v>280000</v>
      </c>
      <c r="AF157" s="63">
        <f>+'[1]CF Dia V1'!$FD$97</f>
        <v>34505019.689000003</v>
      </c>
      <c r="AG157" s="63">
        <f t="shared" ref="AG157:AG162" si="44">+AG156</f>
        <v>5582721359</v>
      </c>
      <c r="AH157" s="14">
        <f>+'[1]CF Dia V1'!$FD$24+'[1]CF Dia V1'!$FD$25</f>
        <v>3039638112</v>
      </c>
      <c r="AI157" s="14">
        <f>+'[1]CF Dia V1'!$FD$29</f>
        <v>8628895068</v>
      </c>
      <c r="AJ157" s="14"/>
      <c r="AK157" s="16"/>
    </row>
    <row r="158" spans="1:37" ht="15.75" customHeight="1" x14ac:dyDescent="0.25">
      <c r="A158" s="13">
        <f>+A157+1</f>
        <v>46267</v>
      </c>
      <c r="B158" s="63">
        <v>1509</v>
      </c>
      <c r="C158" s="14"/>
      <c r="D158" s="14">
        <v>37490000</v>
      </c>
      <c r="E158" s="14">
        <v>340432000</v>
      </c>
      <c r="F158" s="14">
        <v>3821000</v>
      </c>
      <c r="G158" s="14">
        <v>3760000</v>
      </c>
      <c r="H158" s="14">
        <v>118000</v>
      </c>
      <c r="I158" s="14">
        <v>1422868000</v>
      </c>
      <c r="J158" s="14">
        <v>274322161</v>
      </c>
      <c r="K158" s="14"/>
      <c r="L158" s="14">
        <v>52009050</v>
      </c>
      <c r="M158" s="14"/>
      <c r="N158" s="14"/>
      <c r="O158" s="14"/>
      <c r="P158" s="14">
        <v>0</v>
      </c>
      <c r="Q158" s="14">
        <v>167270769</v>
      </c>
      <c r="R158" s="14"/>
      <c r="S158" s="14"/>
      <c r="T158" s="14"/>
      <c r="U158" s="14">
        <v>85000000</v>
      </c>
      <c r="V158" s="14"/>
      <c r="W158" s="14"/>
      <c r="X158" s="14">
        <v>1645569309.77</v>
      </c>
      <c r="Y158" s="14">
        <v>13225547662</v>
      </c>
      <c r="Z158" s="14">
        <f t="shared" si="42"/>
        <v>179326122.93125013</v>
      </c>
      <c r="AA158" s="63">
        <v>7550543000</v>
      </c>
      <c r="AB158" s="63">
        <f>+AB157</f>
        <v>1562000</v>
      </c>
      <c r="AC158" s="63">
        <f t="shared" si="43"/>
        <v>17800000</v>
      </c>
      <c r="AD158" s="63">
        <f t="shared" si="41"/>
        <v>245288.76712328769</v>
      </c>
      <c r="AE158" s="63">
        <f>+AE157</f>
        <v>280000</v>
      </c>
      <c r="AF158" s="63">
        <f>+'[1]CF Dia V1'!$FE$97</f>
        <v>36005238.718999997</v>
      </c>
      <c r="AG158" s="63">
        <f t="shared" si="44"/>
        <v>5582721359</v>
      </c>
      <c r="AH158" s="14">
        <f>+'[1]CF Dia V1'!$FE$24+'[1]CF Dia V1'!$FE$25</f>
        <v>2647628022</v>
      </c>
      <c r="AI158" s="14">
        <f>+'[1]CF Dia V1'!$FE$29</f>
        <v>8734117653</v>
      </c>
      <c r="AJ158" s="14"/>
      <c r="AK158" s="16"/>
    </row>
    <row r="159" spans="1:37" ht="15.75" customHeight="1" x14ac:dyDescent="0.25">
      <c r="A159" s="13">
        <f>+A158+1</f>
        <v>46268</v>
      </c>
      <c r="B159" s="63">
        <v>1509</v>
      </c>
      <c r="C159" s="14"/>
      <c r="D159" s="14">
        <v>190280000</v>
      </c>
      <c r="E159" s="14">
        <v>190272000</v>
      </c>
      <c r="F159" s="14">
        <v>3821000</v>
      </c>
      <c r="G159" s="14">
        <v>4220000</v>
      </c>
      <c r="H159" s="14">
        <v>594000</v>
      </c>
      <c r="I159" s="14">
        <v>1127963988</v>
      </c>
      <c r="J159" s="14">
        <v>178000000</v>
      </c>
      <c r="K159" s="14"/>
      <c r="L159" s="14">
        <v>17421610</v>
      </c>
      <c r="M159" s="14"/>
      <c r="N159" s="14"/>
      <c r="O159" s="14"/>
      <c r="P159" s="14">
        <v>8931568</v>
      </c>
      <c r="Q159" s="14">
        <v>172415674</v>
      </c>
      <c r="R159" s="14"/>
      <c r="S159" s="14"/>
      <c r="T159" s="14"/>
      <c r="U159" s="14">
        <v>0</v>
      </c>
      <c r="V159" s="14"/>
      <c r="W159" s="14"/>
      <c r="X159" s="14">
        <v>1458973143.2</v>
      </c>
      <c r="Y159" s="14">
        <v>13058165815</v>
      </c>
      <c r="Z159" s="14">
        <f t="shared" si="42"/>
        <v>179326122.93125013</v>
      </c>
      <c r="AA159" s="63">
        <v>7127444966</v>
      </c>
      <c r="AB159" s="63">
        <f>+AB158</f>
        <v>1562000</v>
      </c>
      <c r="AC159" s="63">
        <f t="shared" si="43"/>
        <v>17800000</v>
      </c>
      <c r="AD159" s="63">
        <f t="shared" si="41"/>
        <v>245288.76712328769</v>
      </c>
      <c r="AE159" s="63">
        <f>+AE158</f>
        <v>280000</v>
      </c>
      <c r="AF159" s="63">
        <f>+'[1]CF Dia V1'!$FF$97</f>
        <v>33243348.778999999</v>
      </c>
      <c r="AG159" s="63">
        <f t="shared" si="44"/>
        <v>5582721359</v>
      </c>
      <c r="AH159" s="14">
        <f>+'[1]CF Dia V1'!$FF$24+'[1]CF Dia V1'!$FF$25</f>
        <v>2870717073</v>
      </c>
      <c r="AI159" s="14">
        <f>+'[1]CF Dia V1'!$FF$29</f>
        <v>8097476589</v>
      </c>
      <c r="AJ159" s="14"/>
      <c r="AK159" s="16"/>
    </row>
    <row r="160" spans="1:37" ht="15.75" customHeight="1" x14ac:dyDescent="0.25">
      <c r="A160" s="13">
        <f>+'[1]CF Dia V1'!$FG$1</f>
        <v>46269</v>
      </c>
      <c r="B160" s="63">
        <f>+'[1]CF Dia V1'!$FG$2</f>
        <v>1505.5</v>
      </c>
      <c r="C160" s="14"/>
      <c r="D160" s="14">
        <f>+'[1]CF Dia V1'!$FG$10</f>
        <v>190280000</v>
      </c>
      <c r="E160" s="14">
        <f>+'[1]CF Dia V1'!$FG$13</f>
        <v>58017000</v>
      </c>
      <c r="F160" s="14">
        <f>+'[1]CF Dia V1'!$FG$16</f>
        <v>3821000</v>
      </c>
      <c r="G160" s="14">
        <f>+'[1]CF Dia V1'!$FG$14</f>
        <v>44344000</v>
      </c>
      <c r="H160" s="14">
        <f>+'[1]CF Dia V1'!$FG$15</f>
        <v>2203000</v>
      </c>
      <c r="I160" s="14">
        <f>+'[1]CF Dia V1'!$FG$22</f>
        <v>1127963988</v>
      </c>
      <c r="J160" s="14">
        <f>+'[1]CF Dia V1'!$FG$43</f>
        <v>45290335</v>
      </c>
      <c r="K160" s="14"/>
      <c r="L160" s="14"/>
      <c r="M160" s="14"/>
      <c r="N160" s="14"/>
      <c r="O160" s="14"/>
      <c r="P160" s="14"/>
      <c r="Q160" s="14">
        <f>+'[1]CF Dia V1'!$FG$51</f>
        <v>688777988</v>
      </c>
      <c r="R160" s="14"/>
      <c r="S160" s="14"/>
      <c r="T160" s="14"/>
      <c r="U160" s="14"/>
      <c r="V160" s="14">
        <f>+'[1]CF Dia V1'!$FG$73</f>
        <v>130500000</v>
      </c>
      <c r="W160" s="14"/>
      <c r="X160" s="14">
        <f>+'[1]CF Dia V1'!$FG$100</f>
        <v>1504790455</v>
      </c>
      <c r="Y160" s="14">
        <f>+'[1]CF Dia V1'!$FG$101</f>
        <v>12353842398</v>
      </c>
      <c r="Z160" s="14">
        <f t="shared" si="42"/>
        <v>179326122.93125013</v>
      </c>
      <c r="AA160" s="63">
        <f>+AA159</f>
        <v>7127444966</v>
      </c>
      <c r="AB160" s="63">
        <f>+AB159</f>
        <v>1562000</v>
      </c>
      <c r="AC160" s="63">
        <f t="shared" si="43"/>
        <v>17800000</v>
      </c>
      <c r="AD160" s="63">
        <f t="shared" ref="AD160:AD165" si="45">+AD159</f>
        <v>245288.76712328769</v>
      </c>
      <c r="AE160" s="63">
        <f>+AE159</f>
        <v>280000</v>
      </c>
      <c r="AF160" s="63">
        <f>+'[1]CF Dia V1'!$FG$97</f>
        <v>32031098.270000003</v>
      </c>
      <c r="AG160" s="63">
        <f t="shared" si="44"/>
        <v>5582721359</v>
      </c>
      <c r="AH160" s="14">
        <f>+'[1]CF Dia V1'!$FG$24+'[1]CF Dia V1'!$FG$25</f>
        <v>3085793240</v>
      </c>
      <c r="AI160" s="14">
        <f>+'[1]CF Dia V1'!$FG$29</f>
        <v>8070931302</v>
      </c>
      <c r="AJ160" s="14"/>
      <c r="AK160" s="16"/>
    </row>
    <row r="161" spans="1:37" ht="15.75" customHeight="1" x14ac:dyDescent="0.25">
      <c r="A161" s="13">
        <v>46272</v>
      </c>
      <c r="B161" s="63">
        <v>1504</v>
      </c>
      <c r="C161" s="14"/>
      <c r="D161" s="14">
        <f>+'[1]CF Dia V1'!$FH$10</f>
        <v>204000000</v>
      </c>
      <c r="E161" s="14">
        <f>+'[1]CF Dia V1'!$FH$13</f>
        <v>113928000</v>
      </c>
      <c r="F161" s="14">
        <f>+'[1]CF Dia V1'!$FH$16</f>
        <v>4016000</v>
      </c>
      <c r="G161" s="14">
        <f>+'[1]CF Dia V1'!$FH$14</f>
        <v>41937000</v>
      </c>
      <c r="H161" s="14">
        <f>+'[1]CF Dia V1'!$FH$15</f>
        <v>3370000</v>
      </c>
      <c r="I161" s="14">
        <f>+'[1]CF Dia V1'!$FH$22</f>
        <v>1386769447</v>
      </c>
      <c r="J161" s="14">
        <f>+'[1]CF Dia V1'!$FH$43</f>
        <v>336815052</v>
      </c>
      <c r="K161" s="14"/>
      <c r="L161" s="14">
        <f>+'[1]CF Dia V1'!$FH$46</f>
        <v>212885656</v>
      </c>
      <c r="M161" s="14"/>
      <c r="N161" s="14"/>
      <c r="O161" s="14"/>
      <c r="P161" s="14">
        <f>+'[1]CF Dia V1'!$FH$50</f>
        <v>12611780</v>
      </c>
      <c r="Q161" s="14">
        <f>+'[1]CF Dia V1'!$FH$51</f>
        <v>338853719</v>
      </c>
      <c r="R161" s="14"/>
      <c r="S161" s="14"/>
      <c r="T161" s="14"/>
      <c r="U161" s="14"/>
      <c r="V161" s="14"/>
      <c r="W161" s="14"/>
      <c r="X161" s="14">
        <f>+'[1]CF Dia V1'!$FH$100</f>
        <v>1248071376</v>
      </c>
      <c r="Y161" s="14">
        <f>+'[1]CF Dia V1'!$FH$101</f>
        <v>11735279712</v>
      </c>
      <c r="Z161" s="14">
        <f t="shared" si="42"/>
        <v>179326122.93125013</v>
      </c>
      <c r="AA161" s="63">
        <f>+'[1]CF Dia V1'!$FH$102</f>
        <v>6953976045.9499998</v>
      </c>
      <c r="AB161" s="63">
        <f>+'[1]CF Dia V1'!$FH$103</f>
        <v>1745997.6</v>
      </c>
      <c r="AC161" s="63">
        <f t="shared" si="43"/>
        <v>17800000</v>
      </c>
      <c r="AD161" s="63">
        <f t="shared" si="45"/>
        <v>245288.76712328769</v>
      </c>
      <c r="AE161" s="63">
        <f>+PRESTAMOS_USD!G22</f>
        <v>342551.78082191787</v>
      </c>
      <c r="AF161" s="63">
        <f>+'[1]CF Dia V1'!$FH$97</f>
        <v>31412096.869999997</v>
      </c>
      <c r="AG161" s="63">
        <f t="shared" si="44"/>
        <v>5582721359</v>
      </c>
      <c r="AH161" s="14">
        <f>+'[1]CF Dia V1'!$FH$24+'[1]CF Dia V1'!$FH$25</f>
        <v>1292460896</v>
      </c>
      <c r="AI161" s="14">
        <f>+'[1]CF Dia V1'!$FH$29</f>
        <v>9475210528</v>
      </c>
      <c r="AJ161" s="14">
        <f>+'[1]CF Dia V1'!$FH$31</f>
        <v>1507317626</v>
      </c>
      <c r="AK161" s="16"/>
    </row>
    <row r="162" spans="1:37" ht="15.75" customHeight="1" x14ac:dyDescent="0.25">
      <c r="A162" s="13">
        <v>46273</v>
      </c>
      <c r="B162" s="63">
        <v>1509</v>
      </c>
      <c r="C162" s="14"/>
      <c r="D162" s="14">
        <f>+'[1]CF Dia V1'!$FI$10</f>
        <v>415424000</v>
      </c>
      <c r="E162" s="14">
        <f>+'[1]CF Dia V1'!$FI$13</f>
        <v>164014000</v>
      </c>
      <c r="F162" s="14">
        <f>+'[1]CF Dia V1'!$FI$16</f>
        <v>4441000</v>
      </c>
      <c r="G162" s="14">
        <f>+'[1]CF Dia V1'!$FI$14</f>
        <v>4649000</v>
      </c>
      <c r="H162" s="14">
        <f>+'[1]CF Dia V1'!$FI$15</f>
        <v>12518000</v>
      </c>
      <c r="I162" s="14">
        <f>+'[1]CF Dia V1'!$FI$22</f>
        <v>1142598325</v>
      </c>
      <c r="J162" s="14">
        <f>+'[1]CF Dia V1'!$FI$43</f>
        <v>424319420</v>
      </c>
      <c r="K162" s="14"/>
      <c r="L162" s="14">
        <f>+'[1]CF Dia V1'!$FI$46</f>
        <v>19575338</v>
      </c>
      <c r="M162" s="14"/>
      <c r="N162" s="14"/>
      <c r="O162" s="14"/>
      <c r="P162" s="14">
        <f>+'[1]CF Dia V1'!$FI$50</f>
        <v>31902411</v>
      </c>
      <c r="Q162" s="14">
        <f>+'[1]CF Dia V1'!$FI$51</f>
        <v>156151989</v>
      </c>
      <c r="R162" s="14"/>
      <c r="S162" s="14"/>
      <c r="T162" s="14"/>
      <c r="U162" s="14">
        <f>+'[1]CF Dia V1'!$FI$59</f>
        <v>160000000</v>
      </c>
      <c r="V162" s="14"/>
      <c r="W162" s="14"/>
      <c r="X162" s="14">
        <f>+'[1]CF Dia V1'!$FI$100</f>
        <v>865293563</v>
      </c>
      <c r="Y162" s="14">
        <f>+'[1]CF Dia V1'!$FI$101</f>
        <v>11387545619</v>
      </c>
      <c r="Z162" s="14">
        <f t="shared" si="42"/>
        <v>179326122.93125013</v>
      </c>
      <c r="AA162" s="63">
        <f>+'[1]CF Dia V1'!$FI$102</f>
        <v>6960467958</v>
      </c>
      <c r="AB162" s="63">
        <f t="shared" ref="AB162:AB168" si="46">+AB161</f>
        <v>1745997.6</v>
      </c>
      <c r="AC162" s="63">
        <f t="shared" si="43"/>
        <v>17800000</v>
      </c>
      <c r="AD162" s="63">
        <f t="shared" si="45"/>
        <v>245288.76712328769</v>
      </c>
      <c r="AE162" s="63">
        <f t="shared" ref="AE162:AE168" si="47">+AE161</f>
        <v>342551.78082191787</v>
      </c>
      <c r="AF162" s="63">
        <f>+'[1]CF Dia V1'!$FI$97</f>
        <v>32336779.435999997</v>
      </c>
      <c r="AG162" s="63">
        <f t="shared" si="44"/>
        <v>5582721359</v>
      </c>
      <c r="AH162" s="14">
        <f>+'[1]CF Dia V1'!$FI$24+'[1]CF Dia V1'!$FI$25</f>
        <v>1311847641</v>
      </c>
      <c r="AI162" s="14">
        <f>+'[1]CF Dia V1'!$FI$29</f>
        <v>9314471508</v>
      </c>
      <c r="AJ162" s="14">
        <f>+'[1]CF Dia V1'!$FI$31</f>
        <v>607633370</v>
      </c>
      <c r="AK162" s="16"/>
    </row>
    <row r="163" spans="1:37" ht="15.75" customHeight="1" x14ac:dyDescent="0.25">
      <c r="A163" s="13">
        <v>46274</v>
      </c>
      <c r="B163" s="63">
        <v>1505.5</v>
      </c>
      <c r="C163" s="14"/>
      <c r="D163" s="14">
        <f>+'[1]CF Dia V1'!$FJ$10</f>
        <v>306408000</v>
      </c>
      <c r="E163" s="14">
        <f>+'[1]CF Dia V1'!$FJ$13</f>
        <v>83668000</v>
      </c>
      <c r="F163" s="14">
        <f>+'[1]CF Dia V1'!$FJ$16</f>
        <v>39458000</v>
      </c>
      <c r="G163" s="14">
        <f>+'[1]CF Dia V1'!$FJ$14</f>
        <v>7582000</v>
      </c>
      <c r="H163" s="14">
        <f>+'[1]CF Dia V1'!$FJ$15</f>
        <v>12518000</v>
      </c>
      <c r="I163" s="14">
        <f>+'[1]CF Dia V1'!$FJ$22</f>
        <v>896745000</v>
      </c>
      <c r="J163" s="14">
        <f>+'[1]CF Dia V1'!$FJ$43</f>
        <v>2939544</v>
      </c>
      <c r="K163" s="14"/>
      <c r="L163" s="14"/>
      <c r="M163" s="14"/>
      <c r="N163" s="14"/>
      <c r="O163" s="14"/>
      <c r="P163" s="14">
        <f>+'[1]CF Dia V1'!$FJ$50</f>
        <v>2227081286</v>
      </c>
      <c r="Q163" s="14">
        <f>+'[1]CF Dia V1'!$FJ$51</f>
        <v>257288219</v>
      </c>
      <c r="R163" s="14"/>
      <c r="S163" s="14"/>
      <c r="T163" s="14"/>
      <c r="U163" s="14"/>
      <c r="V163" s="14"/>
      <c r="W163" s="14"/>
      <c r="X163" s="14">
        <f>+'[1]CF Dia V1'!$FJ$100</f>
        <v>989741585</v>
      </c>
      <c r="Y163" s="14">
        <f>+'[1]CF Dia V1'!$FJ$101</f>
        <v>8774851720</v>
      </c>
      <c r="Z163" s="14">
        <f t="shared" ref="Z163:Z168" si="48">+Z162</f>
        <v>179326122.93125013</v>
      </c>
      <c r="AA163" s="63">
        <f>+'[1]CF Dia V1'!$FJ$102</f>
        <v>6796061384</v>
      </c>
      <c r="AB163" s="63">
        <f t="shared" si="46"/>
        <v>1745997.6</v>
      </c>
      <c r="AC163" s="63">
        <f t="shared" ref="AC163:AC168" si="49">+AC162</f>
        <v>17800000</v>
      </c>
      <c r="AD163" s="63">
        <f t="shared" si="45"/>
        <v>245288.76712328769</v>
      </c>
      <c r="AE163" s="63">
        <f t="shared" si="47"/>
        <v>342551.78082191787</v>
      </c>
      <c r="AF163" s="63">
        <f>+'[1]CF Dia V1'!$FJ$97</f>
        <v>33644452.497500002</v>
      </c>
      <c r="AG163" s="63">
        <f t="shared" ref="AG163:AG168" si="50">+AG162</f>
        <v>5582721359</v>
      </c>
      <c r="AH163" s="14">
        <f>+'[1]CF Dia V1'!$FJ$24+'[1]CF Dia V1'!$FJ$25</f>
        <v>5759189381.5</v>
      </c>
      <c r="AI163" s="14">
        <f>+'[1]CF Dia V1'!$FJ$29</f>
        <v>8877075365</v>
      </c>
      <c r="AJ163" s="14"/>
      <c r="AK163" s="16"/>
    </row>
    <row r="164" spans="1:37" ht="15.75" customHeight="1" x14ac:dyDescent="0.25">
      <c r="A164" s="13">
        <v>46275</v>
      </c>
      <c r="B164" s="63">
        <v>1513</v>
      </c>
      <c r="C164" s="14"/>
      <c r="D164" s="14">
        <f>+'[1]CF Dia V1'!$FK$10</f>
        <v>197414000</v>
      </c>
      <c r="E164" s="14">
        <f>+'[1]CF Dia V1'!$FK$13</f>
        <v>29553000</v>
      </c>
      <c r="F164" s="14">
        <f>+'[1]CF Dia V1'!$FK$16</f>
        <v>33460000</v>
      </c>
      <c r="G164" s="14">
        <f>+'[1]CF Dia V1'!$FK$14</f>
        <v>10200000</v>
      </c>
      <c r="H164" s="14">
        <f>+'[1]CF Dia V1'!$FK$15</f>
        <v>5230000</v>
      </c>
      <c r="I164" s="14">
        <f>+'[1]CF Dia V1'!$FK$22</f>
        <v>896745000</v>
      </c>
      <c r="J164" s="14">
        <f>+'[1]CF Dia V1'!$FK$43</f>
        <v>63214078</v>
      </c>
      <c r="K164" s="14"/>
      <c r="L164" s="14"/>
      <c r="M164" s="14"/>
      <c r="N164" s="14"/>
      <c r="O164" s="14"/>
      <c r="P164" s="14">
        <f>+'[1]CF Dia V1'!$FK$50</f>
        <v>159022936</v>
      </c>
      <c r="Q164" s="14">
        <f>+'[1]CF Dia V1'!$FK$51</f>
        <v>564628974</v>
      </c>
      <c r="R164" s="14"/>
      <c r="S164" s="14"/>
      <c r="T164" s="14"/>
      <c r="U164" s="14"/>
      <c r="V164" s="14"/>
      <c r="W164" s="14"/>
      <c r="X164" s="14">
        <f>+'[1]CF Dia V1'!$FK$100</f>
        <v>1451865442.78</v>
      </c>
      <c r="Y164" s="14">
        <f>+'[1]CF Dia V1'!$FK$101</f>
        <v>7581875038</v>
      </c>
      <c r="Z164" s="14">
        <f t="shared" si="48"/>
        <v>179326122.93125013</v>
      </c>
      <c r="AA164" s="63">
        <f>+'[1]CF Dia V1'!$FK$102</f>
        <v>7878950730</v>
      </c>
      <c r="AB164" s="63">
        <f t="shared" si="46"/>
        <v>1745997.6</v>
      </c>
      <c r="AC164" s="63">
        <f t="shared" si="49"/>
        <v>17800000</v>
      </c>
      <c r="AD164" s="63">
        <f t="shared" si="45"/>
        <v>245288.76712328769</v>
      </c>
      <c r="AE164" s="63">
        <f t="shared" si="47"/>
        <v>342551.78082191787</v>
      </c>
      <c r="AF164" s="63">
        <f>+'[1]CF Dia V1'!$FK$97</f>
        <v>30931429.434500001</v>
      </c>
      <c r="AG164" s="63">
        <f t="shared" si="50"/>
        <v>5582721359</v>
      </c>
      <c r="AH164" s="14">
        <f>+'[1]CF Dia V1'!$FK$24+'[1]CF Dia V1'!$FK$25</f>
        <v>3718071921</v>
      </c>
      <c r="AI164" s="14">
        <f>+'[1]CF Dia V1'!$FK$29</f>
        <v>9498361329</v>
      </c>
      <c r="AJ164" s="14"/>
      <c r="AK164" s="16"/>
    </row>
    <row r="165" spans="1:37" ht="15.75" customHeight="1" x14ac:dyDescent="0.25">
      <c r="A165" s="13">
        <v>46276</v>
      </c>
      <c r="B165" s="63">
        <f>+'[1]CF Dia V1'!$FL$2</f>
        <v>1509</v>
      </c>
      <c r="C165" s="14"/>
      <c r="D165" s="14">
        <f>+'[1]CF Dia V1'!$FL$10</f>
        <v>358410581</v>
      </c>
      <c r="E165" s="14">
        <f>+'[1]CF Dia V1'!$FL$13</f>
        <v>58387000</v>
      </c>
      <c r="F165" s="14">
        <f>+'[1]CF Dia V1'!$FL$16</f>
        <v>3800000</v>
      </c>
      <c r="G165" s="14">
        <f>+'[1]CF Dia V1'!$FL$14</f>
        <v>6513000</v>
      </c>
      <c r="H165" s="14">
        <f>+'[1]CF Dia V1'!$FL$15</f>
        <v>4141000</v>
      </c>
      <c r="I165" s="14">
        <f>+'[1]CF Dia V1'!$FL$22</f>
        <v>1107000000</v>
      </c>
      <c r="J165" s="14">
        <f>+'[1]CF Dia V1'!$FL$43</f>
        <v>121593571</v>
      </c>
      <c r="K165" s="14"/>
      <c r="L165" s="14">
        <f>+'[1]CF Dia V1'!$FL$46</f>
        <v>6074370</v>
      </c>
      <c r="M165" s="14"/>
      <c r="N165" s="14"/>
      <c r="O165" s="14"/>
      <c r="P165" s="14">
        <f>+'[1]CF Dia V1'!$FL$49</f>
        <v>2199600</v>
      </c>
      <c r="Q165" s="14">
        <f>+'[1]CF Dia V1'!$FL$51</f>
        <v>516948396</v>
      </c>
      <c r="R165" s="14"/>
      <c r="S165" s="14"/>
      <c r="T165" s="14"/>
      <c r="U165" s="14"/>
      <c r="V165" s="14"/>
      <c r="W165" s="14"/>
      <c r="X165" s="14">
        <f>+'[1]CF Dia V1'!$FL$100</f>
        <v>1852178279</v>
      </c>
      <c r="Y165" s="14">
        <f>+'[1]CF Dia V1'!$FL$101</f>
        <v>7471140512</v>
      </c>
      <c r="Z165" s="14">
        <f t="shared" si="48"/>
        <v>179326122.93125013</v>
      </c>
      <c r="AA165" s="63">
        <f>+'[1]CF Dia V1'!$FL$102</f>
        <v>7301555646</v>
      </c>
      <c r="AB165" s="63">
        <f t="shared" si="46"/>
        <v>1745997.6</v>
      </c>
      <c r="AC165" s="63">
        <f t="shared" si="49"/>
        <v>17800000</v>
      </c>
      <c r="AD165" s="63">
        <f t="shared" si="45"/>
        <v>245288.76712328769</v>
      </c>
      <c r="AE165" s="63">
        <f t="shared" si="47"/>
        <v>342551.78082191787</v>
      </c>
      <c r="AF165" s="63">
        <f>+'[1]CF Dia V1'!$FL$97</f>
        <v>31810521.982500002</v>
      </c>
      <c r="AG165" s="63">
        <f t="shared" si="50"/>
        <v>5582721359</v>
      </c>
      <c r="AH165" s="14">
        <f>+'[1]CF Dia V1'!$FL$24+'[1]CF Dia V1'!$FL$25</f>
        <v>3014877879</v>
      </c>
      <c r="AI165" s="14">
        <f>+'[1]CF Dia V1'!$FL$29</f>
        <v>9129388131</v>
      </c>
      <c r="AJ165" s="14"/>
      <c r="AK165" s="16"/>
    </row>
    <row r="166" spans="1:37" ht="15.75" customHeight="1" x14ac:dyDescent="0.25">
      <c r="A166" s="13">
        <v>46279</v>
      </c>
      <c r="B166" s="63">
        <v>1505</v>
      </c>
      <c r="C166" s="14"/>
      <c r="D166" s="14">
        <f>+'[1]CF Dia V1'!$FM$10</f>
        <v>257838877</v>
      </c>
      <c r="E166" s="14">
        <f>+'[1]CF Dia V1'!$FM$13</f>
        <v>64789000</v>
      </c>
      <c r="F166" s="14">
        <f>+'[1]CF Dia V1'!$FM$16</f>
        <v>3807000</v>
      </c>
      <c r="G166" s="14">
        <f>+'[1]CF Dia V1'!$FM$14</f>
        <v>6569000</v>
      </c>
      <c r="H166" s="14">
        <f>+'[1]CF Dia V1'!$FM$15</f>
        <v>3637000</v>
      </c>
      <c r="I166" s="14">
        <f>+'[1]CF Dia V1'!$FM$22</f>
        <v>1107165633</v>
      </c>
      <c r="J166" s="14">
        <f>+'[1]CF Dia V1'!$FM$43</f>
        <v>421929408</v>
      </c>
      <c r="K166" s="14"/>
      <c r="L166" s="14"/>
      <c r="M166" s="14"/>
      <c r="N166" s="14"/>
      <c r="O166" s="14"/>
      <c r="P166" s="14">
        <f>+'[1]CF Dia V1'!$FM$50</f>
        <v>11201980</v>
      </c>
      <c r="Q166" s="14">
        <f>+'[1]CF Dia V1'!$FM$51</f>
        <v>240753608</v>
      </c>
      <c r="R166" s="14"/>
      <c r="S166" s="14"/>
      <c r="T166" s="14"/>
      <c r="U166" s="14"/>
      <c r="V166" s="14"/>
      <c r="W166" s="14"/>
      <c r="X166" s="14">
        <f>+'[1]CF Dia V1'!$FM$100</f>
        <v>1779462460</v>
      </c>
      <c r="Y166" s="14">
        <f>+'[1]CF Dia V1'!$FM$101</f>
        <v>6505310688</v>
      </c>
      <c r="Z166" s="14">
        <f t="shared" si="48"/>
        <v>179326122.93125013</v>
      </c>
      <c r="AA166" s="63">
        <f>+'[1]CF Dia V1'!$FM$102</f>
        <v>7447795635</v>
      </c>
      <c r="AB166" s="63">
        <f t="shared" si="46"/>
        <v>1745997.6</v>
      </c>
      <c r="AC166" s="63">
        <f t="shared" si="49"/>
        <v>17800000</v>
      </c>
      <c r="AD166" s="63">
        <f t="shared" ref="AD166:AD174" si="51">+AD165</f>
        <v>245288.76712328769</v>
      </c>
      <c r="AE166" s="63">
        <f t="shared" si="47"/>
        <v>342551.78082191787</v>
      </c>
      <c r="AF166" s="63">
        <f>+'[1]CF Dia V1'!$FM$97</f>
        <v>32543316.3825</v>
      </c>
      <c r="AG166" s="63">
        <f t="shared" si="50"/>
        <v>5582721359</v>
      </c>
      <c r="AH166" s="14">
        <f>+'[1]CF Dia V1'!$FM$24+'[1]CF Dia V1'!$FM$25</f>
        <v>2414214000</v>
      </c>
      <c r="AI166" s="14">
        <f>+'[1]CF Dia V1'!$FM$29</f>
        <v>9117288213</v>
      </c>
      <c r="AJ166" s="14"/>
      <c r="AK166" s="16"/>
    </row>
    <row r="167" spans="1:37" ht="15.75" customHeight="1" x14ac:dyDescent="0.25">
      <c r="A167" s="13">
        <v>46296</v>
      </c>
      <c r="B167" s="63">
        <v>1514</v>
      </c>
      <c r="C167" s="14"/>
      <c r="D167" s="14">
        <v>382663029</v>
      </c>
      <c r="E167" s="14">
        <v>2304000</v>
      </c>
      <c r="F167" s="14">
        <v>189000</v>
      </c>
      <c r="G167" s="14">
        <v>33089000</v>
      </c>
      <c r="H167" s="14">
        <v>1251000</v>
      </c>
      <c r="I167" s="14">
        <v>1319764000</v>
      </c>
      <c r="J167" s="14">
        <v>458410000</v>
      </c>
      <c r="K167" s="14"/>
      <c r="L167" s="14"/>
      <c r="M167" s="14"/>
      <c r="N167" s="14"/>
      <c r="O167" s="14"/>
      <c r="P167" s="14">
        <v>0</v>
      </c>
      <c r="Q167" s="14">
        <v>58600000</v>
      </c>
      <c r="R167" s="14"/>
      <c r="S167" s="14"/>
      <c r="T167" s="14"/>
      <c r="U167" s="14">
        <v>100000000</v>
      </c>
      <c r="V167" s="14"/>
      <c r="W167" s="14"/>
      <c r="X167" s="14">
        <v>1762654040</v>
      </c>
      <c r="Y167" s="14">
        <v>7190495192</v>
      </c>
      <c r="Z167" s="14">
        <f t="shared" si="48"/>
        <v>179326122.93125013</v>
      </c>
      <c r="AA167" s="63">
        <v>5377945521</v>
      </c>
      <c r="AB167" s="63">
        <f t="shared" si="46"/>
        <v>1745997.6</v>
      </c>
      <c r="AC167" s="63">
        <f t="shared" si="49"/>
        <v>17800000</v>
      </c>
      <c r="AD167" s="63">
        <f t="shared" si="51"/>
        <v>245288.76712328769</v>
      </c>
      <c r="AE167" s="63">
        <f t="shared" si="47"/>
        <v>342551.78082191787</v>
      </c>
      <c r="AF167" s="63">
        <f>+'[1]CF Dia V1'!$FS$97</f>
        <v>20019979.761999998</v>
      </c>
      <c r="AG167" s="63">
        <f t="shared" si="50"/>
        <v>5582721359</v>
      </c>
      <c r="AH167" s="14">
        <f>+'[1]CF Dia V1'!$FS$24+'[1]CF Dia V1'!$FS$25</f>
        <v>2433844326</v>
      </c>
      <c r="AI167" s="14">
        <f>+'[1]CF Dia V1'!$FS$29</f>
        <v>15720346480</v>
      </c>
      <c r="AJ167" s="14"/>
      <c r="AK167" s="16"/>
    </row>
    <row r="168" spans="1:37" ht="15.75" customHeight="1" x14ac:dyDescent="0.25">
      <c r="A168" s="13">
        <v>46297</v>
      </c>
      <c r="B168" s="63">
        <v>1521</v>
      </c>
      <c r="C168" s="14"/>
      <c r="D168" s="14">
        <v>453263709</v>
      </c>
      <c r="E168" s="14">
        <v>84597000</v>
      </c>
      <c r="F168" s="14">
        <v>4366000</v>
      </c>
      <c r="G168" s="14">
        <v>12489000</v>
      </c>
      <c r="H168" s="14">
        <v>1251000</v>
      </c>
      <c r="I168" s="14">
        <v>1027798000</v>
      </c>
      <c r="J168" s="14">
        <v>478806931</v>
      </c>
      <c r="K168" s="14"/>
      <c r="L168" s="14"/>
      <c r="M168" s="14"/>
      <c r="N168" s="14"/>
      <c r="O168" s="14"/>
      <c r="P168" s="14">
        <v>7666512</v>
      </c>
      <c r="Q168" s="14">
        <v>3500000</v>
      </c>
      <c r="R168" s="14"/>
      <c r="S168" s="14"/>
      <c r="T168" s="14"/>
      <c r="U168" s="14"/>
      <c r="V168" s="14"/>
      <c r="W168" s="14"/>
      <c r="X168" s="14">
        <v>1503400000</v>
      </c>
      <c r="Y168" s="14">
        <v>7079921684</v>
      </c>
      <c r="Z168" s="14">
        <f t="shared" si="48"/>
        <v>179326122.93125013</v>
      </c>
      <c r="AA168" s="63">
        <v>5279874156</v>
      </c>
      <c r="AB168" s="63">
        <f t="shared" si="46"/>
        <v>1745997.6</v>
      </c>
      <c r="AC168" s="63">
        <f t="shared" si="49"/>
        <v>17800000</v>
      </c>
      <c r="AD168" s="63">
        <f t="shared" si="51"/>
        <v>245288.76712328769</v>
      </c>
      <c r="AE168" s="63">
        <f t="shared" si="47"/>
        <v>342551.78082191787</v>
      </c>
      <c r="AF168" s="63">
        <f>+'[1]CF Dia V1'!$FT$97</f>
        <v>20145675.958000001</v>
      </c>
      <c r="AG168" s="63">
        <f t="shared" si="50"/>
        <v>5582721359</v>
      </c>
      <c r="AH168" s="14">
        <f>+'[1]CF Dia V1'!$FT$24+'[1]CF Dia V1'!$FT$25</f>
        <v>2445098760</v>
      </c>
      <c r="AI168" s="14">
        <f>+'[1]CF Dia V1'!$FT$29</f>
        <v>15756099840</v>
      </c>
      <c r="AJ168" s="14"/>
      <c r="AK168" s="16"/>
    </row>
    <row r="169" spans="1:37" ht="15.75" customHeight="1" x14ac:dyDescent="0.25">
      <c r="A169" s="13">
        <v>46300</v>
      </c>
      <c r="B169" s="63">
        <v>1520</v>
      </c>
      <c r="C169" s="14"/>
      <c r="D169" s="14">
        <f>+'[1]CF Dia V1'!$FU$10</f>
        <v>424267959</v>
      </c>
      <c r="E169" s="14">
        <f>+'[1]CF Dia V1'!$FU$13</f>
        <v>84597000</v>
      </c>
      <c r="F169" s="14">
        <f>+'[1]CF Dia V1'!$FU$16</f>
        <v>5305000</v>
      </c>
      <c r="G169" s="14">
        <f>+'[1]CF Dia V1'!$FU$14</f>
        <v>12270000</v>
      </c>
      <c r="H169" s="14">
        <f>+'[1]CF Dia V1'!$FU$15</f>
        <v>1251000</v>
      </c>
      <c r="I169" s="14">
        <f>+'[1]CF Dia V1'!$FU$22</f>
        <v>1325977000</v>
      </c>
      <c r="J169" s="14">
        <f>+'[1]CF Dia V1'!$FU$43</f>
        <v>400324888</v>
      </c>
      <c r="K169" s="14"/>
      <c r="L169" s="14"/>
      <c r="M169" s="14"/>
      <c r="N169" s="14"/>
      <c r="O169" s="14"/>
      <c r="P169" s="14">
        <f>+'[1]CF Dia V1'!$FU$50</f>
        <v>100748053</v>
      </c>
      <c r="Q169" s="14">
        <f>+'[1]CF Dia V1'!$FU$51</f>
        <v>146353825</v>
      </c>
      <c r="R169" s="14"/>
      <c r="S169" s="14"/>
      <c r="T169" s="14"/>
      <c r="U169" s="14"/>
      <c r="V169" s="14">
        <f>+'[1]CF Dia V1'!$FU$73</f>
        <v>131116450</v>
      </c>
      <c r="W169" s="14"/>
      <c r="X169" s="14">
        <f>+'[1]CF Dia V1'!$FU$100</f>
        <v>1139790764.1199999</v>
      </c>
      <c r="Y169" s="14">
        <f>+'[1]CF Dia V1'!$FU$101</f>
        <v>6949854020</v>
      </c>
      <c r="Z169" s="14">
        <f t="shared" ref="Z169:Z174" si="52">+Z168</f>
        <v>179326122.93125013</v>
      </c>
      <c r="AA169" s="63">
        <f>+'[1]CF Dia V1'!$FU$102</f>
        <v>5456915233</v>
      </c>
      <c r="AB169" s="63">
        <f t="shared" ref="AB169:AC174" si="53">+AB168</f>
        <v>1745997.6</v>
      </c>
      <c r="AC169" s="63">
        <f t="shared" si="53"/>
        <v>17800000</v>
      </c>
      <c r="AD169" s="63">
        <f t="shared" si="51"/>
        <v>245288.76712328769</v>
      </c>
      <c r="AE169" s="63">
        <f t="shared" ref="AE169:AE174" si="54">+AE168</f>
        <v>342551.78082191787</v>
      </c>
      <c r="AF169" s="63">
        <f>+'[1]CF Dia V1'!$FU$97</f>
        <v>18320136.857999999</v>
      </c>
      <c r="AG169" s="63">
        <f t="shared" ref="AG169:AG174" si="55">+AG168</f>
        <v>5582721359</v>
      </c>
      <c r="AH169" s="14">
        <f>+'[1]CF Dia V1'!$FU$24+'[1]CF Dia V1'!$FU$25</f>
        <v>2289509120</v>
      </c>
      <c r="AI169" s="14">
        <f>+'[1]CF Dia V1'!$FU$29</f>
        <v>16813510400</v>
      </c>
      <c r="AJ169" s="14"/>
      <c r="AK169" s="16"/>
    </row>
    <row r="170" spans="1:37" ht="15.75" customHeight="1" x14ac:dyDescent="0.25">
      <c r="A170" s="13">
        <f>+A169+1</f>
        <v>46301</v>
      </c>
      <c r="B170" s="70">
        <v>1515.5</v>
      </c>
      <c r="C170" s="70"/>
      <c r="D170" s="71">
        <v>500074013</v>
      </c>
      <c r="E170" s="71">
        <v>15027000</v>
      </c>
      <c r="F170" s="71">
        <v>5305000</v>
      </c>
      <c r="G170" s="71">
        <v>31178000</v>
      </c>
      <c r="H170" s="71">
        <v>748000</v>
      </c>
      <c r="I170" s="71">
        <v>1312927000</v>
      </c>
      <c r="J170" s="72">
        <v>55927147</v>
      </c>
      <c r="K170" s="14"/>
      <c r="L170" s="14"/>
      <c r="M170" s="14"/>
      <c r="N170" s="14"/>
      <c r="O170" s="14"/>
      <c r="P170" s="72">
        <v>50469898</v>
      </c>
      <c r="Q170" s="72">
        <v>471943552</v>
      </c>
      <c r="R170" s="14"/>
      <c r="S170" s="14"/>
      <c r="T170" s="14"/>
      <c r="U170" s="14"/>
      <c r="V170" s="14"/>
      <c r="W170" s="14"/>
      <c r="X170" s="73">
        <v>1152089528</v>
      </c>
      <c r="Y170" s="73">
        <v>6264887034</v>
      </c>
      <c r="Z170" s="14">
        <f t="shared" si="52"/>
        <v>179326122.93125013</v>
      </c>
      <c r="AA170" s="73">
        <v>5764029700</v>
      </c>
      <c r="AB170" s="63">
        <f t="shared" si="53"/>
        <v>1745997.6</v>
      </c>
      <c r="AC170" s="63">
        <f t="shared" si="53"/>
        <v>17800000</v>
      </c>
      <c r="AD170" s="63">
        <f t="shared" si="51"/>
        <v>245288.76712328769</v>
      </c>
      <c r="AE170" s="63">
        <f t="shared" si="54"/>
        <v>342551.78082191787</v>
      </c>
      <c r="AF170" s="74">
        <v>18055632.261</v>
      </c>
      <c r="AG170" s="63">
        <f t="shared" si="55"/>
        <v>5582721359</v>
      </c>
      <c r="AH170" s="14">
        <f>+'[1]CF Dia V1'!$FV$24+'[1]CF Dia V1'!$FV$25</f>
        <v>3989634071.5</v>
      </c>
      <c r="AI170" s="14">
        <f>+'[1]CF Dia V1'!$FV$29</f>
        <v>15781697137.5</v>
      </c>
      <c r="AJ170" s="14"/>
      <c r="AK170" s="16"/>
    </row>
    <row r="171" spans="1:37" ht="15.75" customHeight="1" x14ac:dyDescent="0.25">
      <c r="A171" s="13">
        <f>+A170+1</f>
        <v>46302</v>
      </c>
      <c r="B171" s="70">
        <v>1518</v>
      </c>
      <c r="C171" s="14"/>
      <c r="D171" s="71">
        <v>478863879</v>
      </c>
      <c r="E171" s="71">
        <v>62612000</v>
      </c>
      <c r="F171" s="71">
        <v>5305000</v>
      </c>
      <c r="G171" s="71">
        <v>27178000</v>
      </c>
      <c r="H171" s="71">
        <v>1724000</v>
      </c>
      <c r="I171" s="71">
        <v>1258414000</v>
      </c>
      <c r="J171" s="72">
        <v>442232576</v>
      </c>
      <c r="K171" s="14"/>
      <c r="L171" s="72">
        <v>7809210</v>
      </c>
      <c r="M171" s="14"/>
      <c r="N171" s="14"/>
      <c r="O171" s="14"/>
      <c r="P171" s="72">
        <v>0</v>
      </c>
      <c r="Q171" s="72">
        <v>0</v>
      </c>
      <c r="R171" s="14"/>
      <c r="S171" s="14"/>
      <c r="T171" s="14"/>
      <c r="U171" s="14"/>
      <c r="V171" s="14"/>
      <c r="W171" s="14"/>
      <c r="X171" s="73">
        <v>1510638274</v>
      </c>
      <c r="Y171" s="73">
        <v>6665822260</v>
      </c>
      <c r="Z171" s="14">
        <f t="shared" si="52"/>
        <v>179326122.93125013</v>
      </c>
      <c r="AA171" s="73">
        <v>5098108219</v>
      </c>
      <c r="AB171" s="63">
        <f t="shared" si="53"/>
        <v>1745997.6</v>
      </c>
      <c r="AC171" s="63">
        <f t="shared" si="53"/>
        <v>17800000</v>
      </c>
      <c r="AD171" s="63">
        <f t="shared" si="51"/>
        <v>245288.76712328769</v>
      </c>
      <c r="AE171" s="63">
        <f t="shared" si="54"/>
        <v>342551.78082191787</v>
      </c>
      <c r="AF171" s="74">
        <v>18240358.517000001</v>
      </c>
      <c r="AG171" s="63">
        <f t="shared" si="55"/>
        <v>5582721359</v>
      </c>
      <c r="AH171" s="14">
        <f>+'[1]CF Dia V1'!$FW$24+'[1]CF Dia V1'!$FW$25</f>
        <v>3617545800</v>
      </c>
      <c r="AI171" s="14">
        <f>+'[1]CF Dia V1'!$FW$29</f>
        <v>15326361006</v>
      </c>
      <c r="AJ171" s="14"/>
      <c r="AK171" s="16"/>
    </row>
    <row r="172" spans="1:37" ht="15.75" customHeight="1" x14ac:dyDescent="0.25">
      <c r="A172" s="13">
        <f>+A171+1</f>
        <v>46303</v>
      </c>
      <c r="B172" s="70">
        <v>1518.5</v>
      </c>
      <c r="C172" s="14"/>
      <c r="D172" s="71">
        <v>340217000</v>
      </c>
      <c r="E172" s="71">
        <v>147465000</v>
      </c>
      <c r="F172" s="71">
        <v>33194000</v>
      </c>
      <c r="G172" s="71">
        <v>15430000</v>
      </c>
      <c r="H172" s="71">
        <v>1724000</v>
      </c>
      <c r="I172" s="71">
        <v>1429682000</v>
      </c>
      <c r="J172" s="72">
        <v>360457806</v>
      </c>
      <c r="K172" s="14"/>
      <c r="L172" s="14"/>
      <c r="M172" s="14"/>
      <c r="N172" s="14"/>
      <c r="O172" s="14"/>
      <c r="P172" s="72">
        <v>59527807</v>
      </c>
      <c r="Q172" s="72">
        <v>86750000</v>
      </c>
      <c r="R172" s="14"/>
      <c r="S172" s="14"/>
      <c r="T172" s="14"/>
      <c r="U172" s="14">
        <v>165000000</v>
      </c>
      <c r="V172" s="14"/>
      <c r="W172" s="14"/>
      <c r="X172" s="73">
        <v>1531710486</v>
      </c>
      <c r="Y172" s="73">
        <v>6782907549</v>
      </c>
      <c r="Z172" s="14">
        <f t="shared" si="52"/>
        <v>179326122.93125013</v>
      </c>
      <c r="AA172" s="73">
        <v>4968994036</v>
      </c>
      <c r="AB172" s="63">
        <f t="shared" si="53"/>
        <v>1745997.6</v>
      </c>
      <c r="AC172" s="63">
        <f t="shared" si="53"/>
        <v>17800000</v>
      </c>
      <c r="AD172" s="63">
        <f t="shared" si="51"/>
        <v>245288.76712328769</v>
      </c>
      <c r="AE172" s="63">
        <f t="shared" si="54"/>
        <v>342551.78082191787</v>
      </c>
      <c r="AF172" s="74">
        <v>18110456.116999999</v>
      </c>
      <c r="AG172" s="63">
        <f t="shared" si="55"/>
        <v>5582721359</v>
      </c>
      <c r="AH172" s="14">
        <f>+'[1]CF Dia V1'!$FX$24+'[1]CF Dia V1'!$FX$25</f>
        <v>3507326523.5</v>
      </c>
      <c r="AI172" s="14">
        <f>+'[1]CF Dia V1'!$FX$29</f>
        <v>15721030500</v>
      </c>
      <c r="AJ172" s="14"/>
      <c r="AK172" s="16"/>
    </row>
    <row r="173" spans="1:37" ht="15.75" customHeight="1" x14ac:dyDescent="0.25">
      <c r="A173" s="13">
        <f>+A172+1</f>
        <v>46304</v>
      </c>
      <c r="B173" s="70">
        <v>1515</v>
      </c>
      <c r="C173" s="14"/>
      <c r="D173" s="71">
        <v>452730154</v>
      </c>
      <c r="E173" s="71">
        <v>42531000</v>
      </c>
      <c r="F173" s="71">
        <v>30830000</v>
      </c>
      <c r="G173" s="71">
        <v>15011000</v>
      </c>
      <c r="H173" s="71">
        <v>1721000</v>
      </c>
      <c r="I173" s="71">
        <v>1206229000</v>
      </c>
      <c r="J173" s="72">
        <v>46350291</v>
      </c>
      <c r="K173" s="14"/>
      <c r="L173" s="14"/>
      <c r="M173" s="14"/>
      <c r="N173" s="14"/>
      <c r="O173" s="14"/>
      <c r="P173" s="72">
        <v>1251871918</v>
      </c>
      <c r="Q173" s="72">
        <v>9434748</v>
      </c>
      <c r="R173" s="14"/>
      <c r="S173" s="14"/>
      <c r="T173" s="14"/>
      <c r="U173" s="14"/>
      <c r="V173" s="14"/>
      <c r="W173" s="14"/>
      <c r="X173" s="73">
        <v>1481240897</v>
      </c>
      <c r="Y173" s="73">
        <v>5666631031</v>
      </c>
      <c r="Z173" s="14">
        <f t="shared" si="52"/>
        <v>179326122.93125013</v>
      </c>
      <c r="AA173" s="73">
        <v>5008781104</v>
      </c>
      <c r="AB173" s="63">
        <f t="shared" si="53"/>
        <v>1745997.6</v>
      </c>
      <c r="AC173" s="63">
        <f t="shared" si="53"/>
        <v>17800000</v>
      </c>
      <c r="AD173" s="63">
        <f t="shared" si="51"/>
        <v>245288.76712328769</v>
      </c>
      <c r="AE173" s="63">
        <f t="shared" si="54"/>
        <v>342551.78082191787</v>
      </c>
      <c r="AF173" s="74">
        <v>18402837.916999999</v>
      </c>
      <c r="AG173" s="63">
        <f t="shared" si="55"/>
        <v>5582721359</v>
      </c>
      <c r="AH173" s="14">
        <f>+'[1]CF Dia V1'!$FY$24+'[1]CF Dia V1'!$FY$25</f>
        <v>3578725425</v>
      </c>
      <c r="AI173" s="14">
        <f>+'[1]CF Dia V1'!$FY$29</f>
        <v>15286824195</v>
      </c>
      <c r="AJ173" s="14"/>
      <c r="AK173" s="16"/>
    </row>
    <row r="174" spans="1:37" ht="15.75" customHeight="1" x14ac:dyDescent="0.25">
      <c r="A174" s="13">
        <f>+A173+1</f>
        <v>46305</v>
      </c>
      <c r="B174" s="70">
        <v>1512.5</v>
      </c>
      <c r="C174" s="14"/>
      <c r="D174" s="71">
        <v>295560649</v>
      </c>
      <c r="E174" s="71">
        <v>6705000</v>
      </c>
      <c r="F174" s="71">
        <v>58371000</v>
      </c>
      <c r="G174" s="71">
        <v>109000</v>
      </c>
      <c r="H174" s="71">
        <v>1486000</v>
      </c>
      <c r="I174" s="71">
        <v>1301599000</v>
      </c>
      <c r="J174" s="72">
        <v>217450706</v>
      </c>
      <c r="K174" s="14"/>
      <c r="L174" s="14"/>
      <c r="M174" s="14"/>
      <c r="N174" s="14"/>
      <c r="O174" s="14"/>
      <c r="P174" s="72">
        <v>98091029</v>
      </c>
      <c r="Q174" s="72">
        <v>312350131</v>
      </c>
      <c r="R174" s="14"/>
      <c r="S174" s="14"/>
      <c r="T174" s="14"/>
      <c r="U174" s="14"/>
      <c r="V174" s="14"/>
      <c r="W174" s="14"/>
      <c r="X174" s="73">
        <v>1373080000</v>
      </c>
      <c r="Y174" s="73">
        <v>5260488633</v>
      </c>
      <c r="Z174" s="14">
        <f t="shared" si="52"/>
        <v>179326122.93125013</v>
      </c>
      <c r="AA174" s="73">
        <v>5192997629</v>
      </c>
      <c r="AB174" s="63">
        <f t="shared" si="53"/>
        <v>1745997.6</v>
      </c>
      <c r="AC174" s="63">
        <f t="shared" si="53"/>
        <v>17800000</v>
      </c>
      <c r="AD174" s="63">
        <f t="shared" si="51"/>
        <v>245288.76712328769</v>
      </c>
      <c r="AE174" s="63">
        <f t="shared" si="54"/>
        <v>342551.78082191787</v>
      </c>
      <c r="AF174" s="74">
        <v>18113616.579</v>
      </c>
      <c r="AG174" s="63">
        <f t="shared" si="55"/>
        <v>5582721359</v>
      </c>
      <c r="AH174" s="14">
        <f>+'[1]CF Dia V1'!$FZ$24+'[1]CF Dia V1'!$FZ$25</f>
        <v>2426500725</v>
      </c>
      <c r="AI174" s="14">
        <f>+'[1]CF Dia V1'!$FZ$29</f>
        <v>15497787387.5</v>
      </c>
      <c r="AJ174" s="14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conditionalFormatting sqref="AF170:AF174">
    <cfRule type="cellIs" dxfId="0" priority="1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5" t="s">
        <v>96</v>
      </c>
      <c r="B1" s="75"/>
      <c r="C1" s="75"/>
      <c r="D1" s="75"/>
      <c r="E1" s="75"/>
      <c r="F1" s="75"/>
      <c r="G1" s="75"/>
      <c r="H1" s="75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-151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-136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-125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-115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5" t="s">
        <v>115</v>
      </c>
      <c r="B1" s="75"/>
      <c r="C1" s="75"/>
      <c r="D1" s="75"/>
      <c r="E1" s="75"/>
      <c r="F1" s="75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5" t="s">
        <v>121</v>
      </c>
      <c r="B1" s="75"/>
      <c r="C1" s="75"/>
      <c r="D1" s="75"/>
      <c r="E1" s="75"/>
      <c r="F1" s="75"/>
      <c r="G1" s="75"/>
    </row>
    <row r="2" spans="1:7" ht="15.75" customHeight="1" x14ac:dyDescent="0.25">
      <c r="A2" s="83" t="s">
        <v>122</v>
      </c>
      <c r="B2" s="83"/>
      <c r="C2" s="83"/>
      <c r="D2" s="83"/>
      <c r="E2" s="83"/>
      <c r="F2" s="83"/>
      <c r="G2" s="83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86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5" t="s">
        <v>138</v>
      </c>
      <c r="B1" s="75"/>
      <c r="C1" s="75"/>
      <c r="D1" s="75"/>
      <c r="E1" s="75"/>
      <c r="F1" s="75"/>
      <c r="G1" s="75"/>
      <c r="H1" s="75"/>
    </row>
    <row r="2" spans="1:8" ht="18" customHeight="1" x14ac:dyDescent="0.25">
      <c r="A2" s="84" t="s">
        <v>139</v>
      </c>
      <c r="B2" s="84"/>
      <c r="C2" s="84"/>
      <c r="D2" s="84"/>
      <c r="E2" s="84"/>
      <c r="F2" s="84"/>
      <c r="G2" s="84"/>
      <c r="H2" s="84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30249805.546300836</v>
      </c>
      <c r="F151" s="39" t="s">
        <v>146</v>
      </c>
      <c r="G151" s="39" t="s">
        <v>146</v>
      </c>
      <c r="H151" s="38">
        <f>IF(CARGA_DIARIA!A151="","",C151-D151-E151)</f>
        <v>16200811.947391264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30205389.438173957</v>
      </c>
      <c r="F152" s="39" t="s">
        <v>146</v>
      </c>
      <c r="G152" s="39" t="s">
        <v>146</v>
      </c>
      <c r="H152" s="38">
        <f>IF(CARGA_DIARIA!A152="","",C152-D152-E152)</f>
        <v>16819476.941081859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30222682.610884063</v>
      </c>
      <c r="F153" s="39" t="s">
        <v>146</v>
      </c>
      <c r="G153" s="39" t="s">
        <v>146</v>
      </c>
      <c r="H153" s="38">
        <f>IF(CARGA_DIARIA!A153="","",C153-D153-E153)</f>
        <v>14300795.790492594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30144659.48230955</v>
      </c>
      <c r="F154" s="39" t="s">
        <v>146</v>
      </c>
      <c r="G154" s="39" t="s">
        <v>146</v>
      </c>
      <c r="H154" s="38">
        <f>IF(CARGA_DIARIA!A154="","",C154-D154-E154)</f>
        <v>15256971.705471911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30364941.370389018</v>
      </c>
      <c r="F155" s="39" t="s">
        <v>146</v>
      </c>
      <c r="G155" s="39" t="s">
        <v>146</v>
      </c>
      <c r="H155" s="38">
        <f>IF(CARGA_DIARIA!A155="","",C155-D155-E155)</f>
        <v>14792613.518716943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34559559.025270425</v>
      </c>
      <c r="F156" s="39" t="s">
        <v>146</v>
      </c>
      <c r="G156" s="39" t="s">
        <v>146</v>
      </c>
      <c r="H156" s="38">
        <f>IF(CARGA_DIARIA!A156="","",C156-D156-E156)</f>
        <v>10745092.347283699</v>
      </c>
    </row>
    <row r="157" spans="1:8" ht="15.75" customHeight="1" x14ac:dyDescent="0.25">
      <c r="A157" s="33">
        <f>IF(CARGA_DIARIA!A157="","",CARGA_DIARIA!A157)</f>
        <v>46266</v>
      </c>
      <c r="B157" s="34">
        <f>IF(CARGA_DIARIA!A157="","",CARGA_DIARIA!B157)</f>
        <v>1506</v>
      </c>
      <c r="C157" s="35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>46902234.522333339</v>
      </c>
      <c r="D157" s="36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>386458.9887118194</v>
      </c>
      <c r="E157" s="36">
        <f>IF(CARGA_DIARIA!A157="","",IF(CARGA_DIARIA!B157=0,0,(CARGA_DIARIA!X157+CARGA_DIARIA!Y157+CARGA_DIARIA!Z157+CARGA_DIARIA!AA157)/CARGA_DIARIA!B157+CARGA_DIARIA!AB157+CARGA_DIARIA!AC157+CARGA_DIARIA!AD157+CARGA_DIARIA!AE157))</f>
        <v>34340363.933080293</v>
      </c>
      <c r="F157" s="39" t="s">
        <v>146</v>
      </c>
      <c r="G157" s="39" t="s">
        <v>146</v>
      </c>
      <c r="H157" s="38">
        <f>IF(CARGA_DIARIA!A157="","",C157-D157-E157)</f>
        <v>12175411.600541227</v>
      </c>
    </row>
    <row r="158" spans="1:8" ht="15.75" customHeight="1" x14ac:dyDescent="0.25">
      <c r="A158" s="33">
        <f>IF(CARGA_DIARIA!A158="","",CARGA_DIARIA!A158)</f>
        <v>46267</v>
      </c>
      <c r="B158" s="34">
        <f>IF(CARGA_DIARIA!A158="","",CARGA_DIARIA!B158)</f>
        <v>1509</v>
      </c>
      <c r="C158" s="35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>48445898.781292908</v>
      </c>
      <c r="D158" s="36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>383434.04903909873</v>
      </c>
      <c r="E158" s="36">
        <f>IF(CARGA_DIARIA!A158="","",IF(CARGA_DIARIA!B158=0,0,(CARGA_DIARIA!X158+CARGA_DIARIA!Y158+CARGA_DIARIA!Z158+CARGA_DIARIA!AA158)/CARGA_DIARIA!B158+CARGA_DIARIA!AB158+CARGA_DIARIA!AC158+CARGA_DIARIA!AD158+CARGA_DIARIA!AE158))</f>
        <v>34864748.074413709</v>
      </c>
      <c r="F158" s="39" t="s">
        <v>146</v>
      </c>
      <c r="G158" s="39" t="s">
        <v>146</v>
      </c>
      <c r="H158" s="38">
        <f>IF(CARGA_DIARIA!A158="","",C158-D158-E158)</f>
        <v>13197716.657840103</v>
      </c>
    </row>
    <row r="159" spans="1:8" ht="15.75" customHeight="1" x14ac:dyDescent="0.25">
      <c r="A159" s="33">
        <f>IF(CARGA_DIARIA!A159="","",CARGA_DIARIA!A159)</f>
        <v>46268</v>
      </c>
      <c r="B159" s="34">
        <f>IF(CARGA_DIARIA!A159="","",CARGA_DIARIA!B159)</f>
        <v>1509</v>
      </c>
      <c r="C159" s="35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>45216884.901597746</v>
      </c>
      <c r="D159" s="36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>249681.14777998676</v>
      </c>
      <c r="E159" s="36">
        <f>IF(CARGA_DIARIA!A159="","",IF(CARGA_DIARIA!B159=0,0,(CARGA_DIARIA!X159+CARGA_DIARIA!Y159+CARGA_DIARIA!Z159+CARGA_DIARIA!AA159)/CARGA_DIARIA!B159+CARGA_DIARIA!AB159+CARGA_DIARIA!AC159+CARGA_DIARIA!AD159+CARGA_DIARIA!AE159))</f>
        <v>34349787.141630411</v>
      </c>
      <c r="F159" s="39" t="s">
        <v>146</v>
      </c>
      <c r="G159" s="39" t="s">
        <v>146</v>
      </c>
      <c r="H159" s="38">
        <f>IF(CARGA_DIARIA!A159="","",C159-D159-E159)</f>
        <v>10617416.612187348</v>
      </c>
    </row>
    <row r="160" spans="1:8" ht="15.75" customHeight="1" x14ac:dyDescent="0.25">
      <c r="A160" s="33">
        <f>IF(CARGA_DIARIA!A160="","",CARGA_DIARIA!A160)</f>
        <v>46269</v>
      </c>
      <c r="B160" s="34">
        <f>IF(CARGA_DIARIA!A160="","",CARGA_DIARIA!B160)</f>
        <v>1505.5</v>
      </c>
      <c r="C160" s="35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>44097571.128850885</v>
      </c>
      <c r="D160" s="36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>574273.21355031547</v>
      </c>
      <c r="E160" s="36">
        <f>IF(CARGA_DIARIA!A160="","",IF(CARGA_DIARIA!B160=0,0,(CARGA_DIARIA!X160+CARGA_DIARIA!Y160+CARGA_DIARIA!Z160+CARGA_DIARIA!AA160)/CARGA_DIARIA!B160+CARGA_DIARIA!AB160+CARGA_DIARIA!AC160+CARGA_DIARIA!AD160+CARGA_DIARIA!AE160))</f>
        <v>33946009.419352613</v>
      </c>
      <c r="F160" s="39" t="s">
        <v>146</v>
      </c>
      <c r="G160" s="39" t="s">
        <v>146</v>
      </c>
      <c r="H160" s="38">
        <f>IF(CARGA_DIARIA!A160="","",C160-D160-E160)</f>
        <v>9577288.495947957</v>
      </c>
    </row>
    <row r="161" spans="1:8" ht="15.75" customHeight="1" x14ac:dyDescent="0.25">
      <c r="A161" s="33">
        <f>IF(CARGA_DIARIA!A161="","",CARGA_DIARIA!A161)</f>
        <v>46272</v>
      </c>
      <c r="B161" s="34">
        <f>IF(CARGA_DIARIA!A161="","",CARGA_DIARIA!B161)</f>
        <v>1504</v>
      </c>
      <c r="C161" s="35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>44451811.534893617</v>
      </c>
      <c r="D161" s="36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>599179.6589095745</v>
      </c>
      <c r="E161" s="36">
        <f>IF(CARGA_DIARIA!A161="","",IF(CARGA_DIARIA!B161=0,0,(CARGA_DIARIA!X161+CARGA_DIARIA!Y161+CARGA_DIARIA!Z161+CARGA_DIARIA!AA161)/CARGA_DIARIA!B161+CARGA_DIARIA!AB161+CARGA_DIARIA!AC161+CARGA_DIARIA!AD161+CARGA_DIARIA!AE161))</f>
        <v>33509272.494275823</v>
      </c>
      <c r="F161" s="39" t="s">
        <v>146</v>
      </c>
      <c r="G161" s="39" t="s">
        <v>146</v>
      </c>
      <c r="H161" s="38">
        <f>IF(CARGA_DIARIA!A161="","",C161-D161-E161)</f>
        <v>10343359.38170822</v>
      </c>
    </row>
    <row r="162" spans="1:8" ht="15.75" customHeight="1" x14ac:dyDescent="0.25">
      <c r="A162" s="33">
        <f>IF(CARGA_DIARIA!A162="","",CARGA_DIARIA!A162)</f>
        <v>46273</v>
      </c>
      <c r="B162" s="34">
        <f>IF(CARGA_DIARIA!A162="","",CARGA_DIARIA!B162)</f>
        <v>1509</v>
      </c>
      <c r="C162" s="35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>44636526.422746189</v>
      </c>
      <c r="D162" s="36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>524817.2021206097</v>
      </c>
      <c r="E162" s="36">
        <f>IF(CARGA_DIARIA!A162="","",IF(CARGA_DIARIA!B162=0,0,(CARGA_DIARIA!X162+CARGA_DIARIA!Y162+CARGA_DIARIA!Z162+CARGA_DIARIA!AA162)/CARGA_DIARIA!B162+CARGA_DIARIA!AB162+CARGA_DIARIA!AC162+CARGA_DIARIA!AD162+CARGA_DIARIA!AE162))</f>
        <v>32985152.43749541</v>
      </c>
      <c r="F162" s="39" t="s">
        <v>146</v>
      </c>
      <c r="G162" s="39" t="s">
        <v>146</v>
      </c>
      <c r="H162" s="38">
        <f>IF(CARGA_DIARIA!A162="","",C162-D162-E162)</f>
        <v>11126556.783130169</v>
      </c>
    </row>
    <row r="163" spans="1:8" ht="15.75" customHeight="1" x14ac:dyDescent="0.25">
      <c r="A163" s="33">
        <f>IF(CARGA_DIARIA!A163="","",CARGA_DIARIA!A163)</f>
        <v>46274</v>
      </c>
      <c r="B163" s="34">
        <f>IF(CARGA_DIARIA!A163="","",CARGA_DIARIA!B163)</f>
        <v>1505.5</v>
      </c>
      <c r="C163" s="35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>47968839.814338259</v>
      </c>
      <c r="D163" s="36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>1652148.1560943208</v>
      </c>
      <c r="E163" s="36">
        <f>IF(CARGA_DIARIA!A163="","",IF(CARGA_DIARIA!B163=0,0,(CARGA_DIARIA!X163+CARGA_DIARIA!Y163+CARGA_DIARIA!Z163+CARGA_DIARIA!AA163)/CARGA_DIARIA!B163+CARGA_DIARIA!AB163+CARGA_DIARIA!AC163+CARGA_DIARIA!AD163+CARGA_DIARIA!AE163))</f>
        <v>31253054.894495357</v>
      </c>
      <c r="F163" s="39" t="s">
        <v>146</v>
      </c>
      <c r="G163" s="39" t="s">
        <v>146</v>
      </c>
      <c r="H163" s="38">
        <f>IF(CARGA_DIARIA!A163="","",C163-D163-E163)</f>
        <v>15063636.763748582</v>
      </c>
    </row>
    <row r="164" spans="1:8" ht="15.75" customHeight="1" x14ac:dyDescent="0.25">
      <c r="A164" s="33">
        <f>IF(CARGA_DIARIA!A164="","",CARGA_DIARIA!A164)</f>
        <v>46275</v>
      </c>
      <c r="B164" s="34">
        <f>IF(CARGA_DIARIA!A164="","",CARGA_DIARIA!B164)</f>
        <v>1513</v>
      </c>
      <c r="C164" s="35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>44131532.943422675</v>
      </c>
      <c r="D164" s="36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>520070.05155320553</v>
      </c>
      <c r="E164" s="36">
        <f>IF(CARGA_DIARIA!A164="","",IF(CARGA_DIARIA!B164=0,0,(CARGA_DIARIA!X164+CARGA_DIARIA!Y164+CARGA_DIARIA!Z164+CARGA_DIARIA!AA164)/CARGA_DIARIA!B164+CARGA_DIARIA!AB164+CARGA_DIARIA!AC164+CARGA_DIARIA!AD164+CARGA_DIARIA!AE164))</f>
        <v>31430611.005652577</v>
      </c>
      <c r="F164" s="39" t="s">
        <v>146</v>
      </c>
      <c r="G164" s="39" t="s">
        <v>146</v>
      </c>
      <c r="H164" s="38">
        <f>IF(CARGA_DIARIA!A164="","",C164-D164-E164)</f>
        <v>12180851.886216894</v>
      </c>
    </row>
    <row r="165" spans="1:8" ht="15.75" customHeight="1" x14ac:dyDescent="0.25">
      <c r="A165" s="33">
        <f>IF(CARGA_DIARIA!A165="","",CARGA_DIARIA!A165)</f>
        <v>46276</v>
      </c>
      <c r="B165" s="34">
        <f>IF(CARGA_DIARIA!A165="","",CARGA_DIARIA!B165)</f>
        <v>1509</v>
      </c>
      <c r="C165" s="35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>44577413.268119618</v>
      </c>
      <c r="D165" s="36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>428638.79191517562</v>
      </c>
      <c r="E165" s="36">
        <f>IF(CARGA_DIARIA!A165="","",IF(CARGA_DIARIA!B165=0,0,(CARGA_DIARIA!X165+CARGA_DIARIA!Y165+CARGA_DIARIA!Z165+CARGA_DIARIA!AA165)/CARGA_DIARIA!B165+CARGA_DIARIA!AB165+CARGA_DIARIA!AC165+CARGA_DIARIA!AD165+CARGA_DIARIA!AE165))</f>
        <v>31269822.614433777</v>
      </c>
      <c r="F165" s="39" t="s">
        <v>146</v>
      </c>
      <c r="G165" s="39" t="s">
        <v>146</v>
      </c>
      <c r="H165" s="38">
        <f>IF(CARGA_DIARIA!A165="","",C165-D165-E165)</f>
        <v>12878951.861770663</v>
      </c>
    </row>
    <row r="166" spans="1:8" ht="15.75" customHeight="1" x14ac:dyDescent="0.25">
      <c r="A166" s="33">
        <f>IF(CARGA_DIARIA!A166="","",CARGA_DIARIA!A166)</f>
        <v>46279</v>
      </c>
      <c r="B166" s="34">
        <f>IF(CARGA_DIARIA!A166="","",CARGA_DIARIA!B166)</f>
        <v>1505</v>
      </c>
      <c r="C166" s="35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>44874233.380506642</v>
      </c>
      <c r="D166" s="36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>447764.1169435216</v>
      </c>
      <c r="E166" s="36">
        <f>IF(CARGA_DIARIA!A166="","",IF(CARGA_DIARIA!B166=0,0,(CARGA_DIARIA!X166+CARGA_DIARIA!Y166+CARGA_DIARIA!Z166+CARGA_DIARIA!AA166)/CARGA_DIARIA!B166+CARGA_DIARIA!AB166+CARGA_DIARIA!AC166+CARGA_DIARIA!AD166+CARGA_DIARIA!AE166))</f>
        <v>30706525.793082252</v>
      </c>
      <c r="F166" s="39" t="s">
        <v>146</v>
      </c>
      <c r="G166" s="39" t="s">
        <v>146</v>
      </c>
      <c r="H166" s="38">
        <f>IF(CARGA_DIARIA!A166="","",C166-D166-E166)</f>
        <v>13719943.470480867</v>
      </c>
    </row>
    <row r="167" spans="1:8" ht="15.75" customHeight="1" x14ac:dyDescent="0.25">
      <c r="A167" s="33">
        <f>IF(CARGA_DIARIA!A167="","",CARGA_DIARIA!A167)</f>
        <v>46296</v>
      </c>
      <c r="B167" s="34">
        <f>IF(CARGA_DIARIA!A167="","",CARGA_DIARIA!B167)</f>
        <v>1514</v>
      </c>
      <c r="C167" s="35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>36847041.977323644</v>
      </c>
      <c r="D167" s="36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>407536.3276089828</v>
      </c>
      <c r="E167" s="36">
        <f>IF(CARGA_DIARIA!A167="","",IF(CARGA_DIARIA!B167=0,0,(CARGA_DIARIA!X167+CARGA_DIARIA!Y167+CARGA_DIARIA!Z167+CARGA_DIARIA!AA167)/CARGA_DIARIA!B167+CARGA_DIARIA!AB167+CARGA_DIARIA!AC167+CARGA_DIARIA!AD167+CARGA_DIARIA!AE167))</f>
        <v>29717999.888983022</v>
      </c>
      <c r="F167" s="39" t="s">
        <v>146</v>
      </c>
      <c r="G167" s="39" t="s">
        <v>146</v>
      </c>
      <c r="H167" s="38">
        <f>IF(CARGA_DIARIA!A167="","",C167-D167-E167)</f>
        <v>6721505.7607316412</v>
      </c>
    </row>
    <row r="168" spans="1:8" ht="15.75" customHeight="1" x14ac:dyDescent="0.25">
      <c r="A168" s="33">
        <f>IF(CARGA_DIARIA!A168="","",CARGA_DIARIA!A168)</f>
        <v>46297</v>
      </c>
      <c r="B168" s="34">
        <f>IF(CARGA_DIARIA!A168="","",CARGA_DIARIA!B168)</f>
        <v>1521</v>
      </c>
      <c r="C168" s="35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>36823969.62532413</v>
      </c>
      <c r="D168" s="36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>322139.01577909268</v>
      </c>
      <c r="E168" s="36">
        <f>IF(CARGA_DIARIA!A168="","",IF(CARGA_DIARIA!B168=0,0,(CARGA_DIARIA!X168+CARGA_DIARIA!Y168+CARGA_DIARIA!Z168+CARGA_DIARIA!AA168)/CARGA_DIARIA!B168+CARGA_DIARIA!AB168+CARGA_DIARIA!AC168+CARGA_DIARIA!AD168+CARGA_DIARIA!AE168))</f>
        <v>29366265.474001259</v>
      </c>
      <c r="F168" s="39" t="s">
        <v>146</v>
      </c>
      <c r="G168" s="39" t="s">
        <v>146</v>
      </c>
      <c r="H168" s="38">
        <f>IF(CARGA_DIARIA!A168="","",C168-D168-E168)</f>
        <v>7135565.1355437785</v>
      </c>
    </row>
    <row r="169" spans="1:8" ht="15.75" customHeight="1" x14ac:dyDescent="0.25">
      <c r="A169" s="33">
        <f>IF(CARGA_DIARIA!A169="","",CARGA_DIARIA!A169)</f>
        <v>46300</v>
      </c>
      <c r="B169" s="34">
        <f>IF(CARGA_DIARIA!A169="","",CARGA_DIARIA!B169)</f>
        <v>1520</v>
      </c>
      <c r="C169" s="35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>35780274.251421049</v>
      </c>
      <c r="D169" s="36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>512199.48421052634</v>
      </c>
      <c r="E169" s="36">
        <f>IF(CARGA_DIARIA!A169="","",IF(CARGA_DIARIA!B169=0,0,(CARGA_DIARIA!X169+CARGA_DIARIA!Y169+CARGA_DIARIA!Z169+CARGA_DIARIA!AA169)/CARGA_DIARIA!B169+CARGA_DIARIA!AB169+CARGA_DIARIA!AC169+CARGA_DIARIA!AD169+CARGA_DIARIA!AE169))</f>
        <v>29164026.397978924</v>
      </c>
      <c r="F169" s="39" t="s">
        <v>146</v>
      </c>
      <c r="G169" s="39" t="s">
        <v>146</v>
      </c>
      <c r="H169" s="38">
        <f>IF(CARGA_DIARIA!A169="","",C169-D169-E169)</f>
        <v>6104048.3692315966</v>
      </c>
    </row>
    <row r="170" spans="1:8" ht="15.75" customHeight="1" x14ac:dyDescent="0.25">
      <c r="A170" s="33">
        <f>IF(CARGA_DIARIA!A170="","",CARGA_DIARIA!A170)</f>
        <v>46301</v>
      </c>
      <c r="B170" s="34">
        <f>IF(CARGA_DIARIA!A170="","",CARGA_DIARIA!B170)</f>
        <v>1515.5</v>
      </c>
      <c r="C170" s="35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>36016246.963078521</v>
      </c>
      <c r="D170" s="36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>381617.02210491587</v>
      </c>
      <c r="E170" s="36">
        <f>IF(CARGA_DIARIA!A170="","",IF(CARGA_DIARIA!B170=0,0,(CARGA_DIARIA!X170+CARGA_DIARIA!Y170+CARGA_DIARIA!Z170+CARGA_DIARIA!AA170)/CARGA_DIARIA!B170+CARGA_DIARIA!AB170+CARGA_DIARIA!AC170+CARGA_DIARIA!AD170+CARGA_DIARIA!AE170))</f>
        <v>28949629.889899187</v>
      </c>
      <c r="F170" s="39" t="s">
        <v>146</v>
      </c>
      <c r="G170" s="39" t="s">
        <v>146</v>
      </c>
      <c r="H170" s="38">
        <f>IF(CARGA_DIARIA!A170="","",C170-D170-E170)</f>
        <v>6685000.0510744154</v>
      </c>
    </row>
    <row r="171" spans="1:8" ht="15.75" customHeight="1" x14ac:dyDescent="0.25">
      <c r="A171" s="33">
        <f>IF(CARGA_DIARIA!A171="","",CARGA_DIARIA!A171)</f>
        <v>46302</v>
      </c>
      <c r="B171" s="34">
        <f>IF(CARGA_DIARIA!A171="","",CARGA_DIARIA!B171)</f>
        <v>1518</v>
      </c>
      <c r="C171" s="35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>35605790.034786567</v>
      </c>
      <c r="D171" s="36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>296470.21475625824</v>
      </c>
      <c r="E171" s="36">
        <f>IF(CARGA_DIARIA!A171="","",IF(CARGA_DIARIA!B171=0,0,(CARGA_DIARIA!X171+CARGA_DIARIA!Y171+CARGA_DIARIA!Z171+CARGA_DIARIA!AA171)/CARGA_DIARIA!B171+CARGA_DIARIA!AB171+CARGA_DIARIA!AC171+CARGA_DIARIA!AD171+CARGA_DIARIA!AE171))</f>
        <v>28996746.498361051</v>
      </c>
      <c r="F171" s="39" t="s">
        <v>146</v>
      </c>
      <c r="G171" s="39" t="s">
        <v>146</v>
      </c>
      <c r="H171" s="38">
        <f>IF(CARGA_DIARIA!A171="","",C171-D171-E171)</f>
        <v>6312573.3216692582</v>
      </c>
    </row>
    <row r="172" spans="1:8" ht="15.75" customHeight="1" x14ac:dyDescent="0.25">
      <c r="A172" s="33">
        <f>IF(CARGA_DIARIA!A172="","",CARGA_DIARIA!A172)</f>
        <v>46303</v>
      </c>
      <c r="B172" s="34">
        <f>IF(CARGA_DIARIA!A172="","",CARGA_DIARIA!B172)</f>
        <v>1518.5</v>
      </c>
      <c r="C172" s="35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>35745484.357039511</v>
      </c>
      <c r="D172" s="36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>442367.87158379977</v>
      </c>
      <c r="E172" s="36">
        <f>IF(CARGA_DIARIA!A172="","",IF(CARGA_DIARIA!B172=0,0,(CARGA_DIARIA!X172+CARGA_DIARIA!Y172+CARGA_DIARIA!Z172+CARGA_DIARIA!AA172)/CARGA_DIARIA!B172+CARGA_DIARIA!AB172+CARGA_DIARIA!AC172+CARGA_DIARIA!AD172+CARGA_DIARIA!AE172))</f>
        <v>28999783.61645443</v>
      </c>
      <c r="F172" s="39" t="s">
        <v>146</v>
      </c>
      <c r="G172" s="39" t="s">
        <v>146</v>
      </c>
      <c r="H172" s="38">
        <f>IF(CARGA_DIARIA!A172="","",C172-D172-E172)</f>
        <v>6303332.8690012842</v>
      </c>
    </row>
    <row r="173" spans="1:8" ht="15.75" customHeight="1" x14ac:dyDescent="0.25">
      <c r="A173" s="33">
        <f>IF(CARGA_DIARIA!A173="","",CARGA_DIARIA!A173)</f>
        <v>46304</v>
      </c>
      <c r="B173" s="34">
        <f>IF(CARGA_DIARIA!A173="","",CARGA_DIARIA!B173)</f>
        <v>1515</v>
      </c>
      <c r="C173" s="35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>35694800.381026402</v>
      </c>
      <c r="D173" s="36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>863139.90561056102</v>
      </c>
      <c r="E173" s="36">
        <f>IF(CARGA_DIARIA!A173="","",IF(CARGA_DIARIA!B173=0,0,(CARGA_DIARIA!X173+CARGA_DIARIA!Y173+CARGA_DIARIA!Z173+CARGA_DIARIA!AA173)/CARGA_DIARIA!B173+CARGA_DIARIA!AB173+CARGA_DIARIA!AC173+CARGA_DIARIA!AD173+CARGA_DIARIA!AE173))</f>
        <v>28276398.646249667</v>
      </c>
      <c r="F173" s="39" t="s">
        <v>146</v>
      </c>
      <c r="G173" s="39" t="s">
        <v>146</v>
      </c>
      <c r="H173" s="38">
        <f>IF(CARGA_DIARIA!A173="","",C173-D173-E173)</f>
        <v>6555261.8291661739</v>
      </c>
    </row>
    <row r="174" spans="1:8" ht="15.75" customHeight="1" x14ac:dyDescent="0.25">
      <c r="A174" s="33">
        <f>IF(CARGA_DIARIA!A174="","",CARGA_DIARIA!A174)</f>
        <v>46305</v>
      </c>
      <c r="B174" s="34">
        <f>IF(CARGA_DIARIA!A174="","",CARGA_DIARIA!B174)</f>
        <v>1512.5</v>
      </c>
      <c r="C174" s="35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>34755494.344619833</v>
      </c>
      <c r="D174" s="36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>415135.1180165289</v>
      </c>
      <c r="E174" s="36">
        <f>IF(CARGA_DIARIA!A174="","",IF(CARGA_DIARIA!B174=0,0,(CARGA_DIARIA!X174+CARGA_DIARIA!Y174+CARGA_DIARIA!Z174+CARGA_DIARIA!AA174)/CARGA_DIARIA!B174+CARGA_DIARIA!AB174+CARGA_DIARIA!AC174+CARGA_DIARIA!AD174+CARGA_DIARIA!AE174))</f>
        <v>28071618.237155952</v>
      </c>
      <c r="F174" s="39" t="s">
        <v>146</v>
      </c>
      <c r="G174" s="39" t="s">
        <v>146</v>
      </c>
      <c r="H174" s="38">
        <f>IF(CARGA_DIARIA!A174="","",C174-D174-E174)</f>
        <v>6268740.9894473553</v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zoomScale="80" zoomScaleNormal="80" workbookViewId="0">
      <pane ySplit="3" topLeftCell="A4" activePane="bottomLeft" state="frozen"/>
      <selection pane="bottomLeft" activeCell="Q22" sqref="Q22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5" t="s">
        <v>147</v>
      </c>
      <c r="B1" s="75"/>
      <c r="C1" s="75"/>
      <c r="D1" s="75"/>
      <c r="E1" s="75"/>
      <c r="F1" s="75"/>
      <c r="G1" s="75"/>
    </row>
    <row r="2" spans="1:7" ht="15.75" customHeight="1" x14ac:dyDescent="0.25">
      <c r="A2" s="85" t="s">
        <v>148</v>
      </c>
      <c r="B2" s="85"/>
      <c r="C2" s="85"/>
      <c r="D2" s="85"/>
      <c r="E2" s="85"/>
      <c r="F2" s="85"/>
      <c r="G2" s="85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1233</v>
      </c>
      <c r="B4">
        <v>1</v>
      </c>
      <c r="C4" s="67">
        <v>28826945</v>
      </c>
      <c r="D4" s="13">
        <v>46272</v>
      </c>
      <c r="E4" s="64">
        <v>46311.000138888892</v>
      </c>
      <c r="F4" s="40">
        <f>+E4+2</f>
        <v>46313.000138888892</v>
      </c>
      <c r="G4" s="27"/>
    </row>
    <row r="5" spans="1:7" ht="15.75" customHeight="1" x14ac:dyDescent="0.25">
      <c r="A5" t="s">
        <v>1234</v>
      </c>
      <c r="B5">
        <v>1</v>
      </c>
      <c r="C5" s="67">
        <v>4000000</v>
      </c>
      <c r="D5" s="13">
        <v>46273</v>
      </c>
      <c r="E5" s="64">
        <v>46304.000138888892</v>
      </c>
      <c r="F5" s="40">
        <f t="shared" ref="F5:F23" si="0">+E5+2</f>
        <v>46306.000138888892</v>
      </c>
      <c r="G5" s="27"/>
    </row>
    <row r="6" spans="1:7" ht="15.75" customHeight="1" x14ac:dyDescent="0.25">
      <c r="A6" t="s">
        <v>1234</v>
      </c>
      <c r="B6">
        <v>1</v>
      </c>
      <c r="C6" s="67">
        <v>3550000</v>
      </c>
      <c r="D6" s="13">
        <v>46274</v>
      </c>
      <c r="E6" s="64">
        <v>46304.000138888892</v>
      </c>
      <c r="F6" s="40">
        <f t="shared" si="0"/>
        <v>46306.000138888892</v>
      </c>
      <c r="G6" s="27"/>
    </row>
    <row r="7" spans="1:7" ht="15.75" customHeight="1" x14ac:dyDescent="0.25">
      <c r="A7" t="s">
        <v>1234</v>
      </c>
      <c r="B7">
        <v>1</v>
      </c>
      <c r="C7" s="67">
        <v>3000400</v>
      </c>
      <c r="D7" s="13">
        <v>46275</v>
      </c>
      <c r="E7" s="64">
        <v>46304.000138888892</v>
      </c>
      <c r="F7" s="40">
        <f t="shared" si="0"/>
        <v>46306.000138888892</v>
      </c>
      <c r="G7" s="27"/>
    </row>
    <row r="8" spans="1:7" ht="15.75" customHeight="1" x14ac:dyDescent="0.25">
      <c r="A8" t="s">
        <v>1235</v>
      </c>
      <c r="B8">
        <v>1</v>
      </c>
      <c r="C8" s="67">
        <v>1249132.5</v>
      </c>
      <c r="D8" s="13">
        <v>46276</v>
      </c>
      <c r="E8" s="64">
        <v>46298.000138888892</v>
      </c>
      <c r="F8" s="40">
        <f t="shared" si="0"/>
        <v>46300.000138888892</v>
      </c>
      <c r="G8" s="27"/>
    </row>
    <row r="9" spans="1:7" ht="15.75" customHeight="1" x14ac:dyDescent="0.25">
      <c r="A9" t="s">
        <v>1233</v>
      </c>
      <c r="B9">
        <v>1</v>
      </c>
      <c r="C9" s="67">
        <v>35370855</v>
      </c>
      <c r="D9" s="13">
        <v>46277</v>
      </c>
      <c r="E9" s="64">
        <v>46298.000138888892</v>
      </c>
      <c r="F9" s="40">
        <f t="shared" si="0"/>
        <v>46300.000138888892</v>
      </c>
      <c r="G9" s="27"/>
    </row>
    <row r="10" spans="1:7" ht="15.75" customHeight="1" x14ac:dyDescent="0.25">
      <c r="A10" t="s">
        <v>1236</v>
      </c>
      <c r="B10">
        <v>1</v>
      </c>
      <c r="C10" s="67">
        <v>4477376.57</v>
      </c>
      <c r="D10" s="13">
        <v>46278</v>
      </c>
      <c r="E10" s="64">
        <v>46297.000138888892</v>
      </c>
      <c r="F10" s="40">
        <f t="shared" si="0"/>
        <v>46299.000138888892</v>
      </c>
      <c r="G10" s="27"/>
    </row>
    <row r="11" spans="1:7" ht="15.75" customHeight="1" x14ac:dyDescent="0.25">
      <c r="A11" t="s">
        <v>1233</v>
      </c>
      <c r="B11">
        <v>1</v>
      </c>
      <c r="C11" s="67">
        <v>45000000</v>
      </c>
      <c r="D11" s="13">
        <v>46279</v>
      </c>
      <c r="E11" s="64">
        <v>46297.000138888892</v>
      </c>
      <c r="F11" s="40">
        <f t="shared" si="0"/>
        <v>46299.000138888892</v>
      </c>
      <c r="G11" s="27"/>
    </row>
    <row r="12" spans="1:7" ht="15.75" customHeight="1" x14ac:dyDescent="0.25">
      <c r="A12" t="s">
        <v>1236</v>
      </c>
      <c r="B12">
        <v>1</v>
      </c>
      <c r="C12" s="67">
        <v>7661581.1299999999</v>
      </c>
      <c r="D12" s="13">
        <v>46280</v>
      </c>
      <c r="E12" s="64">
        <v>46294.000138888892</v>
      </c>
      <c r="F12" s="40">
        <f t="shared" si="0"/>
        <v>46296.000138888892</v>
      </c>
      <c r="G12" s="27"/>
    </row>
    <row r="13" spans="1:7" ht="15.75" customHeight="1" x14ac:dyDescent="0.25">
      <c r="A13" t="s">
        <v>1237</v>
      </c>
      <c r="B13">
        <v>1</v>
      </c>
      <c r="C13" s="67">
        <v>10000000</v>
      </c>
      <c r="D13" s="13">
        <v>46281</v>
      </c>
      <c r="E13" s="64">
        <v>46291.000138888892</v>
      </c>
      <c r="F13" s="40">
        <f t="shared" si="0"/>
        <v>46293.000138888892</v>
      </c>
      <c r="G13" s="27"/>
    </row>
    <row r="14" spans="1:7" ht="15.75" customHeight="1" x14ac:dyDescent="0.25">
      <c r="A14" t="s">
        <v>1237</v>
      </c>
      <c r="B14">
        <v>1</v>
      </c>
      <c r="C14" s="67">
        <v>10000000</v>
      </c>
      <c r="D14" s="13">
        <v>46282</v>
      </c>
      <c r="E14" s="64">
        <v>46291.000138888892</v>
      </c>
      <c r="F14" s="40">
        <f t="shared" si="0"/>
        <v>46293.000138888892</v>
      </c>
      <c r="G14" s="27"/>
    </row>
    <row r="15" spans="1:7" ht="15.75" customHeight="1" x14ac:dyDescent="0.25">
      <c r="A15" t="s">
        <v>1238</v>
      </c>
      <c r="B15">
        <v>1</v>
      </c>
      <c r="C15" s="67">
        <v>40984500</v>
      </c>
      <c r="D15" s="13">
        <v>46283</v>
      </c>
      <c r="E15" s="64">
        <v>46290.000138888892</v>
      </c>
      <c r="F15" s="40">
        <f t="shared" si="0"/>
        <v>46292.000138888892</v>
      </c>
      <c r="G15" s="27"/>
    </row>
    <row r="16" spans="1:7" ht="15.75" customHeight="1" x14ac:dyDescent="0.25">
      <c r="A16" t="s">
        <v>1239</v>
      </c>
      <c r="B16">
        <v>1</v>
      </c>
      <c r="C16" s="67">
        <v>17129995</v>
      </c>
      <c r="D16" s="13">
        <v>46284</v>
      </c>
      <c r="E16" s="64">
        <v>46288.000138888892</v>
      </c>
      <c r="F16" s="40">
        <f t="shared" si="0"/>
        <v>46290.000138888892</v>
      </c>
      <c r="G16" s="27"/>
    </row>
    <row r="17" spans="1:7" ht="15.75" customHeight="1" x14ac:dyDescent="0.25">
      <c r="A17" t="s">
        <v>1240</v>
      </c>
      <c r="B17">
        <v>1</v>
      </c>
      <c r="C17" s="67">
        <v>29830460</v>
      </c>
      <c r="D17" s="13">
        <v>46285</v>
      </c>
      <c r="E17" s="64">
        <v>46282.000138888892</v>
      </c>
      <c r="F17" s="40">
        <f t="shared" si="0"/>
        <v>46284.000138888892</v>
      </c>
      <c r="G17" s="27"/>
    </row>
    <row r="18" spans="1:7" ht="15.75" customHeight="1" x14ac:dyDescent="0.25">
      <c r="A18" t="s">
        <v>1240</v>
      </c>
      <c r="B18">
        <v>1</v>
      </c>
      <c r="C18" s="67">
        <v>29830450</v>
      </c>
      <c r="D18" s="13">
        <v>46286</v>
      </c>
      <c r="E18" s="64">
        <v>46279.000138888892</v>
      </c>
      <c r="F18" s="40">
        <f t="shared" si="0"/>
        <v>46281.000138888892</v>
      </c>
      <c r="G18" s="27"/>
    </row>
    <row r="19" spans="1:7" ht="15.75" customHeight="1" x14ac:dyDescent="0.25">
      <c r="A19" t="s">
        <v>1238</v>
      </c>
      <c r="B19">
        <v>1</v>
      </c>
      <c r="C19" s="67">
        <v>33905080</v>
      </c>
      <c r="D19" s="13">
        <v>46287</v>
      </c>
      <c r="E19" s="64">
        <v>46278.000138888892</v>
      </c>
      <c r="F19" s="40">
        <f t="shared" si="0"/>
        <v>46280.000138888892</v>
      </c>
      <c r="G19" s="27"/>
    </row>
    <row r="20" spans="1:7" ht="15.75" customHeight="1" x14ac:dyDescent="0.25">
      <c r="A20" t="s">
        <v>1236</v>
      </c>
      <c r="B20">
        <v>1</v>
      </c>
      <c r="C20" s="67">
        <v>42837080.700000003</v>
      </c>
      <c r="D20" s="13">
        <v>46288</v>
      </c>
      <c r="E20" s="64">
        <v>46278.000138888892</v>
      </c>
      <c r="F20" s="40">
        <f t="shared" si="0"/>
        <v>46280.000138888892</v>
      </c>
      <c r="G20" s="27"/>
    </row>
    <row r="21" spans="1:7" ht="15.75" customHeight="1" x14ac:dyDescent="0.25">
      <c r="A21" t="s">
        <v>1240</v>
      </c>
      <c r="B21">
        <v>1</v>
      </c>
      <c r="C21" s="67">
        <v>29830440</v>
      </c>
      <c r="D21" s="13">
        <v>46289</v>
      </c>
      <c r="E21" s="64">
        <v>46276.000138888892</v>
      </c>
      <c r="F21" s="40">
        <f t="shared" si="0"/>
        <v>46278.000138888892</v>
      </c>
      <c r="G21" s="27"/>
    </row>
    <row r="22" spans="1:7" ht="15.75" customHeight="1" x14ac:dyDescent="0.25">
      <c r="A22" t="s">
        <v>1240</v>
      </c>
      <c r="B22">
        <v>1</v>
      </c>
      <c r="C22" s="67">
        <v>29830435</v>
      </c>
      <c r="D22" s="13">
        <v>46290</v>
      </c>
      <c r="E22" s="64">
        <v>46273.000138888892</v>
      </c>
      <c r="F22" s="40">
        <f t="shared" si="0"/>
        <v>46275.000138888892</v>
      </c>
      <c r="G22" s="27"/>
    </row>
    <row r="23" spans="1:7" ht="15.75" customHeight="1" x14ac:dyDescent="0.25">
      <c r="A23" t="s">
        <v>1240</v>
      </c>
      <c r="B23">
        <v>1</v>
      </c>
      <c r="C23" s="67">
        <v>8110047.5</v>
      </c>
      <c r="D23" s="13">
        <v>46291</v>
      </c>
      <c r="E23" s="64">
        <v>46271.000138888892</v>
      </c>
      <c r="F23" s="40">
        <f t="shared" si="0"/>
        <v>46273.000138888892</v>
      </c>
      <c r="G23" s="27"/>
    </row>
    <row r="24" spans="1:7" ht="15.75" customHeight="1" x14ac:dyDescent="0.25">
      <c r="C24" s="67"/>
      <c r="D24" s="13"/>
      <c r="E24" s="64"/>
      <c r="F24" s="40"/>
      <c r="G24" s="27"/>
    </row>
    <row r="25" spans="1:7" ht="15.75" customHeight="1" x14ac:dyDescent="0.25">
      <c r="C25" s="67"/>
      <c r="D25" s="13"/>
      <c r="E25" s="64"/>
      <c r="F25" s="40"/>
      <c r="G25" s="27"/>
    </row>
    <row r="26" spans="1:7" ht="15.75" customHeight="1" x14ac:dyDescent="0.25">
      <c r="C26" s="67"/>
      <c r="D26" s="13"/>
      <c r="E26" s="64"/>
      <c r="F26" s="40"/>
      <c r="G26" s="27"/>
    </row>
    <row r="27" spans="1:7" ht="15.75" customHeight="1" x14ac:dyDescent="0.25">
      <c r="C27" s="67"/>
      <c r="D27" s="13"/>
      <c r="E27" s="64"/>
      <c r="F27" s="40"/>
      <c r="G27" s="27"/>
    </row>
    <row r="28" spans="1:7" ht="15.75" customHeight="1" x14ac:dyDescent="0.25">
      <c r="C28" s="67"/>
      <c r="D28" s="13"/>
      <c r="E28" s="64"/>
      <c r="F28" s="40"/>
      <c r="G28" s="27"/>
    </row>
    <row r="29" spans="1:7" ht="15.75" customHeight="1" x14ac:dyDescent="0.25">
      <c r="C29" s="67"/>
      <c r="D29" s="13"/>
      <c r="E29" s="64"/>
      <c r="F29" s="40"/>
      <c r="G29" s="27"/>
    </row>
    <row r="30" spans="1:7" ht="15.75" customHeight="1" x14ac:dyDescent="0.25">
      <c r="C30" s="67"/>
      <c r="D30" s="13"/>
      <c r="E30" s="64"/>
      <c r="F30" s="40"/>
      <c r="G30" s="27"/>
    </row>
    <row r="31" spans="1:7" ht="15.75" customHeight="1" x14ac:dyDescent="0.25">
      <c r="C31" s="67"/>
      <c r="D31" s="13"/>
      <c r="E31" s="64"/>
      <c r="F31" s="40"/>
      <c r="G31" s="27"/>
    </row>
    <row r="32" spans="1:7" ht="15.75" customHeight="1" x14ac:dyDescent="0.25">
      <c r="C32" s="67"/>
      <c r="D32" s="13"/>
      <c r="E32" s="64"/>
      <c r="F32" s="40"/>
      <c r="G32" s="27"/>
    </row>
    <row r="33" spans="3:7" ht="15.75" customHeight="1" x14ac:dyDescent="0.25">
      <c r="C33" s="67"/>
      <c r="D33" s="13"/>
      <c r="E33" s="64"/>
      <c r="F33" s="40"/>
      <c r="G33" s="27"/>
    </row>
    <row r="34" spans="3:7" ht="15.75" customHeight="1" x14ac:dyDescent="0.25">
      <c r="C34" s="67"/>
      <c r="D34" s="13"/>
      <c r="E34" s="64"/>
      <c r="F34" s="40"/>
      <c r="G34" s="27"/>
    </row>
    <row r="35" spans="3:7" ht="15.75" customHeight="1" x14ac:dyDescent="0.25">
      <c r="C35" s="67"/>
      <c r="D35" s="13"/>
      <c r="E35" s="64"/>
      <c r="F35" s="40"/>
      <c r="G35" s="27"/>
    </row>
    <row r="36" spans="3:7" ht="15.75" customHeight="1" x14ac:dyDescent="0.25">
      <c r="C36" s="67"/>
      <c r="D36" s="13"/>
      <c r="E36" s="64"/>
      <c r="F36" s="40"/>
      <c r="G36" s="27"/>
    </row>
    <row r="37" spans="3:7" ht="15.75" customHeight="1" x14ac:dyDescent="0.25">
      <c r="C37" s="66"/>
      <c r="D37" s="13"/>
      <c r="E37" s="65"/>
      <c r="F37" s="40"/>
      <c r="G37" s="27"/>
    </row>
    <row r="38" spans="3:7" ht="15.75" customHeight="1" x14ac:dyDescent="0.25">
      <c r="C38" s="66"/>
      <c r="D38" s="13"/>
      <c r="E38" s="65"/>
      <c r="F38" s="40"/>
      <c r="G38" s="27"/>
    </row>
    <row r="39" spans="3:7" ht="15.75" customHeight="1" x14ac:dyDescent="0.25">
      <c r="C39" s="66"/>
      <c r="D39" s="13"/>
      <c r="E39" s="65"/>
      <c r="F39" s="40"/>
      <c r="G39" s="27"/>
    </row>
    <row r="40" spans="3:7" ht="15.75" customHeight="1" x14ac:dyDescent="0.25">
      <c r="C40" s="66"/>
      <c r="D40" s="13"/>
      <c r="E40" s="65"/>
      <c r="F40" s="40"/>
      <c r="G40" s="27"/>
    </row>
    <row r="41" spans="3:7" ht="15.75" customHeight="1" x14ac:dyDescent="0.25">
      <c r="C41" s="66"/>
      <c r="D41" s="13"/>
      <c r="E41" s="65"/>
      <c r="F41" s="40"/>
      <c r="G41" s="27"/>
    </row>
    <row r="42" spans="3:7" ht="15.75" customHeight="1" x14ac:dyDescent="0.25">
      <c r="C42" s="66"/>
      <c r="D42" s="13"/>
      <c r="E42" s="65"/>
      <c r="F42" s="40"/>
      <c r="G42" s="27"/>
    </row>
    <row r="43" spans="3:7" ht="15.75" customHeight="1" x14ac:dyDescent="0.25">
      <c r="C43" s="66"/>
      <c r="D43" s="13"/>
      <c r="E43" s="65"/>
      <c r="F43" s="40"/>
      <c r="G43" s="27"/>
    </row>
    <row r="44" spans="3:7" ht="15.75" customHeight="1" x14ac:dyDescent="0.25">
      <c r="C44" s="66"/>
      <c r="D44" s="13"/>
      <c r="E44" s="65"/>
      <c r="F44" s="40"/>
      <c r="G44" s="27"/>
    </row>
    <row r="45" spans="3:7" ht="15.75" customHeight="1" x14ac:dyDescent="0.25">
      <c r="C45" s="66"/>
      <c r="D45" s="13"/>
      <c r="E45" s="65"/>
      <c r="F45" s="40"/>
      <c r="G45" s="27"/>
    </row>
    <row r="46" spans="3:7" ht="15.75" customHeight="1" x14ac:dyDescent="0.25">
      <c r="C46" s="66"/>
      <c r="D46" s="13"/>
      <c r="E46" s="65"/>
      <c r="F46" s="40"/>
      <c r="G46" s="27"/>
    </row>
    <row r="47" spans="3:7" ht="15.75" customHeight="1" x14ac:dyDescent="0.25">
      <c r="C47" s="66"/>
      <c r="D47" s="13"/>
      <c r="E47" s="65"/>
      <c r="F47" s="40"/>
      <c r="G47" s="27"/>
    </row>
    <row r="48" spans="3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415424778.39999998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86" t="s">
        <v>156</v>
      </c>
      <c r="B65" s="86"/>
      <c r="C65" s="86"/>
      <c r="D65" s="86"/>
      <c r="E65" s="86"/>
      <c r="F65" s="86"/>
      <c r="G65" s="86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70"/>
  <sheetViews>
    <sheetView showGridLines="0" zoomScaleNormal="100" workbookViewId="0">
      <pane ySplit="4" topLeftCell="A314" activePane="bottomLeft" state="frozen"/>
      <selection pane="bottomLeft" activeCell="C329" sqref="C329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5" t="s">
        <v>157</v>
      </c>
      <c r="B1" s="75"/>
      <c r="C1" s="75"/>
      <c r="D1" s="75"/>
      <c r="E1" s="75"/>
      <c r="F1" s="75"/>
    </row>
    <row r="2" spans="1:6" ht="15.75" customHeight="1" x14ac:dyDescent="0.25">
      <c r="A2" s="85" t="s">
        <v>158</v>
      </c>
      <c r="B2" s="85"/>
      <c r="C2" s="85"/>
      <c r="D2" s="85"/>
      <c r="E2" s="85"/>
      <c r="F2" s="85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1500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+B343</f>
        <v> CLEANING IN PACE S.R.L.</v>
      </c>
      <c r="C5" s="66">
        <f>+K343</f>
        <v>10069179.199999999</v>
      </c>
      <c r="D5" s="24">
        <f>+C5/$D$3</f>
        <v>6712.7861333333331</v>
      </c>
      <c r="E5" s="50">
        <f t="shared" ref="E5:E68" si="0">+D5/$D$328</f>
        <v>1.4457339026813748E-3</v>
      </c>
      <c r="F5" s="51"/>
    </row>
    <row r="6" spans="1:6" ht="15.75" customHeight="1" x14ac:dyDescent="0.25">
      <c r="A6" t="str">
        <f t="shared" ref="A6:A69" si="1">+B344</f>
        <v> LA INDUSTRIAL ELECTRICA S A</v>
      </c>
      <c r="C6" s="66">
        <f t="shared" ref="C6:C69" si="2">+K344</f>
        <v>1.08</v>
      </c>
      <c r="D6" s="24">
        <f t="shared" ref="D6:D69" si="3">+C6/$D$3</f>
        <v>7.2000000000000005E-4</v>
      </c>
      <c r="E6" s="50">
        <f t="shared" si="0"/>
        <v>1.5506652368406405E-10</v>
      </c>
      <c r="F6" s="51"/>
    </row>
    <row r="7" spans="1:6" ht="15.75" customHeight="1" x14ac:dyDescent="0.25">
      <c r="A7" t="str">
        <f t="shared" si="1"/>
        <v> MAJLUF FABIO ADRIAN</v>
      </c>
      <c r="C7" s="66">
        <f t="shared" si="2"/>
        <v>1452000</v>
      </c>
      <c r="D7" s="24">
        <f t="shared" si="3"/>
        <v>968</v>
      </c>
      <c r="E7" s="50">
        <f t="shared" si="0"/>
        <v>2.0847832628635276E-4</v>
      </c>
      <c r="F7" s="51"/>
    </row>
    <row r="8" spans="1:6" ht="15.75" customHeight="1" x14ac:dyDescent="0.25">
      <c r="A8" t="str">
        <f t="shared" si="1"/>
        <v> MODOC S.A</v>
      </c>
      <c r="C8" s="66">
        <f t="shared" si="2"/>
        <v>1406658.88</v>
      </c>
      <c r="D8" s="24">
        <f t="shared" si="3"/>
        <v>937.7725866666666</v>
      </c>
      <c r="E8" s="50">
        <f t="shared" si="0"/>
        <v>2.0196824308418423E-4</v>
      </c>
      <c r="F8" s="51"/>
    </row>
    <row r="9" spans="1:6" ht="15.75" customHeight="1" x14ac:dyDescent="0.25">
      <c r="A9" t="str">
        <f t="shared" si="1"/>
        <v> MUTUAL DE PESCADORES MARITIMOS</v>
      </c>
      <c r="C9" s="66">
        <f t="shared" si="2"/>
        <v>228400</v>
      </c>
      <c r="D9" s="24">
        <f t="shared" si="3"/>
        <v>152.26666666666668</v>
      </c>
      <c r="E9" s="50">
        <f t="shared" si="0"/>
        <v>3.2793698156889101E-5</v>
      </c>
      <c r="F9" s="51"/>
    </row>
    <row r="10" spans="1:6" ht="15.75" customHeight="1" x14ac:dyDescent="0.25">
      <c r="A10" t="str">
        <f t="shared" si="1"/>
        <v>A LONEIRA S.A.</v>
      </c>
      <c r="C10" s="66">
        <f t="shared" si="2"/>
        <v>2123360</v>
      </c>
      <c r="D10" s="24">
        <f t="shared" si="3"/>
        <v>1415.5733333333333</v>
      </c>
      <c r="E10" s="50">
        <f t="shared" si="0"/>
        <v>3.0487227197203162E-4</v>
      </c>
      <c r="F10" s="51"/>
    </row>
    <row r="11" spans="1:6" ht="15.75" customHeight="1" x14ac:dyDescent="0.25">
      <c r="A11" t="str">
        <f t="shared" si="1"/>
        <v>ABB S.A.U.</v>
      </c>
      <c r="C11" s="66">
        <f t="shared" si="2"/>
        <v>5560033.21</v>
      </c>
      <c r="D11" s="24">
        <f t="shared" si="3"/>
        <v>3706.6888066666666</v>
      </c>
      <c r="E11" s="50">
        <f t="shared" si="0"/>
        <v>7.9831020503948842E-4</v>
      </c>
      <c r="F11" s="51"/>
    </row>
    <row r="12" spans="1:6" ht="15.75" customHeight="1" x14ac:dyDescent="0.25">
      <c r="A12" t="str">
        <f t="shared" si="1"/>
        <v>ABBOUD MARCELO BANAIOT</v>
      </c>
      <c r="C12" s="66">
        <f t="shared" si="2"/>
        <v>11692073.970000001</v>
      </c>
      <c r="D12" s="24">
        <f t="shared" si="3"/>
        <v>7794.7159800000009</v>
      </c>
      <c r="E12" s="50">
        <f t="shared" si="0"/>
        <v>1.6787493196155868E-3</v>
      </c>
      <c r="F12" s="51"/>
    </row>
    <row r="13" spans="1:6" ht="15.75" customHeight="1" x14ac:dyDescent="0.25">
      <c r="A13" t="str">
        <f t="shared" si="1"/>
        <v>ABETE Y CIA. S.A.</v>
      </c>
      <c r="C13" s="66">
        <f t="shared" si="2"/>
        <v>2472167.2999999998</v>
      </c>
      <c r="D13" s="24">
        <f t="shared" si="3"/>
        <v>1648.1115333333332</v>
      </c>
      <c r="E13" s="50">
        <f t="shared" si="0"/>
        <v>3.5495406405223941E-4</v>
      </c>
      <c r="F13" s="51"/>
    </row>
    <row r="14" spans="1:6" ht="15.75" customHeight="1" x14ac:dyDescent="0.25">
      <c r="A14" t="str">
        <f t="shared" si="1"/>
        <v>ABREU JOSE LUIS</v>
      </c>
      <c r="C14" s="66">
        <f t="shared" si="2"/>
        <v>6935388.7999999998</v>
      </c>
      <c r="D14" s="24">
        <f t="shared" si="3"/>
        <v>4623.5925333333334</v>
      </c>
      <c r="E14" s="50">
        <f t="shared" si="0"/>
        <v>9.9578391816054854E-4</v>
      </c>
      <c r="F14" s="51"/>
    </row>
    <row r="15" spans="1:6" ht="15.75" customHeight="1" x14ac:dyDescent="0.25">
      <c r="A15" t="str">
        <f t="shared" si="1"/>
        <v>ACUPRI S. R. L</v>
      </c>
      <c r="C15" s="66">
        <f t="shared" si="2"/>
        <v>10841600</v>
      </c>
      <c r="D15" s="24">
        <f t="shared" si="3"/>
        <v>7227.7333333333336</v>
      </c>
      <c r="E15" s="50">
        <f t="shared" si="0"/>
        <v>1.5566381696047672E-3</v>
      </c>
      <c r="F15" s="51"/>
    </row>
    <row r="16" spans="1:6" ht="15.75" customHeight="1" x14ac:dyDescent="0.25">
      <c r="A16" t="str">
        <f t="shared" si="1"/>
        <v>ALEM LISANDRO</v>
      </c>
      <c r="C16" s="66">
        <f t="shared" si="2"/>
        <v>2635720</v>
      </c>
      <c r="D16" s="24">
        <f t="shared" si="3"/>
        <v>1757.1466666666668</v>
      </c>
      <c r="E16" s="50">
        <f t="shared" si="0"/>
        <v>3.7843697944866785E-4</v>
      </c>
      <c r="F16" s="51"/>
    </row>
    <row r="17" spans="1:6" ht="15.75" customHeight="1" x14ac:dyDescent="0.25">
      <c r="A17" t="str">
        <f t="shared" si="1"/>
        <v>ALLENDE Y BREA SOCIEDAD CIVIL</v>
      </c>
      <c r="C17" s="66">
        <f t="shared" si="2"/>
        <v>189515.15</v>
      </c>
      <c r="D17" s="24">
        <f t="shared" si="3"/>
        <v>126.34343333333332</v>
      </c>
      <c r="E17" s="50">
        <f t="shared" si="0"/>
        <v>2.7210606940707357E-5</v>
      </c>
      <c r="F17" s="51"/>
    </row>
    <row r="18" spans="1:6" ht="15.75" customHeight="1" x14ac:dyDescent="0.25">
      <c r="A18" t="str">
        <f t="shared" si="1"/>
        <v>ALMACEN NAVAL ELENA SRL</v>
      </c>
      <c r="C18" s="66">
        <f t="shared" si="2"/>
        <v>94462.28</v>
      </c>
      <c r="D18" s="24">
        <f t="shared" si="3"/>
        <v>62.974853333333336</v>
      </c>
      <c r="E18" s="50">
        <f t="shared" si="0"/>
        <v>1.3562904980435823E-5</v>
      </c>
      <c r="F18" s="51"/>
    </row>
    <row r="19" spans="1:6" ht="15.75" customHeight="1" x14ac:dyDescent="0.25">
      <c r="A19" t="str">
        <f t="shared" si="1"/>
        <v>ALPAHELI S.R.L.</v>
      </c>
      <c r="C19" s="66">
        <f t="shared" si="2"/>
        <v>1717000</v>
      </c>
      <c r="D19" s="24">
        <f t="shared" si="3"/>
        <v>1144.6666666666667</v>
      </c>
      <c r="E19" s="50">
        <f t="shared" si="0"/>
        <v>2.4652705663475734E-4</v>
      </c>
      <c r="F19" s="51"/>
    </row>
    <row r="20" spans="1:6" ht="15.75" customHeight="1" x14ac:dyDescent="0.25">
      <c r="A20" t="str">
        <f t="shared" si="1"/>
        <v>ALTA DISTRIBUCION SA</v>
      </c>
      <c r="C20" s="66">
        <f t="shared" si="2"/>
        <v>660480.88</v>
      </c>
      <c r="D20" s="24">
        <f t="shared" si="3"/>
        <v>440.32058666666666</v>
      </c>
      <c r="E20" s="50">
        <f t="shared" si="0"/>
        <v>9.4831920390177268E-5</v>
      </c>
      <c r="F20" s="51"/>
    </row>
    <row r="21" spans="1:6" ht="15.75" customHeight="1" x14ac:dyDescent="0.25">
      <c r="A21" t="str">
        <f t="shared" si="1"/>
        <v>ALTIUS ARGENTINA S.A</v>
      </c>
      <c r="C21" s="66">
        <f t="shared" si="2"/>
        <v>8047412.2800000003</v>
      </c>
      <c r="D21" s="24">
        <f t="shared" si="3"/>
        <v>5364.9415200000003</v>
      </c>
      <c r="E21" s="50">
        <f t="shared" si="0"/>
        <v>1.1554483767704147E-3</v>
      </c>
      <c r="F21" s="51"/>
    </row>
    <row r="22" spans="1:6" ht="15.75" customHeight="1" x14ac:dyDescent="0.25">
      <c r="A22" t="str">
        <f t="shared" si="1"/>
        <v>AMX ARGENTINA S.A. (CAE)</v>
      </c>
      <c r="C22" s="66">
        <f t="shared" si="2"/>
        <v>282299.19</v>
      </c>
      <c r="D22" s="24">
        <f t="shared" si="3"/>
        <v>188.19945999999999</v>
      </c>
      <c r="E22" s="50">
        <f t="shared" si="0"/>
        <v>4.0532550029747305E-5</v>
      </c>
      <c r="F22" s="51"/>
    </row>
    <row r="23" spans="1:6" ht="15.75" customHeight="1" x14ac:dyDescent="0.25">
      <c r="A23" t="str">
        <f t="shared" si="1"/>
        <v>ANDRADE RICARDO ALBERTO</v>
      </c>
      <c r="C23" s="66">
        <f t="shared" si="2"/>
        <v>3385000</v>
      </c>
      <c r="D23" s="24">
        <f t="shared" si="3"/>
        <v>2256.6666666666665</v>
      </c>
      <c r="E23" s="50">
        <f t="shared" si="0"/>
        <v>4.8601868765792285E-4</v>
      </c>
      <c r="F23" s="51"/>
    </row>
    <row r="24" spans="1:6" ht="15.75" customHeight="1" x14ac:dyDescent="0.25">
      <c r="A24" t="str">
        <f t="shared" si="1"/>
        <v>ANTONIO PORPIGLIA SA</v>
      </c>
      <c r="C24" s="66">
        <f t="shared" si="2"/>
        <v>477363.36</v>
      </c>
      <c r="D24" s="24">
        <f t="shared" si="3"/>
        <v>318.24223999999998</v>
      </c>
      <c r="E24" s="50">
        <f t="shared" si="0"/>
        <v>6.8539885897541091E-5</v>
      </c>
      <c r="F24" s="51"/>
    </row>
    <row r="25" spans="1:6" ht="15.75" customHeight="1" x14ac:dyDescent="0.25">
      <c r="A25" t="str">
        <f t="shared" si="1"/>
        <v>ARCANGEL SAN MIGUEL S R L</v>
      </c>
      <c r="C25" s="66">
        <f t="shared" si="2"/>
        <v>30008000</v>
      </c>
      <c r="D25" s="24">
        <f t="shared" si="3"/>
        <v>20005.333333333332</v>
      </c>
      <c r="E25" s="50">
        <f t="shared" si="0"/>
        <v>4.3085520765846234E-3</v>
      </c>
      <c r="F25" s="51"/>
    </row>
    <row r="26" spans="1:6" ht="15.75" customHeight="1" x14ac:dyDescent="0.25">
      <c r="A26" t="str">
        <f t="shared" si="1"/>
        <v>ARRIVIAMO S.A.S.</v>
      </c>
      <c r="C26" s="66">
        <f t="shared" si="2"/>
        <v>333960</v>
      </c>
      <c r="D26" s="24">
        <f t="shared" si="3"/>
        <v>222.64</v>
      </c>
      <c r="E26" s="50">
        <f t="shared" si="0"/>
        <v>4.795001504586113E-5</v>
      </c>
      <c r="F26" s="51"/>
    </row>
    <row r="27" spans="1:6" ht="15.75" customHeight="1" x14ac:dyDescent="0.25">
      <c r="A27" t="str">
        <f t="shared" si="1"/>
        <v>ASOCIACION CAMARA DE LA INDUSTRIA PESQUERA ARGENTINA</v>
      </c>
      <c r="C27" s="66">
        <f t="shared" si="2"/>
        <v>2560000</v>
      </c>
      <c r="D27" s="24">
        <f t="shared" si="3"/>
        <v>1706.6666666666667</v>
      </c>
      <c r="E27" s="50">
        <f t="shared" si="0"/>
        <v>3.6756509317704066E-4</v>
      </c>
      <c r="F27" s="51"/>
    </row>
    <row r="28" spans="1:6" ht="15.75" customHeight="1" x14ac:dyDescent="0.25">
      <c r="A28" t="str">
        <f t="shared" si="1"/>
        <v>ASSISTANCE FOOD ARGENTINA SA</v>
      </c>
      <c r="C28" s="66">
        <f t="shared" si="2"/>
        <v>738342</v>
      </c>
      <c r="D28" s="24">
        <f t="shared" si="3"/>
        <v>492.22800000000001</v>
      </c>
      <c r="E28" s="50">
        <f t="shared" si="0"/>
        <v>1.0601122891661037E-4</v>
      </c>
      <c r="F28" s="51"/>
    </row>
    <row r="29" spans="1:6" ht="15.75" customHeight="1" x14ac:dyDescent="0.25">
      <c r="A29" t="str">
        <f t="shared" si="1"/>
        <v>ASTILLERO DE ANGELIS S.A.</v>
      </c>
      <c r="C29" s="66">
        <f t="shared" si="2"/>
        <v>3146000</v>
      </c>
      <c r="D29" s="24">
        <f t="shared" si="3"/>
        <v>2097.3333333333335</v>
      </c>
      <c r="E29" s="50">
        <f t="shared" si="0"/>
        <v>4.5170304028709763E-4</v>
      </c>
      <c r="F29" s="51"/>
    </row>
    <row r="30" spans="1:6" ht="15.75" customHeight="1" x14ac:dyDescent="0.25">
      <c r="A30" t="str">
        <f t="shared" si="1"/>
        <v>ASTILLERO NAVAL FEDERICO CONTESSI Y CIA SA.</v>
      </c>
      <c r="C30" s="66">
        <f t="shared" si="2"/>
        <v>3592786.9</v>
      </c>
      <c r="D30" s="24">
        <f t="shared" si="3"/>
        <v>2395.1912666666667</v>
      </c>
      <c r="E30" s="50">
        <f t="shared" si="0"/>
        <v>5.1585275455615272E-4</v>
      </c>
      <c r="F30" s="51"/>
    </row>
    <row r="31" spans="1:6" ht="15.75" customHeight="1" x14ac:dyDescent="0.25">
      <c r="A31" t="str">
        <f t="shared" si="1"/>
        <v>ATLANTIS ELECTRONICS CORP</v>
      </c>
      <c r="C31" s="66">
        <f t="shared" si="2"/>
        <v>72626924.159999996</v>
      </c>
      <c r="D31" s="24">
        <f t="shared" si="3"/>
        <v>48417.949439999997</v>
      </c>
      <c r="E31" s="50">
        <f t="shared" si="0"/>
        <v>1.0427782088293853E-2</v>
      </c>
      <c r="F31" s="51"/>
    </row>
    <row r="32" spans="1:6" ht="15.75" customHeight="1" x14ac:dyDescent="0.25">
      <c r="A32" t="str">
        <f t="shared" si="1"/>
        <v>AUTOVIA 3 S.A.</v>
      </c>
      <c r="C32" s="66">
        <f t="shared" si="2"/>
        <v>999702</v>
      </c>
      <c r="D32" s="24">
        <f t="shared" si="3"/>
        <v>666.46799999999996</v>
      </c>
      <c r="E32" s="50">
        <f t="shared" si="0"/>
        <v>1.4353732764815387E-4</v>
      </c>
      <c r="F32" s="51"/>
    </row>
    <row r="33" spans="1:6" ht="15.75" customHeight="1" x14ac:dyDescent="0.25">
      <c r="A33" t="str">
        <f t="shared" si="1"/>
        <v>BALIÑA GERARDO DANIEL</v>
      </c>
      <c r="C33" s="66">
        <f t="shared" si="2"/>
        <v>35000</v>
      </c>
      <c r="D33" s="24">
        <f t="shared" si="3"/>
        <v>23.333333333333332</v>
      </c>
      <c r="E33" s="50">
        <f t="shared" si="0"/>
        <v>5.0253040082798522E-6</v>
      </c>
      <c r="F33" s="51"/>
    </row>
    <row r="34" spans="1:6" ht="15.75" customHeight="1" x14ac:dyDescent="0.25">
      <c r="A34" t="str">
        <f t="shared" si="1"/>
        <v>BALIÑA GERARDO DANIEL</v>
      </c>
      <c r="C34" s="66">
        <f t="shared" si="2"/>
        <v>1050000.01</v>
      </c>
      <c r="D34" s="24">
        <f t="shared" si="3"/>
        <v>700.00000666666665</v>
      </c>
      <c r="E34" s="50">
        <f t="shared" si="0"/>
        <v>1.5075912168419672E-4</v>
      </c>
      <c r="F34" s="51"/>
    </row>
    <row r="35" spans="1:6" ht="15.75" customHeight="1" x14ac:dyDescent="0.25">
      <c r="A35" t="str">
        <f t="shared" si="1"/>
        <v>BARCIO JORGE EDUARDO</v>
      </c>
      <c r="C35" s="66">
        <f t="shared" si="2"/>
        <v>163350</v>
      </c>
      <c r="D35" s="24">
        <f t="shared" si="3"/>
        <v>108.9</v>
      </c>
      <c r="E35" s="50">
        <f t="shared" si="0"/>
        <v>2.3453811707214685E-5</v>
      </c>
      <c r="F35" s="51"/>
    </row>
    <row r="36" spans="1:6" ht="15.75" customHeight="1" x14ac:dyDescent="0.25">
      <c r="A36" t="str">
        <f t="shared" si="1"/>
        <v>BARTOLOMEO ALBERTO ANGEL</v>
      </c>
      <c r="C36" s="66">
        <f t="shared" si="2"/>
        <v>1301443.75</v>
      </c>
      <c r="D36" s="24">
        <f t="shared" si="3"/>
        <v>867.62916666666672</v>
      </c>
      <c r="E36" s="50">
        <f t="shared" si="0"/>
        <v>1.8686144266930751E-4</v>
      </c>
      <c r="F36" s="51"/>
    </row>
    <row r="37" spans="1:6" ht="15.75" customHeight="1" x14ac:dyDescent="0.25">
      <c r="A37" t="str">
        <f t="shared" si="1"/>
        <v>BASUALDO MATIAS RAFAEL</v>
      </c>
      <c r="C37" s="66">
        <f t="shared" si="2"/>
        <v>68500</v>
      </c>
      <c r="D37" s="24">
        <f t="shared" si="3"/>
        <v>45.666666666666664</v>
      </c>
      <c r="E37" s="50">
        <f t="shared" si="0"/>
        <v>9.8352378447762819E-6</v>
      </c>
      <c r="F37" s="51"/>
    </row>
    <row r="38" spans="1:6" ht="15.75" customHeight="1" x14ac:dyDescent="0.25">
      <c r="A38" t="str">
        <f t="shared" si="1"/>
        <v>BELLA VISTA DEL MAR MDQ S.R.L.</v>
      </c>
      <c r="C38" s="66">
        <f t="shared" si="2"/>
        <v>1879194.56</v>
      </c>
      <c r="D38" s="24">
        <f t="shared" si="3"/>
        <v>1252.7963733333333</v>
      </c>
      <c r="E38" s="50">
        <f t="shared" si="0"/>
        <v>2.6981497013444842E-4</v>
      </c>
      <c r="F38" s="51"/>
    </row>
    <row r="39" spans="1:6" ht="15.75" customHeight="1" x14ac:dyDescent="0.25">
      <c r="A39" t="str">
        <f t="shared" si="1"/>
        <v>BENEDETTO PELOSI S. A</v>
      </c>
      <c r="C39" s="66">
        <f t="shared" si="2"/>
        <v>1706862.55</v>
      </c>
      <c r="D39" s="24">
        <f t="shared" si="3"/>
        <v>1137.9083666666668</v>
      </c>
      <c r="E39" s="50">
        <f t="shared" si="0"/>
        <v>2.4507152040279347E-4</v>
      </c>
      <c r="F39" s="51"/>
    </row>
    <row r="40" spans="1:6" ht="15.75" customHeight="1" x14ac:dyDescent="0.25">
      <c r="A40" t="str">
        <f t="shared" si="1"/>
        <v>BENGOCHEA JORGE GABRIEL</v>
      </c>
      <c r="C40" s="66">
        <f t="shared" si="2"/>
        <v>1422950.32</v>
      </c>
      <c r="D40" s="24">
        <f t="shared" si="3"/>
        <v>948.63354666666669</v>
      </c>
      <c r="E40" s="50">
        <f t="shared" si="0"/>
        <v>2.0430736990511712E-4</v>
      </c>
      <c r="F40" s="51"/>
    </row>
    <row r="41" spans="1:6" ht="15.75" customHeight="1" x14ac:dyDescent="0.25">
      <c r="A41" t="str">
        <f t="shared" si="1"/>
        <v>BENITEZ PABLO DAMIAN</v>
      </c>
      <c r="C41" s="66">
        <f t="shared" si="2"/>
        <v>591690</v>
      </c>
      <c r="D41" s="24">
        <f t="shared" si="3"/>
        <v>394.46</v>
      </c>
      <c r="E41" s="50">
        <f t="shared" si="0"/>
        <v>8.4954917961688745E-5</v>
      </c>
      <c r="F41" s="51"/>
    </row>
    <row r="42" spans="1:6" ht="15.75" customHeight="1" x14ac:dyDescent="0.25">
      <c r="A42" t="str">
        <f t="shared" si="1"/>
        <v>BERNABEU SONIA</v>
      </c>
      <c r="C42" s="66">
        <f t="shared" si="2"/>
        <v>5803402</v>
      </c>
      <c r="D42" s="24">
        <f t="shared" si="3"/>
        <v>3868.9346666666665</v>
      </c>
      <c r="E42" s="50">
        <f t="shared" si="0"/>
        <v>8.3325312377883749E-4</v>
      </c>
      <c r="F42" s="51"/>
    </row>
    <row r="43" spans="1:6" ht="15.75" customHeight="1" x14ac:dyDescent="0.25">
      <c r="A43" t="str">
        <f t="shared" si="1"/>
        <v>BIANCHI LUCIA DEL CARMEN</v>
      </c>
      <c r="C43" s="66">
        <f t="shared" si="2"/>
        <v>1963421.75</v>
      </c>
      <c r="D43" s="24">
        <f t="shared" si="3"/>
        <v>1308.9478333333334</v>
      </c>
      <c r="E43" s="50">
        <f t="shared" si="0"/>
        <v>2.8190831972053839E-4</v>
      </c>
      <c r="F43" s="51"/>
    </row>
    <row r="44" spans="1:6" ht="15.75" customHeight="1" x14ac:dyDescent="0.25">
      <c r="A44" t="str">
        <f t="shared" si="1"/>
        <v>BIOMADRYN</v>
      </c>
      <c r="C44" s="66">
        <f t="shared" si="2"/>
        <v>97768</v>
      </c>
      <c r="D44" s="24">
        <f t="shared" si="3"/>
        <v>65.178666666666672</v>
      </c>
      <c r="E44" s="50">
        <f t="shared" si="0"/>
        <v>1.403754063661442E-5</v>
      </c>
      <c r="F44" s="51"/>
    </row>
    <row r="45" spans="1:6" ht="15.75" customHeight="1" x14ac:dyDescent="0.25">
      <c r="A45" t="str">
        <f t="shared" si="1"/>
        <v>BUENOS AIRES EXPRESS S.R.L.</v>
      </c>
      <c r="C45" s="66">
        <f t="shared" si="2"/>
        <v>168240.04</v>
      </c>
      <c r="D45" s="24">
        <f t="shared" si="3"/>
        <v>112.16002666666667</v>
      </c>
      <c r="E45" s="50">
        <f t="shared" si="0"/>
        <v>2.4155924210433222E-5</v>
      </c>
      <c r="F45" s="51"/>
    </row>
    <row r="46" spans="1:6" ht="15.75" customHeight="1" x14ac:dyDescent="0.25">
      <c r="A46" t="str">
        <f t="shared" si="1"/>
        <v>BUIZ LEONARDO RAUL</v>
      </c>
      <c r="C46" s="66">
        <f t="shared" si="2"/>
        <v>1263801.44</v>
      </c>
      <c r="D46" s="24">
        <f t="shared" si="3"/>
        <v>842.53429333333327</v>
      </c>
      <c r="E46" s="50">
        <f t="shared" si="0"/>
        <v>1.8145675548862428E-4</v>
      </c>
      <c r="F46" s="51"/>
    </row>
    <row r="47" spans="1:6" ht="15.75" customHeight="1" x14ac:dyDescent="0.25">
      <c r="A47" t="str">
        <f t="shared" si="1"/>
        <v>BULLBLACK SA</v>
      </c>
      <c r="C47" s="66">
        <f t="shared" si="2"/>
        <v>19482422.960000001</v>
      </c>
      <c r="D47" s="24">
        <f t="shared" si="3"/>
        <v>12988.281973333334</v>
      </c>
      <c r="E47" s="50">
        <f t="shared" si="0"/>
        <v>2.7972885197683271E-3</v>
      </c>
      <c r="F47" s="51"/>
    </row>
    <row r="48" spans="1:6" ht="15.75" customHeight="1" x14ac:dyDescent="0.25">
      <c r="A48" t="str">
        <f t="shared" si="1"/>
        <v>CABRALES S.A.</v>
      </c>
      <c r="C48" s="66">
        <f t="shared" si="2"/>
        <v>3056699.43</v>
      </c>
      <c r="D48" s="24">
        <f t="shared" si="3"/>
        <v>2037.79962</v>
      </c>
      <c r="E48" s="50">
        <f t="shared" si="0"/>
        <v>4.388812542195926E-4</v>
      </c>
      <c r="F48" s="51"/>
    </row>
    <row r="49" spans="1:6" ht="15.75" customHeight="1" x14ac:dyDescent="0.25">
      <c r="A49" t="str">
        <f t="shared" si="1"/>
        <v>CAJIDE JAVIER</v>
      </c>
      <c r="C49" s="66">
        <f t="shared" si="2"/>
        <v>519501.4</v>
      </c>
      <c r="D49" s="24">
        <f t="shared" si="3"/>
        <v>346.33426666666668</v>
      </c>
      <c r="E49" s="50">
        <f t="shared" si="0"/>
        <v>7.4590070506485581E-5</v>
      </c>
      <c r="F49" s="51"/>
    </row>
    <row r="50" spans="1:6" ht="15.75" customHeight="1" x14ac:dyDescent="0.25">
      <c r="A50" t="str">
        <f t="shared" si="1"/>
        <v>CANALES ARIEL CESAR LUIS</v>
      </c>
      <c r="C50" s="66">
        <f t="shared" si="2"/>
        <v>8788360.7899999991</v>
      </c>
      <c r="D50" s="24">
        <f t="shared" si="3"/>
        <v>5858.9071933333325</v>
      </c>
      <c r="E50" s="50">
        <f t="shared" si="0"/>
        <v>1.2618338486913281E-3</v>
      </c>
      <c r="F50" s="51"/>
    </row>
    <row r="51" spans="1:6" ht="15.75" customHeight="1" x14ac:dyDescent="0.25">
      <c r="A51" t="str">
        <f t="shared" si="1"/>
        <v>CAPIZZANO ALEJANDRO LUIS</v>
      </c>
      <c r="C51" s="66">
        <f t="shared" si="2"/>
        <v>5834117.8499999996</v>
      </c>
      <c r="D51" s="24">
        <f t="shared" si="3"/>
        <v>3889.4118999999996</v>
      </c>
      <c r="E51" s="50">
        <f t="shared" si="0"/>
        <v>8.376633090394867E-4</v>
      </c>
      <c r="F51" s="51"/>
    </row>
    <row r="52" spans="1:6" ht="15.75" customHeight="1" x14ac:dyDescent="0.25">
      <c r="A52" t="str">
        <f t="shared" si="1"/>
        <v>CARGAS MARITIMAS INTERNACIONALES SA</v>
      </c>
      <c r="C52" s="66">
        <f t="shared" si="2"/>
        <v>29942386.879999999</v>
      </c>
      <c r="D52" s="24">
        <f t="shared" si="3"/>
        <v>19961.591253333332</v>
      </c>
      <c r="E52" s="50">
        <f t="shared" si="0"/>
        <v>4.2991313373008586E-3</v>
      </c>
      <c r="F52" s="51"/>
    </row>
    <row r="53" spans="1:6" ht="15.75" customHeight="1" x14ac:dyDescent="0.25">
      <c r="A53" t="str">
        <f t="shared" si="1"/>
        <v>CARGO NET LOGISTIC S A</v>
      </c>
      <c r="C53" s="66">
        <f t="shared" si="2"/>
        <v>-0.01</v>
      </c>
      <c r="D53" s="24">
        <f t="shared" si="3"/>
        <v>-6.6666666666666666E-6</v>
      </c>
      <c r="E53" s="50">
        <f t="shared" si="0"/>
        <v>-1.4358011452228151E-12</v>
      </c>
      <c r="F53" s="51"/>
    </row>
    <row r="54" spans="1:6" ht="15.75" customHeight="1" x14ac:dyDescent="0.25">
      <c r="A54" t="str">
        <f t="shared" si="1"/>
        <v>CARTONERIA ACEVEDO SACI</v>
      </c>
      <c r="C54" s="66">
        <f t="shared" si="2"/>
        <v>75326419.170000002</v>
      </c>
      <c r="D54" s="24">
        <f t="shared" si="3"/>
        <v>50217.612780000003</v>
      </c>
      <c r="E54" s="50">
        <f t="shared" si="0"/>
        <v>1.0815375890981981E-2</v>
      </c>
      <c r="F54" s="51"/>
    </row>
    <row r="55" spans="1:6" ht="15.75" customHeight="1" x14ac:dyDescent="0.25">
      <c r="A55" t="str">
        <f t="shared" si="1"/>
        <v>CASA BLANCO S.A.</v>
      </c>
      <c r="C55" s="66">
        <f t="shared" si="2"/>
        <v>17854474.039999999</v>
      </c>
      <c r="D55" s="24">
        <f t="shared" si="3"/>
        <v>11902.982693333333</v>
      </c>
      <c r="E55" s="50">
        <f t="shared" si="0"/>
        <v>2.5635474273983023E-3</v>
      </c>
      <c r="F55" s="51"/>
    </row>
    <row r="56" spans="1:6" ht="15.75" customHeight="1" x14ac:dyDescent="0.25">
      <c r="A56" t="str">
        <f t="shared" si="1"/>
        <v>CASA MINGO S.R.L.</v>
      </c>
      <c r="C56" s="66">
        <f t="shared" si="2"/>
        <v>2337855.52</v>
      </c>
      <c r="D56" s="24">
        <f t="shared" si="3"/>
        <v>1558.5703466666666</v>
      </c>
      <c r="E56" s="50">
        <f t="shared" si="0"/>
        <v>3.3566956329814795E-4</v>
      </c>
      <c r="F56" s="51"/>
    </row>
    <row r="57" spans="1:6" ht="15.75" customHeight="1" x14ac:dyDescent="0.25">
      <c r="A57" t="str">
        <f t="shared" si="1"/>
        <v>CIMSA SERVICIOS S.R.L</v>
      </c>
      <c r="C57" s="66">
        <f t="shared" si="2"/>
        <v>4569095.58</v>
      </c>
      <c r="D57" s="24">
        <f t="shared" si="3"/>
        <v>3046.0637200000001</v>
      </c>
      <c r="E57" s="50">
        <f t="shared" si="0"/>
        <v>6.5603126663965031E-4</v>
      </c>
      <c r="F57" s="51"/>
    </row>
    <row r="58" spans="1:6" ht="15.75" customHeight="1" x14ac:dyDescent="0.25">
      <c r="A58" t="str">
        <f t="shared" si="1"/>
        <v>CITYSSAN S.A.</v>
      </c>
      <c r="C58" s="66">
        <f t="shared" si="2"/>
        <v>542744.88</v>
      </c>
      <c r="D58" s="24">
        <f t="shared" si="3"/>
        <v>361.82992000000002</v>
      </c>
      <c r="E58" s="50">
        <f t="shared" si="0"/>
        <v>7.792737202678194E-5</v>
      </c>
      <c r="F58" s="51"/>
    </row>
    <row r="59" spans="1:6" ht="15.75" customHeight="1" x14ac:dyDescent="0.25">
      <c r="A59" t="str">
        <f t="shared" si="1"/>
        <v>CLUB MOTONAUTICA MAR DEL PLATA</v>
      </c>
      <c r="C59" s="66">
        <f t="shared" si="2"/>
        <v>423770</v>
      </c>
      <c r="D59" s="24">
        <f t="shared" si="3"/>
        <v>282.51333333333332</v>
      </c>
      <c r="E59" s="50">
        <f t="shared" si="0"/>
        <v>6.084494513110723E-5</v>
      </c>
      <c r="F59" s="51"/>
    </row>
    <row r="60" spans="1:6" ht="15.75" customHeight="1" x14ac:dyDescent="0.25">
      <c r="A60" t="str">
        <f t="shared" si="1"/>
        <v>CMA CGM ARGENTINA S.A.</v>
      </c>
      <c r="C60" s="66">
        <f t="shared" si="2"/>
        <v>217</v>
      </c>
      <c r="D60" s="24">
        <f t="shared" si="3"/>
        <v>0.14466666666666667</v>
      </c>
      <c r="E60" s="50">
        <f t="shared" si="0"/>
        <v>3.1156884851335089E-8</v>
      </c>
      <c r="F60" s="51"/>
    </row>
    <row r="61" spans="1:6" ht="15.75" customHeight="1" x14ac:dyDescent="0.25">
      <c r="A61" t="str">
        <f t="shared" si="1"/>
        <v>COMERCIAL DEL MAR S.A.</v>
      </c>
      <c r="C61" s="66">
        <f t="shared" si="2"/>
        <v>1231795.43</v>
      </c>
      <c r="D61" s="24">
        <f t="shared" si="3"/>
        <v>821.19695333333334</v>
      </c>
      <c r="E61" s="50">
        <f t="shared" si="0"/>
        <v>1.76861328907423E-4</v>
      </c>
      <c r="F61" s="51"/>
    </row>
    <row r="62" spans="1:6" ht="15.75" customHeight="1" x14ac:dyDescent="0.25">
      <c r="A62" t="str">
        <f t="shared" si="1"/>
        <v>CONCA HUGO CESAR</v>
      </c>
      <c r="C62" s="66">
        <f t="shared" si="2"/>
        <v>646227.12</v>
      </c>
      <c r="D62" s="24">
        <f t="shared" si="3"/>
        <v>430.81808000000001</v>
      </c>
      <c r="E62" s="50">
        <f t="shared" si="0"/>
        <v>9.278536389700415E-5</v>
      </c>
      <c r="F62" s="51"/>
    </row>
    <row r="63" spans="1:6" ht="15.75" customHeight="1" x14ac:dyDescent="0.25">
      <c r="A63" t="str">
        <f t="shared" si="1"/>
        <v>CONSORCIO PORTUARIO REGIONAL DE MAR DEL PLATA</v>
      </c>
      <c r="C63" s="66">
        <f t="shared" si="2"/>
        <v>32521833.84</v>
      </c>
      <c r="D63" s="24">
        <f t="shared" si="3"/>
        <v>21681.222559999998</v>
      </c>
      <c r="E63" s="50">
        <f t="shared" si="0"/>
        <v>4.6694886272218095E-3</v>
      </c>
      <c r="F63" s="51"/>
    </row>
    <row r="64" spans="1:6" ht="15.75" customHeight="1" x14ac:dyDescent="0.25">
      <c r="A64" t="str">
        <f t="shared" si="1"/>
        <v>CONSTRUCCIONES Y PROYECTOS NAVAL. TEC.S.A.</v>
      </c>
      <c r="C64" s="66">
        <f t="shared" si="2"/>
        <v>4522375</v>
      </c>
      <c r="D64" s="24">
        <f t="shared" si="3"/>
        <v>3014.9166666666665</v>
      </c>
      <c r="E64" s="50">
        <f t="shared" si="0"/>
        <v>6.4932312041270275E-4</v>
      </c>
      <c r="F64" s="51"/>
    </row>
    <row r="65" spans="1:6" ht="15.75" customHeight="1" x14ac:dyDescent="0.25">
      <c r="A65" t="str">
        <f t="shared" si="1"/>
        <v>CONSULTORA GESTAM MDP SA</v>
      </c>
      <c r="C65" s="66">
        <f t="shared" si="2"/>
        <v>3826988</v>
      </c>
      <c r="D65" s="24">
        <f t="shared" si="3"/>
        <v>2551.3253333333332</v>
      </c>
      <c r="E65" s="50">
        <f t="shared" si="0"/>
        <v>5.4947937531539699E-4</v>
      </c>
      <c r="F65" s="51"/>
    </row>
    <row r="66" spans="1:6" ht="15.75" customHeight="1" x14ac:dyDescent="0.25">
      <c r="A66" t="str">
        <f t="shared" si="1"/>
        <v>CONTI SOFIA</v>
      </c>
      <c r="C66" s="66">
        <f t="shared" si="2"/>
        <v>900000</v>
      </c>
      <c r="D66" s="24">
        <f t="shared" si="3"/>
        <v>600</v>
      </c>
      <c r="E66" s="50">
        <f t="shared" si="0"/>
        <v>1.2922210307005335E-4</v>
      </c>
      <c r="F66" s="51"/>
    </row>
    <row r="67" spans="1:6" ht="15.75" customHeight="1" x14ac:dyDescent="0.25">
      <c r="A67" t="str">
        <f t="shared" si="1"/>
        <v>COOP. DE TRABAJO PUCARA LIMITADA</v>
      </c>
      <c r="C67" s="66">
        <f t="shared" si="2"/>
        <v>122810000</v>
      </c>
      <c r="D67" s="24">
        <f t="shared" si="3"/>
        <v>81873.333333333328</v>
      </c>
      <c r="E67" s="50">
        <f t="shared" si="0"/>
        <v>1.7633073864481392E-2</v>
      </c>
      <c r="F67" s="51"/>
    </row>
    <row r="68" spans="1:6" ht="15.75" customHeight="1" x14ac:dyDescent="0.25">
      <c r="A68" t="str">
        <f t="shared" si="1"/>
        <v>COOPERATIVA DE TRABAJO DE ESTIBAJE HIPOCOOP LTDA</v>
      </c>
      <c r="C68" s="66">
        <f t="shared" si="2"/>
        <v>235091426.02000001</v>
      </c>
      <c r="D68" s="24">
        <f t="shared" si="3"/>
        <v>156727.61734666667</v>
      </c>
      <c r="E68" s="50">
        <f t="shared" si="0"/>
        <v>3.3754453871158073E-2</v>
      </c>
      <c r="F68" s="51"/>
    </row>
    <row r="69" spans="1:6" ht="15.75" customHeight="1" x14ac:dyDescent="0.25">
      <c r="A69" t="str">
        <f t="shared" si="1"/>
        <v>COOPERATIVA DE TRABAJO DE ESTIBAJE HIPOCOOP LTDA</v>
      </c>
      <c r="C69" s="66">
        <f t="shared" si="2"/>
        <v>174613785.18000001</v>
      </c>
      <c r="D69" s="24">
        <f t="shared" si="3"/>
        <v>116409.19012</v>
      </c>
      <c r="E69" s="50">
        <f t="shared" ref="E69:E132" si="4">+D69/$D$328</f>
        <v>2.5071067273313461E-2</v>
      </c>
      <c r="F69" s="51"/>
    </row>
    <row r="70" spans="1:6" ht="15.75" customHeight="1" x14ac:dyDescent="0.25">
      <c r="A70" t="str">
        <f t="shared" ref="A70:A133" si="5">+B408</f>
        <v>COOPERATIVA DE TRABAJO PARA ACTIVIDADES DEL ESTIBAJE LIMITADA</v>
      </c>
      <c r="C70" s="66">
        <f t="shared" ref="C70:C133" si="6">+K408</f>
        <v>157300</v>
      </c>
      <c r="D70" s="24">
        <f t="shared" ref="D70:D133" si="7">+C70/$D$3</f>
        <v>104.86666666666666</v>
      </c>
      <c r="E70" s="50">
        <f t="shared" si="4"/>
        <v>2.2585152014354878E-5</v>
      </c>
      <c r="F70" s="51"/>
    </row>
    <row r="71" spans="1:6" ht="15.75" customHeight="1" x14ac:dyDescent="0.25">
      <c r="A71" t="str">
        <f t="shared" si="5"/>
        <v>COZZOLI FRANCO MATIAS</v>
      </c>
      <c r="C71" s="66">
        <f t="shared" si="6"/>
        <v>2650000</v>
      </c>
      <c r="D71" s="24">
        <f t="shared" si="7"/>
        <v>1766.6666666666667</v>
      </c>
      <c r="E71" s="50">
        <f t="shared" si="4"/>
        <v>3.8048730348404599E-4</v>
      </c>
      <c r="F71" s="51"/>
    </row>
    <row r="72" spans="1:6" ht="15.75" customHeight="1" x14ac:dyDescent="0.25">
      <c r="A72" t="str">
        <f t="shared" si="5"/>
        <v>CRAITO ARGENTINA SA</v>
      </c>
      <c r="C72" s="66">
        <f t="shared" si="6"/>
        <v>54989815.380000003</v>
      </c>
      <c r="D72" s="24">
        <f t="shared" si="7"/>
        <v>36659.876920000002</v>
      </c>
      <c r="E72" s="50">
        <f t="shared" si="4"/>
        <v>7.8954439898195183E-3</v>
      </c>
      <c r="F72" s="51"/>
    </row>
    <row r="73" spans="1:6" ht="15.75" customHeight="1" x14ac:dyDescent="0.25">
      <c r="A73" t="str">
        <f t="shared" si="5"/>
        <v>CROCE HNOS. AGENTES MARITIMOS S.R.L.</v>
      </c>
      <c r="C73" s="66">
        <f t="shared" si="6"/>
        <v>1489900</v>
      </c>
      <c r="D73" s="24">
        <f t="shared" si="7"/>
        <v>993.26666666666665</v>
      </c>
      <c r="E73" s="50">
        <f t="shared" si="4"/>
        <v>2.1392001262674721E-4</v>
      </c>
      <c r="F73" s="51"/>
    </row>
    <row r="74" spans="1:6" ht="15.75" customHeight="1" x14ac:dyDescent="0.25">
      <c r="A74" t="str">
        <f t="shared" si="5"/>
        <v>CURITIBA SRL</v>
      </c>
      <c r="C74" s="66">
        <f t="shared" si="6"/>
        <v>-204.43</v>
      </c>
      <c r="D74" s="24">
        <f t="shared" si="7"/>
        <v>-0.13628666666666667</v>
      </c>
      <c r="E74" s="50">
        <f t="shared" si="4"/>
        <v>-2.9352082811790007E-8</v>
      </c>
      <c r="F74" s="51"/>
    </row>
    <row r="75" spans="1:6" ht="15.75" customHeight="1" x14ac:dyDescent="0.25">
      <c r="A75" t="str">
        <f t="shared" si="5"/>
        <v>CUYAIRES S.R.L.</v>
      </c>
      <c r="C75" s="66">
        <f t="shared" si="6"/>
        <v>3505115.9</v>
      </c>
      <c r="D75" s="24">
        <f t="shared" si="7"/>
        <v>2336.7439333333332</v>
      </c>
      <c r="E75" s="50">
        <f t="shared" si="4"/>
        <v>5.0326494233586983E-4</v>
      </c>
      <c r="F75" s="51"/>
    </row>
    <row r="76" spans="1:6" ht="15.75" customHeight="1" x14ac:dyDescent="0.25">
      <c r="A76" t="str">
        <f t="shared" si="5"/>
        <v>D ALBIS DARIO OSVALDO</v>
      </c>
      <c r="C76" s="66">
        <f t="shared" si="6"/>
        <v>204974</v>
      </c>
      <c r="D76" s="24">
        <f t="shared" si="7"/>
        <v>136.64933333333335</v>
      </c>
      <c r="E76" s="50">
        <f t="shared" si="4"/>
        <v>2.9430190394090133E-5</v>
      </c>
      <c r="F76" s="51"/>
    </row>
    <row r="77" spans="1:6" ht="15.75" customHeight="1" x14ac:dyDescent="0.25">
      <c r="A77" t="str">
        <f t="shared" si="5"/>
        <v>DANODIS S.A.</v>
      </c>
      <c r="C77" s="66">
        <f t="shared" si="6"/>
        <v>8155564.2000000002</v>
      </c>
      <c r="D77" s="24">
        <f t="shared" si="7"/>
        <v>5437.0428000000002</v>
      </c>
      <c r="E77" s="50">
        <f t="shared" si="4"/>
        <v>1.1709768418298192E-3</v>
      </c>
      <c r="F77" s="51"/>
    </row>
    <row r="78" spans="1:6" ht="15.75" customHeight="1" x14ac:dyDescent="0.25">
      <c r="A78" t="str">
        <f t="shared" si="5"/>
        <v>DATCOM SOLUCIONES TECNOLOGICAS S.A.</v>
      </c>
      <c r="C78" s="66">
        <f t="shared" si="6"/>
        <v>4198700</v>
      </c>
      <c r="D78" s="24">
        <f t="shared" si="7"/>
        <v>2799.1333333333332</v>
      </c>
      <c r="E78" s="50">
        <f t="shared" si="4"/>
        <v>6.028498268447033E-4</v>
      </c>
      <c r="F78" s="51"/>
    </row>
    <row r="79" spans="1:6" ht="15.75" customHeight="1" x14ac:dyDescent="0.25">
      <c r="A79" t="str">
        <f t="shared" si="5"/>
        <v>DAUVERNE LUIS MARIA JULIAN</v>
      </c>
      <c r="C79" s="66">
        <f t="shared" si="6"/>
        <v>906638.91</v>
      </c>
      <c r="D79" s="24">
        <f t="shared" si="7"/>
        <v>604.42593999999997</v>
      </c>
      <c r="E79" s="50">
        <f t="shared" si="4"/>
        <v>1.3017531852815647E-4</v>
      </c>
      <c r="F79" s="51"/>
    </row>
    <row r="80" spans="1:6" ht="15.75" customHeight="1" x14ac:dyDescent="0.25">
      <c r="A80" t="str">
        <f t="shared" si="5"/>
        <v>DEVOMP SRL</v>
      </c>
      <c r="C80" s="66">
        <f t="shared" si="6"/>
        <v>8488509.7400000002</v>
      </c>
      <c r="D80" s="24">
        <f t="shared" si="7"/>
        <v>5659.0064933333333</v>
      </c>
      <c r="E80" s="50">
        <f t="shared" si="4"/>
        <v>1.2187812005927021E-3</v>
      </c>
      <c r="F80" s="51"/>
    </row>
    <row r="81" spans="1:6" ht="15.75" customHeight="1" x14ac:dyDescent="0.25">
      <c r="A81" t="str">
        <f t="shared" si="5"/>
        <v>DHL EXPRESS (ARGENTINA) S.A.</v>
      </c>
      <c r="C81" s="66">
        <f t="shared" si="6"/>
        <v>823898.16</v>
      </c>
      <c r="D81" s="24">
        <f t="shared" si="7"/>
        <v>549.26544000000001</v>
      </c>
      <c r="E81" s="50">
        <f t="shared" si="4"/>
        <v>1.1829539216749701E-4</v>
      </c>
      <c r="F81" s="51"/>
    </row>
    <row r="82" spans="1:6" ht="15.75" customHeight="1" x14ac:dyDescent="0.25">
      <c r="A82" t="str">
        <f t="shared" si="5"/>
        <v>DISTRIBUCION Y PROFESIONALISMO S.A.</v>
      </c>
      <c r="C82" s="66">
        <f t="shared" si="6"/>
        <v>473507.91</v>
      </c>
      <c r="D82" s="24">
        <f t="shared" si="7"/>
        <v>315.67194000000001</v>
      </c>
      <c r="E82" s="50">
        <f t="shared" si="4"/>
        <v>6.7986319945006167E-5</v>
      </c>
      <c r="F82" s="51"/>
    </row>
    <row r="83" spans="1:6" ht="15.75" customHeight="1" x14ac:dyDescent="0.25">
      <c r="A83" t="str">
        <f t="shared" si="5"/>
        <v>DISTRIBUIDORA ARIES SRL</v>
      </c>
      <c r="C83" s="66">
        <f t="shared" si="6"/>
        <v>69441.899999999994</v>
      </c>
      <c r="D83" s="24">
        <f t="shared" si="7"/>
        <v>46.294599999999996</v>
      </c>
      <c r="E83" s="50">
        <f t="shared" si="4"/>
        <v>9.9704759546448194E-6</v>
      </c>
      <c r="F83" s="51"/>
    </row>
    <row r="84" spans="1:6" ht="15.75" customHeight="1" x14ac:dyDescent="0.25">
      <c r="A84" t="str">
        <f t="shared" si="5"/>
        <v>DISTRIBUIDORA COSIMI SRL</v>
      </c>
      <c r="C84" s="66">
        <f t="shared" si="6"/>
        <v>1036139.44</v>
      </c>
      <c r="D84" s="24">
        <f t="shared" si="7"/>
        <v>690.75962666666658</v>
      </c>
      <c r="E84" s="50">
        <f t="shared" si="4"/>
        <v>1.4876901945625262E-4</v>
      </c>
      <c r="F84" s="51"/>
    </row>
    <row r="85" spans="1:6" ht="15.75" customHeight="1" x14ac:dyDescent="0.25">
      <c r="A85" t="str">
        <f t="shared" si="5"/>
        <v>DISTRIBUIDORA DIKAR SRL</v>
      </c>
      <c r="C85" s="66">
        <f t="shared" si="6"/>
        <v>2691669.11</v>
      </c>
      <c r="D85" s="24">
        <f t="shared" si="7"/>
        <v>1794.4460733333333</v>
      </c>
      <c r="E85" s="50">
        <f t="shared" si="4"/>
        <v>3.864701590698875E-4</v>
      </c>
      <c r="F85" s="51"/>
    </row>
    <row r="86" spans="1:6" ht="15.75" customHeight="1" x14ac:dyDescent="0.25">
      <c r="A86" t="str">
        <f t="shared" si="5"/>
        <v>DISTRIBUIDORA EL FARO SA</v>
      </c>
      <c r="C86" s="66">
        <f t="shared" si="6"/>
        <v>97197315.599999994</v>
      </c>
      <c r="D86" s="24">
        <f t="shared" si="7"/>
        <v>64798.210399999996</v>
      </c>
      <c r="E86" s="50">
        <f t="shared" si="4"/>
        <v>1.3955601705106338E-2</v>
      </c>
      <c r="F86" s="51"/>
    </row>
    <row r="87" spans="1:6" ht="15.75" customHeight="1" x14ac:dyDescent="0.25">
      <c r="A87" t="str">
        <f t="shared" si="5"/>
        <v>DISTRIBUIDORA LEBENSHON 8061</v>
      </c>
      <c r="C87" s="66">
        <f t="shared" si="6"/>
        <v>2468846.25</v>
      </c>
      <c r="D87" s="24">
        <f t="shared" si="7"/>
        <v>1645.8975</v>
      </c>
      <c r="E87" s="50">
        <f t="shared" si="4"/>
        <v>3.5447722731290522E-4</v>
      </c>
      <c r="F87" s="51"/>
    </row>
    <row r="88" spans="1:6" ht="15.75" customHeight="1" x14ac:dyDescent="0.25">
      <c r="A88" t="str">
        <f t="shared" si="5"/>
        <v>DISTRIBUIDORA WALLY S. R. L.</v>
      </c>
      <c r="C88" s="66">
        <f t="shared" si="6"/>
        <v>5016000</v>
      </c>
      <c r="D88" s="24">
        <f t="shared" si="7"/>
        <v>3344</v>
      </c>
      <c r="E88" s="50">
        <f t="shared" si="4"/>
        <v>7.2019785444376401E-4</v>
      </c>
      <c r="F88" s="51"/>
    </row>
    <row r="89" spans="1:6" ht="15.75" customHeight="1" x14ac:dyDescent="0.25">
      <c r="A89" t="str">
        <f t="shared" si="5"/>
        <v>DOMINGUEZ ROSENDE JOSE DOMINGUEZ ARZONDO ALEJANDRO MARCELO SH</v>
      </c>
      <c r="C89" s="66">
        <f t="shared" si="6"/>
        <v>7453593.2000000002</v>
      </c>
      <c r="D89" s="24">
        <f t="shared" si="7"/>
        <v>4969.0621333333338</v>
      </c>
      <c r="E89" s="50">
        <f t="shared" si="4"/>
        <v>1.0701877652584987E-3</v>
      </c>
      <c r="F89" s="51"/>
    </row>
    <row r="90" spans="1:6" ht="15.75" customHeight="1" x14ac:dyDescent="0.25">
      <c r="A90" t="str">
        <f t="shared" si="5"/>
        <v>DUARTE MARCELO LUIS RUFINO</v>
      </c>
      <c r="C90" s="66">
        <f t="shared" si="6"/>
        <v>1120000</v>
      </c>
      <c r="D90" s="24">
        <f t="shared" si="7"/>
        <v>746.66666666666663</v>
      </c>
      <c r="E90" s="50">
        <f t="shared" si="4"/>
        <v>1.6080972826495527E-4</v>
      </c>
      <c r="F90" s="51"/>
    </row>
    <row r="91" spans="1:6" ht="15.75" customHeight="1" x14ac:dyDescent="0.25">
      <c r="A91" t="str">
        <f t="shared" si="5"/>
        <v>DUGAS S.R.L.</v>
      </c>
      <c r="C91" s="66">
        <f t="shared" si="6"/>
        <v>1160637.5900000001</v>
      </c>
      <c r="D91" s="24">
        <f t="shared" si="7"/>
        <v>773.7583933333334</v>
      </c>
      <c r="E91" s="50">
        <f t="shared" si="4"/>
        <v>1.6664447809106484E-4</v>
      </c>
      <c r="F91" s="51"/>
    </row>
    <row r="92" spans="1:6" ht="15.75" customHeight="1" x14ac:dyDescent="0.25">
      <c r="A92" t="str">
        <f t="shared" si="5"/>
        <v>DURAGOM S.R.L.</v>
      </c>
      <c r="C92" s="66">
        <f t="shared" si="6"/>
        <v>86840733.209999993</v>
      </c>
      <c r="D92" s="24">
        <f t="shared" si="7"/>
        <v>57893.822139999997</v>
      </c>
      <c r="E92" s="50">
        <f t="shared" si="4"/>
        <v>1.2468602419490694E-2</v>
      </c>
      <c r="F92" s="51"/>
    </row>
    <row r="93" spans="1:6" ht="15.75" customHeight="1" x14ac:dyDescent="0.25">
      <c r="A93" t="str">
        <f t="shared" si="5"/>
        <v>EGUREN JORGE ALBERTO</v>
      </c>
      <c r="C93" s="66">
        <f t="shared" si="6"/>
        <v>1870000</v>
      </c>
      <c r="D93" s="24">
        <f t="shared" si="7"/>
        <v>1246.6666666666667</v>
      </c>
      <c r="E93" s="50">
        <f t="shared" si="4"/>
        <v>2.6849481415666644E-4</v>
      </c>
      <c r="F93" s="51"/>
    </row>
    <row r="94" spans="1:6" ht="15.75" customHeight="1" x14ac:dyDescent="0.25">
      <c r="A94" t="str">
        <f t="shared" si="5"/>
        <v>EL MEJOR CAFE DEL PUERTO S.R.L.</v>
      </c>
      <c r="C94" s="66">
        <f t="shared" si="6"/>
        <v>8246002.3799999999</v>
      </c>
      <c r="D94" s="24">
        <f t="shared" si="7"/>
        <v>5497.3349200000002</v>
      </c>
      <c r="E94" s="50">
        <f t="shared" si="4"/>
        <v>1.1839619660714059E-3</v>
      </c>
      <c r="F94" s="51"/>
    </row>
    <row r="95" spans="1:6" ht="15.75" customHeight="1" x14ac:dyDescent="0.25">
      <c r="A95" t="str">
        <f t="shared" si="5"/>
        <v>ELECTRO STOCK S.A.</v>
      </c>
      <c r="C95" s="66">
        <f t="shared" si="6"/>
        <v>6840.54</v>
      </c>
      <c r="D95" s="24">
        <f t="shared" si="7"/>
        <v>4.5603600000000002</v>
      </c>
      <c r="E95" s="50">
        <f t="shared" si="4"/>
        <v>9.8216551659424756E-7</v>
      </c>
      <c r="F95" s="51"/>
    </row>
    <row r="96" spans="1:6" ht="15.75" customHeight="1" x14ac:dyDescent="0.25">
      <c r="A96" t="str">
        <f t="shared" si="5"/>
        <v>ELECTRONICA NAVAL S.A.</v>
      </c>
      <c r="C96" s="66">
        <f t="shared" si="6"/>
        <v>12184536.359999999</v>
      </c>
      <c r="D96" s="24">
        <f t="shared" si="7"/>
        <v>8123.0242399999997</v>
      </c>
      <c r="E96" s="50">
        <f t="shared" si="4"/>
        <v>1.749457125969703E-3</v>
      </c>
      <c r="F96" s="51"/>
    </row>
    <row r="97" spans="1:6" ht="15.75" customHeight="1" x14ac:dyDescent="0.25">
      <c r="A97" t="str">
        <f t="shared" si="5"/>
        <v>ELECTROTERMA MAR DEL PLATA S.R.L.</v>
      </c>
      <c r="C97" s="66">
        <f t="shared" si="6"/>
        <v>100503673.5</v>
      </c>
      <c r="D97" s="24">
        <f t="shared" si="7"/>
        <v>67002.448999999993</v>
      </c>
      <c r="E97" s="50">
        <f t="shared" si="4"/>
        <v>1.4430328951039987E-2</v>
      </c>
      <c r="F97" s="51"/>
    </row>
    <row r="98" spans="1:6" ht="15.75" customHeight="1" x14ac:dyDescent="0.25">
      <c r="A98" t="str">
        <f t="shared" si="5"/>
        <v>ERRIQUENZ HNOS S.R.L</v>
      </c>
      <c r="C98" s="66">
        <f t="shared" si="6"/>
        <v>25065116.739999998</v>
      </c>
      <c r="D98" s="24">
        <f t="shared" si="7"/>
        <v>16710.077826666664</v>
      </c>
      <c r="E98" s="50">
        <f t="shared" si="4"/>
        <v>3.5988523320435546E-3</v>
      </c>
      <c r="F98" s="51"/>
    </row>
    <row r="99" spans="1:6" ht="15.75" customHeight="1" x14ac:dyDescent="0.25">
      <c r="A99" t="str">
        <f t="shared" si="5"/>
        <v>ESLABONES S.A.</v>
      </c>
      <c r="C99" s="66">
        <f t="shared" si="6"/>
        <v>4939648.41</v>
      </c>
      <c r="D99" s="24">
        <f t="shared" si="7"/>
        <v>3293.0989400000003</v>
      </c>
      <c r="E99" s="50">
        <f t="shared" si="4"/>
        <v>7.0923528440760587E-4</v>
      </c>
      <c r="F99" s="51"/>
    </row>
    <row r="100" spans="1:6" ht="15.75" customHeight="1" x14ac:dyDescent="0.25">
      <c r="A100" t="str">
        <f t="shared" si="5"/>
        <v>EXACTIAN CONSULTING S.A.</v>
      </c>
      <c r="C100" s="66">
        <f t="shared" si="6"/>
        <v>2326539.6</v>
      </c>
      <c r="D100" s="24">
        <f t="shared" si="7"/>
        <v>1551.0264</v>
      </c>
      <c r="E100" s="50">
        <f t="shared" si="4"/>
        <v>3.3404482220862299E-4</v>
      </c>
      <c r="F100" s="51"/>
    </row>
    <row r="101" spans="1:6" ht="15.75" customHeight="1" x14ac:dyDescent="0.25">
      <c r="A101" t="str">
        <f t="shared" si="5"/>
        <v>EXOLGAN S.A.</v>
      </c>
      <c r="C101" s="66">
        <f t="shared" si="6"/>
        <v>290181.01</v>
      </c>
      <c r="D101" s="24">
        <f t="shared" si="7"/>
        <v>193.45400666666669</v>
      </c>
      <c r="E101" s="50">
        <f t="shared" si="4"/>
        <v>4.1664222647991318E-5</v>
      </c>
      <c r="F101" s="51"/>
    </row>
    <row r="102" spans="1:6" ht="15.75" customHeight="1" x14ac:dyDescent="0.25">
      <c r="A102" t="str">
        <f t="shared" si="5"/>
        <v>FABRICA DE CHACINADOS MAR DEL PLATA SRL</v>
      </c>
      <c r="C102" s="66">
        <f t="shared" si="6"/>
        <v>1615668.23</v>
      </c>
      <c r="D102" s="24">
        <f t="shared" si="7"/>
        <v>1077.1121533333333</v>
      </c>
      <c r="E102" s="50">
        <f t="shared" si="4"/>
        <v>2.3197782949341183E-4</v>
      </c>
      <c r="F102" s="51"/>
    </row>
    <row r="103" spans="1:6" ht="15.75" customHeight="1" x14ac:dyDescent="0.25">
      <c r="A103" t="str">
        <f t="shared" si="5"/>
        <v>FADECCO S. A.</v>
      </c>
      <c r="C103" s="66">
        <f t="shared" si="6"/>
        <v>183252050.15000001</v>
      </c>
      <c r="D103" s="24">
        <f t="shared" si="7"/>
        <v>122168.03343333333</v>
      </c>
      <c r="E103" s="50">
        <f t="shared" si="4"/>
        <v>2.6311350346979873E-2</v>
      </c>
      <c r="F103" s="51"/>
    </row>
    <row r="104" spans="1:6" ht="15.75" customHeight="1" x14ac:dyDescent="0.25">
      <c r="A104" t="str">
        <f t="shared" si="5"/>
        <v>FAMIQ SRL</v>
      </c>
      <c r="C104" s="66">
        <f t="shared" si="6"/>
        <v>40261.120000000003</v>
      </c>
      <c r="D104" s="24">
        <f t="shared" si="7"/>
        <v>26.840746666666668</v>
      </c>
      <c r="E104" s="50">
        <f t="shared" si="4"/>
        <v>5.7806962203953186E-6</v>
      </c>
      <c r="F104" s="51"/>
    </row>
    <row r="105" spans="1:6" ht="15.75" customHeight="1" x14ac:dyDescent="0.25">
      <c r="A105" t="str">
        <f t="shared" si="5"/>
        <v>FARMA SRL</v>
      </c>
      <c r="C105" s="66">
        <f t="shared" si="6"/>
        <v>124480.32000000001</v>
      </c>
      <c r="D105" s="24">
        <f t="shared" si="7"/>
        <v>82.986879999999999</v>
      </c>
      <c r="E105" s="50">
        <f t="shared" si="4"/>
        <v>1.7872898601370249E-5</v>
      </c>
      <c r="F105" s="51"/>
    </row>
    <row r="106" spans="1:6" ht="15.75" customHeight="1" x14ac:dyDescent="0.25">
      <c r="A106" t="str">
        <f t="shared" si="5"/>
        <v>FARMACIA PORTOLURO SOCIEDAD EN COMANDITA SIMPLE</v>
      </c>
      <c r="C106" s="66">
        <f t="shared" si="6"/>
        <v>3112987.18</v>
      </c>
      <c r="D106" s="24">
        <f t="shared" si="7"/>
        <v>2075.3247866666666</v>
      </c>
      <c r="E106" s="50">
        <f t="shared" si="4"/>
        <v>4.4696305581079412E-4</v>
      </c>
      <c r="F106" s="51"/>
    </row>
    <row r="107" spans="1:6" ht="15.75" customHeight="1" x14ac:dyDescent="0.25">
      <c r="A107" t="str">
        <f t="shared" si="5"/>
        <v>FAUSZLEGER SA</v>
      </c>
      <c r="C107" s="66">
        <f t="shared" si="6"/>
        <v>1382208.67</v>
      </c>
      <c r="D107" s="24">
        <f t="shared" si="7"/>
        <v>921.47244666666666</v>
      </c>
      <c r="E107" s="50">
        <f t="shared" si="4"/>
        <v>1.9845767913229042E-4</v>
      </c>
      <c r="F107" s="51"/>
    </row>
    <row r="108" spans="1:6" ht="15.75" customHeight="1" x14ac:dyDescent="0.25">
      <c r="A108" t="str">
        <f t="shared" si="5"/>
        <v>FEADAR S.A.</v>
      </c>
      <c r="C108" s="66">
        <f t="shared" si="6"/>
        <v>145393.60000000001</v>
      </c>
      <c r="D108" s="24">
        <f t="shared" si="7"/>
        <v>96.929066666666671</v>
      </c>
      <c r="E108" s="50">
        <f t="shared" si="4"/>
        <v>2.0875629738806788E-5</v>
      </c>
      <c r="F108" s="51"/>
    </row>
    <row r="109" spans="1:6" ht="15.75" customHeight="1" x14ac:dyDescent="0.25">
      <c r="A109" t="str">
        <f t="shared" si="5"/>
        <v>FEDERICO BRUSCANTINI SRL</v>
      </c>
      <c r="C109" s="66">
        <f t="shared" si="6"/>
        <v>18200</v>
      </c>
      <c r="D109" s="24">
        <f t="shared" si="7"/>
        <v>12.133333333333333</v>
      </c>
      <c r="E109" s="50">
        <f t="shared" si="4"/>
        <v>2.6131580843055233E-6</v>
      </c>
      <c r="F109" s="51"/>
    </row>
    <row r="110" spans="1:6" ht="15.75" customHeight="1" x14ac:dyDescent="0.25">
      <c r="A110" t="str">
        <f t="shared" si="5"/>
        <v>FEIJO NICOLAS EDUARDO</v>
      </c>
      <c r="C110" s="66">
        <f t="shared" si="6"/>
        <v>780000</v>
      </c>
      <c r="D110" s="24">
        <f t="shared" si="7"/>
        <v>520</v>
      </c>
      <c r="E110" s="50">
        <f t="shared" si="4"/>
        <v>1.1199248932737958E-4</v>
      </c>
      <c r="F110" s="51"/>
    </row>
    <row r="111" spans="1:6" ht="15.75" customHeight="1" x14ac:dyDescent="0.25">
      <c r="A111" t="str">
        <f t="shared" si="5"/>
        <v>FENICIOS GLOBAL S.R.L.</v>
      </c>
      <c r="C111" s="66">
        <f t="shared" si="6"/>
        <v>2571368.9900000002</v>
      </c>
      <c r="D111" s="24">
        <f t="shared" si="7"/>
        <v>1714.2459933333334</v>
      </c>
      <c r="E111" s="50">
        <f t="shared" si="4"/>
        <v>3.6919745406324337E-4</v>
      </c>
      <c r="F111" s="51"/>
    </row>
    <row r="112" spans="1:6" ht="15.75" customHeight="1" x14ac:dyDescent="0.25">
      <c r="A112" t="str">
        <f t="shared" si="5"/>
        <v>FERRARI MARIO JOSE CARMELO</v>
      </c>
      <c r="C112" s="66">
        <f t="shared" si="6"/>
        <v>0.02</v>
      </c>
      <c r="D112" s="24">
        <f t="shared" si="7"/>
        <v>1.3333333333333333E-5</v>
      </c>
      <c r="E112" s="50">
        <f t="shared" si="4"/>
        <v>2.8716022904456303E-12</v>
      </c>
      <c r="F112" s="51"/>
    </row>
    <row r="113" spans="1:6" ht="15.75" customHeight="1" x14ac:dyDescent="0.25">
      <c r="A113" t="str">
        <f t="shared" si="5"/>
        <v>FERRARO MARIANO ANDRES</v>
      </c>
      <c r="C113" s="66">
        <f t="shared" si="6"/>
        <v>2337913.6</v>
      </c>
      <c r="D113" s="24">
        <f t="shared" si="7"/>
        <v>1558.6090666666666</v>
      </c>
      <c r="E113" s="50">
        <f t="shared" si="4"/>
        <v>3.3567790243119942E-4</v>
      </c>
      <c r="F113" s="51"/>
    </row>
    <row r="114" spans="1:6" ht="15.75" customHeight="1" x14ac:dyDescent="0.25">
      <c r="A114" t="str">
        <f t="shared" si="5"/>
        <v>FERREYRA ALVARO GERMAN</v>
      </c>
      <c r="C114" s="66">
        <f t="shared" si="6"/>
        <v>4313166</v>
      </c>
      <c r="D114" s="24">
        <f t="shared" si="7"/>
        <v>2875.444</v>
      </c>
      <c r="E114" s="50">
        <f t="shared" si="4"/>
        <v>6.1928486823361088E-4</v>
      </c>
      <c r="F114" s="51"/>
    </row>
    <row r="115" spans="1:6" ht="15.75" customHeight="1" x14ac:dyDescent="0.25">
      <c r="A115" t="str">
        <f t="shared" si="5"/>
        <v>FESCAP S.A.</v>
      </c>
      <c r="C115" s="66">
        <f t="shared" si="6"/>
        <v>3589502.69</v>
      </c>
      <c r="D115" s="24">
        <f t="shared" si="7"/>
        <v>2393.0017933333334</v>
      </c>
      <c r="E115" s="50">
        <f t="shared" si="4"/>
        <v>5.153812073082375E-4</v>
      </c>
      <c r="F115" s="51"/>
    </row>
    <row r="116" spans="1:6" ht="15.75" customHeight="1" x14ac:dyDescent="0.25">
      <c r="A116" t="str">
        <f t="shared" si="5"/>
        <v>FILIPPI FEDERICO ALEJANDRO</v>
      </c>
      <c r="C116" s="66">
        <f t="shared" si="6"/>
        <v>13454963.02</v>
      </c>
      <c r="D116" s="24">
        <f t="shared" si="7"/>
        <v>8969.9753466666662</v>
      </c>
      <c r="E116" s="50">
        <f t="shared" si="4"/>
        <v>1.9318651313046625E-3</v>
      </c>
      <c r="F116" s="51"/>
    </row>
    <row r="117" spans="1:6" ht="15.75" customHeight="1" x14ac:dyDescent="0.25">
      <c r="A117" t="str">
        <f t="shared" si="5"/>
        <v>FILTROS FILMAR SRL</v>
      </c>
      <c r="C117" s="66">
        <f t="shared" si="6"/>
        <v>8615079.3000000007</v>
      </c>
      <c r="D117" s="24">
        <f t="shared" si="7"/>
        <v>5743.3862000000008</v>
      </c>
      <c r="E117" s="50">
        <f t="shared" si="4"/>
        <v>1.236954072512537E-3</v>
      </c>
      <c r="F117" s="51"/>
    </row>
    <row r="118" spans="1:6" ht="15.75" customHeight="1" x14ac:dyDescent="0.25">
      <c r="A118" t="str">
        <f t="shared" si="5"/>
        <v>FINANCIAL TRADE S.A</v>
      </c>
      <c r="C118" s="66">
        <f t="shared" si="6"/>
        <v>2921046.47</v>
      </c>
      <c r="D118" s="24">
        <f t="shared" si="7"/>
        <v>1947.3643133333335</v>
      </c>
      <c r="E118" s="50">
        <f t="shared" si="4"/>
        <v>4.1940418668750618E-4</v>
      </c>
      <c r="F118" s="51"/>
    </row>
    <row r="119" spans="1:6" ht="15.75" customHeight="1" x14ac:dyDescent="0.25">
      <c r="A119" t="str">
        <f t="shared" si="5"/>
        <v>FINNING ARGENTINA SA</v>
      </c>
      <c r="C119" s="66">
        <f t="shared" si="6"/>
        <v>-3904.38</v>
      </c>
      <c r="D119" s="24">
        <f t="shared" si="7"/>
        <v>-2.6029200000000001</v>
      </c>
      <c r="E119" s="50">
        <f t="shared" si="4"/>
        <v>-5.605913275385055E-7</v>
      </c>
      <c r="F119" s="51"/>
    </row>
    <row r="120" spans="1:6" ht="15.75" customHeight="1" x14ac:dyDescent="0.25">
      <c r="A120" t="str">
        <f t="shared" si="5"/>
        <v>FIREFISH SA</v>
      </c>
      <c r="C120" s="66">
        <f t="shared" si="6"/>
        <v>1720323.79</v>
      </c>
      <c r="D120" s="24">
        <f t="shared" si="7"/>
        <v>1146.8825266666668</v>
      </c>
      <c r="E120" s="50">
        <f t="shared" si="4"/>
        <v>2.4700428678360538E-4</v>
      </c>
      <c r="F120" s="51"/>
    </row>
    <row r="121" spans="1:6" ht="15.75" customHeight="1" x14ac:dyDescent="0.25">
      <c r="A121" t="str">
        <f t="shared" si="5"/>
        <v>FORTIN REPUBLICA SA</v>
      </c>
      <c r="C121" s="66">
        <f t="shared" si="6"/>
        <v>238590.8</v>
      </c>
      <c r="D121" s="24">
        <f t="shared" si="7"/>
        <v>159.06053333333332</v>
      </c>
      <c r="E121" s="50">
        <f t="shared" si="4"/>
        <v>3.4256894387962758E-5</v>
      </c>
      <c r="F121" s="51"/>
    </row>
    <row r="122" spans="1:6" ht="15.75" customHeight="1" x14ac:dyDescent="0.25">
      <c r="A122" t="str">
        <f t="shared" si="5"/>
        <v>FRESCOMAR ARGENTINA SA</v>
      </c>
      <c r="C122" s="66">
        <f t="shared" si="6"/>
        <v>40367.35</v>
      </c>
      <c r="D122" s="24">
        <f t="shared" si="7"/>
        <v>26.911566666666666</v>
      </c>
      <c r="E122" s="50">
        <f t="shared" si="4"/>
        <v>5.79594873596102E-6</v>
      </c>
      <c r="F122" s="51"/>
    </row>
    <row r="123" spans="1:6" ht="15.75" customHeight="1" x14ac:dyDescent="0.25">
      <c r="A123" t="str">
        <f t="shared" si="5"/>
        <v>FS TECNICA  INDUSTRIAL SRL</v>
      </c>
      <c r="C123" s="66">
        <f t="shared" si="6"/>
        <v>128077.24</v>
      </c>
      <c r="D123" s="24">
        <f t="shared" si="7"/>
        <v>85.384826666666669</v>
      </c>
      <c r="E123" s="50">
        <f t="shared" si="4"/>
        <v>1.8389344786897735E-5</v>
      </c>
      <c r="F123" s="51"/>
    </row>
    <row r="124" spans="1:6" ht="15.75" customHeight="1" x14ac:dyDescent="0.25">
      <c r="A124" t="str">
        <f t="shared" si="5"/>
        <v>FUNDACION DESFIBRILAR</v>
      </c>
      <c r="C124" s="66">
        <f t="shared" si="6"/>
        <v>405000</v>
      </c>
      <c r="D124" s="24">
        <f t="shared" si="7"/>
        <v>270</v>
      </c>
      <c r="E124" s="50">
        <f t="shared" si="4"/>
        <v>5.8149946381524012E-5</v>
      </c>
      <c r="F124" s="51"/>
    </row>
    <row r="125" spans="1:6" ht="15.75" customHeight="1" x14ac:dyDescent="0.25">
      <c r="A125" t="str">
        <f t="shared" si="5"/>
        <v>G4 CONSULTING SA</v>
      </c>
      <c r="C125" s="66">
        <f t="shared" si="6"/>
        <v>6269494</v>
      </c>
      <c r="D125" s="24">
        <f t="shared" si="7"/>
        <v>4179.6626666666671</v>
      </c>
      <c r="E125" s="50">
        <f t="shared" si="4"/>
        <v>9.0017466651675683E-4</v>
      </c>
      <c r="F125" s="51"/>
    </row>
    <row r="126" spans="1:6" ht="15.75" customHeight="1" x14ac:dyDescent="0.25">
      <c r="A126" t="str">
        <f t="shared" si="5"/>
        <v>GALAY LEANDRO JOSE</v>
      </c>
      <c r="C126" s="66">
        <f t="shared" si="6"/>
        <v>641000</v>
      </c>
      <c r="D126" s="24">
        <f t="shared" si="7"/>
        <v>427.33333333333331</v>
      </c>
      <c r="E126" s="50">
        <f t="shared" si="4"/>
        <v>9.2034853408782437E-5</v>
      </c>
      <c r="F126" s="51"/>
    </row>
    <row r="127" spans="1:6" ht="15.75" customHeight="1" x14ac:dyDescent="0.25">
      <c r="A127" t="str">
        <f t="shared" si="5"/>
        <v>GANADERA EL MUDO S.A.</v>
      </c>
      <c r="C127" s="66">
        <f t="shared" si="6"/>
        <v>9543836</v>
      </c>
      <c r="D127" s="24">
        <f t="shared" si="7"/>
        <v>6362.5573333333332</v>
      </c>
      <c r="E127" s="50">
        <f t="shared" si="4"/>
        <v>1.3703050658618731E-3</v>
      </c>
      <c r="F127" s="51"/>
    </row>
    <row r="128" spans="1:6" ht="15.75" customHeight="1" x14ac:dyDescent="0.25">
      <c r="A128" t="str">
        <f t="shared" si="5"/>
        <v>GARCIA WALTER CARLOS - CAE</v>
      </c>
      <c r="C128" s="66">
        <f t="shared" si="6"/>
        <v>317135.63</v>
      </c>
      <c r="D128" s="24">
        <f t="shared" si="7"/>
        <v>211.42375333333334</v>
      </c>
      <c r="E128" s="50">
        <f t="shared" si="4"/>
        <v>4.5534370074495897E-5</v>
      </c>
      <c r="F128" s="51"/>
    </row>
    <row r="129" spans="1:6" ht="15.75" customHeight="1" x14ac:dyDescent="0.25">
      <c r="A129" t="str">
        <f t="shared" si="5"/>
        <v>GARMIN</v>
      </c>
      <c r="C129" s="66">
        <f t="shared" si="6"/>
        <v>-387219.15</v>
      </c>
      <c r="D129" s="24">
        <f t="shared" si="7"/>
        <v>-258.14609999999999</v>
      </c>
      <c r="E129" s="50">
        <f t="shared" si="4"/>
        <v>-5.5596969902220496E-5</v>
      </c>
      <c r="F129" s="51"/>
    </row>
    <row r="130" spans="1:6" ht="15.75" customHeight="1" x14ac:dyDescent="0.25">
      <c r="A130" t="str">
        <f t="shared" si="5"/>
        <v>GASPRODUCT SRL</v>
      </c>
      <c r="C130" s="66">
        <f t="shared" si="6"/>
        <v>2708708.42</v>
      </c>
      <c r="D130" s="24">
        <f t="shared" si="7"/>
        <v>1805.8056133333332</v>
      </c>
      <c r="E130" s="50">
        <f t="shared" si="4"/>
        <v>3.8891666515106818E-4</v>
      </c>
      <c r="F130" s="51"/>
    </row>
    <row r="131" spans="1:6" ht="15.75" customHeight="1" x14ac:dyDescent="0.25">
      <c r="A131" t="str">
        <f t="shared" si="5"/>
        <v>GEMIN LUIS ALBERTO</v>
      </c>
      <c r="C131" s="66">
        <f t="shared" si="6"/>
        <v>435600</v>
      </c>
      <c r="D131" s="24">
        <f t="shared" si="7"/>
        <v>290.39999999999998</v>
      </c>
      <c r="E131" s="50">
        <f t="shared" si="4"/>
        <v>6.2543497885905817E-5</v>
      </c>
      <c r="F131" s="51"/>
    </row>
    <row r="132" spans="1:6" ht="15.75" customHeight="1" x14ac:dyDescent="0.25">
      <c r="A132" t="str">
        <f t="shared" si="5"/>
        <v>GERAHARD HNOS SOCIEDAD DE RESPONSABILIDAD LIMITADA EN FORMACION</v>
      </c>
      <c r="C132" s="66">
        <f t="shared" si="6"/>
        <v>15961901</v>
      </c>
      <c r="D132" s="24">
        <f t="shared" si="7"/>
        <v>10641.267333333333</v>
      </c>
      <c r="E132" s="50">
        <f t="shared" si="4"/>
        <v>2.2918115735733199E-3</v>
      </c>
      <c r="F132" s="51"/>
    </row>
    <row r="133" spans="1:6" ht="15.75" customHeight="1" x14ac:dyDescent="0.25">
      <c r="A133" t="str">
        <f t="shared" si="5"/>
        <v>GINIAMO SA</v>
      </c>
      <c r="C133" s="66">
        <f t="shared" si="6"/>
        <v>1729588.67</v>
      </c>
      <c r="D133" s="24">
        <f t="shared" si="7"/>
        <v>1153.0591133333332</v>
      </c>
      <c r="E133" s="50">
        <f t="shared" ref="E133:E196" si="8">+D133/$D$328</f>
        <v>2.4833453931504055E-4</v>
      </c>
      <c r="F133" s="51"/>
    </row>
    <row r="134" spans="1:6" ht="15.75" customHeight="1" x14ac:dyDescent="0.25">
      <c r="A134" t="str">
        <f t="shared" ref="A134:A197" si="9">+B472</f>
        <v>GLAN S.R.L.</v>
      </c>
      <c r="C134" s="66">
        <f t="shared" ref="C134:C197" si="10">+K472</f>
        <v>2300000</v>
      </c>
      <c r="D134" s="24">
        <f t="shared" ref="D134:D197" si="11">+C134/$D$3</f>
        <v>1533.3333333333333</v>
      </c>
      <c r="E134" s="50">
        <f t="shared" si="8"/>
        <v>3.3023426340124742E-4</v>
      </c>
      <c r="F134" s="51"/>
    </row>
    <row r="135" spans="1:6" ht="15.75" customHeight="1" x14ac:dyDescent="0.25">
      <c r="A135" t="str">
        <f t="shared" si="9"/>
        <v>GOGNIAT SOLDADURA SA</v>
      </c>
      <c r="C135" s="66">
        <f t="shared" si="10"/>
        <v>4496160.68</v>
      </c>
      <c r="D135" s="24">
        <f t="shared" si="11"/>
        <v>2997.4404533333332</v>
      </c>
      <c r="E135" s="50">
        <f t="shared" si="8"/>
        <v>6.4555926534497904E-4</v>
      </c>
      <c r="F135" s="51"/>
    </row>
    <row r="136" spans="1:6" ht="15.75" customHeight="1" x14ac:dyDescent="0.25">
      <c r="A136" t="str">
        <f t="shared" si="9"/>
        <v>GOMATEX S.R.L.</v>
      </c>
      <c r="C136" s="66">
        <f t="shared" si="10"/>
        <v>110621.66</v>
      </c>
      <c r="D136" s="24">
        <f t="shared" si="11"/>
        <v>73.747773333333342</v>
      </c>
      <c r="E136" s="50">
        <f t="shared" si="8"/>
        <v>1.588307061144489E-5</v>
      </c>
      <c r="F136" s="51"/>
    </row>
    <row r="137" spans="1:6" ht="15.75" customHeight="1" x14ac:dyDescent="0.25">
      <c r="A137" t="str">
        <f t="shared" si="9"/>
        <v>GOMEZ RUBEN MARIANO</v>
      </c>
      <c r="C137" s="66">
        <f t="shared" si="10"/>
        <v>700000</v>
      </c>
      <c r="D137" s="24">
        <f t="shared" si="11"/>
        <v>466.66666666666669</v>
      </c>
      <c r="E137" s="50">
        <f t="shared" si="8"/>
        <v>1.0050608016559706E-4</v>
      </c>
      <c r="F137" s="51"/>
    </row>
    <row r="138" spans="1:6" ht="15.75" customHeight="1" x14ac:dyDescent="0.25">
      <c r="A138" t="str">
        <f t="shared" si="9"/>
        <v>GONZALEZ VICENTE OMAR</v>
      </c>
      <c r="C138" s="66">
        <f t="shared" si="10"/>
        <v>150000</v>
      </c>
      <c r="D138" s="24">
        <f t="shared" si="11"/>
        <v>100</v>
      </c>
      <c r="E138" s="50">
        <f t="shared" si="8"/>
        <v>2.1537017178342225E-5</v>
      </c>
      <c r="F138" s="51"/>
    </row>
    <row r="139" spans="1:6" ht="15.75" customHeight="1" x14ac:dyDescent="0.25">
      <c r="A139" t="str">
        <f t="shared" si="9"/>
        <v>GRAMAJO PABLO MARTIN</v>
      </c>
      <c r="C139" s="66">
        <f t="shared" si="10"/>
        <v>1409500</v>
      </c>
      <c r="D139" s="24">
        <f t="shared" si="11"/>
        <v>939.66666666666663</v>
      </c>
      <c r="E139" s="50">
        <f t="shared" si="8"/>
        <v>2.0237617141915577E-4</v>
      </c>
      <c r="F139" s="51"/>
    </row>
    <row r="140" spans="1:6" ht="15.75" customHeight="1" x14ac:dyDescent="0.25">
      <c r="A140" t="str">
        <f t="shared" si="9"/>
        <v>GRECO GUILLERMINA EDITH</v>
      </c>
      <c r="C140" s="66">
        <f t="shared" si="10"/>
        <v>1233000.01</v>
      </c>
      <c r="D140" s="24">
        <f t="shared" si="11"/>
        <v>822.00000666666665</v>
      </c>
      <c r="E140" s="50">
        <f t="shared" si="8"/>
        <v>1.7703428264177423E-4</v>
      </c>
      <c r="F140" s="51"/>
    </row>
    <row r="141" spans="1:6" ht="15.75" customHeight="1" x14ac:dyDescent="0.25">
      <c r="A141" t="str">
        <f t="shared" si="9"/>
        <v>GROSS PAULA MARINA</v>
      </c>
      <c r="C141" s="66">
        <f t="shared" si="10"/>
        <v>101821.5</v>
      </c>
      <c r="D141" s="24">
        <f t="shared" si="11"/>
        <v>67.881</v>
      </c>
      <c r="E141" s="50">
        <f t="shared" si="8"/>
        <v>1.4619542630830487E-5</v>
      </c>
      <c r="F141" s="51"/>
    </row>
    <row r="142" spans="1:6" ht="15.75" customHeight="1" x14ac:dyDescent="0.25">
      <c r="A142" t="str">
        <f t="shared" si="9"/>
        <v>GRUPO FB MARC EN FORMACION</v>
      </c>
      <c r="C142" s="66">
        <f t="shared" si="10"/>
        <v>606875.5</v>
      </c>
      <c r="D142" s="24">
        <f t="shared" si="11"/>
        <v>404.58366666666666</v>
      </c>
      <c r="E142" s="50">
        <f t="shared" si="8"/>
        <v>8.7135253790766843E-5</v>
      </c>
      <c r="F142" s="51"/>
    </row>
    <row r="143" spans="1:6" ht="15.75" customHeight="1" x14ac:dyDescent="0.25">
      <c r="A143" t="str">
        <f t="shared" si="9"/>
        <v>GRUPO HIGIENE CBA S.A.</v>
      </c>
      <c r="C143" s="66">
        <f t="shared" si="10"/>
        <v>336156.98</v>
      </c>
      <c r="D143" s="24">
        <f t="shared" si="11"/>
        <v>224.10465333333332</v>
      </c>
      <c r="E143" s="50">
        <f t="shared" si="8"/>
        <v>4.8265457685864292E-5</v>
      </c>
      <c r="F143" s="51"/>
    </row>
    <row r="144" spans="1:6" ht="15.75" customHeight="1" x14ac:dyDescent="0.25">
      <c r="A144" t="str">
        <f t="shared" si="9"/>
        <v>GRUPO MELECSUR S.R.L.</v>
      </c>
      <c r="C144" s="66">
        <f t="shared" si="10"/>
        <v>142838.15</v>
      </c>
      <c r="D144" s="24">
        <f t="shared" si="11"/>
        <v>95.225433333333328</v>
      </c>
      <c r="E144" s="50">
        <f t="shared" si="8"/>
        <v>2.0508717935150824E-5</v>
      </c>
      <c r="F144" s="51"/>
    </row>
    <row r="145" spans="1:6" ht="15.75" customHeight="1" x14ac:dyDescent="0.25">
      <c r="A145" t="str">
        <f t="shared" si="9"/>
        <v>GUANTES FLANDRIA S.A.</v>
      </c>
      <c r="C145" s="66">
        <f t="shared" si="10"/>
        <v>6629385.8700000001</v>
      </c>
      <c r="D145" s="24">
        <f t="shared" si="11"/>
        <v>4419.59058</v>
      </c>
      <c r="E145" s="50">
        <f t="shared" si="8"/>
        <v>9.5184798242699481E-4</v>
      </c>
      <c r="F145" s="51"/>
    </row>
    <row r="146" spans="1:6" ht="15.75" customHeight="1" x14ac:dyDescent="0.25">
      <c r="A146" t="str">
        <f t="shared" si="9"/>
        <v>GUEDIKIAN IMPRESORES SA</v>
      </c>
      <c r="C146" s="66">
        <f t="shared" si="10"/>
        <v>430825538.80000001</v>
      </c>
      <c r="D146" s="24">
        <f t="shared" si="11"/>
        <v>287217.02586666669</v>
      </c>
      <c r="E146" s="50">
        <f t="shared" si="8"/>
        <v>6.185798020002764E-2</v>
      </c>
      <c r="F146" s="51"/>
    </row>
    <row r="147" spans="1:6" ht="15.75" customHeight="1" x14ac:dyDescent="0.25">
      <c r="A147" t="str">
        <f t="shared" si="9"/>
        <v>H L RODRIGUEZ SRL</v>
      </c>
      <c r="C147" s="66">
        <f t="shared" si="10"/>
        <v>300330.5</v>
      </c>
      <c r="D147" s="24">
        <f t="shared" si="11"/>
        <v>200.22033333333334</v>
      </c>
      <c r="E147" s="50">
        <f t="shared" si="8"/>
        <v>4.3121487584534071E-5</v>
      </c>
      <c r="F147" s="51"/>
    </row>
    <row r="148" spans="1:6" ht="15.75" customHeight="1" x14ac:dyDescent="0.25">
      <c r="A148" t="str">
        <f t="shared" si="9"/>
        <v>HANDLER 04 MDP S.A.S</v>
      </c>
      <c r="C148" s="66">
        <f t="shared" si="10"/>
        <v>9813717.3800000008</v>
      </c>
      <c r="D148" s="24">
        <f t="shared" si="11"/>
        <v>6542.4782533333337</v>
      </c>
      <c r="E148" s="50">
        <f t="shared" si="8"/>
        <v>1.4090546653097045E-3</v>
      </c>
      <c r="F148" s="51"/>
    </row>
    <row r="149" spans="1:6" ht="15.75" customHeight="1" x14ac:dyDescent="0.25">
      <c r="A149" t="str">
        <f t="shared" si="9"/>
        <v>HAUNOLD VIVIANA</v>
      </c>
      <c r="C149" s="66">
        <f t="shared" si="10"/>
        <v>13464753.1</v>
      </c>
      <c r="D149" s="24">
        <f t="shared" si="11"/>
        <v>8976.502066666666</v>
      </c>
      <c r="E149" s="50">
        <f t="shared" si="8"/>
        <v>1.9332707921122449E-3</v>
      </c>
      <c r="F149" s="51"/>
    </row>
    <row r="150" spans="1:6" ht="15.75" customHeight="1" x14ac:dyDescent="0.25">
      <c r="A150" t="str">
        <f t="shared" si="9"/>
        <v>HENNING JUAN FEDERICO</v>
      </c>
      <c r="C150" s="66">
        <f t="shared" si="10"/>
        <v>4880902.4800000004</v>
      </c>
      <c r="D150" s="24">
        <f t="shared" si="11"/>
        <v>3253.9349866666671</v>
      </c>
      <c r="E150" s="50">
        <f t="shared" si="8"/>
        <v>7.0080053705048786E-4</v>
      </c>
      <c r="F150" s="51"/>
    </row>
    <row r="151" spans="1:6" ht="15.75" customHeight="1" x14ac:dyDescent="0.25">
      <c r="A151" t="str">
        <f t="shared" si="9"/>
        <v>HERNANDEZ CORTES MIGUEL</v>
      </c>
      <c r="C151" s="66">
        <f t="shared" si="10"/>
        <v>10311000</v>
      </c>
      <c r="D151" s="24">
        <f t="shared" si="11"/>
        <v>6874</v>
      </c>
      <c r="E151" s="50">
        <f t="shared" si="8"/>
        <v>1.4804545608392446E-3</v>
      </c>
      <c r="F151" s="51"/>
    </row>
    <row r="152" spans="1:6" ht="15.75" customHeight="1" x14ac:dyDescent="0.25">
      <c r="A152" t="str">
        <f t="shared" si="9"/>
        <v>HIDRAMIC S.R.L.</v>
      </c>
      <c r="C152" s="66">
        <f t="shared" si="10"/>
        <v>6255279.7199999997</v>
      </c>
      <c r="D152" s="24">
        <f t="shared" si="11"/>
        <v>4170.1864799999994</v>
      </c>
      <c r="E152" s="50">
        <f t="shared" si="8"/>
        <v>8.9813377856650485E-4</v>
      </c>
      <c r="F152" s="51"/>
    </row>
    <row r="153" spans="1:6" ht="15.75" customHeight="1" x14ac:dyDescent="0.25">
      <c r="A153" t="str">
        <f t="shared" si="9"/>
        <v>HIDRAULICA Y NEUMATICA SRL</v>
      </c>
      <c r="C153" s="66">
        <f t="shared" si="10"/>
        <v>9767981.6699999999</v>
      </c>
      <c r="D153" s="24">
        <f t="shared" si="11"/>
        <v>6511.9877800000004</v>
      </c>
      <c r="E153" s="50">
        <f t="shared" si="8"/>
        <v>1.4024879268301467E-3</v>
      </c>
      <c r="F153" s="51"/>
    </row>
    <row r="154" spans="1:6" ht="15.75" customHeight="1" x14ac:dyDescent="0.25">
      <c r="A154" t="str">
        <f t="shared" si="9"/>
        <v>HIELO DEYACOBBI S.A.</v>
      </c>
      <c r="C154" s="66">
        <f t="shared" si="10"/>
        <v>309760</v>
      </c>
      <c r="D154" s="24">
        <f t="shared" si="11"/>
        <v>206.50666666666666</v>
      </c>
      <c r="E154" s="50">
        <f t="shared" si="8"/>
        <v>4.4475376274421916E-5</v>
      </c>
      <c r="F154" s="51"/>
    </row>
    <row r="155" spans="1:6" ht="15.75" customHeight="1" x14ac:dyDescent="0.25">
      <c r="A155" t="str">
        <f t="shared" si="9"/>
        <v>HISPANO PATAGONICA S.A.</v>
      </c>
      <c r="C155" s="66">
        <f t="shared" si="10"/>
        <v>14999999.99</v>
      </c>
      <c r="D155" s="24">
        <f t="shared" si="11"/>
        <v>9999.9999933333329</v>
      </c>
      <c r="E155" s="50">
        <f t="shared" si="8"/>
        <v>2.1537017163984215E-3</v>
      </c>
      <c r="F155" s="51"/>
    </row>
    <row r="156" spans="1:6" ht="15.75" customHeight="1" x14ac:dyDescent="0.25">
      <c r="A156" t="str">
        <f t="shared" si="9"/>
        <v>HOLMBACK JORGE EDUARDO</v>
      </c>
      <c r="C156" s="66">
        <f t="shared" si="10"/>
        <v>63472</v>
      </c>
      <c r="D156" s="24">
        <f t="shared" si="11"/>
        <v>42.314666666666668</v>
      </c>
      <c r="E156" s="50">
        <f t="shared" si="8"/>
        <v>9.1133170289582518E-6</v>
      </c>
      <c r="F156" s="51"/>
    </row>
    <row r="157" spans="1:6" ht="15.75" customHeight="1" x14ac:dyDescent="0.25">
      <c r="A157" t="str">
        <f t="shared" si="9"/>
        <v>IACONO JORGE ALBERTO</v>
      </c>
      <c r="C157" s="66">
        <f t="shared" si="10"/>
        <v>1366662.33</v>
      </c>
      <c r="D157" s="24">
        <f t="shared" si="11"/>
        <v>911.10822000000007</v>
      </c>
      <c r="E157" s="50">
        <f t="shared" si="8"/>
        <v>1.9622553385468809E-4</v>
      </c>
      <c r="F157" s="51"/>
    </row>
    <row r="158" spans="1:6" ht="15.75" customHeight="1" x14ac:dyDescent="0.25">
      <c r="A158" t="str">
        <f t="shared" si="9"/>
        <v>IBARGAS SRL</v>
      </c>
      <c r="C158" s="66">
        <f t="shared" si="10"/>
        <v>3317916.8</v>
      </c>
      <c r="D158" s="24">
        <f t="shared" si="11"/>
        <v>2211.9445333333333</v>
      </c>
      <c r="E158" s="50">
        <f t="shared" si="8"/>
        <v>4.7638687411940178E-4</v>
      </c>
      <c r="F158" s="51"/>
    </row>
    <row r="159" spans="1:6" ht="15.75" customHeight="1" x14ac:dyDescent="0.25">
      <c r="A159" t="str">
        <f t="shared" si="9"/>
        <v>INDUGARVE S.L.</v>
      </c>
      <c r="C159" s="66">
        <f t="shared" si="10"/>
        <v>88538261.290000007</v>
      </c>
      <c r="D159" s="24">
        <f t="shared" si="11"/>
        <v>59025.507526666668</v>
      </c>
      <c r="E159" s="50">
        <f t="shared" si="8"/>
        <v>1.2712333695621884E-2</v>
      </c>
      <c r="F159" s="51"/>
    </row>
    <row r="160" spans="1:6" ht="15.75" customHeight="1" x14ac:dyDescent="0.25">
      <c r="A160" t="str">
        <f t="shared" si="9"/>
        <v>INDUSTRIAL PUERTO S.A</v>
      </c>
      <c r="C160" s="66">
        <f t="shared" si="10"/>
        <v>418887.72</v>
      </c>
      <c r="D160" s="24">
        <f t="shared" si="11"/>
        <v>279.25847999999996</v>
      </c>
      <c r="E160" s="50">
        <f t="shared" si="8"/>
        <v>6.0143946809577378E-5</v>
      </c>
      <c r="F160" s="51"/>
    </row>
    <row r="161" spans="1:6" ht="15.75" customHeight="1" x14ac:dyDescent="0.25">
      <c r="A161" t="str">
        <f t="shared" si="9"/>
        <v>INDUSTRIAS CONTARDO S A I Y C</v>
      </c>
      <c r="C161" s="66">
        <f t="shared" si="10"/>
        <v>3138494.79</v>
      </c>
      <c r="D161" s="24">
        <f t="shared" si="11"/>
        <v>2092.3298599999998</v>
      </c>
      <c r="E161" s="50">
        <f t="shared" si="8"/>
        <v>4.5062544137578381E-4</v>
      </c>
      <c r="F161" s="51"/>
    </row>
    <row r="162" spans="1:6" ht="15.75" customHeight="1" x14ac:dyDescent="0.25">
      <c r="A162" t="str">
        <f t="shared" si="9"/>
        <v>INDUSTRIAS FERRI</v>
      </c>
      <c r="C162" s="66">
        <f t="shared" si="10"/>
        <v>5896891</v>
      </c>
      <c r="D162" s="24">
        <f t="shared" si="11"/>
        <v>3931.2606666666666</v>
      </c>
      <c r="E162" s="50">
        <f t="shared" si="8"/>
        <v>8.4667628510541105E-4</v>
      </c>
      <c r="F162" s="51"/>
    </row>
    <row r="163" spans="1:6" ht="15.75" customHeight="1" x14ac:dyDescent="0.25">
      <c r="A163" t="str">
        <f t="shared" si="9"/>
        <v>INDUSTRIAS TRICERRI HNOS E HIJOS SA ICFAGYF</v>
      </c>
      <c r="C163" s="66">
        <f t="shared" si="10"/>
        <v>13884750</v>
      </c>
      <c r="D163" s="24">
        <f t="shared" si="11"/>
        <v>9256.5</v>
      </c>
      <c r="E163" s="50">
        <f t="shared" si="8"/>
        <v>1.9935739951132481E-3</v>
      </c>
      <c r="F163" s="51"/>
    </row>
    <row r="164" spans="1:6" ht="15.75" customHeight="1" x14ac:dyDescent="0.25">
      <c r="A164" t="str">
        <f t="shared" si="9"/>
        <v>INGACOT COMERCIAL S.A.</v>
      </c>
      <c r="C164" s="66">
        <f t="shared" si="10"/>
        <v>365189.83</v>
      </c>
      <c r="D164" s="24">
        <f t="shared" si="11"/>
        <v>243.45988666666668</v>
      </c>
      <c r="E164" s="50">
        <f t="shared" si="8"/>
        <v>5.243399761377252E-5</v>
      </c>
      <c r="F164" s="51"/>
    </row>
    <row r="165" spans="1:6" ht="15.75" customHeight="1" x14ac:dyDescent="0.25">
      <c r="A165" t="str">
        <f t="shared" si="9"/>
        <v>INPROPE SA</v>
      </c>
      <c r="C165" s="66">
        <f t="shared" si="10"/>
        <v>54372923</v>
      </c>
      <c r="D165" s="24">
        <f t="shared" si="11"/>
        <v>36248.615333333335</v>
      </c>
      <c r="E165" s="50">
        <f t="shared" si="8"/>
        <v>7.8068705112511946E-3</v>
      </c>
      <c r="F165" s="51"/>
    </row>
    <row r="166" spans="1:6" ht="15.75" customHeight="1" x14ac:dyDescent="0.25">
      <c r="A166" t="str">
        <f t="shared" si="9"/>
        <v>INSTALACIONES COMERCIALES TISERA SA</v>
      </c>
      <c r="C166" s="66">
        <f t="shared" si="10"/>
        <v>227697.8</v>
      </c>
      <c r="D166" s="24">
        <f t="shared" si="11"/>
        <v>151.79853333333332</v>
      </c>
      <c r="E166" s="50">
        <f t="shared" si="8"/>
        <v>3.2692876200471551E-5</v>
      </c>
      <c r="F166" s="51"/>
    </row>
    <row r="167" spans="1:6" ht="15.75" customHeight="1" x14ac:dyDescent="0.25">
      <c r="A167" t="str">
        <f t="shared" si="9"/>
        <v>INTEGRAL PUERTO SANO S.R.L.</v>
      </c>
      <c r="C167" s="66">
        <f t="shared" si="10"/>
        <v>-0.01</v>
      </c>
      <c r="D167" s="24">
        <f t="shared" si="11"/>
        <v>-6.6666666666666666E-6</v>
      </c>
      <c r="E167" s="50">
        <f t="shared" si="8"/>
        <v>-1.4358011452228151E-12</v>
      </c>
      <c r="F167" s="51"/>
    </row>
    <row r="168" spans="1:6" ht="15.75" customHeight="1" x14ac:dyDescent="0.25">
      <c r="A168" t="str">
        <f t="shared" si="9"/>
        <v>INTERBANKING SA</v>
      </c>
      <c r="C168" s="66">
        <f t="shared" si="10"/>
        <v>197835</v>
      </c>
      <c r="D168" s="24">
        <f t="shared" si="11"/>
        <v>131.88999999999999</v>
      </c>
      <c r="E168" s="50">
        <f t="shared" si="8"/>
        <v>2.8405171956515558E-5</v>
      </c>
      <c r="F168" s="51"/>
    </row>
    <row r="169" spans="1:6" ht="15.75" customHeight="1" x14ac:dyDescent="0.25">
      <c r="A169" t="str">
        <f t="shared" si="9"/>
        <v>INTERLOG S.A.</v>
      </c>
      <c r="C169" s="66">
        <f t="shared" si="10"/>
        <v>59990262.039999999</v>
      </c>
      <c r="D169" s="24">
        <f t="shared" si="11"/>
        <v>39993.508026666663</v>
      </c>
      <c r="E169" s="50">
        <f t="shared" si="8"/>
        <v>8.6134086939248754E-3</v>
      </c>
      <c r="F169" s="51"/>
    </row>
    <row r="170" spans="1:6" ht="15.75" customHeight="1" x14ac:dyDescent="0.25">
      <c r="A170" t="str">
        <f t="shared" si="9"/>
        <v>INZULZA PEDRO ORLANDO</v>
      </c>
      <c r="C170" s="66">
        <f t="shared" si="10"/>
        <v>800000</v>
      </c>
      <c r="D170" s="24">
        <f t="shared" si="11"/>
        <v>533.33333333333337</v>
      </c>
      <c r="E170" s="50">
        <f t="shared" si="8"/>
        <v>1.1486409161782521E-4</v>
      </c>
      <c r="F170" s="51"/>
    </row>
    <row r="171" spans="1:6" ht="15.75" customHeight="1" x14ac:dyDescent="0.25">
      <c r="A171" t="str">
        <f t="shared" si="9"/>
        <v>ISF SOFT S.A.</v>
      </c>
      <c r="C171" s="66">
        <f t="shared" si="10"/>
        <v>2820004.22</v>
      </c>
      <c r="D171" s="24">
        <f t="shared" si="11"/>
        <v>1880.0028133333335</v>
      </c>
      <c r="E171" s="50">
        <f t="shared" si="8"/>
        <v>4.0489652886091716E-4</v>
      </c>
      <c r="F171" s="51"/>
    </row>
    <row r="172" spans="1:6" ht="15.75" customHeight="1" x14ac:dyDescent="0.25">
      <c r="A172" t="str">
        <f t="shared" si="9"/>
        <v>J KOSTZER LIBRERIA LURO S R L</v>
      </c>
      <c r="C172" s="66">
        <f t="shared" si="10"/>
        <v>1205051.43</v>
      </c>
      <c r="D172" s="24">
        <f t="shared" si="11"/>
        <v>803.36761999999999</v>
      </c>
      <c r="E172" s="50">
        <f t="shared" si="8"/>
        <v>1.7302142232463908E-4</v>
      </c>
      <c r="F172" s="51"/>
    </row>
    <row r="173" spans="1:6" ht="15.75" customHeight="1" x14ac:dyDescent="0.25">
      <c r="A173" t="str">
        <f t="shared" si="9"/>
        <v>JEZAHEL S.A.</v>
      </c>
      <c r="C173" s="66">
        <f t="shared" si="10"/>
        <v>686070</v>
      </c>
      <c r="D173" s="24">
        <f t="shared" si="11"/>
        <v>457.38</v>
      </c>
      <c r="E173" s="50">
        <f t="shared" si="8"/>
        <v>9.8506009170301666E-5</v>
      </c>
      <c r="F173" s="51"/>
    </row>
    <row r="174" spans="1:6" ht="15.75" customHeight="1" x14ac:dyDescent="0.25">
      <c r="A174" t="str">
        <f t="shared" si="9"/>
        <v>JOSE MOSCUZZA Y CIA SACI</v>
      </c>
      <c r="C174" s="66">
        <f t="shared" si="10"/>
        <v>120270837.40000001</v>
      </c>
      <c r="D174" s="24">
        <f t="shared" si="11"/>
        <v>80180.558266666674</v>
      </c>
      <c r="E174" s="50">
        <f t="shared" si="8"/>
        <v>1.7268500607582699E-2</v>
      </c>
      <c r="F174" s="51"/>
    </row>
    <row r="175" spans="1:6" ht="15.75" customHeight="1" x14ac:dyDescent="0.25">
      <c r="A175" t="str">
        <f t="shared" si="9"/>
        <v>KEMKES ROMINA ALEJANDRA</v>
      </c>
      <c r="C175" s="66">
        <f t="shared" si="10"/>
        <v>490000</v>
      </c>
      <c r="D175" s="24">
        <f t="shared" si="11"/>
        <v>326.66666666666669</v>
      </c>
      <c r="E175" s="50">
        <f t="shared" si="8"/>
        <v>7.0354256115917941E-5</v>
      </c>
      <c r="F175" s="51"/>
    </row>
    <row r="176" spans="1:6" ht="15.75" customHeight="1" x14ac:dyDescent="0.25">
      <c r="A176" t="str">
        <f t="shared" si="9"/>
        <v>KIENE DIESEL</v>
      </c>
      <c r="C176" s="66">
        <f t="shared" si="10"/>
        <v>335045.59999999998</v>
      </c>
      <c r="D176" s="24">
        <f t="shared" si="11"/>
        <v>223.36373333333333</v>
      </c>
      <c r="E176" s="50">
        <f t="shared" si="8"/>
        <v>4.8105885618186521E-5</v>
      </c>
      <c r="F176" s="51"/>
    </row>
    <row r="177" spans="1:6" ht="15.75" customHeight="1" x14ac:dyDescent="0.25">
      <c r="A177" t="str">
        <f t="shared" si="9"/>
        <v>KOREA MARINE INDUSTRIAL CO LTD</v>
      </c>
      <c r="C177" s="66">
        <f t="shared" si="10"/>
        <v>1782642.4</v>
      </c>
      <c r="D177" s="24">
        <f t="shared" si="11"/>
        <v>1188.4282666666666</v>
      </c>
      <c r="E177" s="50">
        <f t="shared" si="8"/>
        <v>2.5595199994427471E-4</v>
      </c>
      <c r="F177" s="51"/>
    </row>
    <row r="178" spans="1:6" ht="15.75" customHeight="1" x14ac:dyDescent="0.25">
      <c r="A178" t="str">
        <f t="shared" si="9"/>
        <v>KUDOS LAB S.R.L</v>
      </c>
      <c r="C178" s="66">
        <f t="shared" si="10"/>
        <v>4762197</v>
      </c>
      <c r="D178" s="24">
        <f t="shared" si="11"/>
        <v>3174.7979999999998</v>
      </c>
      <c r="E178" s="50">
        <f t="shared" si="8"/>
        <v>6.8375679063766535E-4</v>
      </c>
      <c r="F178" s="51"/>
    </row>
    <row r="179" spans="1:6" ht="15.75" customHeight="1" x14ac:dyDescent="0.25">
      <c r="A179" t="str">
        <f t="shared" si="9"/>
        <v>KUHN PALACIOS Y PEREZ S.R.L</v>
      </c>
      <c r="C179" s="66">
        <f t="shared" si="10"/>
        <v>10635900</v>
      </c>
      <c r="D179" s="24">
        <f t="shared" si="11"/>
        <v>7090.6</v>
      </c>
      <c r="E179" s="50">
        <f t="shared" si="8"/>
        <v>1.527103740047534E-3</v>
      </c>
      <c r="F179" s="51"/>
    </row>
    <row r="180" spans="1:6" ht="15.75" customHeight="1" x14ac:dyDescent="0.25">
      <c r="A180" t="str">
        <f t="shared" si="9"/>
        <v>LA ACADEMIA 2001 SRL</v>
      </c>
      <c r="C180" s="66">
        <f t="shared" si="10"/>
        <v>3400000</v>
      </c>
      <c r="D180" s="24">
        <f t="shared" si="11"/>
        <v>2266.6666666666665</v>
      </c>
      <c r="E180" s="50">
        <f t="shared" si="8"/>
        <v>4.881723893757571E-4</v>
      </c>
      <c r="F180" s="51"/>
    </row>
    <row r="181" spans="1:6" ht="15.75" customHeight="1" x14ac:dyDescent="0.25">
      <c r="A181" t="str">
        <f t="shared" si="9"/>
        <v>LA CASA DEL FLEXIBLE SRL.</v>
      </c>
      <c r="C181" s="66">
        <f t="shared" si="10"/>
        <v>772453</v>
      </c>
      <c r="D181" s="24">
        <f t="shared" si="11"/>
        <v>514.96866666666665</v>
      </c>
      <c r="E181" s="50">
        <f t="shared" si="8"/>
        <v>1.1090889020307991E-4</v>
      </c>
      <c r="F181" s="51"/>
    </row>
    <row r="182" spans="1:6" ht="15.75" customHeight="1" x14ac:dyDescent="0.25">
      <c r="A182" t="str">
        <f t="shared" si="9"/>
        <v>LABORATORIO BIOQUIMICO MAR DEL PLATA  S.A.</v>
      </c>
      <c r="C182" s="66">
        <f t="shared" si="10"/>
        <v>1060612.46</v>
      </c>
      <c r="D182" s="24">
        <f t="shared" si="11"/>
        <v>707.07497333333333</v>
      </c>
      <c r="E182" s="50">
        <f t="shared" si="8"/>
        <v>1.5228285847055872E-4</v>
      </c>
      <c r="F182" s="51"/>
    </row>
    <row r="183" spans="1:6" ht="15.75" customHeight="1" x14ac:dyDescent="0.25">
      <c r="A183" t="str">
        <f t="shared" si="9"/>
        <v>LAKAUT S.A.</v>
      </c>
      <c r="C183" s="66">
        <f t="shared" si="10"/>
        <v>125025.66</v>
      </c>
      <c r="D183" s="24">
        <f t="shared" si="11"/>
        <v>83.350440000000006</v>
      </c>
      <c r="E183" s="50">
        <f t="shared" si="8"/>
        <v>1.7951198581023832E-5</v>
      </c>
      <c r="F183" s="51"/>
    </row>
    <row r="184" spans="1:6" ht="15.75" customHeight="1" x14ac:dyDescent="0.25">
      <c r="A184" t="str">
        <f t="shared" si="9"/>
        <v>LAMAZON GILDO WERFIL</v>
      </c>
      <c r="C184" s="66">
        <f t="shared" si="10"/>
        <v>1756600</v>
      </c>
      <c r="D184" s="24">
        <f t="shared" si="11"/>
        <v>1171.0666666666666</v>
      </c>
      <c r="E184" s="50">
        <f t="shared" si="8"/>
        <v>2.522128291698397E-4</v>
      </c>
      <c r="F184" s="51"/>
    </row>
    <row r="185" spans="1:6" ht="15.75" customHeight="1" x14ac:dyDescent="0.25">
      <c r="A185" t="str">
        <f t="shared" si="9"/>
        <v>LOQUAR S.R.L.</v>
      </c>
      <c r="C185" s="66">
        <f t="shared" si="10"/>
        <v>174240</v>
      </c>
      <c r="D185" s="24">
        <f t="shared" si="11"/>
        <v>116.16</v>
      </c>
      <c r="E185" s="50">
        <f t="shared" si="8"/>
        <v>2.5017399154362328E-5</v>
      </c>
      <c r="F185" s="51"/>
    </row>
    <row r="186" spans="1:6" ht="15.75" customHeight="1" x14ac:dyDescent="0.25">
      <c r="A186" t="str">
        <f t="shared" si="9"/>
        <v>LOY GUADALUPE ANAHI</v>
      </c>
      <c r="C186" s="66">
        <f t="shared" si="10"/>
        <v>8466800</v>
      </c>
      <c r="D186" s="24">
        <f t="shared" si="11"/>
        <v>5644.5333333333338</v>
      </c>
      <c r="E186" s="50">
        <f t="shared" si="8"/>
        <v>1.2156641136372532E-3</v>
      </c>
      <c r="F186" s="51"/>
    </row>
    <row r="187" spans="1:6" ht="15.75" customHeight="1" x14ac:dyDescent="0.25">
      <c r="A187" t="str">
        <f t="shared" si="9"/>
        <v>LUANCAR S.A.</v>
      </c>
      <c r="C187" s="66">
        <f t="shared" si="10"/>
        <v>846275</v>
      </c>
      <c r="D187" s="24">
        <f t="shared" si="11"/>
        <v>564.18333333333328</v>
      </c>
      <c r="E187" s="50">
        <f t="shared" si="8"/>
        <v>1.2150826141734378E-4</v>
      </c>
      <c r="F187" s="51"/>
    </row>
    <row r="188" spans="1:6" ht="15.75" customHeight="1" x14ac:dyDescent="0.25">
      <c r="A188" t="str">
        <f t="shared" si="9"/>
        <v>LUGO MAXIMILIANO JAVIER</v>
      </c>
      <c r="C188" s="66">
        <f t="shared" si="10"/>
        <v>5424290.8499999996</v>
      </c>
      <c r="D188" s="24">
        <f t="shared" si="11"/>
        <v>3616.1938999999998</v>
      </c>
      <c r="E188" s="50">
        <f t="shared" si="8"/>
        <v>7.788203014451637E-4</v>
      </c>
      <c r="F188" s="51"/>
    </row>
    <row r="189" spans="1:6" ht="15.75" customHeight="1" x14ac:dyDescent="0.25">
      <c r="A189" t="str">
        <f t="shared" si="9"/>
        <v>LUMATEC SRL</v>
      </c>
      <c r="C189" s="66">
        <f t="shared" si="10"/>
        <v>374765.85</v>
      </c>
      <c r="D189" s="24">
        <f t="shared" si="11"/>
        <v>249.84389999999999</v>
      </c>
      <c r="E189" s="50">
        <f t="shared" si="8"/>
        <v>5.3808923662040168E-5</v>
      </c>
      <c r="F189" s="51"/>
    </row>
    <row r="190" spans="1:6" ht="15.75" customHeight="1" x14ac:dyDescent="0.25">
      <c r="A190" t="str">
        <f t="shared" si="9"/>
        <v>M D Q QUIMICA GARVEY S A</v>
      </c>
      <c r="C190" s="66">
        <f t="shared" si="10"/>
        <v>6906859.2599999998</v>
      </c>
      <c r="D190" s="24">
        <f t="shared" si="11"/>
        <v>4604.5728399999998</v>
      </c>
      <c r="E190" s="50">
        <f t="shared" si="8"/>
        <v>9.9168764354008038E-4</v>
      </c>
      <c r="F190" s="51"/>
    </row>
    <row r="191" spans="1:6" ht="15.75" customHeight="1" x14ac:dyDescent="0.25">
      <c r="A191" t="str">
        <f t="shared" si="9"/>
        <v>M.F. S.A.</v>
      </c>
      <c r="C191" s="66">
        <f t="shared" si="10"/>
        <v>25535074.550000001</v>
      </c>
      <c r="D191" s="24">
        <f t="shared" si="11"/>
        <v>17023.383033333335</v>
      </c>
      <c r="E191" s="50">
        <f t="shared" si="8"/>
        <v>3.6663289282239963E-3</v>
      </c>
      <c r="F191" s="51"/>
    </row>
    <row r="192" spans="1:6" ht="15.75" customHeight="1" x14ac:dyDescent="0.25">
      <c r="A192" t="str">
        <f t="shared" si="9"/>
        <v>MADERAS MISIONES S. A.</v>
      </c>
      <c r="C192" s="66">
        <f t="shared" si="10"/>
        <v>1093788.02</v>
      </c>
      <c r="D192" s="24">
        <f t="shared" si="11"/>
        <v>729.19201333333331</v>
      </c>
      <c r="E192" s="50">
        <f t="shared" si="8"/>
        <v>1.5704620917469952E-4</v>
      </c>
      <c r="F192" s="51"/>
    </row>
    <row r="193" spans="1:6" ht="15.75" customHeight="1" x14ac:dyDescent="0.25">
      <c r="A193" t="str">
        <f t="shared" si="9"/>
        <v>MALEVO MEDINA BUZOS S.R.L.</v>
      </c>
      <c r="C193" s="66">
        <f t="shared" si="10"/>
        <v>2850000</v>
      </c>
      <c r="D193" s="24">
        <f t="shared" si="11"/>
        <v>1900</v>
      </c>
      <c r="E193" s="50">
        <f t="shared" si="8"/>
        <v>4.0920332638850229E-4</v>
      </c>
      <c r="F193" s="51"/>
    </row>
    <row r="194" spans="1:6" ht="15.75" customHeight="1" x14ac:dyDescent="0.25">
      <c r="A194" t="str">
        <f t="shared" si="9"/>
        <v>MANGIATERRA RICARDO</v>
      </c>
      <c r="C194" s="66">
        <f t="shared" si="10"/>
        <v>216400</v>
      </c>
      <c r="D194" s="24">
        <f t="shared" si="11"/>
        <v>144.26666666666668</v>
      </c>
      <c r="E194" s="50">
        <f t="shared" si="8"/>
        <v>3.1070736782621722E-5</v>
      </c>
      <c r="F194" s="51"/>
    </row>
    <row r="195" spans="1:6" ht="15.75" customHeight="1" x14ac:dyDescent="0.25">
      <c r="A195" t="str">
        <f t="shared" si="9"/>
        <v>MANGIATERRA SANTIAGO EZEQUIEL</v>
      </c>
      <c r="C195" s="66">
        <f t="shared" si="10"/>
        <v>617600</v>
      </c>
      <c r="D195" s="24">
        <f t="shared" si="11"/>
        <v>411.73333333333335</v>
      </c>
      <c r="E195" s="50">
        <f t="shared" si="8"/>
        <v>8.8675078728961068E-5</v>
      </c>
      <c r="F195" s="51"/>
    </row>
    <row r="196" spans="1:6" ht="15.75" customHeight="1" x14ac:dyDescent="0.25">
      <c r="A196" t="str">
        <f t="shared" si="9"/>
        <v>MANTENIMIENTOS SUDESTE EMPRESA DE SERVICIOS SRL</v>
      </c>
      <c r="C196" s="66">
        <f t="shared" si="10"/>
        <v>25605441.870000001</v>
      </c>
      <c r="D196" s="24">
        <f t="shared" si="11"/>
        <v>17070.294580000002</v>
      </c>
      <c r="E196" s="50">
        <f t="shared" si="8"/>
        <v>3.6764322760882225E-3</v>
      </c>
      <c r="F196" s="51"/>
    </row>
    <row r="197" spans="1:6" ht="15.75" customHeight="1" x14ac:dyDescent="0.25">
      <c r="A197" t="str">
        <f t="shared" si="9"/>
        <v>MAR DEL PLATA PORT MANAGEMENT SRL</v>
      </c>
      <c r="C197" s="66">
        <f t="shared" si="10"/>
        <v>111040577.75</v>
      </c>
      <c r="D197" s="24">
        <f t="shared" si="11"/>
        <v>74027.051833333331</v>
      </c>
      <c r="E197" s="50">
        <f t="shared" ref="E197:E260" si="12">+D197/$D$328</f>
        <v>1.5943218869965303E-2</v>
      </c>
      <c r="F197" s="51"/>
    </row>
    <row r="198" spans="1:6" ht="15.75" customHeight="1" x14ac:dyDescent="0.25">
      <c r="A198" t="str">
        <f t="shared" ref="A198:A261" si="13">+B536</f>
        <v>MAR DEL PLATA SODA S A</v>
      </c>
      <c r="C198" s="66">
        <f t="shared" ref="C198:C261" si="14">+K536</f>
        <v>918835.91</v>
      </c>
      <c r="D198" s="24">
        <f t="shared" ref="D198:D261" si="15">+C198/$D$3</f>
        <v>612.55727333333334</v>
      </c>
      <c r="E198" s="50">
        <f t="shared" si="12"/>
        <v>1.3192656518498473E-4</v>
      </c>
      <c r="F198" s="51"/>
    </row>
    <row r="199" spans="1:6" ht="15.75" customHeight="1" x14ac:dyDescent="0.25">
      <c r="A199" t="str">
        <f t="shared" si="13"/>
        <v>MARCELO D. RODRIGUEZ CONSULTORES TRIBUTARIOS Y AUDITORES ASOCIADOS S.A.</v>
      </c>
      <c r="C199" s="66">
        <f t="shared" si="14"/>
        <v>2247817</v>
      </c>
      <c r="D199" s="24">
        <f t="shared" si="15"/>
        <v>1498.5446666666667</v>
      </c>
      <c r="E199" s="50">
        <f t="shared" si="12"/>
        <v>3.2274182228513124E-4</v>
      </c>
      <c r="F199" s="51"/>
    </row>
    <row r="200" spans="1:6" ht="15.75" customHeight="1" x14ac:dyDescent="0.25">
      <c r="A200" t="str">
        <f t="shared" si="13"/>
        <v>MARESAT COMMUNICATIONS LLP</v>
      </c>
      <c r="C200" s="66">
        <f t="shared" si="14"/>
        <v>132604827.2</v>
      </c>
      <c r="D200" s="24">
        <f t="shared" si="15"/>
        <v>88403.218133333328</v>
      </c>
      <c r="E200" s="50">
        <f t="shared" si="12"/>
        <v>1.9039416275583348E-2</v>
      </c>
      <c r="F200" s="51"/>
    </row>
    <row r="201" spans="1:6" ht="15.75" customHeight="1" x14ac:dyDescent="0.25">
      <c r="A201" t="str">
        <f t="shared" si="13"/>
        <v>MARITIMA GITAN SA</v>
      </c>
      <c r="C201" s="66">
        <f t="shared" si="14"/>
        <v>30696237</v>
      </c>
      <c r="D201" s="24">
        <f t="shared" si="15"/>
        <v>20464.157999999999</v>
      </c>
      <c r="E201" s="50">
        <f t="shared" si="12"/>
        <v>4.4073692238630951E-3</v>
      </c>
      <c r="F201" s="51"/>
    </row>
    <row r="202" spans="1:6" ht="15.75" customHeight="1" x14ac:dyDescent="0.25">
      <c r="A202" t="str">
        <f t="shared" si="13"/>
        <v>MARITIMA OBISPO S.A.S.</v>
      </c>
      <c r="C202" s="66">
        <f t="shared" si="14"/>
        <v>2365000</v>
      </c>
      <c r="D202" s="24">
        <f t="shared" si="15"/>
        <v>1576.6666666666667</v>
      </c>
      <c r="E202" s="50">
        <f t="shared" si="12"/>
        <v>3.3956697084519576E-4</v>
      </c>
      <c r="F202" s="51"/>
    </row>
    <row r="203" spans="1:6" ht="15.75" customHeight="1" x14ac:dyDescent="0.25">
      <c r="A203" t="str">
        <f t="shared" si="13"/>
        <v>MARTINEZ JUAN ALBERTO BENJAMIN</v>
      </c>
      <c r="C203" s="66">
        <f t="shared" si="14"/>
        <v>393169.69</v>
      </c>
      <c r="D203" s="24">
        <f t="shared" si="15"/>
        <v>262.11312666666669</v>
      </c>
      <c r="E203" s="50">
        <f t="shared" si="12"/>
        <v>5.6451349116889923E-5</v>
      </c>
      <c r="F203" s="51"/>
    </row>
    <row r="204" spans="1:6" ht="15.75" customHeight="1" x14ac:dyDescent="0.25">
      <c r="A204" t="str">
        <f t="shared" si="13"/>
        <v>MARTINEZ ROSANA PATRICIA</v>
      </c>
      <c r="C204" s="66">
        <f t="shared" si="14"/>
        <v>2039334</v>
      </c>
      <c r="D204" s="24">
        <f t="shared" si="15"/>
        <v>1359.556</v>
      </c>
      <c r="E204" s="50">
        <f t="shared" si="12"/>
        <v>2.9280780926918245E-4</v>
      </c>
      <c r="F204" s="51"/>
    </row>
    <row r="205" spans="1:6" ht="15.75" customHeight="1" x14ac:dyDescent="0.25">
      <c r="A205" t="str">
        <f t="shared" si="13"/>
        <v>MASSA LUIS ALEJANDRO</v>
      </c>
      <c r="C205" s="66">
        <f t="shared" si="14"/>
        <v>3165553.6</v>
      </c>
      <c r="D205" s="24">
        <f t="shared" si="15"/>
        <v>2110.3690666666666</v>
      </c>
      <c r="E205" s="50">
        <f t="shared" si="12"/>
        <v>4.5451054841442052E-4</v>
      </c>
      <c r="F205" s="51"/>
    </row>
    <row r="206" spans="1:6" ht="15.75" customHeight="1" x14ac:dyDescent="0.25">
      <c r="A206" t="str">
        <f t="shared" si="13"/>
        <v>MATEJCICH SANDRA EDITH</v>
      </c>
      <c r="C206" s="66">
        <f t="shared" si="14"/>
        <v>798600</v>
      </c>
      <c r="D206" s="24">
        <f t="shared" si="15"/>
        <v>532.4</v>
      </c>
      <c r="E206" s="50">
        <f t="shared" si="12"/>
        <v>1.1466307945749401E-4</v>
      </c>
      <c r="F206" s="51"/>
    </row>
    <row r="207" spans="1:6" ht="15.75" customHeight="1" x14ac:dyDescent="0.25">
      <c r="A207" t="str">
        <f t="shared" si="13"/>
        <v>MATTINA HNOS S.A.C.I.A.N.</v>
      </c>
      <c r="C207" s="66">
        <f t="shared" si="14"/>
        <v>23190221.34</v>
      </c>
      <c r="D207" s="24">
        <f t="shared" si="15"/>
        <v>15460.147559999999</v>
      </c>
      <c r="E207" s="50">
        <f t="shared" si="12"/>
        <v>3.3296546357942563E-3</v>
      </c>
      <c r="F207" s="51"/>
    </row>
    <row r="208" spans="1:6" ht="15.75" customHeight="1" x14ac:dyDescent="0.25">
      <c r="A208" t="str">
        <f t="shared" si="13"/>
        <v>MAYEKAWA ARGENTINA S.A.</v>
      </c>
      <c r="C208" s="66">
        <f t="shared" si="14"/>
        <v>44800717.850000001</v>
      </c>
      <c r="D208" s="24">
        <f t="shared" si="15"/>
        <v>29867.145233333333</v>
      </c>
      <c r="E208" s="50">
        <f t="shared" si="12"/>
        <v>6.4324921995834216E-3</v>
      </c>
      <c r="F208" s="51"/>
    </row>
    <row r="209" spans="1:6" ht="15.75" customHeight="1" x14ac:dyDescent="0.25">
      <c r="A209" t="str">
        <f t="shared" si="13"/>
        <v>MEDINA LEONEL JESUS</v>
      </c>
      <c r="C209" s="66">
        <f t="shared" si="14"/>
        <v>8936000</v>
      </c>
      <c r="D209" s="24">
        <f t="shared" si="15"/>
        <v>5957.333333333333</v>
      </c>
      <c r="E209" s="50">
        <f t="shared" si="12"/>
        <v>1.2830319033711075E-3</v>
      </c>
      <c r="F209" s="51"/>
    </row>
    <row r="210" spans="1:6" ht="15.75" customHeight="1" x14ac:dyDescent="0.25">
      <c r="A210" t="str">
        <f t="shared" si="13"/>
        <v>MEDITERRANEAN SHIPPING COMPANY S A</v>
      </c>
      <c r="C210" s="66">
        <f t="shared" si="14"/>
        <v>58760</v>
      </c>
      <c r="D210" s="24">
        <f t="shared" si="15"/>
        <v>39.173333333333332</v>
      </c>
      <c r="E210" s="50">
        <f t="shared" si="12"/>
        <v>8.4367675293292609E-6</v>
      </c>
      <c r="F210" s="51"/>
    </row>
    <row r="211" spans="1:6" ht="15.75" customHeight="1" x14ac:dyDescent="0.25">
      <c r="A211" t="str">
        <f t="shared" si="13"/>
        <v>MELCHOR CESAR HUGO</v>
      </c>
      <c r="C211" s="66">
        <f t="shared" si="14"/>
        <v>1694000</v>
      </c>
      <c r="D211" s="24">
        <f t="shared" si="15"/>
        <v>1129.3333333333333</v>
      </c>
      <c r="E211" s="50">
        <f t="shared" si="12"/>
        <v>2.4322471400074487E-4</v>
      </c>
      <c r="F211" s="51"/>
    </row>
    <row r="212" spans="1:6" ht="15.75" customHeight="1" x14ac:dyDescent="0.25">
      <c r="A212" t="str">
        <f t="shared" si="13"/>
        <v>METALGEN FORJA SRL</v>
      </c>
      <c r="C212" s="66">
        <f t="shared" si="14"/>
        <v>589853.86</v>
      </c>
      <c r="D212" s="24">
        <f t="shared" si="15"/>
        <v>393.23590666666666</v>
      </c>
      <c r="E212" s="50">
        <f t="shared" si="12"/>
        <v>8.4691284770209806E-5</v>
      </c>
      <c r="F212" s="51"/>
    </row>
    <row r="213" spans="1:6" ht="15.75" customHeight="1" x14ac:dyDescent="0.25">
      <c r="A213" t="str">
        <f t="shared" si="13"/>
        <v>MEYER SACIF</v>
      </c>
      <c r="C213" s="66">
        <f t="shared" si="14"/>
        <v>71298.94</v>
      </c>
      <c r="D213" s="24">
        <f t="shared" si="15"/>
        <v>47.532626666666665</v>
      </c>
      <c r="E213" s="50">
        <f t="shared" si="12"/>
        <v>1.0237109970517278E-5</v>
      </c>
      <c r="F213" s="51"/>
    </row>
    <row r="214" spans="1:6" ht="15.75" customHeight="1" x14ac:dyDescent="0.25">
      <c r="A214" t="str">
        <f t="shared" si="13"/>
        <v>MICCIO´S SOCIEDAD ANONIMA</v>
      </c>
      <c r="C214" s="66">
        <f t="shared" si="14"/>
        <v>10194423.359999999</v>
      </c>
      <c r="D214" s="24">
        <f t="shared" si="15"/>
        <v>6796.2822399999995</v>
      </c>
      <c r="E214" s="50">
        <f t="shared" si="12"/>
        <v>1.4637164735174218E-3</v>
      </c>
      <c r="F214" s="51"/>
    </row>
    <row r="215" spans="1:6" ht="15.75" customHeight="1" x14ac:dyDescent="0.25">
      <c r="A215" t="str">
        <f t="shared" si="13"/>
        <v>MOENS PABLO ENRIQUE</v>
      </c>
      <c r="C215" s="66">
        <f t="shared" si="14"/>
        <v>2275979.2200000002</v>
      </c>
      <c r="D215" s="24">
        <f t="shared" si="15"/>
        <v>1517.3194800000001</v>
      </c>
      <c r="E215" s="50">
        <f t="shared" si="12"/>
        <v>3.2678535705793298E-4</v>
      </c>
      <c r="F215" s="51"/>
    </row>
    <row r="216" spans="1:6" ht="15.75" customHeight="1" x14ac:dyDescent="0.25">
      <c r="A216" t="str">
        <f t="shared" si="13"/>
        <v>MONITOREO Y VIGILANCIA MEDINILLA S.A</v>
      </c>
      <c r="C216" s="66">
        <f t="shared" si="14"/>
        <v>62804373.420000002</v>
      </c>
      <c r="D216" s="24">
        <f t="shared" si="15"/>
        <v>41869.582280000002</v>
      </c>
      <c r="E216" s="50">
        <f t="shared" si="12"/>
        <v>9.0174591281437337E-3</v>
      </c>
      <c r="F216" s="51"/>
    </row>
    <row r="217" spans="1:6" ht="15.75" customHeight="1" x14ac:dyDescent="0.25">
      <c r="A217" t="str">
        <f t="shared" si="13"/>
        <v>MOREIRA ROLANDO RAMON</v>
      </c>
      <c r="C217" s="66">
        <f t="shared" si="14"/>
        <v>460000.26</v>
      </c>
      <c r="D217" s="24">
        <f t="shared" si="15"/>
        <v>306.66683999999998</v>
      </c>
      <c r="E217" s="50">
        <f t="shared" si="12"/>
        <v>6.6046890011079264E-5</v>
      </c>
      <c r="F217" s="51"/>
    </row>
    <row r="218" spans="1:6" ht="15.75" customHeight="1" x14ac:dyDescent="0.25">
      <c r="A218" t="str">
        <f t="shared" si="13"/>
        <v>MORENI HNOS. S.R.L.</v>
      </c>
      <c r="C218" s="66">
        <f t="shared" si="14"/>
        <v>323634.28000000003</v>
      </c>
      <c r="D218" s="24">
        <f t="shared" si="15"/>
        <v>215.75618666666668</v>
      </c>
      <c r="E218" s="50">
        <f t="shared" si="12"/>
        <v>4.6467446985736125E-5</v>
      </c>
      <c r="F218" s="51"/>
    </row>
    <row r="219" spans="1:6" ht="15.75" customHeight="1" x14ac:dyDescent="0.25">
      <c r="A219" t="str">
        <f t="shared" si="13"/>
        <v>MOTORES ELECTRICOS MAR DEL PLATA S.R.L.</v>
      </c>
      <c r="C219" s="66">
        <f t="shared" si="14"/>
        <v>6629590</v>
      </c>
      <c r="D219" s="24">
        <f t="shared" si="15"/>
        <v>4419.7266666666665</v>
      </c>
      <c r="E219" s="50">
        <f t="shared" si="12"/>
        <v>9.5187729143577217E-4</v>
      </c>
      <c r="F219" s="51"/>
    </row>
    <row r="220" spans="1:6" ht="15.75" customHeight="1" x14ac:dyDescent="0.25">
      <c r="A220" t="str">
        <f t="shared" si="13"/>
        <v>MPE S.A.</v>
      </c>
      <c r="C220" s="66">
        <f t="shared" si="14"/>
        <v>167169.97</v>
      </c>
      <c r="D220" s="24">
        <f t="shared" si="15"/>
        <v>111.44664666666667</v>
      </c>
      <c r="E220" s="50">
        <f t="shared" si="12"/>
        <v>2.4002283437286362E-5</v>
      </c>
      <c r="F220" s="51"/>
    </row>
    <row r="221" spans="1:6" ht="15.75" customHeight="1" x14ac:dyDescent="0.25">
      <c r="A221" t="str">
        <f t="shared" si="13"/>
        <v>N.M.A. NAUTIC TECH ENGINEERING SUPPORT SLU</v>
      </c>
      <c r="C221" s="66">
        <f t="shared" si="14"/>
        <v>13351649.470000001</v>
      </c>
      <c r="D221" s="24">
        <f t="shared" si="15"/>
        <v>8901.0996466666675</v>
      </c>
      <c r="E221" s="50">
        <f t="shared" si="12"/>
        <v>1.9170313599639593E-3</v>
      </c>
      <c r="F221" s="51"/>
    </row>
    <row r="222" spans="1:6" ht="15.75" customHeight="1" x14ac:dyDescent="0.25">
      <c r="A222" t="str">
        <f t="shared" si="13"/>
        <v>NAGODE MARIA SOL</v>
      </c>
      <c r="C222" s="66">
        <f t="shared" si="14"/>
        <v>1964125</v>
      </c>
      <c r="D222" s="24">
        <f t="shared" si="15"/>
        <v>1309.4166666666667</v>
      </c>
      <c r="E222" s="50">
        <f t="shared" si="12"/>
        <v>2.8200929243607617E-4</v>
      </c>
      <c r="F222" s="51"/>
    </row>
    <row r="223" spans="1:6" ht="15.75" customHeight="1" x14ac:dyDescent="0.25">
      <c r="A223" t="str">
        <f t="shared" si="13"/>
        <v>NAUTICAL SRL</v>
      </c>
      <c r="C223" s="66">
        <f t="shared" si="14"/>
        <v>3617900</v>
      </c>
      <c r="D223" s="24">
        <f t="shared" si="15"/>
        <v>2411.9333333333334</v>
      </c>
      <c r="E223" s="50">
        <f t="shared" si="12"/>
        <v>5.1945849633016229E-4</v>
      </c>
      <c r="F223" s="51"/>
    </row>
    <row r="224" spans="1:6" ht="15.75" customHeight="1" x14ac:dyDescent="0.25">
      <c r="A224" t="str">
        <f t="shared" si="13"/>
        <v>NAUTIQ SERVICE S.A.</v>
      </c>
      <c r="C224" s="66">
        <f t="shared" si="14"/>
        <v>306017.64</v>
      </c>
      <c r="D224" s="24">
        <f t="shared" si="15"/>
        <v>204.01176000000001</v>
      </c>
      <c r="E224" s="50">
        <f t="shared" si="12"/>
        <v>4.3938047797038319E-5</v>
      </c>
      <c r="F224" s="51"/>
    </row>
    <row r="225" spans="1:6" ht="15.75" customHeight="1" x14ac:dyDescent="0.25">
      <c r="A225" t="str">
        <f t="shared" si="13"/>
        <v>NAVAL STAR SA</v>
      </c>
      <c r="C225" s="66">
        <f t="shared" si="14"/>
        <v>9314917.25</v>
      </c>
      <c r="D225" s="24">
        <f t="shared" si="15"/>
        <v>6209.944833333333</v>
      </c>
      <c r="E225" s="50">
        <f t="shared" si="12"/>
        <v>1.3374368855205755E-3</v>
      </c>
      <c r="F225" s="51"/>
    </row>
    <row r="226" spans="1:6" ht="15.75" customHeight="1" x14ac:dyDescent="0.25">
      <c r="A226" t="str">
        <f t="shared" si="13"/>
        <v>NICLAU DESPACHANTES DE ADUANA S.A.</v>
      </c>
      <c r="C226" s="66">
        <f t="shared" si="14"/>
        <v>36429512.710000001</v>
      </c>
      <c r="D226" s="24">
        <f t="shared" si="15"/>
        <v>24286.341806666667</v>
      </c>
      <c r="E226" s="50">
        <f t="shared" si="12"/>
        <v>5.2305536068927095E-3</v>
      </c>
      <c r="F226" s="51"/>
    </row>
    <row r="227" spans="1:6" ht="15.75" customHeight="1" x14ac:dyDescent="0.25">
      <c r="A227" t="str">
        <f t="shared" si="13"/>
        <v>NSM FOODS &amp; LOG S.R.L</v>
      </c>
      <c r="C227" s="66">
        <f t="shared" si="14"/>
        <v>109119419.22</v>
      </c>
      <c r="D227" s="24">
        <f t="shared" si="15"/>
        <v>72746.279479999997</v>
      </c>
      <c r="E227" s="50">
        <f t="shared" si="12"/>
        <v>1.5667378708212446E-2</v>
      </c>
      <c r="F227" s="51"/>
    </row>
    <row r="228" spans="1:6" ht="15.75" customHeight="1" x14ac:dyDescent="0.25">
      <c r="A228" t="str">
        <f t="shared" si="13"/>
        <v>NUEVA EDISON FARMACEUTICA SCS</v>
      </c>
      <c r="C228" s="66">
        <f t="shared" si="14"/>
        <v>27426599.57</v>
      </c>
      <c r="D228" s="24">
        <f t="shared" si="15"/>
        <v>18284.399713333332</v>
      </c>
      <c r="E228" s="50">
        <f t="shared" si="12"/>
        <v>3.9379143072173564E-3</v>
      </c>
      <c r="F228" s="51"/>
    </row>
    <row r="229" spans="1:6" ht="15.75" customHeight="1" x14ac:dyDescent="0.25">
      <c r="A229" t="str">
        <f t="shared" si="13"/>
        <v>NUÑEZ JORGE DANIEL</v>
      </c>
      <c r="C229" s="66">
        <f t="shared" si="14"/>
        <v>1976900</v>
      </c>
      <c r="D229" s="24">
        <f t="shared" si="15"/>
        <v>1317.9333333333334</v>
      </c>
      <c r="E229" s="50">
        <f t="shared" si="12"/>
        <v>2.8384352839909833E-4</v>
      </c>
      <c r="F229" s="51"/>
    </row>
    <row r="230" spans="1:6" ht="15.75" customHeight="1" x14ac:dyDescent="0.25">
      <c r="A230" t="str">
        <f t="shared" si="13"/>
        <v>O.A.C.I. S.A.</v>
      </c>
      <c r="C230" s="66">
        <f t="shared" si="14"/>
        <v>62752868.030000001</v>
      </c>
      <c r="D230" s="24">
        <f t="shared" si="15"/>
        <v>41835.245353333332</v>
      </c>
      <c r="E230" s="50">
        <f t="shared" si="12"/>
        <v>9.0100639783490168E-3</v>
      </c>
      <c r="F230" s="51"/>
    </row>
    <row r="231" spans="1:6" ht="15.75" customHeight="1" x14ac:dyDescent="0.25">
      <c r="A231" t="str">
        <f t="shared" si="13"/>
        <v>OCA LOG S.A</v>
      </c>
      <c r="C231" s="66">
        <f t="shared" si="14"/>
        <v>558098.88</v>
      </c>
      <c r="D231" s="24">
        <f t="shared" si="15"/>
        <v>372.06592000000001</v>
      </c>
      <c r="E231" s="50">
        <f t="shared" si="12"/>
        <v>8.013190110515704E-5</v>
      </c>
      <c r="F231" s="51"/>
    </row>
    <row r="232" spans="1:6" ht="15.75" customHeight="1" x14ac:dyDescent="0.25">
      <c r="A232" t="str">
        <f t="shared" si="13"/>
        <v>OCCUPATIONAL MEDICINAE PUERTO MAR DEL PLATA S.R.L.</v>
      </c>
      <c r="C232" s="66">
        <f t="shared" si="14"/>
        <v>1482250</v>
      </c>
      <c r="D232" s="24">
        <f t="shared" si="15"/>
        <v>988.16666666666663</v>
      </c>
      <c r="E232" s="50">
        <f t="shared" si="12"/>
        <v>2.1282162475065177E-4</v>
      </c>
      <c r="F232" s="51"/>
    </row>
    <row r="233" spans="1:6" ht="15.75" customHeight="1" x14ac:dyDescent="0.25">
      <c r="A233" t="str">
        <f t="shared" si="13"/>
        <v>OMINT SOCIEDAD ANONIMA DE SERVICIOS</v>
      </c>
      <c r="C233" s="66">
        <f t="shared" si="14"/>
        <v>-2698.26</v>
      </c>
      <c r="D233" s="24">
        <f t="shared" si="15"/>
        <v>-1.7988400000000002</v>
      </c>
      <c r="E233" s="50">
        <f t="shared" si="12"/>
        <v>-3.8741647981089132E-7</v>
      </c>
      <c r="F233" s="51"/>
    </row>
    <row r="234" spans="1:6" ht="15.75" customHeight="1" x14ac:dyDescent="0.25">
      <c r="A234" t="str">
        <f t="shared" si="13"/>
        <v>OTI INTERNACIONAL S.A.</v>
      </c>
      <c r="C234" s="66">
        <f t="shared" si="14"/>
        <v>6202900</v>
      </c>
      <c r="D234" s="24">
        <f t="shared" si="15"/>
        <v>4135.2666666666664</v>
      </c>
      <c r="E234" s="50">
        <f t="shared" si="12"/>
        <v>8.9061309237025994E-4</v>
      </c>
      <c r="F234" s="51"/>
    </row>
    <row r="235" spans="1:6" ht="15.75" customHeight="1" x14ac:dyDescent="0.25">
      <c r="A235" t="str">
        <f t="shared" si="13"/>
        <v>OUBIÑA LUCIANA LORENA</v>
      </c>
      <c r="C235" s="66">
        <f t="shared" si="14"/>
        <v>1656913.5</v>
      </c>
      <c r="D235" s="24">
        <f t="shared" si="15"/>
        <v>1104.6089999999999</v>
      </c>
      <c r="E235" s="50">
        <f t="shared" si="12"/>
        <v>2.3789983008351426E-4</v>
      </c>
      <c r="F235" s="51"/>
    </row>
    <row r="236" spans="1:6" ht="15.75" customHeight="1" x14ac:dyDescent="0.25">
      <c r="A236" t="str">
        <f t="shared" si="13"/>
        <v>OVERRUKA S.R.L.</v>
      </c>
      <c r="C236" s="66">
        <f t="shared" si="14"/>
        <v>2554290.64</v>
      </c>
      <c r="D236" s="24">
        <f t="shared" si="15"/>
        <v>1702.8604266666669</v>
      </c>
      <c r="E236" s="50">
        <f t="shared" si="12"/>
        <v>3.6674534261439175E-4</v>
      </c>
      <c r="F236" s="51"/>
    </row>
    <row r="237" spans="1:6" ht="15.75" customHeight="1" x14ac:dyDescent="0.25">
      <c r="A237" t="str">
        <f t="shared" si="13"/>
        <v>PACKAGING Y SERVICIOS S.A.</v>
      </c>
      <c r="C237" s="66">
        <f t="shared" si="14"/>
        <v>16552800</v>
      </c>
      <c r="D237" s="24">
        <f t="shared" si="15"/>
        <v>11035.2</v>
      </c>
      <c r="E237" s="50">
        <f t="shared" si="12"/>
        <v>2.3766529196644214E-3</v>
      </c>
      <c r="F237" s="51"/>
    </row>
    <row r="238" spans="1:6" ht="15.75" customHeight="1" x14ac:dyDescent="0.25">
      <c r="A238" t="str">
        <f t="shared" si="13"/>
        <v>PALADINI SA</v>
      </c>
      <c r="C238" s="66">
        <f t="shared" si="14"/>
        <v>2111819.71</v>
      </c>
      <c r="D238" s="24">
        <f t="shared" si="15"/>
        <v>1407.8798066666666</v>
      </c>
      <c r="E238" s="50">
        <f t="shared" si="12"/>
        <v>3.0321531581221131E-4</v>
      </c>
      <c r="F238" s="51"/>
    </row>
    <row r="239" spans="1:6" ht="15.75" customHeight="1" x14ac:dyDescent="0.25">
      <c r="A239" t="str">
        <f t="shared" si="13"/>
        <v>PANZIERA FABIAN ENRIQUE</v>
      </c>
      <c r="C239" s="66">
        <f t="shared" si="14"/>
        <v>22659670</v>
      </c>
      <c r="D239" s="24">
        <f t="shared" si="15"/>
        <v>15106.446666666667</v>
      </c>
      <c r="E239" s="50">
        <f t="shared" si="12"/>
        <v>3.2534780136371064E-3</v>
      </c>
      <c r="F239" s="51"/>
    </row>
    <row r="240" spans="1:6" ht="15.75" customHeight="1" x14ac:dyDescent="0.25">
      <c r="A240" t="str">
        <f t="shared" si="13"/>
        <v>PESCE GRACIELA MARGARITA</v>
      </c>
      <c r="C240" s="66">
        <f t="shared" si="14"/>
        <v>75348550</v>
      </c>
      <c r="D240" s="24">
        <f t="shared" si="15"/>
        <v>50232.366666666669</v>
      </c>
      <c r="E240" s="50">
        <f t="shared" si="12"/>
        <v>1.0818553438087854E-2</v>
      </c>
      <c r="F240" s="51"/>
    </row>
    <row r="241" spans="1:6" ht="15.75" customHeight="1" x14ac:dyDescent="0.25">
      <c r="A241" t="str">
        <f t="shared" si="13"/>
        <v>PESQUERA SAN CAYETANO S.A.</v>
      </c>
      <c r="C241" s="66">
        <f t="shared" si="14"/>
        <v>281471413.98000002</v>
      </c>
      <c r="D241" s="24">
        <f t="shared" si="15"/>
        <v>187647.60932000002</v>
      </c>
      <c r="E241" s="50">
        <f t="shared" si="12"/>
        <v>4.0413697853996913E-2</v>
      </c>
      <c r="F241" s="51"/>
    </row>
    <row r="242" spans="1:6" ht="15.75" customHeight="1" x14ac:dyDescent="0.25">
      <c r="A242" t="str">
        <f t="shared" si="13"/>
        <v>PINTURERIA PLATERO JFJ S.A</v>
      </c>
      <c r="C242" s="66">
        <f t="shared" si="14"/>
        <v>36755956.380000003</v>
      </c>
      <c r="D242" s="24">
        <f t="shared" si="15"/>
        <v>24503.970920000003</v>
      </c>
      <c r="E242" s="50">
        <f t="shared" si="12"/>
        <v>5.2774244264163842E-3</v>
      </c>
      <c r="F242" s="51"/>
    </row>
    <row r="243" spans="1:6" ht="15.75" customHeight="1" x14ac:dyDescent="0.25">
      <c r="A243" t="str">
        <f t="shared" si="13"/>
        <v>PLUMIER S.R.L.</v>
      </c>
      <c r="C243" s="66">
        <f t="shared" si="14"/>
        <v>2258925</v>
      </c>
      <c r="D243" s="24">
        <f t="shared" si="15"/>
        <v>1505.95</v>
      </c>
      <c r="E243" s="50">
        <f t="shared" si="12"/>
        <v>3.2433671019724476E-4</v>
      </c>
      <c r="F243" s="51"/>
    </row>
    <row r="244" spans="1:6" ht="15.75" customHeight="1" x14ac:dyDescent="0.25">
      <c r="A244" t="str">
        <f t="shared" si="13"/>
        <v>PM REFRIGERACION INDUSTRIAL S.A</v>
      </c>
      <c r="C244" s="66">
        <f t="shared" si="14"/>
        <v>91800000</v>
      </c>
      <c r="D244" s="24">
        <f t="shared" si="15"/>
        <v>61200</v>
      </c>
      <c r="E244" s="50">
        <f t="shared" si="12"/>
        <v>1.3180654513145443E-2</v>
      </c>
      <c r="F244" s="51"/>
    </row>
    <row r="245" spans="1:6" ht="15.75" customHeight="1" x14ac:dyDescent="0.25">
      <c r="A245" t="str">
        <f t="shared" si="13"/>
        <v>PMDP SA</v>
      </c>
      <c r="C245" s="66">
        <f t="shared" si="14"/>
        <v>11720994.890000001</v>
      </c>
      <c r="D245" s="24">
        <f t="shared" si="15"/>
        <v>7813.9965933333333</v>
      </c>
      <c r="E245" s="50">
        <f t="shared" si="12"/>
        <v>1.6829017886212762E-3</v>
      </c>
      <c r="F245" s="51"/>
    </row>
    <row r="246" spans="1:6" ht="15.75" customHeight="1" x14ac:dyDescent="0.25">
      <c r="A246" t="str">
        <f t="shared" si="13"/>
        <v>POLIURETANO Y PLASTICO PROYECTADO S.R.L.</v>
      </c>
      <c r="C246" s="66">
        <f t="shared" si="14"/>
        <v>3603259</v>
      </c>
      <c r="D246" s="24">
        <f t="shared" si="15"/>
        <v>2402.1726666666668</v>
      </c>
      <c r="E246" s="50">
        <f t="shared" si="12"/>
        <v>5.1735633987344152E-4</v>
      </c>
      <c r="F246" s="51"/>
    </row>
    <row r="247" spans="1:6" ht="15.75" customHeight="1" x14ac:dyDescent="0.25">
      <c r="A247" t="str">
        <f t="shared" si="13"/>
        <v>PREMIAR COMPAÑIA ARGENTINA DE SEGUROS</v>
      </c>
      <c r="C247" s="66">
        <f t="shared" si="14"/>
        <v>285345</v>
      </c>
      <c r="D247" s="24">
        <f t="shared" si="15"/>
        <v>190.23</v>
      </c>
      <c r="E247" s="50">
        <f t="shared" si="12"/>
        <v>4.0969867778360414E-5</v>
      </c>
      <c r="F247" s="51"/>
    </row>
    <row r="248" spans="1:6" ht="15.75" customHeight="1" x14ac:dyDescent="0.25">
      <c r="A248" t="str">
        <f t="shared" si="13"/>
        <v>PRESTIGIO SA</v>
      </c>
      <c r="C248" s="66">
        <f t="shared" si="14"/>
        <v>2937176.16</v>
      </c>
      <c r="D248" s="24">
        <f t="shared" si="15"/>
        <v>1958.11744</v>
      </c>
      <c r="E248" s="50">
        <f t="shared" si="12"/>
        <v>4.21720089424915E-4</v>
      </c>
      <c r="F248" s="51"/>
    </row>
    <row r="249" spans="1:6" ht="15.75" customHeight="1" x14ac:dyDescent="0.25">
      <c r="A249" t="str">
        <f t="shared" si="13"/>
        <v>PRODUCTOS PORCINOS SA</v>
      </c>
      <c r="C249" s="66">
        <f t="shared" si="14"/>
        <v>1408240.08</v>
      </c>
      <c r="D249" s="24">
        <f t="shared" si="15"/>
        <v>938.82672000000002</v>
      </c>
      <c r="E249" s="50">
        <f t="shared" si="12"/>
        <v>2.0219527196126689E-4</v>
      </c>
      <c r="F249" s="51"/>
    </row>
    <row r="250" spans="1:6" ht="15.75" customHeight="1" x14ac:dyDescent="0.25">
      <c r="A250" t="str">
        <f t="shared" si="13"/>
        <v>PROYECTO ORION SRL</v>
      </c>
      <c r="C250" s="66">
        <f t="shared" si="14"/>
        <v>2387088</v>
      </c>
      <c r="D250" s="24">
        <f t="shared" si="15"/>
        <v>1591.3920000000001</v>
      </c>
      <c r="E250" s="50">
        <f t="shared" si="12"/>
        <v>3.427383684147639E-4</v>
      </c>
      <c r="F250" s="51"/>
    </row>
    <row r="251" spans="1:6" ht="15.75" customHeight="1" x14ac:dyDescent="0.25">
      <c r="A251" t="str">
        <f t="shared" si="13"/>
        <v>PUNTO TECNICO S.R.L.</v>
      </c>
      <c r="C251" s="66">
        <f t="shared" si="14"/>
        <v>27325000</v>
      </c>
      <c r="D251" s="24">
        <f t="shared" si="15"/>
        <v>18216.666666666668</v>
      </c>
      <c r="E251" s="50">
        <f t="shared" si="12"/>
        <v>3.9233266293213429E-3</v>
      </c>
      <c r="F251" s="51"/>
    </row>
    <row r="252" spans="1:6" ht="15.75" customHeight="1" x14ac:dyDescent="0.25">
      <c r="A252" t="str">
        <f t="shared" si="13"/>
        <v>QUINCI JUAN FRANCISCO</v>
      </c>
      <c r="C252" s="66">
        <f t="shared" si="14"/>
        <v>283140</v>
      </c>
      <c r="D252" s="24">
        <f t="shared" si="15"/>
        <v>188.76</v>
      </c>
      <c r="E252" s="50">
        <f t="shared" si="12"/>
        <v>4.0653273625838782E-5</v>
      </c>
      <c r="F252" s="51"/>
    </row>
    <row r="253" spans="1:6" ht="15.75" customHeight="1" x14ac:dyDescent="0.25">
      <c r="A253" t="str">
        <f t="shared" si="13"/>
        <v>RECFIMAR S.A</v>
      </c>
      <c r="C253" s="66">
        <f t="shared" si="14"/>
        <v>10080000</v>
      </c>
      <c r="D253" s="24">
        <f t="shared" si="15"/>
        <v>6720</v>
      </c>
      <c r="E253" s="50">
        <f t="shared" si="12"/>
        <v>1.4472875543845975E-3</v>
      </c>
      <c r="F253" s="51"/>
    </row>
    <row r="254" spans="1:6" ht="15.75" customHeight="1" x14ac:dyDescent="0.25">
      <c r="A254" t="str">
        <f t="shared" si="13"/>
        <v>REMOLCADORES MAR DEL PLATA S.A. UNION TRANSITORIA</v>
      </c>
      <c r="C254" s="66">
        <f t="shared" si="14"/>
        <v>15794372</v>
      </c>
      <c r="D254" s="24">
        <f t="shared" si="15"/>
        <v>10529.581333333334</v>
      </c>
      <c r="E254" s="50">
        <f t="shared" si="12"/>
        <v>2.2677577405675166E-3</v>
      </c>
      <c r="F254" s="51"/>
    </row>
    <row r="255" spans="1:6" ht="15.75" customHeight="1" x14ac:dyDescent="0.25">
      <c r="A255" t="str">
        <f t="shared" si="13"/>
        <v>REPARACIONES DON MARCOS SRL</v>
      </c>
      <c r="C255" s="66">
        <f t="shared" si="14"/>
        <v>3440000</v>
      </c>
      <c r="D255" s="24">
        <f t="shared" si="15"/>
        <v>2293.3333333333335</v>
      </c>
      <c r="E255" s="50">
        <f t="shared" si="12"/>
        <v>4.9391559395664845E-4</v>
      </c>
      <c r="F255" s="51"/>
    </row>
    <row r="256" spans="1:6" ht="15.75" customHeight="1" x14ac:dyDescent="0.25">
      <c r="A256" t="str">
        <f t="shared" si="13"/>
        <v>RESISTENCIAS MDP S.R.L.</v>
      </c>
      <c r="C256" s="66">
        <f t="shared" si="14"/>
        <v>11345735.25</v>
      </c>
      <c r="D256" s="24">
        <f t="shared" si="15"/>
        <v>7563.8235000000004</v>
      </c>
      <c r="E256" s="50">
        <f t="shared" si="12"/>
        <v>1.6290219665344864E-3</v>
      </c>
      <c r="F256" s="51"/>
    </row>
    <row r="257" spans="1:6" ht="15.75" customHeight="1" x14ac:dyDescent="0.25">
      <c r="A257" t="str">
        <f t="shared" si="13"/>
        <v>RICARTE PAMELA GISELE</v>
      </c>
      <c r="C257" s="66">
        <f t="shared" si="14"/>
        <v>11810019</v>
      </c>
      <c r="D257" s="24">
        <f t="shared" si="15"/>
        <v>7873.3459999999995</v>
      </c>
      <c r="E257" s="50">
        <f t="shared" si="12"/>
        <v>1.6956838805303204E-3</v>
      </c>
      <c r="F257" s="51"/>
    </row>
    <row r="258" spans="1:6" ht="15.75" customHeight="1" x14ac:dyDescent="0.25">
      <c r="A258" t="str">
        <f t="shared" si="13"/>
        <v>RODINIA S.A.</v>
      </c>
      <c r="C258" s="66">
        <f t="shared" si="14"/>
        <v>6964433.2999999998</v>
      </c>
      <c r="D258" s="24">
        <f t="shared" si="15"/>
        <v>4642.9555333333328</v>
      </c>
      <c r="E258" s="50">
        <f t="shared" si="12"/>
        <v>9.9995413079679088E-4</v>
      </c>
      <c r="F258" s="51"/>
    </row>
    <row r="259" spans="1:6" ht="15.75" customHeight="1" x14ac:dyDescent="0.25">
      <c r="A259" t="str">
        <f t="shared" si="13"/>
        <v>RODRIGUEZ ALEJANDRO DANIEL</v>
      </c>
      <c r="C259" s="66">
        <f t="shared" si="14"/>
        <v>7717251.7400000002</v>
      </c>
      <c r="D259" s="24">
        <f t="shared" si="15"/>
        <v>5144.8344933333337</v>
      </c>
      <c r="E259" s="50">
        <f t="shared" si="12"/>
        <v>1.1080438886264764E-3</v>
      </c>
      <c r="F259" s="51"/>
    </row>
    <row r="260" spans="1:6" ht="15.75" customHeight="1" x14ac:dyDescent="0.25">
      <c r="A260" t="str">
        <f t="shared" si="13"/>
        <v>ROTH SRL</v>
      </c>
      <c r="C260" s="66">
        <f t="shared" si="14"/>
        <v>3348276.82</v>
      </c>
      <c r="D260" s="24">
        <f t="shared" si="15"/>
        <v>2232.1845466666664</v>
      </c>
      <c r="E260" s="50">
        <f t="shared" si="12"/>
        <v>4.8074596926790046E-4</v>
      </c>
      <c r="F260" s="51"/>
    </row>
    <row r="261" spans="1:6" ht="15.75" customHeight="1" x14ac:dyDescent="0.25">
      <c r="A261" t="str">
        <f t="shared" si="13"/>
        <v>S.C.F. S.R.L.</v>
      </c>
      <c r="C261" s="66">
        <f t="shared" si="14"/>
        <v>6382630.21</v>
      </c>
      <c r="D261" s="24">
        <f t="shared" si="15"/>
        <v>4255.0868066666662</v>
      </c>
      <c r="E261" s="50">
        <f t="shared" ref="E261:E324" si="16">+D261/$D$328</f>
        <v>9.1641877650517354E-4</v>
      </c>
      <c r="F261" s="51"/>
    </row>
    <row r="262" spans="1:6" ht="15.75" customHeight="1" x14ac:dyDescent="0.25">
      <c r="A262" t="str">
        <f t="shared" ref="A262:A325" si="17">+B600</f>
        <v>SALAS OSCAR LISANDRO</v>
      </c>
      <c r="C262" s="66">
        <f t="shared" ref="C262:C325" si="18">+K600</f>
        <v>628200</v>
      </c>
      <c r="D262" s="24">
        <f t="shared" ref="D262:D325" si="19">+C262/$D$3</f>
        <v>418.8</v>
      </c>
      <c r="E262" s="50">
        <f t="shared" si="16"/>
        <v>9.019702794289724E-5</v>
      </c>
      <c r="F262" s="51"/>
    </row>
    <row r="263" spans="1:6" ht="15.75" customHeight="1" x14ac:dyDescent="0.25">
      <c r="A263" t="str">
        <f t="shared" si="17"/>
        <v>SALEM ALDO ALBERTO Y AICARDI DERNANDO SEBASTIAN S H</v>
      </c>
      <c r="C263" s="66">
        <f t="shared" si="18"/>
        <v>4047038.6</v>
      </c>
      <c r="D263" s="24">
        <f t="shared" si="19"/>
        <v>2698.0257333333334</v>
      </c>
      <c r="E263" s="50">
        <f t="shared" si="16"/>
        <v>5.8107426566409381E-4</v>
      </c>
      <c r="F263" s="51"/>
    </row>
    <row r="264" spans="1:6" ht="15.75" customHeight="1" x14ac:dyDescent="0.25">
      <c r="A264" t="str">
        <f t="shared" si="17"/>
        <v>SALVADOR MALVICA S.R.L.</v>
      </c>
      <c r="C264" s="66">
        <f t="shared" si="18"/>
        <v>3761152.54</v>
      </c>
      <c r="D264" s="24">
        <f t="shared" si="19"/>
        <v>2507.4350266666665</v>
      </c>
      <c r="E264" s="50">
        <f t="shared" si="16"/>
        <v>5.4002671242896997E-4</v>
      </c>
      <c r="F264" s="51"/>
    </row>
    <row r="265" spans="1:6" ht="15.75" customHeight="1" x14ac:dyDescent="0.25">
      <c r="A265" t="str">
        <f t="shared" si="17"/>
        <v>SAMLOG S.R.L.</v>
      </c>
      <c r="C265" s="66">
        <f t="shared" si="18"/>
        <v>6096909.6399999997</v>
      </c>
      <c r="D265" s="24">
        <f t="shared" si="19"/>
        <v>4064.6064266666663</v>
      </c>
      <c r="E265" s="50">
        <f t="shared" si="16"/>
        <v>8.7539498434320204E-4</v>
      </c>
      <c r="F265" s="51"/>
    </row>
    <row r="266" spans="1:6" ht="15.75" customHeight="1" x14ac:dyDescent="0.25">
      <c r="A266" t="str">
        <f t="shared" si="17"/>
        <v>SAMULAK PAULO ARMANDO</v>
      </c>
      <c r="C266" s="66">
        <f t="shared" si="18"/>
        <v>24504740</v>
      </c>
      <c r="D266" s="24">
        <f t="shared" si="19"/>
        <v>16336.493333333334</v>
      </c>
      <c r="E266" s="50">
        <f t="shared" si="16"/>
        <v>3.5183933755387328E-3</v>
      </c>
      <c r="F266" s="51"/>
    </row>
    <row r="267" spans="1:6" ht="15.75" customHeight="1" x14ac:dyDescent="0.25">
      <c r="A267" t="str">
        <f t="shared" si="17"/>
        <v>SANKO ELECTRONICA S.R.L.</v>
      </c>
      <c r="C267" s="66">
        <f t="shared" si="18"/>
        <v>1858891</v>
      </c>
      <c r="D267" s="24">
        <f t="shared" si="19"/>
        <v>1239.2606666666666</v>
      </c>
      <c r="E267" s="50">
        <f t="shared" si="16"/>
        <v>2.6689978266443838E-4</v>
      </c>
      <c r="F267" s="51"/>
    </row>
    <row r="268" spans="1:6" ht="15.75" customHeight="1" x14ac:dyDescent="0.25">
      <c r="A268" t="str">
        <f t="shared" si="17"/>
        <v>SAVE SRL</v>
      </c>
      <c r="C268" s="66">
        <f t="shared" si="18"/>
        <v>3196491</v>
      </c>
      <c r="D268" s="24">
        <f t="shared" si="19"/>
        <v>2130.9940000000001</v>
      </c>
      <c r="E268" s="50">
        <f t="shared" si="16"/>
        <v>4.5895254384944214E-4</v>
      </c>
      <c r="F268" s="51"/>
    </row>
    <row r="269" spans="1:6" ht="15.75" customHeight="1" x14ac:dyDescent="0.25">
      <c r="A269" t="str">
        <f t="shared" si="17"/>
        <v>SCANIA ARGENTINA SAU</v>
      </c>
      <c r="C269" s="66">
        <f t="shared" si="18"/>
        <v>5488941</v>
      </c>
      <c r="D269" s="24">
        <f t="shared" si="19"/>
        <v>3659.2939999999999</v>
      </c>
      <c r="E269" s="50">
        <f t="shared" si="16"/>
        <v>7.8810277738604632E-4</v>
      </c>
      <c r="F269" s="51"/>
    </row>
    <row r="270" spans="1:6" ht="15.75" customHeight="1" x14ac:dyDescent="0.25">
      <c r="A270" t="str">
        <f t="shared" si="17"/>
        <v>SEA FOOD MEDIA GROUP LTD</v>
      </c>
      <c r="C270" s="66">
        <f t="shared" si="18"/>
        <v>1074310</v>
      </c>
      <c r="D270" s="24">
        <f t="shared" si="19"/>
        <v>716.20666666666671</v>
      </c>
      <c r="E270" s="50">
        <f t="shared" si="16"/>
        <v>1.5424955283243225E-4</v>
      </c>
      <c r="F270" s="51"/>
    </row>
    <row r="271" spans="1:6" ht="15.75" customHeight="1" x14ac:dyDescent="0.25">
      <c r="A271" t="str">
        <f t="shared" si="17"/>
        <v>SELEC ELECTRICIDAD Y ELECTRONICA S.R.L</v>
      </c>
      <c r="C271" s="66">
        <f t="shared" si="18"/>
        <v>358644</v>
      </c>
      <c r="D271" s="24">
        <f t="shared" si="19"/>
        <v>239.096</v>
      </c>
      <c r="E271" s="50">
        <f t="shared" si="16"/>
        <v>5.1494146592729131E-5</v>
      </c>
      <c r="F271" s="51"/>
    </row>
    <row r="272" spans="1:6" ht="15.75" customHeight="1" x14ac:dyDescent="0.25">
      <c r="A272" t="str">
        <f t="shared" si="17"/>
        <v>SERMATEL S.A.</v>
      </c>
      <c r="C272" s="66">
        <f t="shared" si="18"/>
        <v>94431.6</v>
      </c>
      <c r="D272" s="24">
        <f t="shared" si="19"/>
        <v>62.954400000000007</v>
      </c>
      <c r="E272" s="50">
        <f t="shared" si="16"/>
        <v>1.355849994252228E-5</v>
      </c>
      <c r="F272" s="51"/>
    </row>
    <row r="273" spans="1:6" ht="15.75" customHeight="1" x14ac:dyDescent="0.25">
      <c r="A273" t="str">
        <f t="shared" si="17"/>
        <v>SERRANO JORGE ALBERTO</v>
      </c>
      <c r="C273" s="66">
        <f t="shared" si="18"/>
        <v>799180.80000000005</v>
      </c>
      <c r="D273" s="24">
        <f t="shared" si="19"/>
        <v>532.78719999999998</v>
      </c>
      <c r="E273" s="50">
        <f t="shared" si="16"/>
        <v>1.1474647078800856E-4</v>
      </c>
      <c r="F273" s="51"/>
    </row>
    <row r="274" spans="1:6" ht="15.75" customHeight="1" x14ac:dyDescent="0.25">
      <c r="A274" t="str">
        <f t="shared" si="17"/>
        <v>SERRANO LEONARDO DAVID</v>
      </c>
      <c r="C274" s="66">
        <f t="shared" si="18"/>
        <v>47108800</v>
      </c>
      <c r="D274" s="24">
        <f t="shared" si="19"/>
        <v>31405.866666666665</v>
      </c>
      <c r="E274" s="50">
        <f t="shared" si="16"/>
        <v>6.7638868990072543E-3</v>
      </c>
      <c r="F274" s="51"/>
    </row>
    <row r="275" spans="1:6" ht="15.75" customHeight="1" x14ac:dyDescent="0.25">
      <c r="A275" t="str">
        <f t="shared" si="17"/>
        <v>SERVICIOS PORTUARIOS INTEGRADOS S.A.</v>
      </c>
      <c r="C275" s="66">
        <f t="shared" si="18"/>
        <v>1058920771.2</v>
      </c>
      <c r="D275" s="24">
        <f t="shared" si="19"/>
        <v>705947.18080000009</v>
      </c>
      <c r="E275" s="50">
        <f t="shared" si="16"/>
        <v>0.15203996559891866</v>
      </c>
      <c r="F275" s="51"/>
    </row>
    <row r="276" spans="1:6" ht="15.75" customHeight="1" x14ac:dyDescent="0.25">
      <c r="A276" t="str">
        <f t="shared" si="17"/>
        <v>SETEIN PRODUCTOS INDUSTRIALES S.A.</v>
      </c>
      <c r="C276" s="66">
        <f t="shared" si="18"/>
        <v>2096688</v>
      </c>
      <c r="D276" s="24">
        <f t="shared" si="19"/>
        <v>1397.7919999999999</v>
      </c>
      <c r="E276" s="50">
        <f t="shared" si="16"/>
        <v>3.0104270315749334E-4</v>
      </c>
      <c r="F276" s="51"/>
    </row>
    <row r="277" spans="1:6" ht="15.75" customHeight="1" x14ac:dyDescent="0.25">
      <c r="A277" t="str">
        <f t="shared" si="17"/>
        <v>SEYCO S.A.C.I.F.</v>
      </c>
      <c r="C277" s="66">
        <f t="shared" si="18"/>
        <v>4386136.3600000003</v>
      </c>
      <c r="D277" s="24">
        <f t="shared" si="19"/>
        <v>2924.0909066666668</v>
      </c>
      <c r="E277" s="50">
        <f t="shared" si="16"/>
        <v>6.2976196087914302E-4</v>
      </c>
      <c r="F277" s="51"/>
    </row>
    <row r="278" spans="1:6" ht="15.75" customHeight="1" x14ac:dyDescent="0.25">
      <c r="A278" t="str">
        <f t="shared" si="17"/>
        <v>SIDERSA SA</v>
      </c>
      <c r="C278" s="66">
        <f t="shared" si="18"/>
        <v>4988288.3</v>
      </c>
      <c r="D278" s="24">
        <f t="shared" si="19"/>
        <v>3325.525533333333</v>
      </c>
      <c r="E278" s="50">
        <f t="shared" si="16"/>
        <v>7.1621900538415681E-4</v>
      </c>
      <c r="F278" s="51"/>
    </row>
    <row r="279" spans="1:6" ht="15.75" customHeight="1" x14ac:dyDescent="0.25">
      <c r="A279" t="str">
        <f t="shared" si="17"/>
        <v>SIEBEN SANTIAGO NICOLAS</v>
      </c>
      <c r="C279" s="66">
        <f t="shared" si="18"/>
        <v>82020661.159999996</v>
      </c>
      <c r="D279" s="24">
        <f t="shared" si="19"/>
        <v>54680.440773333328</v>
      </c>
      <c r="E279" s="50">
        <f t="shared" si="16"/>
        <v>1.1776535922546046E-2</v>
      </c>
      <c r="F279" s="51"/>
    </row>
    <row r="280" spans="1:6" ht="15.75" customHeight="1" x14ac:dyDescent="0.25">
      <c r="A280" t="str">
        <f t="shared" si="17"/>
        <v>SIGEVAL SA</v>
      </c>
      <c r="C280" s="66">
        <f t="shared" si="18"/>
        <v>8115779.6100000003</v>
      </c>
      <c r="D280" s="24">
        <f t="shared" si="19"/>
        <v>5410.5197400000006</v>
      </c>
      <c r="E280" s="50">
        <f t="shared" si="16"/>
        <v>1.1652645658413972E-3</v>
      </c>
      <c r="F280" s="51"/>
    </row>
    <row r="281" spans="1:6" ht="15.75" customHeight="1" x14ac:dyDescent="0.25">
      <c r="A281" t="str">
        <f t="shared" si="17"/>
        <v>SIMMONS DE ARGENTINA SAIC</v>
      </c>
      <c r="C281" s="66">
        <f t="shared" si="18"/>
        <v>1861981.01</v>
      </c>
      <c r="D281" s="24">
        <f t="shared" si="19"/>
        <v>1241.3206733333334</v>
      </c>
      <c r="E281" s="50">
        <f t="shared" si="16"/>
        <v>2.673434466541134E-4</v>
      </c>
      <c r="F281" s="51"/>
    </row>
    <row r="282" spans="1:6" ht="15.75" customHeight="1" x14ac:dyDescent="0.25">
      <c r="A282" t="str">
        <f t="shared" si="17"/>
        <v>SKV GROUP S.L.</v>
      </c>
      <c r="C282" s="66">
        <f t="shared" si="18"/>
        <v>25876207.34</v>
      </c>
      <c r="D282" s="24">
        <f t="shared" si="19"/>
        <v>17250.804893333334</v>
      </c>
      <c r="E282" s="50">
        <f t="shared" si="16"/>
        <v>3.7153088132795015E-3</v>
      </c>
      <c r="F282" s="51"/>
    </row>
    <row r="283" spans="1:6" ht="15.75" customHeight="1" x14ac:dyDescent="0.25">
      <c r="A283" t="str">
        <f t="shared" si="17"/>
        <v>SOLARI JOSE JESUS</v>
      </c>
      <c r="C283" s="66">
        <f t="shared" si="18"/>
        <v>5363600</v>
      </c>
      <c r="D283" s="24">
        <f t="shared" si="19"/>
        <v>3575.7333333333331</v>
      </c>
      <c r="E283" s="50">
        <f t="shared" si="16"/>
        <v>7.7010630225170902E-4</v>
      </c>
      <c r="F283" s="51"/>
    </row>
    <row r="284" spans="1:6" ht="15.75" customHeight="1" x14ac:dyDescent="0.25">
      <c r="A284" t="str">
        <f t="shared" si="17"/>
        <v>SUBLIMADOS MAR DEL PLATA SAS</v>
      </c>
      <c r="C284" s="66">
        <f t="shared" si="18"/>
        <v>428340</v>
      </c>
      <c r="D284" s="24">
        <f t="shared" si="19"/>
        <v>285.56</v>
      </c>
      <c r="E284" s="50">
        <f t="shared" si="16"/>
        <v>6.1501106254474057E-5</v>
      </c>
      <c r="F284" s="51"/>
    </row>
    <row r="285" spans="1:6" ht="15.75" customHeight="1" x14ac:dyDescent="0.25">
      <c r="A285" t="str">
        <f t="shared" si="17"/>
        <v>SUCESION DE ARCAMONE ANA</v>
      </c>
      <c r="C285" s="66">
        <f t="shared" si="18"/>
        <v>8240790</v>
      </c>
      <c r="D285" s="24">
        <f t="shared" si="19"/>
        <v>5493.86</v>
      </c>
      <c r="E285" s="50">
        <f t="shared" si="16"/>
        <v>1.1832135719540722E-3</v>
      </c>
      <c r="F285" s="51"/>
    </row>
    <row r="286" spans="1:6" ht="15.75" customHeight="1" x14ac:dyDescent="0.25">
      <c r="A286" t="str">
        <f t="shared" si="17"/>
        <v>SUCESION DE BUONO FILIPPO</v>
      </c>
      <c r="C286" s="66">
        <f t="shared" si="18"/>
        <v>1017099.87</v>
      </c>
      <c r="D286" s="24">
        <f t="shared" si="19"/>
        <v>678.06658000000004</v>
      </c>
      <c r="E286" s="50">
        <f t="shared" si="16"/>
        <v>1.4603531581519765E-4</v>
      </c>
      <c r="F286" s="51"/>
    </row>
    <row r="287" spans="1:6" ht="15.75" customHeight="1" x14ac:dyDescent="0.25">
      <c r="A287" t="str">
        <f t="shared" si="17"/>
        <v>SULE FERNANDO JOSE</v>
      </c>
      <c r="C287" s="66">
        <f t="shared" si="18"/>
        <v>16710011.470000001</v>
      </c>
      <c r="D287" s="24">
        <f t="shared" si="19"/>
        <v>11140.007646666667</v>
      </c>
      <c r="E287" s="50">
        <f t="shared" si="16"/>
        <v>2.3992253605312377E-3</v>
      </c>
      <c r="F287" s="51"/>
    </row>
    <row r="288" spans="1:6" ht="15.75" customHeight="1" x14ac:dyDescent="0.25">
      <c r="A288" t="str">
        <f t="shared" si="17"/>
        <v>SZANTO JOSE ALEJANDRO</v>
      </c>
      <c r="C288" s="66">
        <f t="shared" si="18"/>
        <v>380000</v>
      </c>
      <c r="D288" s="24">
        <f t="shared" si="19"/>
        <v>253.33333333333334</v>
      </c>
      <c r="E288" s="50">
        <f t="shared" si="16"/>
        <v>5.4560443518466974E-5</v>
      </c>
      <c r="F288" s="51"/>
    </row>
    <row r="289" spans="1:6" ht="15.75" customHeight="1" x14ac:dyDescent="0.25">
      <c r="A289" t="str">
        <f t="shared" si="17"/>
        <v>TAGLIARINI RUBEN OMAR</v>
      </c>
      <c r="C289" s="66">
        <f t="shared" si="18"/>
        <v>2539306</v>
      </c>
      <c r="D289" s="24">
        <f t="shared" si="19"/>
        <v>1692.8706666666667</v>
      </c>
      <c r="E289" s="50">
        <f t="shared" si="16"/>
        <v>3.6459384628711658E-4</v>
      </c>
      <c r="F289" s="51"/>
    </row>
    <row r="290" spans="1:6" ht="15.75" customHeight="1" x14ac:dyDescent="0.25">
      <c r="A290" t="str">
        <f t="shared" si="17"/>
        <v>TALLER CENTRO UNION S.A.</v>
      </c>
      <c r="C290" s="66">
        <f t="shared" si="18"/>
        <v>1330000.04</v>
      </c>
      <c r="D290" s="24">
        <f t="shared" si="19"/>
        <v>886.66669333333334</v>
      </c>
      <c r="E290" s="50">
        <f t="shared" si="16"/>
        <v>1.90961558057839E-4</v>
      </c>
      <c r="F290" s="51"/>
    </row>
    <row r="291" spans="1:6" ht="15.75" customHeight="1" x14ac:dyDescent="0.25">
      <c r="A291" t="str">
        <f t="shared" si="17"/>
        <v>TALLER MCM S.R.L</v>
      </c>
      <c r="C291" s="66">
        <f t="shared" si="18"/>
        <v>43249611.020000003</v>
      </c>
      <c r="D291" s="24">
        <f t="shared" si="19"/>
        <v>28833.074013333335</v>
      </c>
      <c r="E291" s="50">
        <f t="shared" si="16"/>
        <v>6.2097841032957282E-3</v>
      </c>
      <c r="F291" s="51"/>
    </row>
    <row r="292" spans="1:6" ht="15.75" customHeight="1" x14ac:dyDescent="0.25">
      <c r="A292" t="str">
        <f t="shared" si="17"/>
        <v>TALLONE ALEJANDRO ULISES</v>
      </c>
      <c r="C292" s="66">
        <f t="shared" si="18"/>
        <v>1244198.8899999999</v>
      </c>
      <c r="D292" s="24">
        <f t="shared" si="19"/>
        <v>829.46592666666663</v>
      </c>
      <c r="E292" s="50">
        <f t="shared" si="16"/>
        <v>1.7864221911469553E-4</v>
      </c>
      <c r="F292" s="51"/>
    </row>
    <row r="293" spans="1:6" ht="15.75" customHeight="1" x14ac:dyDescent="0.25">
      <c r="A293" t="str">
        <f t="shared" si="17"/>
        <v>TECNOMECANICA ESTEVAN SRL</v>
      </c>
      <c r="C293" s="66">
        <f t="shared" si="18"/>
        <v>673710.23</v>
      </c>
      <c r="D293" s="24">
        <f t="shared" si="19"/>
        <v>449.14015333333333</v>
      </c>
      <c r="E293" s="50">
        <f t="shared" si="16"/>
        <v>9.6731391978232607E-5</v>
      </c>
      <c r="F293" s="51"/>
    </row>
    <row r="294" spans="1:6" ht="15.75" customHeight="1" x14ac:dyDescent="0.25">
      <c r="A294" t="str">
        <f t="shared" si="17"/>
        <v>TECNOPESCA ARGENTINA SA</v>
      </c>
      <c r="C294" s="66">
        <f t="shared" si="18"/>
        <v>1640756.7</v>
      </c>
      <c r="D294" s="24">
        <f t="shared" si="19"/>
        <v>1093.8378</v>
      </c>
      <c r="E294" s="50">
        <f t="shared" si="16"/>
        <v>2.3558003488920068E-4</v>
      </c>
      <c r="F294" s="51"/>
    </row>
    <row r="295" spans="1:6" ht="15.75" customHeight="1" x14ac:dyDescent="0.25">
      <c r="A295" t="str">
        <f t="shared" si="17"/>
        <v>TECVOL S.R.L.</v>
      </c>
      <c r="C295" s="66">
        <f t="shared" si="18"/>
        <v>18417840</v>
      </c>
      <c r="D295" s="24">
        <f t="shared" si="19"/>
        <v>12278.56</v>
      </c>
      <c r="E295" s="50">
        <f t="shared" si="16"/>
        <v>2.6444355764530573E-3</v>
      </c>
      <c r="F295" s="51"/>
    </row>
    <row r="296" spans="1:6" ht="15.75" customHeight="1" x14ac:dyDescent="0.25">
      <c r="A296" t="str">
        <f t="shared" si="17"/>
        <v>TELEFONICA MOVILES ARGENTINA SA</v>
      </c>
      <c r="C296" s="66">
        <f t="shared" si="18"/>
        <v>36072.33</v>
      </c>
      <c r="D296" s="24">
        <f t="shared" si="19"/>
        <v>24.048220000000001</v>
      </c>
      <c r="E296" s="50">
        <f t="shared" si="16"/>
        <v>5.1792692724855312E-6</v>
      </c>
      <c r="F296" s="51"/>
    </row>
    <row r="297" spans="1:6" ht="15.75" customHeight="1" x14ac:dyDescent="0.25">
      <c r="A297" t="str">
        <f t="shared" si="17"/>
        <v>TENES S.A.</v>
      </c>
      <c r="C297" s="66">
        <f t="shared" si="18"/>
        <v>69000</v>
      </c>
      <c r="D297" s="24">
        <f t="shared" si="19"/>
        <v>46</v>
      </c>
      <c r="E297" s="50">
        <f t="shared" si="16"/>
        <v>9.9070279020374244E-6</v>
      </c>
      <c r="F297" s="51"/>
    </row>
    <row r="298" spans="1:6" ht="15.75" customHeight="1" x14ac:dyDescent="0.25">
      <c r="A298" t="str">
        <f t="shared" si="17"/>
        <v>TEPEDINO FACUNDO EZEQUIEL</v>
      </c>
      <c r="C298" s="66">
        <f t="shared" si="18"/>
        <v>1103520</v>
      </c>
      <c r="D298" s="24">
        <f t="shared" si="19"/>
        <v>735.68</v>
      </c>
      <c r="E298" s="50">
        <f t="shared" si="16"/>
        <v>1.5844352797762809E-4</v>
      </c>
      <c r="F298" s="51"/>
    </row>
    <row r="299" spans="1:6" ht="15.75" customHeight="1" x14ac:dyDescent="0.25">
      <c r="A299" t="str">
        <f t="shared" si="17"/>
        <v>THEISEN SEBASTIAN</v>
      </c>
      <c r="C299" s="66">
        <f t="shared" si="18"/>
        <v>1411000</v>
      </c>
      <c r="D299" s="24">
        <f t="shared" si="19"/>
        <v>940.66666666666663</v>
      </c>
      <c r="E299" s="50">
        <f t="shared" si="16"/>
        <v>2.0259154159093921E-4</v>
      </c>
      <c r="F299" s="51"/>
    </row>
    <row r="300" spans="1:6" ht="15.75" customHeight="1" x14ac:dyDescent="0.25">
      <c r="A300" t="str">
        <f t="shared" si="17"/>
        <v>TIRION S.R.L.</v>
      </c>
      <c r="C300" s="66">
        <f t="shared" si="18"/>
        <v>827882</v>
      </c>
      <c r="D300" s="24">
        <f t="shared" si="19"/>
        <v>551.92133333333334</v>
      </c>
      <c r="E300" s="50">
        <f t="shared" si="16"/>
        <v>1.1886739237093546E-4</v>
      </c>
      <c r="F300" s="51"/>
    </row>
    <row r="301" spans="1:6" ht="15.75" customHeight="1" x14ac:dyDescent="0.25">
      <c r="A301" t="str">
        <f t="shared" si="17"/>
        <v>TODO BOMBAS S. R. L.</v>
      </c>
      <c r="C301" s="66">
        <f t="shared" si="18"/>
        <v>1881427.43</v>
      </c>
      <c r="D301" s="24">
        <f t="shared" si="19"/>
        <v>1254.2849533333333</v>
      </c>
      <c r="E301" s="50">
        <f t="shared" si="16"/>
        <v>2.7013556586476175E-4</v>
      </c>
      <c r="F301" s="51"/>
    </row>
    <row r="302" spans="1:6" ht="15.75" customHeight="1" x14ac:dyDescent="0.25">
      <c r="A302" t="str">
        <f t="shared" si="17"/>
        <v>TODO PARA LA GASTRONOMIA S.A.</v>
      </c>
      <c r="C302" s="66">
        <f t="shared" si="18"/>
        <v>3272544.44</v>
      </c>
      <c r="D302" s="24">
        <f t="shared" si="19"/>
        <v>2181.6962933333334</v>
      </c>
      <c r="E302" s="50">
        <f t="shared" si="16"/>
        <v>4.698723054744556E-4</v>
      </c>
      <c r="F302" s="51"/>
    </row>
    <row r="303" spans="1:6" ht="15.75" customHeight="1" x14ac:dyDescent="0.25">
      <c r="A303" t="str">
        <f t="shared" si="17"/>
        <v>TOLOSA S.A.</v>
      </c>
      <c r="C303" s="66">
        <f t="shared" si="18"/>
        <v>-0.01</v>
      </c>
      <c r="D303" s="24">
        <f t="shared" si="19"/>
        <v>-6.6666666666666666E-6</v>
      </c>
      <c r="E303" s="50">
        <f t="shared" si="16"/>
        <v>-1.4358011452228151E-12</v>
      </c>
      <c r="F303" s="51"/>
    </row>
    <row r="304" spans="1:6" ht="15.75" customHeight="1" x14ac:dyDescent="0.25">
      <c r="A304" t="str">
        <f t="shared" si="17"/>
        <v>TORRECILLA OSCAR ALBERTO</v>
      </c>
      <c r="C304" s="66">
        <f t="shared" si="18"/>
        <v>18000000</v>
      </c>
      <c r="D304" s="24">
        <f t="shared" si="19"/>
        <v>12000</v>
      </c>
      <c r="E304" s="50">
        <f t="shared" si="16"/>
        <v>2.5844420614010671E-3</v>
      </c>
      <c r="F304" s="51"/>
    </row>
    <row r="305" spans="1:6" ht="15.75" customHeight="1" x14ac:dyDescent="0.25">
      <c r="A305" t="str">
        <f t="shared" si="17"/>
        <v>TORRES Y LIVA SACIF</v>
      </c>
      <c r="C305" s="66">
        <f t="shared" si="18"/>
        <v>609818.39</v>
      </c>
      <c r="D305" s="24">
        <f t="shared" si="19"/>
        <v>406.54559333333333</v>
      </c>
      <c r="E305" s="50">
        <f t="shared" si="16"/>
        <v>8.7557794273993326E-5</v>
      </c>
      <c r="F305" s="51"/>
    </row>
    <row r="306" spans="1:6" ht="15.75" customHeight="1" x14ac:dyDescent="0.25">
      <c r="A306" t="str">
        <f t="shared" si="17"/>
        <v>TRANSMISIONES LORENZANI S.R.L</v>
      </c>
      <c r="C306" s="66">
        <f t="shared" si="18"/>
        <v>38720</v>
      </c>
      <c r="D306" s="24">
        <f t="shared" si="19"/>
        <v>25.813333333333333</v>
      </c>
      <c r="E306" s="50">
        <f t="shared" si="16"/>
        <v>5.5594220343027395E-6</v>
      </c>
      <c r="F306" s="51"/>
    </row>
    <row r="307" spans="1:6" ht="15.75" customHeight="1" x14ac:dyDescent="0.25">
      <c r="A307" t="str">
        <f t="shared" si="17"/>
        <v>TRANSPORTE FORTUNA DEL MAR SA</v>
      </c>
      <c r="C307" s="66">
        <f t="shared" si="18"/>
        <v>24163700</v>
      </c>
      <c r="D307" s="24">
        <f t="shared" si="19"/>
        <v>16109.133333333333</v>
      </c>
      <c r="E307" s="50">
        <f t="shared" si="16"/>
        <v>3.4694268132820535E-3</v>
      </c>
      <c r="F307" s="51"/>
    </row>
    <row r="308" spans="1:6" ht="15.75" customHeight="1" x14ac:dyDescent="0.25">
      <c r="A308" t="str">
        <f t="shared" si="17"/>
        <v>TRANSPORTE GYAN S.R.L.</v>
      </c>
      <c r="C308" s="66">
        <f t="shared" si="18"/>
        <v>4230030.58</v>
      </c>
      <c r="D308" s="24">
        <f t="shared" si="19"/>
        <v>2820.0203866666666</v>
      </c>
      <c r="E308" s="50">
        <f t="shared" si="16"/>
        <v>6.0734827510915287E-4</v>
      </c>
      <c r="F308" s="51"/>
    </row>
    <row r="309" spans="1:6" ht="15.75" customHeight="1" x14ac:dyDescent="0.25">
      <c r="A309" t="str">
        <f t="shared" si="17"/>
        <v>TRANSPORTES SCORDINA SA</v>
      </c>
      <c r="C309" s="66">
        <f t="shared" si="18"/>
        <v>17601749.949999999</v>
      </c>
      <c r="D309" s="24">
        <f t="shared" si="19"/>
        <v>11734.499966666666</v>
      </c>
      <c r="E309" s="50">
        <f t="shared" si="16"/>
        <v>2.5272612736135626E-3</v>
      </c>
      <c r="F309" s="51"/>
    </row>
    <row r="310" spans="1:6" ht="15.75" customHeight="1" x14ac:dyDescent="0.25">
      <c r="A310" t="str">
        <f t="shared" si="17"/>
        <v>TREMBLAY S.R.L.</v>
      </c>
      <c r="C310" s="66">
        <f t="shared" si="18"/>
        <v>6266098.9800000004</v>
      </c>
      <c r="D310" s="24">
        <f t="shared" si="19"/>
        <v>4177.3993200000004</v>
      </c>
      <c r="E310" s="50">
        <f t="shared" si="16"/>
        <v>8.9968720915635145E-4</v>
      </c>
      <c r="F310" s="51"/>
    </row>
    <row r="311" spans="1:6" ht="15.75" customHeight="1" x14ac:dyDescent="0.25">
      <c r="A311" t="str">
        <f t="shared" si="17"/>
        <v>TRUCHI RUBEN ANGEL</v>
      </c>
      <c r="C311" s="66">
        <f t="shared" si="18"/>
        <v>-449675.12</v>
      </c>
      <c r="D311" s="24">
        <f t="shared" si="19"/>
        <v>-299.78341333333333</v>
      </c>
      <c r="E311" s="50">
        <f t="shared" si="16"/>
        <v>-6.4564405227420684E-5</v>
      </c>
      <c r="F311" s="51"/>
    </row>
    <row r="312" spans="1:6" ht="15.75" customHeight="1" x14ac:dyDescent="0.25">
      <c r="A312" t="str">
        <f t="shared" si="17"/>
        <v>UNION DEL COMERCIO LA INDUSTRIA Y LA PRODUCCION</v>
      </c>
      <c r="C312" s="66">
        <f t="shared" si="18"/>
        <v>86400</v>
      </c>
      <c r="D312" s="24">
        <f t="shared" si="19"/>
        <v>57.6</v>
      </c>
      <c r="E312" s="50">
        <f t="shared" si="16"/>
        <v>1.2405321894725123E-5</v>
      </c>
      <c r="F312" s="51"/>
    </row>
    <row r="313" spans="1:6" ht="15.75" customHeight="1" x14ac:dyDescent="0.25">
      <c r="A313" t="str">
        <f t="shared" si="17"/>
        <v>URK SA</v>
      </c>
      <c r="C313" s="66">
        <f t="shared" si="18"/>
        <v>9945247.7300000004</v>
      </c>
      <c r="D313" s="24">
        <f t="shared" si="19"/>
        <v>6630.1651533333334</v>
      </c>
      <c r="E313" s="50">
        <f t="shared" si="16"/>
        <v>1.4279398080258602E-3</v>
      </c>
      <c r="F313" s="51"/>
    </row>
    <row r="314" spans="1:6" ht="15.75" customHeight="1" x14ac:dyDescent="0.25">
      <c r="A314" t="str">
        <f t="shared" si="17"/>
        <v>VAZQUEZ DANIEL NORBERTO</v>
      </c>
      <c r="C314" s="66">
        <f t="shared" si="18"/>
        <v>55491624.479999997</v>
      </c>
      <c r="D314" s="24">
        <f t="shared" si="19"/>
        <v>36994.416319999997</v>
      </c>
      <c r="E314" s="50">
        <f t="shared" si="16"/>
        <v>7.9674937978658385E-3</v>
      </c>
      <c r="F314" s="51"/>
    </row>
    <row r="315" spans="1:6" ht="15.75" customHeight="1" x14ac:dyDescent="0.25">
      <c r="A315" t="str">
        <f t="shared" si="17"/>
        <v>VELASCO GUILLERMO DANIEL</v>
      </c>
      <c r="C315" s="66">
        <f t="shared" si="18"/>
        <v>149160</v>
      </c>
      <c r="D315" s="24">
        <f t="shared" si="19"/>
        <v>99.44</v>
      </c>
      <c r="E315" s="50">
        <f t="shared" si="16"/>
        <v>2.1416409882143508E-5</v>
      </c>
      <c r="F315" s="51"/>
    </row>
    <row r="316" spans="1:6" ht="15.75" customHeight="1" x14ac:dyDescent="0.25">
      <c r="A316" t="str">
        <f t="shared" si="17"/>
        <v>VERON VICTOR RAUL</v>
      </c>
      <c r="C316" s="66">
        <f t="shared" si="18"/>
        <v>5060704</v>
      </c>
      <c r="D316" s="24">
        <f t="shared" si="19"/>
        <v>3373.8026666666665</v>
      </c>
      <c r="E316" s="50">
        <f t="shared" si="16"/>
        <v>7.2661645988336806E-4</v>
      </c>
      <c r="F316" s="51"/>
    </row>
    <row r="317" spans="1:6" ht="15.75" customHeight="1" x14ac:dyDescent="0.25">
      <c r="A317" t="str">
        <f t="shared" si="17"/>
        <v>VILGOM ARGENTINA S.A.</v>
      </c>
      <c r="C317" s="66">
        <f t="shared" si="18"/>
        <v>165165</v>
      </c>
      <c r="D317" s="24">
        <f t="shared" si="19"/>
        <v>110.11</v>
      </c>
      <c r="E317" s="50">
        <f t="shared" si="16"/>
        <v>2.3714409615072625E-5</v>
      </c>
      <c r="F317" s="51"/>
    </row>
    <row r="318" spans="1:6" ht="15.75" customHeight="1" x14ac:dyDescent="0.25">
      <c r="A318" t="str">
        <f t="shared" si="17"/>
        <v>VILLAGRA DAVID ERNESTO</v>
      </c>
      <c r="C318" s="66">
        <f t="shared" si="18"/>
        <v>8700000</v>
      </c>
      <c r="D318" s="24">
        <f t="shared" si="19"/>
        <v>5800</v>
      </c>
      <c r="E318" s="50">
        <f t="shared" si="16"/>
        <v>1.249146996343849E-3</v>
      </c>
      <c r="F318" s="51"/>
    </row>
    <row r="319" spans="1:6" ht="15.75" customHeight="1" x14ac:dyDescent="0.25">
      <c r="A319" t="str">
        <f t="shared" si="17"/>
        <v>VILLAMAGNA HNOS SRL</v>
      </c>
      <c r="C319" s="66">
        <f t="shared" si="18"/>
        <v>11958736.800000001</v>
      </c>
      <c r="D319" s="24">
        <f t="shared" si="19"/>
        <v>7972.4912000000004</v>
      </c>
      <c r="E319" s="50">
        <f t="shared" si="16"/>
        <v>1.7170367992858223E-3</v>
      </c>
      <c r="F319" s="51"/>
    </row>
    <row r="320" spans="1:6" ht="15.75" customHeight="1" x14ac:dyDescent="0.25">
      <c r="A320" t="str">
        <f t="shared" si="17"/>
        <v>VILLAR MARCELA NOELIA</v>
      </c>
      <c r="C320" s="66">
        <f t="shared" si="18"/>
        <v>647658.79</v>
      </c>
      <c r="D320" s="24">
        <f t="shared" si="19"/>
        <v>431.77252666666669</v>
      </c>
      <c r="E320" s="50">
        <f t="shared" si="16"/>
        <v>9.2990923239562277E-5</v>
      </c>
      <c r="F320" s="51"/>
    </row>
    <row r="321" spans="1:6" ht="15.75" customHeight="1" x14ac:dyDescent="0.25">
      <c r="A321" t="str">
        <f t="shared" si="17"/>
        <v>VIOMAR S.A.I.C.</v>
      </c>
      <c r="C321" s="66">
        <f t="shared" si="18"/>
        <v>207777895.47999999</v>
      </c>
      <c r="D321" s="24">
        <f t="shared" si="19"/>
        <v>138518.59698666667</v>
      </c>
      <c r="E321" s="50">
        <f t="shared" si="16"/>
        <v>2.9832774028217039E-2</v>
      </c>
      <c r="F321" s="51"/>
    </row>
    <row r="322" spans="1:6" ht="15.75" customHeight="1" x14ac:dyDescent="0.25">
      <c r="A322" t="str">
        <f t="shared" si="17"/>
        <v>VISION LOGISTIC</v>
      </c>
      <c r="C322" s="66">
        <f t="shared" si="18"/>
        <v>114463023.52</v>
      </c>
      <c r="D322" s="24">
        <f t="shared" si="19"/>
        <v>76308.682346666668</v>
      </c>
      <c r="E322" s="50">
        <f t="shared" si="16"/>
        <v>1.6434614025568201E-2</v>
      </c>
      <c r="F322" s="51"/>
    </row>
    <row r="323" spans="1:6" ht="15.75" customHeight="1" x14ac:dyDescent="0.25">
      <c r="A323" t="str">
        <f t="shared" si="17"/>
        <v>WANBARU ICE S.A.</v>
      </c>
      <c r="C323" s="66">
        <f t="shared" si="18"/>
        <v>718274.12</v>
      </c>
      <c r="D323" s="24">
        <f t="shared" si="19"/>
        <v>478.8494133333333</v>
      </c>
      <c r="E323" s="50">
        <f t="shared" si="16"/>
        <v>1.0312988040799096E-4</v>
      </c>
      <c r="F323" s="51"/>
    </row>
    <row r="324" spans="1:6" ht="15.75" customHeight="1" x14ac:dyDescent="0.25">
      <c r="A324" t="str">
        <f t="shared" si="17"/>
        <v>WATER NAVAL S.A.S</v>
      </c>
      <c r="C324" s="66">
        <f t="shared" si="18"/>
        <v>12014776.25</v>
      </c>
      <c r="D324" s="24">
        <f t="shared" si="19"/>
        <v>8009.850833333333</v>
      </c>
      <c r="E324" s="50">
        <f t="shared" si="16"/>
        <v>1.7250829499345878E-3</v>
      </c>
      <c r="F324" s="51"/>
    </row>
    <row r="325" spans="1:6" ht="15.75" customHeight="1" x14ac:dyDescent="0.25">
      <c r="A325" t="str">
        <f t="shared" si="17"/>
        <v>WEMAR S R L</v>
      </c>
      <c r="C325" s="66">
        <f t="shared" si="18"/>
        <v>58266315</v>
      </c>
      <c r="D325" s="24">
        <f t="shared" si="19"/>
        <v>38844.21</v>
      </c>
      <c r="E325" s="50">
        <f t="shared" ref="E325:E327" si="20">+D325/$D$328</f>
        <v>8.365884180491329E-3</v>
      </c>
      <c r="F325" s="51"/>
    </row>
    <row r="326" spans="1:6" ht="15.75" customHeight="1" x14ac:dyDescent="0.25">
      <c r="A326" t="str">
        <f>+B664</f>
        <v>Y.C. ARMO-CAS S. A.</v>
      </c>
      <c r="C326" s="66">
        <f t="shared" ref="C326:C327" si="21">+K664</f>
        <v>8103877</v>
      </c>
      <c r="D326" s="24">
        <f t="shared" ref="D326:D327" si="22">+C326/$D$3</f>
        <v>5402.5846666666666</v>
      </c>
      <c r="E326" s="50">
        <f t="shared" si="20"/>
        <v>1.1635555877344832E-3</v>
      </c>
      <c r="F326" s="51"/>
    </row>
    <row r="327" spans="1:6" ht="15.75" customHeight="1" x14ac:dyDescent="0.25">
      <c r="A327" t="str">
        <f>+B665</f>
        <v>YPF S.A.</v>
      </c>
      <c r="C327" s="66">
        <f t="shared" si="21"/>
        <v>979526561.69000006</v>
      </c>
      <c r="D327" s="24">
        <f t="shared" si="22"/>
        <v>653017.70779333333</v>
      </c>
      <c r="E327" s="50">
        <f t="shared" si="20"/>
        <v>0.14064053590506684</v>
      </c>
      <c r="F327" s="51"/>
    </row>
    <row r="328" spans="1:6" ht="18" customHeight="1" x14ac:dyDescent="0.25">
      <c r="A328" s="41" t="s">
        <v>166</v>
      </c>
      <c r="B328" s="42"/>
      <c r="C328" s="43">
        <f>SUM(C5:C327)</f>
        <v>6964752767.6599979</v>
      </c>
      <c r="D328" s="43">
        <f>SUM(D5:D327)</f>
        <v>4643168.5117733339</v>
      </c>
      <c r="E328" s="43">
        <f>SUM(E5:E327)</f>
        <v>1.0000000000000002</v>
      </c>
      <c r="F328" s="42"/>
    </row>
    <row r="330" spans="1:6" ht="15" customHeight="1" x14ac:dyDescent="0.25">
      <c r="A330" s="86" t="s">
        <v>167</v>
      </c>
      <c r="B330" s="86"/>
      <c r="C330" s="86"/>
      <c r="D330" s="86"/>
      <c r="E330" s="86"/>
      <c r="F330" s="86"/>
    </row>
    <row r="339" spans="1:11" x14ac:dyDescent="0.25">
      <c r="A339" t="s">
        <v>1070</v>
      </c>
    </row>
    <row r="340" spans="1:11" x14ac:dyDescent="0.25">
      <c r="A340" t="s">
        <v>1071</v>
      </c>
    </row>
    <row r="341" spans="1:11" x14ac:dyDescent="0.25">
      <c r="A341" t="s">
        <v>1072</v>
      </c>
    </row>
    <row r="342" spans="1:11" x14ac:dyDescent="0.25">
      <c r="A342" t="s">
        <v>531</v>
      </c>
      <c r="B342" t="s">
        <v>532</v>
      </c>
      <c r="C342" t="s">
        <v>533</v>
      </c>
      <c r="D342" t="s">
        <v>4</v>
      </c>
      <c r="E342" t="s">
        <v>534</v>
      </c>
      <c r="F342" t="s">
        <v>535</v>
      </c>
      <c r="G342" t="s">
        <v>536</v>
      </c>
      <c r="H342" t="s">
        <v>537</v>
      </c>
      <c r="I342" t="s">
        <v>538</v>
      </c>
      <c r="J342" t="s">
        <v>539</v>
      </c>
      <c r="K342" t="s">
        <v>155</v>
      </c>
    </row>
    <row r="343" spans="1:11" x14ac:dyDescent="0.25">
      <c r="A343" t="s">
        <v>182</v>
      </c>
      <c r="B343" t="s">
        <v>183</v>
      </c>
      <c r="C343" t="s">
        <v>540</v>
      </c>
      <c r="D343" t="s">
        <v>543</v>
      </c>
      <c r="E343">
        <v>0</v>
      </c>
      <c r="F343" t="s">
        <v>544</v>
      </c>
      <c r="G343">
        <v>10069179.199999999</v>
      </c>
      <c r="H343">
        <v>0</v>
      </c>
      <c r="I343">
        <v>0</v>
      </c>
      <c r="J343">
        <v>0</v>
      </c>
      <c r="K343">
        <v>10069179.199999999</v>
      </c>
    </row>
    <row r="344" spans="1:11" x14ac:dyDescent="0.25">
      <c r="A344" t="s">
        <v>184</v>
      </c>
      <c r="B344" t="s">
        <v>185</v>
      </c>
      <c r="C344" t="s">
        <v>540</v>
      </c>
      <c r="D344" t="s">
        <v>545</v>
      </c>
      <c r="E344">
        <v>0</v>
      </c>
      <c r="F344" t="s">
        <v>546</v>
      </c>
      <c r="G344">
        <v>0</v>
      </c>
      <c r="H344">
        <v>0</v>
      </c>
      <c r="I344">
        <v>0</v>
      </c>
      <c r="J344">
        <v>1.08</v>
      </c>
      <c r="K344">
        <v>1.08</v>
      </c>
    </row>
    <row r="345" spans="1:11" x14ac:dyDescent="0.25">
      <c r="A345" t="s">
        <v>1128</v>
      </c>
      <c r="B345" t="s">
        <v>1129</v>
      </c>
      <c r="C345" t="s">
        <v>540</v>
      </c>
      <c r="D345" t="s">
        <v>857</v>
      </c>
      <c r="E345">
        <v>0</v>
      </c>
      <c r="F345" t="s">
        <v>858</v>
      </c>
      <c r="G345">
        <v>1452000</v>
      </c>
      <c r="H345">
        <v>0</v>
      </c>
      <c r="I345">
        <v>0</v>
      </c>
      <c r="J345">
        <v>0</v>
      </c>
      <c r="K345">
        <v>1452000</v>
      </c>
    </row>
    <row r="346" spans="1:11" x14ac:dyDescent="0.25">
      <c r="A346" t="s">
        <v>1130</v>
      </c>
      <c r="B346" t="s">
        <v>1131</v>
      </c>
      <c r="C346" t="s">
        <v>540</v>
      </c>
      <c r="D346" t="s">
        <v>971</v>
      </c>
      <c r="E346">
        <v>0</v>
      </c>
      <c r="F346" t="s">
        <v>972</v>
      </c>
      <c r="G346">
        <v>1406658.88</v>
      </c>
      <c r="H346">
        <v>0</v>
      </c>
      <c r="I346">
        <v>0</v>
      </c>
      <c r="J346">
        <v>0</v>
      </c>
      <c r="K346">
        <v>1406658.88</v>
      </c>
    </row>
    <row r="347" spans="1:11" x14ac:dyDescent="0.25">
      <c r="A347" t="s">
        <v>1132</v>
      </c>
      <c r="B347" t="s">
        <v>1133</v>
      </c>
      <c r="C347" t="s">
        <v>540</v>
      </c>
      <c r="D347" t="s">
        <v>1134</v>
      </c>
      <c r="E347">
        <v>228400</v>
      </c>
      <c r="F347" t="s">
        <v>1135</v>
      </c>
      <c r="G347">
        <v>0</v>
      </c>
      <c r="H347">
        <v>0</v>
      </c>
      <c r="I347">
        <v>0</v>
      </c>
      <c r="J347">
        <v>0</v>
      </c>
      <c r="K347">
        <v>228400</v>
      </c>
    </row>
    <row r="348" spans="1:11" x14ac:dyDescent="0.25">
      <c r="A348" t="s">
        <v>188</v>
      </c>
      <c r="B348" t="s">
        <v>189</v>
      </c>
      <c r="C348" t="s">
        <v>540</v>
      </c>
      <c r="D348" t="s">
        <v>547</v>
      </c>
      <c r="E348">
        <v>0</v>
      </c>
      <c r="F348" t="s">
        <v>548</v>
      </c>
      <c r="G348">
        <v>2036360</v>
      </c>
      <c r="H348">
        <v>87000</v>
      </c>
      <c r="I348">
        <v>0</v>
      </c>
      <c r="J348">
        <v>0</v>
      </c>
      <c r="K348">
        <v>2123360</v>
      </c>
    </row>
    <row r="349" spans="1:11" x14ac:dyDescent="0.25">
      <c r="A349" t="s">
        <v>973</v>
      </c>
      <c r="B349" t="s">
        <v>930</v>
      </c>
      <c r="C349" t="s">
        <v>540</v>
      </c>
      <c r="D349" t="s">
        <v>549</v>
      </c>
      <c r="E349">
        <v>2793884.33</v>
      </c>
      <c r="F349" t="s">
        <v>550</v>
      </c>
      <c r="G349">
        <v>2766148.88</v>
      </c>
      <c r="H349">
        <v>0</v>
      </c>
      <c r="I349">
        <v>0</v>
      </c>
      <c r="J349">
        <v>0</v>
      </c>
      <c r="K349">
        <v>5560033.21</v>
      </c>
    </row>
    <row r="350" spans="1:11" x14ac:dyDescent="0.25">
      <c r="A350" t="s">
        <v>1136</v>
      </c>
      <c r="B350" t="s">
        <v>1137</v>
      </c>
      <c r="C350" t="s">
        <v>540</v>
      </c>
      <c r="D350" t="s">
        <v>1138</v>
      </c>
      <c r="E350">
        <v>0</v>
      </c>
      <c r="F350" t="s">
        <v>1139</v>
      </c>
      <c r="G350">
        <v>11692073.970000001</v>
      </c>
      <c r="H350">
        <v>0</v>
      </c>
      <c r="I350">
        <v>0</v>
      </c>
      <c r="J350">
        <v>0</v>
      </c>
      <c r="K350">
        <v>11692073.970000001</v>
      </c>
    </row>
    <row r="351" spans="1:11" x14ac:dyDescent="0.25">
      <c r="A351" t="s">
        <v>190</v>
      </c>
      <c r="B351" t="s">
        <v>191</v>
      </c>
      <c r="C351" t="s">
        <v>540</v>
      </c>
      <c r="D351" t="s">
        <v>545</v>
      </c>
      <c r="E351">
        <v>107970.68</v>
      </c>
      <c r="F351" t="s">
        <v>546</v>
      </c>
      <c r="G351">
        <v>2364196.62</v>
      </c>
      <c r="H351">
        <v>0</v>
      </c>
      <c r="I351">
        <v>0</v>
      </c>
      <c r="J351">
        <v>0</v>
      </c>
      <c r="K351">
        <v>2472167.2999999998</v>
      </c>
    </row>
    <row r="352" spans="1:11" x14ac:dyDescent="0.25">
      <c r="A352" t="s">
        <v>712</v>
      </c>
      <c r="B352" t="s">
        <v>713</v>
      </c>
      <c r="C352" t="s">
        <v>540</v>
      </c>
      <c r="D352" t="s">
        <v>617</v>
      </c>
      <c r="E352">
        <v>0</v>
      </c>
      <c r="F352" t="s">
        <v>618</v>
      </c>
      <c r="G352">
        <v>5483534</v>
      </c>
      <c r="H352">
        <v>1451854.8</v>
      </c>
      <c r="I352">
        <v>0</v>
      </c>
      <c r="J352">
        <v>0</v>
      </c>
      <c r="K352">
        <v>6935388.7999999998</v>
      </c>
    </row>
    <row r="353" spans="1:11" x14ac:dyDescent="0.25">
      <c r="A353" t="s">
        <v>800</v>
      </c>
      <c r="B353" t="s">
        <v>801</v>
      </c>
      <c r="C353" t="s">
        <v>540</v>
      </c>
      <c r="D353" t="s">
        <v>563</v>
      </c>
      <c r="E353">
        <v>0</v>
      </c>
      <c r="F353" t="s">
        <v>564</v>
      </c>
      <c r="G353">
        <v>10841600</v>
      </c>
      <c r="H353">
        <v>0</v>
      </c>
      <c r="I353">
        <v>0</v>
      </c>
      <c r="J353">
        <v>0</v>
      </c>
      <c r="K353">
        <v>10841600</v>
      </c>
    </row>
    <row r="354" spans="1:11" x14ac:dyDescent="0.25">
      <c r="A354" t="s">
        <v>718</v>
      </c>
      <c r="B354" t="s">
        <v>719</v>
      </c>
      <c r="C354" t="s">
        <v>540</v>
      </c>
      <c r="D354" t="s">
        <v>665</v>
      </c>
      <c r="E354">
        <v>0</v>
      </c>
      <c r="F354" t="s">
        <v>666</v>
      </c>
      <c r="G354">
        <v>2635720</v>
      </c>
      <c r="H354">
        <v>0</v>
      </c>
      <c r="I354">
        <v>0</v>
      </c>
      <c r="J354">
        <v>0</v>
      </c>
      <c r="K354">
        <v>2635720</v>
      </c>
    </row>
    <row r="355" spans="1:11" x14ac:dyDescent="0.25">
      <c r="A355" t="s">
        <v>1140</v>
      </c>
      <c r="B355" t="s">
        <v>1141</v>
      </c>
      <c r="C355" t="s">
        <v>540</v>
      </c>
      <c r="D355" t="s">
        <v>559</v>
      </c>
      <c r="E355">
        <v>0</v>
      </c>
      <c r="F355" t="s">
        <v>560</v>
      </c>
      <c r="G355">
        <v>189515.15</v>
      </c>
      <c r="H355">
        <v>0</v>
      </c>
      <c r="I355">
        <v>0</v>
      </c>
      <c r="J355">
        <v>0</v>
      </c>
      <c r="K355">
        <v>189515.15</v>
      </c>
    </row>
    <row r="356" spans="1:11" x14ac:dyDescent="0.25">
      <c r="A356" t="s">
        <v>1073</v>
      </c>
      <c r="B356" t="s">
        <v>1074</v>
      </c>
      <c r="C356" t="s">
        <v>540</v>
      </c>
      <c r="D356" t="s">
        <v>663</v>
      </c>
      <c r="E356">
        <v>0</v>
      </c>
      <c r="F356" t="s">
        <v>664</v>
      </c>
      <c r="G356">
        <v>94462.28</v>
      </c>
      <c r="H356">
        <v>0</v>
      </c>
      <c r="I356">
        <v>0</v>
      </c>
      <c r="J356">
        <v>0</v>
      </c>
      <c r="K356">
        <v>94462.28</v>
      </c>
    </row>
    <row r="357" spans="1:11" x14ac:dyDescent="0.25">
      <c r="A357" t="s">
        <v>974</v>
      </c>
      <c r="B357" t="s">
        <v>931</v>
      </c>
      <c r="C357" t="s">
        <v>540</v>
      </c>
      <c r="D357" t="s">
        <v>677</v>
      </c>
      <c r="E357">
        <v>0</v>
      </c>
      <c r="F357" t="s">
        <v>678</v>
      </c>
      <c r="G357">
        <v>0</v>
      </c>
      <c r="H357">
        <v>0</v>
      </c>
      <c r="I357">
        <v>1717000</v>
      </c>
      <c r="J357">
        <v>0</v>
      </c>
      <c r="K357">
        <v>1717000</v>
      </c>
    </row>
    <row r="358" spans="1:11" x14ac:dyDescent="0.25">
      <c r="A358" t="s">
        <v>192</v>
      </c>
      <c r="B358" t="s">
        <v>193</v>
      </c>
      <c r="C358" t="s">
        <v>540</v>
      </c>
      <c r="D358" t="s">
        <v>553</v>
      </c>
      <c r="E358">
        <v>0</v>
      </c>
      <c r="F358" t="s">
        <v>554</v>
      </c>
      <c r="G358">
        <v>660480.88</v>
      </c>
      <c r="H358">
        <v>0</v>
      </c>
      <c r="I358">
        <v>0</v>
      </c>
      <c r="J358">
        <v>0</v>
      </c>
      <c r="K358">
        <v>660480.88</v>
      </c>
    </row>
    <row r="359" spans="1:11" x14ac:dyDescent="0.25">
      <c r="A359" t="s">
        <v>839</v>
      </c>
      <c r="B359" t="s">
        <v>840</v>
      </c>
      <c r="C359" t="s">
        <v>540</v>
      </c>
      <c r="D359" t="s">
        <v>563</v>
      </c>
      <c r="E359">
        <v>0</v>
      </c>
      <c r="F359" t="s">
        <v>564</v>
      </c>
      <c r="G359">
        <v>8047412.2800000003</v>
      </c>
      <c r="H359">
        <v>0</v>
      </c>
      <c r="I359">
        <v>0</v>
      </c>
      <c r="J359">
        <v>0</v>
      </c>
      <c r="K359">
        <v>8047412.2800000003</v>
      </c>
    </row>
    <row r="360" spans="1:11" x14ac:dyDescent="0.25">
      <c r="A360" t="s">
        <v>194</v>
      </c>
      <c r="B360" t="s">
        <v>195</v>
      </c>
      <c r="C360" t="s">
        <v>540</v>
      </c>
      <c r="D360" t="s">
        <v>555</v>
      </c>
      <c r="E360">
        <v>0</v>
      </c>
      <c r="F360" t="s">
        <v>556</v>
      </c>
      <c r="G360">
        <v>282299.19</v>
      </c>
      <c r="H360">
        <v>0</v>
      </c>
      <c r="I360">
        <v>0</v>
      </c>
      <c r="J360">
        <v>0</v>
      </c>
      <c r="K360">
        <v>282299.19</v>
      </c>
    </row>
    <row r="361" spans="1:11" x14ac:dyDescent="0.25">
      <c r="A361" t="s">
        <v>975</v>
      </c>
      <c r="B361" t="s">
        <v>932</v>
      </c>
      <c r="C361" t="s">
        <v>540</v>
      </c>
      <c r="D361" t="s">
        <v>559</v>
      </c>
      <c r="E361">
        <v>0</v>
      </c>
      <c r="F361" t="s">
        <v>560</v>
      </c>
      <c r="G361">
        <v>0</v>
      </c>
      <c r="H361">
        <v>3385000</v>
      </c>
      <c r="I361">
        <v>0</v>
      </c>
      <c r="J361">
        <v>0</v>
      </c>
      <c r="K361">
        <v>3385000</v>
      </c>
    </row>
    <row r="362" spans="1:11" x14ac:dyDescent="0.25">
      <c r="A362" t="s">
        <v>1075</v>
      </c>
      <c r="B362" t="s">
        <v>1076</v>
      </c>
      <c r="C362" t="s">
        <v>540</v>
      </c>
      <c r="D362" t="s">
        <v>553</v>
      </c>
      <c r="E362">
        <v>0</v>
      </c>
      <c r="F362" t="s">
        <v>554</v>
      </c>
      <c r="G362">
        <v>477363.36</v>
      </c>
      <c r="H362">
        <v>0</v>
      </c>
      <c r="I362">
        <v>0</v>
      </c>
      <c r="J362">
        <v>0</v>
      </c>
      <c r="K362">
        <v>477363.36</v>
      </c>
    </row>
    <row r="363" spans="1:11" x14ac:dyDescent="0.25">
      <c r="A363" t="s">
        <v>976</v>
      </c>
      <c r="B363" t="s">
        <v>933</v>
      </c>
      <c r="C363" t="s">
        <v>540</v>
      </c>
      <c r="D363" t="s">
        <v>563</v>
      </c>
      <c r="E363">
        <v>0</v>
      </c>
      <c r="F363" t="s">
        <v>564</v>
      </c>
      <c r="G363">
        <v>0</v>
      </c>
      <c r="H363">
        <v>30008000</v>
      </c>
      <c r="I363">
        <v>0</v>
      </c>
      <c r="J363">
        <v>0</v>
      </c>
      <c r="K363">
        <v>30008000</v>
      </c>
    </row>
    <row r="364" spans="1:11" x14ac:dyDescent="0.25">
      <c r="A364" t="s">
        <v>841</v>
      </c>
      <c r="B364" t="s">
        <v>842</v>
      </c>
      <c r="C364" t="s">
        <v>540</v>
      </c>
      <c r="D364" t="s">
        <v>633</v>
      </c>
      <c r="E364">
        <v>0</v>
      </c>
      <c r="F364" t="s">
        <v>634</v>
      </c>
      <c r="G364">
        <v>333960</v>
      </c>
      <c r="H364">
        <v>0</v>
      </c>
      <c r="I364">
        <v>0</v>
      </c>
      <c r="J364">
        <v>0</v>
      </c>
      <c r="K364">
        <v>333960</v>
      </c>
    </row>
    <row r="365" spans="1:11" x14ac:dyDescent="0.25">
      <c r="A365" t="s">
        <v>1142</v>
      </c>
      <c r="B365" t="s">
        <v>1143</v>
      </c>
      <c r="C365" t="s">
        <v>540</v>
      </c>
      <c r="D365" t="s">
        <v>559</v>
      </c>
      <c r="E365">
        <v>2560000</v>
      </c>
      <c r="F365" t="s">
        <v>560</v>
      </c>
      <c r="G365">
        <v>0</v>
      </c>
      <c r="H365">
        <v>0</v>
      </c>
      <c r="I365">
        <v>0</v>
      </c>
      <c r="J365">
        <v>0</v>
      </c>
      <c r="K365">
        <v>2560000</v>
      </c>
    </row>
    <row r="366" spans="1:11" x14ac:dyDescent="0.25">
      <c r="A366" t="s">
        <v>487</v>
      </c>
      <c r="B366" t="s">
        <v>488</v>
      </c>
      <c r="C366" t="s">
        <v>540</v>
      </c>
      <c r="D366" t="s">
        <v>559</v>
      </c>
      <c r="E366">
        <v>0</v>
      </c>
      <c r="F366" t="s">
        <v>560</v>
      </c>
      <c r="G366">
        <v>370986</v>
      </c>
      <c r="H366">
        <v>367356</v>
      </c>
      <c r="I366">
        <v>0</v>
      </c>
      <c r="J366">
        <v>0</v>
      </c>
      <c r="K366">
        <v>738342</v>
      </c>
    </row>
    <row r="367" spans="1:11" x14ac:dyDescent="0.25">
      <c r="A367" t="s">
        <v>843</v>
      </c>
      <c r="B367" t="s">
        <v>844</v>
      </c>
      <c r="C367" t="s">
        <v>540</v>
      </c>
      <c r="D367" t="s">
        <v>575</v>
      </c>
      <c r="E367">
        <v>0</v>
      </c>
      <c r="F367" t="s">
        <v>576</v>
      </c>
      <c r="G367">
        <v>3146000</v>
      </c>
      <c r="H367">
        <v>0</v>
      </c>
      <c r="I367">
        <v>0</v>
      </c>
      <c r="J367">
        <v>0</v>
      </c>
      <c r="K367">
        <v>3146000</v>
      </c>
    </row>
    <row r="368" spans="1:11" x14ac:dyDescent="0.25">
      <c r="A368" t="s">
        <v>977</v>
      </c>
      <c r="B368" t="s">
        <v>978</v>
      </c>
      <c r="C368" t="s">
        <v>540</v>
      </c>
      <c r="D368" t="s">
        <v>561</v>
      </c>
      <c r="E368">
        <v>0</v>
      </c>
      <c r="F368" t="s">
        <v>562</v>
      </c>
      <c r="G368">
        <v>3592786.9</v>
      </c>
      <c r="H368">
        <v>0</v>
      </c>
      <c r="I368">
        <v>0</v>
      </c>
      <c r="J368">
        <v>0</v>
      </c>
      <c r="K368">
        <v>3592786.9</v>
      </c>
    </row>
    <row r="369" spans="1:11" x14ac:dyDescent="0.25">
      <c r="A369" t="s">
        <v>198</v>
      </c>
      <c r="B369" t="s">
        <v>199</v>
      </c>
      <c r="C369" t="s">
        <v>540</v>
      </c>
      <c r="D369" t="s">
        <v>563</v>
      </c>
      <c r="E369">
        <v>0</v>
      </c>
      <c r="F369" t="s">
        <v>564</v>
      </c>
      <c r="G369">
        <v>0</v>
      </c>
      <c r="H369">
        <v>36651807.200000003</v>
      </c>
      <c r="I369">
        <v>35948940</v>
      </c>
      <c r="J369">
        <v>26176.959999999999</v>
      </c>
      <c r="K369">
        <v>72626924.159999996</v>
      </c>
    </row>
    <row r="370" spans="1:11" x14ac:dyDescent="0.25">
      <c r="A370" t="s">
        <v>722</v>
      </c>
      <c r="B370" t="s">
        <v>723</v>
      </c>
      <c r="C370" t="s">
        <v>540</v>
      </c>
      <c r="D370" t="s">
        <v>595</v>
      </c>
      <c r="E370">
        <v>999702</v>
      </c>
      <c r="F370" t="s">
        <v>596</v>
      </c>
      <c r="G370">
        <v>0</v>
      </c>
      <c r="H370">
        <v>0</v>
      </c>
      <c r="I370">
        <v>0</v>
      </c>
      <c r="J370">
        <v>0</v>
      </c>
      <c r="K370">
        <v>999702</v>
      </c>
    </row>
    <row r="371" spans="1:11" x14ac:dyDescent="0.25">
      <c r="A371" t="s">
        <v>979</v>
      </c>
      <c r="B371" t="s">
        <v>934</v>
      </c>
      <c r="C371" t="s">
        <v>540</v>
      </c>
      <c r="D371" t="s">
        <v>982</v>
      </c>
      <c r="E371">
        <v>10000</v>
      </c>
      <c r="F371" t="s">
        <v>983</v>
      </c>
      <c r="G371">
        <v>25000</v>
      </c>
      <c r="H371">
        <v>0</v>
      </c>
      <c r="I371">
        <v>0</v>
      </c>
      <c r="J371">
        <v>0</v>
      </c>
      <c r="K371">
        <v>35000</v>
      </c>
    </row>
    <row r="372" spans="1:11" x14ac:dyDescent="0.25">
      <c r="A372" t="s">
        <v>979</v>
      </c>
      <c r="B372" t="s">
        <v>934</v>
      </c>
      <c r="C372" t="s">
        <v>540</v>
      </c>
      <c r="D372" t="s">
        <v>980</v>
      </c>
      <c r="E372">
        <v>370000</v>
      </c>
      <c r="F372" t="s">
        <v>981</v>
      </c>
      <c r="G372">
        <v>680000.01</v>
      </c>
      <c r="H372">
        <v>0</v>
      </c>
      <c r="I372">
        <v>0</v>
      </c>
      <c r="J372">
        <v>0</v>
      </c>
      <c r="K372">
        <v>1050000.01</v>
      </c>
    </row>
    <row r="373" spans="1:11" x14ac:dyDescent="0.25">
      <c r="A373" t="s">
        <v>1122</v>
      </c>
      <c r="B373" t="s">
        <v>1123</v>
      </c>
      <c r="C373" t="s">
        <v>540</v>
      </c>
      <c r="D373" t="s">
        <v>563</v>
      </c>
      <c r="E373">
        <v>0</v>
      </c>
      <c r="F373" t="s">
        <v>564</v>
      </c>
      <c r="G373">
        <v>163350</v>
      </c>
      <c r="H373">
        <v>0</v>
      </c>
      <c r="I373">
        <v>0</v>
      </c>
      <c r="J373">
        <v>0</v>
      </c>
      <c r="K373">
        <v>163350</v>
      </c>
    </row>
    <row r="374" spans="1:11" x14ac:dyDescent="0.25">
      <c r="A374" t="s">
        <v>802</v>
      </c>
      <c r="B374" t="s">
        <v>803</v>
      </c>
      <c r="C374" t="s">
        <v>540</v>
      </c>
      <c r="D374" t="s">
        <v>545</v>
      </c>
      <c r="E374">
        <v>343906.43</v>
      </c>
      <c r="F374" t="s">
        <v>546</v>
      </c>
      <c r="G374">
        <v>957537.32</v>
      </c>
      <c r="H374">
        <v>0</v>
      </c>
      <c r="I374">
        <v>0</v>
      </c>
      <c r="J374">
        <v>0</v>
      </c>
      <c r="K374">
        <v>1301443.75</v>
      </c>
    </row>
    <row r="375" spans="1:11" x14ac:dyDescent="0.25">
      <c r="A375" t="s">
        <v>724</v>
      </c>
      <c r="B375" t="s">
        <v>725</v>
      </c>
      <c r="C375" t="s">
        <v>540</v>
      </c>
      <c r="D375" t="s">
        <v>559</v>
      </c>
      <c r="E375">
        <v>0</v>
      </c>
      <c r="F375" t="s">
        <v>560</v>
      </c>
      <c r="G375">
        <v>68500</v>
      </c>
      <c r="H375">
        <v>0</v>
      </c>
      <c r="I375">
        <v>0</v>
      </c>
      <c r="J375">
        <v>0</v>
      </c>
      <c r="K375">
        <v>68500</v>
      </c>
    </row>
    <row r="376" spans="1:11" x14ac:dyDescent="0.25">
      <c r="A376" t="s">
        <v>726</v>
      </c>
      <c r="B376" t="s">
        <v>727</v>
      </c>
      <c r="C376" t="s">
        <v>540</v>
      </c>
      <c r="D376" t="s">
        <v>681</v>
      </c>
      <c r="E376">
        <v>1222784.55</v>
      </c>
      <c r="F376" t="s">
        <v>682</v>
      </c>
      <c r="G376">
        <v>656410.01</v>
      </c>
      <c r="H376">
        <v>0</v>
      </c>
      <c r="I376">
        <v>0</v>
      </c>
      <c r="J376">
        <v>0</v>
      </c>
      <c r="K376">
        <v>1879194.56</v>
      </c>
    </row>
    <row r="377" spans="1:11" x14ac:dyDescent="0.25">
      <c r="A377" t="s">
        <v>1124</v>
      </c>
      <c r="B377" t="s">
        <v>1125</v>
      </c>
      <c r="C377" t="s">
        <v>540</v>
      </c>
      <c r="D377" t="s">
        <v>565</v>
      </c>
      <c r="E377">
        <v>0</v>
      </c>
      <c r="F377" t="s">
        <v>566</v>
      </c>
      <c r="G377">
        <v>1706862.55</v>
      </c>
      <c r="H377">
        <v>0</v>
      </c>
      <c r="I377">
        <v>0</v>
      </c>
      <c r="J377">
        <v>0</v>
      </c>
      <c r="K377">
        <v>1706862.55</v>
      </c>
    </row>
    <row r="378" spans="1:11" x14ac:dyDescent="0.25">
      <c r="A378" t="s">
        <v>567</v>
      </c>
      <c r="B378" t="s">
        <v>568</v>
      </c>
      <c r="C378" t="s">
        <v>540</v>
      </c>
      <c r="D378" t="s">
        <v>569</v>
      </c>
      <c r="E378">
        <v>0</v>
      </c>
      <c r="F378" t="s">
        <v>570</v>
      </c>
      <c r="G378">
        <v>1422950.32</v>
      </c>
      <c r="H378">
        <v>0</v>
      </c>
      <c r="I378">
        <v>0</v>
      </c>
      <c r="J378">
        <v>0</v>
      </c>
      <c r="K378">
        <v>1422950.32</v>
      </c>
    </row>
    <row r="379" spans="1:11" x14ac:dyDescent="0.25">
      <c r="A379" t="s">
        <v>1144</v>
      </c>
      <c r="B379" t="s">
        <v>1145</v>
      </c>
      <c r="C379" t="s">
        <v>540</v>
      </c>
      <c r="D379" t="s">
        <v>561</v>
      </c>
      <c r="E379">
        <v>0</v>
      </c>
      <c r="F379" t="s">
        <v>562</v>
      </c>
      <c r="G379">
        <v>0</v>
      </c>
      <c r="H379">
        <v>0</v>
      </c>
      <c r="I379">
        <v>0</v>
      </c>
      <c r="J379">
        <v>591690</v>
      </c>
      <c r="K379">
        <v>591690</v>
      </c>
    </row>
    <row r="380" spans="1:11" x14ac:dyDescent="0.25">
      <c r="A380" t="s">
        <v>202</v>
      </c>
      <c r="B380" t="s">
        <v>203</v>
      </c>
      <c r="C380" t="s">
        <v>540</v>
      </c>
      <c r="D380" t="s">
        <v>571</v>
      </c>
      <c r="E380">
        <v>550550</v>
      </c>
      <c r="F380" t="s">
        <v>572</v>
      </c>
      <c r="G380">
        <v>2565200</v>
      </c>
      <c r="H380">
        <v>2687652</v>
      </c>
      <c r="I380">
        <v>0</v>
      </c>
      <c r="J380">
        <v>0</v>
      </c>
      <c r="K380">
        <v>5803402</v>
      </c>
    </row>
    <row r="381" spans="1:11" x14ac:dyDescent="0.25">
      <c r="A381" t="s">
        <v>204</v>
      </c>
      <c r="B381" t="s">
        <v>205</v>
      </c>
      <c r="C381" t="s">
        <v>540</v>
      </c>
      <c r="D381" t="s">
        <v>573</v>
      </c>
      <c r="E381">
        <v>575960</v>
      </c>
      <c r="F381" t="s">
        <v>574</v>
      </c>
      <c r="G381">
        <v>1387461.75</v>
      </c>
      <c r="H381">
        <v>0</v>
      </c>
      <c r="I381">
        <v>0</v>
      </c>
      <c r="J381">
        <v>0</v>
      </c>
      <c r="K381">
        <v>1963421.75</v>
      </c>
    </row>
    <row r="382" spans="1:11" x14ac:dyDescent="0.25">
      <c r="A382" t="s">
        <v>1146</v>
      </c>
      <c r="B382" t="s">
        <v>1147</v>
      </c>
      <c r="C382" t="s">
        <v>540</v>
      </c>
      <c r="D382" t="s">
        <v>758</v>
      </c>
      <c r="E382">
        <v>97768</v>
      </c>
      <c r="F382" t="s">
        <v>759</v>
      </c>
      <c r="G382">
        <v>0</v>
      </c>
      <c r="H382">
        <v>0</v>
      </c>
      <c r="I382">
        <v>0</v>
      </c>
      <c r="J382">
        <v>0</v>
      </c>
      <c r="K382">
        <v>97768</v>
      </c>
    </row>
    <row r="383" spans="1:11" x14ac:dyDescent="0.25">
      <c r="A383" t="s">
        <v>489</v>
      </c>
      <c r="B383" t="s">
        <v>490</v>
      </c>
      <c r="C383" t="s">
        <v>540</v>
      </c>
      <c r="D383" t="s">
        <v>563</v>
      </c>
      <c r="E383">
        <v>0</v>
      </c>
      <c r="F383" t="s">
        <v>564</v>
      </c>
      <c r="G383">
        <v>48331.16</v>
      </c>
      <c r="H383">
        <v>119908.88</v>
      </c>
      <c r="I383">
        <v>0</v>
      </c>
      <c r="J383">
        <v>0</v>
      </c>
      <c r="K383">
        <v>168240.04</v>
      </c>
    </row>
    <row r="384" spans="1:11" x14ac:dyDescent="0.25">
      <c r="A384" t="s">
        <v>984</v>
      </c>
      <c r="B384" t="s">
        <v>935</v>
      </c>
      <c r="C384" t="s">
        <v>540</v>
      </c>
      <c r="D384" t="s">
        <v>695</v>
      </c>
      <c r="E384">
        <v>1161387.04</v>
      </c>
      <c r="F384" t="s">
        <v>696</v>
      </c>
      <c r="G384">
        <v>102414.39999999999</v>
      </c>
      <c r="H384">
        <v>0</v>
      </c>
      <c r="I384">
        <v>0</v>
      </c>
      <c r="J384">
        <v>0</v>
      </c>
      <c r="K384">
        <v>1263801.44</v>
      </c>
    </row>
    <row r="385" spans="1:11" x14ac:dyDescent="0.25">
      <c r="A385" t="s">
        <v>208</v>
      </c>
      <c r="B385" t="s">
        <v>209</v>
      </c>
      <c r="C385" t="s">
        <v>540</v>
      </c>
      <c r="D385" t="s">
        <v>577</v>
      </c>
      <c r="E385">
        <v>0</v>
      </c>
      <c r="F385" t="s">
        <v>578</v>
      </c>
      <c r="G385">
        <v>19482422.960000001</v>
      </c>
      <c r="H385">
        <v>0</v>
      </c>
      <c r="I385">
        <v>0</v>
      </c>
      <c r="J385">
        <v>0</v>
      </c>
      <c r="K385">
        <v>19482422.960000001</v>
      </c>
    </row>
    <row r="386" spans="1:11" x14ac:dyDescent="0.25">
      <c r="A386" t="s">
        <v>851</v>
      </c>
      <c r="B386" t="s">
        <v>852</v>
      </c>
      <c r="C386" t="s">
        <v>540</v>
      </c>
      <c r="D386" t="s">
        <v>553</v>
      </c>
      <c r="E386">
        <v>0</v>
      </c>
      <c r="F386" t="s">
        <v>554</v>
      </c>
      <c r="G386">
        <v>3056699.43</v>
      </c>
      <c r="H386">
        <v>0</v>
      </c>
      <c r="I386">
        <v>0</v>
      </c>
      <c r="J386">
        <v>0</v>
      </c>
      <c r="K386">
        <v>3056699.43</v>
      </c>
    </row>
    <row r="387" spans="1:11" x14ac:dyDescent="0.25">
      <c r="A387" t="s">
        <v>210</v>
      </c>
      <c r="B387" t="s">
        <v>211</v>
      </c>
      <c r="C387" t="s">
        <v>540</v>
      </c>
      <c r="D387" t="s">
        <v>579</v>
      </c>
      <c r="E387">
        <v>519501.4</v>
      </c>
      <c r="F387" t="s">
        <v>580</v>
      </c>
      <c r="G387">
        <v>0</v>
      </c>
      <c r="H387">
        <v>0</v>
      </c>
      <c r="I387">
        <v>0</v>
      </c>
      <c r="J387">
        <v>0</v>
      </c>
      <c r="K387">
        <v>519501.4</v>
      </c>
    </row>
    <row r="388" spans="1:11" x14ac:dyDescent="0.25">
      <c r="A388" t="s">
        <v>212</v>
      </c>
      <c r="B388" t="s">
        <v>213</v>
      </c>
      <c r="C388" t="s">
        <v>540</v>
      </c>
      <c r="D388" t="s">
        <v>545</v>
      </c>
      <c r="E388">
        <v>1533249.21</v>
      </c>
      <c r="F388" t="s">
        <v>546</v>
      </c>
      <c r="G388">
        <v>2103137.62</v>
      </c>
      <c r="H388">
        <v>5151973.96</v>
      </c>
      <c r="I388">
        <v>0</v>
      </c>
      <c r="J388">
        <v>0</v>
      </c>
      <c r="K388">
        <v>8788360.7899999991</v>
      </c>
    </row>
    <row r="389" spans="1:11" x14ac:dyDescent="0.25">
      <c r="A389" t="s">
        <v>985</v>
      </c>
      <c r="B389" t="s">
        <v>986</v>
      </c>
      <c r="C389" t="s">
        <v>540</v>
      </c>
      <c r="D389" t="s">
        <v>561</v>
      </c>
      <c r="E389">
        <v>0</v>
      </c>
      <c r="F389" t="s">
        <v>562</v>
      </c>
      <c r="G389">
        <v>5834117.8499999996</v>
      </c>
      <c r="H389">
        <v>0</v>
      </c>
      <c r="I389">
        <v>0</v>
      </c>
      <c r="J389">
        <v>0</v>
      </c>
      <c r="K389">
        <v>5834117.8499999996</v>
      </c>
    </row>
    <row r="390" spans="1:11" x14ac:dyDescent="0.25">
      <c r="A390" t="s">
        <v>1079</v>
      </c>
      <c r="B390" t="s">
        <v>1080</v>
      </c>
      <c r="C390" t="s">
        <v>540</v>
      </c>
      <c r="D390" t="s">
        <v>563</v>
      </c>
      <c r="E390">
        <v>0</v>
      </c>
      <c r="F390" t="s">
        <v>564</v>
      </c>
      <c r="G390">
        <v>29942386.879999999</v>
      </c>
      <c r="H390">
        <v>0</v>
      </c>
      <c r="I390">
        <v>0</v>
      </c>
      <c r="J390">
        <v>0</v>
      </c>
      <c r="K390">
        <v>29942386.879999999</v>
      </c>
    </row>
    <row r="391" spans="1:11" x14ac:dyDescent="0.25">
      <c r="A391" t="s">
        <v>214</v>
      </c>
      <c r="B391" t="s">
        <v>215</v>
      </c>
      <c r="C391" t="s">
        <v>540</v>
      </c>
      <c r="D391" t="s">
        <v>563</v>
      </c>
      <c r="E391">
        <v>0</v>
      </c>
      <c r="F391" t="s">
        <v>564</v>
      </c>
      <c r="G391">
        <v>0</v>
      </c>
      <c r="H391">
        <v>0</v>
      </c>
      <c r="I391">
        <v>0</v>
      </c>
      <c r="J391">
        <v>-0.01</v>
      </c>
      <c r="K391">
        <v>-0.01</v>
      </c>
    </row>
    <row r="392" spans="1:11" x14ac:dyDescent="0.25">
      <c r="A392" t="s">
        <v>730</v>
      </c>
      <c r="B392" t="s">
        <v>731</v>
      </c>
      <c r="C392" t="s">
        <v>540</v>
      </c>
      <c r="D392" t="s">
        <v>627</v>
      </c>
      <c r="E392">
        <v>36543235.109999999</v>
      </c>
      <c r="F392" t="s">
        <v>628</v>
      </c>
      <c r="G392">
        <v>38783184.060000002</v>
      </c>
      <c r="H392">
        <v>0</v>
      </c>
      <c r="I392">
        <v>0</v>
      </c>
      <c r="J392">
        <v>0</v>
      </c>
      <c r="K392">
        <v>75326419.170000002</v>
      </c>
    </row>
    <row r="393" spans="1:11" x14ac:dyDescent="0.25">
      <c r="A393" t="s">
        <v>216</v>
      </c>
      <c r="B393" t="s">
        <v>217</v>
      </c>
      <c r="C393" t="s">
        <v>540</v>
      </c>
      <c r="D393" t="s">
        <v>581</v>
      </c>
      <c r="E393">
        <v>579258.67000000004</v>
      </c>
      <c r="F393" t="s">
        <v>582</v>
      </c>
      <c r="G393">
        <v>17275215.370000001</v>
      </c>
      <c r="H393">
        <v>0</v>
      </c>
      <c r="I393">
        <v>0</v>
      </c>
      <c r="J393">
        <v>0</v>
      </c>
      <c r="K393">
        <v>17854474.039999999</v>
      </c>
    </row>
    <row r="394" spans="1:11" x14ac:dyDescent="0.25">
      <c r="A394" t="s">
        <v>583</v>
      </c>
      <c r="B394" t="s">
        <v>584</v>
      </c>
      <c r="C394" t="s">
        <v>540</v>
      </c>
      <c r="D394" t="s">
        <v>585</v>
      </c>
      <c r="E394">
        <v>0</v>
      </c>
      <c r="F394" t="s">
        <v>586</v>
      </c>
      <c r="G394">
        <v>2159146.9900000002</v>
      </c>
      <c r="H394">
        <v>178708.53</v>
      </c>
      <c r="I394">
        <v>0</v>
      </c>
      <c r="J394">
        <v>0</v>
      </c>
      <c r="K394">
        <v>2337855.52</v>
      </c>
    </row>
    <row r="395" spans="1:11" x14ac:dyDescent="0.25">
      <c r="A395" t="s">
        <v>1148</v>
      </c>
      <c r="B395" t="s">
        <v>1149</v>
      </c>
      <c r="C395" t="s">
        <v>540</v>
      </c>
      <c r="D395" t="s">
        <v>589</v>
      </c>
      <c r="E395">
        <v>4569095.58</v>
      </c>
      <c r="F395" t="s">
        <v>590</v>
      </c>
      <c r="G395">
        <v>0</v>
      </c>
      <c r="H395">
        <v>0</v>
      </c>
      <c r="I395">
        <v>0</v>
      </c>
      <c r="J395">
        <v>0</v>
      </c>
      <c r="K395">
        <v>4569095.58</v>
      </c>
    </row>
    <row r="396" spans="1:11" x14ac:dyDescent="0.25">
      <c r="A396" t="s">
        <v>853</v>
      </c>
      <c r="B396" t="s">
        <v>854</v>
      </c>
      <c r="C396" t="s">
        <v>540</v>
      </c>
      <c r="D396" t="s">
        <v>631</v>
      </c>
      <c r="E396">
        <v>0</v>
      </c>
      <c r="F396" t="s">
        <v>632</v>
      </c>
      <c r="G396">
        <v>542744.88</v>
      </c>
      <c r="H396">
        <v>0</v>
      </c>
      <c r="I396">
        <v>0</v>
      </c>
      <c r="J396">
        <v>0</v>
      </c>
      <c r="K396">
        <v>542744.88</v>
      </c>
    </row>
    <row r="397" spans="1:11" x14ac:dyDescent="0.25">
      <c r="A397" t="s">
        <v>1150</v>
      </c>
      <c r="B397" t="s">
        <v>1151</v>
      </c>
      <c r="C397" t="s">
        <v>540</v>
      </c>
      <c r="D397" t="s">
        <v>559</v>
      </c>
      <c r="E397">
        <v>423770</v>
      </c>
      <c r="F397" t="s">
        <v>560</v>
      </c>
      <c r="G397">
        <v>0</v>
      </c>
      <c r="H397">
        <v>0</v>
      </c>
      <c r="I397">
        <v>0</v>
      </c>
      <c r="J397">
        <v>0</v>
      </c>
      <c r="K397">
        <v>423770</v>
      </c>
    </row>
    <row r="398" spans="1:11" x14ac:dyDescent="0.25">
      <c r="A398" t="s">
        <v>218</v>
      </c>
      <c r="B398" t="s">
        <v>219</v>
      </c>
      <c r="C398" t="s">
        <v>540</v>
      </c>
      <c r="D398" t="s">
        <v>563</v>
      </c>
      <c r="E398">
        <v>0</v>
      </c>
      <c r="F398" t="s">
        <v>564</v>
      </c>
      <c r="G398">
        <v>0</v>
      </c>
      <c r="H398">
        <v>0</v>
      </c>
      <c r="I398">
        <v>0</v>
      </c>
      <c r="J398">
        <v>217</v>
      </c>
      <c r="K398">
        <v>217</v>
      </c>
    </row>
    <row r="399" spans="1:11" x14ac:dyDescent="0.25">
      <c r="A399" t="s">
        <v>1066</v>
      </c>
      <c r="B399" t="s">
        <v>1067</v>
      </c>
      <c r="C399" t="s">
        <v>540</v>
      </c>
      <c r="D399" t="s">
        <v>615</v>
      </c>
      <c r="E399">
        <v>0</v>
      </c>
      <c r="F399" t="s">
        <v>616</v>
      </c>
      <c r="G399">
        <v>1231795.43</v>
      </c>
      <c r="H399">
        <v>0</v>
      </c>
      <c r="I399">
        <v>0</v>
      </c>
      <c r="J399">
        <v>0</v>
      </c>
      <c r="K399">
        <v>1231795.43</v>
      </c>
    </row>
    <row r="400" spans="1:11" x14ac:dyDescent="0.25">
      <c r="A400" t="s">
        <v>220</v>
      </c>
      <c r="B400" t="s">
        <v>221</v>
      </c>
      <c r="C400" t="s">
        <v>540</v>
      </c>
      <c r="D400" t="s">
        <v>589</v>
      </c>
      <c r="E400">
        <v>0</v>
      </c>
      <c r="F400" t="s">
        <v>590</v>
      </c>
      <c r="G400">
        <v>0</v>
      </c>
      <c r="H400">
        <v>646227.12</v>
      </c>
      <c r="I400">
        <v>0</v>
      </c>
      <c r="J400">
        <v>0</v>
      </c>
      <c r="K400">
        <v>646227.12</v>
      </c>
    </row>
    <row r="401" spans="1:11" x14ac:dyDescent="0.25">
      <c r="A401" t="s">
        <v>222</v>
      </c>
      <c r="B401" t="s">
        <v>223</v>
      </c>
      <c r="C401" t="s">
        <v>540</v>
      </c>
      <c r="D401" t="s">
        <v>591</v>
      </c>
      <c r="E401">
        <v>1635008.76</v>
      </c>
      <c r="F401" t="s">
        <v>592</v>
      </c>
      <c r="G401">
        <v>30886825.079999998</v>
      </c>
      <c r="H401">
        <v>0</v>
      </c>
      <c r="I401">
        <v>0</v>
      </c>
      <c r="J401">
        <v>0</v>
      </c>
      <c r="K401">
        <v>32521833.84</v>
      </c>
    </row>
    <row r="402" spans="1:11" x14ac:dyDescent="0.25">
      <c r="A402" t="s">
        <v>1081</v>
      </c>
      <c r="B402" t="s">
        <v>1082</v>
      </c>
      <c r="C402" t="s">
        <v>540</v>
      </c>
      <c r="D402" t="s">
        <v>1055</v>
      </c>
      <c r="E402">
        <v>0</v>
      </c>
      <c r="F402" t="s">
        <v>1056</v>
      </c>
      <c r="G402">
        <v>4522375</v>
      </c>
      <c r="H402">
        <v>0</v>
      </c>
      <c r="I402">
        <v>0</v>
      </c>
      <c r="J402">
        <v>0</v>
      </c>
      <c r="K402">
        <v>4522375</v>
      </c>
    </row>
    <row r="403" spans="1:11" x14ac:dyDescent="0.25">
      <c r="A403" t="s">
        <v>732</v>
      </c>
      <c r="B403" t="s">
        <v>733</v>
      </c>
      <c r="C403" t="s">
        <v>540</v>
      </c>
      <c r="D403" t="s">
        <v>691</v>
      </c>
      <c r="E403">
        <v>1958143</v>
      </c>
      <c r="F403" t="s">
        <v>692</v>
      </c>
      <c r="G403">
        <v>51062</v>
      </c>
      <c r="H403">
        <v>1817783</v>
      </c>
      <c r="I403">
        <v>0</v>
      </c>
      <c r="J403">
        <v>0</v>
      </c>
      <c r="K403">
        <v>3826988</v>
      </c>
    </row>
    <row r="404" spans="1:11" x14ac:dyDescent="0.25">
      <c r="A404" t="s">
        <v>1152</v>
      </c>
      <c r="B404" t="s">
        <v>1153</v>
      </c>
      <c r="C404" t="s">
        <v>540</v>
      </c>
      <c r="D404" t="s">
        <v>559</v>
      </c>
      <c r="E404">
        <v>0</v>
      </c>
      <c r="F404" t="s">
        <v>560</v>
      </c>
      <c r="G404">
        <v>900000</v>
      </c>
      <c r="H404">
        <v>0</v>
      </c>
      <c r="I404">
        <v>0</v>
      </c>
      <c r="J404">
        <v>0</v>
      </c>
      <c r="K404">
        <v>900000</v>
      </c>
    </row>
    <row r="405" spans="1:11" x14ac:dyDescent="0.25">
      <c r="A405" t="s">
        <v>224</v>
      </c>
      <c r="B405" t="s">
        <v>225</v>
      </c>
      <c r="C405" t="s">
        <v>540</v>
      </c>
      <c r="D405" t="s">
        <v>595</v>
      </c>
      <c r="E405">
        <v>0</v>
      </c>
      <c r="F405" t="s">
        <v>596</v>
      </c>
      <c r="G405">
        <v>47360000</v>
      </c>
      <c r="H405">
        <v>15600000</v>
      </c>
      <c r="I405">
        <v>59850000</v>
      </c>
      <c r="J405">
        <v>0</v>
      </c>
      <c r="K405">
        <v>122810000</v>
      </c>
    </row>
    <row r="406" spans="1:11" x14ac:dyDescent="0.25">
      <c r="A406" t="s">
        <v>226</v>
      </c>
      <c r="B406" t="s">
        <v>227</v>
      </c>
      <c r="C406" t="s">
        <v>540</v>
      </c>
      <c r="D406" t="s">
        <v>597</v>
      </c>
      <c r="E406">
        <v>0</v>
      </c>
      <c r="F406" t="s">
        <v>598</v>
      </c>
      <c r="G406">
        <v>235091426.02000001</v>
      </c>
      <c r="H406">
        <v>0</v>
      </c>
      <c r="I406">
        <v>0</v>
      </c>
      <c r="J406">
        <v>0</v>
      </c>
      <c r="K406">
        <v>235091426.02000001</v>
      </c>
    </row>
    <row r="407" spans="1:11" x14ac:dyDescent="0.25">
      <c r="A407" t="s">
        <v>229</v>
      </c>
      <c r="B407" t="s">
        <v>227</v>
      </c>
      <c r="C407" t="s">
        <v>540</v>
      </c>
      <c r="D407" t="s">
        <v>597</v>
      </c>
      <c r="E407">
        <v>0</v>
      </c>
      <c r="F407" t="s">
        <v>598</v>
      </c>
      <c r="G407">
        <v>174613785.18000001</v>
      </c>
      <c r="H407">
        <v>0</v>
      </c>
      <c r="I407">
        <v>0</v>
      </c>
      <c r="J407">
        <v>0</v>
      </c>
      <c r="K407">
        <v>174613785.18000001</v>
      </c>
    </row>
    <row r="408" spans="1:11" x14ac:dyDescent="0.25">
      <c r="A408" t="s">
        <v>734</v>
      </c>
      <c r="B408" t="s">
        <v>735</v>
      </c>
      <c r="C408" t="s">
        <v>540</v>
      </c>
      <c r="D408" t="s">
        <v>599</v>
      </c>
      <c r="E408">
        <v>0</v>
      </c>
      <c r="F408" t="s">
        <v>600</v>
      </c>
      <c r="G408">
        <v>0</v>
      </c>
      <c r="H408">
        <v>0</v>
      </c>
      <c r="I408">
        <v>157300</v>
      </c>
      <c r="J408">
        <v>0</v>
      </c>
      <c r="K408">
        <v>157300</v>
      </c>
    </row>
    <row r="409" spans="1:11" x14ac:dyDescent="0.25">
      <c r="A409" t="s">
        <v>987</v>
      </c>
      <c r="B409" t="s">
        <v>988</v>
      </c>
      <c r="C409" t="s">
        <v>540</v>
      </c>
      <c r="D409" t="s">
        <v>549</v>
      </c>
      <c r="E409">
        <v>0</v>
      </c>
      <c r="F409" t="s">
        <v>550</v>
      </c>
      <c r="G409">
        <v>2650000</v>
      </c>
      <c r="H409">
        <v>0</v>
      </c>
      <c r="I409">
        <v>0</v>
      </c>
      <c r="J409">
        <v>0</v>
      </c>
      <c r="K409">
        <v>2650000</v>
      </c>
    </row>
    <row r="410" spans="1:11" x14ac:dyDescent="0.25">
      <c r="A410" t="s">
        <v>861</v>
      </c>
      <c r="B410" t="s">
        <v>862</v>
      </c>
      <c r="C410" t="s">
        <v>540</v>
      </c>
      <c r="D410" t="s">
        <v>863</v>
      </c>
      <c r="E410">
        <v>2090398.38</v>
      </c>
      <c r="F410" t="s">
        <v>864</v>
      </c>
      <c r="G410">
        <v>7246169.25</v>
      </c>
      <c r="H410">
        <v>45653247.75</v>
      </c>
      <c r="I410">
        <v>0</v>
      </c>
      <c r="J410">
        <v>0</v>
      </c>
      <c r="K410">
        <v>54989815.380000003</v>
      </c>
    </row>
    <row r="411" spans="1:11" x14ac:dyDescent="0.25">
      <c r="A411" t="s">
        <v>232</v>
      </c>
      <c r="B411" t="s">
        <v>233</v>
      </c>
      <c r="C411" t="s">
        <v>540</v>
      </c>
      <c r="D411" t="s">
        <v>601</v>
      </c>
      <c r="E411">
        <v>0</v>
      </c>
      <c r="F411" t="s">
        <v>602</v>
      </c>
      <c r="G411">
        <v>1489900</v>
      </c>
      <c r="H411">
        <v>0</v>
      </c>
      <c r="I411">
        <v>0</v>
      </c>
      <c r="J411">
        <v>0</v>
      </c>
      <c r="K411">
        <v>1489900</v>
      </c>
    </row>
    <row r="412" spans="1:11" x14ac:dyDescent="0.25">
      <c r="A412" t="s">
        <v>234</v>
      </c>
      <c r="B412" t="s">
        <v>235</v>
      </c>
      <c r="C412" t="s">
        <v>540</v>
      </c>
      <c r="D412" t="s">
        <v>603</v>
      </c>
      <c r="E412">
        <v>0</v>
      </c>
      <c r="F412" t="s">
        <v>604</v>
      </c>
      <c r="G412">
        <v>0</v>
      </c>
      <c r="H412">
        <v>0</v>
      </c>
      <c r="I412">
        <v>0</v>
      </c>
      <c r="J412">
        <v>-204.43</v>
      </c>
      <c r="K412">
        <v>-204.43</v>
      </c>
    </row>
    <row r="413" spans="1:11" x14ac:dyDescent="0.25">
      <c r="A413" t="s">
        <v>1083</v>
      </c>
      <c r="B413" t="s">
        <v>1084</v>
      </c>
      <c r="C413" t="s">
        <v>540</v>
      </c>
      <c r="D413" t="s">
        <v>553</v>
      </c>
      <c r="E413">
        <v>0</v>
      </c>
      <c r="F413" t="s">
        <v>554</v>
      </c>
      <c r="G413">
        <v>3505115.9</v>
      </c>
      <c r="H413">
        <v>0</v>
      </c>
      <c r="I413">
        <v>0</v>
      </c>
      <c r="J413">
        <v>0</v>
      </c>
      <c r="K413">
        <v>3505115.9</v>
      </c>
    </row>
    <row r="414" spans="1:11" x14ac:dyDescent="0.25">
      <c r="A414" t="s">
        <v>989</v>
      </c>
      <c r="B414" t="s">
        <v>990</v>
      </c>
      <c r="C414" t="s">
        <v>540</v>
      </c>
      <c r="D414" t="s">
        <v>569</v>
      </c>
      <c r="E414">
        <v>0</v>
      </c>
      <c r="F414" t="s">
        <v>570</v>
      </c>
      <c r="G414">
        <v>204974</v>
      </c>
      <c r="H414">
        <v>0</v>
      </c>
      <c r="I414">
        <v>0</v>
      </c>
      <c r="J414">
        <v>0</v>
      </c>
      <c r="K414">
        <v>204974</v>
      </c>
    </row>
    <row r="415" spans="1:11" x14ac:dyDescent="0.25">
      <c r="A415" t="s">
        <v>236</v>
      </c>
      <c r="B415" t="s">
        <v>237</v>
      </c>
      <c r="C415" t="s">
        <v>540</v>
      </c>
      <c r="D415" t="s">
        <v>553</v>
      </c>
      <c r="E415">
        <v>3208086.08</v>
      </c>
      <c r="F415" t="s">
        <v>554</v>
      </c>
      <c r="G415">
        <v>4947478.12</v>
      </c>
      <c r="H415">
        <v>0</v>
      </c>
      <c r="I415">
        <v>0</v>
      </c>
      <c r="J415">
        <v>0</v>
      </c>
      <c r="K415">
        <v>8155564.2000000002</v>
      </c>
    </row>
    <row r="416" spans="1:11" x14ac:dyDescent="0.25">
      <c r="A416" t="s">
        <v>1154</v>
      </c>
      <c r="B416" t="s">
        <v>1155</v>
      </c>
      <c r="C416" t="s">
        <v>540</v>
      </c>
      <c r="D416" t="s">
        <v>971</v>
      </c>
      <c r="E416">
        <v>4198700</v>
      </c>
      <c r="F416" t="s">
        <v>972</v>
      </c>
      <c r="G416">
        <v>0</v>
      </c>
      <c r="H416">
        <v>0</v>
      </c>
      <c r="I416">
        <v>0</v>
      </c>
      <c r="J416">
        <v>0</v>
      </c>
      <c r="K416">
        <v>4198700</v>
      </c>
    </row>
    <row r="417" spans="1:11" x14ac:dyDescent="0.25">
      <c r="A417" t="s">
        <v>238</v>
      </c>
      <c r="B417" t="s">
        <v>239</v>
      </c>
      <c r="C417" t="s">
        <v>540</v>
      </c>
      <c r="D417" t="s">
        <v>605</v>
      </c>
      <c r="E417">
        <v>0</v>
      </c>
      <c r="F417" t="s">
        <v>606</v>
      </c>
      <c r="G417">
        <v>493716.31</v>
      </c>
      <c r="H417">
        <v>412922.6</v>
      </c>
      <c r="I417">
        <v>0</v>
      </c>
      <c r="J417">
        <v>0</v>
      </c>
      <c r="K417">
        <v>906638.91</v>
      </c>
    </row>
    <row r="418" spans="1:11" x14ac:dyDescent="0.25">
      <c r="A418" t="s">
        <v>240</v>
      </c>
      <c r="B418" t="s">
        <v>241</v>
      </c>
      <c r="C418" t="s">
        <v>540</v>
      </c>
      <c r="D418" t="s">
        <v>607</v>
      </c>
      <c r="E418">
        <v>643367.02</v>
      </c>
      <c r="F418" t="s">
        <v>608</v>
      </c>
      <c r="G418">
        <v>7845142.7199999997</v>
      </c>
      <c r="H418">
        <v>0</v>
      </c>
      <c r="I418">
        <v>0</v>
      </c>
      <c r="J418">
        <v>0</v>
      </c>
      <c r="K418">
        <v>8488509.7400000002</v>
      </c>
    </row>
    <row r="419" spans="1:11" x14ac:dyDescent="0.25">
      <c r="A419" t="s">
        <v>242</v>
      </c>
      <c r="B419" t="s">
        <v>243</v>
      </c>
      <c r="C419" t="s">
        <v>540</v>
      </c>
      <c r="D419" t="s">
        <v>609</v>
      </c>
      <c r="E419">
        <v>0</v>
      </c>
      <c r="F419" t="s">
        <v>610</v>
      </c>
      <c r="G419">
        <v>823898.16</v>
      </c>
      <c r="H419">
        <v>0</v>
      </c>
      <c r="I419">
        <v>0</v>
      </c>
      <c r="J419">
        <v>0</v>
      </c>
      <c r="K419">
        <v>823898.16</v>
      </c>
    </row>
    <row r="420" spans="1:11" x14ac:dyDescent="0.25">
      <c r="A420" t="s">
        <v>244</v>
      </c>
      <c r="B420" t="s">
        <v>245</v>
      </c>
      <c r="C420" t="s">
        <v>540</v>
      </c>
      <c r="D420" t="s">
        <v>573</v>
      </c>
      <c r="E420">
        <v>0</v>
      </c>
      <c r="F420" t="s">
        <v>574</v>
      </c>
      <c r="G420">
        <v>473507.91</v>
      </c>
      <c r="H420">
        <v>0</v>
      </c>
      <c r="I420">
        <v>0</v>
      </c>
      <c r="J420">
        <v>0</v>
      </c>
      <c r="K420">
        <v>473507.91</v>
      </c>
    </row>
    <row r="421" spans="1:11" x14ac:dyDescent="0.25">
      <c r="A421" t="s">
        <v>493</v>
      </c>
      <c r="B421" t="s">
        <v>494</v>
      </c>
      <c r="C421" t="s">
        <v>540</v>
      </c>
      <c r="D421" t="s">
        <v>611</v>
      </c>
      <c r="E421">
        <v>69441.899999999994</v>
      </c>
      <c r="F421" t="s">
        <v>612</v>
      </c>
      <c r="G421">
        <v>0</v>
      </c>
      <c r="H421">
        <v>0</v>
      </c>
      <c r="I421">
        <v>0</v>
      </c>
      <c r="J421">
        <v>0</v>
      </c>
      <c r="K421">
        <v>69441.899999999994</v>
      </c>
    </row>
    <row r="422" spans="1:11" x14ac:dyDescent="0.25">
      <c r="A422" t="s">
        <v>246</v>
      </c>
      <c r="B422" t="s">
        <v>247</v>
      </c>
      <c r="C422" t="s">
        <v>540</v>
      </c>
      <c r="D422" t="s">
        <v>553</v>
      </c>
      <c r="E422">
        <v>674176.91</v>
      </c>
      <c r="F422" t="s">
        <v>554</v>
      </c>
      <c r="G422">
        <v>361962.53</v>
      </c>
      <c r="H422">
        <v>0</v>
      </c>
      <c r="I422">
        <v>0</v>
      </c>
      <c r="J422">
        <v>0</v>
      </c>
      <c r="K422">
        <v>1036139.44</v>
      </c>
    </row>
    <row r="423" spans="1:11" x14ac:dyDescent="0.25">
      <c r="A423" t="s">
        <v>248</v>
      </c>
      <c r="B423" t="s">
        <v>249</v>
      </c>
      <c r="C423" t="s">
        <v>540</v>
      </c>
      <c r="D423" t="s">
        <v>553</v>
      </c>
      <c r="E423">
        <v>0</v>
      </c>
      <c r="F423" t="s">
        <v>554</v>
      </c>
      <c r="G423">
        <v>2691669.11</v>
      </c>
      <c r="H423">
        <v>0</v>
      </c>
      <c r="I423">
        <v>0</v>
      </c>
      <c r="J423">
        <v>0</v>
      </c>
      <c r="K423">
        <v>2691669.11</v>
      </c>
    </row>
    <row r="424" spans="1:11" x14ac:dyDescent="0.25">
      <c r="A424" t="s">
        <v>736</v>
      </c>
      <c r="B424" t="s">
        <v>737</v>
      </c>
      <c r="C424" t="s">
        <v>540</v>
      </c>
      <c r="D424" t="s">
        <v>679</v>
      </c>
      <c r="E424">
        <v>0</v>
      </c>
      <c r="F424" t="s">
        <v>680</v>
      </c>
      <c r="G424">
        <v>97197315.599999994</v>
      </c>
      <c r="H424">
        <v>0</v>
      </c>
      <c r="I424">
        <v>0</v>
      </c>
      <c r="J424">
        <v>0</v>
      </c>
      <c r="K424">
        <v>97197315.599999994</v>
      </c>
    </row>
    <row r="425" spans="1:11" x14ac:dyDescent="0.25">
      <c r="A425" t="s">
        <v>991</v>
      </c>
      <c r="B425" t="s">
        <v>936</v>
      </c>
      <c r="C425" t="s">
        <v>540</v>
      </c>
      <c r="D425" t="s">
        <v>615</v>
      </c>
      <c r="E425">
        <v>0</v>
      </c>
      <c r="F425" t="s">
        <v>616</v>
      </c>
      <c r="G425">
        <v>2468846.25</v>
      </c>
      <c r="H425">
        <v>0</v>
      </c>
      <c r="I425">
        <v>0</v>
      </c>
      <c r="J425">
        <v>0</v>
      </c>
      <c r="K425">
        <v>2468846.25</v>
      </c>
    </row>
    <row r="426" spans="1:11" x14ac:dyDescent="0.25">
      <c r="A426" t="s">
        <v>613</v>
      </c>
      <c r="B426" t="s">
        <v>614</v>
      </c>
      <c r="C426" t="s">
        <v>540</v>
      </c>
      <c r="D426" t="s">
        <v>615</v>
      </c>
      <c r="E426">
        <v>0</v>
      </c>
      <c r="F426" t="s">
        <v>616</v>
      </c>
      <c r="G426">
        <v>5016000</v>
      </c>
      <c r="H426">
        <v>0</v>
      </c>
      <c r="I426">
        <v>0</v>
      </c>
      <c r="J426">
        <v>0</v>
      </c>
      <c r="K426">
        <v>5016000</v>
      </c>
    </row>
    <row r="427" spans="1:11" x14ac:dyDescent="0.25">
      <c r="A427" t="s">
        <v>250</v>
      </c>
      <c r="B427" t="s">
        <v>251</v>
      </c>
      <c r="C427" t="s">
        <v>540</v>
      </c>
      <c r="D427" t="s">
        <v>617</v>
      </c>
      <c r="E427">
        <v>0</v>
      </c>
      <c r="F427" t="s">
        <v>618</v>
      </c>
      <c r="G427">
        <v>7453593.2000000002</v>
      </c>
      <c r="H427">
        <v>0</v>
      </c>
      <c r="I427">
        <v>0</v>
      </c>
      <c r="J427">
        <v>0</v>
      </c>
      <c r="K427">
        <v>7453593.2000000002</v>
      </c>
    </row>
    <row r="428" spans="1:11" x14ac:dyDescent="0.25">
      <c r="A428" t="s">
        <v>252</v>
      </c>
      <c r="B428" t="s">
        <v>253</v>
      </c>
      <c r="C428" t="s">
        <v>540</v>
      </c>
      <c r="D428" t="s">
        <v>619</v>
      </c>
      <c r="E428">
        <v>0</v>
      </c>
      <c r="F428" t="s">
        <v>620</v>
      </c>
      <c r="G428">
        <v>1120000</v>
      </c>
      <c r="H428">
        <v>0</v>
      </c>
      <c r="I428">
        <v>0</v>
      </c>
      <c r="J428">
        <v>0</v>
      </c>
      <c r="K428">
        <v>1120000</v>
      </c>
    </row>
    <row r="429" spans="1:11" x14ac:dyDescent="0.25">
      <c r="A429" t="s">
        <v>738</v>
      </c>
      <c r="B429" t="s">
        <v>739</v>
      </c>
      <c r="C429" t="s">
        <v>540</v>
      </c>
      <c r="D429" t="s">
        <v>740</v>
      </c>
      <c r="E429">
        <v>0</v>
      </c>
      <c r="F429" t="s">
        <v>741</v>
      </c>
      <c r="G429">
        <v>114410.36</v>
      </c>
      <c r="H429">
        <v>1046227.23</v>
      </c>
      <c r="I429">
        <v>0</v>
      </c>
      <c r="J429">
        <v>0</v>
      </c>
      <c r="K429">
        <v>1160637.5900000001</v>
      </c>
    </row>
    <row r="430" spans="1:11" x14ac:dyDescent="0.25">
      <c r="A430" t="s">
        <v>256</v>
      </c>
      <c r="B430" t="s">
        <v>257</v>
      </c>
      <c r="C430" t="s">
        <v>540</v>
      </c>
      <c r="D430" t="s">
        <v>585</v>
      </c>
      <c r="E430">
        <v>0</v>
      </c>
      <c r="F430" t="s">
        <v>586</v>
      </c>
      <c r="G430">
        <v>15158045.1</v>
      </c>
      <c r="H430">
        <v>68921564.909999996</v>
      </c>
      <c r="I430">
        <v>2761123.2</v>
      </c>
      <c r="J430">
        <v>0</v>
      </c>
      <c r="K430">
        <v>86840733.209999993</v>
      </c>
    </row>
    <row r="431" spans="1:11" x14ac:dyDescent="0.25">
      <c r="A431" t="s">
        <v>258</v>
      </c>
      <c r="B431" t="s">
        <v>259</v>
      </c>
      <c r="C431" t="s">
        <v>540</v>
      </c>
      <c r="D431" t="s">
        <v>563</v>
      </c>
      <c r="E431">
        <v>0</v>
      </c>
      <c r="F431" t="s">
        <v>564</v>
      </c>
      <c r="G431">
        <v>1870000</v>
      </c>
      <c r="H431">
        <v>0</v>
      </c>
      <c r="I431">
        <v>0</v>
      </c>
      <c r="J431">
        <v>0</v>
      </c>
      <c r="K431">
        <v>1870000</v>
      </c>
    </row>
    <row r="432" spans="1:11" x14ac:dyDescent="0.25">
      <c r="A432" t="s">
        <v>260</v>
      </c>
      <c r="B432" t="s">
        <v>261</v>
      </c>
      <c r="C432" t="s">
        <v>540</v>
      </c>
      <c r="D432" t="s">
        <v>615</v>
      </c>
      <c r="E432">
        <v>0</v>
      </c>
      <c r="F432" t="s">
        <v>616</v>
      </c>
      <c r="G432">
        <v>8246002.3799999999</v>
      </c>
      <c r="H432">
        <v>0</v>
      </c>
      <c r="I432">
        <v>0</v>
      </c>
      <c r="J432">
        <v>0</v>
      </c>
      <c r="K432">
        <v>8246002.3799999999</v>
      </c>
    </row>
    <row r="433" spans="1:11" x14ac:dyDescent="0.25">
      <c r="A433" t="s">
        <v>1085</v>
      </c>
      <c r="B433" t="s">
        <v>1086</v>
      </c>
      <c r="C433" t="s">
        <v>540</v>
      </c>
      <c r="D433" t="s">
        <v>1087</v>
      </c>
      <c r="E433">
        <v>0</v>
      </c>
      <c r="F433" t="s">
        <v>1088</v>
      </c>
      <c r="G433">
        <v>6840.54</v>
      </c>
      <c r="H433">
        <v>0</v>
      </c>
      <c r="I433">
        <v>0</v>
      </c>
      <c r="J433">
        <v>0</v>
      </c>
      <c r="K433">
        <v>6840.54</v>
      </c>
    </row>
    <row r="434" spans="1:11" x14ac:dyDescent="0.25">
      <c r="A434" t="s">
        <v>262</v>
      </c>
      <c r="B434" t="s">
        <v>263</v>
      </c>
      <c r="C434" t="s">
        <v>540</v>
      </c>
      <c r="D434" t="s">
        <v>621</v>
      </c>
      <c r="E434">
        <v>0</v>
      </c>
      <c r="F434" t="s">
        <v>622</v>
      </c>
      <c r="G434">
        <v>12184536.359999999</v>
      </c>
      <c r="H434">
        <v>0</v>
      </c>
      <c r="I434">
        <v>0</v>
      </c>
      <c r="J434">
        <v>0</v>
      </c>
      <c r="K434">
        <v>12184536.359999999</v>
      </c>
    </row>
    <row r="435" spans="1:11" x14ac:dyDescent="0.25">
      <c r="A435" t="s">
        <v>808</v>
      </c>
      <c r="B435" t="s">
        <v>809</v>
      </c>
      <c r="C435" t="s">
        <v>540</v>
      </c>
      <c r="D435" t="s">
        <v>659</v>
      </c>
      <c r="E435">
        <v>7990501.5</v>
      </c>
      <c r="F435" t="s">
        <v>660</v>
      </c>
      <c r="G435">
        <v>92513172</v>
      </c>
      <c r="H435">
        <v>0</v>
      </c>
      <c r="I435">
        <v>0</v>
      </c>
      <c r="J435">
        <v>0</v>
      </c>
      <c r="K435">
        <v>100503673.5</v>
      </c>
    </row>
    <row r="436" spans="1:11" x14ac:dyDescent="0.25">
      <c r="A436" t="s">
        <v>264</v>
      </c>
      <c r="B436" t="s">
        <v>265</v>
      </c>
      <c r="C436" t="s">
        <v>540</v>
      </c>
      <c r="D436" t="s">
        <v>623</v>
      </c>
      <c r="E436">
        <v>4116435</v>
      </c>
      <c r="F436" t="s">
        <v>624</v>
      </c>
      <c r="G436">
        <v>20948681.739999998</v>
      </c>
      <c r="H436">
        <v>0</v>
      </c>
      <c r="I436">
        <v>0</v>
      </c>
      <c r="J436">
        <v>0</v>
      </c>
      <c r="K436">
        <v>25065116.739999998</v>
      </c>
    </row>
    <row r="437" spans="1:11" x14ac:dyDescent="0.25">
      <c r="A437" t="s">
        <v>266</v>
      </c>
      <c r="B437" t="s">
        <v>267</v>
      </c>
      <c r="C437" t="s">
        <v>540</v>
      </c>
      <c r="D437" t="s">
        <v>545</v>
      </c>
      <c r="E437">
        <v>1759181.03</v>
      </c>
      <c r="F437" t="s">
        <v>546</v>
      </c>
      <c r="G437">
        <v>2994143.65</v>
      </c>
      <c r="H437">
        <v>186323.73</v>
      </c>
      <c r="I437">
        <v>0</v>
      </c>
      <c r="J437">
        <v>0</v>
      </c>
      <c r="K437">
        <v>4939648.41</v>
      </c>
    </row>
    <row r="438" spans="1:11" x14ac:dyDescent="0.25">
      <c r="A438" t="s">
        <v>268</v>
      </c>
      <c r="B438" t="s">
        <v>269</v>
      </c>
      <c r="C438" t="s">
        <v>540</v>
      </c>
      <c r="D438" t="s">
        <v>541</v>
      </c>
      <c r="E438">
        <v>775513.2</v>
      </c>
      <c r="F438" t="s">
        <v>542</v>
      </c>
      <c r="G438">
        <v>775513.2</v>
      </c>
      <c r="H438">
        <v>775513.2</v>
      </c>
      <c r="I438">
        <v>0</v>
      </c>
      <c r="J438">
        <v>0</v>
      </c>
      <c r="K438">
        <v>2326539.6</v>
      </c>
    </row>
    <row r="439" spans="1:11" x14ac:dyDescent="0.25">
      <c r="A439" t="s">
        <v>270</v>
      </c>
      <c r="B439" t="s">
        <v>271</v>
      </c>
      <c r="C439" t="s">
        <v>540</v>
      </c>
      <c r="D439" t="s">
        <v>601</v>
      </c>
      <c r="E439">
        <v>0</v>
      </c>
      <c r="F439" t="s">
        <v>602</v>
      </c>
      <c r="G439">
        <v>0</v>
      </c>
      <c r="H439">
        <v>0</v>
      </c>
      <c r="I439">
        <v>0</v>
      </c>
      <c r="J439">
        <v>290181.01</v>
      </c>
      <c r="K439">
        <v>290181.01</v>
      </c>
    </row>
    <row r="440" spans="1:11" x14ac:dyDescent="0.25">
      <c r="A440" t="s">
        <v>274</v>
      </c>
      <c r="B440" t="s">
        <v>275</v>
      </c>
      <c r="C440" t="s">
        <v>540</v>
      </c>
      <c r="D440" t="s">
        <v>577</v>
      </c>
      <c r="E440">
        <v>0</v>
      </c>
      <c r="F440" t="s">
        <v>578</v>
      </c>
      <c r="G440">
        <v>1615668.23</v>
      </c>
      <c r="H440">
        <v>0</v>
      </c>
      <c r="I440">
        <v>0</v>
      </c>
      <c r="J440">
        <v>0</v>
      </c>
      <c r="K440">
        <v>1615668.23</v>
      </c>
    </row>
    <row r="441" spans="1:11" x14ac:dyDescent="0.25">
      <c r="A441" t="s">
        <v>276</v>
      </c>
      <c r="B441" t="s">
        <v>277</v>
      </c>
      <c r="C441" t="s">
        <v>540</v>
      </c>
      <c r="D441" t="s">
        <v>627</v>
      </c>
      <c r="E441">
        <v>15474904.01</v>
      </c>
      <c r="F441" t="s">
        <v>628</v>
      </c>
      <c r="G441">
        <v>150118305.06999999</v>
      </c>
      <c r="H441">
        <v>17658841.07</v>
      </c>
      <c r="I441">
        <v>0</v>
      </c>
      <c r="J441">
        <v>0</v>
      </c>
      <c r="K441">
        <v>183252050.15000001</v>
      </c>
    </row>
    <row r="442" spans="1:11" x14ac:dyDescent="0.25">
      <c r="A442" t="s">
        <v>810</v>
      </c>
      <c r="B442" t="s">
        <v>811</v>
      </c>
      <c r="C442" t="s">
        <v>540</v>
      </c>
      <c r="D442" t="s">
        <v>589</v>
      </c>
      <c r="E442">
        <v>0</v>
      </c>
      <c r="F442" t="s">
        <v>590</v>
      </c>
      <c r="G442">
        <v>40261.120000000003</v>
      </c>
      <c r="H442">
        <v>0</v>
      </c>
      <c r="I442">
        <v>0</v>
      </c>
      <c r="J442">
        <v>0</v>
      </c>
      <c r="K442">
        <v>40261.120000000003</v>
      </c>
    </row>
    <row r="443" spans="1:11" x14ac:dyDescent="0.25">
      <c r="A443" t="s">
        <v>1089</v>
      </c>
      <c r="B443" t="s">
        <v>1090</v>
      </c>
      <c r="C443" t="s">
        <v>540</v>
      </c>
      <c r="D443" t="s">
        <v>629</v>
      </c>
      <c r="E443">
        <v>0</v>
      </c>
      <c r="F443" t="s">
        <v>630</v>
      </c>
      <c r="G443">
        <v>124480.32000000001</v>
      </c>
      <c r="H443">
        <v>0</v>
      </c>
      <c r="I443">
        <v>0</v>
      </c>
      <c r="J443">
        <v>0</v>
      </c>
      <c r="K443">
        <v>124480.32000000001</v>
      </c>
    </row>
    <row r="444" spans="1:11" x14ac:dyDescent="0.25">
      <c r="A444" t="s">
        <v>278</v>
      </c>
      <c r="B444" t="s">
        <v>279</v>
      </c>
      <c r="C444" t="s">
        <v>540</v>
      </c>
      <c r="D444" t="s">
        <v>629</v>
      </c>
      <c r="E444">
        <v>0</v>
      </c>
      <c r="F444" t="s">
        <v>630</v>
      </c>
      <c r="G444">
        <v>2888281.91</v>
      </c>
      <c r="H444">
        <v>224705.27</v>
      </c>
      <c r="I444">
        <v>0</v>
      </c>
      <c r="J444">
        <v>0</v>
      </c>
      <c r="K444">
        <v>3112987.18</v>
      </c>
    </row>
    <row r="445" spans="1:11" x14ac:dyDescent="0.25">
      <c r="A445" t="s">
        <v>742</v>
      </c>
      <c r="B445" t="s">
        <v>743</v>
      </c>
      <c r="C445" t="s">
        <v>540</v>
      </c>
      <c r="D445" t="s">
        <v>623</v>
      </c>
      <c r="E445">
        <v>561550.75</v>
      </c>
      <c r="F445" t="s">
        <v>624</v>
      </c>
      <c r="G445">
        <v>820657.92</v>
      </c>
      <c r="H445">
        <v>0</v>
      </c>
      <c r="I445">
        <v>0</v>
      </c>
      <c r="J445">
        <v>0</v>
      </c>
      <c r="K445">
        <v>1382208.67</v>
      </c>
    </row>
    <row r="446" spans="1:11" x14ac:dyDescent="0.25">
      <c r="A446" t="s">
        <v>992</v>
      </c>
      <c r="B446" t="s">
        <v>937</v>
      </c>
      <c r="C446" t="s">
        <v>540</v>
      </c>
      <c r="D446" t="s">
        <v>551</v>
      </c>
      <c r="E446">
        <v>0</v>
      </c>
      <c r="F446" t="s">
        <v>552</v>
      </c>
      <c r="G446">
        <v>145393.60000000001</v>
      </c>
      <c r="H446">
        <v>0</v>
      </c>
      <c r="I446">
        <v>0</v>
      </c>
      <c r="J446">
        <v>0</v>
      </c>
      <c r="K446">
        <v>145393.60000000001</v>
      </c>
    </row>
    <row r="447" spans="1:11" x14ac:dyDescent="0.25">
      <c r="A447" t="s">
        <v>993</v>
      </c>
      <c r="B447" t="s">
        <v>994</v>
      </c>
      <c r="C447" t="s">
        <v>540</v>
      </c>
      <c r="D447" t="s">
        <v>677</v>
      </c>
      <c r="E447">
        <v>0</v>
      </c>
      <c r="F447" t="s">
        <v>678</v>
      </c>
      <c r="G447">
        <v>0</v>
      </c>
      <c r="H447">
        <v>18200</v>
      </c>
      <c r="I447">
        <v>0</v>
      </c>
      <c r="J447">
        <v>0</v>
      </c>
      <c r="K447">
        <v>18200</v>
      </c>
    </row>
    <row r="448" spans="1:11" x14ac:dyDescent="0.25">
      <c r="A448" t="s">
        <v>280</v>
      </c>
      <c r="B448" t="s">
        <v>281</v>
      </c>
      <c r="C448" t="s">
        <v>540</v>
      </c>
      <c r="D448" t="s">
        <v>559</v>
      </c>
      <c r="E448">
        <v>0</v>
      </c>
      <c r="F448" t="s">
        <v>560</v>
      </c>
      <c r="G448">
        <v>780000</v>
      </c>
      <c r="H448">
        <v>0</v>
      </c>
      <c r="I448">
        <v>0</v>
      </c>
      <c r="J448">
        <v>0</v>
      </c>
      <c r="K448">
        <v>780000</v>
      </c>
    </row>
    <row r="449" spans="1:11" x14ac:dyDescent="0.25">
      <c r="A449" t="s">
        <v>995</v>
      </c>
      <c r="B449" t="s">
        <v>938</v>
      </c>
      <c r="C449" t="s">
        <v>540</v>
      </c>
      <c r="D449" t="s">
        <v>996</v>
      </c>
      <c r="E449">
        <v>0</v>
      </c>
      <c r="F449" t="s">
        <v>997</v>
      </c>
      <c r="G449">
        <v>0</v>
      </c>
      <c r="H449">
        <v>2571368.9900000002</v>
      </c>
      <c r="I449">
        <v>0</v>
      </c>
      <c r="J449">
        <v>0</v>
      </c>
      <c r="K449">
        <v>2571368.9900000002</v>
      </c>
    </row>
    <row r="450" spans="1:11" x14ac:dyDescent="0.25">
      <c r="A450" t="s">
        <v>284</v>
      </c>
      <c r="B450" t="s">
        <v>285</v>
      </c>
      <c r="C450" t="s">
        <v>540</v>
      </c>
      <c r="D450" t="s">
        <v>633</v>
      </c>
      <c r="E450">
        <v>0</v>
      </c>
      <c r="F450" t="s">
        <v>634</v>
      </c>
      <c r="G450">
        <v>0</v>
      </c>
      <c r="H450">
        <v>0</v>
      </c>
      <c r="I450">
        <v>0</v>
      </c>
      <c r="J450">
        <v>0.02</v>
      </c>
      <c r="K450">
        <v>0.02</v>
      </c>
    </row>
    <row r="451" spans="1:11" x14ac:dyDescent="0.25">
      <c r="A451" t="s">
        <v>286</v>
      </c>
      <c r="B451" t="s">
        <v>287</v>
      </c>
      <c r="C451" t="s">
        <v>540</v>
      </c>
      <c r="D451" t="s">
        <v>635</v>
      </c>
      <c r="E451">
        <v>0</v>
      </c>
      <c r="F451" t="s">
        <v>636</v>
      </c>
      <c r="G451">
        <v>2337913.6</v>
      </c>
      <c r="H451">
        <v>0</v>
      </c>
      <c r="I451">
        <v>0</v>
      </c>
      <c r="J451">
        <v>0</v>
      </c>
      <c r="K451">
        <v>2337913.6</v>
      </c>
    </row>
    <row r="452" spans="1:11" x14ac:dyDescent="0.25">
      <c r="A452" t="s">
        <v>288</v>
      </c>
      <c r="B452" t="s">
        <v>289</v>
      </c>
      <c r="C452" t="s">
        <v>540</v>
      </c>
      <c r="D452" t="s">
        <v>619</v>
      </c>
      <c r="E452">
        <v>0</v>
      </c>
      <c r="F452" t="s">
        <v>620</v>
      </c>
      <c r="G452">
        <v>4313166</v>
      </c>
      <c r="H452">
        <v>0</v>
      </c>
      <c r="I452">
        <v>0</v>
      </c>
      <c r="J452">
        <v>0</v>
      </c>
      <c r="K452">
        <v>4313166</v>
      </c>
    </row>
    <row r="453" spans="1:11" x14ac:dyDescent="0.25">
      <c r="A453" t="s">
        <v>290</v>
      </c>
      <c r="B453" t="s">
        <v>291</v>
      </c>
      <c r="C453" t="s">
        <v>540</v>
      </c>
      <c r="D453" t="s">
        <v>623</v>
      </c>
      <c r="E453">
        <v>0</v>
      </c>
      <c r="F453" t="s">
        <v>624</v>
      </c>
      <c r="G453">
        <v>297314.31</v>
      </c>
      <c r="H453">
        <v>3222002.58</v>
      </c>
      <c r="I453">
        <v>70185.8</v>
      </c>
      <c r="J453">
        <v>0</v>
      </c>
      <c r="K453">
        <v>3589502.69</v>
      </c>
    </row>
    <row r="454" spans="1:11" x14ac:dyDescent="0.25">
      <c r="A454" t="s">
        <v>746</v>
      </c>
      <c r="B454" t="s">
        <v>747</v>
      </c>
      <c r="C454" t="s">
        <v>540</v>
      </c>
      <c r="D454" t="s">
        <v>589</v>
      </c>
      <c r="E454">
        <v>0</v>
      </c>
      <c r="F454" t="s">
        <v>590</v>
      </c>
      <c r="G454">
        <v>7761869.0899999999</v>
      </c>
      <c r="H454">
        <v>5693093.9299999997</v>
      </c>
      <c r="I454">
        <v>0</v>
      </c>
      <c r="J454">
        <v>0</v>
      </c>
      <c r="K454">
        <v>13454963.02</v>
      </c>
    </row>
    <row r="455" spans="1:11" x14ac:dyDescent="0.25">
      <c r="A455" t="s">
        <v>292</v>
      </c>
      <c r="B455" t="s">
        <v>293</v>
      </c>
      <c r="C455" t="s">
        <v>540</v>
      </c>
      <c r="D455" t="s">
        <v>551</v>
      </c>
      <c r="E455">
        <v>3245220</v>
      </c>
      <c r="F455" t="s">
        <v>552</v>
      </c>
      <c r="G455">
        <v>1311519.3</v>
      </c>
      <c r="H455">
        <v>4058340</v>
      </c>
      <c r="I455">
        <v>0</v>
      </c>
      <c r="J455">
        <v>0</v>
      </c>
      <c r="K455">
        <v>8615079.3000000007</v>
      </c>
    </row>
    <row r="456" spans="1:11" x14ac:dyDescent="0.25">
      <c r="A456" t="s">
        <v>1156</v>
      </c>
      <c r="B456" t="s">
        <v>1157</v>
      </c>
      <c r="C456" t="s">
        <v>540</v>
      </c>
      <c r="D456" t="s">
        <v>559</v>
      </c>
      <c r="E456">
        <v>2921046.47</v>
      </c>
      <c r="F456" t="s">
        <v>560</v>
      </c>
      <c r="G456">
        <v>0</v>
      </c>
      <c r="H456">
        <v>0</v>
      </c>
      <c r="I456">
        <v>0</v>
      </c>
      <c r="J456">
        <v>0</v>
      </c>
      <c r="K456">
        <v>2921046.47</v>
      </c>
    </row>
    <row r="457" spans="1:11" x14ac:dyDescent="0.25">
      <c r="A457" t="s">
        <v>294</v>
      </c>
      <c r="B457" t="s">
        <v>295</v>
      </c>
      <c r="C457" t="s">
        <v>540</v>
      </c>
      <c r="D457" t="s">
        <v>589</v>
      </c>
      <c r="E457">
        <v>0</v>
      </c>
      <c r="F457" t="s">
        <v>590</v>
      </c>
      <c r="G457">
        <v>0</v>
      </c>
      <c r="H457">
        <v>0</v>
      </c>
      <c r="I457">
        <v>0</v>
      </c>
      <c r="J457">
        <v>-3904.38</v>
      </c>
      <c r="K457">
        <v>-3904.38</v>
      </c>
    </row>
    <row r="458" spans="1:11" x14ac:dyDescent="0.25">
      <c r="A458" t="s">
        <v>998</v>
      </c>
      <c r="B458" t="s">
        <v>939</v>
      </c>
      <c r="C458" t="s">
        <v>540</v>
      </c>
      <c r="D458" t="s">
        <v>639</v>
      </c>
      <c r="E458">
        <v>0</v>
      </c>
      <c r="F458" t="s">
        <v>640</v>
      </c>
      <c r="G458">
        <v>1099835.79</v>
      </c>
      <c r="H458">
        <v>620488</v>
      </c>
      <c r="I458">
        <v>0</v>
      </c>
      <c r="J458">
        <v>0</v>
      </c>
      <c r="K458">
        <v>1720323.79</v>
      </c>
    </row>
    <row r="459" spans="1:11" x14ac:dyDescent="0.25">
      <c r="A459" t="s">
        <v>999</v>
      </c>
      <c r="B459" t="s">
        <v>940</v>
      </c>
      <c r="C459" t="s">
        <v>540</v>
      </c>
      <c r="D459" t="s">
        <v>545</v>
      </c>
      <c r="E459">
        <v>0</v>
      </c>
      <c r="F459" t="s">
        <v>546</v>
      </c>
      <c r="G459">
        <v>0</v>
      </c>
      <c r="H459">
        <v>238590.8</v>
      </c>
      <c r="I459">
        <v>0</v>
      </c>
      <c r="J459">
        <v>0</v>
      </c>
      <c r="K459">
        <v>238590.8</v>
      </c>
    </row>
    <row r="460" spans="1:11" x14ac:dyDescent="0.25">
      <c r="A460" t="s">
        <v>300</v>
      </c>
      <c r="B460" t="s">
        <v>301</v>
      </c>
      <c r="C460" t="s">
        <v>540</v>
      </c>
      <c r="D460" t="s">
        <v>641</v>
      </c>
      <c r="E460">
        <v>0</v>
      </c>
      <c r="F460" t="s">
        <v>642</v>
      </c>
      <c r="G460">
        <v>0</v>
      </c>
      <c r="H460">
        <v>0</v>
      </c>
      <c r="I460">
        <v>0</v>
      </c>
      <c r="J460">
        <v>40367.35</v>
      </c>
      <c r="K460">
        <v>40367.35</v>
      </c>
    </row>
    <row r="461" spans="1:11" x14ac:dyDescent="0.25">
      <c r="A461" t="s">
        <v>1000</v>
      </c>
      <c r="B461" t="s">
        <v>941</v>
      </c>
      <c r="C461" t="s">
        <v>540</v>
      </c>
      <c r="D461" t="s">
        <v>589</v>
      </c>
      <c r="E461">
        <v>0</v>
      </c>
      <c r="F461" t="s">
        <v>590</v>
      </c>
      <c r="G461">
        <v>0</v>
      </c>
      <c r="H461">
        <v>128077.24</v>
      </c>
      <c r="I461">
        <v>0</v>
      </c>
      <c r="J461">
        <v>0</v>
      </c>
      <c r="K461">
        <v>128077.24</v>
      </c>
    </row>
    <row r="462" spans="1:11" x14ac:dyDescent="0.25">
      <c r="A462" t="s">
        <v>1001</v>
      </c>
      <c r="B462" t="s">
        <v>942</v>
      </c>
      <c r="C462" t="s">
        <v>540</v>
      </c>
      <c r="D462" t="s">
        <v>1002</v>
      </c>
      <c r="E462">
        <v>0</v>
      </c>
      <c r="F462" t="s">
        <v>1003</v>
      </c>
      <c r="G462">
        <v>0</v>
      </c>
      <c r="H462">
        <v>405000</v>
      </c>
      <c r="I462">
        <v>0</v>
      </c>
      <c r="J462">
        <v>0</v>
      </c>
      <c r="K462">
        <v>405000</v>
      </c>
    </row>
    <row r="463" spans="1:11" x14ac:dyDescent="0.25">
      <c r="A463" t="s">
        <v>1004</v>
      </c>
      <c r="B463" t="s">
        <v>943</v>
      </c>
      <c r="C463" t="s">
        <v>540</v>
      </c>
      <c r="D463" t="s">
        <v>971</v>
      </c>
      <c r="E463">
        <v>6269494</v>
      </c>
      <c r="F463" t="s">
        <v>972</v>
      </c>
      <c r="G463">
        <v>0</v>
      </c>
      <c r="H463">
        <v>0</v>
      </c>
      <c r="I463">
        <v>0</v>
      </c>
      <c r="J463">
        <v>0</v>
      </c>
      <c r="K463">
        <v>6269494</v>
      </c>
    </row>
    <row r="464" spans="1:11" x14ac:dyDescent="0.25">
      <c r="A464" t="s">
        <v>1158</v>
      </c>
      <c r="B464" t="s">
        <v>1159</v>
      </c>
      <c r="C464" t="s">
        <v>540</v>
      </c>
      <c r="D464" t="s">
        <v>776</v>
      </c>
      <c r="E464">
        <v>0</v>
      </c>
      <c r="F464" t="s">
        <v>777</v>
      </c>
      <c r="G464">
        <v>641000</v>
      </c>
      <c r="H464">
        <v>0</v>
      </c>
      <c r="I464">
        <v>0</v>
      </c>
      <c r="J464">
        <v>0</v>
      </c>
      <c r="K464">
        <v>641000</v>
      </c>
    </row>
    <row r="465" spans="1:11" x14ac:dyDescent="0.25">
      <c r="A465" t="s">
        <v>302</v>
      </c>
      <c r="B465" t="s">
        <v>303</v>
      </c>
      <c r="C465" t="s">
        <v>540</v>
      </c>
      <c r="D465" t="s">
        <v>577</v>
      </c>
      <c r="E465">
        <v>0</v>
      </c>
      <c r="F465" t="s">
        <v>578</v>
      </c>
      <c r="G465">
        <v>9543836</v>
      </c>
      <c r="H465">
        <v>0</v>
      </c>
      <c r="I465">
        <v>0</v>
      </c>
      <c r="J465">
        <v>0</v>
      </c>
      <c r="K465">
        <v>9543836</v>
      </c>
    </row>
    <row r="466" spans="1:11" x14ac:dyDescent="0.25">
      <c r="A466" t="s">
        <v>304</v>
      </c>
      <c r="B466" t="s">
        <v>305</v>
      </c>
      <c r="C466" t="s">
        <v>540</v>
      </c>
      <c r="D466" t="s">
        <v>631</v>
      </c>
      <c r="E466">
        <v>0</v>
      </c>
      <c r="F466" t="s">
        <v>632</v>
      </c>
      <c r="G466">
        <v>280838.05</v>
      </c>
      <c r="H466">
        <v>36297.58</v>
      </c>
      <c r="I466">
        <v>0</v>
      </c>
      <c r="J466">
        <v>0</v>
      </c>
      <c r="K466">
        <v>317135.63</v>
      </c>
    </row>
    <row r="467" spans="1:11" x14ac:dyDescent="0.25">
      <c r="A467" t="s">
        <v>306</v>
      </c>
      <c r="B467" t="s">
        <v>307</v>
      </c>
      <c r="C467" t="s">
        <v>540</v>
      </c>
      <c r="D467" t="s">
        <v>621</v>
      </c>
      <c r="E467">
        <v>0</v>
      </c>
      <c r="F467" t="s">
        <v>622</v>
      </c>
      <c r="G467">
        <v>0</v>
      </c>
      <c r="H467">
        <v>0</v>
      </c>
      <c r="I467">
        <v>0</v>
      </c>
      <c r="J467">
        <v>-387219.15</v>
      </c>
      <c r="K467">
        <v>-387219.15</v>
      </c>
    </row>
    <row r="468" spans="1:11" x14ac:dyDescent="0.25">
      <c r="A468" t="s">
        <v>308</v>
      </c>
      <c r="B468" t="s">
        <v>309</v>
      </c>
      <c r="C468" t="s">
        <v>540</v>
      </c>
      <c r="D468" t="s">
        <v>563</v>
      </c>
      <c r="E468">
        <v>0</v>
      </c>
      <c r="F468" t="s">
        <v>564</v>
      </c>
      <c r="G468">
        <v>298920.82</v>
      </c>
      <c r="H468">
        <v>2409787.6</v>
      </c>
      <c r="I468">
        <v>0</v>
      </c>
      <c r="J468">
        <v>0</v>
      </c>
      <c r="K468">
        <v>2708708.42</v>
      </c>
    </row>
    <row r="469" spans="1:11" x14ac:dyDescent="0.25">
      <c r="A469" t="s">
        <v>310</v>
      </c>
      <c r="B469" t="s">
        <v>311</v>
      </c>
      <c r="C469" t="s">
        <v>540</v>
      </c>
      <c r="D469" t="s">
        <v>553</v>
      </c>
      <c r="E469">
        <v>0</v>
      </c>
      <c r="F469" t="s">
        <v>554</v>
      </c>
      <c r="G469">
        <v>435600</v>
      </c>
      <c r="H469">
        <v>0</v>
      </c>
      <c r="I469">
        <v>0</v>
      </c>
      <c r="J469">
        <v>0</v>
      </c>
      <c r="K469">
        <v>435600</v>
      </c>
    </row>
    <row r="470" spans="1:11" x14ac:dyDescent="0.25">
      <c r="A470" t="s">
        <v>1005</v>
      </c>
      <c r="B470" t="s">
        <v>944</v>
      </c>
      <c r="C470" t="s">
        <v>540</v>
      </c>
      <c r="D470" t="s">
        <v>549</v>
      </c>
      <c r="E470">
        <v>0</v>
      </c>
      <c r="F470" t="s">
        <v>550</v>
      </c>
      <c r="G470">
        <v>15961901</v>
      </c>
      <c r="H470">
        <v>0</v>
      </c>
      <c r="I470">
        <v>0</v>
      </c>
      <c r="J470">
        <v>0</v>
      </c>
      <c r="K470">
        <v>15961901</v>
      </c>
    </row>
    <row r="471" spans="1:11" x14ac:dyDescent="0.25">
      <c r="A471" t="s">
        <v>312</v>
      </c>
      <c r="B471" t="s">
        <v>313</v>
      </c>
      <c r="C471" t="s">
        <v>540</v>
      </c>
      <c r="D471" t="s">
        <v>643</v>
      </c>
      <c r="E471">
        <v>955020.23</v>
      </c>
      <c r="F471" t="s">
        <v>644</v>
      </c>
      <c r="G471">
        <v>774568.44</v>
      </c>
      <c r="H471">
        <v>0</v>
      </c>
      <c r="I471">
        <v>0</v>
      </c>
      <c r="J471">
        <v>0</v>
      </c>
      <c r="K471">
        <v>1729588.67</v>
      </c>
    </row>
    <row r="472" spans="1:11" x14ac:dyDescent="0.25">
      <c r="A472" t="s">
        <v>1091</v>
      </c>
      <c r="B472" t="s">
        <v>1092</v>
      </c>
      <c r="C472" t="s">
        <v>540</v>
      </c>
      <c r="D472" t="s">
        <v>639</v>
      </c>
      <c r="E472">
        <v>0</v>
      </c>
      <c r="F472" t="s">
        <v>640</v>
      </c>
      <c r="G472">
        <v>2300000</v>
      </c>
      <c r="H472">
        <v>0</v>
      </c>
      <c r="I472">
        <v>0</v>
      </c>
      <c r="J472">
        <v>0</v>
      </c>
      <c r="K472">
        <v>2300000</v>
      </c>
    </row>
    <row r="473" spans="1:11" x14ac:dyDescent="0.25">
      <c r="A473" t="s">
        <v>1006</v>
      </c>
      <c r="B473" t="s">
        <v>945</v>
      </c>
      <c r="C473" t="s">
        <v>540</v>
      </c>
      <c r="D473" t="s">
        <v>607</v>
      </c>
      <c r="E473">
        <v>499370.65</v>
      </c>
      <c r="F473" t="s">
        <v>608</v>
      </c>
      <c r="G473">
        <v>1775201.03</v>
      </c>
      <c r="H473">
        <v>1224087.73</v>
      </c>
      <c r="I473">
        <v>997501.27</v>
      </c>
      <c r="J473">
        <v>0</v>
      </c>
      <c r="K473">
        <v>4496160.68</v>
      </c>
    </row>
    <row r="474" spans="1:11" x14ac:dyDescent="0.25">
      <c r="A474" t="s">
        <v>812</v>
      </c>
      <c r="B474" t="s">
        <v>813</v>
      </c>
      <c r="C474" t="s">
        <v>540</v>
      </c>
      <c r="D474" t="s">
        <v>545</v>
      </c>
      <c r="E474">
        <v>0</v>
      </c>
      <c r="F474" t="s">
        <v>546</v>
      </c>
      <c r="G474">
        <v>110621.66</v>
      </c>
      <c r="H474">
        <v>0</v>
      </c>
      <c r="I474">
        <v>0</v>
      </c>
      <c r="J474">
        <v>0</v>
      </c>
      <c r="K474">
        <v>110621.66</v>
      </c>
    </row>
    <row r="475" spans="1:11" x14ac:dyDescent="0.25">
      <c r="A475" t="s">
        <v>1160</v>
      </c>
      <c r="B475" t="s">
        <v>1161</v>
      </c>
      <c r="C475" t="s">
        <v>540</v>
      </c>
      <c r="D475" t="s">
        <v>603</v>
      </c>
      <c r="E475">
        <v>700000</v>
      </c>
      <c r="F475" t="s">
        <v>604</v>
      </c>
      <c r="G475">
        <v>0</v>
      </c>
      <c r="H475">
        <v>0</v>
      </c>
      <c r="I475">
        <v>0</v>
      </c>
      <c r="J475">
        <v>0</v>
      </c>
      <c r="K475">
        <v>700000</v>
      </c>
    </row>
    <row r="476" spans="1:11" x14ac:dyDescent="0.25">
      <c r="A476" t="s">
        <v>1162</v>
      </c>
      <c r="B476" t="s">
        <v>1163</v>
      </c>
      <c r="C476" t="s">
        <v>540</v>
      </c>
      <c r="D476" t="s">
        <v>553</v>
      </c>
      <c r="E476">
        <v>150000</v>
      </c>
      <c r="F476" t="s">
        <v>554</v>
      </c>
      <c r="G476">
        <v>0</v>
      </c>
      <c r="H476">
        <v>0</v>
      </c>
      <c r="I476">
        <v>0</v>
      </c>
      <c r="J476">
        <v>0</v>
      </c>
      <c r="K476">
        <v>150000</v>
      </c>
    </row>
    <row r="477" spans="1:11" x14ac:dyDescent="0.25">
      <c r="A477" t="s">
        <v>1007</v>
      </c>
      <c r="B477" t="s">
        <v>946</v>
      </c>
      <c r="C477" t="s">
        <v>540</v>
      </c>
      <c r="D477" t="s">
        <v>1008</v>
      </c>
      <c r="E477">
        <v>1098000</v>
      </c>
      <c r="F477" t="s">
        <v>1009</v>
      </c>
      <c r="G477">
        <v>311500</v>
      </c>
      <c r="H477">
        <v>0</v>
      </c>
      <c r="I477">
        <v>0</v>
      </c>
      <c r="J477">
        <v>0</v>
      </c>
      <c r="K477">
        <v>1409500</v>
      </c>
    </row>
    <row r="478" spans="1:11" x14ac:dyDescent="0.25">
      <c r="A478" t="s">
        <v>314</v>
      </c>
      <c r="B478" t="s">
        <v>315</v>
      </c>
      <c r="C478" t="s">
        <v>540</v>
      </c>
      <c r="D478" t="s">
        <v>647</v>
      </c>
      <c r="E478">
        <v>0</v>
      </c>
      <c r="F478" t="s">
        <v>648</v>
      </c>
      <c r="G478">
        <v>230000.01</v>
      </c>
      <c r="H478">
        <v>1003000</v>
      </c>
      <c r="I478">
        <v>0</v>
      </c>
      <c r="J478">
        <v>0</v>
      </c>
      <c r="K478">
        <v>1233000.01</v>
      </c>
    </row>
    <row r="479" spans="1:11" x14ac:dyDescent="0.25">
      <c r="A479" t="s">
        <v>1164</v>
      </c>
      <c r="B479" t="s">
        <v>1165</v>
      </c>
      <c r="C479" t="s">
        <v>540</v>
      </c>
      <c r="D479" t="s">
        <v>1166</v>
      </c>
      <c r="E479">
        <v>101821.5</v>
      </c>
      <c r="F479" t="s">
        <v>1167</v>
      </c>
      <c r="G479">
        <v>0</v>
      </c>
      <c r="H479">
        <v>0</v>
      </c>
      <c r="I479">
        <v>0</v>
      </c>
      <c r="J479">
        <v>0</v>
      </c>
      <c r="K479">
        <v>101821.5</v>
      </c>
    </row>
    <row r="480" spans="1:11" x14ac:dyDescent="0.25">
      <c r="A480" t="s">
        <v>1168</v>
      </c>
      <c r="B480" t="s">
        <v>1169</v>
      </c>
      <c r="C480" t="s">
        <v>540</v>
      </c>
      <c r="D480" t="s">
        <v>1170</v>
      </c>
      <c r="E480">
        <v>0</v>
      </c>
      <c r="F480" t="s">
        <v>1171</v>
      </c>
      <c r="G480">
        <v>606875.5</v>
      </c>
      <c r="H480">
        <v>0</v>
      </c>
      <c r="I480">
        <v>0</v>
      </c>
      <c r="J480">
        <v>0</v>
      </c>
      <c r="K480">
        <v>606875.5</v>
      </c>
    </row>
    <row r="481" spans="1:11" x14ac:dyDescent="0.25">
      <c r="A481" t="s">
        <v>316</v>
      </c>
      <c r="B481" t="s">
        <v>317</v>
      </c>
      <c r="C481" t="s">
        <v>540</v>
      </c>
      <c r="D481" t="s">
        <v>553</v>
      </c>
      <c r="E481">
        <v>0</v>
      </c>
      <c r="F481" t="s">
        <v>554</v>
      </c>
      <c r="G481">
        <v>336156.98</v>
      </c>
      <c r="H481">
        <v>0</v>
      </c>
      <c r="I481">
        <v>0</v>
      </c>
      <c r="J481">
        <v>0</v>
      </c>
      <c r="K481">
        <v>336156.98</v>
      </c>
    </row>
    <row r="482" spans="1:11" x14ac:dyDescent="0.25">
      <c r="A482" t="s">
        <v>1010</v>
      </c>
      <c r="B482" t="s">
        <v>947</v>
      </c>
      <c r="C482" t="s">
        <v>540</v>
      </c>
      <c r="D482" t="s">
        <v>545</v>
      </c>
      <c r="E482">
        <v>0</v>
      </c>
      <c r="F482" t="s">
        <v>546</v>
      </c>
      <c r="G482">
        <v>0</v>
      </c>
      <c r="H482">
        <v>142838.15</v>
      </c>
      <c r="I482">
        <v>0</v>
      </c>
      <c r="J482">
        <v>0</v>
      </c>
      <c r="K482">
        <v>142838.15</v>
      </c>
    </row>
    <row r="483" spans="1:11" x14ac:dyDescent="0.25">
      <c r="A483" t="s">
        <v>318</v>
      </c>
      <c r="B483" t="s">
        <v>319</v>
      </c>
      <c r="C483" t="s">
        <v>540</v>
      </c>
      <c r="D483" t="s">
        <v>649</v>
      </c>
      <c r="E483">
        <v>2414874.9300000002</v>
      </c>
      <c r="F483" t="s">
        <v>650</v>
      </c>
      <c r="G483">
        <v>4214510.9400000004</v>
      </c>
      <c r="H483">
        <v>0</v>
      </c>
      <c r="I483">
        <v>0</v>
      </c>
      <c r="J483">
        <v>0</v>
      </c>
      <c r="K483">
        <v>6629385.8700000001</v>
      </c>
    </row>
    <row r="484" spans="1:11" x14ac:dyDescent="0.25">
      <c r="A484" t="s">
        <v>750</v>
      </c>
      <c r="B484" t="s">
        <v>751</v>
      </c>
      <c r="C484" t="s">
        <v>540</v>
      </c>
      <c r="D484" t="s">
        <v>627</v>
      </c>
      <c r="E484">
        <v>0</v>
      </c>
      <c r="F484" t="s">
        <v>628</v>
      </c>
      <c r="G484">
        <v>306402231.10000002</v>
      </c>
      <c r="H484">
        <v>124423307.7</v>
      </c>
      <c r="I484">
        <v>0</v>
      </c>
      <c r="J484">
        <v>0</v>
      </c>
      <c r="K484">
        <v>430825538.80000001</v>
      </c>
    </row>
    <row r="485" spans="1:11" x14ac:dyDescent="0.25">
      <c r="A485" t="s">
        <v>1172</v>
      </c>
      <c r="B485" t="s">
        <v>1173</v>
      </c>
      <c r="C485" t="s">
        <v>540</v>
      </c>
      <c r="D485" t="s">
        <v>545</v>
      </c>
      <c r="E485">
        <v>300330.5</v>
      </c>
      <c r="F485" t="s">
        <v>546</v>
      </c>
      <c r="G485">
        <v>0</v>
      </c>
      <c r="H485">
        <v>0</v>
      </c>
      <c r="I485">
        <v>0</v>
      </c>
      <c r="J485">
        <v>0</v>
      </c>
      <c r="K485">
        <v>300330.5</v>
      </c>
    </row>
    <row r="486" spans="1:11" x14ac:dyDescent="0.25">
      <c r="A486" t="s">
        <v>651</v>
      </c>
      <c r="B486" t="s">
        <v>1093</v>
      </c>
      <c r="C486" t="s">
        <v>540</v>
      </c>
      <c r="D486" t="s">
        <v>603</v>
      </c>
      <c r="E486">
        <v>0</v>
      </c>
      <c r="F486" t="s">
        <v>604</v>
      </c>
      <c r="G486">
        <v>9813717.3800000008</v>
      </c>
      <c r="H486">
        <v>0</v>
      </c>
      <c r="I486">
        <v>0</v>
      </c>
      <c r="J486">
        <v>0</v>
      </c>
      <c r="K486">
        <v>9813717.3800000008</v>
      </c>
    </row>
    <row r="487" spans="1:11" x14ac:dyDescent="0.25">
      <c r="A487" t="s">
        <v>503</v>
      </c>
      <c r="B487" t="s">
        <v>504</v>
      </c>
      <c r="C487" t="s">
        <v>540</v>
      </c>
      <c r="D487" t="s">
        <v>623</v>
      </c>
      <c r="E487">
        <v>3083201</v>
      </c>
      <c r="F487" t="s">
        <v>624</v>
      </c>
      <c r="G487">
        <v>10381552.1</v>
      </c>
      <c r="H487">
        <v>0</v>
      </c>
      <c r="I487">
        <v>0</v>
      </c>
      <c r="J487">
        <v>0</v>
      </c>
      <c r="K487">
        <v>13464753.1</v>
      </c>
    </row>
    <row r="488" spans="1:11" x14ac:dyDescent="0.25">
      <c r="A488" t="s">
        <v>320</v>
      </c>
      <c r="B488" t="s">
        <v>321</v>
      </c>
      <c r="C488" t="s">
        <v>540</v>
      </c>
      <c r="D488" t="s">
        <v>553</v>
      </c>
      <c r="E488">
        <v>55024.55</v>
      </c>
      <c r="F488" t="s">
        <v>554</v>
      </c>
      <c r="G488">
        <v>2776437.08</v>
      </c>
      <c r="H488">
        <v>2049440.85</v>
      </c>
      <c r="I488">
        <v>0</v>
      </c>
      <c r="J488">
        <v>0</v>
      </c>
      <c r="K488">
        <v>4880902.4800000004</v>
      </c>
    </row>
    <row r="489" spans="1:11" x14ac:dyDescent="0.25">
      <c r="A489" t="s">
        <v>1011</v>
      </c>
      <c r="B489" t="s">
        <v>948</v>
      </c>
      <c r="C489" t="s">
        <v>540</v>
      </c>
      <c r="D489" t="s">
        <v>1012</v>
      </c>
      <c r="E489">
        <v>5174000</v>
      </c>
      <c r="F489" t="s">
        <v>1013</v>
      </c>
      <c r="G489">
        <v>5137000</v>
      </c>
      <c r="H489">
        <v>0</v>
      </c>
      <c r="I489">
        <v>0</v>
      </c>
      <c r="J489">
        <v>0</v>
      </c>
      <c r="K489">
        <v>10311000</v>
      </c>
    </row>
    <row r="490" spans="1:11" x14ac:dyDescent="0.25">
      <c r="A490" t="s">
        <v>322</v>
      </c>
      <c r="B490" t="s">
        <v>323</v>
      </c>
      <c r="C490" t="s">
        <v>540</v>
      </c>
      <c r="D490" t="s">
        <v>589</v>
      </c>
      <c r="E490">
        <v>0</v>
      </c>
      <c r="F490" t="s">
        <v>590</v>
      </c>
      <c r="G490">
        <v>2886282.67</v>
      </c>
      <c r="H490">
        <v>3368997.05</v>
      </c>
      <c r="I490">
        <v>0</v>
      </c>
      <c r="J490">
        <v>0</v>
      </c>
      <c r="K490">
        <v>6255279.7199999997</v>
      </c>
    </row>
    <row r="491" spans="1:11" x14ac:dyDescent="0.25">
      <c r="A491" t="s">
        <v>326</v>
      </c>
      <c r="B491" t="s">
        <v>327</v>
      </c>
      <c r="C491" t="s">
        <v>540</v>
      </c>
      <c r="D491" t="s">
        <v>653</v>
      </c>
      <c r="E491">
        <v>0</v>
      </c>
      <c r="F491" t="s">
        <v>654</v>
      </c>
      <c r="G491">
        <v>0</v>
      </c>
      <c r="H491">
        <v>9767981.6699999999</v>
      </c>
      <c r="I491">
        <v>0</v>
      </c>
      <c r="J491">
        <v>0</v>
      </c>
      <c r="K491">
        <v>9767981.6699999999</v>
      </c>
    </row>
    <row r="492" spans="1:11" x14ac:dyDescent="0.25">
      <c r="A492" t="s">
        <v>328</v>
      </c>
      <c r="B492" t="s">
        <v>329</v>
      </c>
      <c r="C492" t="s">
        <v>540</v>
      </c>
      <c r="D492" t="s">
        <v>655</v>
      </c>
      <c r="E492">
        <v>0</v>
      </c>
      <c r="F492" t="s">
        <v>656</v>
      </c>
      <c r="G492">
        <v>309760</v>
      </c>
      <c r="H492">
        <v>0</v>
      </c>
      <c r="I492">
        <v>0</v>
      </c>
      <c r="J492">
        <v>0</v>
      </c>
      <c r="K492">
        <v>309760</v>
      </c>
    </row>
    <row r="493" spans="1:11" x14ac:dyDescent="0.25">
      <c r="A493" t="s">
        <v>1094</v>
      </c>
      <c r="B493" t="s">
        <v>1095</v>
      </c>
      <c r="C493" t="s">
        <v>540</v>
      </c>
      <c r="D493" t="s">
        <v>559</v>
      </c>
      <c r="E493">
        <v>0</v>
      </c>
      <c r="F493" t="s">
        <v>560</v>
      </c>
      <c r="G493">
        <v>14999999.99</v>
      </c>
      <c r="H493">
        <v>0</v>
      </c>
      <c r="I493">
        <v>0</v>
      </c>
      <c r="J493">
        <v>0</v>
      </c>
      <c r="K493">
        <v>14999999.99</v>
      </c>
    </row>
    <row r="494" spans="1:11" x14ac:dyDescent="0.25">
      <c r="A494" t="s">
        <v>1014</v>
      </c>
      <c r="B494" t="s">
        <v>949</v>
      </c>
      <c r="C494" t="s">
        <v>540</v>
      </c>
      <c r="D494" t="s">
        <v>693</v>
      </c>
      <c r="E494">
        <v>0</v>
      </c>
      <c r="F494" t="s">
        <v>694</v>
      </c>
      <c r="G494">
        <v>0</v>
      </c>
      <c r="H494">
        <v>63472</v>
      </c>
      <c r="I494">
        <v>0</v>
      </c>
      <c r="J494">
        <v>0</v>
      </c>
      <c r="K494">
        <v>63472</v>
      </c>
    </row>
    <row r="495" spans="1:11" x14ac:dyDescent="0.25">
      <c r="A495" t="s">
        <v>1126</v>
      </c>
      <c r="B495" t="s">
        <v>1127</v>
      </c>
      <c r="C495" t="s">
        <v>540</v>
      </c>
      <c r="D495" t="s">
        <v>1077</v>
      </c>
      <c r="E495">
        <v>1366662.33</v>
      </c>
      <c r="F495" t="s">
        <v>1078</v>
      </c>
      <c r="G495">
        <v>0</v>
      </c>
      <c r="H495">
        <v>0</v>
      </c>
      <c r="I495">
        <v>0</v>
      </c>
      <c r="J495">
        <v>0</v>
      </c>
      <c r="K495">
        <v>1366662.33</v>
      </c>
    </row>
    <row r="496" spans="1:11" x14ac:dyDescent="0.25">
      <c r="A496" t="s">
        <v>1096</v>
      </c>
      <c r="B496" t="s">
        <v>1097</v>
      </c>
      <c r="C496" t="s">
        <v>540</v>
      </c>
      <c r="D496" t="s">
        <v>559</v>
      </c>
      <c r="E496">
        <v>0</v>
      </c>
      <c r="F496" t="s">
        <v>560</v>
      </c>
      <c r="G496">
        <v>0</v>
      </c>
      <c r="H496">
        <v>3317916.8</v>
      </c>
      <c r="I496">
        <v>0</v>
      </c>
      <c r="J496">
        <v>0</v>
      </c>
      <c r="K496">
        <v>3317916.8</v>
      </c>
    </row>
    <row r="497" spans="1:11" x14ac:dyDescent="0.25">
      <c r="A497" t="s">
        <v>330</v>
      </c>
      <c r="B497" t="s">
        <v>331</v>
      </c>
      <c r="C497" t="s">
        <v>540</v>
      </c>
      <c r="D497" t="s">
        <v>603</v>
      </c>
      <c r="E497">
        <v>0</v>
      </c>
      <c r="F497" t="s">
        <v>604</v>
      </c>
      <c r="G497">
        <v>0</v>
      </c>
      <c r="H497">
        <v>0</v>
      </c>
      <c r="I497">
        <v>0</v>
      </c>
      <c r="J497">
        <v>88538261.290000007</v>
      </c>
      <c r="K497">
        <v>88538261.290000007</v>
      </c>
    </row>
    <row r="498" spans="1:11" x14ac:dyDescent="0.25">
      <c r="A498" t="s">
        <v>875</v>
      </c>
      <c r="B498" t="s">
        <v>876</v>
      </c>
      <c r="C498" t="s">
        <v>540</v>
      </c>
      <c r="D498" t="s">
        <v>589</v>
      </c>
      <c r="E498">
        <v>0</v>
      </c>
      <c r="F498" t="s">
        <v>590</v>
      </c>
      <c r="G498">
        <v>418887.72</v>
      </c>
      <c r="H498">
        <v>0</v>
      </c>
      <c r="I498">
        <v>0</v>
      </c>
      <c r="J498">
        <v>0</v>
      </c>
      <c r="K498">
        <v>418887.72</v>
      </c>
    </row>
    <row r="499" spans="1:11" x14ac:dyDescent="0.25">
      <c r="A499" t="s">
        <v>1015</v>
      </c>
      <c r="B499" t="s">
        <v>1016</v>
      </c>
      <c r="C499" t="s">
        <v>540</v>
      </c>
      <c r="D499" t="s">
        <v>553</v>
      </c>
      <c r="E499">
        <v>0</v>
      </c>
      <c r="F499" t="s">
        <v>554</v>
      </c>
      <c r="G499">
        <v>0</v>
      </c>
      <c r="H499">
        <v>3138494.79</v>
      </c>
      <c r="I499">
        <v>0</v>
      </c>
      <c r="J499">
        <v>0</v>
      </c>
      <c r="K499">
        <v>3138494.79</v>
      </c>
    </row>
    <row r="500" spans="1:11" x14ac:dyDescent="0.25">
      <c r="A500" t="s">
        <v>332</v>
      </c>
      <c r="B500" t="s">
        <v>333</v>
      </c>
      <c r="C500" t="s">
        <v>540</v>
      </c>
      <c r="D500" t="s">
        <v>603</v>
      </c>
      <c r="E500">
        <v>0</v>
      </c>
      <c r="F500" t="s">
        <v>604</v>
      </c>
      <c r="G500">
        <v>0</v>
      </c>
      <c r="H500">
        <v>0</v>
      </c>
      <c r="I500">
        <v>0</v>
      </c>
      <c r="J500">
        <v>5896891</v>
      </c>
      <c r="K500">
        <v>5896891</v>
      </c>
    </row>
    <row r="501" spans="1:11" x14ac:dyDescent="0.25">
      <c r="A501" t="s">
        <v>1098</v>
      </c>
      <c r="B501" t="s">
        <v>1099</v>
      </c>
      <c r="C501" t="s">
        <v>540</v>
      </c>
      <c r="D501" t="s">
        <v>784</v>
      </c>
      <c r="E501">
        <v>0</v>
      </c>
      <c r="F501" t="s">
        <v>785</v>
      </c>
      <c r="G501">
        <v>13884750</v>
      </c>
      <c r="H501">
        <v>0</v>
      </c>
      <c r="I501">
        <v>0</v>
      </c>
      <c r="J501">
        <v>0</v>
      </c>
      <c r="K501">
        <v>13884750</v>
      </c>
    </row>
    <row r="502" spans="1:11" x14ac:dyDescent="0.25">
      <c r="A502" t="s">
        <v>877</v>
      </c>
      <c r="B502" t="s">
        <v>878</v>
      </c>
      <c r="C502" t="s">
        <v>540</v>
      </c>
      <c r="D502" t="s">
        <v>681</v>
      </c>
      <c r="E502">
        <v>0</v>
      </c>
      <c r="F502" t="s">
        <v>682</v>
      </c>
      <c r="G502">
        <v>280757.86</v>
      </c>
      <c r="H502">
        <v>84431.97</v>
      </c>
      <c r="I502">
        <v>0</v>
      </c>
      <c r="J502">
        <v>0</v>
      </c>
      <c r="K502">
        <v>365189.83</v>
      </c>
    </row>
    <row r="503" spans="1:11" x14ac:dyDescent="0.25">
      <c r="A503" t="s">
        <v>752</v>
      </c>
      <c r="B503" t="s">
        <v>753</v>
      </c>
      <c r="C503" t="s">
        <v>540</v>
      </c>
      <c r="D503" t="s">
        <v>565</v>
      </c>
      <c r="E503">
        <v>0</v>
      </c>
      <c r="F503" t="s">
        <v>566</v>
      </c>
      <c r="G503">
        <v>49348398</v>
      </c>
      <c r="H503">
        <v>5024525</v>
      </c>
      <c r="I503">
        <v>0</v>
      </c>
      <c r="J503">
        <v>0</v>
      </c>
      <c r="K503">
        <v>54372923</v>
      </c>
    </row>
    <row r="504" spans="1:11" x14ac:dyDescent="0.25">
      <c r="A504" t="s">
        <v>1174</v>
      </c>
      <c r="B504" t="s">
        <v>1175</v>
      </c>
      <c r="C504" t="s">
        <v>540</v>
      </c>
      <c r="D504" t="s">
        <v>1176</v>
      </c>
      <c r="E504">
        <v>227697.8</v>
      </c>
      <c r="F504" t="s">
        <v>1177</v>
      </c>
      <c r="G504">
        <v>0</v>
      </c>
      <c r="H504">
        <v>0</v>
      </c>
      <c r="I504">
        <v>0</v>
      </c>
      <c r="J504">
        <v>0</v>
      </c>
      <c r="K504">
        <v>227697.8</v>
      </c>
    </row>
    <row r="505" spans="1:11" x14ac:dyDescent="0.25">
      <c r="A505" t="s">
        <v>336</v>
      </c>
      <c r="B505" t="s">
        <v>337</v>
      </c>
      <c r="C505" t="s">
        <v>540</v>
      </c>
      <c r="D505" t="s">
        <v>553</v>
      </c>
      <c r="E505">
        <v>0</v>
      </c>
      <c r="F505" t="s">
        <v>554</v>
      </c>
      <c r="G505">
        <v>0</v>
      </c>
      <c r="H505">
        <v>0</v>
      </c>
      <c r="I505">
        <v>0</v>
      </c>
      <c r="J505">
        <v>-0.01</v>
      </c>
      <c r="K505">
        <v>-0.01</v>
      </c>
    </row>
    <row r="506" spans="1:11" x14ac:dyDescent="0.25">
      <c r="A506" t="s">
        <v>879</v>
      </c>
      <c r="B506" t="s">
        <v>880</v>
      </c>
      <c r="C506" t="s">
        <v>540</v>
      </c>
      <c r="D506" t="s">
        <v>559</v>
      </c>
      <c r="E506">
        <v>197835</v>
      </c>
      <c r="F506" t="s">
        <v>560</v>
      </c>
      <c r="G506">
        <v>0</v>
      </c>
      <c r="H506">
        <v>0</v>
      </c>
      <c r="I506">
        <v>0</v>
      </c>
      <c r="J506">
        <v>0</v>
      </c>
      <c r="K506">
        <v>197835</v>
      </c>
    </row>
    <row r="507" spans="1:11" x14ac:dyDescent="0.25">
      <c r="A507" t="s">
        <v>338</v>
      </c>
      <c r="B507" t="s">
        <v>339</v>
      </c>
      <c r="C507" t="s">
        <v>540</v>
      </c>
      <c r="D507" t="s">
        <v>601</v>
      </c>
      <c r="E507">
        <v>10285.85</v>
      </c>
      <c r="F507" t="s">
        <v>602</v>
      </c>
      <c r="G507">
        <v>49580599</v>
      </c>
      <c r="H507">
        <v>10450548.970000001</v>
      </c>
      <c r="I507">
        <v>-51171.78</v>
      </c>
      <c r="J507">
        <v>0</v>
      </c>
      <c r="K507">
        <v>59990262.039999999</v>
      </c>
    </row>
    <row r="508" spans="1:11" x14ac:dyDescent="0.25">
      <c r="A508" t="s">
        <v>1178</v>
      </c>
      <c r="B508" t="s">
        <v>1179</v>
      </c>
      <c r="C508" t="s">
        <v>540</v>
      </c>
      <c r="D508" t="s">
        <v>665</v>
      </c>
      <c r="E508">
        <v>0</v>
      </c>
      <c r="F508" t="s">
        <v>666</v>
      </c>
      <c r="G508">
        <v>800000</v>
      </c>
      <c r="H508">
        <v>0</v>
      </c>
      <c r="I508">
        <v>0</v>
      </c>
      <c r="J508">
        <v>0</v>
      </c>
      <c r="K508">
        <v>800000</v>
      </c>
    </row>
    <row r="509" spans="1:11" x14ac:dyDescent="0.25">
      <c r="A509" t="s">
        <v>1180</v>
      </c>
      <c r="B509" t="s">
        <v>1181</v>
      </c>
      <c r="C509" t="s">
        <v>540</v>
      </c>
      <c r="D509" t="s">
        <v>559</v>
      </c>
      <c r="E509">
        <v>2820004.22</v>
      </c>
      <c r="F509" t="s">
        <v>560</v>
      </c>
      <c r="G509">
        <v>0</v>
      </c>
      <c r="H509">
        <v>0</v>
      </c>
      <c r="I509">
        <v>0</v>
      </c>
      <c r="J509">
        <v>0</v>
      </c>
      <c r="K509">
        <v>2820004.22</v>
      </c>
    </row>
    <row r="510" spans="1:11" x14ac:dyDescent="0.25">
      <c r="A510" t="s">
        <v>1017</v>
      </c>
      <c r="B510" t="s">
        <v>1018</v>
      </c>
      <c r="C510" t="s">
        <v>540</v>
      </c>
      <c r="D510" t="s">
        <v>611</v>
      </c>
      <c r="E510">
        <v>754186.59</v>
      </c>
      <c r="F510" t="s">
        <v>612</v>
      </c>
      <c r="G510">
        <v>147743.48000000001</v>
      </c>
      <c r="H510">
        <v>303121.36</v>
      </c>
      <c r="I510">
        <v>0</v>
      </c>
      <c r="J510">
        <v>0</v>
      </c>
      <c r="K510">
        <v>1205051.43</v>
      </c>
    </row>
    <row r="511" spans="1:11" x14ac:dyDescent="0.25">
      <c r="A511" t="s">
        <v>881</v>
      </c>
      <c r="B511" t="s">
        <v>882</v>
      </c>
      <c r="C511" t="s">
        <v>540</v>
      </c>
      <c r="D511" t="s">
        <v>639</v>
      </c>
      <c r="E511">
        <v>0</v>
      </c>
      <c r="F511" t="s">
        <v>640</v>
      </c>
      <c r="G511">
        <v>686070</v>
      </c>
      <c r="H511">
        <v>0</v>
      </c>
      <c r="I511">
        <v>0</v>
      </c>
      <c r="J511">
        <v>0</v>
      </c>
      <c r="K511">
        <v>686070</v>
      </c>
    </row>
    <row r="512" spans="1:11" x14ac:dyDescent="0.25">
      <c r="A512" t="s">
        <v>342</v>
      </c>
      <c r="B512" t="s">
        <v>343</v>
      </c>
      <c r="C512" t="s">
        <v>540</v>
      </c>
      <c r="D512" t="s">
        <v>663</v>
      </c>
      <c r="E512">
        <v>-30082476.77</v>
      </c>
      <c r="F512" t="s">
        <v>664</v>
      </c>
      <c r="G512">
        <v>118814037.51000001</v>
      </c>
      <c r="H512">
        <v>31539276.66</v>
      </c>
      <c r="I512">
        <v>0</v>
      </c>
      <c r="J512">
        <v>0</v>
      </c>
      <c r="K512">
        <v>120270837.40000001</v>
      </c>
    </row>
    <row r="513" spans="1:11" x14ac:dyDescent="0.25">
      <c r="A513" t="s">
        <v>1100</v>
      </c>
      <c r="B513" t="s">
        <v>1101</v>
      </c>
      <c r="C513" t="s">
        <v>540</v>
      </c>
      <c r="D513" t="s">
        <v>603</v>
      </c>
      <c r="E513">
        <v>490000</v>
      </c>
      <c r="F513" t="s">
        <v>604</v>
      </c>
      <c r="G513">
        <v>0</v>
      </c>
      <c r="H513">
        <v>0</v>
      </c>
      <c r="I513">
        <v>0</v>
      </c>
      <c r="J513">
        <v>0</v>
      </c>
      <c r="K513">
        <v>490000</v>
      </c>
    </row>
    <row r="514" spans="1:11" x14ac:dyDescent="0.25">
      <c r="A514" t="s">
        <v>344</v>
      </c>
      <c r="B514" t="s">
        <v>345</v>
      </c>
      <c r="C514" t="s">
        <v>540</v>
      </c>
      <c r="D514" t="s">
        <v>603</v>
      </c>
      <c r="E514">
        <v>0</v>
      </c>
      <c r="F514" t="s">
        <v>604</v>
      </c>
      <c r="G514">
        <v>0</v>
      </c>
      <c r="H514">
        <v>0</v>
      </c>
      <c r="I514">
        <v>0</v>
      </c>
      <c r="J514">
        <v>335045.59999999998</v>
      </c>
      <c r="K514">
        <v>335045.59999999998</v>
      </c>
    </row>
    <row r="515" spans="1:11" x14ac:dyDescent="0.25">
      <c r="A515" t="s">
        <v>346</v>
      </c>
      <c r="B515" t="s">
        <v>347</v>
      </c>
      <c r="C515" t="s">
        <v>540</v>
      </c>
      <c r="D515" t="s">
        <v>603</v>
      </c>
      <c r="E515">
        <v>0</v>
      </c>
      <c r="F515" t="s">
        <v>604</v>
      </c>
      <c r="G515">
        <v>0</v>
      </c>
      <c r="H515">
        <v>0</v>
      </c>
      <c r="I515">
        <v>0</v>
      </c>
      <c r="J515">
        <v>1782642.4</v>
      </c>
      <c r="K515">
        <v>1782642.4</v>
      </c>
    </row>
    <row r="516" spans="1:11" x14ac:dyDescent="0.25">
      <c r="A516" t="s">
        <v>1182</v>
      </c>
      <c r="B516" t="s">
        <v>1183</v>
      </c>
      <c r="C516" t="s">
        <v>540</v>
      </c>
      <c r="D516" t="s">
        <v>603</v>
      </c>
      <c r="E516">
        <v>4762197</v>
      </c>
      <c r="F516" t="s">
        <v>604</v>
      </c>
      <c r="G516">
        <v>0</v>
      </c>
      <c r="H516">
        <v>0</v>
      </c>
      <c r="I516">
        <v>0</v>
      </c>
      <c r="J516">
        <v>0</v>
      </c>
      <c r="K516">
        <v>4762197</v>
      </c>
    </row>
    <row r="517" spans="1:11" x14ac:dyDescent="0.25">
      <c r="A517" t="s">
        <v>1019</v>
      </c>
      <c r="B517" t="s">
        <v>950</v>
      </c>
      <c r="C517" t="s">
        <v>540</v>
      </c>
      <c r="D517" t="s">
        <v>631</v>
      </c>
      <c r="E517">
        <v>0</v>
      </c>
      <c r="F517" t="s">
        <v>632</v>
      </c>
      <c r="G517">
        <v>0</v>
      </c>
      <c r="H517">
        <v>10635900</v>
      </c>
      <c r="I517">
        <v>0</v>
      </c>
      <c r="J517">
        <v>0</v>
      </c>
      <c r="K517">
        <v>10635900</v>
      </c>
    </row>
    <row r="518" spans="1:11" x14ac:dyDescent="0.25">
      <c r="A518" t="s">
        <v>348</v>
      </c>
      <c r="B518" t="s">
        <v>349</v>
      </c>
      <c r="C518" t="s">
        <v>540</v>
      </c>
      <c r="D518" t="s">
        <v>665</v>
      </c>
      <c r="E518">
        <v>0</v>
      </c>
      <c r="F518" t="s">
        <v>666</v>
      </c>
      <c r="G518">
        <v>0</v>
      </c>
      <c r="H518">
        <v>3400000</v>
      </c>
      <c r="I518">
        <v>0</v>
      </c>
      <c r="J518">
        <v>0</v>
      </c>
      <c r="K518">
        <v>3400000</v>
      </c>
    </row>
    <row r="519" spans="1:11" x14ac:dyDescent="0.25">
      <c r="A519" t="s">
        <v>350</v>
      </c>
      <c r="B519" t="s">
        <v>351</v>
      </c>
      <c r="C519" t="s">
        <v>540</v>
      </c>
      <c r="D519" t="s">
        <v>551</v>
      </c>
      <c r="E519">
        <v>493448</v>
      </c>
      <c r="F519" t="s">
        <v>552</v>
      </c>
      <c r="G519">
        <v>279005</v>
      </c>
      <c r="H519">
        <v>0</v>
      </c>
      <c r="I519">
        <v>0</v>
      </c>
      <c r="J519">
        <v>0</v>
      </c>
      <c r="K519">
        <v>772453</v>
      </c>
    </row>
    <row r="520" spans="1:11" x14ac:dyDescent="0.25">
      <c r="A520" t="s">
        <v>756</v>
      </c>
      <c r="B520" t="s">
        <v>757</v>
      </c>
      <c r="C520" t="s">
        <v>540</v>
      </c>
      <c r="D520" t="s">
        <v>758</v>
      </c>
      <c r="E520">
        <v>0</v>
      </c>
      <c r="F520" t="s">
        <v>759</v>
      </c>
      <c r="G520">
        <v>382617.81</v>
      </c>
      <c r="H520">
        <v>677994.65</v>
      </c>
      <c r="I520">
        <v>0</v>
      </c>
      <c r="J520">
        <v>0</v>
      </c>
      <c r="K520">
        <v>1060612.46</v>
      </c>
    </row>
    <row r="521" spans="1:11" x14ac:dyDescent="0.25">
      <c r="A521" t="s">
        <v>816</v>
      </c>
      <c r="B521" t="s">
        <v>817</v>
      </c>
      <c r="C521" t="s">
        <v>540</v>
      </c>
      <c r="D521" t="s">
        <v>559</v>
      </c>
      <c r="E521">
        <v>41684.550000000003</v>
      </c>
      <c r="F521" t="s">
        <v>560</v>
      </c>
      <c r="G521">
        <v>83341.11</v>
      </c>
      <c r="H521">
        <v>0</v>
      </c>
      <c r="I521">
        <v>0</v>
      </c>
      <c r="J521">
        <v>0</v>
      </c>
      <c r="K521">
        <v>125025.66</v>
      </c>
    </row>
    <row r="522" spans="1:11" x14ac:dyDescent="0.25">
      <c r="A522" t="s">
        <v>1020</v>
      </c>
      <c r="B522" t="s">
        <v>1021</v>
      </c>
      <c r="C522" t="s">
        <v>540</v>
      </c>
      <c r="D522" t="s">
        <v>631</v>
      </c>
      <c r="E522">
        <v>0</v>
      </c>
      <c r="F522" t="s">
        <v>632</v>
      </c>
      <c r="G522">
        <v>1756600</v>
      </c>
      <c r="H522">
        <v>0</v>
      </c>
      <c r="I522">
        <v>0</v>
      </c>
      <c r="J522">
        <v>0</v>
      </c>
      <c r="K522">
        <v>1756600</v>
      </c>
    </row>
    <row r="523" spans="1:11" x14ac:dyDescent="0.25">
      <c r="A523" t="s">
        <v>1022</v>
      </c>
      <c r="B523" t="s">
        <v>1023</v>
      </c>
      <c r="C523" t="s">
        <v>540</v>
      </c>
      <c r="D523" t="s">
        <v>971</v>
      </c>
      <c r="E523">
        <v>87120</v>
      </c>
      <c r="F523" t="s">
        <v>972</v>
      </c>
      <c r="G523">
        <v>87120</v>
      </c>
      <c r="H523">
        <v>0</v>
      </c>
      <c r="I523">
        <v>0</v>
      </c>
      <c r="J523">
        <v>0</v>
      </c>
      <c r="K523">
        <v>174240</v>
      </c>
    </row>
    <row r="524" spans="1:11" x14ac:dyDescent="0.25">
      <c r="A524" t="s">
        <v>352</v>
      </c>
      <c r="B524" t="s">
        <v>353</v>
      </c>
      <c r="C524" t="s">
        <v>540</v>
      </c>
      <c r="D524" t="s">
        <v>633</v>
      </c>
      <c r="E524">
        <v>0</v>
      </c>
      <c r="F524" t="s">
        <v>634</v>
      </c>
      <c r="G524">
        <v>4849600</v>
      </c>
      <c r="H524">
        <v>3617200</v>
      </c>
      <c r="I524">
        <v>0</v>
      </c>
      <c r="J524">
        <v>0</v>
      </c>
      <c r="K524">
        <v>8466800</v>
      </c>
    </row>
    <row r="525" spans="1:11" x14ac:dyDescent="0.25">
      <c r="A525" t="s">
        <v>818</v>
      </c>
      <c r="B525" t="s">
        <v>819</v>
      </c>
      <c r="C525" t="s">
        <v>540</v>
      </c>
      <c r="D525" t="s">
        <v>565</v>
      </c>
      <c r="E525">
        <v>0</v>
      </c>
      <c r="F525" t="s">
        <v>566</v>
      </c>
      <c r="G525">
        <v>846275</v>
      </c>
      <c r="H525">
        <v>0</v>
      </c>
      <c r="I525">
        <v>0</v>
      </c>
      <c r="J525">
        <v>0</v>
      </c>
      <c r="K525">
        <v>846275</v>
      </c>
    </row>
    <row r="526" spans="1:11" x14ac:dyDescent="0.25">
      <c r="A526" t="s">
        <v>1102</v>
      </c>
      <c r="B526" t="s">
        <v>1103</v>
      </c>
      <c r="C526" t="s">
        <v>540</v>
      </c>
      <c r="D526" t="s">
        <v>1104</v>
      </c>
      <c r="E526">
        <v>0</v>
      </c>
      <c r="F526" t="s">
        <v>1105</v>
      </c>
      <c r="G526">
        <v>5424290.8499999996</v>
      </c>
      <c r="H526">
        <v>0</v>
      </c>
      <c r="I526">
        <v>0</v>
      </c>
      <c r="J526">
        <v>0</v>
      </c>
      <c r="K526">
        <v>5424290.8499999996</v>
      </c>
    </row>
    <row r="527" spans="1:11" x14ac:dyDescent="0.25">
      <c r="A527" t="s">
        <v>1024</v>
      </c>
      <c r="B527" t="s">
        <v>1025</v>
      </c>
      <c r="C527" t="s">
        <v>540</v>
      </c>
      <c r="D527" t="s">
        <v>553</v>
      </c>
      <c r="E527">
        <v>0</v>
      </c>
      <c r="F527" t="s">
        <v>554</v>
      </c>
      <c r="G527">
        <v>374765.85</v>
      </c>
      <c r="H527">
        <v>0</v>
      </c>
      <c r="I527">
        <v>0</v>
      </c>
      <c r="J527">
        <v>0</v>
      </c>
      <c r="K527">
        <v>374765.85</v>
      </c>
    </row>
    <row r="528" spans="1:11" x14ac:dyDescent="0.25">
      <c r="A528" t="s">
        <v>354</v>
      </c>
      <c r="B528" t="s">
        <v>355</v>
      </c>
      <c r="C528" t="s">
        <v>540</v>
      </c>
      <c r="D528" t="s">
        <v>635</v>
      </c>
      <c r="E528">
        <v>735680</v>
      </c>
      <c r="F528" t="s">
        <v>636</v>
      </c>
      <c r="G528">
        <v>1642877.5</v>
      </c>
      <c r="H528">
        <v>4528301.76</v>
      </c>
      <c r="I528">
        <v>0</v>
      </c>
      <c r="J528">
        <v>0</v>
      </c>
      <c r="K528">
        <v>6906859.2599999998</v>
      </c>
    </row>
    <row r="529" spans="1:11" x14ac:dyDescent="0.25">
      <c r="A529" t="s">
        <v>356</v>
      </c>
      <c r="B529" t="s">
        <v>357</v>
      </c>
      <c r="C529" t="s">
        <v>540</v>
      </c>
      <c r="D529" t="s">
        <v>667</v>
      </c>
      <c r="E529">
        <v>0</v>
      </c>
      <c r="F529" t="s">
        <v>668</v>
      </c>
      <c r="G529">
        <v>6789168.9100000001</v>
      </c>
      <c r="H529">
        <v>15428204.699999999</v>
      </c>
      <c r="I529">
        <v>3317700.94</v>
      </c>
      <c r="J529">
        <v>0</v>
      </c>
      <c r="K529">
        <v>25535074.550000001</v>
      </c>
    </row>
    <row r="530" spans="1:11" x14ac:dyDescent="0.25">
      <c r="A530" t="s">
        <v>358</v>
      </c>
      <c r="B530" t="s">
        <v>359</v>
      </c>
      <c r="C530" t="s">
        <v>540</v>
      </c>
      <c r="D530" t="s">
        <v>565</v>
      </c>
      <c r="E530">
        <v>0</v>
      </c>
      <c r="F530" t="s">
        <v>566</v>
      </c>
      <c r="G530">
        <v>1093788.02</v>
      </c>
      <c r="H530">
        <v>0</v>
      </c>
      <c r="I530">
        <v>0</v>
      </c>
      <c r="J530">
        <v>0</v>
      </c>
      <c r="K530">
        <v>1093788.02</v>
      </c>
    </row>
    <row r="531" spans="1:11" x14ac:dyDescent="0.25">
      <c r="A531" t="s">
        <v>1026</v>
      </c>
      <c r="B531" t="s">
        <v>951</v>
      </c>
      <c r="C531" t="s">
        <v>540</v>
      </c>
      <c r="D531" t="s">
        <v>710</v>
      </c>
      <c r="E531">
        <v>1450000</v>
      </c>
      <c r="F531" t="s">
        <v>711</v>
      </c>
      <c r="G531">
        <v>1400000</v>
      </c>
      <c r="H531">
        <v>0</v>
      </c>
      <c r="I531">
        <v>0</v>
      </c>
      <c r="J531">
        <v>0</v>
      </c>
      <c r="K531">
        <v>2850000</v>
      </c>
    </row>
    <row r="532" spans="1:11" x14ac:dyDescent="0.25">
      <c r="A532" t="s">
        <v>1027</v>
      </c>
      <c r="B532" t="s">
        <v>952</v>
      </c>
      <c r="C532" t="s">
        <v>540</v>
      </c>
      <c r="D532" t="s">
        <v>1028</v>
      </c>
      <c r="E532">
        <v>0</v>
      </c>
      <c r="F532" t="s">
        <v>1029</v>
      </c>
      <c r="G532">
        <v>0</v>
      </c>
      <c r="H532">
        <v>216400</v>
      </c>
      <c r="I532">
        <v>0</v>
      </c>
      <c r="J532">
        <v>0</v>
      </c>
      <c r="K532">
        <v>216400</v>
      </c>
    </row>
    <row r="533" spans="1:11" x14ac:dyDescent="0.25">
      <c r="A533" t="s">
        <v>1184</v>
      </c>
      <c r="B533" t="s">
        <v>1185</v>
      </c>
      <c r="C533" t="s">
        <v>540</v>
      </c>
      <c r="D533" t="s">
        <v>1186</v>
      </c>
      <c r="E533">
        <v>0</v>
      </c>
      <c r="F533" t="s">
        <v>1187</v>
      </c>
      <c r="G533">
        <v>617600</v>
      </c>
      <c r="H533">
        <v>0</v>
      </c>
      <c r="I533">
        <v>0</v>
      </c>
      <c r="J533">
        <v>0</v>
      </c>
      <c r="K533">
        <v>617600</v>
      </c>
    </row>
    <row r="534" spans="1:11" x14ac:dyDescent="0.25">
      <c r="A534" t="s">
        <v>360</v>
      </c>
      <c r="B534" t="s">
        <v>361</v>
      </c>
      <c r="C534" t="s">
        <v>540</v>
      </c>
      <c r="D534" t="s">
        <v>543</v>
      </c>
      <c r="E534">
        <v>0</v>
      </c>
      <c r="F534" t="s">
        <v>544</v>
      </c>
      <c r="G534">
        <v>13346068.460000001</v>
      </c>
      <c r="H534">
        <v>12259373.41</v>
      </c>
      <c r="I534">
        <v>0</v>
      </c>
      <c r="J534">
        <v>0</v>
      </c>
      <c r="K534">
        <v>25605441.870000001</v>
      </c>
    </row>
    <row r="535" spans="1:11" x14ac:dyDescent="0.25">
      <c r="A535" t="s">
        <v>362</v>
      </c>
      <c r="B535" t="s">
        <v>363</v>
      </c>
      <c r="C535" t="s">
        <v>540</v>
      </c>
      <c r="D535" t="s">
        <v>669</v>
      </c>
      <c r="E535">
        <v>0</v>
      </c>
      <c r="F535" t="s">
        <v>670</v>
      </c>
      <c r="G535">
        <v>0</v>
      </c>
      <c r="H535">
        <v>21742490.010000002</v>
      </c>
      <c r="I535">
        <v>59122914.140000001</v>
      </c>
      <c r="J535">
        <v>30175173.600000001</v>
      </c>
      <c r="K535">
        <v>111040577.75</v>
      </c>
    </row>
    <row r="536" spans="1:11" x14ac:dyDescent="0.25">
      <c r="A536" t="s">
        <v>364</v>
      </c>
      <c r="B536" t="s">
        <v>365</v>
      </c>
      <c r="C536" t="s">
        <v>540</v>
      </c>
      <c r="D536" t="s">
        <v>553</v>
      </c>
      <c r="E536">
        <v>381131.47</v>
      </c>
      <c r="F536" t="s">
        <v>554</v>
      </c>
      <c r="G536">
        <v>537704.43999999994</v>
      </c>
      <c r="H536">
        <v>0</v>
      </c>
      <c r="I536">
        <v>0</v>
      </c>
      <c r="J536">
        <v>0</v>
      </c>
      <c r="K536">
        <v>918835.91</v>
      </c>
    </row>
    <row r="537" spans="1:11" x14ac:dyDescent="0.25">
      <c r="A537" t="s">
        <v>1030</v>
      </c>
      <c r="B537" t="s">
        <v>953</v>
      </c>
      <c r="C537" t="s">
        <v>540</v>
      </c>
      <c r="D537" t="s">
        <v>559</v>
      </c>
      <c r="E537">
        <v>2247817</v>
      </c>
      <c r="F537" t="s">
        <v>560</v>
      </c>
      <c r="G537">
        <v>0</v>
      </c>
      <c r="H537">
        <v>0</v>
      </c>
      <c r="I537">
        <v>0</v>
      </c>
      <c r="J537">
        <v>0</v>
      </c>
      <c r="K537">
        <v>2247817</v>
      </c>
    </row>
    <row r="538" spans="1:11" x14ac:dyDescent="0.25">
      <c r="A538" t="s">
        <v>366</v>
      </c>
      <c r="B538" t="s">
        <v>367</v>
      </c>
      <c r="C538" t="s">
        <v>540</v>
      </c>
      <c r="D538" t="s">
        <v>621</v>
      </c>
      <c r="E538">
        <v>0</v>
      </c>
      <c r="F538" t="s">
        <v>622</v>
      </c>
      <c r="G538">
        <v>0</v>
      </c>
      <c r="H538">
        <v>66914436.200000003</v>
      </c>
      <c r="I538">
        <v>65690391</v>
      </c>
      <c r="J538">
        <v>0</v>
      </c>
      <c r="K538">
        <v>132604827.2</v>
      </c>
    </row>
    <row r="539" spans="1:11" x14ac:dyDescent="0.25">
      <c r="A539" t="s">
        <v>762</v>
      </c>
      <c r="B539" t="s">
        <v>763</v>
      </c>
      <c r="C539" t="s">
        <v>540</v>
      </c>
      <c r="D539" t="s">
        <v>601</v>
      </c>
      <c r="E539">
        <v>0</v>
      </c>
      <c r="F539" t="s">
        <v>602</v>
      </c>
      <c r="G539">
        <v>0</v>
      </c>
      <c r="H539">
        <v>0</v>
      </c>
      <c r="I539">
        <v>30696237</v>
      </c>
      <c r="J539">
        <v>0</v>
      </c>
      <c r="K539">
        <v>30696237</v>
      </c>
    </row>
    <row r="540" spans="1:11" x14ac:dyDescent="0.25">
      <c r="A540" t="s">
        <v>764</v>
      </c>
      <c r="B540" t="s">
        <v>765</v>
      </c>
      <c r="C540" t="s">
        <v>540</v>
      </c>
      <c r="D540" t="s">
        <v>710</v>
      </c>
      <c r="E540">
        <v>0</v>
      </c>
      <c r="F540" t="s">
        <v>711</v>
      </c>
      <c r="G540">
        <v>2365000</v>
      </c>
      <c r="H540">
        <v>0</v>
      </c>
      <c r="I540">
        <v>0</v>
      </c>
      <c r="J540">
        <v>0</v>
      </c>
      <c r="K540">
        <v>2365000</v>
      </c>
    </row>
    <row r="541" spans="1:11" x14ac:dyDescent="0.25">
      <c r="A541" t="s">
        <v>368</v>
      </c>
      <c r="B541" t="s">
        <v>369</v>
      </c>
      <c r="C541" t="s">
        <v>540</v>
      </c>
      <c r="D541" t="s">
        <v>635</v>
      </c>
      <c r="E541">
        <v>0</v>
      </c>
      <c r="F541" t="s">
        <v>636</v>
      </c>
      <c r="G541">
        <v>393169.69</v>
      </c>
      <c r="H541">
        <v>0</v>
      </c>
      <c r="I541">
        <v>0</v>
      </c>
      <c r="J541">
        <v>0</v>
      </c>
      <c r="K541">
        <v>393169.69</v>
      </c>
    </row>
    <row r="542" spans="1:11" x14ac:dyDescent="0.25">
      <c r="A542" t="s">
        <v>820</v>
      </c>
      <c r="B542" t="s">
        <v>821</v>
      </c>
      <c r="C542" t="s">
        <v>540</v>
      </c>
      <c r="D542" t="s">
        <v>593</v>
      </c>
      <c r="E542">
        <v>0</v>
      </c>
      <c r="F542" t="s">
        <v>594</v>
      </c>
      <c r="G542">
        <v>0</v>
      </c>
      <c r="H542">
        <v>2039334</v>
      </c>
      <c r="I542">
        <v>0</v>
      </c>
      <c r="J542">
        <v>0</v>
      </c>
      <c r="K542">
        <v>2039334</v>
      </c>
    </row>
    <row r="543" spans="1:11" x14ac:dyDescent="0.25">
      <c r="A543" t="s">
        <v>505</v>
      </c>
      <c r="B543" t="s">
        <v>506</v>
      </c>
      <c r="C543" t="s">
        <v>540</v>
      </c>
      <c r="D543" t="s">
        <v>671</v>
      </c>
      <c r="E543">
        <v>0</v>
      </c>
      <c r="F543" t="s">
        <v>672</v>
      </c>
      <c r="G543">
        <v>3165553.6</v>
      </c>
      <c r="H543">
        <v>0</v>
      </c>
      <c r="I543">
        <v>0</v>
      </c>
      <c r="J543">
        <v>0</v>
      </c>
      <c r="K543">
        <v>3165553.6</v>
      </c>
    </row>
    <row r="544" spans="1:11" x14ac:dyDescent="0.25">
      <c r="A544" t="s">
        <v>1188</v>
      </c>
      <c r="B544" t="s">
        <v>1189</v>
      </c>
      <c r="C544" t="s">
        <v>540</v>
      </c>
      <c r="D544" t="s">
        <v>603</v>
      </c>
      <c r="E544">
        <v>798600</v>
      </c>
      <c r="F544" t="s">
        <v>604</v>
      </c>
      <c r="G544">
        <v>0</v>
      </c>
      <c r="H544">
        <v>0</v>
      </c>
      <c r="I544">
        <v>0</v>
      </c>
      <c r="J544">
        <v>0</v>
      </c>
      <c r="K544">
        <v>798600</v>
      </c>
    </row>
    <row r="545" spans="1:11" x14ac:dyDescent="0.25">
      <c r="A545" t="s">
        <v>891</v>
      </c>
      <c r="B545" t="s">
        <v>892</v>
      </c>
      <c r="C545" t="s">
        <v>540</v>
      </c>
      <c r="D545" t="s">
        <v>615</v>
      </c>
      <c r="E545">
        <v>0</v>
      </c>
      <c r="F545" t="s">
        <v>616</v>
      </c>
      <c r="G545">
        <v>23190221.34</v>
      </c>
      <c r="H545">
        <v>0</v>
      </c>
      <c r="I545">
        <v>0</v>
      </c>
      <c r="J545">
        <v>0</v>
      </c>
      <c r="K545">
        <v>23190221.34</v>
      </c>
    </row>
    <row r="546" spans="1:11" x14ac:dyDescent="0.25">
      <c r="A546" t="s">
        <v>372</v>
      </c>
      <c r="B546" t="s">
        <v>373</v>
      </c>
      <c r="C546" t="s">
        <v>540</v>
      </c>
      <c r="D546" t="s">
        <v>589</v>
      </c>
      <c r="E546">
        <v>0</v>
      </c>
      <c r="F546" t="s">
        <v>590</v>
      </c>
      <c r="G546">
        <v>0</v>
      </c>
      <c r="H546">
        <v>7178478.25</v>
      </c>
      <c r="I546">
        <v>37622239.600000001</v>
      </c>
      <c r="J546">
        <v>0</v>
      </c>
      <c r="K546">
        <v>44800717.850000001</v>
      </c>
    </row>
    <row r="547" spans="1:11" x14ac:dyDescent="0.25">
      <c r="A547" t="s">
        <v>376</v>
      </c>
      <c r="B547" t="s">
        <v>377</v>
      </c>
      <c r="C547" t="s">
        <v>540</v>
      </c>
      <c r="D547" t="s">
        <v>575</v>
      </c>
      <c r="E547">
        <v>2496000</v>
      </c>
      <c r="F547" t="s">
        <v>576</v>
      </c>
      <c r="G547">
        <v>6440000</v>
      </c>
      <c r="H547">
        <v>0</v>
      </c>
      <c r="I547">
        <v>0</v>
      </c>
      <c r="J547">
        <v>0</v>
      </c>
      <c r="K547">
        <v>8936000</v>
      </c>
    </row>
    <row r="548" spans="1:11" x14ac:dyDescent="0.25">
      <c r="A548" t="s">
        <v>378</v>
      </c>
      <c r="B548" t="s">
        <v>379</v>
      </c>
      <c r="C548" t="s">
        <v>540</v>
      </c>
      <c r="D548" t="s">
        <v>563</v>
      </c>
      <c r="E548">
        <v>0</v>
      </c>
      <c r="F548" t="s">
        <v>564</v>
      </c>
      <c r="G548">
        <v>0</v>
      </c>
      <c r="H548">
        <v>0</v>
      </c>
      <c r="I548">
        <v>0</v>
      </c>
      <c r="J548">
        <v>58760</v>
      </c>
      <c r="K548">
        <v>58760</v>
      </c>
    </row>
    <row r="549" spans="1:11" x14ac:dyDescent="0.25">
      <c r="A549" t="s">
        <v>1190</v>
      </c>
      <c r="B549" t="s">
        <v>1191</v>
      </c>
      <c r="C549" t="s">
        <v>540</v>
      </c>
      <c r="D549" t="s">
        <v>563</v>
      </c>
      <c r="E549">
        <v>1694000</v>
      </c>
      <c r="F549" t="s">
        <v>564</v>
      </c>
      <c r="G549">
        <v>0</v>
      </c>
      <c r="H549">
        <v>0</v>
      </c>
      <c r="I549">
        <v>0</v>
      </c>
      <c r="J549">
        <v>0</v>
      </c>
      <c r="K549">
        <v>1694000</v>
      </c>
    </row>
    <row r="550" spans="1:11" x14ac:dyDescent="0.25">
      <c r="A550" t="s">
        <v>380</v>
      </c>
      <c r="B550" t="s">
        <v>381</v>
      </c>
      <c r="C550" t="s">
        <v>540</v>
      </c>
      <c r="D550" t="s">
        <v>617</v>
      </c>
      <c r="E550">
        <v>589853.85</v>
      </c>
      <c r="F550" t="s">
        <v>618</v>
      </c>
      <c r="G550">
        <v>0</v>
      </c>
      <c r="H550">
        <v>0</v>
      </c>
      <c r="I550">
        <v>0</v>
      </c>
      <c r="J550">
        <v>0.01</v>
      </c>
      <c r="K550">
        <v>589853.86</v>
      </c>
    </row>
    <row r="551" spans="1:11" x14ac:dyDescent="0.25">
      <c r="A551" t="s">
        <v>507</v>
      </c>
      <c r="B551" t="s">
        <v>508</v>
      </c>
      <c r="C551" t="s">
        <v>540</v>
      </c>
      <c r="D551" t="s">
        <v>551</v>
      </c>
      <c r="E551">
        <v>0</v>
      </c>
      <c r="F551" t="s">
        <v>552</v>
      </c>
      <c r="G551">
        <v>71298.94</v>
      </c>
      <c r="H551">
        <v>0</v>
      </c>
      <c r="I551">
        <v>0</v>
      </c>
      <c r="J551">
        <v>0</v>
      </c>
      <c r="K551">
        <v>71298.94</v>
      </c>
    </row>
    <row r="552" spans="1:11" x14ac:dyDescent="0.25">
      <c r="A552" t="s">
        <v>382</v>
      </c>
      <c r="B552" t="s">
        <v>383</v>
      </c>
      <c r="C552" t="s">
        <v>540</v>
      </c>
      <c r="D552" t="s">
        <v>577</v>
      </c>
      <c r="E552">
        <v>2084287.75</v>
      </c>
      <c r="F552" t="s">
        <v>578</v>
      </c>
      <c r="G552">
        <v>8110135.6100000003</v>
      </c>
      <c r="H552">
        <v>0</v>
      </c>
      <c r="I552">
        <v>0</v>
      </c>
      <c r="J552">
        <v>0</v>
      </c>
      <c r="K552">
        <v>10194423.359999999</v>
      </c>
    </row>
    <row r="553" spans="1:11" x14ac:dyDescent="0.25">
      <c r="A553" t="s">
        <v>1031</v>
      </c>
      <c r="B553" t="s">
        <v>954</v>
      </c>
      <c r="C553" t="s">
        <v>540</v>
      </c>
      <c r="D553" t="s">
        <v>653</v>
      </c>
      <c r="E553">
        <v>1442728.41</v>
      </c>
      <c r="F553" t="s">
        <v>654</v>
      </c>
      <c r="G553">
        <v>0</v>
      </c>
      <c r="H553">
        <v>833250.81</v>
      </c>
      <c r="I553">
        <v>0</v>
      </c>
      <c r="J553">
        <v>0</v>
      </c>
      <c r="K553">
        <v>2275979.2200000002</v>
      </c>
    </row>
    <row r="554" spans="1:11" x14ac:dyDescent="0.25">
      <c r="A554" t="s">
        <v>384</v>
      </c>
      <c r="B554" t="s">
        <v>385</v>
      </c>
      <c r="C554" t="s">
        <v>540</v>
      </c>
      <c r="D554" t="s">
        <v>673</v>
      </c>
      <c r="E554">
        <v>252490.87</v>
      </c>
      <c r="F554" t="s">
        <v>674</v>
      </c>
      <c r="G554">
        <v>62551882.549999997</v>
      </c>
      <c r="H554">
        <v>0</v>
      </c>
      <c r="I554">
        <v>0</v>
      </c>
      <c r="J554">
        <v>0</v>
      </c>
      <c r="K554">
        <v>62804373.420000002</v>
      </c>
    </row>
    <row r="555" spans="1:11" x14ac:dyDescent="0.25">
      <c r="A555" t="s">
        <v>766</v>
      </c>
      <c r="B555" t="s">
        <v>767</v>
      </c>
      <c r="C555" t="s">
        <v>540</v>
      </c>
      <c r="D555" t="s">
        <v>545</v>
      </c>
      <c r="E555">
        <v>0</v>
      </c>
      <c r="F555" t="s">
        <v>546</v>
      </c>
      <c r="G555">
        <v>0</v>
      </c>
      <c r="H555">
        <v>460000.26</v>
      </c>
      <c r="I555">
        <v>0</v>
      </c>
      <c r="J555">
        <v>0</v>
      </c>
      <c r="K555">
        <v>460000.26</v>
      </c>
    </row>
    <row r="556" spans="1:11" x14ac:dyDescent="0.25">
      <c r="A556" t="s">
        <v>822</v>
      </c>
      <c r="B556" t="s">
        <v>823</v>
      </c>
      <c r="C556" t="s">
        <v>540</v>
      </c>
      <c r="D556" t="s">
        <v>639</v>
      </c>
      <c r="E556">
        <v>0</v>
      </c>
      <c r="F556" t="s">
        <v>640</v>
      </c>
      <c r="G556">
        <v>323634.28000000003</v>
      </c>
      <c r="H556">
        <v>0</v>
      </c>
      <c r="I556">
        <v>0</v>
      </c>
      <c r="J556">
        <v>0</v>
      </c>
      <c r="K556">
        <v>323634.28000000003</v>
      </c>
    </row>
    <row r="557" spans="1:11" x14ac:dyDescent="0.25">
      <c r="A557" t="s">
        <v>386</v>
      </c>
      <c r="B557" t="s">
        <v>387</v>
      </c>
      <c r="C557" t="s">
        <v>540</v>
      </c>
      <c r="D557" t="s">
        <v>659</v>
      </c>
      <c r="E557">
        <v>0</v>
      </c>
      <c r="F557" t="s">
        <v>660</v>
      </c>
      <c r="G557">
        <v>6629590</v>
      </c>
      <c r="H557">
        <v>0</v>
      </c>
      <c r="I557">
        <v>0</v>
      </c>
      <c r="J557">
        <v>0</v>
      </c>
      <c r="K557">
        <v>6629590</v>
      </c>
    </row>
    <row r="558" spans="1:11" x14ac:dyDescent="0.25">
      <c r="A558" t="s">
        <v>1192</v>
      </c>
      <c r="B558" t="s">
        <v>1193</v>
      </c>
      <c r="C558" t="s">
        <v>540</v>
      </c>
      <c r="D558" t="s">
        <v>1194</v>
      </c>
      <c r="E558">
        <v>167169.97</v>
      </c>
      <c r="F558" t="s">
        <v>1195</v>
      </c>
      <c r="G558">
        <v>0</v>
      </c>
      <c r="H558">
        <v>0</v>
      </c>
      <c r="I558">
        <v>0</v>
      </c>
      <c r="J558">
        <v>0</v>
      </c>
      <c r="K558">
        <v>167169.97</v>
      </c>
    </row>
    <row r="559" spans="1:11" x14ac:dyDescent="0.25">
      <c r="A559" t="s">
        <v>388</v>
      </c>
      <c r="B559" t="s">
        <v>389</v>
      </c>
      <c r="C559" t="s">
        <v>540</v>
      </c>
      <c r="D559" t="s">
        <v>603</v>
      </c>
      <c r="E559">
        <v>0</v>
      </c>
      <c r="F559" t="s">
        <v>604</v>
      </c>
      <c r="G559">
        <v>0</v>
      </c>
      <c r="H559">
        <v>0</v>
      </c>
      <c r="I559">
        <v>0</v>
      </c>
      <c r="J559">
        <v>13351649.470000001</v>
      </c>
      <c r="K559">
        <v>13351649.470000001</v>
      </c>
    </row>
    <row r="560" spans="1:11" x14ac:dyDescent="0.25">
      <c r="A560" t="s">
        <v>390</v>
      </c>
      <c r="B560" t="s">
        <v>391</v>
      </c>
      <c r="C560" t="s">
        <v>540</v>
      </c>
      <c r="D560" t="s">
        <v>553</v>
      </c>
      <c r="E560">
        <v>0</v>
      </c>
      <c r="F560" t="s">
        <v>554</v>
      </c>
      <c r="G560">
        <v>1964125</v>
      </c>
      <c r="H560">
        <v>0</v>
      </c>
      <c r="I560">
        <v>0</v>
      </c>
      <c r="J560">
        <v>0</v>
      </c>
      <c r="K560">
        <v>1964125</v>
      </c>
    </row>
    <row r="561" spans="1:11" x14ac:dyDescent="0.25">
      <c r="A561" t="s">
        <v>1106</v>
      </c>
      <c r="B561" t="s">
        <v>1107</v>
      </c>
      <c r="C561" t="s">
        <v>540</v>
      </c>
      <c r="D561" t="s">
        <v>1108</v>
      </c>
      <c r="E561">
        <v>0</v>
      </c>
      <c r="F561" t="s">
        <v>1109</v>
      </c>
      <c r="G561">
        <v>3617900</v>
      </c>
      <c r="H561">
        <v>0</v>
      </c>
      <c r="I561">
        <v>0</v>
      </c>
      <c r="J561">
        <v>0</v>
      </c>
      <c r="K561">
        <v>3617900</v>
      </c>
    </row>
    <row r="562" spans="1:11" x14ac:dyDescent="0.25">
      <c r="A562" t="s">
        <v>1196</v>
      </c>
      <c r="B562" t="s">
        <v>1197</v>
      </c>
      <c r="C562" t="s">
        <v>540</v>
      </c>
      <c r="D562" t="s">
        <v>1198</v>
      </c>
      <c r="E562">
        <v>306017.64</v>
      </c>
      <c r="F562" t="s">
        <v>1199</v>
      </c>
      <c r="G562">
        <v>0</v>
      </c>
      <c r="H562">
        <v>0</v>
      </c>
      <c r="I562">
        <v>0</v>
      </c>
      <c r="J562">
        <v>0</v>
      </c>
      <c r="K562">
        <v>306017.64</v>
      </c>
    </row>
    <row r="563" spans="1:11" x14ac:dyDescent="0.25">
      <c r="A563" t="s">
        <v>1200</v>
      </c>
      <c r="B563" t="s">
        <v>1201</v>
      </c>
      <c r="C563" t="s">
        <v>540</v>
      </c>
      <c r="D563" t="s">
        <v>565</v>
      </c>
      <c r="E563">
        <v>9314917.25</v>
      </c>
      <c r="F563" t="s">
        <v>566</v>
      </c>
      <c r="G563">
        <v>0</v>
      </c>
      <c r="H563">
        <v>0</v>
      </c>
      <c r="I563">
        <v>0</v>
      </c>
      <c r="J563">
        <v>0</v>
      </c>
      <c r="K563">
        <v>9314917.25</v>
      </c>
    </row>
    <row r="564" spans="1:11" x14ac:dyDescent="0.25">
      <c r="A564" t="s">
        <v>392</v>
      </c>
      <c r="B564" t="s">
        <v>393</v>
      </c>
      <c r="C564" t="s">
        <v>540</v>
      </c>
      <c r="D564" t="s">
        <v>601</v>
      </c>
      <c r="E564">
        <v>6318783.0700000003</v>
      </c>
      <c r="F564" t="s">
        <v>602</v>
      </c>
      <c r="G564">
        <v>30110729.640000001</v>
      </c>
      <c r="H564">
        <v>0</v>
      </c>
      <c r="I564">
        <v>0</v>
      </c>
      <c r="J564">
        <v>0</v>
      </c>
      <c r="K564">
        <v>36429512.710000001</v>
      </c>
    </row>
    <row r="565" spans="1:11" x14ac:dyDescent="0.25">
      <c r="A565" t="s">
        <v>1032</v>
      </c>
      <c r="B565" t="s">
        <v>955</v>
      </c>
      <c r="C565" t="s">
        <v>540</v>
      </c>
      <c r="D565" t="s">
        <v>1033</v>
      </c>
      <c r="E565">
        <v>8563928.0999999996</v>
      </c>
      <c r="F565" t="s">
        <v>1034</v>
      </c>
      <c r="G565">
        <v>99596721.120000005</v>
      </c>
      <c r="H565">
        <v>958770</v>
      </c>
      <c r="I565">
        <v>0</v>
      </c>
      <c r="J565">
        <v>0</v>
      </c>
      <c r="K565">
        <v>109119419.22</v>
      </c>
    </row>
    <row r="566" spans="1:11" x14ac:dyDescent="0.25">
      <c r="A566" t="s">
        <v>394</v>
      </c>
      <c r="B566" t="s">
        <v>395</v>
      </c>
      <c r="C566" t="s">
        <v>540</v>
      </c>
      <c r="D566" t="s">
        <v>629</v>
      </c>
      <c r="E566">
        <v>0</v>
      </c>
      <c r="F566" t="s">
        <v>630</v>
      </c>
      <c r="G566">
        <v>6412853.2000000002</v>
      </c>
      <c r="H566">
        <v>9117282.4499999993</v>
      </c>
      <c r="I566">
        <v>11896463.92</v>
      </c>
      <c r="J566">
        <v>0</v>
      </c>
      <c r="K566">
        <v>27426599.57</v>
      </c>
    </row>
    <row r="567" spans="1:11" x14ac:dyDescent="0.25">
      <c r="A567" t="s">
        <v>895</v>
      </c>
      <c r="B567" t="s">
        <v>896</v>
      </c>
      <c r="C567" t="s">
        <v>540</v>
      </c>
      <c r="D567" t="s">
        <v>559</v>
      </c>
      <c r="E567">
        <v>0</v>
      </c>
      <c r="F567" t="s">
        <v>560</v>
      </c>
      <c r="G567">
        <v>1976900</v>
      </c>
      <c r="H567">
        <v>0</v>
      </c>
      <c r="I567">
        <v>0</v>
      </c>
      <c r="J567">
        <v>0</v>
      </c>
      <c r="K567">
        <v>1976900</v>
      </c>
    </row>
    <row r="568" spans="1:11" x14ac:dyDescent="0.25">
      <c r="A568" t="s">
        <v>396</v>
      </c>
      <c r="B568" t="s">
        <v>397</v>
      </c>
      <c r="C568" t="s">
        <v>540</v>
      </c>
      <c r="D568" t="s">
        <v>677</v>
      </c>
      <c r="E568">
        <v>2695583.29</v>
      </c>
      <c r="F568" t="s">
        <v>678</v>
      </c>
      <c r="G568">
        <v>57120954.280000001</v>
      </c>
      <c r="H568">
        <v>2936330.46</v>
      </c>
      <c r="I568">
        <v>0</v>
      </c>
      <c r="J568">
        <v>0</v>
      </c>
      <c r="K568">
        <v>62752868.030000001</v>
      </c>
    </row>
    <row r="569" spans="1:11" x14ac:dyDescent="0.25">
      <c r="A569" t="s">
        <v>768</v>
      </c>
      <c r="B569" t="s">
        <v>769</v>
      </c>
      <c r="C569" t="s">
        <v>540</v>
      </c>
      <c r="D569" t="s">
        <v>609</v>
      </c>
      <c r="E569">
        <v>0</v>
      </c>
      <c r="F569" t="s">
        <v>610</v>
      </c>
      <c r="G569">
        <v>161554.92000000001</v>
      </c>
      <c r="H569">
        <v>396543.96</v>
      </c>
      <c r="I569">
        <v>0</v>
      </c>
      <c r="J569">
        <v>0</v>
      </c>
      <c r="K569">
        <v>558098.88</v>
      </c>
    </row>
    <row r="570" spans="1:11" x14ac:dyDescent="0.25">
      <c r="A570" t="s">
        <v>1110</v>
      </c>
      <c r="B570" t="s">
        <v>1111</v>
      </c>
      <c r="C570" t="s">
        <v>540</v>
      </c>
      <c r="D570" t="s">
        <v>1077</v>
      </c>
      <c r="E570">
        <v>0</v>
      </c>
      <c r="F570" t="s">
        <v>1078</v>
      </c>
      <c r="G570">
        <v>0</v>
      </c>
      <c r="H570">
        <v>1482250</v>
      </c>
      <c r="I570">
        <v>0</v>
      </c>
      <c r="J570">
        <v>0</v>
      </c>
      <c r="K570">
        <v>1482250</v>
      </c>
    </row>
    <row r="571" spans="1:11" x14ac:dyDescent="0.25">
      <c r="A571" t="s">
        <v>398</v>
      </c>
      <c r="B571" t="s">
        <v>399</v>
      </c>
      <c r="C571" t="s">
        <v>540</v>
      </c>
      <c r="D571" t="s">
        <v>559</v>
      </c>
      <c r="E571">
        <v>0</v>
      </c>
      <c r="F571" t="s">
        <v>560</v>
      </c>
      <c r="G571">
        <v>0</v>
      </c>
      <c r="H571">
        <v>0</v>
      </c>
      <c r="I571">
        <v>0</v>
      </c>
      <c r="J571">
        <v>-2698.26</v>
      </c>
      <c r="K571">
        <v>-2698.26</v>
      </c>
    </row>
    <row r="572" spans="1:11" x14ac:dyDescent="0.25">
      <c r="A572" t="s">
        <v>770</v>
      </c>
      <c r="B572" t="s">
        <v>771</v>
      </c>
      <c r="C572" t="s">
        <v>540</v>
      </c>
      <c r="D572" t="s">
        <v>772</v>
      </c>
      <c r="E572">
        <v>1885000</v>
      </c>
      <c r="F572" t="s">
        <v>773</v>
      </c>
      <c r="G572">
        <v>4317900</v>
      </c>
      <c r="H572">
        <v>0</v>
      </c>
      <c r="I572">
        <v>0</v>
      </c>
      <c r="J572">
        <v>0</v>
      </c>
      <c r="K572">
        <v>6202900</v>
      </c>
    </row>
    <row r="573" spans="1:11" x14ac:dyDescent="0.25">
      <c r="A573" t="s">
        <v>1202</v>
      </c>
      <c r="B573" t="s">
        <v>1203</v>
      </c>
      <c r="C573" t="s">
        <v>540</v>
      </c>
      <c r="D573" t="s">
        <v>695</v>
      </c>
      <c r="E573">
        <v>1656913.5</v>
      </c>
      <c r="F573" t="s">
        <v>696</v>
      </c>
      <c r="G573">
        <v>0</v>
      </c>
      <c r="H573">
        <v>0</v>
      </c>
      <c r="I573">
        <v>0</v>
      </c>
      <c r="J573">
        <v>0</v>
      </c>
      <c r="K573">
        <v>1656913.5</v>
      </c>
    </row>
    <row r="574" spans="1:11" x14ac:dyDescent="0.25">
      <c r="A574" t="s">
        <v>1035</v>
      </c>
      <c r="B574" t="s">
        <v>956</v>
      </c>
      <c r="C574" t="s">
        <v>540</v>
      </c>
      <c r="D574" t="s">
        <v>563</v>
      </c>
      <c r="E574">
        <v>0</v>
      </c>
      <c r="F574" t="s">
        <v>564</v>
      </c>
      <c r="G574">
        <v>2554290.64</v>
      </c>
      <c r="H574">
        <v>0</v>
      </c>
      <c r="I574">
        <v>0</v>
      </c>
      <c r="J574">
        <v>0</v>
      </c>
      <c r="K574">
        <v>2554290.64</v>
      </c>
    </row>
    <row r="575" spans="1:11" x14ac:dyDescent="0.25">
      <c r="A575" t="s">
        <v>897</v>
      </c>
      <c r="B575" t="s">
        <v>898</v>
      </c>
      <c r="C575" t="s">
        <v>540</v>
      </c>
      <c r="D575" t="s">
        <v>899</v>
      </c>
      <c r="E575">
        <v>0</v>
      </c>
      <c r="F575" t="s">
        <v>900</v>
      </c>
      <c r="G575">
        <v>0</v>
      </c>
      <c r="H575">
        <v>16552800</v>
      </c>
      <c r="I575">
        <v>0</v>
      </c>
      <c r="J575">
        <v>0</v>
      </c>
      <c r="K575">
        <v>16552800</v>
      </c>
    </row>
    <row r="576" spans="1:11" x14ac:dyDescent="0.25">
      <c r="A576" t="s">
        <v>1204</v>
      </c>
      <c r="B576" t="s">
        <v>1205</v>
      </c>
      <c r="C576" t="s">
        <v>540</v>
      </c>
      <c r="D576" t="s">
        <v>553</v>
      </c>
      <c r="E576">
        <v>0</v>
      </c>
      <c r="F576" t="s">
        <v>554</v>
      </c>
      <c r="G576">
        <v>2111819.71</v>
      </c>
      <c r="H576">
        <v>0</v>
      </c>
      <c r="I576">
        <v>0</v>
      </c>
      <c r="J576">
        <v>0</v>
      </c>
      <c r="K576">
        <v>2111819.71</v>
      </c>
    </row>
    <row r="577" spans="1:11" x14ac:dyDescent="0.25">
      <c r="A577" t="s">
        <v>1206</v>
      </c>
      <c r="B577" t="s">
        <v>1207</v>
      </c>
      <c r="C577" t="s">
        <v>540</v>
      </c>
      <c r="D577" t="s">
        <v>1208</v>
      </c>
      <c r="E577">
        <v>22659670</v>
      </c>
      <c r="F577" t="s">
        <v>1209</v>
      </c>
      <c r="G577">
        <v>0</v>
      </c>
      <c r="H577">
        <v>0</v>
      </c>
      <c r="I577">
        <v>0</v>
      </c>
      <c r="J577">
        <v>0</v>
      </c>
      <c r="K577">
        <v>22659670</v>
      </c>
    </row>
    <row r="578" spans="1:11" x14ac:dyDescent="0.25">
      <c r="A578" t="s">
        <v>400</v>
      </c>
      <c r="B578" t="s">
        <v>401</v>
      </c>
      <c r="C578" t="s">
        <v>540</v>
      </c>
      <c r="D578" t="s">
        <v>679</v>
      </c>
      <c r="E578">
        <v>633000</v>
      </c>
      <c r="F578" t="s">
        <v>680</v>
      </c>
      <c r="G578">
        <v>74715550</v>
      </c>
      <c r="H578">
        <v>0</v>
      </c>
      <c r="I578">
        <v>0</v>
      </c>
      <c r="J578">
        <v>0</v>
      </c>
      <c r="K578">
        <v>75348550</v>
      </c>
    </row>
    <row r="579" spans="1:11" x14ac:dyDescent="0.25">
      <c r="A579" t="s">
        <v>903</v>
      </c>
      <c r="B579" t="s">
        <v>904</v>
      </c>
      <c r="C579" t="s">
        <v>540</v>
      </c>
      <c r="D579" t="s">
        <v>603</v>
      </c>
      <c r="E579">
        <v>0</v>
      </c>
      <c r="F579" t="s">
        <v>604</v>
      </c>
      <c r="G579">
        <v>221581187.47</v>
      </c>
      <c r="H579">
        <v>59890226.509999998</v>
      </c>
      <c r="I579">
        <v>0</v>
      </c>
      <c r="J579">
        <v>0</v>
      </c>
      <c r="K579">
        <v>281471413.98000002</v>
      </c>
    </row>
    <row r="580" spans="1:11" x14ac:dyDescent="0.25">
      <c r="A580" t="s">
        <v>402</v>
      </c>
      <c r="B580" t="s">
        <v>403</v>
      </c>
      <c r="C580" t="s">
        <v>540</v>
      </c>
      <c r="D580" t="s">
        <v>681</v>
      </c>
      <c r="E580">
        <v>0</v>
      </c>
      <c r="F580" t="s">
        <v>682</v>
      </c>
      <c r="G580">
        <v>24862097.789999999</v>
      </c>
      <c r="H580">
        <v>9682578.75</v>
      </c>
      <c r="I580">
        <v>2211279.84</v>
      </c>
      <c r="J580">
        <v>0</v>
      </c>
      <c r="K580">
        <v>36755956.380000003</v>
      </c>
    </row>
    <row r="581" spans="1:11" x14ac:dyDescent="0.25">
      <c r="A581" t="s">
        <v>404</v>
      </c>
      <c r="B581" t="s">
        <v>405</v>
      </c>
      <c r="C581" t="s">
        <v>540</v>
      </c>
      <c r="D581" t="s">
        <v>615</v>
      </c>
      <c r="E581">
        <v>0</v>
      </c>
      <c r="F581" t="s">
        <v>616</v>
      </c>
      <c r="G581">
        <v>2258925</v>
      </c>
      <c r="H581">
        <v>0</v>
      </c>
      <c r="I581">
        <v>0</v>
      </c>
      <c r="J581">
        <v>0</v>
      </c>
      <c r="K581">
        <v>2258925</v>
      </c>
    </row>
    <row r="582" spans="1:11" x14ac:dyDescent="0.25">
      <c r="A582" t="s">
        <v>1036</v>
      </c>
      <c r="B582" t="s">
        <v>957</v>
      </c>
      <c r="C582" t="s">
        <v>540</v>
      </c>
      <c r="D582" t="s">
        <v>565</v>
      </c>
      <c r="E582">
        <v>0</v>
      </c>
      <c r="F582" t="s">
        <v>566</v>
      </c>
      <c r="G582">
        <v>45450000</v>
      </c>
      <c r="H582">
        <v>46350000</v>
      </c>
      <c r="I582">
        <v>0</v>
      </c>
      <c r="J582">
        <v>0</v>
      </c>
      <c r="K582">
        <v>91800000</v>
      </c>
    </row>
    <row r="583" spans="1:11" x14ac:dyDescent="0.25">
      <c r="A583" t="s">
        <v>907</v>
      </c>
      <c r="B583" t="s">
        <v>908</v>
      </c>
      <c r="C583" t="s">
        <v>540</v>
      </c>
      <c r="D583" t="s">
        <v>909</v>
      </c>
      <c r="E583">
        <v>0</v>
      </c>
      <c r="F583" t="s">
        <v>910</v>
      </c>
      <c r="G583">
        <v>11720994.890000001</v>
      </c>
      <c r="H583">
        <v>0</v>
      </c>
      <c r="I583">
        <v>0</v>
      </c>
      <c r="J583">
        <v>0</v>
      </c>
      <c r="K583">
        <v>11720994.890000001</v>
      </c>
    </row>
    <row r="584" spans="1:11" x14ac:dyDescent="0.25">
      <c r="A584" t="s">
        <v>1210</v>
      </c>
      <c r="B584" t="s">
        <v>1211</v>
      </c>
      <c r="C584" t="s">
        <v>540</v>
      </c>
      <c r="D584" t="s">
        <v>1212</v>
      </c>
      <c r="E584">
        <v>3603259</v>
      </c>
      <c r="F584" t="s">
        <v>1213</v>
      </c>
      <c r="G584">
        <v>0</v>
      </c>
      <c r="H584">
        <v>0</v>
      </c>
      <c r="I584">
        <v>0</v>
      </c>
      <c r="J584">
        <v>0</v>
      </c>
      <c r="K584">
        <v>3603259</v>
      </c>
    </row>
    <row r="585" spans="1:11" x14ac:dyDescent="0.25">
      <c r="A585" t="s">
        <v>1214</v>
      </c>
      <c r="B585" t="s">
        <v>1215</v>
      </c>
      <c r="C585" t="s">
        <v>540</v>
      </c>
      <c r="D585" t="s">
        <v>1216</v>
      </c>
      <c r="E585">
        <v>285345</v>
      </c>
      <c r="F585" t="s">
        <v>1217</v>
      </c>
      <c r="G585">
        <v>0</v>
      </c>
      <c r="H585">
        <v>0</v>
      </c>
      <c r="I585">
        <v>0</v>
      </c>
      <c r="J585">
        <v>0</v>
      </c>
      <c r="K585">
        <v>285345</v>
      </c>
    </row>
    <row r="586" spans="1:11" x14ac:dyDescent="0.25">
      <c r="A586" t="s">
        <v>406</v>
      </c>
      <c r="B586" t="s">
        <v>407</v>
      </c>
      <c r="C586" t="s">
        <v>540</v>
      </c>
      <c r="D586" t="s">
        <v>681</v>
      </c>
      <c r="E586">
        <v>0</v>
      </c>
      <c r="F586" t="s">
        <v>682</v>
      </c>
      <c r="G586">
        <v>2937176.16</v>
      </c>
      <c r="H586">
        <v>0</v>
      </c>
      <c r="I586">
        <v>0</v>
      </c>
      <c r="J586">
        <v>0</v>
      </c>
      <c r="K586">
        <v>2937176.16</v>
      </c>
    </row>
    <row r="587" spans="1:11" x14ac:dyDescent="0.25">
      <c r="A587" t="s">
        <v>778</v>
      </c>
      <c r="B587" t="s">
        <v>779</v>
      </c>
      <c r="C587" t="s">
        <v>540</v>
      </c>
      <c r="D587" t="s">
        <v>780</v>
      </c>
      <c r="E587">
        <v>0</v>
      </c>
      <c r="F587" t="s">
        <v>781</v>
      </c>
      <c r="G587">
        <v>1408240.08</v>
      </c>
      <c r="H587">
        <v>0</v>
      </c>
      <c r="I587">
        <v>0</v>
      </c>
      <c r="J587">
        <v>0</v>
      </c>
      <c r="K587">
        <v>1408240.08</v>
      </c>
    </row>
    <row r="588" spans="1:11" x14ac:dyDescent="0.25">
      <c r="A588" t="s">
        <v>782</v>
      </c>
      <c r="B588" t="s">
        <v>783</v>
      </c>
      <c r="C588" t="s">
        <v>540</v>
      </c>
      <c r="D588" t="s">
        <v>784</v>
      </c>
      <c r="E588">
        <v>0</v>
      </c>
      <c r="F588" t="s">
        <v>785</v>
      </c>
      <c r="G588">
        <v>2387088</v>
      </c>
      <c r="H588">
        <v>0</v>
      </c>
      <c r="I588">
        <v>0</v>
      </c>
      <c r="J588">
        <v>0</v>
      </c>
      <c r="K588">
        <v>2387088</v>
      </c>
    </row>
    <row r="589" spans="1:11" x14ac:dyDescent="0.25">
      <c r="A589" t="s">
        <v>408</v>
      </c>
      <c r="B589" t="s">
        <v>409</v>
      </c>
      <c r="C589" t="s">
        <v>540</v>
      </c>
      <c r="D589" t="s">
        <v>677</v>
      </c>
      <c r="E589">
        <v>1200000</v>
      </c>
      <c r="F589" t="s">
        <v>678</v>
      </c>
      <c r="G589">
        <v>10125000</v>
      </c>
      <c r="H589">
        <v>16000000</v>
      </c>
      <c r="I589">
        <v>0</v>
      </c>
      <c r="J589">
        <v>0</v>
      </c>
      <c r="K589">
        <v>27325000</v>
      </c>
    </row>
    <row r="590" spans="1:11" x14ac:dyDescent="0.25">
      <c r="A590" t="s">
        <v>511</v>
      </c>
      <c r="B590" t="s">
        <v>512</v>
      </c>
      <c r="C590" t="s">
        <v>540</v>
      </c>
      <c r="D590" t="s">
        <v>631</v>
      </c>
      <c r="E590">
        <v>0</v>
      </c>
      <c r="F590" t="s">
        <v>632</v>
      </c>
      <c r="G590">
        <v>179080</v>
      </c>
      <c r="H590">
        <v>104060</v>
      </c>
      <c r="I590">
        <v>0</v>
      </c>
      <c r="J590">
        <v>0</v>
      </c>
      <c r="K590">
        <v>283140</v>
      </c>
    </row>
    <row r="591" spans="1:11" x14ac:dyDescent="0.25">
      <c r="A591" t="s">
        <v>1218</v>
      </c>
      <c r="B591" t="s">
        <v>1219</v>
      </c>
      <c r="C591" t="s">
        <v>540</v>
      </c>
      <c r="D591" t="s">
        <v>665</v>
      </c>
      <c r="E591">
        <v>10080000</v>
      </c>
      <c r="F591" t="s">
        <v>666</v>
      </c>
      <c r="G591">
        <v>0</v>
      </c>
      <c r="H591">
        <v>0</v>
      </c>
      <c r="I591">
        <v>0</v>
      </c>
      <c r="J591">
        <v>0</v>
      </c>
      <c r="K591">
        <v>10080000</v>
      </c>
    </row>
    <row r="592" spans="1:11" x14ac:dyDescent="0.25">
      <c r="A592" t="s">
        <v>410</v>
      </c>
      <c r="B592" t="s">
        <v>411</v>
      </c>
      <c r="C592" t="s">
        <v>540</v>
      </c>
      <c r="D592" t="s">
        <v>559</v>
      </c>
      <c r="E592">
        <v>0</v>
      </c>
      <c r="F592" t="s">
        <v>560</v>
      </c>
      <c r="G592">
        <v>0</v>
      </c>
      <c r="H592">
        <v>11778503</v>
      </c>
      <c r="I592">
        <v>4015869</v>
      </c>
      <c r="J592">
        <v>0</v>
      </c>
      <c r="K592">
        <v>15794372</v>
      </c>
    </row>
    <row r="593" spans="1:11" x14ac:dyDescent="0.25">
      <c r="A593" t="s">
        <v>828</v>
      </c>
      <c r="B593" t="s">
        <v>829</v>
      </c>
      <c r="C593" t="s">
        <v>540</v>
      </c>
      <c r="D593" t="s">
        <v>561</v>
      </c>
      <c r="E593">
        <v>0</v>
      </c>
      <c r="F593" t="s">
        <v>562</v>
      </c>
      <c r="G593">
        <v>0</v>
      </c>
      <c r="H593">
        <v>3440000</v>
      </c>
      <c r="I593">
        <v>0</v>
      </c>
      <c r="J593">
        <v>0</v>
      </c>
      <c r="K593">
        <v>3440000</v>
      </c>
    </row>
    <row r="594" spans="1:11" x14ac:dyDescent="0.25">
      <c r="A594" t="s">
        <v>412</v>
      </c>
      <c r="B594" t="s">
        <v>413</v>
      </c>
      <c r="C594" t="s">
        <v>540</v>
      </c>
      <c r="D594" t="s">
        <v>677</v>
      </c>
      <c r="E594">
        <v>0</v>
      </c>
      <c r="F594" t="s">
        <v>678</v>
      </c>
      <c r="G594">
        <v>4797192.21</v>
      </c>
      <c r="H594">
        <v>6548543.04</v>
      </c>
      <c r="I594">
        <v>0</v>
      </c>
      <c r="J594">
        <v>0</v>
      </c>
      <c r="K594">
        <v>11345735.25</v>
      </c>
    </row>
    <row r="595" spans="1:11" x14ac:dyDescent="0.25">
      <c r="A595" t="s">
        <v>414</v>
      </c>
      <c r="B595" t="s">
        <v>415</v>
      </c>
      <c r="C595" t="s">
        <v>540</v>
      </c>
      <c r="D595" t="s">
        <v>553</v>
      </c>
      <c r="E595">
        <v>0</v>
      </c>
      <c r="F595" t="s">
        <v>554</v>
      </c>
      <c r="G595">
        <v>11810019</v>
      </c>
      <c r="H595">
        <v>0</v>
      </c>
      <c r="I595">
        <v>0</v>
      </c>
      <c r="J595">
        <v>0</v>
      </c>
      <c r="K595">
        <v>11810019</v>
      </c>
    </row>
    <row r="596" spans="1:11" x14ac:dyDescent="0.25">
      <c r="A596" t="s">
        <v>416</v>
      </c>
      <c r="B596" t="s">
        <v>417</v>
      </c>
      <c r="C596" t="s">
        <v>540</v>
      </c>
      <c r="D596" t="s">
        <v>585</v>
      </c>
      <c r="E596">
        <v>0</v>
      </c>
      <c r="F596" t="s">
        <v>586</v>
      </c>
      <c r="G596">
        <v>6964433.2999999998</v>
      </c>
      <c r="H596">
        <v>0</v>
      </c>
      <c r="I596">
        <v>0</v>
      </c>
      <c r="J596">
        <v>0</v>
      </c>
      <c r="K596">
        <v>6964433.2999999998</v>
      </c>
    </row>
    <row r="597" spans="1:11" x14ac:dyDescent="0.25">
      <c r="A597" t="s">
        <v>830</v>
      </c>
      <c r="B597" t="s">
        <v>831</v>
      </c>
      <c r="C597" t="s">
        <v>540</v>
      </c>
      <c r="D597" t="s">
        <v>605</v>
      </c>
      <c r="E597">
        <v>3888637.5</v>
      </c>
      <c r="F597" t="s">
        <v>606</v>
      </c>
      <c r="G597">
        <v>1879662.4</v>
      </c>
      <c r="H597">
        <v>1948951.84</v>
      </c>
      <c r="I597">
        <v>0</v>
      </c>
      <c r="J597">
        <v>0</v>
      </c>
      <c r="K597">
        <v>7717251.7400000002</v>
      </c>
    </row>
    <row r="598" spans="1:11" x14ac:dyDescent="0.25">
      <c r="A598" t="s">
        <v>418</v>
      </c>
      <c r="B598" t="s">
        <v>419</v>
      </c>
      <c r="C598" t="s">
        <v>540</v>
      </c>
      <c r="D598" t="s">
        <v>643</v>
      </c>
      <c r="E598">
        <v>520043</v>
      </c>
      <c r="F598" t="s">
        <v>644</v>
      </c>
      <c r="G598">
        <v>1300107.5</v>
      </c>
      <c r="H598">
        <v>1528126.32</v>
      </c>
      <c r="I598">
        <v>0</v>
      </c>
      <c r="J598">
        <v>0</v>
      </c>
      <c r="K598">
        <v>3348276.82</v>
      </c>
    </row>
    <row r="599" spans="1:11" x14ac:dyDescent="0.25">
      <c r="A599" t="s">
        <v>1220</v>
      </c>
      <c r="B599" t="s">
        <v>1221</v>
      </c>
      <c r="C599" t="s">
        <v>540</v>
      </c>
      <c r="D599" t="s">
        <v>1222</v>
      </c>
      <c r="E599">
        <v>6382630.21</v>
      </c>
      <c r="F599" t="s">
        <v>1223</v>
      </c>
      <c r="G599">
        <v>0</v>
      </c>
      <c r="H599">
        <v>0</v>
      </c>
      <c r="I599">
        <v>0</v>
      </c>
      <c r="J599">
        <v>0</v>
      </c>
      <c r="K599">
        <v>6382630.21</v>
      </c>
    </row>
    <row r="600" spans="1:11" x14ac:dyDescent="0.25">
      <c r="A600" t="s">
        <v>422</v>
      </c>
      <c r="B600" t="s">
        <v>423</v>
      </c>
      <c r="C600" t="s">
        <v>540</v>
      </c>
      <c r="D600" t="s">
        <v>553</v>
      </c>
      <c r="E600">
        <v>287100</v>
      </c>
      <c r="F600" t="s">
        <v>554</v>
      </c>
      <c r="G600">
        <v>341100</v>
      </c>
      <c r="H600">
        <v>0</v>
      </c>
      <c r="I600">
        <v>0</v>
      </c>
      <c r="J600">
        <v>0</v>
      </c>
      <c r="K600">
        <v>628200</v>
      </c>
    </row>
    <row r="601" spans="1:11" x14ac:dyDescent="0.25">
      <c r="A601" t="s">
        <v>186</v>
      </c>
      <c r="B601" t="s">
        <v>1112</v>
      </c>
      <c r="C601" t="s">
        <v>540</v>
      </c>
      <c r="D601" t="s">
        <v>545</v>
      </c>
      <c r="E601">
        <v>0</v>
      </c>
      <c r="F601" t="s">
        <v>546</v>
      </c>
      <c r="G601">
        <v>778828.6</v>
      </c>
      <c r="H601">
        <v>3268210</v>
      </c>
      <c r="I601">
        <v>0</v>
      </c>
      <c r="J601">
        <v>0</v>
      </c>
      <c r="K601">
        <v>4047038.6</v>
      </c>
    </row>
    <row r="602" spans="1:11" x14ac:dyDescent="0.25">
      <c r="A602" t="s">
        <v>1037</v>
      </c>
      <c r="B602" t="s">
        <v>1038</v>
      </c>
      <c r="C602" t="s">
        <v>540</v>
      </c>
      <c r="D602" t="s">
        <v>579</v>
      </c>
      <c r="E602">
        <v>0</v>
      </c>
      <c r="F602" t="s">
        <v>580</v>
      </c>
      <c r="G602">
        <v>3761152.54</v>
      </c>
      <c r="H602">
        <v>0</v>
      </c>
      <c r="I602">
        <v>0</v>
      </c>
      <c r="J602">
        <v>0</v>
      </c>
      <c r="K602">
        <v>3761152.54</v>
      </c>
    </row>
    <row r="603" spans="1:11" x14ac:dyDescent="0.25">
      <c r="A603" t="s">
        <v>1039</v>
      </c>
      <c r="B603" t="s">
        <v>958</v>
      </c>
      <c r="C603" t="s">
        <v>540</v>
      </c>
      <c r="D603" t="s">
        <v>563</v>
      </c>
      <c r="E603">
        <v>0</v>
      </c>
      <c r="F603" t="s">
        <v>564</v>
      </c>
      <c r="G603">
        <v>6096909.6399999997</v>
      </c>
      <c r="H603">
        <v>0</v>
      </c>
      <c r="I603">
        <v>0</v>
      </c>
      <c r="J603">
        <v>0</v>
      </c>
      <c r="K603">
        <v>6096909.6399999997</v>
      </c>
    </row>
    <row r="604" spans="1:11" x14ac:dyDescent="0.25">
      <c r="A604" t="s">
        <v>424</v>
      </c>
      <c r="B604" t="s">
        <v>425</v>
      </c>
      <c r="C604" t="s">
        <v>540</v>
      </c>
      <c r="D604" t="s">
        <v>617</v>
      </c>
      <c r="E604">
        <v>7280000</v>
      </c>
      <c r="F604" t="s">
        <v>618</v>
      </c>
      <c r="G604">
        <v>8985600</v>
      </c>
      <c r="H604">
        <v>8239140</v>
      </c>
      <c r="I604">
        <v>0</v>
      </c>
      <c r="J604">
        <v>0</v>
      </c>
      <c r="K604">
        <v>24504740</v>
      </c>
    </row>
    <row r="605" spans="1:11" x14ac:dyDescent="0.25">
      <c r="A605" t="s">
        <v>426</v>
      </c>
      <c r="B605" t="s">
        <v>427</v>
      </c>
      <c r="C605" t="s">
        <v>540</v>
      </c>
      <c r="D605" t="s">
        <v>659</v>
      </c>
      <c r="E605">
        <v>0</v>
      </c>
      <c r="F605" t="s">
        <v>660</v>
      </c>
      <c r="G605">
        <v>1838941</v>
      </c>
      <c r="H605">
        <v>0</v>
      </c>
      <c r="I605">
        <v>0</v>
      </c>
      <c r="J605">
        <v>19950</v>
      </c>
      <c r="K605">
        <v>1858891</v>
      </c>
    </row>
    <row r="606" spans="1:11" x14ac:dyDescent="0.25">
      <c r="A606" t="s">
        <v>428</v>
      </c>
      <c r="B606" t="s">
        <v>429</v>
      </c>
      <c r="C606" t="s">
        <v>540</v>
      </c>
      <c r="D606" t="s">
        <v>691</v>
      </c>
      <c r="E606">
        <v>0</v>
      </c>
      <c r="F606" t="s">
        <v>692</v>
      </c>
      <c r="G606">
        <v>1607096</v>
      </c>
      <c r="H606">
        <v>1589395</v>
      </c>
      <c r="I606">
        <v>0</v>
      </c>
      <c r="J606">
        <v>0</v>
      </c>
      <c r="K606">
        <v>3196491</v>
      </c>
    </row>
    <row r="607" spans="1:11" x14ac:dyDescent="0.25">
      <c r="A607" t="s">
        <v>430</v>
      </c>
      <c r="B607" t="s">
        <v>431</v>
      </c>
      <c r="C607" t="s">
        <v>540</v>
      </c>
      <c r="D607" t="s">
        <v>551</v>
      </c>
      <c r="E607">
        <v>0</v>
      </c>
      <c r="F607" t="s">
        <v>552</v>
      </c>
      <c r="G607">
        <v>0</v>
      </c>
      <c r="H607">
        <v>5488941</v>
      </c>
      <c r="I607">
        <v>0</v>
      </c>
      <c r="J607">
        <v>0</v>
      </c>
      <c r="K607">
        <v>5488941</v>
      </c>
    </row>
    <row r="608" spans="1:11" x14ac:dyDescent="0.25">
      <c r="A608" t="s">
        <v>432</v>
      </c>
      <c r="B608" t="s">
        <v>433</v>
      </c>
      <c r="C608" t="s">
        <v>540</v>
      </c>
      <c r="D608" t="s">
        <v>603</v>
      </c>
      <c r="E608">
        <v>0</v>
      </c>
      <c r="F608" t="s">
        <v>604</v>
      </c>
      <c r="G608">
        <v>0</v>
      </c>
      <c r="H608">
        <v>0</v>
      </c>
      <c r="I608">
        <v>0</v>
      </c>
      <c r="J608">
        <v>1074310</v>
      </c>
      <c r="K608">
        <v>1074310</v>
      </c>
    </row>
    <row r="609" spans="1:11" x14ac:dyDescent="0.25">
      <c r="A609" t="s">
        <v>1040</v>
      </c>
      <c r="B609" t="s">
        <v>1041</v>
      </c>
      <c r="C609" t="s">
        <v>540</v>
      </c>
      <c r="D609" t="s">
        <v>1042</v>
      </c>
      <c r="E609">
        <v>0</v>
      </c>
      <c r="F609" t="s">
        <v>1043</v>
      </c>
      <c r="G609">
        <v>358644</v>
      </c>
      <c r="H609">
        <v>0</v>
      </c>
      <c r="I609">
        <v>0</v>
      </c>
      <c r="J609">
        <v>0</v>
      </c>
      <c r="K609">
        <v>358644</v>
      </c>
    </row>
    <row r="610" spans="1:11" x14ac:dyDescent="0.25">
      <c r="A610" t="s">
        <v>1224</v>
      </c>
      <c r="B610" t="s">
        <v>1225</v>
      </c>
      <c r="C610" t="s">
        <v>540</v>
      </c>
      <c r="D610" t="s">
        <v>581</v>
      </c>
      <c r="E610">
        <v>0</v>
      </c>
      <c r="F610" t="s">
        <v>582</v>
      </c>
      <c r="G610">
        <v>94431.6</v>
      </c>
      <c r="H610">
        <v>0</v>
      </c>
      <c r="I610">
        <v>0</v>
      </c>
      <c r="J610">
        <v>0</v>
      </c>
      <c r="K610">
        <v>94431.6</v>
      </c>
    </row>
    <row r="611" spans="1:11" x14ac:dyDescent="0.25">
      <c r="A611" t="s">
        <v>1068</v>
      </c>
      <c r="B611" t="s">
        <v>1069</v>
      </c>
      <c r="C611" t="s">
        <v>540</v>
      </c>
      <c r="D611" t="s">
        <v>553</v>
      </c>
      <c r="E611">
        <v>0</v>
      </c>
      <c r="F611" t="s">
        <v>554</v>
      </c>
      <c r="G611">
        <v>799180.80000000005</v>
      </c>
      <c r="H611">
        <v>0</v>
      </c>
      <c r="I611">
        <v>0</v>
      </c>
      <c r="J611">
        <v>0</v>
      </c>
      <c r="K611">
        <v>799180.80000000005</v>
      </c>
    </row>
    <row r="612" spans="1:11" x14ac:dyDescent="0.25">
      <c r="A612" t="s">
        <v>788</v>
      </c>
      <c r="B612" t="s">
        <v>789</v>
      </c>
      <c r="C612" t="s">
        <v>540</v>
      </c>
      <c r="D612" t="s">
        <v>559</v>
      </c>
      <c r="E612">
        <v>28259100</v>
      </c>
      <c r="F612" t="s">
        <v>560</v>
      </c>
      <c r="G612">
        <v>13368400</v>
      </c>
      <c r="H612">
        <v>5481300</v>
      </c>
      <c r="I612">
        <v>0</v>
      </c>
      <c r="J612">
        <v>0</v>
      </c>
      <c r="K612">
        <v>47108800</v>
      </c>
    </row>
    <row r="613" spans="1:11" x14ac:dyDescent="0.25">
      <c r="A613" t="s">
        <v>1044</v>
      </c>
      <c r="B613" t="s">
        <v>959</v>
      </c>
      <c r="C613" t="s">
        <v>540</v>
      </c>
      <c r="D613" t="s">
        <v>1042</v>
      </c>
      <c r="E613">
        <v>0</v>
      </c>
      <c r="F613" t="s">
        <v>1043</v>
      </c>
      <c r="G613">
        <v>302474011.19999999</v>
      </c>
      <c r="H613">
        <v>756446760</v>
      </c>
      <c r="I613">
        <v>0</v>
      </c>
      <c r="J613">
        <v>0</v>
      </c>
      <c r="K613">
        <v>1058920771.2</v>
      </c>
    </row>
    <row r="614" spans="1:11" x14ac:dyDescent="0.25">
      <c r="A614" t="s">
        <v>515</v>
      </c>
      <c r="B614" t="s">
        <v>516</v>
      </c>
      <c r="C614" t="s">
        <v>540</v>
      </c>
      <c r="D614" t="s">
        <v>693</v>
      </c>
      <c r="E614">
        <v>0</v>
      </c>
      <c r="F614" t="s">
        <v>694</v>
      </c>
      <c r="G614">
        <v>2096688</v>
      </c>
      <c r="H614">
        <v>0</v>
      </c>
      <c r="I614">
        <v>0</v>
      </c>
      <c r="J614">
        <v>0</v>
      </c>
      <c r="K614">
        <v>2096688</v>
      </c>
    </row>
    <row r="615" spans="1:11" x14ac:dyDescent="0.25">
      <c r="A615" t="s">
        <v>434</v>
      </c>
      <c r="B615" t="s">
        <v>435</v>
      </c>
      <c r="C615" t="s">
        <v>540</v>
      </c>
      <c r="D615" t="s">
        <v>623</v>
      </c>
      <c r="E615">
        <v>0</v>
      </c>
      <c r="F615" t="s">
        <v>624</v>
      </c>
      <c r="G615">
        <v>4386136.3600000003</v>
      </c>
      <c r="H615">
        <v>0</v>
      </c>
      <c r="I615">
        <v>0</v>
      </c>
      <c r="J615">
        <v>0</v>
      </c>
      <c r="K615">
        <v>4386136.3600000003</v>
      </c>
    </row>
    <row r="616" spans="1:11" x14ac:dyDescent="0.25">
      <c r="A616" t="s">
        <v>1113</v>
      </c>
      <c r="B616" t="s">
        <v>1114</v>
      </c>
      <c r="C616" t="s">
        <v>540</v>
      </c>
      <c r="D616" t="s">
        <v>623</v>
      </c>
      <c r="E616">
        <v>0</v>
      </c>
      <c r="F616" t="s">
        <v>624</v>
      </c>
      <c r="G616">
        <v>4988288.3</v>
      </c>
      <c r="H616">
        <v>0</v>
      </c>
      <c r="I616">
        <v>0</v>
      </c>
      <c r="J616">
        <v>0</v>
      </c>
      <c r="K616">
        <v>4988288.3</v>
      </c>
    </row>
    <row r="617" spans="1:11" x14ac:dyDescent="0.25">
      <c r="A617" t="s">
        <v>436</v>
      </c>
      <c r="B617" t="s">
        <v>437</v>
      </c>
      <c r="C617" t="s">
        <v>540</v>
      </c>
      <c r="D617" t="s">
        <v>561</v>
      </c>
      <c r="E617">
        <v>0</v>
      </c>
      <c r="F617" t="s">
        <v>562</v>
      </c>
      <c r="G617">
        <v>42170661.159999996</v>
      </c>
      <c r="H617">
        <v>39850000</v>
      </c>
      <c r="I617">
        <v>0</v>
      </c>
      <c r="J617">
        <v>0</v>
      </c>
      <c r="K617">
        <v>82020661.159999996</v>
      </c>
    </row>
    <row r="618" spans="1:11" x14ac:dyDescent="0.25">
      <c r="A618" t="s">
        <v>438</v>
      </c>
      <c r="B618" t="s">
        <v>439</v>
      </c>
      <c r="C618" t="s">
        <v>540</v>
      </c>
      <c r="D618" t="s">
        <v>603</v>
      </c>
      <c r="E618">
        <v>0</v>
      </c>
      <c r="F618" t="s">
        <v>604</v>
      </c>
      <c r="G618">
        <v>0</v>
      </c>
      <c r="H618">
        <v>0</v>
      </c>
      <c r="I618">
        <v>0</v>
      </c>
      <c r="J618">
        <v>8115779.6100000003</v>
      </c>
      <c r="K618">
        <v>8115779.6100000003</v>
      </c>
    </row>
    <row r="619" spans="1:11" x14ac:dyDescent="0.25">
      <c r="A619" t="s">
        <v>1115</v>
      </c>
      <c r="B619" t="s">
        <v>1116</v>
      </c>
      <c r="C619" t="s">
        <v>540</v>
      </c>
      <c r="D619" t="s">
        <v>603</v>
      </c>
      <c r="E619">
        <v>0</v>
      </c>
      <c r="F619" t="s">
        <v>604</v>
      </c>
      <c r="G619">
        <v>1861981.01</v>
      </c>
      <c r="H619">
        <v>0</v>
      </c>
      <c r="I619">
        <v>0</v>
      </c>
      <c r="J619">
        <v>0</v>
      </c>
      <c r="K619">
        <v>1861981.01</v>
      </c>
    </row>
    <row r="620" spans="1:11" x14ac:dyDescent="0.25">
      <c r="A620" t="s">
        <v>444</v>
      </c>
      <c r="B620" t="s">
        <v>445</v>
      </c>
      <c r="C620" t="s">
        <v>540</v>
      </c>
      <c r="D620" t="s">
        <v>603</v>
      </c>
      <c r="E620">
        <v>0</v>
      </c>
      <c r="F620" t="s">
        <v>604</v>
      </c>
      <c r="G620">
        <v>0</v>
      </c>
      <c r="H620">
        <v>0</v>
      </c>
      <c r="I620">
        <v>0</v>
      </c>
      <c r="J620">
        <v>25876207.34</v>
      </c>
      <c r="K620">
        <v>25876207.34</v>
      </c>
    </row>
    <row r="621" spans="1:11" x14ac:dyDescent="0.25">
      <c r="A621" t="s">
        <v>519</v>
      </c>
      <c r="B621" t="s">
        <v>520</v>
      </c>
      <c r="C621" t="s">
        <v>540</v>
      </c>
      <c r="D621" t="s">
        <v>695</v>
      </c>
      <c r="E621">
        <v>0</v>
      </c>
      <c r="F621" t="s">
        <v>696</v>
      </c>
      <c r="G621">
        <v>2849100</v>
      </c>
      <c r="H621">
        <v>2514500</v>
      </c>
      <c r="I621">
        <v>0</v>
      </c>
      <c r="J621">
        <v>0</v>
      </c>
      <c r="K621">
        <v>5363600</v>
      </c>
    </row>
    <row r="622" spans="1:11" x14ac:dyDescent="0.25">
      <c r="A622" t="s">
        <v>915</v>
      </c>
      <c r="B622" t="s">
        <v>916</v>
      </c>
      <c r="C622" t="s">
        <v>540</v>
      </c>
      <c r="D622" t="s">
        <v>585</v>
      </c>
      <c r="E622">
        <v>0</v>
      </c>
      <c r="F622" t="s">
        <v>586</v>
      </c>
      <c r="G622">
        <v>428340</v>
      </c>
      <c r="H622">
        <v>0</v>
      </c>
      <c r="I622">
        <v>0</v>
      </c>
      <c r="J622">
        <v>0</v>
      </c>
      <c r="K622">
        <v>428340</v>
      </c>
    </row>
    <row r="623" spans="1:11" x14ac:dyDescent="0.25">
      <c r="A623" t="s">
        <v>196</v>
      </c>
      <c r="B623" t="s">
        <v>960</v>
      </c>
      <c r="C623" t="s">
        <v>540</v>
      </c>
      <c r="D623" t="s">
        <v>557</v>
      </c>
      <c r="E623">
        <v>0</v>
      </c>
      <c r="F623" t="s">
        <v>558</v>
      </c>
      <c r="G623">
        <v>5065000</v>
      </c>
      <c r="H623">
        <v>3175790</v>
      </c>
      <c r="I623">
        <v>0</v>
      </c>
      <c r="J623">
        <v>0</v>
      </c>
      <c r="K623">
        <v>8240790</v>
      </c>
    </row>
    <row r="624" spans="1:11" x14ac:dyDescent="0.25">
      <c r="A624" t="s">
        <v>448</v>
      </c>
      <c r="B624" t="s">
        <v>449</v>
      </c>
      <c r="C624" t="s">
        <v>540</v>
      </c>
      <c r="D624" t="s">
        <v>611</v>
      </c>
      <c r="E624">
        <v>720699.81</v>
      </c>
      <c r="F624" t="s">
        <v>612</v>
      </c>
      <c r="G624">
        <v>296400.06</v>
      </c>
      <c r="H624">
        <v>0</v>
      </c>
      <c r="I624">
        <v>0</v>
      </c>
      <c r="J624">
        <v>0</v>
      </c>
      <c r="K624">
        <v>1017099.87</v>
      </c>
    </row>
    <row r="625" spans="1:11" x14ac:dyDescent="0.25">
      <c r="A625" t="s">
        <v>832</v>
      </c>
      <c r="B625" t="s">
        <v>833</v>
      </c>
      <c r="C625" t="s">
        <v>540</v>
      </c>
      <c r="D625" t="s">
        <v>708</v>
      </c>
      <c r="E625">
        <v>0</v>
      </c>
      <c r="F625" t="s">
        <v>709</v>
      </c>
      <c r="G625">
        <v>0</v>
      </c>
      <c r="H625">
        <v>3871274</v>
      </c>
      <c r="I625">
        <v>12838737.470000001</v>
      </c>
      <c r="J625">
        <v>0</v>
      </c>
      <c r="K625">
        <v>16710011.470000001</v>
      </c>
    </row>
    <row r="626" spans="1:11" x14ac:dyDescent="0.25">
      <c r="A626" t="s">
        <v>1045</v>
      </c>
      <c r="B626" t="s">
        <v>1046</v>
      </c>
      <c r="C626" t="s">
        <v>540</v>
      </c>
      <c r="D626" t="s">
        <v>857</v>
      </c>
      <c r="E626">
        <v>0</v>
      </c>
      <c r="F626" t="s">
        <v>858</v>
      </c>
      <c r="G626">
        <v>0</v>
      </c>
      <c r="H626">
        <v>380000</v>
      </c>
      <c r="I626">
        <v>0</v>
      </c>
      <c r="J626">
        <v>0</v>
      </c>
      <c r="K626">
        <v>380000</v>
      </c>
    </row>
    <row r="627" spans="1:11" x14ac:dyDescent="0.25">
      <c r="A627" t="s">
        <v>450</v>
      </c>
      <c r="B627" t="s">
        <v>451</v>
      </c>
      <c r="C627" t="s">
        <v>540</v>
      </c>
      <c r="D627" t="s">
        <v>671</v>
      </c>
      <c r="E627">
        <v>0</v>
      </c>
      <c r="F627" t="s">
        <v>697</v>
      </c>
      <c r="G627">
        <v>2539306</v>
      </c>
      <c r="H627">
        <v>0</v>
      </c>
      <c r="I627">
        <v>0</v>
      </c>
      <c r="J627">
        <v>0</v>
      </c>
      <c r="K627">
        <v>2539306</v>
      </c>
    </row>
    <row r="628" spans="1:11" x14ac:dyDescent="0.25">
      <c r="A628" t="s">
        <v>1117</v>
      </c>
      <c r="B628" t="s">
        <v>1118</v>
      </c>
      <c r="C628" t="s">
        <v>540</v>
      </c>
      <c r="D628" t="s">
        <v>563</v>
      </c>
      <c r="E628">
        <v>0</v>
      </c>
      <c r="F628" t="s">
        <v>564</v>
      </c>
      <c r="G628">
        <v>0</v>
      </c>
      <c r="H628">
        <v>290000</v>
      </c>
      <c r="I628">
        <v>0</v>
      </c>
      <c r="J628">
        <v>1040000.04</v>
      </c>
      <c r="K628">
        <v>1330000.04</v>
      </c>
    </row>
    <row r="629" spans="1:11" x14ac:dyDescent="0.25">
      <c r="A629" t="s">
        <v>452</v>
      </c>
      <c r="B629" t="s">
        <v>453</v>
      </c>
      <c r="C629" t="s">
        <v>540</v>
      </c>
      <c r="D629" t="s">
        <v>653</v>
      </c>
      <c r="E629">
        <v>3920400</v>
      </c>
      <c r="F629" t="s">
        <v>654</v>
      </c>
      <c r="G629">
        <v>27262000</v>
      </c>
      <c r="H629">
        <v>12067211.02</v>
      </c>
      <c r="I629">
        <v>0</v>
      </c>
      <c r="J629">
        <v>0</v>
      </c>
      <c r="K629">
        <v>43249611.020000003</v>
      </c>
    </row>
    <row r="630" spans="1:11" x14ac:dyDescent="0.25">
      <c r="A630" t="s">
        <v>794</v>
      </c>
      <c r="B630" t="s">
        <v>795</v>
      </c>
      <c r="C630" t="s">
        <v>540</v>
      </c>
      <c r="D630" t="s">
        <v>545</v>
      </c>
      <c r="E630">
        <v>0</v>
      </c>
      <c r="F630" t="s">
        <v>546</v>
      </c>
      <c r="G630">
        <v>821652.74</v>
      </c>
      <c r="H630">
        <v>422546.15</v>
      </c>
      <c r="I630">
        <v>0</v>
      </c>
      <c r="J630">
        <v>0</v>
      </c>
      <c r="K630">
        <v>1244198.8899999999</v>
      </c>
    </row>
    <row r="631" spans="1:11" x14ac:dyDescent="0.25">
      <c r="A631" t="s">
        <v>1226</v>
      </c>
      <c r="B631" t="s">
        <v>1227</v>
      </c>
      <c r="C631" t="s">
        <v>540</v>
      </c>
      <c r="D631" t="s">
        <v>565</v>
      </c>
      <c r="E631">
        <v>673710.23</v>
      </c>
      <c r="F631" t="s">
        <v>566</v>
      </c>
      <c r="G631">
        <v>0</v>
      </c>
      <c r="H631">
        <v>0</v>
      </c>
      <c r="I631">
        <v>0</v>
      </c>
      <c r="J631">
        <v>0</v>
      </c>
      <c r="K631">
        <v>673710.23</v>
      </c>
    </row>
    <row r="632" spans="1:11" x14ac:dyDescent="0.25">
      <c r="A632" t="s">
        <v>456</v>
      </c>
      <c r="B632" t="s">
        <v>457</v>
      </c>
      <c r="C632" t="s">
        <v>540</v>
      </c>
      <c r="D632" t="s">
        <v>549</v>
      </c>
      <c r="E632">
        <v>0</v>
      </c>
      <c r="F632" t="s">
        <v>550</v>
      </c>
      <c r="G632">
        <v>1640756.7</v>
      </c>
      <c r="H632">
        <v>0</v>
      </c>
      <c r="I632">
        <v>0</v>
      </c>
      <c r="J632">
        <v>0</v>
      </c>
      <c r="K632">
        <v>1640756.7</v>
      </c>
    </row>
    <row r="633" spans="1:11" x14ac:dyDescent="0.25">
      <c r="A633" t="s">
        <v>458</v>
      </c>
      <c r="B633" t="s">
        <v>459</v>
      </c>
      <c r="C633" t="s">
        <v>540</v>
      </c>
      <c r="D633" t="s">
        <v>677</v>
      </c>
      <c r="E633">
        <v>0</v>
      </c>
      <c r="F633" t="s">
        <v>678</v>
      </c>
      <c r="G633">
        <v>12000000</v>
      </c>
      <c r="H633">
        <v>6417840</v>
      </c>
      <c r="I633">
        <v>0</v>
      </c>
      <c r="J633">
        <v>0</v>
      </c>
      <c r="K633">
        <v>18417840</v>
      </c>
    </row>
    <row r="634" spans="1:11" x14ac:dyDescent="0.25">
      <c r="A634" t="s">
        <v>1047</v>
      </c>
      <c r="B634" t="s">
        <v>961</v>
      </c>
      <c r="C634" t="s">
        <v>540</v>
      </c>
      <c r="D634" t="s">
        <v>555</v>
      </c>
      <c r="E634">
        <v>0</v>
      </c>
      <c r="F634" t="s">
        <v>556</v>
      </c>
      <c r="G634">
        <v>0</v>
      </c>
      <c r="H634">
        <v>36072.33</v>
      </c>
      <c r="I634">
        <v>0</v>
      </c>
      <c r="J634">
        <v>0</v>
      </c>
      <c r="K634">
        <v>36072.33</v>
      </c>
    </row>
    <row r="635" spans="1:11" x14ac:dyDescent="0.25">
      <c r="A635" t="s">
        <v>917</v>
      </c>
      <c r="B635" t="s">
        <v>918</v>
      </c>
      <c r="C635" t="s">
        <v>540</v>
      </c>
      <c r="D635" t="s">
        <v>698</v>
      </c>
      <c r="E635">
        <v>0</v>
      </c>
      <c r="F635" t="s">
        <v>699</v>
      </c>
      <c r="G635">
        <v>69000</v>
      </c>
      <c r="H635">
        <v>0</v>
      </c>
      <c r="I635">
        <v>0</v>
      </c>
      <c r="J635">
        <v>0</v>
      </c>
      <c r="K635">
        <v>69000</v>
      </c>
    </row>
    <row r="636" spans="1:11" x14ac:dyDescent="0.25">
      <c r="A636" t="s">
        <v>1048</v>
      </c>
      <c r="B636" t="s">
        <v>962</v>
      </c>
      <c r="C636" t="s">
        <v>540</v>
      </c>
      <c r="D636" t="s">
        <v>635</v>
      </c>
      <c r="E636">
        <v>0</v>
      </c>
      <c r="F636" t="s">
        <v>636</v>
      </c>
      <c r="G636">
        <v>0</v>
      </c>
      <c r="H636">
        <v>1103520</v>
      </c>
      <c r="I636">
        <v>0</v>
      </c>
      <c r="J636">
        <v>0</v>
      </c>
      <c r="K636">
        <v>1103520</v>
      </c>
    </row>
    <row r="637" spans="1:11" x14ac:dyDescent="0.25">
      <c r="A637" t="s">
        <v>460</v>
      </c>
      <c r="B637" t="s">
        <v>461</v>
      </c>
      <c r="C637" t="s">
        <v>540</v>
      </c>
      <c r="D637" t="s">
        <v>559</v>
      </c>
      <c r="E637">
        <v>426000</v>
      </c>
      <c r="F637" t="s">
        <v>560</v>
      </c>
      <c r="G637">
        <v>985000</v>
      </c>
      <c r="H637">
        <v>0</v>
      </c>
      <c r="I637">
        <v>0</v>
      </c>
      <c r="J637">
        <v>0</v>
      </c>
      <c r="K637">
        <v>1411000</v>
      </c>
    </row>
    <row r="638" spans="1:11" x14ac:dyDescent="0.25">
      <c r="A638" t="s">
        <v>1049</v>
      </c>
      <c r="B638" t="s">
        <v>963</v>
      </c>
      <c r="C638" t="s">
        <v>540</v>
      </c>
      <c r="D638" t="s">
        <v>549</v>
      </c>
      <c r="E638">
        <v>0</v>
      </c>
      <c r="F638" t="s">
        <v>550</v>
      </c>
      <c r="G638">
        <v>0</v>
      </c>
      <c r="H638">
        <v>827882</v>
      </c>
      <c r="I638">
        <v>0</v>
      </c>
      <c r="J638">
        <v>0</v>
      </c>
      <c r="K638">
        <v>827882</v>
      </c>
    </row>
    <row r="639" spans="1:11" x14ac:dyDescent="0.25">
      <c r="A639" t="s">
        <v>700</v>
      </c>
      <c r="B639" t="s">
        <v>701</v>
      </c>
      <c r="C639" t="s">
        <v>540</v>
      </c>
      <c r="D639" t="s">
        <v>589</v>
      </c>
      <c r="E639">
        <v>0</v>
      </c>
      <c r="F639" t="s">
        <v>590</v>
      </c>
      <c r="G639">
        <v>1881427.43</v>
      </c>
      <c r="H639">
        <v>0</v>
      </c>
      <c r="I639">
        <v>0</v>
      </c>
      <c r="J639">
        <v>0</v>
      </c>
      <c r="K639">
        <v>1881427.43</v>
      </c>
    </row>
    <row r="640" spans="1:11" x14ac:dyDescent="0.25">
      <c r="A640" t="s">
        <v>462</v>
      </c>
      <c r="B640" t="s">
        <v>463</v>
      </c>
      <c r="C640" t="s">
        <v>540</v>
      </c>
      <c r="D640" t="s">
        <v>702</v>
      </c>
      <c r="E640">
        <v>946972.47</v>
      </c>
      <c r="F640" t="s">
        <v>703</v>
      </c>
      <c r="G640">
        <v>2325571.9700000002</v>
      </c>
      <c r="H640">
        <v>0</v>
      </c>
      <c r="I640">
        <v>0</v>
      </c>
      <c r="J640">
        <v>0</v>
      </c>
      <c r="K640">
        <v>3272544.44</v>
      </c>
    </row>
    <row r="641" spans="1:11" x14ac:dyDescent="0.25">
      <c r="A641" t="s">
        <v>464</v>
      </c>
      <c r="B641" t="s">
        <v>465</v>
      </c>
      <c r="C641" t="s">
        <v>540</v>
      </c>
      <c r="D641" t="s">
        <v>661</v>
      </c>
      <c r="E641">
        <v>0</v>
      </c>
      <c r="F641" t="s">
        <v>662</v>
      </c>
      <c r="G641">
        <v>0</v>
      </c>
      <c r="H641">
        <v>0</v>
      </c>
      <c r="I641">
        <v>0</v>
      </c>
      <c r="J641">
        <v>-0.01</v>
      </c>
      <c r="K641">
        <v>-0.01</v>
      </c>
    </row>
    <row r="642" spans="1:11" x14ac:dyDescent="0.25">
      <c r="A642" t="s">
        <v>1050</v>
      </c>
      <c r="B642" t="s">
        <v>964</v>
      </c>
      <c r="C642" t="s">
        <v>540</v>
      </c>
      <c r="D642" t="s">
        <v>589</v>
      </c>
      <c r="E642">
        <v>0</v>
      </c>
      <c r="F642" t="s">
        <v>590</v>
      </c>
      <c r="G642">
        <v>0</v>
      </c>
      <c r="H642">
        <v>0</v>
      </c>
      <c r="I642">
        <v>18000000</v>
      </c>
      <c r="J642">
        <v>0</v>
      </c>
      <c r="K642">
        <v>18000000</v>
      </c>
    </row>
    <row r="643" spans="1:11" x14ac:dyDescent="0.25">
      <c r="A643" t="s">
        <v>1228</v>
      </c>
      <c r="B643" t="s">
        <v>1229</v>
      </c>
      <c r="C643" t="s">
        <v>540</v>
      </c>
      <c r="D643" t="s">
        <v>1170</v>
      </c>
      <c r="E643">
        <v>609818.39</v>
      </c>
      <c r="F643" t="s">
        <v>1171</v>
      </c>
      <c r="G643">
        <v>0</v>
      </c>
      <c r="H643">
        <v>0</v>
      </c>
      <c r="I643">
        <v>0</v>
      </c>
      <c r="J643">
        <v>0</v>
      </c>
      <c r="K643">
        <v>609818.39</v>
      </c>
    </row>
    <row r="644" spans="1:11" x14ac:dyDescent="0.25">
      <c r="A644" t="s">
        <v>466</v>
      </c>
      <c r="B644" t="s">
        <v>467</v>
      </c>
      <c r="C644" t="s">
        <v>540</v>
      </c>
      <c r="D644" t="s">
        <v>589</v>
      </c>
      <c r="E644">
        <v>38720</v>
      </c>
      <c r="F644" t="s">
        <v>590</v>
      </c>
      <c r="G644">
        <v>0</v>
      </c>
      <c r="H644">
        <v>0</v>
      </c>
      <c r="I644">
        <v>0</v>
      </c>
      <c r="J644">
        <v>0</v>
      </c>
      <c r="K644">
        <v>38720</v>
      </c>
    </row>
    <row r="645" spans="1:11" x14ac:dyDescent="0.25">
      <c r="A645" t="s">
        <v>1051</v>
      </c>
      <c r="B645" t="s">
        <v>965</v>
      </c>
      <c r="C645" t="s">
        <v>540</v>
      </c>
      <c r="D645" t="s">
        <v>563</v>
      </c>
      <c r="E645">
        <v>0</v>
      </c>
      <c r="F645" t="s">
        <v>564</v>
      </c>
      <c r="G645">
        <v>9256500</v>
      </c>
      <c r="H645">
        <v>7296300</v>
      </c>
      <c r="I645">
        <v>7610900</v>
      </c>
      <c r="J645">
        <v>0</v>
      </c>
      <c r="K645">
        <v>24163700</v>
      </c>
    </row>
    <row r="646" spans="1:11" x14ac:dyDescent="0.25">
      <c r="A646" t="s">
        <v>919</v>
      </c>
      <c r="B646" t="s">
        <v>920</v>
      </c>
      <c r="C646" t="s">
        <v>540</v>
      </c>
      <c r="D646" t="s">
        <v>563</v>
      </c>
      <c r="E646">
        <v>0</v>
      </c>
      <c r="F646" t="s">
        <v>564</v>
      </c>
      <c r="G646">
        <v>4230030.58</v>
      </c>
      <c r="H646">
        <v>0</v>
      </c>
      <c r="I646">
        <v>0</v>
      </c>
      <c r="J646">
        <v>0</v>
      </c>
      <c r="K646">
        <v>4230030.58</v>
      </c>
    </row>
    <row r="647" spans="1:11" x14ac:dyDescent="0.25">
      <c r="A647" t="s">
        <v>1052</v>
      </c>
      <c r="B647" t="s">
        <v>966</v>
      </c>
      <c r="C647" t="s">
        <v>540</v>
      </c>
      <c r="D647" t="s">
        <v>563</v>
      </c>
      <c r="E647">
        <v>-34343.730000000003</v>
      </c>
      <c r="F647" t="s">
        <v>564</v>
      </c>
      <c r="G647">
        <v>4425378.38</v>
      </c>
      <c r="H647">
        <v>13210715.300000001</v>
      </c>
      <c r="I647">
        <v>0</v>
      </c>
      <c r="J647">
        <v>0</v>
      </c>
      <c r="K647">
        <v>17601749.949999999</v>
      </c>
    </row>
    <row r="648" spans="1:11" x14ac:dyDescent="0.25">
      <c r="A648" t="s">
        <v>525</v>
      </c>
      <c r="B648" t="s">
        <v>526</v>
      </c>
      <c r="C648" t="s">
        <v>540</v>
      </c>
      <c r="D648" t="s">
        <v>553</v>
      </c>
      <c r="E648">
        <v>3000436.28</v>
      </c>
      <c r="F648" t="s">
        <v>554</v>
      </c>
      <c r="G648">
        <v>3265662.7</v>
      </c>
      <c r="H648">
        <v>0</v>
      </c>
      <c r="I648">
        <v>0</v>
      </c>
      <c r="J648">
        <v>0</v>
      </c>
      <c r="K648">
        <v>6266098.9800000004</v>
      </c>
    </row>
    <row r="649" spans="1:11" x14ac:dyDescent="0.25">
      <c r="A649" t="s">
        <v>468</v>
      </c>
      <c r="B649" t="s">
        <v>469</v>
      </c>
      <c r="C649" t="s">
        <v>540</v>
      </c>
      <c r="D649" t="s">
        <v>607</v>
      </c>
      <c r="E649">
        <v>0</v>
      </c>
      <c r="F649" t="s">
        <v>608</v>
      </c>
      <c r="G649">
        <v>204126.02</v>
      </c>
      <c r="H649">
        <v>0</v>
      </c>
      <c r="I649">
        <v>0</v>
      </c>
      <c r="J649">
        <v>-653801.14</v>
      </c>
      <c r="K649">
        <v>-449675.12</v>
      </c>
    </row>
    <row r="650" spans="1:11" x14ac:dyDescent="0.25">
      <c r="A650" t="s">
        <v>1230</v>
      </c>
      <c r="B650" t="s">
        <v>1231</v>
      </c>
      <c r="C650" t="s">
        <v>540</v>
      </c>
      <c r="D650" t="s">
        <v>559</v>
      </c>
      <c r="E650">
        <v>86400</v>
      </c>
      <c r="F650" t="s">
        <v>560</v>
      </c>
      <c r="G650">
        <v>0</v>
      </c>
      <c r="H650">
        <v>0</v>
      </c>
      <c r="I650">
        <v>0</v>
      </c>
      <c r="J650">
        <v>0</v>
      </c>
      <c r="K650">
        <v>86400</v>
      </c>
    </row>
    <row r="651" spans="1:11" x14ac:dyDescent="0.25">
      <c r="A651" t="s">
        <v>470</v>
      </c>
      <c r="B651" t="s">
        <v>471</v>
      </c>
      <c r="C651" t="s">
        <v>540</v>
      </c>
      <c r="D651" t="s">
        <v>704</v>
      </c>
      <c r="E651">
        <v>808289.68</v>
      </c>
      <c r="F651" t="s">
        <v>705</v>
      </c>
      <c r="G651">
        <v>4342936.84</v>
      </c>
      <c r="H651">
        <v>4794021.21</v>
      </c>
      <c r="I651">
        <v>0</v>
      </c>
      <c r="J651">
        <v>0</v>
      </c>
      <c r="K651">
        <v>9945247.7300000004</v>
      </c>
    </row>
    <row r="652" spans="1:11" x14ac:dyDescent="0.25">
      <c r="A652" t="s">
        <v>472</v>
      </c>
      <c r="B652" t="s">
        <v>473</v>
      </c>
      <c r="C652" t="s">
        <v>540</v>
      </c>
      <c r="D652" t="s">
        <v>706</v>
      </c>
      <c r="E652">
        <v>0</v>
      </c>
      <c r="F652" t="s">
        <v>707</v>
      </c>
      <c r="G652">
        <v>43248877.090000004</v>
      </c>
      <c r="H652">
        <v>12242747.390000001</v>
      </c>
      <c r="I652">
        <v>0</v>
      </c>
      <c r="J652">
        <v>0</v>
      </c>
      <c r="K652">
        <v>55491624.479999997</v>
      </c>
    </row>
    <row r="653" spans="1:11" x14ac:dyDescent="0.25">
      <c r="A653" t="s">
        <v>1053</v>
      </c>
      <c r="B653" t="s">
        <v>1054</v>
      </c>
      <c r="C653" t="s">
        <v>540</v>
      </c>
      <c r="D653" t="s">
        <v>1055</v>
      </c>
      <c r="E653">
        <v>149160</v>
      </c>
      <c r="F653" t="s">
        <v>1056</v>
      </c>
      <c r="G653">
        <v>0</v>
      </c>
      <c r="H653">
        <v>0</v>
      </c>
      <c r="I653">
        <v>0</v>
      </c>
      <c r="J653">
        <v>0</v>
      </c>
      <c r="K653">
        <v>149160</v>
      </c>
    </row>
    <row r="654" spans="1:11" x14ac:dyDescent="0.25">
      <c r="A654" t="s">
        <v>1057</v>
      </c>
      <c r="B654" t="s">
        <v>1058</v>
      </c>
      <c r="C654" t="s">
        <v>540</v>
      </c>
      <c r="D654" t="s">
        <v>1059</v>
      </c>
      <c r="E654">
        <v>0</v>
      </c>
      <c r="F654" t="s">
        <v>1060</v>
      </c>
      <c r="G654">
        <v>5060704</v>
      </c>
      <c r="H654">
        <v>0</v>
      </c>
      <c r="I654">
        <v>0</v>
      </c>
      <c r="J654">
        <v>0</v>
      </c>
      <c r="K654">
        <v>5060704</v>
      </c>
    </row>
    <row r="655" spans="1:11" x14ac:dyDescent="0.25">
      <c r="A655" t="s">
        <v>798</v>
      </c>
      <c r="B655" t="s">
        <v>799</v>
      </c>
      <c r="C655" t="s">
        <v>540</v>
      </c>
      <c r="D655" t="s">
        <v>589</v>
      </c>
      <c r="E655">
        <v>0</v>
      </c>
      <c r="F655" t="s">
        <v>590</v>
      </c>
      <c r="G655">
        <v>165165</v>
      </c>
      <c r="H655">
        <v>0</v>
      </c>
      <c r="I655">
        <v>0</v>
      </c>
      <c r="J655">
        <v>0</v>
      </c>
      <c r="K655">
        <v>165165</v>
      </c>
    </row>
    <row r="656" spans="1:11" x14ac:dyDescent="0.25">
      <c r="A656" t="s">
        <v>1061</v>
      </c>
      <c r="B656" t="s">
        <v>967</v>
      </c>
      <c r="C656" t="s">
        <v>540</v>
      </c>
      <c r="D656" t="s">
        <v>1042</v>
      </c>
      <c r="E656">
        <v>0</v>
      </c>
      <c r="F656" t="s">
        <v>1043</v>
      </c>
      <c r="G656">
        <v>7400000</v>
      </c>
      <c r="H656">
        <v>1300000</v>
      </c>
      <c r="I656">
        <v>0</v>
      </c>
      <c r="J656">
        <v>0</v>
      </c>
      <c r="K656">
        <v>8700000</v>
      </c>
    </row>
    <row r="657" spans="1:11" x14ac:dyDescent="0.25">
      <c r="A657" t="s">
        <v>1062</v>
      </c>
      <c r="B657" t="s">
        <v>968</v>
      </c>
      <c r="C657" t="s">
        <v>540</v>
      </c>
      <c r="D657" t="s">
        <v>1063</v>
      </c>
      <c r="E657">
        <v>0</v>
      </c>
      <c r="F657" t="s">
        <v>1064</v>
      </c>
      <c r="G657">
        <v>11958736.800000001</v>
      </c>
      <c r="H657">
        <v>0</v>
      </c>
      <c r="I657">
        <v>0</v>
      </c>
      <c r="J657">
        <v>0</v>
      </c>
      <c r="K657">
        <v>11958736.800000001</v>
      </c>
    </row>
    <row r="658" spans="1:11" x14ac:dyDescent="0.25">
      <c r="A658" t="s">
        <v>921</v>
      </c>
      <c r="B658" t="s">
        <v>922</v>
      </c>
      <c r="C658" t="s">
        <v>540</v>
      </c>
      <c r="D658" t="s">
        <v>589</v>
      </c>
      <c r="E658">
        <v>0</v>
      </c>
      <c r="F658" t="s">
        <v>590</v>
      </c>
      <c r="G658">
        <v>647658.79</v>
      </c>
      <c r="H658">
        <v>0</v>
      </c>
      <c r="I658">
        <v>0</v>
      </c>
      <c r="J658">
        <v>0</v>
      </c>
      <c r="K658">
        <v>647658.79</v>
      </c>
    </row>
    <row r="659" spans="1:11" x14ac:dyDescent="0.25">
      <c r="A659" t="s">
        <v>474</v>
      </c>
      <c r="B659" t="s">
        <v>475</v>
      </c>
      <c r="C659" t="s">
        <v>540</v>
      </c>
      <c r="D659" t="s">
        <v>708</v>
      </c>
      <c r="E659">
        <v>41347535.869999997</v>
      </c>
      <c r="F659" t="s">
        <v>709</v>
      </c>
      <c r="G659">
        <v>166430359.61000001</v>
      </c>
      <c r="H659">
        <v>0</v>
      </c>
      <c r="I659">
        <v>0</v>
      </c>
      <c r="J659">
        <v>0</v>
      </c>
      <c r="K659">
        <v>207777895.47999999</v>
      </c>
    </row>
    <row r="660" spans="1:11" x14ac:dyDescent="0.25">
      <c r="A660" t="s">
        <v>476</v>
      </c>
      <c r="B660" t="s">
        <v>477</v>
      </c>
      <c r="C660" t="s">
        <v>540</v>
      </c>
      <c r="D660" t="s">
        <v>563</v>
      </c>
      <c r="E660">
        <v>3260206.88</v>
      </c>
      <c r="F660" t="s">
        <v>564</v>
      </c>
      <c r="G660">
        <v>104424722.53</v>
      </c>
      <c r="H660">
        <v>0</v>
      </c>
      <c r="I660">
        <v>0</v>
      </c>
      <c r="J660">
        <v>6778094.1100000003</v>
      </c>
      <c r="K660">
        <v>114463023.52</v>
      </c>
    </row>
    <row r="661" spans="1:11" x14ac:dyDescent="0.25">
      <c r="A661" t="s">
        <v>529</v>
      </c>
      <c r="B661" t="s">
        <v>530</v>
      </c>
      <c r="C661" t="s">
        <v>540</v>
      </c>
      <c r="D661" t="s">
        <v>573</v>
      </c>
      <c r="E661">
        <v>0</v>
      </c>
      <c r="F661" t="s">
        <v>574</v>
      </c>
      <c r="G661">
        <v>718274.12</v>
      </c>
      <c r="H661">
        <v>0</v>
      </c>
      <c r="I661">
        <v>0</v>
      </c>
      <c r="J661">
        <v>0</v>
      </c>
      <c r="K661">
        <v>718274.12</v>
      </c>
    </row>
    <row r="662" spans="1:11" x14ac:dyDescent="0.25">
      <c r="A662" t="s">
        <v>480</v>
      </c>
      <c r="B662" t="s">
        <v>834</v>
      </c>
      <c r="C662" t="s">
        <v>540</v>
      </c>
      <c r="D662" t="s">
        <v>677</v>
      </c>
      <c r="E662">
        <v>204308.5</v>
      </c>
      <c r="F662" t="s">
        <v>678</v>
      </c>
      <c r="G662">
        <v>5078152.5999999996</v>
      </c>
      <c r="H662">
        <v>1624385.6</v>
      </c>
      <c r="I662">
        <v>5107929.55</v>
      </c>
      <c r="J662">
        <v>0</v>
      </c>
      <c r="K662">
        <v>12014776.25</v>
      </c>
    </row>
    <row r="663" spans="1:11" x14ac:dyDescent="0.25">
      <c r="A663" t="s">
        <v>1065</v>
      </c>
      <c r="B663" t="s">
        <v>969</v>
      </c>
      <c r="C663" t="s">
        <v>540</v>
      </c>
      <c r="D663" t="s">
        <v>784</v>
      </c>
      <c r="E663">
        <v>0</v>
      </c>
      <c r="F663" t="s">
        <v>785</v>
      </c>
      <c r="G663">
        <v>19422105</v>
      </c>
      <c r="H663">
        <v>38844210</v>
      </c>
      <c r="I663">
        <v>0</v>
      </c>
      <c r="J663">
        <v>0</v>
      </c>
      <c r="K663">
        <v>58266315</v>
      </c>
    </row>
    <row r="664" spans="1:11" x14ac:dyDescent="0.25">
      <c r="A664" t="s">
        <v>481</v>
      </c>
      <c r="B664" t="s">
        <v>482</v>
      </c>
      <c r="C664" t="s">
        <v>540</v>
      </c>
      <c r="D664" t="s">
        <v>633</v>
      </c>
      <c r="E664">
        <v>0</v>
      </c>
      <c r="F664" t="s">
        <v>634</v>
      </c>
      <c r="G664">
        <v>7291702</v>
      </c>
      <c r="H664">
        <v>812175</v>
      </c>
      <c r="I664">
        <v>0</v>
      </c>
      <c r="J664">
        <v>0</v>
      </c>
      <c r="K664">
        <v>8103877</v>
      </c>
    </row>
    <row r="665" spans="1:11" x14ac:dyDescent="0.25">
      <c r="A665" t="s">
        <v>483</v>
      </c>
      <c r="B665" t="s">
        <v>484</v>
      </c>
      <c r="C665" t="s">
        <v>540</v>
      </c>
      <c r="D665" t="s">
        <v>679</v>
      </c>
      <c r="E665">
        <v>4499918.88</v>
      </c>
      <c r="F665" t="s">
        <v>680</v>
      </c>
      <c r="G665">
        <v>975026642.80999994</v>
      </c>
      <c r="H665">
        <v>0</v>
      </c>
      <c r="I665">
        <v>0</v>
      </c>
      <c r="J665">
        <v>0</v>
      </c>
      <c r="K665">
        <v>979526561.69000006</v>
      </c>
    </row>
    <row r="666" spans="1:11" x14ac:dyDescent="0.25">
      <c r="A666" t="s">
        <v>1072</v>
      </c>
    </row>
    <row r="667" spans="1:11" x14ac:dyDescent="0.25">
      <c r="A667" t="s">
        <v>1119</v>
      </c>
    </row>
    <row r="668" spans="1:11" x14ac:dyDescent="0.25">
      <c r="A668" t="s">
        <v>1120</v>
      </c>
    </row>
    <row r="669" spans="1:11" x14ac:dyDescent="0.25">
      <c r="A669" t="s">
        <v>1232</v>
      </c>
    </row>
    <row r="670" spans="1:11" x14ac:dyDescent="0.25">
      <c r="A670" t="s">
        <v>1121</v>
      </c>
    </row>
  </sheetData>
  <mergeCells count="3">
    <mergeCell ref="A1:F1"/>
    <mergeCell ref="A2:F2"/>
    <mergeCell ref="A330:F330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3"/>
  <sheetViews>
    <sheetView showGridLines="0" zoomScaleNormal="100" workbookViewId="0">
      <pane ySplit="4" topLeftCell="A5" activePane="bottomLeft" state="frozen"/>
      <selection pane="bottomLeft" activeCell="B3" sqref="B3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5" t="s">
        <v>168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5.75" customHeight="1" x14ac:dyDescent="0.25">
      <c r="A2" s="85" t="s">
        <v>169</v>
      </c>
      <c r="B2" s="85"/>
      <c r="C2" s="85"/>
      <c r="D2" s="85"/>
      <c r="E2" s="85"/>
      <c r="F2" s="85"/>
      <c r="G2" s="85"/>
      <c r="H2" s="85"/>
      <c r="I2" s="85"/>
      <c r="J2" s="85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-27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 t="shared" ref="F6:F21" si="0"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-11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3.9E-2</v>
      </c>
      <c r="D7" s="69">
        <v>46260</v>
      </c>
      <c r="E7" s="69">
        <v>46434</v>
      </c>
      <c r="F7" s="54">
        <f t="shared" si="0"/>
        <v>174</v>
      </c>
      <c r="G7" s="55">
        <f>IFERROR(B7*(C7/365)*F7,0)</f>
        <v>18591.780821917808</v>
      </c>
      <c r="H7" s="56">
        <f>IFERROR(B7+G7,0)</f>
        <v>1018591.7808219178</v>
      </c>
      <c r="I7" s="57">
        <f ca="1">IFERROR(E7-TODAY(),"Vencido")</f>
        <v>126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 t="shared" si="0"/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9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 t="shared" si="0"/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58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3.49E-2</v>
      </c>
      <c r="D10" s="69">
        <v>46227</v>
      </c>
      <c r="E10" s="69">
        <v>46407</v>
      </c>
      <c r="F10" s="54">
        <f t="shared" si="0"/>
        <v>180</v>
      </c>
      <c r="G10" s="55">
        <f t="shared" ref="G10:G12" si="1">IFERROR(B10*(C10/365)*F10,0)</f>
        <v>17210.95890410959</v>
      </c>
      <c r="H10" s="56">
        <f t="shared" ref="H10:H12" si="2">IFERROR(B10+G10,0)</f>
        <v>1017210.9589041095</v>
      </c>
      <c r="I10" s="57">
        <f t="shared" ref="I10:I12" ca="1" si="3">IFERROR(E10-TODAY(),"Vencido")</f>
        <v>99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3.2300000000000002E-2</v>
      </c>
      <c r="D11" s="69">
        <v>46178</v>
      </c>
      <c r="E11" s="69">
        <v>46358</v>
      </c>
      <c r="F11" s="54">
        <f t="shared" si="0"/>
        <v>180</v>
      </c>
      <c r="G11" s="55">
        <f t="shared" si="1"/>
        <v>15928.767123287671</v>
      </c>
      <c r="H11" s="56">
        <f t="shared" si="2"/>
        <v>1015928.7671232877</v>
      </c>
      <c r="I11" s="57">
        <f t="shared" ca="1" si="3"/>
        <v>50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3.2300000000000002E-2</v>
      </c>
      <c r="D12" s="69">
        <v>46183</v>
      </c>
      <c r="E12" s="69">
        <v>46360</v>
      </c>
      <c r="F12" s="54">
        <f t="shared" si="0"/>
        <v>177</v>
      </c>
      <c r="G12" s="55">
        <f t="shared" si="1"/>
        <v>15663.287671232876</v>
      </c>
      <c r="H12" s="56">
        <f t="shared" si="2"/>
        <v>1015663.2876712328</v>
      </c>
      <c r="I12" s="57">
        <f t="shared" ca="1" si="3"/>
        <v>52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0.04</v>
      </c>
      <c r="D13" s="69">
        <v>46255</v>
      </c>
      <c r="E13" s="69">
        <v>46434</v>
      </c>
      <c r="F13" s="54">
        <f t="shared" si="0"/>
        <v>179</v>
      </c>
      <c r="G13" s="55">
        <f t="shared" ref="G13:G21" si="4">IFERROR(B13*(C13/365)*F13,0)</f>
        <v>19616.438356164384</v>
      </c>
      <c r="H13" s="56">
        <f t="shared" ref="H13:H21" si="5">IFERROR(B13+G13,0)</f>
        <v>1019616.4383561644</v>
      </c>
      <c r="I13" s="57">
        <f t="shared" ref="I13:I21" ca="1" si="6">IFERROR(E13-TODAY(),"Vencido")</f>
        <v>126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3.9E-2</v>
      </c>
      <c r="D14" s="69">
        <v>46269</v>
      </c>
      <c r="E14" s="69">
        <v>46449</v>
      </c>
      <c r="F14" s="54">
        <f t="shared" si="0"/>
        <v>180</v>
      </c>
      <c r="G14" s="55">
        <f t="shared" si="4"/>
        <v>19232.876712328769</v>
      </c>
      <c r="H14" s="56">
        <f t="shared" si="5"/>
        <v>1019232.8767123288</v>
      </c>
      <c r="I14" s="57">
        <f t="shared" ca="1" si="6"/>
        <v>141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3.39E-2</v>
      </c>
      <c r="D15" s="69">
        <v>46202</v>
      </c>
      <c r="E15" s="69">
        <v>46379</v>
      </c>
      <c r="F15" s="54">
        <f t="shared" si="0"/>
        <v>177</v>
      </c>
      <c r="G15" s="55">
        <f t="shared" si="4"/>
        <v>16439.178082191782</v>
      </c>
      <c r="H15" s="56">
        <f t="shared" si="5"/>
        <v>1016439.1780821917</v>
      </c>
      <c r="I15" s="57">
        <f t="shared" ca="1" si="6"/>
        <v>71</v>
      </c>
      <c r="J15" s="52"/>
    </row>
    <row r="16" spans="1:10" ht="18" customHeight="1" x14ac:dyDescent="0.25">
      <c r="A16" s="53" t="s">
        <v>181</v>
      </c>
      <c r="B16" s="14">
        <v>1000000</v>
      </c>
      <c r="C16" s="68">
        <v>3.6499999999999998E-2</v>
      </c>
      <c r="D16" s="69">
        <v>46255</v>
      </c>
      <c r="E16" s="69">
        <v>46435</v>
      </c>
      <c r="F16" s="54">
        <f t="shared" si="0"/>
        <v>180</v>
      </c>
      <c r="G16" s="55">
        <f t="shared" si="4"/>
        <v>17999.999999999996</v>
      </c>
      <c r="H16" s="56">
        <f t="shared" si="5"/>
        <v>1018000</v>
      </c>
      <c r="I16" s="57">
        <f t="shared" ca="1" si="6"/>
        <v>127</v>
      </c>
      <c r="J16" s="52"/>
    </row>
    <row r="17" spans="1:10" ht="18" customHeight="1" x14ac:dyDescent="0.25">
      <c r="A17" s="53" t="s">
        <v>929</v>
      </c>
      <c r="B17" s="14">
        <v>2000000</v>
      </c>
      <c r="C17" s="68">
        <v>3.85E-2</v>
      </c>
      <c r="D17" s="69">
        <v>46205</v>
      </c>
      <c r="E17" s="69">
        <v>46385</v>
      </c>
      <c r="F17" s="54">
        <f t="shared" si="0"/>
        <v>180</v>
      </c>
      <c r="G17" s="55">
        <f t="shared" si="4"/>
        <v>37972.602739726026</v>
      </c>
      <c r="H17" s="56">
        <f t="shared" si="5"/>
        <v>2037972.602739726</v>
      </c>
      <c r="I17" s="57">
        <f t="shared" ca="1" si="6"/>
        <v>77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0.04</v>
      </c>
      <c r="D18" s="69">
        <v>46231</v>
      </c>
      <c r="E18" s="69">
        <v>46384</v>
      </c>
      <c r="F18" s="54">
        <f t="shared" si="0"/>
        <v>153</v>
      </c>
      <c r="G18" s="55">
        <f t="shared" si="4"/>
        <v>16767.123287671231</v>
      </c>
      <c r="H18" s="56">
        <f t="shared" si="5"/>
        <v>1016767.1232876712</v>
      </c>
      <c r="I18" s="57">
        <f t="shared" ca="1" si="6"/>
        <v>76</v>
      </c>
      <c r="J18" s="52"/>
    </row>
    <row r="19" spans="1:10" ht="18" customHeight="1" x14ac:dyDescent="0.25">
      <c r="A19" s="53" t="s">
        <v>929</v>
      </c>
      <c r="B19" s="14">
        <v>1000000</v>
      </c>
      <c r="C19" s="68">
        <v>3.5000000000000003E-2</v>
      </c>
      <c r="D19" s="69">
        <v>46244</v>
      </c>
      <c r="E19" s="69">
        <v>46331</v>
      </c>
      <c r="F19" s="54">
        <f t="shared" si="0"/>
        <v>87</v>
      </c>
      <c r="G19" s="55">
        <f t="shared" si="4"/>
        <v>8342.465753424658</v>
      </c>
      <c r="H19" s="56">
        <f t="shared" si="5"/>
        <v>1008342.4657534247</v>
      </c>
      <c r="I19" s="57">
        <f t="shared" ca="1" si="6"/>
        <v>23</v>
      </c>
      <c r="J19" s="52"/>
    </row>
    <row r="20" spans="1:10" ht="18" customHeight="1" x14ac:dyDescent="0.25">
      <c r="A20" s="53" t="s">
        <v>970</v>
      </c>
      <c r="B20" s="14">
        <v>1000000</v>
      </c>
      <c r="C20" s="68">
        <v>3.5000000000000003E-2</v>
      </c>
      <c r="D20" s="69">
        <v>46238</v>
      </c>
      <c r="E20" s="69">
        <v>46603</v>
      </c>
      <c r="F20" s="54">
        <f t="shared" si="0"/>
        <v>365</v>
      </c>
      <c r="G20" s="55">
        <f t="shared" si="4"/>
        <v>35000</v>
      </c>
      <c r="H20" s="56">
        <f t="shared" si="5"/>
        <v>1035000</v>
      </c>
      <c r="I20" s="57">
        <f t="shared" ca="1" si="6"/>
        <v>295</v>
      </c>
      <c r="J20" s="52"/>
    </row>
    <row r="21" spans="1:10" ht="18" customHeight="1" x14ac:dyDescent="0.25">
      <c r="A21" s="53" t="s">
        <v>970</v>
      </c>
      <c r="B21" s="14">
        <v>800000</v>
      </c>
      <c r="C21" s="68">
        <v>3.5000000000000003E-2</v>
      </c>
      <c r="D21" s="69">
        <v>46253</v>
      </c>
      <c r="E21" s="69">
        <v>46651</v>
      </c>
      <c r="F21" s="54">
        <f t="shared" si="0"/>
        <v>398</v>
      </c>
      <c r="G21" s="55">
        <f t="shared" si="4"/>
        <v>30531.506849315072</v>
      </c>
      <c r="H21" s="56">
        <f t="shared" si="5"/>
        <v>830531.50684931502</v>
      </c>
      <c r="I21" s="57">
        <f t="shared" ca="1" si="6"/>
        <v>343</v>
      </c>
      <c r="J21" s="52"/>
    </row>
    <row r="22" spans="1:10" ht="19.5" customHeight="1" x14ac:dyDescent="0.25">
      <c r="A22" s="41" t="s">
        <v>155</v>
      </c>
      <c r="B22" s="58">
        <f>SUM(B5:B21)</f>
        <v>17800000</v>
      </c>
      <c r="C22" s="42"/>
      <c r="D22" s="42"/>
      <c r="E22" s="42"/>
      <c r="F22" s="42"/>
      <c r="G22" s="58">
        <f>SUM(G5:G21)</f>
        <v>342551.78082191787</v>
      </c>
      <c r="H22" s="58">
        <f>SUM(H5:H21)</f>
        <v>18142551.780821919</v>
      </c>
      <c r="I22" s="42"/>
      <c r="J22" s="42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-46308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-46308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-46308</v>
      </c>
      <c r="J25" s="44"/>
    </row>
    <row r="26" spans="1:10" ht="18" customHeight="1" x14ac:dyDescent="0.25">
      <c r="A26" s="44"/>
      <c r="B26" s="59"/>
      <c r="C26" s="60"/>
      <c r="D26" s="46"/>
      <c r="E26" s="46"/>
      <c r="F26" s="61">
        <f>IFERROR(E26-D26,0)</f>
        <v>0</v>
      </c>
      <c r="G26" s="62">
        <f>IFERROR(B26*(C26/365)*F26,0)</f>
        <v>0</v>
      </c>
      <c r="H26" s="62">
        <f>IFERROR(B26+G26,0)</f>
        <v>0</v>
      </c>
      <c r="I26" s="61">
        <f ca="1">IFERROR(E26-TODAY(),"")</f>
        <v>-46308</v>
      </c>
      <c r="J26" s="44"/>
    </row>
    <row r="27" spans="1:10" ht="18" customHeight="1" x14ac:dyDescent="0.25">
      <c r="A27" s="44"/>
      <c r="B27" s="59"/>
      <c r="C27" s="60"/>
      <c r="D27" s="46"/>
      <c r="E27" s="46"/>
      <c r="F27" s="61">
        <f>IFERROR(E27-D27,0)</f>
        <v>0</v>
      </c>
      <c r="G27" s="62">
        <f>IFERROR(B27*(C27/365)*F27,0)</f>
        <v>0</v>
      </c>
      <c r="H27" s="62">
        <f>IFERROR(B27+G27,0)</f>
        <v>0</v>
      </c>
      <c r="I27" s="61">
        <f ca="1">IFERROR(E27-TODAY(),"")</f>
        <v>-46308</v>
      </c>
      <c r="J27" s="44"/>
    </row>
    <row r="29" spans="1:10" x14ac:dyDescent="0.25">
      <c r="A29" s="86" t="s">
        <v>180</v>
      </c>
      <c r="B29" s="86"/>
      <c r="C29" s="86"/>
      <c r="D29" s="86"/>
      <c r="E29" s="86"/>
      <c r="F29" s="86"/>
      <c r="G29" s="86"/>
      <c r="H29" s="86"/>
      <c r="I29" s="86"/>
      <c r="J29" s="86"/>
    </row>
    <row r="33" spans="4:4" x14ac:dyDescent="0.25">
      <c r="D33" s="64"/>
    </row>
  </sheetData>
  <mergeCells count="3">
    <mergeCell ref="A1:J1"/>
    <mergeCell ref="A2:J2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2026-10-13T19:14:49Z</dcterms:modified>
  <dc:language>en-US</dc:language>
</cp:coreProperties>
</file>