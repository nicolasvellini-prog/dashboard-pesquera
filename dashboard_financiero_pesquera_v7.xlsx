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5FE06E4-17A4-44F7-B113-84F0E04FDE3C}" xr6:coauthVersionLast="47" xr6:coauthVersionMax="47" xr10:uidLastSave="{00000000-0000-0000-0000-000000000000}"/>
  <bookViews>
    <workbookView xWindow="-120" yWindow="-120" windowWidth="29040" windowHeight="15720" tabRatio="500" firstSheet="4" activeTab="9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6" i="8" l="1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AE166" i="2" l="1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<sst xmlns="http://schemas.openxmlformats.org/spreadsheetml/2006/main" count="4381" uniqueCount="1327">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</sst>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57" activePane="bottomLeft" state="frozen"/>
      <selection activeCell="A3" sqref="A3"/>
      <selection pane="bottomLeft" activeCell="D179" sqref="D179"/>
    </sheetView>
  </sheetViews>
  <sheetFormatPr baseColWidth="10" defaultColWidth="8.7109375" defaultRowHeight="15" x14ac:dyDescent="0.25"/>
  <cols>
    <col min="1" max="1" width="10.710937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7.4257812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6.14062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>+Z174</f>
        <v>179326122.93125013</v>
      </c>
      <c r="AA175" s="63">
        <v>6184142577</v>
      </c>
      <c r="AB175" s="63">
        <v>1374034.35</v>
      </c>
      <c r="AC175" s="63">
        <f t="shared" ref="AC175:AE178" si="56">+AC174</f>
        <v>17800000</v>
      </c>
      <c r="AD175" s="63">
        <f t="shared" si="56"/>
        <v>245288.76712328769</v>
      </c>
      <c r="AE175" s="63">
        <f t="shared" si="56"/>
        <v>324663.09794520552</v>
      </c>
      <c r="AF175" s="63">
        <f>+'[1]CF Dia V1'!$GA$97</f>
        <v>17389013.649</v>
      </c>
      <c r="AG175" s="63">
        <f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>+Z175</f>
        <v>179326122.93125013</v>
      </c>
      <c r="AA176" s="63">
        <v>6180350000</v>
      </c>
      <c r="AB176" s="63">
        <v>1374034.35</v>
      </c>
      <c r="AC176" s="63">
        <f t="shared" si="56"/>
        <v>17800000</v>
      </c>
      <c r="AD176" s="63">
        <f t="shared" si="56"/>
        <v>245288.76712328769</v>
      </c>
      <c r="AE176" s="63">
        <f t="shared" si="56"/>
        <v>324663.09794520552</v>
      </c>
      <c r="AF176" s="63">
        <f>+'[1]CF Dia V1'!$GB$97</f>
        <v>17298912.278999999</v>
      </c>
      <c r="AG176" s="63">
        <f>+AG175</f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>+Z176</f>
        <v>179326122.93125013</v>
      </c>
      <c r="AA177" s="63">
        <v>6180350000</v>
      </c>
      <c r="AB177" s="63">
        <v>1374034.35</v>
      </c>
      <c r="AC177" s="63">
        <f t="shared" si="56"/>
        <v>17800000</v>
      </c>
      <c r="AD177" s="63">
        <f t="shared" si="56"/>
        <v>245288.76712328769</v>
      </c>
      <c r="AE177" s="63">
        <f t="shared" si="56"/>
        <v>324663.09794520552</v>
      </c>
      <c r="AF177" s="63">
        <f>+'[1]CF Dia V1'!$GC$97</f>
        <v>16712000.329</v>
      </c>
      <c r="AG177" s="63">
        <f>+AG176</f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>+Z177</f>
        <v>179326122.93125013</v>
      </c>
      <c r="AA178" s="63">
        <v>6184142757</v>
      </c>
      <c r="AB178" s="63">
        <v>1374034.35</v>
      </c>
      <c r="AC178" s="63">
        <f t="shared" si="56"/>
        <v>17800000</v>
      </c>
      <c r="AD178" s="63">
        <f t="shared" si="56"/>
        <v>245288.76712328769</v>
      </c>
      <c r="AE178" s="63">
        <f t="shared" si="56"/>
        <v>324663.09794520552</v>
      </c>
      <c r="AF178" s="63">
        <f>+'[1]CF Dia V1'!$GD$97</f>
        <v>15603011.429000001</v>
      </c>
      <c r="AG178" s="63">
        <f>+AG177</f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82" t="s">
        <v>147</v>
      </c>
      <c r="B1" s="82"/>
      <c r="C1" s="82"/>
      <c r="D1" s="82"/>
      <c r="E1" s="82"/>
      <c r="F1" s="82"/>
      <c r="G1" s="82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83" t="s">
        <v>156</v>
      </c>
      <c r="B157" s="83"/>
      <c r="C157" s="83"/>
      <c r="D157" s="83"/>
      <c r="E157" s="83"/>
      <c r="F157" s="83"/>
      <c r="G157" s="83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0">+C6/$D$3</f>
        <v>45.506348684210522</v>
      </c>
      <c r="E6" s="50">
        <f>+D6/$D$296</f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0"/>
        <v>10000.667611842106</v>
      </c>
      <c r="E7" s="50">
        <f>+D7/$D$296</f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0"/>
        <v>327.19833552631576</v>
      </c>
      <c r="E8" s="50">
        <f>+D8/$D$296</f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0"/>
        <v>592.10460526315785</v>
      </c>
      <c r="E9" s="50">
        <f>+D9/$D$296</f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0"/>
        <v>672.06743421052636</v>
      </c>
      <c r="E10" s="50">
        <f>+D10/$D$296</f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0"/>
        <v>5598.2186184210532</v>
      </c>
      <c r="E11" s="50">
        <f>+D11/$D$296</f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0"/>
        <v>5490.6270328947367</v>
      </c>
      <c r="E12" s="50">
        <f>+D12/$D$296</f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0"/>
        <v>11815.616907894737</v>
      </c>
      <c r="E13" s="50">
        <f>+D13/$D$296</f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0"/>
        <v>2674.7368421052633</v>
      </c>
      <c r="E14" s="50">
        <f>+D14/$D$296</f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0"/>
        <v>670.91315789473686</v>
      </c>
      <c r="E15" s="50">
        <f>+D15/$D$296</f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0"/>
        <v>131.34868421052633</v>
      </c>
      <c r="E16" s="50">
        <f>+D16/$D$296</f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0"/>
        <v>8604.0099078947369</v>
      </c>
      <c r="E17" s="50">
        <f>+D17/$D$296</f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0"/>
        <v>3323.0263157894738</v>
      </c>
      <c r="E18" s="50">
        <f>+D18/$D$296</f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0"/>
        <v>990.71100657894738</v>
      </c>
      <c r="E19" s="50">
        <f>+D19/$D$296</f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0"/>
        <v>92.10526315789474</v>
      </c>
      <c r="E20" s="50">
        <f>+D20/$D$296</f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0"/>
        <v>2770.2907763157896</v>
      </c>
      <c r="E21" s="50">
        <f>+D21/$D$296</f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0"/>
        <v>109.85526315789474</v>
      </c>
      <c r="E22" s="50">
        <f>+D22/$D$296</f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0"/>
        <v>146.56250657894736</v>
      </c>
      <c r="E23" s="50">
        <f>+D23/$D$296</f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0"/>
        <v>244.38815789473685</v>
      </c>
      <c r="E24" s="50">
        <f>+D24/$D$296</f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0"/>
        <v>10689.934210526315</v>
      </c>
      <c r="E25" s="50">
        <f>+D25/$D$296</f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0"/>
        <v>24433.717684210529</v>
      </c>
      <c r="E26" s="50">
        <f>+D26/$D$296</f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0"/>
        <v>1390.2605131578948</v>
      </c>
      <c r="E27" s="50">
        <f>+D27/$D$296</f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0"/>
        <v>217.10526315789474</v>
      </c>
      <c r="E28" s="50">
        <f>+D28/$D$296</f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0"/>
        <v>197.32155263157895</v>
      </c>
      <c r="E29" s="50">
        <f>+D29/$D$296</f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0"/>
        <v>92.763157894736835</v>
      </c>
      <c r="E30" s="50">
        <f>+D30/$D$296</f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0"/>
        <v>755.94517105263151</v>
      </c>
      <c r="E31" s="50">
        <f>+D31/$D$296</f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0"/>
        <v>1220.4203881578946</v>
      </c>
      <c r="E32" s="50">
        <f>+D32/$D$296</f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0"/>
        <v>401.31561842105265</v>
      </c>
      <c r="E33" s="50">
        <f>+D33/$D$296</f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0"/>
        <v>1122.9358881578949</v>
      </c>
      <c r="E34" s="50">
        <f>+D34/$D$296</f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0"/>
        <v>2092.8000789473685</v>
      </c>
      <c r="E35" s="50">
        <f>+D35/$D$296</f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0"/>
        <v>4528.1065789473687</v>
      </c>
      <c r="E36" s="50">
        <f>+D36/$D$296</f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0"/>
        <v>1303.5746315789472</v>
      </c>
      <c r="E37" s="50">
        <f>+D37/$D$296</f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0"/>
        <v>186.65398026315788</v>
      </c>
      <c r="E38" s="50">
        <f>+D38/$D$296</f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0"/>
        <v>43263.979868421055</v>
      </c>
      <c r="E39" s="50">
        <f>+D39/$D$296</f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0"/>
        <v>486.84210526315792</v>
      </c>
      <c r="E40" s="50">
        <f>+D40/$D$296</f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0"/>
        <v>200.4630460526316</v>
      </c>
      <c r="E41" s="50">
        <f>+D41/$D$296</f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0"/>
        <v>5048.2833092105266</v>
      </c>
      <c r="E42" s="50">
        <f>+D42/$D$296</f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0"/>
        <v>19143.950190789474</v>
      </c>
      <c r="E43" s="50">
        <f>+D43/$D$296</f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0"/>
        <v>2141.6157828947371</v>
      </c>
      <c r="E44" s="50">
        <f>+D44/$D$296</f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0"/>
        <v>1461.1665460526315</v>
      </c>
      <c r="E45" s="50">
        <f>+D45/$D$296</f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0"/>
        <v>1859.7220394736842</v>
      </c>
      <c r="E46" s="50">
        <f>+D46/$D$296</f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0"/>
        <v>110.96167763157895</v>
      </c>
      <c r="E47" s="50">
        <f>+D47/$D$296</f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0"/>
        <v>6518.5217565789471</v>
      </c>
      <c r="E48" s="50">
        <f>+D48/$D$296</f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0"/>
        <v>3298.3803947368424</v>
      </c>
      <c r="E49" s="50">
        <f>+D49/$D$296</f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0"/>
        <v>3960.3759999999997</v>
      </c>
      <c r="E50" s="50">
        <f>+D50/$D$296</f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0"/>
        <v>-6.578947368421053E-6</v>
      </c>
      <c r="E51" s="50">
        <f>+D51/$D$296</f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0"/>
        <v>37384.456815789476</v>
      </c>
      <c r="E52" s="50">
        <f>+D52/$D$296</f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0"/>
        <v>13579.92552631579</v>
      </c>
      <c r="E53" s="50">
        <f>+D53/$D$296</f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0"/>
        <v>1180.6399868421054</v>
      </c>
      <c r="E54" s="50">
        <f>+D54/$D$296</f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0"/>
        <v>230.20083552631581</v>
      </c>
      <c r="E55" s="50">
        <f>+D55/$D$296</f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0"/>
        <v>1041.5552631578948</v>
      </c>
      <c r="E56" s="50">
        <f>+D56/$D$296</f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0"/>
        <v>635.29803947368418</v>
      </c>
      <c r="E57" s="50">
        <f>+D57/$D$296</f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1">+C58/$D$3</f>
        <v>7419.6085526315792</v>
      </c>
      <c r="E58" s="50">
        <f>+D58/$D$296</f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1"/>
        <v>105.15536842105263</v>
      </c>
      <c r="E59" s="50">
        <f>+D59/$D$296</f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1"/>
        <v>9159.0026447368418</v>
      </c>
      <c r="E60" s="50">
        <f>+D60/$D$296</f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1"/>
        <v>3436.0218749999999</v>
      </c>
      <c r="E61" s="50">
        <f>+D61/$D$296</f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1"/>
        <v>3829.4907894736843</v>
      </c>
      <c r="E62" s="50">
        <f>+D62/$D$296</f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1"/>
        <v>8231.2598684210534</v>
      </c>
      <c r="E63" s="50">
        <f>+D63/$D$296</f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1"/>
        <v>123790.78947368421</v>
      </c>
      <c r="E64" s="50">
        <f>+D64/$D$296</f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1"/>
        <v>47431.772223684209</v>
      </c>
      <c r="E65" s="50">
        <f>+D65/$D$296</f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1"/>
        <v>48258.079453947365</v>
      </c>
      <c r="E66" s="50">
        <f>+D66/$D$296</f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1"/>
        <v>368.6877302631579</v>
      </c>
      <c r="E67" s="50">
        <f>+D67/$D$296</f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1"/>
        <v>6415.1906118421057</v>
      </c>
      <c r="E68" s="50">
        <f>+D68/$D$296</f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1"/>
        <v>10280.569684210526</v>
      </c>
      <c r="E69" s="50">
        <f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1"/>
        <v>78.421052631578945</v>
      </c>
      <c r="E70" s="50">
        <f>+D70/$D$296</f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1"/>
        <v>-0.1344934210526316</v>
      </c>
      <c r="E71" s="50">
        <f>+D71/$D$296</f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1"/>
        <v>134.85131578947369</v>
      </c>
      <c r="E72" s="50">
        <f>+D72/$D$296</f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1"/>
        <v>848.68421052631584</v>
      </c>
      <c r="E73" s="50">
        <f>+D73/$D$296</f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1"/>
        <v>3938.2328815789479</v>
      </c>
      <c r="E74" s="50">
        <f>+D74/$D$296</f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1"/>
        <v>2928.0407894736841</v>
      </c>
      <c r="E75" s="50">
        <f>+D75/$D$296</f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1"/>
        <v>694.16586842105266</v>
      </c>
      <c r="E76" s="50">
        <f>+D76/$D$296</f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1"/>
        <v>3854.1684210526314</v>
      </c>
      <c r="E77" s="50">
        <f>+D77/$D$296</f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1"/>
        <v>10847.432032894736</v>
      </c>
      <c r="E78" s="50">
        <f>+D78/$D$296</f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1"/>
        <v>738.80328289473687</v>
      </c>
      <c r="E79" s="50">
        <f>+D79/$D$296</f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1"/>
        <v>671.72776973684211</v>
      </c>
      <c r="E80" s="50">
        <f>+D80/$D$296</f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1"/>
        <v>1108.1692763157896</v>
      </c>
      <c r="E81" s="50">
        <f>+D81/$D$296</f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1"/>
        <v>1352.1444342105262</v>
      </c>
      <c r="E82" s="50">
        <f>+D82/$D$296</f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1"/>
        <v>1797.5151315789474</v>
      </c>
      <c r="E83" s="50">
        <f>+D83/$D$296</f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1"/>
        <v>3584.6118421052633</v>
      </c>
      <c r="E84" s="50">
        <f>+D84/$D$296</f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1"/>
        <v>14349.035032894737</v>
      </c>
      <c r="E85" s="50">
        <f>+D85/$D$296</f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1"/>
        <v>136.1965394736842</v>
      </c>
      <c r="E86" s="50">
        <f>+D86/$D$296</f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1"/>
        <v>8358.7914473684214</v>
      </c>
      <c r="E87" s="50">
        <f>+D87/$D$296</f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1"/>
        <v>147753.31450657896</v>
      </c>
      <c r="E88" s="50">
        <f>+D88/$D$296</f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1"/>
        <v>9774.7691907894732</v>
      </c>
      <c r="E89" s="50">
        <f>+D89/$D$296</f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1"/>
        <v>1375</v>
      </c>
      <c r="E90" s="50">
        <f>+D90/$D$296</f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1"/>
        <v>15409.212282894738</v>
      </c>
      <c r="E91" s="50">
        <f>+D91/$D$296</f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1"/>
        <v>1800.5642105263159</v>
      </c>
      <c r="E92" s="50">
        <f>+D92/$D$296</f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1"/>
        <v>25828.16501973684</v>
      </c>
      <c r="E93" s="50">
        <f>+D93/$D$296</f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1"/>
        <v>4853.2944671052628</v>
      </c>
      <c r="E94" s="50">
        <f>+D94/$D$296</f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1"/>
        <v>302.5</v>
      </c>
      <c r="E95" s="50">
        <f>+D95/$D$296</f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1"/>
        <v>190.90855921052633</v>
      </c>
      <c r="E96" s="50">
        <f>+D96/$D$296</f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1"/>
        <v>601.45096710526309</v>
      </c>
      <c r="E97" s="50">
        <f>+D97/$D$296</f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1"/>
        <v>73442.607013157889</v>
      </c>
      <c r="E98" s="50">
        <f>+D98/$D$296</f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1"/>
        <v>1016.745625</v>
      </c>
      <c r="E99" s="50">
        <f>+D99/$D$296</f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1"/>
        <v>103.0712894736842</v>
      </c>
      <c r="E100" s="50">
        <f>+D100/$D$296</f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1"/>
        <v>3711.5281315789471</v>
      </c>
      <c r="E101" s="50">
        <f>+D101/$D$296</f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1"/>
        <v>1026.3157894736842</v>
      </c>
      <c r="E102" s="50">
        <f>+D102/$D$296</f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1"/>
        <v>164.47368421052633</v>
      </c>
      <c r="E103" s="50">
        <f>+D103/$D$296</f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1"/>
        <v>490.36842105263156</v>
      </c>
      <c r="E104" s="50">
        <f>+D104/$D$296</f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1"/>
        <v>5152.7292763157893</v>
      </c>
      <c r="E105" s="50">
        <f>+D105/$D$296</f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1"/>
        <v>1006.1694934210526</v>
      </c>
      <c r="E106" s="50">
        <f>+D106/$D$296</f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1"/>
        <v>5451.6159473684211</v>
      </c>
      <c r="E107" s="50">
        <f>+D107/$D$296</f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1"/>
        <v>3031.5278289473681</v>
      </c>
      <c r="E108" s="50">
        <f>+D108/$D$296</f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1"/>
        <v>43103.492243421053</v>
      </c>
      <c r="E109" s="50">
        <f>+D109/$D$296</f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1"/>
        <v>496.3388157894737</v>
      </c>
      <c r="E110" s="50">
        <f>+D110/$D$296</f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1"/>
        <v>106.601</v>
      </c>
      <c r="E111" s="50">
        <f>+D111/$D$296</f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1"/>
        <v>26.557467105263157</v>
      </c>
      <c r="E112" s="50">
        <f>+D112/$D$296</f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1"/>
        <v>-22604.04284210526</v>
      </c>
      <c r="E113" s="50">
        <f>+D113/$D$296</f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1"/>
        <v>20197.36842105263</v>
      </c>
      <c r="E114" s="50">
        <f>+D114/$D$296</f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1"/>
        <v>4291.2809210526311</v>
      </c>
      <c r="E115" s="50">
        <f>+D115/$D$296</f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1"/>
        <v>927.68789473684217</v>
      </c>
      <c r="E116" s="50">
        <f>+D116/$D$296</f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1"/>
        <v>2683.3881578947367</v>
      </c>
      <c r="E117" s="50">
        <f>+D117/$D$296</f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1"/>
        <v>12828.947368421053</v>
      </c>
      <c r="E118" s="50">
        <f>+D118/$D$296</f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1"/>
        <v>-254.74944078947371</v>
      </c>
      <c r="E119" s="50">
        <f>+D119/$D$296</f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2">+C120/$D$3</f>
        <v>2271.8076381578949</v>
      </c>
      <c r="E120" s="50">
        <f>+D120/$D$296</f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2"/>
        <v>668.68421052631584</v>
      </c>
      <c r="E121" s="50">
        <f>+D121/$D$296</f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2"/>
        <v>18959.200401315789</v>
      </c>
      <c r="E122" s="50">
        <f>+D122/$D$296</f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2"/>
        <v>16.319078947368421</v>
      </c>
      <c r="E123" s="50">
        <f>+D123/$D$296</f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2"/>
        <v>886.41640131578947</v>
      </c>
      <c r="E124" s="50">
        <f>+D124/$D$296</f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2"/>
        <v>1513.1578947368421</v>
      </c>
      <c r="E125" s="50">
        <f>+D125/$D$296</f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2"/>
        <v>2293.6325065789474</v>
      </c>
      <c r="E126" s="50">
        <f>+D126/$D$296</f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2"/>
        <v>1162.1731578947367</v>
      </c>
      <c r="E127" s="50">
        <f>+D127/$D$296</f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2"/>
        <v>1197.3684210526317</v>
      </c>
      <c r="E128" s="50">
        <f>+D128/$D$296</f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2"/>
        <v>2266.1184210526317</v>
      </c>
      <c r="E129" s="50">
        <f>+D129/$D$296</f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2"/>
        <v>501.9736842105263</v>
      </c>
      <c r="E130" s="50">
        <f>+D130/$D$296</f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2"/>
        <v>437.42028947368419</v>
      </c>
      <c r="E131" s="50">
        <f>+D131/$D$296</f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2"/>
        <v>224.75631578947366</v>
      </c>
      <c r="E132" s="50">
        <f>+D132/$D$296</f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2"/>
        <v>480.14917105263157</v>
      </c>
      <c r="E133" s="50">
        <f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2"/>
        <v>2900.6992631578946</v>
      </c>
      <c r="E134" s="50">
        <f>+D134/$D$296</f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2"/>
        <v>88761.020190789466</v>
      </c>
      <c r="E135" s="50">
        <f>+D135/$D$296</f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2"/>
        <v>382.57017763157899</v>
      </c>
      <c r="E136" s="50">
        <f>+D136/$D$296</f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2"/>
        <v>197.5858552631579</v>
      </c>
      <c r="E137" s="50">
        <f>+D137/$D$296</f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2"/>
        <v>5480.7658157894739</v>
      </c>
      <c r="E138" s="50">
        <f>+D138/$D$296</f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2"/>
        <v>1069.1981907894738</v>
      </c>
      <c r="E139" s="50">
        <f>+D139/$D$296</f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2"/>
        <v>3097.7763684210527</v>
      </c>
      <c r="E140" s="50">
        <f>+D140/$D$296</f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2"/>
        <v>3170.3947368421054</v>
      </c>
      <c r="E141" s="50">
        <f>+D141/$D$296</f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2"/>
        <v>143.763375</v>
      </c>
      <c r="E142" s="50">
        <f>+D142/$D$296</f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2"/>
        <v>916.97782894736849</v>
      </c>
      <c r="E143" s="50">
        <f>+D143/$D$296</f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2"/>
        <v>14926.488578947368</v>
      </c>
      <c r="E144" s="50">
        <f>+D144/$D$296</f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2"/>
        <v>227.75364473684209</v>
      </c>
      <c r="E145" s="50">
        <f>+D145/$D$296</f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2"/>
        <v>2533.8916973684209</v>
      </c>
      <c r="E146" s="50">
        <f>+D146/$D$296</f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2"/>
        <v>602.96052631578948</v>
      </c>
      <c r="E147" s="50">
        <f>+D147/$D$296</f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2"/>
        <v>1720.4926315789473</v>
      </c>
      <c r="E148" s="50">
        <f>+D148/$D$296</f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2"/>
        <v>10788.105263157895</v>
      </c>
      <c r="E149" s="50">
        <f>+D149/$D$296</f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2"/>
        <v>87531.805585526308</v>
      </c>
      <c r="E150" s="50">
        <f>+D150/$D$296</f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2"/>
        <v>1162.1501644736843</v>
      </c>
      <c r="E151" s="50">
        <f>+D151/$D$296</f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2"/>
        <v>413.50157894736844</v>
      </c>
      <c r="E152" s="50">
        <f>+D152/$D$296</f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2"/>
        <v>3879.5335526315789</v>
      </c>
      <c r="E153" s="50">
        <f>+D153/$D$296</f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2"/>
        <v>419.31778289473687</v>
      </c>
      <c r="E154" s="50">
        <f>+D154/$D$296</f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2"/>
        <v>33357.498684210528</v>
      </c>
      <c r="E155" s="50">
        <f>+D155/$D$296</f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2"/>
        <v>190.39190789473685</v>
      </c>
      <c r="E156" s="50">
        <f>+D156/$D$296</f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2"/>
        <v>250.27630921052631</v>
      </c>
      <c r="E157" s="50">
        <f>+D157/$D$296</f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2"/>
        <v>38160.463276315786</v>
      </c>
      <c r="E158" s="50">
        <f>+D158/$D$296</f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2"/>
        <v>577.95403289473688</v>
      </c>
      <c r="E159" s="50">
        <f>+D159/$D$296</f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2"/>
        <v>741.125</v>
      </c>
      <c r="E160" s="50">
        <f>+D160/$D$296</f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2"/>
        <v>142946.35676973683</v>
      </c>
      <c r="E161" s="50">
        <f>+D161/$D$296</f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2"/>
        <v>220.42473684210526</v>
      </c>
      <c r="E162" s="50">
        <f>+D162/$D$296</f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2"/>
        <v>1172.7910526315789</v>
      </c>
      <c r="E163" s="50">
        <f>+D163/$D$296</f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2"/>
        <v>3000.8625000000002</v>
      </c>
      <c r="E164" s="50">
        <f>+D164/$D$296</f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2"/>
        <v>763.43835526315797</v>
      </c>
      <c r="E165" s="50">
        <f>+D165/$D$296</f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2"/>
        <v>1886.7836842105264</v>
      </c>
      <c r="E166" s="50">
        <f>+D166/$D$296</f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2"/>
        <v>1217.9605263157894</v>
      </c>
      <c r="E167" s="50">
        <f>+D167/$D$296</f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2"/>
        <v>5053.875</v>
      </c>
      <c r="E168" s="50">
        <f>+D168/$D$296</f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2"/>
        <v>134.01315789473685</v>
      </c>
      <c r="E169" s="50">
        <f>+D169/$D$296</f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2"/>
        <v>2574.4342105263158</v>
      </c>
      <c r="E170" s="50">
        <f>+D170/$D$296</f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2"/>
        <v>246.55648026315788</v>
      </c>
      <c r="E171" s="50">
        <f>+D171/$D$296</f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2"/>
        <v>599.66644736842102</v>
      </c>
      <c r="E172" s="50">
        <f>+D172/$D$296</f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2"/>
        <v>15859.822967105263</v>
      </c>
      <c r="E173" s="50">
        <f>+D173/$D$296</f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2"/>
        <v>1919.840802631579</v>
      </c>
      <c r="E174" s="50">
        <f>+D174/$D$296</f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2"/>
        <v>1875</v>
      </c>
      <c r="E175" s="50">
        <f>+D175/$D$296</f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2"/>
        <v>1473.0635526315791</v>
      </c>
      <c r="E176" s="50">
        <f>+D176/$D$296</f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2"/>
        <v>406.31578947368422</v>
      </c>
      <c r="E177" s="50">
        <f>+D177/$D$296</f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2"/>
        <v>9265.9973092105265</v>
      </c>
      <c r="E178" s="50">
        <f>+D178/$D$296</f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2"/>
        <v>113376.94428289474</v>
      </c>
      <c r="E179" s="50">
        <f>+D179/$D$296</f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2"/>
        <v>487.93504605263161</v>
      </c>
      <c r="E180" s="50">
        <f>+D180/$D$296</f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2"/>
        <v>44808.365131578947</v>
      </c>
      <c r="E181" s="50">
        <f>+D181/$D$296</f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2"/>
        <v>24911.216335526315</v>
      </c>
      <c r="E182" s="50">
        <f>+D182/$D$296</f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2"/>
        <v>5412.2318815789477</v>
      </c>
      <c r="E183" s="50">
        <f>+D183/$D$296</f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3">+C184/$D$3</f>
        <v>141.62580263157895</v>
      </c>
      <c r="E184" s="50">
        <f>+D184/$D$296</f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3"/>
        <v>2082.601052631579</v>
      </c>
      <c r="E185" s="50">
        <f>+D185/$D$296</f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3"/>
        <v>38.657894736842103</v>
      </c>
      <c r="E186" s="50">
        <f>+D186/$D$296</f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3"/>
        <v>2304.2909078947368</v>
      </c>
      <c r="E187" s="50">
        <f>+D187/$D$296</f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3"/>
        <v>46.907197368421052</v>
      </c>
      <c r="E188" s="50">
        <f>+D188/$D$296</f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3"/>
        <v>15908.41144736842</v>
      </c>
      <c r="E189" s="50">
        <f>+D189/$D$296</f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3"/>
        <v>1007.7226973684211</v>
      </c>
      <c r="E190" s="50">
        <f>+D190/$D$296</f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3"/>
        <v>39617.612361842104</v>
      </c>
      <c r="E191" s="50">
        <f>+D191/$D$296</f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3"/>
        <v>931.38157894736844</v>
      </c>
      <c r="E192" s="50">
        <f>+D192/$D$296</f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3"/>
        <v>212.91728947368424</v>
      </c>
      <c r="E193" s="50">
        <f>+D193/$D$296</f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3"/>
        <v>3949.3312697368424</v>
      </c>
      <c r="E194" s="50">
        <f>+D194/$D$296</f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3"/>
        <v>8783.9799144736844</v>
      </c>
      <c r="E195" s="50">
        <f>+D195/$D$296</f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3"/>
        <v>4833.6315789473683</v>
      </c>
      <c r="E196" s="50">
        <f>+D196/$D$296</f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3"/>
        <v>2008.0176973684211</v>
      </c>
      <c r="E197" s="50">
        <f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3"/>
        <v>201.32739473684211</v>
      </c>
      <c r="E198" s="50">
        <f>+D198/$D$296</f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3"/>
        <v>6805.0397697368417</v>
      </c>
      <c r="E199" s="50">
        <f>+D199/$D$296</f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3"/>
        <v>67466.799315789467</v>
      </c>
      <c r="E200" s="50">
        <f>+D200/$D$296</f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3"/>
        <v>339.01971052631581</v>
      </c>
      <c r="E201" s="50">
        <f>+D201/$D$296</f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3"/>
        <v>20736.236842105263</v>
      </c>
      <c r="E202" s="50">
        <f>+D202/$D$296</f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3"/>
        <v>14807.107217105262</v>
      </c>
      <c r="E203" s="50">
        <f>+D203/$D$296</f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3"/>
        <v>1538.8815789473683</v>
      </c>
      <c r="E204" s="50">
        <f>+D204/$D$296</f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3"/>
        <v>20097.126921052633</v>
      </c>
      <c r="E205" s="50">
        <f>+D205/$D$296</f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3"/>
        <v>647.37942763157889</v>
      </c>
      <c r="E206" s="50">
        <f>+D206/$D$296</f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3"/>
        <v>1422.9440789473683</v>
      </c>
      <c r="E207" s="50">
        <f>+D207/$D$296</f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3"/>
        <v>-1.7751710526315791</v>
      </c>
      <c r="E208" s="50">
        <f>+D208/$D$296</f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3"/>
        <v>92675.922697368427</v>
      </c>
      <c r="E209" s="50">
        <f>+D209/$D$296</f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3"/>
        <v>6917.9592960526325</v>
      </c>
      <c r="E210" s="50">
        <f>+D210/$D$296</f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3"/>
        <v>59479.884868421053</v>
      </c>
      <c r="E211" s="50">
        <f>+D211/$D$296</f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3"/>
        <v>922.37894736842111</v>
      </c>
      <c r="E212" s="50">
        <f>+D212/$D$296</f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3"/>
        <v>55805.383151315793</v>
      </c>
      <c r="E213" s="50">
        <f>+D213/$D$296</f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3"/>
        <v>1991.2558223684211</v>
      </c>
      <c r="E214" s="50">
        <f>+D214/$D$296</f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3"/>
        <v>307.67578947368423</v>
      </c>
      <c r="E215" s="50">
        <f>+D215/$D$296</f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3"/>
        <v>1725.9103618421052</v>
      </c>
      <c r="E216" s="50">
        <f>+D216/$D$296</f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3"/>
        <v>93102.105263157893</v>
      </c>
      <c r="E217" s="50">
        <f>+D217/$D$296</f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3"/>
        <v>9395.0798947368421</v>
      </c>
      <c r="E218" s="50">
        <f>+D218/$D$296</f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3"/>
        <v>19062.276315789473</v>
      </c>
      <c r="E219" s="50">
        <f>+D219/$D$296</f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3"/>
        <v>3304.1108289473682</v>
      </c>
      <c r="E220" s="50">
        <f>+D220/$D$296</f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3"/>
        <v>26440.78947368421</v>
      </c>
      <c r="E221" s="50">
        <f>+D221/$D$296</f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3"/>
        <v>489.9780657894737</v>
      </c>
      <c r="E222" s="50">
        <f>+D222/$D$296</f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3"/>
        <v>140.10526315789474</v>
      </c>
      <c r="E223" s="50">
        <f>+D223/$D$296</f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3"/>
        <v>10644.736842105263</v>
      </c>
      <c r="E224" s="50">
        <f>+D224/$D$296</f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3"/>
        <v>11198.788815789474</v>
      </c>
      <c r="E225" s="50">
        <f>+D225/$D$296</f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3"/>
        <v>10191.785690789473</v>
      </c>
      <c r="E226" s="50">
        <f>+D226/$D$296</f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3"/>
        <v>27012.72095394737</v>
      </c>
      <c r="E227" s="50">
        <f>+D227/$D$296</f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3"/>
        <v>5910.4917894736836</v>
      </c>
      <c r="E228" s="50">
        <f>+D228/$D$296</f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3"/>
        <v>427.63157894736844</v>
      </c>
      <c r="E229" s="50">
        <f>+D229/$D$296</f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3"/>
        <v>84.77960526315789</v>
      </c>
      <c r="E230" s="50">
        <f>+D230/$D$296</f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3"/>
        <v>325.68480921052628</v>
      </c>
      <c r="E231" s="50">
        <f>+D231/$D$296</f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3"/>
        <v>361.84210526315792</v>
      </c>
      <c r="E232" s="50">
        <f>+D232/$D$296</f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3"/>
        <v>523.58552631578948</v>
      </c>
      <c r="E233" s="50">
        <f>+D233/$D$296</f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3"/>
        <v>1488.4194078947369</v>
      </c>
      <c r="E234" s="50">
        <f>+D234/$D$296</f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3"/>
        <v>827.01307236842115</v>
      </c>
      <c r="E235" s="50">
        <f>+D235/$D$296</f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3"/>
        <v>9225.2576842105263</v>
      </c>
      <c r="E236" s="50">
        <f>+D236/$D$296</f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3"/>
        <v>16364.21052631579</v>
      </c>
      <c r="E237" s="50">
        <f>+D237/$D$296</f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3"/>
        <v>1160.5263157894738</v>
      </c>
      <c r="E238" s="50">
        <f>+D238/$D$296</f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3"/>
        <v>574.64078947368421</v>
      </c>
      <c r="E239" s="50">
        <f>+D239/$D$296</f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3"/>
        <v>2132.9263157894738</v>
      </c>
      <c r="E240" s="50">
        <f>+D240/$D$296</f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3"/>
        <v>2327.2569342105262</v>
      </c>
      <c r="E241" s="50">
        <f>+D241/$D$296</f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3"/>
        <v>706.78289473684208</v>
      </c>
      <c r="E242" s="50">
        <f>+D242/$D$296</f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3"/>
        <v>88.15789473684211</v>
      </c>
      <c r="E243" s="50">
        <f>+D243/$D$296</f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3"/>
        <v>1119.9687631578947</v>
      </c>
      <c r="E244" s="50">
        <f>+D244/$D$296</f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3"/>
        <v>19841.315789473683</v>
      </c>
      <c r="E245" s="50">
        <f>+D245/$D$296</f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3"/>
        <v>532250.50736842107</v>
      </c>
      <c r="E246" s="50">
        <f>+D246/$D$296</f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3"/>
        <v>1379.4</v>
      </c>
      <c r="E247" s="50">
        <f>+D247/$D$296</f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4">+C248/$D$3</f>
        <v>2802.3794473684211</v>
      </c>
      <c r="E248" s="50">
        <f>+D248/$D$296</f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4"/>
        <v>24389.467348684208</v>
      </c>
      <c r="E249" s="50">
        <f>+D249/$D$296</f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4"/>
        <v>94410.526315789481</v>
      </c>
      <c r="E250" s="50">
        <f>+D250/$D$296</f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4"/>
        <v>5339.3286907894735</v>
      </c>
      <c r="E251" s="50">
        <f>+D251/$D$296</f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4"/>
        <v>5659.9342105263158</v>
      </c>
      <c r="E252" s="50">
        <f>+D252/$D$296</f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4"/>
        <v>20655</v>
      </c>
      <c r="E253" s="50">
        <f>+D253/$D$296</f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4"/>
        <v>17023.820618421054</v>
      </c>
      <c r="E254" s="50">
        <f>+D254/$D$296</f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4"/>
        <v>2897.9605263157896</v>
      </c>
      <c r="E255" s="50">
        <f>+D255/$D$296</f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4"/>
        <v>285.16515789473681</v>
      </c>
      <c r="E256" s="50">
        <f>+D256/$D$296</f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4"/>
        <v>87.565789473684205</v>
      </c>
      <c r="E257" s="50">
        <f>+D257/$D$296</f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4"/>
        <v>3618.4210526315787</v>
      </c>
      <c r="E258" s="50">
        <f>+D258/$D$296</f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4"/>
        <v>6157.894736842105</v>
      </c>
      <c r="E259" s="50">
        <f>+D259/$D$296</f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4"/>
        <v>1427.105144736842</v>
      </c>
      <c r="E260" s="50">
        <f>+D260/$D$296</f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4"/>
        <v>1337.3684210526317</v>
      </c>
      <c r="E261" s="50">
        <f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4"/>
        <v>407.89473684210526</v>
      </c>
      <c r="E262" s="50">
        <f>+D262/$D$296</f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4"/>
        <v>33366.137585526318</v>
      </c>
      <c r="E263" s="50">
        <f>+D263/$D$296</f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4"/>
        <v>582.95826973684211</v>
      </c>
      <c r="E264" s="50">
        <f>+D264/$D$296</f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4"/>
        <v>2927.5289342105266</v>
      </c>
      <c r="E265" s="50">
        <f>+D265/$D$296</f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4"/>
        <v>45.334210526315786</v>
      </c>
      <c r="E266" s="50">
        <f>+D266/$D$296</f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4"/>
        <v>15224.000190789473</v>
      </c>
      <c r="E267" s="50">
        <f>+D267/$D$296</f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4"/>
        <v>1030.6931184210528</v>
      </c>
      <c r="E268" s="50">
        <f>+D268/$D$296</f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4"/>
        <v>23.73179605263158</v>
      </c>
      <c r="E269" s="50">
        <f>+D269/$D$296</f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4"/>
        <v>1315.3980263157894</v>
      </c>
      <c r="E270" s="50">
        <f>+D270/$D$296</f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4"/>
        <v>470.58463157894738</v>
      </c>
      <c r="E271" s="50">
        <f>+D271/$D$296</f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4"/>
        <v>997.21996710526321</v>
      </c>
      <c r="E272" s="50">
        <f>+D272/$D$296</f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4"/>
        <v>-6.578947368421053E-6</v>
      </c>
      <c r="E273" s="50">
        <f>+D273/$D$296</f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4"/>
        <v>920.23684210526312</v>
      </c>
      <c r="E274" s="50">
        <f>+D274/$D$296</f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4"/>
        <v>32.411348684210523</v>
      </c>
      <c r="E275" s="50">
        <f>+D275/$D$296</f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4"/>
        <v>6089.8026315789475</v>
      </c>
      <c r="E276" s="50">
        <f>+D276/$D$296</f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4"/>
        <v>2987.2514539473682</v>
      </c>
      <c r="E277" s="50">
        <f>+D277/$D$296</f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4"/>
        <v>4271.3919736842108</v>
      </c>
      <c r="E278" s="50">
        <f>+D278/$D$296</f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4"/>
        <v>-251.29941447368421</v>
      </c>
      <c r="E279" s="50">
        <f>+D279/$D$296</f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4"/>
        <v>131.57894736842104</v>
      </c>
      <c r="E280" s="50">
        <f>+D280/$D$296</f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4"/>
        <v>559.21052631578948</v>
      </c>
      <c r="E281" s="50">
        <f>+D281/$D$296</f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4"/>
        <v>1065.5270986842104</v>
      </c>
      <c r="E282" s="50">
        <f>+D282/$D$296</f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4"/>
        <v>850.51855263157893</v>
      </c>
      <c r="E283" s="50">
        <f>+D283/$D$296</f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4"/>
        <v>68005.393697368418</v>
      </c>
      <c r="E284" s="50">
        <f>+D284/$D$296</f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4"/>
        <v>392.5263157894737</v>
      </c>
      <c r="E285" s="50">
        <f>+D285/$D$296</f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4"/>
        <v>3576.7440789473685</v>
      </c>
      <c r="E286" s="50">
        <f>+D286/$D$296</f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4"/>
        <v>128.10843421052633</v>
      </c>
      <c r="E287" s="50">
        <f>+D287/$D$296</f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4"/>
        <v>7302.6315789473683</v>
      </c>
      <c r="E288" s="50">
        <f>+D288/$D$296</f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4"/>
        <v>24846.405276315792</v>
      </c>
      <c r="E289" s="50">
        <f>+D289/$D$296</f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4"/>
        <v>356852.09064473683</v>
      </c>
      <c r="E290" s="50">
        <f>+D290/$D$296</f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4"/>
        <v>234.3578947368421</v>
      </c>
      <c r="E291" s="50">
        <f>+D291/$D$296</f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4"/>
        <v>341.67438815789473</v>
      </c>
      <c r="E292" s="50">
        <f>+D292/$D$296</f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4"/>
        <v>4266.2812631578945</v>
      </c>
      <c r="E293" s="50">
        <f>+D293/$D$296</f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4"/>
        <v>12777.700657894737</v>
      </c>
      <c r="E294" s="50">
        <f>+D294/$D$296</f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4"/>
        <v>435982.08759210526</v>
      </c>
      <c r="E295" s="50">
        <f>+D295/$D$296</f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0" t="s">
        <v>167</v>
      </c>
      <c r="B298" s="80"/>
      <c r="C298" s="80"/>
      <c r="D298" s="80"/>
      <c r="E298" s="80"/>
      <c r="F298" s="80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tabSelected="1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137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155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120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3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52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93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44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46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120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135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65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121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71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70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17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289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306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-46314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-46314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-46314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-46314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-46314</v>
      </c>
      <c r="J27" s="44"/>
    </row>
    <row r="29" spans="1:10" x14ac:dyDescent="0.25">
      <c r="A29" s="80" t="s">
        <v>180</v>
      </c>
      <c r="B29" s="80"/>
      <c r="C29" s="80"/>
      <c r="D29" s="80"/>
      <c r="E29" s="80"/>
      <c r="F29" s="80"/>
      <c r="G29" s="80"/>
      <c r="H29" s="80"/>
      <c r="I29" s="80"/>
      <c r="J29" s="80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2026-10-19T17:19:06Z</dcterms:modified>
  <dc:language>en-US</dc:language>
</cp:coreProperties>
</file>