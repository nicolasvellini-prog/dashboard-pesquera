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DABB011A-9781-4775-8FCF-CF653ACAF7E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0" i="2" l="1"/>
  <c r="AI179" i="2"/>
  <c r="AH180" i="2"/>
  <c r="AH179" i="2"/>
  <c r="AG180" i="2"/>
  <c r="AG179" i="2"/>
  <c r="AF180" i="2"/>
  <c r="AF179" i="2"/>
  <c r="AE180" i="2"/>
  <c r="AE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0" i="6" l="1"/>
  <c r="H179" i="6"/>
  <c r="AE166" i="2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<sst xmlns="http://schemas.openxmlformats.org/spreadsheetml/2006/main" count="4381" uniqueCount="1327">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</sst>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65" activePane="bottomLeft" state="frozen"/>
      <selection activeCell="A3" sqref="A3"/>
      <selection pane="bottomLeft" activeCell="A179" sqref="A179:XFD180"/>
    </sheetView>
  </sheetViews>
  <sheetFormatPr baseColWidth="10" defaultColWidth="8.7109375" defaultRowHeight="15" x14ac:dyDescent="0.25"/>
  <cols>
    <col min="1" max="1" width="10.710937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7.4257812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6.14062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9.5703125" bestFit="1" customWidth="1"/>
    <col min="34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8" t="s">
        <v>57</v>
      </c>
      <c r="D2" s="78"/>
      <c r="E2" s="78"/>
      <c r="F2" s="78"/>
      <c r="G2" s="78"/>
      <c r="H2" s="78"/>
      <c r="I2" s="78"/>
      <c r="J2" s="79" t="s">
        <v>58</v>
      </c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80" t="s">
        <v>59</v>
      </c>
      <c r="X2" s="80"/>
      <c r="Y2" s="80"/>
      <c r="Z2" s="80"/>
      <c r="AA2" s="80"/>
      <c r="AB2" s="80"/>
      <c r="AC2" s="80"/>
      <c r="AD2" s="80"/>
      <c r="AE2" s="80"/>
      <c r="AF2" s="1"/>
      <c r="AG2" s="81"/>
      <c r="AH2" s="81"/>
      <c r="AI2" s="81"/>
      <c r="AJ2" s="81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>+Z174</f>
        <v>179326122.93125013</v>
      </c>
      <c r="AA175" s="63">
        <v>6184142577</v>
      </c>
      <c r="AB175" s="63">
        <v>1374034.35</v>
      </c>
      <c r="AC175" s="63">
        <f t="shared" ref="AC175:AE178" si="56">+AC174</f>
        <v>17800000</v>
      </c>
      <c r="AD175" s="63">
        <f t="shared" si="56"/>
        <v>245288.76712328769</v>
      </c>
      <c r="AE175" s="63">
        <f t="shared" si="56"/>
        <v>324663.09794520552</v>
      </c>
      <c r="AF175" s="63">
        <f>+'[1]CF Dia V1'!$GA$97</f>
        <v>17389013.649</v>
      </c>
      <c r="AG175" s="63">
        <f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>+Z175</f>
        <v>179326122.93125013</v>
      </c>
      <c r="AA176" s="63">
        <v>6180350000</v>
      </c>
      <c r="AB176" s="63">
        <v>1374034.35</v>
      </c>
      <c r="AC176" s="63">
        <f t="shared" si="56"/>
        <v>17800000</v>
      </c>
      <c r="AD176" s="63">
        <f t="shared" si="56"/>
        <v>245288.76712328769</v>
      </c>
      <c r="AE176" s="63">
        <f t="shared" si="56"/>
        <v>324663.09794520552</v>
      </c>
      <c r="AF176" s="63">
        <f>+'[1]CF Dia V1'!$GB$97</f>
        <v>17298912.278999999</v>
      </c>
      <c r="AG176" s="63">
        <f>+AG175</f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>+Z176</f>
        <v>179326122.93125013</v>
      </c>
      <c r="AA177" s="63">
        <v>6180350000</v>
      </c>
      <c r="AB177" s="63">
        <v>1374034.35</v>
      </c>
      <c r="AC177" s="63">
        <f t="shared" si="56"/>
        <v>17800000</v>
      </c>
      <c r="AD177" s="63">
        <f t="shared" si="56"/>
        <v>245288.76712328769</v>
      </c>
      <c r="AE177" s="63">
        <f t="shared" si="56"/>
        <v>324663.09794520552</v>
      </c>
      <c r="AF177" s="63">
        <f>+'[1]CF Dia V1'!$GC$97</f>
        <v>16712000.329</v>
      </c>
      <c r="AG177" s="63">
        <f>+AG176</f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>+Z177</f>
        <v>179326122.93125013</v>
      </c>
      <c r="AA178" s="63">
        <v>6184142757</v>
      </c>
      <c r="AB178" s="63">
        <v>1374034.35</v>
      </c>
      <c r="AC178" s="63">
        <f t="shared" si="56"/>
        <v>17800000</v>
      </c>
      <c r="AD178" s="63">
        <f t="shared" si="56"/>
        <v>245288.76712328769</v>
      </c>
      <c r="AE178" s="63">
        <f t="shared" si="56"/>
        <v>324663.09794520552</v>
      </c>
      <c r="AF178" s="63">
        <f>+'[1]CF Dia V1'!$GD$97</f>
        <v>15603011.429000001</v>
      </c>
      <c r="AG178" s="63">
        <f>+AG177</f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s="13" customFormat="1" ht="15.75" customHeight="1" x14ac:dyDescent="0.25">
      <c r="A179" s="13">
        <v>46315</v>
      </c>
      <c r="B179" s="13">
        <v>1520</v>
      </c>
      <c r="D179" s="13">
        <v>1109337000</v>
      </c>
      <c r="E179" s="13">
        <v>72028000</v>
      </c>
      <c r="F179" s="13">
        <v>47500000</v>
      </c>
      <c r="G179" s="13">
        <v>143521000</v>
      </c>
      <c r="H179" s="13">
        <v>3651000</v>
      </c>
      <c r="I179" s="13">
        <v>1287841000</v>
      </c>
      <c r="J179" s="13">
        <v>226468938</v>
      </c>
      <c r="L179" s="13">
        <v>232750043</v>
      </c>
      <c r="P179" s="13">
        <v>41333255</v>
      </c>
      <c r="Q179" s="13">
        <v>64386868</v>
      </c>
      <c r="V179" s="13">
        <v>105000000</v>
      </c>
      <c r="X179" s="13">
        <v>1043088000</v>
      </c>
      <c r="Y179" s="13">
        <v>3201397000</v>
      </c>
      <c r="Z179" s="13">
        <f>+Z178</f>
        <v>179326122.93125013</v>
      </c>
      <c r="AA179" s="13">
        <v>6175150000</v>
      </c>
      <c r="AB179" s="13">
        <f>+AB178</f>
        <v>1374034.35</v>
      </c>
      <c r="AC179" s="13">
        <f>+AC178</f>
        <v>17800000</v>
      </c>
      <c r="AD179" s="13">
        <f>+AD178</f>
        <v>245288.76712328769</v>
      </c>
      <c r="AE179" s="13">
        <f>+AE178</f>
        <v>324663.09794520552</v>
      </c>
      <c r="AF179" s="13">
        <f>+'[1]CF Dia V1'!$GE$97</f>
        <v>17806558.879000001</v>
      </c>
      <c r="AG179" s="13">
        <f>+AG178</f>
        <v>5582721359</v>
      </c>
      <c r="AH179" s="13">
        <f>+'[1]CF Dia V1'!$GE$24+'[1]CF Dia V1'!$GE$25</f>
        <v>1473556400</v>
      </c>
      <c r="AI179" s="13">
        <f>+'[1]CF Dia V1'!$GE$29</f>
        <v>14026256000</v>
      </c>
    </row>
    <row r="180" spans="1:37" s="13" customFormat="1" ht="15.75" customHeight="1" x14ac:dyDescent="0.25">
      <c r="A180" s="13">
        <v>46316</v>
      </c>
      <c r="B180" s="13">
        <v>1520.5</v>
      </c>
      <c r="D180" s="13">
        <v>1202903000</v>
      </c>
      <c r="E180" s="13">
        <v>33884000</v>
      </c>
      <c r="F180" s="13">
        <v>16637000</v>
      </c>
      <c r="G180" s="13">
        <v>36521000</v>
      </c>
      <c r="H180" s="13">
        <v>105701000</v>
      </c>
      <c r="I180" s="13">
        <v>1106215000</v>
      </c>
      <c r="J180" s="13">
        <v>158155647</v>
      </c>
      <c r="L180" s="13">
        <v>239849900</v>
      </c>
      <c r="P180" s="13">
        <v>189490155</v>
      </c>
      <c r="Q180" s="13">
        <v>166923129</v>
      </c>
      <c r="X180" s="13">
        <v>1225804000</v>
      </c>
      <c r="Y180" s="13">
        <v>3168735415</v>
      </c>
      <c r="Z180" s="13">
        <f>+Z179</f>
        <v>179326122.93125013</v>
      </c>
      <c r="AA180" s="13">
        <v>6230779000</v>
      </c>
      <c r="AB180" s="13">
        <f>+AB179</f>
        <v>1374034.35</v>
      </c>
      <c r="AC180" s="13">
        <f>+AC179</f>
        <v>17800000</v>
      </c>
      <c r="AD180" s="13">
        <f>+AD179</f>
        <v>245288.76712328769</v>
      </c>
      <c r="AE180" s="13">
        <f>+AE179</f>
        <v>324663.09794520552</v>
      </c>
      <c r="AF180" s="13">
        <f>+'[1]CF Dia V1'!$GF$97</f>
        <v>18181792.929000001</v>
      </c>
      <c r="AG180" s="13">
        <f>+AG179</f>
        <v>5582721359</v>
      </c>
      <c r="AH180" s="13">
        <f>+'[1]CF Dia V1'!$GF$24+'[1]CF Dia V1'!$GF$25</f>
        <v>1657614128.5</v>
      </c>
      <c r="AI180" s="13">
        <f>+'[1]CF Dia V1'!$GF$29</f>
        <v>13678684087.5</v>
      </c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2" t="s">
        <v>122</v>
      </c>
      <c r="B2" s="82"/>
      <c r="C2" s="82"/>
      <c r="D2" s="82"/>
      <c r="E2" s="82"/>
      <c r="F2" s="82"/>
      <c r="G2" s="82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3" t="s">
        <v>139</v>
      </c>
      <c r="B2" s="83"/>
      <c r="C2" s="83"/>
      <c r="D2" s="83"/>
      <c r="E2" s="83"/>
      <c r="F2" s="83"/>
      <c r="G2" s="83"/>
      <c r="H2" s="83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26716986.953839056</v>
      </c>
      <c r="F179" s="39" t="s">
        <v>146</v>
      </c>
      <c r="G179" s="39" t="s">
        <v>146</v>
      </c>
      <c r="H179" s="38">
        <f>IF(CARGA_DIARIA!A179="","",C179-D179-E179)</f>
        <v>6271461.8297662064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26849967.496180795</v>
      </c>
      <c r="F180" s="39" t="s">
        <v>146</v>
      </c>
      <c r="G180" s="39" t="s">
        <v>146</v>
      </c>
      <c r="H180" s="38">
        <f>IF(CARGA_DIARIA!A180="","",C180-D180-E180)</f>
        <v>6239067.6189421937</v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73" t="s">
        <v>158</v>
      </c>
      <c r="B2" s="73"/>
      <c r="C2" s="73"/>
      <c r="D2" s="73"/>
      <c r="E2" s="73"/>
      <c r="F2" s="73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324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74" t="s">
        <v>167</v>
      </c>
      <c r="B298" s="74"/>
      <c r="C298" s="74"/>
      <c r="D298" s="74"/>
      <c r="E298" s="74"/>
      <c r="F298" s="74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73" t="s">
        <v>169</v>
      </c>
      <c r="B2" s="73"/>
      <c r="C2" s="73"/>
      <c r="D2" s="73"/>
      <c r="E2" s="73"/>
      <c r="F2" s="73"/>
      <c r="G2" s="73"/>
      <c r="H2" s="73"/>
      <c r="I2" s="73"/>
      <c r="J2" s="73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135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153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118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50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91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42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44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118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133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63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119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69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68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15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287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304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-46316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-46316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-46316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-46316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-46316</v>
      </c>
      <c r="J27" s="44"/>
    </row>
    <row r="29" spans="1:10" x14ac:dyDescent="0.25">
      <c r="A29" s="74" t="s">
        <v>180</v>
      </c>
      <c r="B29" s="74"/>
      <c r="C29" s="74"/>
      <c r="D29" s="74"/>
      <c r="E29" s="74"/>
      <c r="F29" s="74"/>
      <c r="G29" s="74"/>
      <c r="H29" s="74"/>
      <c r="I29" s="74"/>
      <c r="J29" s="74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2026-10-21T15:32:42Z</dcterms:modified>
  <dc:language>en-US</dc:language>
</cp:coreProperties>
</file>