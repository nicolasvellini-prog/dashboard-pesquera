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RGA_DIARIA" sheetId="2" state="visible" r:id="rId4"/>
    <sheet name="CREDITOS_EXTERIOR" sheetId="3" state="visible" r:id="rId5"/>
    <sheet name="DIVISAS" sheetId="4" state="visible" r:id="rId6"/>
    <sheet name="VENCIMIENTOS" sheetId="5" state="visible" r:id="rId7"/>
    <sheet name="POSICION_NETA" sheetId="6" state="visible" r:id="rId8"/>
    <sheet name="CHEQUES" sheetId="7" state="visible" r:id="rId9"/>
    <sheet name="PROVEEDORES_LOCAL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<sst xmlns="http://schemas.openxmlformats.org/spreadsheetml/2006/main" count="1232" uniqueCount="201">
  <si>
    <t xml:space="preserve">DASHBOARD FINANCIERO — EMPRESA PESQUERA</t>
  </si>
  <si>
    <t xml:space="preserve">Guía de uso y estructura del archivo</t>
  </si>
  <si>
    <t xml:space="preserve">📋 ESTRUCTURA DEL ARCHIVO</t>
  </si>
  <si>
    <t xml:space="preserve">Hoja</t>
  </si>
  <si>
    <t xml:space="preserve">Descripción</t>
  </si>
  <si>
    <t xml:space="preserve">INSTRUCCIONES</t>
  </si>
  <si>
    <t xml:space="preserve">Esta hoja — guía de uso</t>
  </si>
  <si>
    <t xml:space="preserve">CARGA_DIARIA</t>
  </si>
  <si>
    <t xml:space="preserve">Acá cargás los datos todos los días (una fila por día)</t>
  </si>
  <si>
    <t xml:space="preserve">ACTIVO_CORRIENTE</t>
  </si>
  <si>
    <t xml:space="preserve">Desglose diario de activos: bancos, cheques, divisas, créditos, FCI</t>
  </si>
  <si>
    <t xml:space="preserve">GASTOS_DIARIOS</t>
  </si>
  <si>
    <t xml:space="preserve">Detalle de egresos por sector (13 categorías)</t>
  </si>
  <si>
    <t xml:space="preserve">PASIVO_CORRIENTE</t>
  </si>
  <si>
    <t xml:space="preserve">Compromisos y deudas a corto plazo</t>
  </si>
  <si>
    <t xml:space="preserve">VENCIMIENTOS</t>
  </si>
  <si>
    <t xml:space="preserve">Cheques a cobrar y pagar en los próximos 30 días</t>
  </si>
  <si>
    <t xml:space="preserve">AJUSTES</t>
  </si>
  <si>
    <t xml:space="preserve">Stock a precio de venta, posición fiscal, otras deudas</t>
  </si>
  <si>
    <t xml:space="preserve">POSICION_NETA</t>
  </si>
  <si>
    <t xml:space="preserve">Hoja de cálculo automática — no modificar</t>
  </si>
  <si>
    <t xml:space="preserve">🎨 CONVENCIÓN DE COLORES</t>
  </si>
  <si>
    <t xml:space="preserve">Color</t>
  </si>
  <si>
    <t xml:space="preserve">Significado</t>
  </si>
  <si>
    <t xml:space="preserve">Texto AZUL</t>
  </si>
  <si>
    <t xml:space="preserve">Dato a ingresar manualmente (input)</t>
  </si>
  <si>
    <t xml:space="preserve">Texto NEGRO</t>
  </si>
  <si>
    <t xml:space="preserve">Fórmula calculada automáticamente — no modificar</t>
  </si>
  <si>
    <t xml:space="preserve">Texto VERDE</t>
  </si>
  <si>
    <t xml:space="preserve">Vínculo a otra hoja del mismo archivo</t>
  </si>
  <si>
    <t xml:space="preserve">Fondo AMARILLO</t>
  </si>
  <si>
    <t xml:space="preserve">Celda importante que requiere atención o actualización</t>
  </si>
  <si>
    <t xml:space="preserve">📌 INSTRUCCIONES DE CARGA DIARIA</t>
  </si>
  <si>
    <t xml:space="preserve">1.</t>
  </si>
  <si>
    <t xml:space="preserve">Abrir la hoja CARGA_DIARIA</t>
  </si>
  <si>
    <t xml:space="preserve">2.</t>
  </si>
  <si>
    <t xml:space="preserve">Ir a la última fila con datos e insertar una nueva fila debajo</t>
  </si>
  <si>
    <t xml:space="preserve">3.</t>
  </si>
  <si>
    <t xml:space="preserve">Ingresar la fecha del día en la columna A (formato DD/MM/AAAA)</t>
  </si>
  <si>
    <t xml:space="preserve">4.</t>
  </si>
  <si>
    <t xml:space="preserve">Ingresar el tipo de cambio BNA del día en la columna B</t>
  </si>
  <si>
    <t xml:space="preserve">5.</t>
  </si>
  <si>
    <t xml:space="preserve">Completar el resto de columnas con los valores en PESOS del día</t>
  </si>
  <si>
    <t xml:space="preserve">6.</t>
  </si>
  <si>
    <t xml:space="preserve">Los valores en USD se calculan automáticamente dividiendo por el TC</t>
  </si>
  <si>
    <t xml:space="preserve">7.</t>
  </si>
  <si>
    <t xml:space="preserve">La hoja POSICION_NETA se actualiza automáticamente</t>
  </si>
  <si>
    <t xml:space="preserve">⚠️  IMPORTANTE</t>
  </si>
  <si>
    <t xml:space="preserve">•</t>
  </si>
  <si>
    <t xml:space="preserve">No eliminar ni mover filas de encabezado</t>
  </si>
  <si>
    <t xml:space="preserve">No modificar las hojas de fórmulas (POSICION_NETA)</t>
  </si>
  <si>
    <t xml:space="preserve">Siempre cargar valores en PESOS — el dashboard convierte a USD</t>
  </si>
  <si>
    <t xml:space="preserve">Los cheques en cartera cargar en hoja VENCIMIENTOS con fecha de acreditación</t>
  </si>
  <si>
    <t xml:space="preserve">Guardar el archivo con Ctrl+S después de cada carga</t>
  </si>
  <si>
    <t xml:space="preserve">CARGA DIARIA — POSICIÓN FINANCIERA  |  Valores en PESOS argentinos (ARS)</t>
  </si>
  <si>
    <t xml:space="preserve">FECHA</t>
  </si>
  <si>
    <t xml:space="preserve">TIPO DE CAMBIO BNA (ARS/USD)</t>
  </si>
  <si>
    <t xml:space="preserve">ACTIVO CORRIENTE (ARS)</t>
  </si>
  <si>
    <t xml:space="preserve">GASTOS DEL DÍA POR SECTOR (ARS)</t>
  </si>
  <si>
    <t xml:space="preserve">PASIVO CORRIENTE (ARS)</t>
  </si>
  <si>
    <t xml:space="preserve">Fecha</t>
  </si>
  <si>
    <t xml:space="preserve">TC BNA
(ARS/USD)</t>
  </si>
  <si>
    <t xml:space="preserve">Efectivo
(MI)</t>
  </si>
  <si>
    <t xml:space="preserve">Cheques
en cartera</t>
  </si>
  <si>
    <t xml:space="preserve">Banco
Patagonia</t>
  </si>
  <si>
    <t xml:space="preserve">Banco
Galicia</t>
  </si>
  <si>
    <t xml:space="preserve">Banco
Francés</t>
  </si>
  <si>
    <t xml:space="preserve">Banco
Santander</t>
  </si>
  <si>
    <t xml:space="preserve">Créditos
MI</t>
  </si>
  <si>
    <t xml:space="preserve">Proveedores</t>
  </si>
  <si>
    <t xml:space="preserve">Aranceles
y Cánones</t>
  </si>
  <si>
    <t xml:space="preserve">Comercio
Exterior</t>
  </si>
  <si>
    <t xml:space="preserve">Directores /
Accionistas</t>
  </si>
  <si>
    <t xml:space="preserve">Empresas
del Grupo</t>
  </si>
  <si>
    <t xml:space="preserve">Gastos
de Buques</t>
  </si>
  <si>
    <t xml:space="preserve">Impuestos
y Tasas</t>
  </si>
  <si>
    <t xml:space="preserve">RRHH</t>
  </si>
  <si>
    <t xml:space="preserve">Servicios
Varios</t>
  </si>
  <si>
    <t xml:space="preserve">Retiros
Particulares</t>
  </si>
  <si>
    <t xml:space="preserve">Pago
Importaciones</t>
  </si>
  <si>
    <t xml:space="preserve">Compra
Dólares (CCL)</t>
  </si>
  <si>
    <t xml:space="preserve">Pago
Préstamos</t>
  </si>
  <si>
    <t xml:space="preserve">Otros
Gastos</t>
  </si>
  <si>
    <t xml:space="preserve">Cheques
Emitidos</t>
  </si>
  <si>
    <t xml:space="preserve">Gs. Presup.
Próximos</t>
  </si>
  <si>
    <t xml:space="preserve">Préstamos
ML
(ARS)</t>
  </si>
  <si>
    <t xml:space="preserve">Deuda
Proveed. MI</t>
  </si>
  <si>
    <t xml:space="preserve">Deuda
Proveed. Ext.
(USD)</t>
  </si>
  <si>
    <t xml:space="preserve">Préstamos
ME
(USD)</t>
  </si>
  <si>
    <t xml:space="preserve">Intereses
Proy.
(USD)</t>
  </si>
  <si>
    <t xml:space="preserve">Otras
Deudas
(USD)</t>
  </si>
  <si>
    <t xml:space="preserve">Stock a
Precio Venta
(USD)</t>
  </si>
  <si>
    <t xml:space="preserve">Posición
Fiscal</t>
  </si>
  <si>
    <t xml:space="preserve">Divisas
Disp. (ARS eq.)</t>
  </si>
  <si>
    <t xml:space="preserve">Créditos
Exterior (ARS eq.)</t>
  </si>
  <si>
    <t xml:space="preserve">Inversiones
FCI</t>
  </si>
  <si>
    <t xml:space="preserve">CRÉDITOS POR VENTAS AL EXTERIOR — Facturas de exportación pendientes de cobro</t>
  </si>
  <si>
    <t xml:space="preserve">N° Factura</t>
  </si>
  <si>
    <t xml:space="preserve">Cliente (País)</t>
  </si>
  <si>
    <t xml:space="preserve">Fecha Factura</t>
  </si>
  <si>
    <t xml:space="preserve">Fecha Vto.</t>
  </si>
  <si>
    <t xml:space="preserve">Días al vto.</t>
  </si>
  <si>
    <t xml:space="preserve">Monto (USD)</t>
  </si>
  <si>
    <t xml:space="preserve">TC estimado</t>
  </si>
  <si>
    <t xml:space="preserve">ARS equivalente</t>
  </si>
  <si>
    <t xml:space="preserve">Estado</t>
  </si>
  <si>
    <t xml:space="preserve">EXP-2026-041</t>
  </si>
  <si>
    <t xml:space="preserve">Nordic Fish AS (Noruega)</t>
  </si>
  <si>
    <t xml:space="preserve">Pendiente</t>
  </si>
  <si>
    <t xml:space="preserve">EXP-2026-055</t>
  </si>
  <si>
    <t xml:space="preserve">Iberian Seafood SL (España)</t>
  </si>
  <si>
    <t xml:space="preserve">EXP-2026,062</t>
  </si>
  <si>
    <t xml:space="preserve">Ocean Trade LLC (EEUU)</t>
  </si>
  <si>
    <t xml:space="preserve">EXP-2026-071</t>
  </si>
  <si>
    <t xml:space="preserve">Maruha Nichiro (Japón)</t>
  </si>
  <si>
    <t xml:space="preserve">DIVISAS DISPONIBLES — Seguimiento diario de posición en USD</t>
  </si>
  <si>
    <t xml:space="preserve">TC BNA</t>
  </si>
  <si>
    <t xml:space="preserve">Patag. (USD)</t>
  </si>
  <si>
    <t xml:space="preserve">Francés (USD)</t>
  </si>
  <si>
    <t xml:space="preserve">Total USD</t>
  </si>
  <si>
    <t xml:space="preserve">Liquidado hoy (USD)</t>
  </si>
  <si>
    <t xml:space="preserve">VENCIMIENTOS — Cheques a cobrar y compromisos de pago próximos</t>
  </si>
  <si>
    <t xml:space="preserve">Ingresá cada cheque o compromiso con su fecha exacta. El dashboard lo muestra en el calendario de vencimientos.</t>
  </si>
  <si>
    <t xml:space="preserve">Tipo</t>
  </si>
  <si>
    <t xml:space="preserve">Descripción / Contraparte</t>
  </si>
  <si>
    <t xml:space="preserve">Monto (ARS)</t>
  </si>
  <si>
    <t xml:space="preserve">TC del día</t>
  </si>
  <si>
    <t xml:space="preserve">COBRO</t>
  </si>
  <si>
    <t xml:space="preserve">Cheque acreditación — Cliente Norte</t>
  </si>
  <si>
    <t xml:space="preserve">PAGO</t>
  </si>
  <si>
    <t xml:space="preserve">Proveedor Pescadores del Sur</t>
  </si>
  <si>
    <t xml:space="preserve">Cheque — Distribuidora Atlántica</t>
  </si>
  <si>
    <t xml:space="preserve">Cuota préstamo Banco Galicia</t>
  </si>
  <si>
    <t xml:space="preserve">Cobro exportación (USD 95.000)</t>
  </si>
  <si>
    <t xml:space="preserve">RRHH — sueldos quincena</t>
  </si>
  <si>
    <t xml:space="preserve">Arancel / canon mensual</t>
  </si>
  <si>
    <t xml:space="preserve">Cheque — Exportadora Patagónica</t>
  </si>
  <si>
    <t xml:space="preserve">Deuda proveedor exterior (USD 80.000)</t>
  </si>
  <si>
    <t xml:space="preserve">POSICIÓN FINANCIERA NETA DIARIA  |  Valores en USD (conversión automática)</t>
  </si>
  <si>
    <t xml:space="preserve">⚠  Hoja de cálculo automática — No modificar. Los datos vienen de CARGA_DIARIA.</t>
  </si>
  <si>
    <t xml:space="preserve">Activo Corriente
(USD)</t>
  </si>
  <si>
    <t xml:space="preserve">Gastos del Día
(USD)</t>
  </si>
  <si>
    <t xml:space="preserve">Pasivo Corriente
(USD)</t>
  </si>
  <si>
    <t xml:space="preserve">Ajustes +
(incluido en Activo)</t>
  </si>
  <si>
    <t xml:space="preserve">Ajustes -
(incluido en Activo)</t>
  </si>
  <si>
    <t xml:space="preserve">POSICIÓN NETA
(USD)</t>
  </si>
  <si>
    <t xml:space="preserve">—</t>
  </si>
  <si>
    <t xml:space="preserve">CHEQUES EN CARTERA — Listado completo para flujo de fondos</t>
  </si>
  <si>
    <t xml:space="preserve">Pegá acá los datos exportados del sistema. Fecha de acreditación = Fecha de pago + 2 días hábiles (48hs). El dashboard lee esta hoja automáticamente.</t>
  </si>
  <si>
    <t xml:space="preserve">Razón Social</t>
  </si>
  <si>
    <t xml:space="preserve">N° Cheque</t>
  </si>
  <si>
    <t xml:space="preserve">Fecha de Emisión</t>
  </si>
  <si>
    <t xml:space="preserve">Fecha de Pago</t>
  </si>
  <si>
    <t xml:space="preserve">Fecha Acreditación
(Pago + 48hs)</t>
  </si>
  <si>
    <t xml:space="preserve">Observaciones</t>
  </si>
  <si>
    <t xml:space="preserve">Distribuidora Atlántica SA</t>
  </si>
  <si>
    <t xml:space="preserve">38472910</t>
  </si>
  <si>
    <t xml:space="preserve">Frigorífico Norte SRL</t>
  </si>
  <si>
    <t xml:space="preserve">29183746</t>
  </si>
  <si>
    <t xml:space="preserve">Pescadores del Sur SA</t>
  </si>
  <si>
    <t xml:space="preserve">47291038</t>
  </si>
  <si>
    <t xml:space="preserve">Pago parcial</t>
  </si>
  <si>
    <t xml:space="preserve">Exportadora Patagónica SA</t>
  </si>
  <si>
    <t xml:space="preserve">38102947</t>
  </si>
  <si>
    <t xml:space="preserve">Comercial Mar del Plata SRL</t>
  </si>
  <si>
    <t xml:space="preserve">29374810</t>
  </si>
  <si>
    <t xml:space="preserve">TOTAL</t>
  </si>
  <si>
    <t xml:space="preserve">📌  Para agregar cheques: pegá las filas del sistema sobre las filas grises, respetando el formato de fechas DD/MM/AAAA. La col. F (Acreditación) se calcula sola.</t>
  </si>
  <si>
    <t xml:space="preserve">SALDO DE PROVEEDORES LOCALES — Ranking y composición</t>
  </si>
  <si>
    <t xml:space="preserve">Actualizá esta hoja cada vez que recibas el saldo de proveedores. El TC se toma de la celda B3 para convertir a USD.</t>
  </si>
  <si>
    <t xml:space="preserve">Fecha de actualización</t>
  </si>
  <si>
    <t xml:space="preserve">TC BNA (ARS/USD)</t>
  </si>
  <si>
    <t xml:space="preserve">Proveedor</t>
  </si>
  <si>
    <t xml:space="preserve">CUIT / Referencia</t>
  </si>
  <si>
    <t xml:space="preserve">Saldo (ARS)</t>
  </si>
  <si>
    <t xml:space="preserve">Saldo (USD)</t>
  </si>
  <si>
    <t xml:space="preserve">% sobre total</t>
  </si>
  <si>
    <t xml:space="preserve">30-71234567-8</t>
  </si>
  <si>
    <t xml:space="preserve">30-68234512-1</t>
  </si>
  <si>
    <t xml:space="preserve">Pesquera Patagónica SA</t>
  </si>
  <si>
    <t xml:space="preserve">30-54321987-4</t>
  </si>
  <si>
    <t xml:space="preserve">Combustibles del Sur SRL</t>
  </si>
  <si>
    <t xml:space="preserve">30-61298743-2</t>
  </si>
  <si>
    <t xml:space="preserve">Cuota venc. 30/05</t>
  </si>
  <si>
    <t xml:space="preserve">Hielo Industrial SA</t>
  </si>
  <si>
    <t xml:space="preserve">30-55678912-0</t>
  </si>
  <si>
    <t xml:space="preserve">Proveedora Naval SRL</t>
  </si>
  <si>
    <t xml:space="preserve">30-72345678-9</t>
  </si>
  <si>
    <t xml:space="preserve">Servicios Portuarios SA</t>
  </si>
  <si>
    <t xml:space="preserve">30-63412987-5</t>
  </si>
  <si>
    <t xml:space="preserve">En disputa</t>
  </si>
  <si>
    <t xml:space="preserve">Mecánica Naval SA</t>
  </si>
  <si>
    <t xml:space="preserve">30-58976543-1</t>
  </si>
  <si>
    <t xml:space="preserve">Logística Pesquera SRL</t>
  </si>
  <si>
    <t xml:space="preserve">30-69871234-7</t>
  </si>
  <si>
    <t xml:space="preserve">Insumos Marítimos SA</t>
  </si>
  <si>
    <t xml:space="preserve">30-57654321-3</t>
  </si>
  <si>
    <t xml:space="preserve">Otros proveedores menores</t>
  </si>
  <si>
    <t xml:space="preserve">Suma de menores</t>
  </si>
  <si>
    <t xml:space="preserve">TOTAL PROVEEDORES</t>
  </si>
  <si>
    <t xml:space="preserve">📌  Para agregar proveedores: insertá filas antes de la fila TOTAL. El % se recalcula solo. Actualizá la fecha y el TC en la fila 3 cada vez que cargues datos nuevos.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</si>
</sst>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.00;\(#,##0.00\);\-"/>
    <numFmt numFmtId="167" formatCode="#,##0;\(#,##0\);\-"/>
    <numFmt numFmtId="168" formatCode="#,##0.00"/>
    <numFmt numFmtId="169" formatCode="0"/>
    <numFmt numFmtId="170" formatCode="#,##0"/>
    <numFmt numFmtId="171" formatCode="#,##0;\(#,##0\);\-"/>
    <numFmt numFmtId="172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1"/>
      <color rgb="FF444441"/>
      <name val="Arial"/>
      <family val="0"/>
      <charset val="1"/>
    </font>
    <font>
      <sz val="10"/>
      <color rgb="FF44444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854F0B"/>
      <name val="Arial"/>
      <family val="0"/>
      <charset val="1"/>
    </font>
    <font>
      <sz val="10"/>
      <color rgb="FF0F6E56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sz val="10"/>
      <color rgb="FFA32D2D"/>
      <name val="Arial"/>
      <family val="0"/>
      <charset val="1"/>
    </font>
    <font>
      <i val="true"/>
      <sz val="10"/>
      <color rgb="FF854F0B"/>
      <name val="Arial"/>
      <family val="0"/>
      <charset val="1"/>
    </font>
    <font>
      <b val="true"/>
      <sz val="8"/>
      <color rgb="FF88878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888780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10"/>
      <color rgb="FF633806"/>
      <name val="Arial"/>
      <family val="0"/>
      <charset val="1"/>
    </font>
    <font>
      <i val="true"/>
      <sz val="9"/>
      <color rgb="FF63380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5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5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15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15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13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5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1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</row>
    <row r="5" customFormat="false" ht="15" hidden="false" customHeight="true" outlineLevel="0" collapsed="false">
      <c r="A5" s="4"/>
      <c r="B5" s="5"/>
    </row>
    <row r="6" customFormat="false" ht="15" hidden="false" customHeight="true" outlineLevel="0" collapsed="false">
      <c r="A6" s="6" t="s">
        <v>2</v>
      </c>
      <c r="B6" s="6"/>
      <c r="C6" s="6"/>
      <c r="D6" s="6"/>
      <c r="E6" s="6"/>
      <c r="F6" s="6"/>
    </row>
    <row r="7" customFormat="false" ht="15" hidden="false" customHeight="true" outlineLevel="0" collapsed="false">
      <c r="A7" s="7" t="s">
        <v>3</v>
      </c>
      <c r="B7" s="7" t="s">
        <v>4</v>
      </c>
    </row>
    <row r="8" customFormat="false" ht="15" hidden="false" customHeight="true" outlineLevel="0" collapsed="false">
      <c r="A8" s="4" t="s">
        <v>5</v>
      </c>
      <c r="B8" s="5" t="s">
        <v>6</v>
      </c>
    </row>
    <row r="9" customFormat="false" ht="15" hidden="false" customHeight="true" outlineLevel="0" collapsed="false">
      <c r="A9" s="4" t="s">
        <v>7</v>
      </c>
      <c r="B9" s="5" t="s">
        <v>8</v>
      </c>
    </row>
    <row r="10" customFormat="false" ht="15" hidden="false" customHeight="true" outlineLevel="0" collapsed="false">
      <c r="A10" s="4" t="s">
        <v>9</v>
      </c>
      <c r="B10" s="5" t="s">
        <v>10</v>
      </c>
    </row>
    <row r="11" customFormat="false" ht="15" hidden="false" customHeight="true" outlineLevel="0" collapsed="false">
      <c r="A11" s="4" t="s">
        <v>11</v>
      </c>
      <c r="B11" s="5" t="s">
        <v>12</v>
      </c>
    </row>
    <row r="12" customFormat="false" ht="15" hidden="false" customHeight="true" outlineLevel="0" collapsed="false">
      <c r="A12" s="4" t="s">
        <v>13</v>
      </c>
      <c r="B12" s="5" t="s">
        <v>14</v>
      </c>
    </row>
    <row r="13" customFormat="false" ht="15" hidden="false" customHeight="true" outlineLevel="0" collapsed="false">
      <c r="A13" s="4" t="s">
        <v>15</v>
      </c>
      <c r="B13" s="5" t="s">
        <v>16</v>
      </c>
    </row>
    <row r="14" customFormat="false" ht="15" hidden="false" customHeight="true" outlineLevel="0" collapsed="false">
      <c r="A14" s="4" t="s">
        <v>17</v>
      </c>
      <c r="B14" s="5" t="s">
        <v>18</v>
      </c>
    </row>
    <row r="15" customFormat="false" ht="15" hidden="false" customHeight="true" outlineLevel="0" collapsed="false">
      <c r="A15" s="4" t="s">
        <v>19</v>
      </c>
      <c r="B15" s="5" t="s">
        <v>20</v>
      </c>
    </row>
    <row r="16" customFormat="false" ht="15" hidden="false" customHeight="true" outlineLevel="0" collapsed="false">
      <c r="A16" s="4"/>
      <c r="B16" s="5"/>
    </row>
    <row r="17" customFormat="false" ht="15" hidden="false" customHeight="true" outlineLevel="0" collapsed="false">
      <c r="A17" s="6" t="s">
        <v>21</v>
      </c>
      <c r="B17" s="6"/>
      <c r="C17" s="6"/>
      <c r="D17" s="6"/>
      <c r="E17" s="6"/>
      <c r="F17" s="6"/>
    </row>
    <row r="18" customFormat="false" ht="15" hidden="false" customHeight="true" outlineLevel="0" collapsed="false">
      <c r="A18" s="7" t="s">
        <v>22</v>
      </c>
      <c r="B18" s="7" t="s">
        <v>23</v>
      </c>
    </row>
    <row r="19" customFormat="false" ht="15" hidden="false" customHeight="true" outlineLevel="0" collapsed="false">
      <c r="A19" s="4" t="s">
        <v>24</v>
      </c>
      <c r="B19" s="5" t="s">
        <v>25</v>
      </c>
    </row>
    <row r="20" customFormat="false" ht="15" hidden="false" customHeight="true" outlineLevel="0" collapsed="false">
      <c r="A20" s="4" t="s">
        <v>26</v>
      </c>
      <c r="B20" s="5" t="s">
        <v>27</v>
      </c>
    </row>
    <row r="21" customFormat="false" ht="15" hidden="false" customHeight="true" outlineLevel="0" collapsed="false">
      <c r="A21" s="4" t="s">
        <v>28</v>
      </c>
      <c r="B21" s="5" t="s">
        <v>29</v>
      </c>
    </row>
    <row r="22" customFormat="false" ht="15" hidden="false" customHeight="true" outlineLevel="0" collapsed="false">
      <c r="A22" s="4" t="s">
        <v>30</v>
      </c>
      <c r="B22" s="5" t="s">
        <v>31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32</v>
      </c>
      <c r="B24" s="6"/>
      <c r="C24" s="6"/>
      <c r="D24" s="6"/>
      <c r="E24" s="6"/>
      <c r="F24" s="6"/>
    </row>
    <row r="25" customFormat="false" ht="15" hidden="false" customHeight="true" outlineLevel="0" collapsed="false">
      <c r="A25" s="4" t="s">
        <v>33</v>
      </c>
      <c r="B25" s="5" t="s">
        <v>34</v>
      </c>
    </row>
    <row r="26" customFormat="false" ht="15" hidden="false" customHeight="true" outlineLevel="0" collapsed="false">
      <c r="A26" s="4" t="s">
        <v>35</v>
      </c>
      <c r="B26" s="5" t="s">
        <v>36</v>
      </c>
    </row>
    <row r="27" customFormat="false" ht="15" hidden="false" customHeight="true" outlineLevel="0" collapsed="false">
      <c r="A27" s="4" t="s">
        <v>37</v>
      </c>
      <c r="B27" s="5" t="s">
        <v>38</v>
      </c>
    </row>
    <row r="28" customFormat="false" ht="15" hidden="false" customHeight="true" outlineLevel="0" collapsed="false">
      <c r="A28" s="4" t="s">
        <v>39</v>
      </c>
      <c r="B28" s="5" t="s">
        <v>40</v>
      </c>
    </row>
    <row r="29" customFormat="false" ht="15" hidden="false" customHeight="true" outlineLevel="0" collapsed="false">
      <c r="A29" s="4" t="s">
        <v>41</v>
      </c>
      <c r="B29" s="5" t="s">
        <v>42</v>
      </c>
    </row>
    <row r="30" customFormat="false" ht="15" hidden="false" customHeight="true" outlineLevel="0" collapsed="false">
      <c r="A30" s="4" t="s">
        <v>43</v>
      </c>
      <c r="B30" s="5" t="s">
        <v>44</v>
      </c>
    </row>
    <row r="31" customFormat="false" ht="15" hidden="false" customHeight="true" outlineLevel="0" collapsed="false">
      <c r="A31" s="4" t="s">
        <v>45</v>
      </c>
      <c r="B31" s="5" t="s">
        <v>46</v>
      </c>
    </row>
    <row r="32" customFormat="false" ht="15" hidden="false" customHeight="true" outlineLevel="0" collapsed="false">
      <c r="A32" s="4"/>
      <c r="B32" s="5"/>
    </row>
    <row r="33" customFormat="false" ht="15" hidden="false" customHeight="true" outlineLevel="0" collapsed="false">
      <c r="A33" s="6" t="s">
        <v>47</v>
      </c>
      <c r="B33" s="6"/>
      <c r="C33" s="6"/>
      <c r="D33" s="6"/>
      <c r="E33" s="6"/>
      <c r="F33" s="6"/>
    </row>
    <row r="34" customFormat="false" ht="15" hidden="false" customHeight="true" outlineLevel="0" collapsed="false">
      <c r="A34" s="4" t="s">
        <v>48</v>
      </c>
      <c r="B34" s="5" t="s">
        <v>49</v>
      </c>
    </row>
    <row r="35" customFormat="false" ht="15" hidden="false" customHeight="true" outlineLevel="0" collapsed="false">
      <c r="A35" s="4" t="s">
        <v>48</v>
      </c>
      <c r="B35" s="5" t="s">
        <v>50</v>
      </c>
    </row>
    <row r="36" customFormat="false" ht="15" hidden="false" customHeight="true" outlineLevel="0" collapsed="false">
      <c r="A36" s="4" t="s">
        <v>48</v>
      </c>
      <c r="B36" s="5" t="s">
        <v>51</v>
      </c>
    </row>
    <row r="37" customFormat="false" ht="15" hidden="false" customHeight="true" outlineLevel="0" collapsed="false">
      <c r="A37" s="4" t="s">
        <v>48</v>
      </c>
      <c r="B37" s="5" t="s">
        <v>52</v>
      </c>
    </row>
    <row r="38" customFormat="false" ht="15" hidden="false" customHeight="true" outlineLevel="0" collapsed="false">
      <c r="A38" s="4" t="s">
        <v>48</v>
      </c>
      <c r="B38" s="5" t="s">
        <v>53</v>
      </c>
    </row>
  </sheetData>
  <mergeCells count="6">
    <mergeCell ref="A1:F1"/>
    <mergeCell ref="A2:F2"/>
    <mergeCell ref="A6:F6"/>
    <mergeCell ref="A17:F17"/>
    <mergeCell ref="A24:F24"/>
    <mergeCell ref="A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10" min="3" style="1" width="11"/>
    <col collapsed="false" customWidth="true" hidden="false" outlineLevel="0" max="23" min="11" style="1" width="10"/>
    <col collapsed="false" customWidth="true" hidden="false" outlineLevel="0" max="31" min="24" style="1" width="11"/>
    <col collapsed="false" customWidth="true" hidden="false" outlineLevel="0" max="32" min="32" style="1" width="13"/>
    <col collapsed="false" customWidth="true" hidden="false" outlineLevel="0" max="33" min="33" style="1" width="11"/>
    <col collapsed="false" customWidth="true" hidden="false" outlineLevel="0" max="34" min="34" style="1" width="13"/>
    <col collapsed="false" customWidth="true" hidden="false" outlineLevel="0" max="35" min="35" style="1" width="14"/>
    <col collapsed="false" customWidth="true" hidden="false" outlineLevel="0" max="36" min="36" style="1" width="11"/>
    <col collapsed="false" customWidth="true" hidden="false" outlineLevel="0" max="37" min="37" style="1" width="22"/>
  </cols>
  <sheetData>
    <row r="1" customFormat="false" ht="27.75" hidden="false" customHeight="true" outlineLevel="0" collapsed="false">
      <c r="A1" s="8" t="s">
        <v>54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21.75" hidden="false" customHeight="true" outlineLevel="0" collapsed="false">
      <c r="A2" s="9" t="s">
        <v>55</v>
      </c>
      <c r="B2" s="9" t="s">
        <v>56</v>
      </c>
      <c r="C2" s="10" t="s">
        <v>57</v>
      </c>
      <c r="D2" s="10"/>
      <c r="E2" s="10"/>
      <c r="F2" s="10"/>
      <c r="G2" s="10"/>
      <c r="H2" s="10"/>
      <c r="I2" s="10"/>
      <c r="J2" s="11" t="s">
        <v>58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 t="s">
        <v>59</v>
      </c>
      <c r="X2" s="12"/>
      <c r="Y2" s="12"/>
      <c r="Z2" s="12"/>
      <c r="AA2" s="12"/>
      <c r="AB2" s="12"/>
      <c r="AC2" s="12"/>
      <c r="AD2" s="12"/>
      <c r="AE2" s="12"/>
      <c r="AF2" s="12"/>
      <c r="AG2" s="13"/>
      <c r="AH2" s="13"/>
      <c r="AI2" s="13"/>
      <c r="AJ2" s="13"/>
    </row>
    <row r="3" customFormat="false" ht="36" hidden="false" customHeight="true" outlineLevel="0" collapsed="false">
      <c r="A3" s="14" t="s">
        <v>60</v>
      </c>
      <c r="B3" s="14" t="s">
        <v>61</v>
      </c>
      <c r="C3" s="15" t="s">
        <v>62</v>
      </c>
      <c r="D3" s="15" t="s">
        <v>63</v>
      </c>
      <c r="E3" s="15" t="s">
        <v>64</v>
      </c>
      <c r="F3" s="15" t="s">
        <v>65</v>
      </c>
      <c r="G3" s="15" t="s">
        <v>66</v>
      </c>
      <c r="H3" s="15" t="s">
        <v>67</v>
      </c>
      <c r="I3" s="15" t="s">
        <v>68</v>
      </c>
      <c r="J3" s="16" t="s">
        <v>69</v>
      </c>
      <c r="K3" s="16" t="s">
        <v>70</v>
      </c>
      <c r="L3" s="16" t="s">
        <v>71</v>
      </c>
      <c r="M3" s="16" t="s">
        <v>72</v>
      </c>
      <c r="N3" s="16" t="s">
        <v>73</v>
      </c>
      <c r="O3" s="16" t="s">
        <v>74</v>
      </c>
      <c r="P3" s="16" t="s">
        <v>75</v>
      </c>
      <c r="Q3" s="16" t="s">
        <v>76</v>
      </c>
      <c r="R3" s="16" t="s">
        <v>77</v>
      </c>
      <c r="S3" s="16" t="s">
        <v>78</v>
      </c>
      <c r="T3" s="16" t="s">
        <v>79</v>
      </c>
      <c r="U3" s="16" t="s">
        <v>80</v>
      </c>
      <c r="V3" s="16" t="s">
        <v>81</v>
      </c>
      <c r="W3" s="17" t="s">
        <v>82</v>
      </c>
      <c r="X3" s="17" t="s">
        <v>83</v>
      </c>
      <c r="Y3" s="17" t="s">
        <v>84</v>
      </c>
      <c r="Z3" s="18" t="s">
        <v>85</v>
      </c>
      <c r="AA3" s="17" t="s">
        <v>86</v>
      </c>
      <c r="AB3" s="17" t="s">
        <v>87</v>
      </c>
      <c r="AC3" s="17" t="s">
        <v>88</v>
      </c>
      <c r="AD3" s="17" t="s">
        <v>89</v>
      </c>
      <c r="AE3" s="17" t="s">
        <v>90</v>
      </c>
      <c r="AF3" s="19" t="s">
        <v>91</v>
      </c>
      <c r="AG3" s="20" t="s">
        <v>92</v>
      </c>
      <c r="AH3" s="20" t="s">
        <v>93</v>
      </c>
      <c r="AI3" s="20" t="s">
        <v>94</v>
      </c>
      <c r="AJ3" s="20" t="s">
        <v>95</v>
      </c>
    </row>
    <row r="4" customFormat="false" ht="15.75" hidden="false" customHeight="true" outlineLevel="0" collapsed="false">
      <c r="A4" s="21" t="n">
        <v>46029</v>
      </c>
      <c r="B4" s="22" t="n">
        <v>1463</v>
      </c>
      <c r="C4" s="23" t="n">
        <v>0</v>
      </c>
      <c r="D4" s="23" t="n">
        <v>147143953</v>
      </c>
      <c r="E4" s="23" t="n">
        <v>-17312000</v>
      </c>
      <c r="F4" s="23" t="n">
        <v>0</v>
      </c>
      <c r="G4" s="23" t="n">
        <v>5368000</v>
      </c>
      <c r="H4" s="23" t="n">
        <v>6913000</v>
      </c>
      <c r="I4" s="23" t="n">
        <v>984848664</v>
      </c>
      <c r="J4" s="23" t="n">
        <v>93118000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331346284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396177166</v>
      </c>
      <c r="Y4" s="23" t="n">
        <v>2543380519</v>
      </c>
      <c r="Z4" s="23" t="n">
        <v>220357000</v>
      </c>
      <c r="AA4" s="23" t="n">
        <v>4106866784</v>
      </c>
      <c r="AB4" s="22" t="n">
        <v>2600000</v>
      </c>
      <c r="AC4" s="22" t="n">
        <v>6975000</v>
      </c>
      <c r="AD4" s="22" t="n">
        <v>159934</v>
      </c>
      <c r="AE4" s="22" t="n">
        <v>2044803</v>
      </c>
      <c r="AF4" s="22" t="n">
        <v>6441928</v>
      </c>
      <c r="AG4" s="23" t="n">
        <v>4314967894</v>
      </c>
      <c r="AH4" s="23" t="n">
        <v>6208398504</v>
      </c>
      <c r="AI4" s="23" t="n">
        <v>4836302009</v>
      </c>
      <c r="AJ4" s="23" t="n">
        <v>1972327480</v>
      </c>
      <c r="AK4" s="24"/>
    </row>
    <row r="5" customFormat="false" ht="15.75" hidden="false" customHeight="true" outlineLevel="0" collapsed="false">
      <c r="A5" s="21" t="n">
        <v>46030</v>
      </c>
      <c r="B5" s="22" t="n">
        <v>1469</v>
      </c>
      <c r="C5" s="23" t="n">
        <v>0</v>
      </c>
      <c r="D5" s="23" t="n">
        <v>147143953.17</v>
      </c>
      <c r="E5" s="23" t="n">
        <v>103831332</v>
      </c>
      <c r="F5" s="23" t="n">
        <v>0</v>
      </c>
      <c r="G5" s="23" t="n">
        <v>24804817.87</v>
      </c>
      <c r="H5" s="23" t="n">
        <v>3794000</v>
      </c>
      <c r="I5" s="23" t="n">
        <v>1127668632</v>
      </c>
      <c r="J5" s="23" t="n">
        <v>98556000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366732120</v>
      </c>
      <c r="Q5" s="23" t="n">
        <v>3010892.09</v>
      </c>
      <c r="R5" s="23" t="n">
        <v>0</v>
      </c>
      <c r="S5" s="23" t="n">
        <v>0</v>
      </c>
      <c r="T5" s="23" t="n">
        <v>45929347</v>
      </c>
      <c r="U5" s="23" t="n">
        <v>0</v>
      </c>
      <c r="V5" s="23" t="n">
        <v>0</v>
      </c>
      <c r="W5" s="23" t="n">
        <v>0</v>
      </c>
      <c r="X5" s="23" t="n">
        <v>343083825.9</v>
      </c>
      <c r="Y5" s="23" t="n">
        <v>2493689353</v>
      </c>
      <c r="Z5" s="23" t="n">
        <v>220357000</v>
      </c>
      <c r="AA5" s="23" t="n">
        <v>4094188807</v>
      </c>
      <c r="AB5" s="22" t="n">
        <v>2600000</v>
      </c>
      <c r="AC5" s="22" t="n">
        <v>6975000</v>
      </c>
      <c r="AD5" s="22" t="n">
        <v>159934</v>
      </c>
      <c r="AE5" s="22" t="n">
        <v>2044803</v>
      </c>
      <c r="AF5" s="22" t="n">
        <v>6480455</v>
      </c>
      <c r="AG5" s="23" t="n">
        <v>4314967894</v>
      </c>
      <c r="AH5" s="23" t="n">
        <v>6110180635</v>
      </c>
      <c r="AI5" s="23" t="n">
        <v>4816967051</v>
      </c>
      <c r="AJ5" s="23" t="n">
        <v>422641035</v>
      </c>
      <c r="AK5" s="24"/>
    </row>
    <row r="6" customFormat="false" ht="15.75" hidden="false" customHeight="true" outlineLevel="0" collapsed="false">
      <c r="A6" s="21" t="n">
        <v>46031</v>
      </c>
      <c r="B6" s="22" t="n">
        <v>1455</v>
      </c>
      <c r="C6" s="23" t="n">
        <v>0</v>
      </c>
      <c r="D6" s="23" t="n">
        <v>102302314</v>
      </c>
      <c r="E6" s="23" t="n">
        <v>63095000</v>
      </c>
      <c r="F6" s="23" t="n">
        <v>0</v>
      </c>
      <c r="G6" s="23" t="n">
        <v>14747000</v>
      </c>
      <c r="H6" s="23" t="n">
        <v>12301000</v>
      </c>
      <c r="I6" s="23" t="n">
        <v>996009122</v>
      </c>
      <c r="J6" s="23" t="n">
        <v>2347817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126421132</v>
      </c>
      <c r="Q6" s="23" t="n">
        <v>7044405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506350251.04</v>
      </c>
      <c r="Y6" s="23" t="n">
        <v>1113182008</v>
      </c>
      <c r="Z6" s="23" t="n">
        <v>220357000</v>
      </c>
      <c r="AA6" s="23" t="n">
        <v>4182158189</v>
      </c>
      <c r="AB6" s="22" t="n">
        <v>2600000</v>
      </c>
      <c r="AC6" s="22" t="n">
        <v>6975000</v>
      </c>
      <c r="AD6" s="22" t="n">
        <v>159934</v>
      </c>
      <c r="AE6" s="22" t="n">
        <v>2044803</v>
      </c>
      <c r="AF6" s="22" t="n">
        <v>7740751.18</v>
      </c>
      <c r="AG6" s="23" t="n">
        <v>4314967894</v>
      </c>
      <c r="AH6" s="23" t="n">
        <v>5581783035</v>
      </c>
      <c r="AI6" s="23" t="n">
        <v>4658234880</v>
      </c>
      <c r="AJ6" s="23" t="n">
        <v>422947645</v>
      </c>
      <c r="AK6" s="24"/>
    </row>
    <row r="7" customFormat="false" ht="15.75" hidden="false" customHeight="true" outlineLevel="0" collapsed="false">
      <c r="A7" s="21" t="n">
        <v>46034</v>
      </c>
      <c r="B7" s="22" t="n">
        <v>1465.5</v>
      </c>
      <c r="C7" s="23" t="n">
        <v>0</v>
      </c>
      <c r="D7" s="23" t="n">
        <v>191195891.54</v>
      </c>
      <c r="E7" s="23" t="n">
        <v>19902000</v>
      </c>
      <c r="F7" s="23" t="n">
        <v>0</v>
      </c>
      <c r="G7" s="23" t="n">
        <v>1103000</v>
      </c>
      <c r="H7" s="23" t="n">
        <v>309000</v>
      </c>
      <c r="I7" s="23" t="n">
        <v>1129839976</v>
      </c>
      <c r="J7" s="23" t="n">
        <v>38460000</v>
      </c>
      <c r="K7" s="23" t="n">
        <v>0</v>
      </c>
      <c r="L7" s="23" t="n">
        <v>23625223</v>
      </c>
      <c r="M7" s="23" t="n">
        <v>0</v>
      </c>
      <c r="N7" s="23" t="n">
        <v>0</v>
      </c>
      <c r="O7" s="23" t="n">
        <v>0</v>
      </c>
      <c r="P7" s="23" t="n">
        <v>109006535</v>
      </c>
      <c r="Q7" s="23" t="n">
        <v>224149787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717079149</v>
      </c>
      <c r="Y7" s="23" t="n">
        <v>944499841</v>
      </c>
      <c r="Z7" s="23" t="n">
        <v>220357000</v>
      </c>
      <c r="AA7" s="23" t="n">
        <v>4087351389</v>
      </c>
      <c r="AB7" s="22" t="n">
        <v>2600000</v>
      </c>
      <c r="AC7" s="22" t="n">
        <v>6975000</v>
      </c>
      <c r="AD7" s="22" t="n">
        <v>159934</v>
      </c>
      <c r="AE7" s="22" t="n">
        <v>2344803</v>
      </c>
      <c r="AF7" s="22" t="n">
        <v>8315409</v>
      </c>
      <c r="AG7" s="23" t="n">
        <v>4314967894</v>
      </c>
      <c r="AH7" s="23" t="n">
        <v>4486855402.5</v>
      </c>
      <c r="AI7" s="23" t="n">
        <v>4988005110</v>
      </c>
      <c r="AJ7" s="23" t="n">
        <v>423827578</v>
      </c>
      <c r="AK7" s="24"/>
    </row>
    <row r="8" customFormat="false" ht="15.75" hidden="false" customHeight="true" outlineLevel="0" collapsed="false">
      <c r="A8" s="21" t="n">
        <v>46035</v>
      </c>
      <c r="B8" s="22" t="n">
        <v>1462</v>
      </c>
      <c r="C8" s="23" t="n">
        <v>0</v>
      </c>
      <c r="D8" s="23" t="n">
        <v>191195891</v>
      </c>
      <c r="E8" s="23" t="n">
        <v>41915000</v>
      </c>
      <c r="F8" s="23" t="n">
        <v>0</v>
      </c>
      <c r="G8" s="23" t="n">
        <v>15637889</v>
      </c>
      <c r="H8" s="23" t="n">
        <v>0</v>
      </c>
      <c r="I8" s="23" t="n">
        <v>1129839976</v>
      </c>
      <c r="J8" s="23" t="n">
        <v>167756834</v>
      </c>
      <c r="K8" s="23" t="n">
        <v>0</v>
      </c>
      <c r="L8" s="23" t="n">
        <v>39116189</v>
      </c>
      <c r="M8" s="23" t="n">
        <v>0</v>
      </c>
      <c r="N8" s="23" t="n">
        <v>0</v>
      </c>
      <c r="O8" s="23" t="n">
        <v>0</v>
      </c>
      <c r="P8" s="23" t="n">
        <v>15121860</v>
      </c>
      <c r="Q8" s="23" t="n">
        <v>180946598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828454859</v>
      </c>
      <c r="Y8" s="23" t="n">
        <v>705798673</v>
      </c>
      <c r="Z8" s="23" t="n">
        <v>220357000</v>
      </c>
      <c r="AA8" s="23" t="n">
        <v>3882411723</v>
      </c>
      <c r="AB8" s="22" t="n">
        <v>2600000</v>
      </c>
      <c r="AC8" s="22" t="n">
        <v>6975000</v>
      </c>
      <c r="AD8" s="22" t="n">
        <v>159934</v>
      </c>
      <c r="AE8" s="22" t="n">
        <v>2344803</v>
      </c>
      <c r="AF8" s="22" t="n">
        <v>8965227.49</v>
      </c>
      <c r="AG8" s="23" t="n">
        <v>4314967894</v>
      </c>
      <c r="AH8" s="23" t="n">
        <v>4284443632</v>
      </c>
      <c r="AI8" s="23" t="n">
        <v>4713813455.82</v>
      </c>
      <c r="AJ8" s="23" t="n">
        <v>424124427</v>
      </c>
      <c r="AK8" s="24"/>
    </row>
    <row r="9" customFormat="false" ht="15.75" hidden="false" customHeight="true" outlineLevel="0" collapsed="false">
      <c r="A9" s="21" t="n">
        <v>46036</v>
      </c>
      <c r="B9" s="22" t="n">
        <v>1464.5</v>
      </c>
      <c r="C9" s="23" t="n">
        <v>0</v>
      </c>
      <c r="D9" s="23" t="n">
        <v>62480863.37</v>
      </c>
      <c r="E9" s="23" t="n">
        <v>60536771</v>
      </c>
      <c r="F9" s="23" t="n">
        <v>0</v>
      </c>
      <c r="G9" s="23" t="n">
        <v>25159457</v>
      </c>
      <c r="H9" s="23" t="n">
        <v>0</v>
      </c>
      <c r="I9" s="23" t="n">
        <v>1143603954</v>
      </c>
      <c r="J9" s="23" t="n">
        <v>170000000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183177718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938129312</v>
      </c>
      <c r="Y9" s="23" t="n">
        <v>569683193</v>
      </c>
      <c r="Z9" s="23" t="n">
        <v>220357000</v>
      </c>
      <c r="AA9" s="23" t="n">
        <v>3764632228</v>
      </c>
      <c r="AB9" s="22" t="n">
        <v>2600000</v>
      </c>
      <c r="AC9" s="22" t="n">
        <v>6975000</v>
      </c>
      <c r="AD9" s="22" t="n">
        <v>159934</v>
      </c>
      <c r="AE9" s="22" t="n">
        <v>2344803</v>
      </c>
      <c r="AF9" s="22" t="n">
        <v>8783530.57</v>
      </c>
      <c r="AG9" s="23" t="n">
        <v>4314967894</v>
      </c>
      <c r="AH9" s="23" t="n">
        <v>4092690235.5</v>
      </c>
      <c r="AI9" s="23" t="n">
        <v>4672764040.5</v>
      </c>
      <c r="AJ9" s="23" t="n">
        <v>424459423</v>
      </c>
      <c r="AK9" s="25"/>
    </row>
    <row r="10" customFormat="false" ht="15.75" hidden="false" customHeight="true" outlineLevel="0" collapsed="false">
      <c r="A10" s="21" t="n">
        <v>46037</v>
      </c>
      <c r="B10" s="22" t="n">
        <v>1450</v>
      </c>
      <c r="C10" s="23" t="n">
        <v>0</v>
      </c>
      <c r="D10" s="23" t="n">
        <v>62480863.37</v>
      </c>
      <c r="E10" s="23" t="n">
        <v>74751000</v>
      </c>
      <c r="F10" s="23" t="n">
        <v>0</v>
      </c>
      <c r="G10" s="23" t="n">
        <v>9758000</v>
      </c>
      <c r="H10" s="23" t="n">
        <v>0</v>
      </c>
      <c r="I10" s="23" t="n">
        <v>1214275683</v>
      </c>
      <c r="J10" s="23" t="n">
        <v>276864200</v>
      </c>
      <c r="K10" s="23" t="n">
        <v>0</v>
      </c>
      <c r="L10" s="23" t="n">
        <v>1009800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10591253.68</v>
      </c>
      <c r="R10" s="23" t="n">
        <v>0</v>
      </c>
      <c r="S10" s="23" t="n">
        <v>0</v>
      </c>
      <c r="T10" s="23" t="n">
        <v>0</v>
      </c>
      <c r="U10" s="23" t="n">
        <v>194000000</v>
      </c>
      <c r="V10" s="23" t="n">
        <v>0</v>
      </c>
      <c r="W10" s="23" t="n">
        <v>0</v>
      </c>
      <c r="X10" s="23" t="n">
        <v>764830293.83</v>
      </c>
      <c r="Y10" s="23" t="n">
        <v>604673438</v>
      </c>
      <c r="Z10" s="23" t="n">
        <v>220357000</v>
      </c>
      <c r="AA10" s="23" t="n">
        <v>3766894667</v>
      </c>
      <c r="AB10" s="22" t="n">
        <v>2600000</v>
      </c>
      <c r="AC10" s="22" t="n">
        <v>6975000</v>
      </c>
      <c r="AD10" s="22" t="n">
        <v>159934</v>
      </c>
      <c r="AE10" s="22" t="n">
        <v>2344803</v>
      </c>
      <c r="AF10" s="22" t="n">
        <v>8886136.31</v>
      </c>
      <c r="AG10" s="23" t="n">
        <v>4314967894</v>
      </c>
      <c r="AH10" s="23" t="n">
        <v>4231934388</v>
      </c>
      <c r="AI10" s="23" t="n">
        <v>4759593100</v>
      </c>
      <c r="AJ10" s="23" t="n">
        <v>194610289.44</v>
      </c>
      <c r="AK10" s="25"/>
    </row>
    <row r="11" customFormat="false" ht="15.75" hidden="false" customHeight="true" outlineLevel="0" collapsed="false">
      <c r="A11" s="21" t="n">
        <v>46038</v>
      </c>
      <c r="B11" s="22" t="n">
        <v>1440</v>
      </c>
      <c r="C11" s="23" t="n">
        <v>0</v>
      </c>
      <c r="D11" s="23" t="n">
        <v>170748138</v>
      </c>
      <c r="E11" s="23" t="n">
        <v>164880000</v>
      </c>
      <c r="F11" s="23" t="n">
        <v>0</v>
      </c>
      <c r="G11" s="23" t="n">
        <v>-3450000</v>
      </c>
      <c r="H11" s="23" t="n">
        <v>0</v>
      </c>
      <c r="I11" s="23" t="n">
        <v>1096607000</v>
      </c>
      <c r="J11" s="23" t="n">
        <v>180913832.92</v>
      </c>
      <c r="K11" s="23" t="n">
        <v>0</v>
      </c>
      <c r="L11" s="23" t="n">
        <v>2919605</v>
      </c>
      <c r="M11" s="23" t="n">
        <v>0</v>
      </c>
      <c r="N11" s="23" t="n">
        <v>0</v>
      </c>
      <c r="O11" s="23" t="n">
        <v>0</v>
      </c>
      <c r="P11" s="23" t="n">
        <v>7054822</v>
      </c>
      <c r="Q11" s="23" t="n">
        <v>3191483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995710009</v>
      </c>
      <c r="Y11" s="23" t="n">
        <v>487074663</v>
      </c>
      <c r="Z11" s="23" t="n">
        <v>220357000</v>
      </c>
      <c r="AA11" s="23" t="n">
        <v>3172758684</v>
      </c>
      <c r="AB11" s="22" t="n">
        <v>2600000</v>
      </c>
      <c r="AC11" s="22" t="n">
        <v>6975000</v>
      </c>
      <c r="AD11" s="22" t="n">
        <v>159934</v>
      </c>
      <c r="AE11" s="22" t="n">
        <v>2344803</v>
      </c>
      <c r="AF11" s="22" t="n">
        <v>9582201.909</v>
      </c>
      <c r="AG11" s="23" t="n">
        <v>4314967894</v>
      </c>
      <c r="AH11" s="23" t="n">
        <v>4073068713.6</v>
      </c>
      <c r="AI11" s="23" t="n">
        <v>4577526720</v>
      </c>
      <c r="AJ11" s="23" t="n">
        <v>611311.33</v>
      </c>
      <c r="AK11" s="25"/>
    </row>
    <row r="12" customFormat="false" ht="15.75" hidden="false" customHeight="true" outlineLevel="0" collapsed="false">
      <c r="A12" s="21" t="n">
        <v>46041</v>
      </c>
      <c r="B12" s="22" t="n">
        <v>1428</v>
      </c>
      <c r="C12" s="23" t="n">
        <v>0</v>
      </c>
      <c r="D12" s="23" t="n">
        <v>170748138</v>
      </c>
      <c r="E12" s="23" t="n">
        <v>176500595</v>
      </c>
      <c r="F12" s="23" t="n">
        <v>0</v>
      </c>
      <c r="G12" s="23" t="n">
        <v>9812921</v>
      </c>
      <c r="H12" s="23" t="n">
        <v>0</v>
      </c>
      <c r="I12" s="23" t="n">
        <v>1098875342</v>
      </c>
      <c r="J12" s="23" t="n">
        <v>93270575</v>
      </c>
      <c r="K12" s="23" t="n">
        <v>0</v>
      </c>
      <c r="L12" s="23" t="n">
        <v>30686642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2786622</v>
      </c>
      <c r="R12" s="23" t="n">
        <v>106064322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727601822</v>
      </c>
      <c r="Y12" s="23" t="n">
        <v>55545741</v>
      </c>
      <c r="Z12" s="23" t="n">
        <v>220357000</v>
      </c>
      <c r="AA12" s="23" t="n">
        <v>3286079509</v>
      </c>
      <c r="AB12" s="22" t="n">
        <v>2600000</v>
      </c>
      <c r="AC12" s="22" t="n">
        <v>6975000</v>
      </c>
      <c r="AD12" s="22" t="n">
        <v>159934</v>
      </c>
      <c r="AE12" s="22" t="n">
        <v>2194803</v>
      </c>
      <c r="AF12" s="22" t="n">
        <v>10991009.26</v>
      </c>
      <c r="AG12" s="23" t="n">
        <v>4314967894</v>
      </c>
      <c r="AH12" s="23" t="n">
        <v>3619803342.12</v>
      </c>
      <c r="AI12" s="23" t="n">
        <v>4647360312</v>
      </c>
      <c r="AJ12" s="23" t="n">
        <v>612693</v>
      </c>
      <c r="AK12" s="25"/>
    </row>
    <row r="13" customFormat="false" ht="15.75" hidden="false" customHeight="true" outlineLevel="0" collapsed="false">
      <c r="A13" s="21" t="n">
        <v>46042</v>
      </c>
      <c r="B13" s="22" t="n">
        <v>1428.5</v>
      </c>
      <c r="C13" s="23" t="n">
        <v>0</v>
      </c>
      <c r="D13" s="23" t="n">
        <v>138310839.4</v>
      </c>
      <c r="E13" s="23" t="n">
        <v>73444051</v>
      </c>
      <c r="F13" s="23" t="n">
        <v>0</v>
      </c>
      <c r="G13" s="23" t="n">
        <v>15092051</v>
      </c>
      <c r="H13" s="23" t="n">
        <v>0</v>
      </c>
      <c r="I13" s="23" t="n">
        <v>1039256943</v>
      </c>
      <c r="J13" s="23" t="n">
        <v>173300000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157286696</v>
      </c>
      <c r="R13" s="23" t="n">
        <v>0</v>
      </c>
      <c r="S13" s="23" t="n">
        <v>0</v>
      </c>
      <c r="T13" s="23" t="n">
        <v>0</v>
      </c>
      <c r="U13" s="23" t="n">
        <v>180000000</v>
      </c>
      <c r="V13" s="23" t="n">
        <v>0</v>
      </c>
      <c r="W13" s="23" t="n">
        <v>0</v>
      </c>
      <c r="X13" s="23" t="n">
        <v>763073132</v>
      </c>
      <c r="Y13" s="23" t="n">
        <v>801275230</v>
      </c>
      <c r="Z13" s="23" t="n">
        <v>220357000</v>
      </c>
      <c r="AA13" s="23" t="n">
        <v>3243064886.5</v>
      </c>
      <c r="AB13" s="22" t="n">
        <v>2600000</v>
      </c>
      <c r="AC13" s="22" t="n">
        <v>6975000</v>
      </c>
      <c r="AD13" s="22" t="n">
        <v>159934</v>
      </c>
      <c r="AE13" s="22" t="n">
        <v>2194803</v>
      </c>
      <c r="AF13" s="22" t="n">
        <v>11490332.2655</v>
      </c>
      <c r="AG13" s="23" t="n">
        <v>4314967894</v>
      </c>
      <c r="AH13" s="23" t="n">
        <v>3552467067.765</v>
      </c>
      <c r="AI13" s="23" t="n">
        <v>4648987539</v>
      </c>
      <c r="AJ13" s="23" t="n">
        <v>613144.98</v>
      </c>
      <c r="AK13" s="25"/>
    </row>
    <row r="14" customFormat="false" ht="15.75" hidden="false" customHeight="true" outlineLevel="0" collapsed="false">
      <c r="A14" s="21" t="n">
        <v>46043</v>
      </c>
      <c r="B14" s="22" t="n">
        <v>1432</v>
      </c>
      <c r="C14" s="23" t="n">
        <v>0</v>
      </c>
      <c r="D14" s="23" t="n">
        <v>114890681.03</v>
      </c>
      <c r="E14" s="23" t="n">
        <v>84544428.83</v>
      </c>
      <c r="F14" s="23" t="n">
        <v>0</v>
      </c>
      <c r="G14" s="23" t="n">
        <v>8979855</v>
      </c>
      <c r="H14" s="23" t="n">
        <v>0</v>
      </c>
      <c r="I14" s="23" t="n">
        <v>1039256943</v>
      </c>
      <c r="J14" s="23" t="n">
        <v>107253172</v>
      </c>
      <c r="K14" s="23" t="n">
        <v>0</v>
      </c>
      <c r="L14" s="23" t="n">
        <v>27735508</v>
      </c>
      <c r="M14" s="23" t="n">
        <v>0</v>
      </c>
      <c r="N14" s="23" t="n">
        <v>0</v>
      </c>
      <c r="O14" s="23" t="n">
        <v>43586760</v>
      </c>
      <c r="P14" s="23" t="n">
        <v>144447864</v>
      </c>
      <c r="Q14" s="23" t="n">
        <v>37176621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759957476</v>
      </c>
      <c r="Y14" s="23" t="n">
        <v>624555549</v>
      </c>
      <c r="Z14" s="23" t="n">
        <v>220357000</v>
      </c>
      <c r="AA14" s="23" t="n">
        <v>3592955206</v>
      </c>
      <c r="AB14" s="22" t="n">
        <v>2600000</v>
      </c>
      <c r="AC14" s="22" t="n">
        <v>6975000</v>
      </c>
      <c r="AD14" s="22" t="n">
        <v>159934</v>
      </c>
      <c r="AE14" s="22" t="n">
        <v>2194803</v>
      </c>
      <c r="AF14" s="22" t="n">
        <v>12252881</v>
      </c>
      <c r="AG14" s="23" t="n">
        <v>4314967894</v>
      </c>
      <c r="AH14" s="23" t="n">
        <v>3574347452.08</v>
      </c>
      <c r="AI14" s="23" t="n">
        <v>4087129912</v>
      </c>
      <c r="AJ14" s="23" t="n">
        <v>613592.34</v>
      </c>
      <c r="AK14" s="25"/>
    </row>
    <row r="15" customFormat="false" ht="15.75" hidden="false" customHeight="true" outlineLevel="0" collapsed="false">
      <c r="A15" s="21" t="n">
        <v>46044</v>
      </c>
      <c r="B15" s="22" t="n">
        <v>1427</v>
      </c>
      <c r="C15" s="23" t="n">
        <v>0</v>
      </c>
      <c r="D15" s="23" t="n">
        <v>61294019</v>
      </c>
      <c r="E15" s="23" t="n">
        <v>404952346.4</v>
      </c>
      <c r="F15" s="23" t="n">
        <v>0</v>
      </c>
      <c r="G15" s="23" t="n">
        <v>8492957.31</v>
      </c>
      <c r="H15" s="23" t="n">
        <v>4032000</v>
      </c>
      <c r="I15" s="23" t="n">
        <v>1039256943</v>
      </c>
      <c r="J15" s="23" t="n">
        <v>133501600</v>
      </c>
      <c r="K15" s="23" t="n">
        <v>0</v>
      </c>
      <c r="L15" s="23" t="n">
        <v>80264892</v>
      </c>
      <c r="M15" s="23" t="n">
        <v>0</v>
      </c>
      <c r="N15" s="23" t="n">
        <v>0</v>
      </c>
      <c r="O15" s="23" t="n">
        <v>0</v>
      </c>
      <c r="P15" s="23" t="n">
        <v>19105502</v>
      </c>
      <c r="Q15" s="23" t="n">
        <v>1046236</v>
      </c>
      <c r="R15" s="23" t="n">
        <v>176000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685317771.54</v>
      </c>
      <c r="Y15" s="23" t="n">
        <v>570093319</v>
      </c>
      <c r="Z15" s="23" t="n">
        <v>220357000</v>
      </c>
      <c r="AA15" s="23" t="n">
        <v>3508883840.32</v>
      </c>
      <c r="AB15" s="22" t="n">
        <v>2600000</v>
      </c>
      <c r="AC15" s="22" t="n">
        <v>6975000</v>
      </c>
      <c r="AD15" s="22" t="n">
        <v>159934</v>
      </c>
      <c r="AE15" s="22" t="n">
        <v>2194803</v>
      </c>
      <c r="AF15" s="22" t="n">
        <v>12482991</v>
      </c>
      <c r="AG15" s="23" t="n">
        <v>4314967894</v>
      </c>
      <c r="AH15" s="23" t="n">
        <v>3428136169.03</v>
      </c>
      <c r="AI15" s="23" t="n">
        <v>4072859207</v>
      </c>
      <c r="AJ15" s="23" t="n">
        <v>614057</v>
      </c>
      <c r="AK15" s="25"/>
    </row>
    <row r="16" customFormat="false" ht="15.75" hidden="false" customHeight="true" outlineLevel="0" collapsed="false">
      <c r="A16" s="21" t="n">
        <v>46045</v>
      </c>
      <c r="B16" s="22" t="n">
        <v>1421</v>
      </c>
      <c r="C16" s="23" t="n">
        <v>0</v>
      </c>
      <c r="D16" s="23" t="n">
        <v>61294019</v>
      </c>
      <c r="E16" s="23" t="n">
        <v>152245000</v>
      </c>
      <c r="F16" s="23" t="n">
        <v>0</v>
      </c>
      <c r="G16" s="23" t="n">
        <v>107905000</v>
      </c>
      <c r="H16" s="23" t="n">
        <v>4032000</v>
      </c>
      <c r="I16" s="23" t="n">
        <v>1259696842</v>
      </c>
      <c r="J16" s="23" t="n">
        <v>102950586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1110780</v>
      </c>
      <c r="P16" s="23" t="n">
        <v>5821979</v>
      </c>
      <c r="Q16" s="23" t="n">
        <v>99080826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1060139595</v>
      </c>
      <c r="Y16" s="23" t="n">
        <v>481474496</v>
      </c>
      <c r="Z16" s="23" t="n">
        <v>220357000</v>
      </c>
      <c r="AA16" s="23" t="n">
        <v>2923682435.58</v>
      </c>
      <c r="AB16" s="22" t="n">
        <v>2600000</v>
      </c>
      <c r="AC16" s="22" t="n">
        <v>6975000</v>
      </c>
      <c r="AD16" s="22" t="n">
        <v>159934</v>
      </c>
      <c r="AE16" s="22" t="n">
        <v>2194803</v>
      </c>
      <c r="AF16" s="22" t="n">
        <v>13171481</v>
      </c>
      <c r="AG16" s="23" t="n">
        <v>4314967894</v>
      </c>
      <c r="AH16" s="23" t="n">
        <v>3568680927</v>
      </c>
      <c r="AI16" s="23" t="n">
        <v>3804214519</v>
      </c>
      <c r="AJ16" s="23" t="n">
        <v>614524</v>
      </c>
      <c r="AK16" s="25"/>
    </row>
    <row r="17" customFormat="false" ht="15.75" hidden="false" customHeight="true" outlineLevel="0" collapsed="false">
      <c r="A17" s="21" t="n">
        <v>46048</v>
      </c>
      <c r="B17" s="22" t="n">
        <v>1428</v>
      </c>
      <c r="C17" s="23" t="n">
        <v>0</v>
      </c>
      <c r="D17" s="23" t="n">
        <v>16846129</v>
      </c>
      <c r="E17" s="23" t="n">
        <v>7882910.91</v>
      </c>
      <c r="F17" s="23" t="n">
        <v>0</v>
      </c>
      <c r="G17" s="23" t="n">
        <v>7362455.43</v>
      </c>
      <c r="H17" s="23" t="n">
        <v>2143000</v>
      </c>
      <c r="I17" s="23" t="n">
        <v>1197683340</v>
      </c>
      <c r="J17" s="23" t="n">
        <v>135016848.68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5000000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808925046</v>
      </c>
      <c r="Y17" s="23" t="n">
        <v>661985561</v>
      </c>
      <c r="Z17" s="23" t="n">
        <v>220357000</v>
      </c>
      <c r="AA17" s="23" t="n">
        <v>2946289434.1</v>
      </c>
      <c r="AB17" s="22" t="n">
        <v>2600000</v>
      </c>
      <c r="AC17" s="22" t="n">
        <v>6975000</v>
      </c>
      <c r="AD17" s="22" t="n">
        <v>159934</v>
      </c>
      <c r="AE17" s="22" t="n">
        <v>2194803</v>
      </c>
      <c r="AF17" s="22" t="n">
        <v>14450695</v>
      </c>
      <c r="AG17" s="23" t="n">
        <v>4314967894</v>
      </c>
      <c r="AH17" s="23" t="n">
        <v>3377708932.92</v>
      </c>
      <c r="AI17" s="23" t="n">
        <v>3808674492</v>
      </c>
      <c r="AJ17" s="23" t="n">
        <v>615840</v>
      </c>
      <c r="AK17" s="25"/>
    </row>
    <row r="18" customFormat="false" ht="15.75" hidden="false" customHeight="true" outlineLevel="0" collapsed="false">
      <c r="A18" s="21" t="n">
        <v>46049</v>
      </c>
      <c r="B18" s="22" t="n">
        <v>1435</v>
      </c>
      <c r="C18" s="23" t="n">
        <v>0</v>
      </c>
      <c r="D18" s="23" t="n">
        <v>21598493.56</v>
      </c>
      <c r="E18" s="23" t="n">
        <v>63357361.978</v>
      </c>
      <c r="F18" s="23" t="n">
        <v>0</v>
      </c>
      <c r="G18" s="23" t="n">
        <v>7831332.12</v>
      </c>
      <c r="H18" s="23" t="n">
        <v>2143000</v>
      </c>
      <c r="I18" s="23" t="n">
        <v>1192572236</v>
      </c>
      <c r="J18" s="23" t="n">
        <v>194500000</v>
      </c>
      <c r="K18" s="23" t="n">
        <v>0</v>
      </c>
      <c r="L18" s="23" t="n">
        <v>9187620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3600000</v>
      </c>
      <c r="R18" s="23" t="n">
        <v>0</v>
      </c>
      <c r="S18" s="23" t="n">
        <v>0</v>
      </c>
      <c r="T18" s="23" t="n">
        <v>14506818</v>
      </c>
      <c r="U18" s="23" t="n">
        <v>110000000</v>
      </c>
      <c r="V18" s="23" t="n">
        <v>0</v>
      </c>
      <c r="W18" s="23" t="n">
        <v>0</v>
      </c>
      <c r="X18" s="23" t="n">
        <v>1366580164</v>
      </c>
      <c r="Y18" s="23" t="n">
        <v>625397941</v>
      </c>
      <c r="Z18" s="23" t="n">
        <v>220357000</v>
      </c>
      <c r="AA18" s="23" t="n">
        <v>2348072514</v>
      </c>
      <c r="AB18" s="22" t="n">
        <v>2600000</v>
      </c>
      <c r="AC18" s="22" t="n">
        <v>8975000</v>
      </c>
      <c r="AD18" s="22" t="n">
        <v>159934</v>
      </c>
      <c r="AE18" s="22" t="n">
        <v>2194803</v>
      </c>
      <c r="AF18" s="22" t="n">
        <v>14131936</v>
      </c>
      <c r="AG18" s="23" t="n">
        <v>4314967894</v>
      </c>
      <c r="AH18" s="23" t="n">
        <v>3131216981.9</v>
      </c>
      <c r="AI18" s="23" t="n">
        <v>3827344465</v>
      </c>
      <c r="AJ18" s="23" t="n">
        <v>2822528351.64</v>
      </c>
      <c r="AK18" s="25"/>
    </row>
    <row r="19" customFormat="false" ht="15.75" hidden="false" customHeight="true" outlineLevel="0" collapsed="false">
      <c r="A19" s="21" t="n">
        <v>46050</v>
      </c>
      <c r="B19" s="22" t="n">
        <v>1437</v>
      </c>
      <c r="C19" s="23" t="n">
        <v>0</v>
      </c>
      <c r="D19" s="23" t="n">
        <v>223072014.14</v>
      </c>
      <c r="E19" s="23" t="n">
        <v>98803000</v>
      </c>
      <c r="F19" s="23" t="n">
        <v>0</v>
      </c>
      <c r="G19" s="23" t="n">
        <v>7648485.56</v>
      </c>
      <c r="H19" s="23" t="n">
        <v>2143000</v>
      </c>
      <c r="I19" s="23" t="n">
        <v>985649251.26</v>
      </c>
      <c r="J19" s="23" t="n">
        <v>129244842</v>
      </c>
      <c r="K19" s="23" t="n">
        <v>0</v>
      </c>
      <c r="L19" s="23" t="n">
        <v>33343638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50977092</v>
      </c>
      <c r="R19" s="23" t="n">
        <v>0</v>
      </c>
      <c r="S19" s="23" t="n">
        <v>0</v>
      </c>
      <c r="T19" s="23" t="n">
        <v>3864000</v>
      </c>
      <c r="U19" s="23" t="n">
        <v>0</v>
      </c>
      <c r="V19" s="23" t="n">
        <v>0</v>
      </c>
      <c r="W19" s="23" t="n">
        <v>0</v>
      </c>
      <c r="X19" s="23" t="n">
        <v>1292174715.88</v>
      </c>
      <c r="Y19" s="23" t="n">
        <v>697178747</v>
      </c>
      <c r="Z19" s="23" t="n">
        <v>220357000</v>
      </c>
      <c r="AA19" s="23" t="n">
        <v>2785575928</v>
      </c>
      <c r="AB19" s="22" t="n">
        <v>2600000</v>
      </c>
      <c r="AC19" s="22" t="n">
        <v>7975000</v>
      </c>
      <c r="AD19" s="22" t="n">
        <v>159934</v>
      </c>
      <c r="AE19" s="22" t="n">
        <v>2194803</v>
      </c>
      <c r="AF19" s="22" t="n">
        <v>14827729</v>
      </c>
      <c r="AG19" s="23" t="n">
        <v>4314967894</v>
      </c>
      <c r="AH19" s="23" t="n">
        <v>2799280311</v>
      </c>
      <c r="AI19" s="23" t="n">
        <v>4226717076</v>
      </c>
      <c r="AJ19" s="23" t="n">
        <v>1487066027.59</v>
      </c>
      <c r="AK19" s="25"/>
    </row>
    <row r="20" customFormat="false" ht="15.75" hidden="false" customHeight="true" outlineLevel="0" collapsed="false">
      <c r="A20" s="21" t="n">
        <v>46051</v>
      </c>
      <c r="B20" s="22" t="n">
        <v>1437</v>
      </c>
      <c r="C20" s="23" t="n">
        <v>0</v>
      </c>
      <c r="D20" s="23" t="n">
        <v>223072014.14</v>
      </c>
      <c r="E20" s="23" t="n">
        <v>33207000</v>
      </c>
      <c r="F20" s="23" t="n">
        <v>0</v>
      </c>
      <c r="G20" s="23" t="n">
        <v>7613526.45</v>
      </c>
      <c r="H20" s="23" t="n">
        <v>2143000</v>
      </c>
      <c r="I20" s="23" t="n">
        <v>964224603.6</v>
      </c>
      <c r="J20" s="23" t="n">
        <v>73947517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17000000</v>
      </c>
      <c r="R20" s="23" t="n">
        <v>260000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1094847541</v>
      </c>
      <c r="Y20" s="23" t="n">
        <v>690113410</v>
      </c>
      <c r="Z20" s="23" t="n">
        <v>220357000</v>
      </c>
      <c r="AA20" s="23" t="n">
        <v>2876937776.62</v>
      </c>
      <c r="AB20" s="22" t="n">
        <v>2600000</v>
      </c>
      <c r="AC20" s="22" t="n">
        <v>7975000</v>
      </c>
      <c r="AD20" s="22" t="n">
        <v>159934</v>
      </c>
      <c r="AE20" s="22" t="n">
        <v>2194803</v>
      </c>
      <c r="AF20" s="22" t="n">
        <v>17819584.0935</v>
      </c>
      <c r="AG20" s="23" t="n">
        <v>4314967894</v>
      </c>
      <c r="AH20" s="23" t="n">
        <v>3067941831</v>
      </c>
      <c r="AI20" s="23" t="n">
        <v>5846274993</v>
      </c>
      <c r="AJ20" s="23" t="n">
        <v>1379229325.19</v>
      </c>
      <c r="AK20" s="25"/>
    </row>
    <row r="21" customFormat="false" ht="15.75" hidden="false" customHeight="true" outlineLevel="0" collapsed="false">
      <c r="A21" s="21" t="n">
        <v>46052</v>
      </c>
      <c r="B21" s="22" t="n">
        <v>1443</v>
      </c>
      <c r="C21" s="23" t="n">
        <v>0</v>
      </c>
      <c r="D21" s="23" t="n">
        <v>223072014</v>
      </c>
      <c r="E21" s="23" t="n">
        <v>380315000</v>
      </c>
      <c r="F21" s="23" t="n">
        <v>0</v>
      </c>
      <c r="G21" s="23" t="n">
        <v>6785000</v>
      </c>
      <c r="H21" s="23" t="n">
        <v>1553000</v>
      </c>
      <c r="I21" s="23" t="n">
        <v>810455502</v>
      </c>
      <c r="J21" s="23" t="n">
        <v>291486000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2433260</v>
      </c>
      <c r="Q21" s="23" t="n">
        <v>99600000</v>
      </c>
      <c r="R21" s="23" t="n">
        <v>0</v>
      </c>
      <c r="S21" s="23" t="n">
        <v>0</v>
      </c>
      <c r="T21" s="23" t="n">
        <v>14346000</v>
      </c>
      <c r="U21" s="23" t="n">
        <v>0</v>
      </c>
      <c r="V21" s="23" t="n">
        <v>0</v>
      </c>
      <c r="W21" s="23" t="n">
        <v>0</v>
      </c>
      <c r="X21" s="23" t="n">
        <v>962573839.14</v>
      </c>
      <c r="Y21" s="23" t="n">
        <v>3536632120</v>
      </c>
      <c r="Z21" s="23" t="n">
        <v>220357000</v>
      </c>
      <c r="AA21" s="23" t="n">
        <v>2957288505</v>
      </c>
      <c r="AB21" s="22" t="n">
        <v>2600000</v>
      </c>
      <c r="AC21" s="22" t="n">
        <v>7000000</v>
      </c>
      <c r="AD21" s="22" t="n">
        <v>159934</v>
      </c>
      <c r="AE21" s="22" t="n">
        <v>340000</v>
      </c>
      <c r="AF21" s="22" t="n">
        <v>18426332</v>
      </c>
      <c r="AG21" s="23" t="n">
        <v>4314967894</v>
      </c>
      <c r="AH21" s="23" t="n">
        <v>2981995708</v>
      </c>
      <c r="AI21" s="23" t="n">
        <v>4017095550</v>
      </c>
      <c r="AJ21" s="23" t="n">
        <v>0</v>
      </c>
      <c r="AK21" s="25"/>
    </row>
    <row r="22" customFormat="false" ht="15.75" hidden="false" customHeight="true" outlineLevel="0" collapsed="false">
      <c r="A22" s="21" t="n">
        <v>46055</v>
      </c>
      <c r="B22" s="22" t="n">
        <v>1444</v>
      </c>
      <c r="C22" s="23" t="n">
        <v>0</v>
      </c>
      <c r="D22" s="23" t="n">
        <v>252012755</v>
      </c>
      <c r="E22" s="23" t="n">
        <v>113034969</v>
      </c>
      <c r="F22" s="23" t="n">
        <v>0</v>
      </c>
      <c r="G22" s="23" t="n">
        <v>5059607</v>
      </c>
      <c r="H22" s="23" t="n">
        <v>1551000</v>
      </c>
      <c r="I22" s="23" t="n">
        <v>885303260</v>
      </c>
      <c r="J22" s="23" t="n">
        <v>130714631</v>
      </c>
      <c r="K22" s="23" t="n">
        <v>0</v>
      </c>
      <c r="L22" s="23" t="n">
        <v>55360166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46139128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706893555</v>
      </c>
      <c r="Y22" s="23" t="n">
        <v>3524579436</v>
      </c>
      <c r="Z22" s="23" t="n">
        <v>214477560.11615</v>
      </c>
      <c r="AA22" s="23" t="n">
        <v>3133277362</v>
      </c>
      <c r="AB22" s="22" t="n">
        <v>2600000</v>
      </c>
      <c r="AC22" s="22" t="n">
        <v>7000000</v>
      </c>
      <c r="AD22" s="22" t="n">
        <v>159934</v>
      </c>
      <c r="AE22" s="22" t="n">
        <v>2194803</v>
      </c>
      <c r="AF22" s="22" t="n">
        <v>20143331</v>
      </c>
      <c r="AG22" s="23" t="n">
        <v>4314967894</v>
      </c>
      <c r="AH22" s="23" t="n">
        <v>4342932524</v>
      </c>
      <c r="AI22" s="23" t="n">
        <v>4476960272</v>
      </c>
      <c r="AJ22" s="23" t="n">
        <v>0</v>
      </c>
      <c r="AK22" s="25"/>
    </row>
    <row r="23" customFormat="false" ht="15.75" hidden="false" customHeight="true" outlineLevel="0" collapsed="false">
      <c r="A23" s="21" t="n">
        <v>46056</v>
      </c>
      <c r="B23" s="22" t="n">
        <v>1447</v>
      </c>
      <c r="C23" s="23" t="n">
        <v>0</v>
      </c>
      <c r="D23" s="23" t="n">
        <v>289560308.58</v>
      </c>
      <c r="E23" s="23" t="n">
        <v>56664237.91</v>
      </c>
      <c r="F23" s="23" t="n">
        <v>0</v>
      </c>
      <c r="G23" s="23" t="n">
        <v>5023804</v>
      </c>
      <c r="H23" s="23" t="n">
        <v>1551000</v>
      </c>
      <c r="I23" s="23" t="n">
        <v>1011518184</v>
      </c>
      <c r="J23" s="23" t="n">
        <v>152811655</v>
      </c>
      <c r="K23" s="23" t="n">
        <v>0</v>
      </c>
      <c r="L23" s="23" t="n">
        <v>5216923</v>
      </c>
      <c r="M23" s="23" t="n">
        <v>0</v>
      </c>
      <c r="N23" s="23" t="n">
        <v>0</v>
      </c>
      <c r="O23" s="23" t="n">
        <v>0</v>
      </c>
      <c r="P23" s="23" t="n">
        <v>12273664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416780127</v>
      </c>
      <c r="Y23" s="23" t="n">
        <v>3522362513</v>
      </c>
      <c r="Z23" s="23" t="n">
        <v>214477560.11615</v>
      </c>
      <c r="AA23" s="23" t="n">
        <v>3116732200</v>
      </c>
      <c r="AB23" s="22" t="n">
        <v>2600000</v>
      </c>
      <c r="AC23" s="22" t="n">
        <v>7000000</v>
      </c>
      <c r="AD23" s="22" t="n">
        <v>159934</v>
      </c>
      <c r="AE23" s="22" t="n">
        <v>2194803</v>
      </c>
      <c r="AF23" s="22" t="n">
        <v>18381717</v>
      </c>
      <c r="AG23" s="23" t="n">
        <v>4314967894</v>
      </c>
      <c r="AH23" s="23" t="n">
        <v>4202886744</v>
      </c>
      <c r="AI23" s="23" t="n">
        <v>4486261436</v>
      </c>
      <c r="AJ23" s="23" t="n">
        <v>0</v>
      </c>
      <c r="AK23" s="25"/>
    </row>
    <row r="24" customFormat="false" ht="15.75" hidden="false" customHeight="true" outlineLevel="0" collapsed="false">
      <c r="A24" s="21" t="n">
        <v>46057</v>
      </c>
      <c r="B24" s="22" t="n">
        <v>1444</v>
      </c>
      <c r="C24" s="23" t="n">
        <v>0</v>
      </c>
      <c r="D24" s="23" t="n">
        <v>256839729</v>
      </c>
      <c r="E24" s="23" t="n">
        <v>51206465</v>
      </c>
      <c r="F24" s="23" t="n">
        <v>0</v>
      </c>
      <c r="G24" s="23" t="n">
        <v>7177357</v>
      </c>
      <c r="H24" s="23" t="n">
        <v>1551000</v>
      </c>
      <c r="I24" s="23" t="n">
        <v>992210152</v>
      </c>
      <c r="J24" s="23" t="n">
        <v>5345000</v>
      </c>
      <c r="K24" s="23" t="n">
        <v>0</v>
      </c>
      <c r="L24" s="23" t="n">
        <v>33970959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26200000</v>
      </c>
      <c r="R24" s="23" t="n">
        <v>0</v>
      </c>
      <c r="S24" s="23" t="n">
        <v>0</v>
      </c>
      <c r="T24" s="23" t="n">
        <v>0</v>
      </c>
      <c r="U24" s="23" t="n">
        <v>160000000</v>
      </c>
      <c r="V24" s="23" t="n">
        <v>0</v>
      </c>
      <c r="W24" s="23" t="n">
        <v>0</v>
      </c>
      <c r="X24" s="23" t="n">
        <v>438934452</v>
      </c>
      <c r="Y24" s="23" t="n">
        <v>3447658413</v>
      </c>
      <c r="Z24" s="23" t="n">
        <v>214477560.11615</v>
      </c>
      <c r="AA24" s="23" t="n">
        <v>3165176592</v>
      </c>
      <c r="AB24" s="22" t="n">
        <v>2600000</v>
      </c>
      <c r="AC24" s="22" t="n">
        <v>7000000</v>
      </c>
      <c r="AD24" s="22" t="n">
        <v>159934</v>
      </c>
      <c r="AE24" s="22" t="n">
        <v>2194803</v>
      </c>
      <c r="AF24" s="22" t="n">
        <v>15968160</v>
      </c>
      <c r="AG24" s="23" t="n">
        <v>4314967894</v>
      </c>
      <c r="AH24" s="23" t="n">
        <v>4914658332</v>
      </c>
      <c r="AI24" s="23" t="n">
        <v>4173773700</v>
      </c>
      <c r="AJ24" s="23" t="n">
        <v>0</v>
      </c>
      <c r="AK24" s="25"/>
    </row>
    <row r="25" customFormat="false" ht="15.75" hidden="false" customHeight="true" outlineLevel="0" collapsed="false">
      <c r="A25" s="21" t="n">
        <v>46058</v>
      </c>
      <c r="B25" s="22" t="n">
        <v>1444.5</v>
      </c>
      <c r="C25" s="23" t="n">
        <v>0</v>
      </c>
      <c r="D25" s="23" t="n">
        <v>320945719.28</v>
      </c>
      <c r="E25" s="23" t="n">
        <v>11279310.41</v>
      </c>
      <c r="F25" s="23" t="n">
        <v>0</v>
      </c>
      <c r="G25" s="23" t="n">
        <v>7035000</v>
      </c>
      <c r="H25" s="23" t="n">
        <v>0</v>
      </c>
      <c r="I25" s="23" t="n">
        <v>927364812</v>
      </c>
      <c r="J25" s="23" t="n">
        <v>39500000</v>
      </c>
      <c r="K25" s="23" t="n">
        <v>0</v>
      </c>
      <c r="L25" s="23" t="n">
        <v>1370000</v>
      </c>
      <c r="M25" s="23" t="n">
        <v>0</v>
      </c>
      <c r="N25" s="23" t="n">
        <v>0</v>
      </c>
      <c r="O25" s="23" t="n">
        <v>0</v>
      </c>
      <c r="P25" s="23" t="n">
        <v>4485303</v>
      </c>
      <c r="Q25" s="23" t="n">
        <v>324204358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454796478</v>
      </c>
      <c r="Y25" s="23" t="n">
        <v>3020651934</v>
      </c>
      <c r="Z25" s="23" t="n">
        <v>214477560.11615</v>
      </c>
      <c r="AA25" s="23" t="n">
        <v>3207730808.83</v>
      </c>
      <c r="AB25" s="22" t="n">
        <v>2600000</v>
      </c>
      <c r="AC25" s="22" t="n">
        <v>7000000</v>
      </c>
      <c r="AD25" s="22" t="n">
        <v>159934</v>
      </c>
      <c r="AE25" s="22" t="n">
        <v>2194803</v>
      </c>
      <c r="AF25" s="22" t="n">
        <v>17519790.0089</v>
      </c>
      <c r="AG25" s="23" t="n">
        <v>4314967894</v>
      </c>
      <c r="AH25" s="23" t="n">
        <v>5096658066.66</v>
      </c>
      <c r="AI25" s="23" t="n">
        <v>4040751852</v>
      </c>
      <c r="AJ25" s="23" t="n">
        <v>0</v>
      </c>
      <c r="AK25" s="25"/>
    </row>
    <row r="26" customFormat="false" ht="15.75" hidden="false" customHeight="true" outlineLevel="0" collapsed="false">
      <c r="A26" s="21" t="n">
        <v>46059</v>
      </c>
      <c r="B26" s="22" t="n">
        <v>1444.5</v>
      </c>
      <c r="C26" s="23" t="n">
        <v>0</v>
      </c>
      <c r="D26" s="23" t="n">
        <v>367721375</v>
      </c>
      <c r="E26" s="23" t="n">
        <v>91488275.23</v>
      </c>
      <c r="F26" s="23" t="n">
        <v>0</v>
      </c>
      <c r="G26" s="23" t="n">
        <v>5023000</v>
      </c>
      <c r="H26" s="23" t="n">
        <v>0</v>
      </c>
      <c r="I26" s="23" t="n">
        <v>936468481.95</v>
      </c>
      <c r="J26" s="23" t="n">
        <v>180790748.56</v>
      </c>
      <c r="K26" s="23" t="n">
        <v>0</v>
      </c>
      <c r="L26" s="23" t="n">
        <v>910000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234774657</v>
      </c>
      <c r="R26" s="23" t="n">
        <v>0</v>
      </c>
      <c r="S26" s="23" t="n">
        <v>820000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674592454.94</v>
      </c>
      <c r="Y26" s="23" t="n">
        <v>2784376363</v>
      </c>
      <c r="Z26" s="23" t="n">
        <v>214477560.11615</v>
      </c>
      <c r="AA26" s="23" t="n">
        <v>2925341786</v>
      </c>
      <c r="AB26" s="22" t="n">
        <v>2600000</v>
      </c>
      <c r="AC26" s="22" t="n">
        <v>7000000</v>
      </c>
      <c r="AD26" s="22" t="n">
        <v>159934</v>
      </c>
      <c r="AE26" s="22" t="n">
        <v>2194803</v>
      </c>
      <c r="AF26" s="22" t="n">
        <v>18502771.1349</v>
      </c>
      <c r="AG26" s="23" t="n">
        <v>4314967894</v>
      </c>
      <c r="AH26" s="23" t="n">
        <v>5435993073.06</v>
      </c>
      <c r="AI26" s="23" t="n">
        <v>4040751852</v>
      </c>
      <c r="AJ26" s="23" t="n">
        <v>0</v>
      </c>
      <c r="AK26" s="25"/>
    </row>
    <row r="27" customFormat="false" ht="15.75" hidden="false" customHeight="true" outlineLevel="0" collapsed="false">
      <c r="A27" s="21" t="n">
        <v>46062</v>
      </c>
      <c r="B27" s="22" t="n">
        <v>1420</v>
      </c>
      <c r="C27" s="23" t="n">
        <v>0</v>
      </c>
      <c r="D27" s="23" t="n">
        <v>367721375.78</v>
      </c>
      <c r="E27" s="23" t="n">
        <v>131584000</v>
      </c>
      <c r="F27" s="23" t="n">
        <v>0</v>
      </c>
      <c r="G27" s="23" t="n">
        <v>7870000</v>
      </c>
      <c r="H27" s="23" t="n">
        <v>3162000</v>
      </c>
      <c r="I27" s="23" t="n">
        <v>936468481.95</v>
      </c>
      <c r="J27" s="23" t="n">
        <v>57538516.46</v>
      </c>
      <c r="K27" s="23" t="n">
        <v>0</v>
      </c>
      <c r="L27" s="23" t="n">
        <v>2011060</v>
      </c>
      <c r="M27" s="23" t="n">
        <v>0</v>
      </c>
      <c r="N27" s="23" t="n">
        <v>0</v>
      </c>
      <c r="O27" s="23" t="n">
        <v>5208938</v>
      </c>
      <c r="P27" s="23" t="n">
        <v>80444176</v>
      </c>
      <c r="Q27" s="23" t="n">
        <v>8740000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721916440</v>
      </c>
      <c r="Y27" s="23" t="n">
        <v>2024911920</v>
      </c>
      <c r="Z27" s="23" t="n">
        <v>214477560.11615</v>
      </c>
      <c r="AA27" s="23" t="n">
        <v>2876463440</v>
      </c>
      <c r="AB27" s="22" t="n">
        <v>2600000</v>
      </c>
      <c r="AC27" s="22" t="n">
        <v>7000000</v>
      </c>
      <c r="AD27" s="22" t="n">
        <v>159934</v>
      </c>
      <c r="AE27" s="22" t="n">
        <v>340000</v>
      </c>
      <c r="AF27" s="22" t="n">
        <v>17415153.7759</v>
      </c>
      <c r="AG27" s="23" t="n">
        <v>4314967894</v>
      </c>
      <c r="AH27" s="23" t="n">
        <v>5576187293.2</v>
      </c>
      <c r="AI27" s="23" t="n">
        <v>4754093260</v>
      </c>
      <c r="AJ27" s="23" t="n">
        <v>0</v>
      </c>
      <c r="AK27" s="25"/>
    </row>
    <row r="28" customFormat="false" ht="15.75" hidden="false" customHeight="true" outlineLevel="0" collapsed="false">
      <c r="A28" s="21" t="n">
        <v>46063</v>
      </c>
      <c r="B28" s="22" t="n">
        <v>1424</v>
      </c>
      <c r="C28" s="23" t="n">
        <v>0</v>
      </c>
      <c r="D28" s="23" t="n">
        <v>250860342.03</v>
      </c>
      <c r="E28" s="23" t="n">
        <v>148910080</v>
      </c>
      <c r="F28" s="23" t="n">
        <v>0</v>
      </c>
      <c r="G28" s="23" t="n">
        <v>7870000</v>
      </c>
      <c r="H28" s="23" t="n">
        <v>1837000</v>
      </c>
      <c r="I28" s="23" t="n">
        <v>1085878106</v>
      </c>
      <c r="J28" s="23" t="n">
        <v>53000000</v>
      </c>
      <c r="K28" s="23" t="n">
        <v>86098436</v>
      </c>
      <c r="L28" s="23" t="n">
        <v>10562189</v>
      </c>
      <c r="M28" s="23" t="n">
        <v>0</v>
      </c>
      <c r="N28" s="23" t="n">
        <v>0</v>
      </c>
      <c r="O28" s="23" t="n">
        <v>0</v>
      </c>
      <c r="P28" s="23" t="n">
        <v>39373808</v>
      </c>
      <c r="Q28" s="23" t="n">
        <v>144828097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720500835</v>
      </c>
      <c r="Y28" s="23" t="n">
        <v>1737786590</v>
      </c>
      <c r="Z28" s="23" t="n">
        <v>214477560.11615</v>
      </c>
      <c r="AA28" s="23" t="n">
        <v>2876463440</v>
      </c>
      <c r="AB28" s="22" t="n">
        <v>2600000</v>
      </c>
      <c r="AC28" s="22" t="n">
        <v>7000000</v>
      </c>
      <c r="AD28" s="22" t="n">
        <v>159934</v>
      </c>
      <c r="AE28" s="22" t="n">
        <v>340000</v>
      </c>
      <c r="AF28" s="22" t="n">
        <v>16586630.9059</v>
      </c>
      <c r="AG28" s="23" t="n">
        <v>4314967894</v>
      </c>
      <c r="AH28" s="23" t="n">
        <v>5145348427.52</v>
      </c>
      <c r="AI28" s="23" t="n">
        <v>4487293136</v>
      </c>
      <c r="AJ28" s="23" t="n">
        <v>0</v>
      </c>
      <c r="AK28" s="25"/>
    </row>
    <row r="29" customFormat="false" ht="15.75" hidden="false" customHeight="true" outlineLevel="0" collapsed="false">
      <c r="A29" s="21" t="n">
        <v>46064</v>
      </c>
      <c r="B29" s="22" t="n">
        <v>1401</v>
      </c>
      <c r="C29" s="23" t="n">
        <v>0</v>
      </c>
      <c r="D29" s="23" t="n">
        <v>412962529.63</v>
      </c>
      <c r="E29" s="23" t="n">
        <v>75857335.9</v>
      </c>
      <c r="F29" s="23" t="n">
        <v>0</v>
      </c>
      <c r="G29" s="23" t="n">
        <v>25974420</v>
      </c>
      <c r="H29" s="23" t="n">
        <v>1837000</v>
      </c>
      <c r="I29" s="23" t="n">
        <v>1085878106</v>
      </c>
      <c r="J29" s="23" t="n">
        <v>36252671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303297684</v>
      </c>
      <c r="R29" s="23" t="n">
        <v>0</v>
      </c>
      <c r="S29" s="23" t="n">
        <v>0</v>
      </c>
      <c r="T29" s="23" t="n">
        <v>6357800</v>
      </c>
      <c r="U29" s="23" t="n">
        <v>0</v>
      </c>
      <c r="V29" s="23" t="n">
        <v>0</v>
      </c>
      <c r="W29" s="23" t="n">
        <v>0</v>
      </c>
      <c r="X29" s="23" t="n">
        <v>757496514</v>
      </c>
      <c r="Y29" s="23" t="n">
        <v>1431349255</v>
      </c>
      <c r="Z29" s="23" t="n">
        <v>214477560.11615</v>
      </c>
      <c r="AA29" s="23" t="n">
        <v>2711962132.23</v>
      </c>
      <c r="AB29" s="22" t="n">
        <v>1891000</v>
      </c>
      <c r="AC29" s="22" t="n">
        <v>7000000</v>
      </c>
      <c r="AD29" s="22" t="n">
        <v>159934</v>
      </c>
      <c r="AE29" s="22" t="n">
        <v>340000</v>
      </c>
      <c r="AF29" s="22" t="n">
        <v>19341120.9479</v>
      </c>
      <c r="AG29" s="23" t="n">
        <v>4314967894</v>
      </c>
      <c r="AH29" s="23" t="n">
        <v>5182685087.58</v>
      </c>
      <c r="AI29" s="23" t="n">
        <v>4414815789</v>
      </c>
      <c r="AJ29" s="23" t="n">
        <v>0</v>
      </c>
      <c r="AK29" s="25"/>
    </row>
    <row r="30" customFormat="false" ht="15.75" hidden="false" customHeight="true" outlineLevel="0" collapsed="false">
      <c r="A30" s="21" t="n">
        <v>46065</v>
      </c>
      <c r="B30" s="22" t="n">
        <v>1397</v>
      </c>
      <c r="C30" s="23" t="n">
        <v>0</v>
      </c>
      <c r="D30" s="23" t="n">
        <v>293776490</v>
      </c>
      <c r="E30" s="23" t="n">
        <v>14988736.3</v>
      </c>
      <c r="F30" s="23" t="n">
        <v>0</v>
      </c>
      <c r="G30" s="23" t="n">
        <v>84253263</v>
      </c>
      <c r="H30" s="23" t="n">
        <v>3592000</v>
      </c>
      <c r="I30" s="23" t="n">
        <v>1044507436.3</v>
      </c>
      <c r="J30" s="23" t="n">
        <v>121070139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163646918</v>
      </c>
      <c r="R30" s="23" t="n">
        <v>196000</v>
      </c>
      <c r="S30" s="23" t="n">
        <v>0</v>
      </c>
      <c r="T30" s="23" t="n">
        <v>44183000</v>
      </c>
      <c r="U30" s="23" t="n">
        <v>217500000</v>
      </c>
      <c r="V30" s="23" t="n">
        <v>0</v>
      </c>
      <c r="W30" s="23" t="n">
        <v>0</v>
      </c>
      <c r="X30" s="23" t="n">
        <v>876190197</v>
      </c>
      <c r="Y30" s="23" t="n">
        <v>1326635250</v>
      </c>
      <c r="Z30" s="23" t="n">
        <v>214477560.11615</v>
      </c>
      <c r="AA30" s="23" t="n">
        <v>3033457515</v>
      </c>
      <c r="AB30" s="22" t="n">
        <v>1891000</v>
      </c>
      <c r="AC30" s="22" t="n">
        <v>7000000</v>
      </c>
      <c r="AD30" s="22" t="n">
        <v>159934</v>
      </c>
      <c r="AE30" s="22" t="n">
        <v>340000</v>
      </c>
      <c r="AF30" s="22" t="n">
        <v>20968249.7719</v>
      </c>
      <c r="AG30" s="23" t="n">
        <v>4314967894</v>
      </c>
      <c r="AH30" s="23" t="n">
        <v>5060995622.21</v>
      </c>
      <c r="AI30" s="23" t="n">
        <v>4871410247</v>
      </c>
      <c r="AJ30" s="23" t="n">
        <v>0</v>
      </c>
      <c r="AK30" s="25"/>
    </row>
    <row r="31" customFormat="false" ht="15.75" hidden="false" customHeight="true" outlineLevel="0" collapsed="false">
      <c r="A31" s="21" t="n">
        <v>46066</v>
      </c>
      <c r="B31" s="22" t="n">
        <v>1390</v>
      </c>
      <c r="C31" s="23" t="n">
        <v>0</v>
      </c>
      <c r="D31" s="23" t="n">
        <v>370086639</v>
      </c>
      <c r="E31" s="23" t="n">
        <v>303102290.5</v>
      </c>
      <c r="F31" s="23" t="n">
        <v>0</v>
      </c>
      <c r="G31" s="23" t="n">
        <v>13209512</v>
      </c>
      <c r="H31" s="23" t="n">
        <v>3592000</v>
      </c>
      <c r="I31" s="23" t="n">
        <v>1029555798.8</v>
      </c>
      <c r="J31" s="23" t="n">
        <v>253863807</v>
      </c>
      <c r="K31" s="23" t="n">
        <v>0</v>
      </c>
      <c r="L31" s="23" t="n">
        <v>15597130</v>
      </c>
      <c r="M31" s="23" t="n">
        <v>0</v>
      </c>
      <c r="N31" s="23" t="n">
        <v>0</v>
      </c>
      <c r="O31" s="23" t="n">
        <v>0</v>
      </c>
      <c r="P31" s="23" t="n">
        <v>2695066</v>
      </c>
      <c r="Q31" s="23" t="n">
        <v>296267289</v>
      </c>
      <c r="R31" s="23" t="n">
        <v>0</v>
      </c>
      <c r="S31" s="23" t="n">
        <v>0</v>
      </c>
      <c r="T31" s="23" t="n">
        <v>3407600</v>
      </c>
      <c r="U31" s="23" t="n">
        <v>0</v>
      </c>
      <c r="V31" s="23" t="n">
        <v>0</v>
      </c>
      <c r="W31" s="23" t="n">
        <v>0</v>
      </c>
      <c r="X31" s="23" t="n">
        <v>619794022</v>
      </c>
      <c r="Y31" s="23" t="n">
        <v>890074006</v>
      </c>
      <c r="Z31" s="23" t="n">
        <v>214477560.11615</v>
      </c>
      <c r="AA31" s="23" t="n">
        <v>3377991458</v>
      </c>
      <c r="AB31" s="22" t="n">
        <v>1891000</v>
      </c>
      <c r="AC31" s="22" t="n">
        <v>7000000</v>
      </c>
      <c r="AD31" s="22" t="n">
        <v>159934</v>
      </c>
      <c r="AE31" s="22" t="n">
        <v>340000</v>
      </c>
      <c r="AF31" s="22" t="n">
        <v>21569863.2299</v>
      </c>
      <c r="AG31" s="23" t="n">
        <v>4314967894</v>
      </c>
      <c r="AH31" s="23" t="n">
        <v>4400949862.2</v>
      </c>
      <c r="AI31" s="23" t="n">
        <v>4847000890</v>
      </c>
      <c r="AJ31" s="23" t="n">
        <v>0</v>
      </c>
      <c r="AK31" s="25"/>
    </row>
    <row r="32" customFormat="false" ht="15.75" hidden="false" customHeight="true" outlineLevel="0" collapsed="false">
      <c r="A32" s="21" t="n">
        <v>46071</v>
      </c>
      <c r="B32" s="22" t="n">
        <v>1392</v>
      </c>
      <c r="C32" s="23" t="n">
        <v>0</v>
      </c>
      <c r="D32" s="23" t="n">
        <v>199109312.43</v>
      </c>
      <c r="E32" s="23" t="n">
        <v>144835038</v>
      </c>
      <c r="F32" s="23" t="n">
        <v>0</v>
      </c>
      <c r="G32" s="23" t="n">
        <v>0</v>
      </c>
      <c r="H32" s="23" t="n">
        <v>8738000</v>
      </c>
      <c r="I32" s="23" t="n">
        <v>948986533</v>
      </c>
      <c r="J32" s="23" t="n">
        <v>186793349</v>
      </c>
      <c r="K32" s="23" t="n">
        <v>0</v>
      </c>
      <c r="L32" s="23" t="n">
        <v>86625124</v>
      </c>
      <c r="M32" s="23" t="n">
        <v>0</v>
      </c>
      <c r="N32" s="23" t="n">
        <v>0</v>
      </c>
      <c r="O32" s="23" t="n">
        <v>0</v>
      </c>
      <c r="P32" s="23" t="n">
        <v>161197972</v>
      </c>
      <c r="Q32" s="23" t="n">
        <v>33591907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835051875</v>
      </c>
      <c r="Y32" s="23" t="n">
        <v>867784665</v>
      </c>
      <c r="Z32" s="23" t="n">
        <v>214477560.11615</v>
      </c>
      <c r="AA32" s="23" t="n">
        <v>3005364474</v>
      </c>
      <c r="AB32" s="22" t="n">
        <v>2069775.56038</v>
      </c>
      <c r="AC32" s="22" t="n">
        <v>7000000</v>
      </c>
      <c r="AD32" s="22" t="n">
        <v>159934</v>
      </c>
      <c r="AE32" s="22" t="n">
        <v>160000</v>
      </c>
      <c r="AF32" s="22" t="n">
        <v>25001268.1459</v>
      </c>
      <c r="AG32" s="23" t="n">
        <v>4314967894</v>
      </c>
      <c r="AH32" s="23" t="n">
        <v>4176337671.36</v>
      </c>
      <c r="AI32" s="23" t="n">
        <v>4780591536</v>
      </c>
      <c r="AJ32" s="23" t="n">
        <v>0</v>
      </c>
      <c r="AK32" s="25"/>
    </row>
    <row r="33" customFormat="false" ht="15.75" hidden="false" customHeight="true" outlineLevel="0" collapsed="false">
      <c r="A33" s="21" t="n">
        <v>46072</v>
      </c>
      <c r="B33" s="22" t="n">
        <v>1400</v>
      </c>
      <c r="C33" s="23" t="n">
        <v>0</v>
      </c>
      <c r="D33" s="23" t="n">
        <v>199109312.43</v>
      </c>
      <c r="E33" s="23" t="n">
        <v>432170063.72</v>
      </c>
      <c r="F33" s="23" t="n">
        <v>0</v>
      </c>
      <c r="G33" s="23" t="n">
        <v>9203904</v>
      </c>
      <c r="H33" s="23" t="n">
        <v>8027000</v>
      </c>
      <c r="I33" s="23" t="n">
        <v>948986533</v>
      </c>
      <c r="J33" s="23" t="n">
        <v>206806634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2851083</v>
      </c>
      <c r="Q33" s="23" t="n">
        <v>169606421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680394629</v>
      </c>
      <c r="Y33" s="23" t="n">
        <v>828444868</v>
      </c>
      <c r="Z33" s="23" t="n">
        <v>214477560.11615</v>
      </c>
      <c r="AA33" s="23" t="n">
        <v>3088402474</v>
      </c>
      <c r="AB33" s="22" t="n">
        <v>2069775.56038</v>
      </c>
      <c r="AC33" s="22" t="n">
        <v>7000000</v>
      </c>
      <c r="AD33" s="22" t="n">
        <v>159934</v>
      </c>
      <c r="AE33" s="22" t="n">
        <v>160000</v>
      </c>
      <c r="AF33" s="22" t="n">
        <v>24517322.5059</v>
      </c>
      <c r="AG33" s="23" t="n">
        <v>4314967894</v>
      </c>
      <c r="AH33" s="23" t="n">
        <v>5044274592</v>
      </c>
      <c r="AI33" s="23" t="n">
        <v>4299401400</v>
      </c>
      <c r="AJ33" s="23" t="n">
        <v>0</v>
      </c>
      <c r="AK33" s="25"/>
    </row>
    <row r="34" customFormat="false" ht="15.75" hidden="false" customHeight="true" outlineLevel="0" collapsed="false">
      <c r="A34" s="21" t="n">
        <v>46073</v>
      </c>
      <c r="B34" s="22" t="n">
        <v>1400</v>
      </c>
      <c r="C34" s="23" t="n">
        <v>0</v>
      </c>
      <c r="D34" s="23" t="n">
        <v>237801783</v>
      </c>
      <c r="E34" s="23" t="n">
        <v>100111404</v>
      </c>
      <c r="F34" s="23" t="n">
        <v>0</v>
      </c>
      <c r="G34" s="23" t="n">
        <v>9063066</v>
      </c>
      <c r="H34" s="23" t="n">
        <v>8027000</v>
      </c>
      <c r="I34" s="23" t="n">
        <v>1072996073</v>
      </c>
      <c r="J34" s="23" t="n">
        <v>311844291.68</v>
      </c>
      <c r="K34" s="23" t="n">
        <v>0</v>
      </c>
      <c r="L34" s="23" t="n">
        <v>3414402</v>
      </c>
      <c r="M34" s="23" t="n">
        <v>0</v>
      </c>
      <c r="N34" s="23" t="n">
        <v>0</v>
      </c>
      <c r="O34" s="23" t="n">
        <v>0</v>
      </c>
      <c r="P34" s="23" t="n">
        <v>31673245</v>
      </c>
      <c r="Q34" s="23" t="n">
        <v>225992533</v>
      </c>
      <c r="R34" s="23" t="n">
        <v>99212211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581961431.82</v>
      </c>
      <c r="Y34" s="23" t="n">
        <v>508533057</v>
      </c>
      <c r="Z34" s="23" t="n">
        <v>214477560.11615</v>
      </c>
      <c r="AA34" s="23" t="n">
        <v>3164986661</v>
      </c>
      <c r="AB34" s="22" t="n">
        <v>2069775.56038</v>
      </c>
      <c r="AC34" s="22" t="n">
        <v>7000000</v>
      </c>
      <c r="AD34" s="22" t="n">
        <v>159934</v>
      </c>
      <c r="AE34" s="22" t="n">
        <v>160000</v>
      </c>
      <c r="AF34" s="22" t="n">
        <v>23952278.8359</v>
      </c>
      <c r="AG34" s="23" t="n">
        <v>4314967894</v>
      </c>
      <c r="AH34" s="23" t="n">
        <v>5063733332</v>
      </c>
      <c r="AI34" s="23" t="n">
        <v>4299402800</v>
      </c>
      <c r="AJ34" s="23" t="n">
        <v>0</v>
      </c>
      <c r="AK34" s="25"/>
    </row>
    <row r="35" customFormat="false" ht="15.75" hidden="false" customHeight="true" outlineLevel="0" collapsed="false">
      <c r="A35" s="21" t="n">
        <v>46076</v>
      </c>
      <c r="B35" s="22" t="n">
        <v>1381</v>
      </c>
      <c r="C35" s="23" t="n">
        <v>0</v>
      </c>
      <c r="D35" s="23" t="n">
        <v>271127724.37</v>
      </c>
      <c r="E35" s="23" t="n">
        <v>109253469</v>
      </c>
      <c r="F35" s="23" t="n">
        <v>0</v>
      </c>
      <c r="G35" s="23" t="n">
        <v>8330094.56</v>
      </c>
      <c r="H35" s="23" t="n">
        <v>1789000</v>
      </c>
      <c r="I35" s="23" t="n">
        <v>969499641</v>
      </c>
      <c r="J35" s="23" t="n">
        <v>126135705.5</v>
      </c>
      <c r="K35" s="23" t="n">
        <v>0</v>
      </c>
      <c r="L35" s="23" t="n">
        <v>5088637</v>
      </c>
      <c r="M35" s="23" t="n">
        <v>0</v>
      </c>
      <c r="N35" s="23" t="n">
        <v>0</v>
      </c>
      <c r="O35" s="23" t="n">
        <v>74920045</v>
      </c>
      <c r="P35" s="23" t="n">
        <v>10247874</v>
      </c>
      <c r="Q35" s="23" t="n">
        <v>1001203</v>
      </c>
      <c r="R35" s="23" t="n">
        <v>169473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573391030</v>
      </c>
      <c r="Y35" s="23" t="n">
        <v>531590280</v>
      </c>
      <c r="Z35" s="23" t="n">
        <v>214477560.11615</v>
      </c>
      <c r="AA35" s="23" t="n">
        <v>3108514290</v>
      </c>
      <c r="AB35" s="22" t="n">
        <v>2069775.56038</v>
      </c>
      <c r="AC35" s="22" t="n">
        <v>7000000</v>
      </c>
      <c r="AD35" s="22" t="n">
        <v>159934</v>
      </c>
      <c r="AE35" s="22" t="n">
        <v>160000</v>
      </c>
      <c r="AF35" s="22" t="n">
        <v>27925531.2854</v>
      </c>
      <c r="AG35" s="23" t="n">
        <v>5449654020.24</v>
      </c>
      <c r="AH35" s="23" t="n">
        <v>4300010557.78</v>
      </c>
      <c r="AI35" s="23" t="n">
        <v>4241053762</v>
      </c>
      <c r="AJ35" s="23" t="n">
        <v>0</v>
      </c>
      <c r="AK35" s="25"/>
    </row>
    <row r="36" customFormat="false" ht="15.75" hidden="false" customHeight="true" outlineLevel="0" collapsed="false">
      <c r="A36" s="21" t="n">
        <v>46077</v>
      </c>
      <c r="B36" s="22" t="n">
        <v>1360.5</v>
      </c>
      <c r="C36" s="23" t="n">
        <v>0</v>
      </c>
      <c r="D36" s="23" t="n">
        <v>327480214</v>
      </c>
      <c r="E36" s="23" t="n">
        <v>57330000</v>
      </c>
      <c r="F36" s="23" t="n">
        <v>0</v>
      </c>
      <c r="G36" s="23" t="n">
        <v>8189000</v>
      </c>
      <c r="H36" s="23" t="n">
        <v>20047000</v>
      </c>
      <c r="I36" s="23" t="n">
        <v>923362814</v>
      </c>
      <c r="J36" s="23" t="n">
        <v>137500000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19226592</v>
      </c>
      <c r="P36" s="23" t="n">
        <v>0</v>
      </c>
      <c r="Q36" s="23" t="n">
        <v>47848812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676639022.64</v>
      </c>
      <c r="Y36" s="23" t="n">
        <v>673637824</v>
      </c>
      <c r="Z36" s="23" t="n">
        <v>214477560.11615</v>
      </c>
      <c r="AA36" s="23" t="n">
        <v>3377260148</v>
      </c>
      <c r="AB36" s="22" t="n">
        <v>2069775.56038</v>
      </c>
      <c r="AC36" s="22" t="n">
        <v>7000000</v>
      </c>
      <c r="AD36" s="22" t="n">
        <v>91766.1339421613</v>
      </c>
      <c r="AE36" s="22" t="n">
        <v>160000</v>
      </c>
      <c r="AF36" s="22" t="n">
        <v>29064269.1064</v>
      </c>
      <c r="AG36" s="23" t="n">
        <v>5449654020.24</v>
      </c>
      <c r="AH36" s="23" t="n">
        <v>4370822117</v>
      </c>
      <c r="AI36" s="23" t="n">
        <v>3971432697</v>
      </c>
      <c r="AJ36" s="23" t="n">
        <v>0</v>
      </c>
      <c r="AK36" s="25"/>
    </row>
    <row r="37" customFormat="false" ht="15.75" hidden="false" customHeight="true" outlineLevel="0" collapsed="false">
      <c r="A37" s="21" t="n">
        <v>46078</v>
      </c>
      <c r="B37" s="22" t="n">
        <v>1373.5</v>
      </c>
      <c r="C37" s="23" t="n">
        <v>0</v>
      </c>
      <c r="D37" s="23" t="n">
        <v>334068220</v>
      </c>
      <c r="E37" s="23" t="n">
        <v>72223559</v>
      </c>
      <c r="F37" s="23" t="n">
        <v>0</v>
      </c>
      <c r="G37" s="23" t="n">
        <v>8330094</v>
      </c>
      <c r="H37" s="23" t="n">
        <v>18349000</v>
      </c>
      <c r="I37" s="23" t="n">
        <v>1085019063</v>
      </c>
      <c r="J37" s="23" t="n">
        <v>151271830.48</v>
      </c>
      <c r="K37" s="23" t="n">
        <v>0</v>
      </c>
      <c r="L37" s="23" t="n">
        <v>6906450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101005178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520316940.91</v>
      </c>
      <c r="Y37" s="23" t="n">
        <v>661826703</v>
      </c>
      <c r="Z37" s="23" t="n">
        <v>214477560.11615</v>
      </c>
      <c r="AA37" s="23" t="n">
        <v>3423061266</v>
      </c>
      <c r="AB37" s="22" t="n">
        <v>2069775.56038</v>
      </c>
      <c r="AC37" s="22" t="n">
        <v>7000000</v>
      </c>
      <c r="AD37" s="22" t="n">
        <v>91766.1339421613</v>
      </c>
      <c r="AE37" s="22" t="n">
        <v>160000</v>
      </c>
      <c r="AF37" s="22" t="n">
        <v>23422686.3564</v>
      </c>
      <c r="AG37" s="23" t="n">
        <v>5449654020.24</v>
      </c>
      <c r="AH37" s="23" t="n">
        <v>4254339169.18</v>
      </c>
      <c r="AI37" s="23" t="n">
        <v>3950371422.5</v>
      </c>
      <c r="AJ37" s="23" t="n">
        <v>0</v>
      </c>
      <c r="AK37" s="25"/>
    </row>
    <row r="38" customFormat="false" ht="15.75" hidden="false" customHeight="true" outlineLevel="0" collapsed="false">
      <c r="A38" s="21" t="n">
        <v>46079</v>
      </c>
      <c r="B38" s="22" t="n">
        <v>1383.5</v>
      </c>
      <c r="C38" s="23" t="n">
        <v>0</v>
      </c>
      <c r="D38" s="23" t="n">
        <v>351573427</v>
      </c>
      <c r="E38" s="23" t="n">
        <v>71669169</v>
      </c>
      <c r="F38" s="23" t="n">
        <v>0</v>
      </c>
      <c r="G38" s="23" t="n">
        <v>7843397</v>
      </c>
      <c r="H38" s="23" t="n">
        <v>13132000</v>
      </c>
      <c r="I38" s="23" t="n">
        <v>1179025403</v>
      </c>
      <c r="J38" s="23" t="n">
        <v>204642170</v>
      </c>
      <c r="K38" s="23" t="n">
        <v>0</v>
      </c>
      <c r="L38" s="23" t="n">
        <v>76598976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89512252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483343000.49</v>
      </c>
      <c r="Y38" s="23" t="n">
        <v>576973938</v>
      </c>
      <c r="Z38" s="23" t="n">
        <v>214477560.11615</v>
      </c>
      <c r="AA38" s="23" t="n">
        <v>3737477951</v>
      </c>
      <c r="AB38" s="22" t="n">
        <v>2069775.56038</v>
      </c>
      <c r="AC38" s="22" t="n">
        <v>7000000</v>
      </c>
      <c r="AD38" s="22" t="n">
        <v>91766.1339421613</v>
      </c>
      <c r="AE38" s="22" t="n">
        <v>160000</v>
      </c>
      <c r="AF38" s="22" t="n">
        <v>23733137.1064</v>
      </c>
      <c r="AG38" s="23" t="n">
        <v>5449654020.24</v>
      </c>
      <c r="AH38" s="23" t="n">
        <v>4437541773.18</v>
      </c>
      <c r="AI38" s="23" t="n">
        <v>3979132772.5</v>
      </c>
      <c r="AJ38" s="23" t="n">
        <v>0</v>
      </c>
      <c r="AK38" s="25"/>
    </row>
    <row r="39" customFormat="false" ht="15.75" hidden="false" customHeight="true" outlineLevel="0" collapsed="false">
      <c r="A39" s="21" t="n">
        <v>46080</v>
      </c>
      <c r="B39" s="22" t="n">
        <v>1401</v>
      </c>
      <c r="C39" s="23" t="n">
        <v>0</v>
      </c>
      <c r="D39" s="23" t="n">
        <v>183330106</v>
      </c>
      <c r="E39" s="23" t="n">
        <v>84920362.92</v>
      </c>
      <c r="F39" s="23" t="n">
        <v>0</v>
      </c>
      <c r="G39" s="23" t="n">
        <v>5730085</v>
      </c>
      <c r="H39" s="23" t="n">
        <v>13132000</v>
      </c>
      <c r="I39" s="23" t="n">
        <v>1179025403</v>
      </c>
      <c r="J39" s="23" t="n">
        <v>172297523</v>
      </c>
      <c r="K39" s="23" t="n">
        <v>0</v>
      </c>
      <c r="L39" s="23" t="n">
        <v>16268450</v>
      </c>
      <c r="M39" s="23" t="n">
        <v>0</v>
      </c>
      <c r="N39" s="23" t="n">
        <v>0</v>
      </c>
      <c r="O39" s="23" t="n">
        <v>2577030</v>
      </c>
      <c r="P39" s="23" t="n">
        <v>2105000</v>
      </c>
      <c r="Q39" s="23" t="n">
        <v>41967151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366919093</v>
      </c>
      <c r="Y39" s="23" t="n">
        <v>806671433</v>
      </c>
      <c r="Z39" s="23" t="n">
        <v>214477560.11615</v>
      </c>
      <c r="AA39" s="23" t="n">
        <v>3339538712</v>
      </c>
      <c r="AB39" s="22" t="n">
        <v>2069775.56038</v>
      </c>
      <c r="AC39" s="22" t="n">
        <v>7000000</v>
      </c>
      <c r="AD39" s="22" t="n">
        <v>91766.1339421613</v>
      </c>
      <c r="AE39" s="22" t="n">
        <v>160000</v>
      </c>
      <c r="AF39" s="22" t="n">
        <v>19134326.8564</v>
      </c>
      <c r="AG39" s="23" t="n">
        <v>5449654020.24</v>
      </c>
      <c r="AH39" s="23" t="n">
        <v>5427743020.02</v>
      </c>
      <c r="AI39" s="23" t="n">
        <v>4029465135</v>
      </c>
      <c r="AJ39" s="23" t="n">
        <v>0</v>
      </c>
      <c r="AK39" s="25"/>
    </row>
    <row r="40" customFormat="false" ht="15.75" hidden="false" customHeight="true" outlineLevel="0" collapsed="false">
      <c r="A40" s="21" t="n">
        <v>46083</v>
      </c>
      <c r="B40" s="22" t="n">
        <v>1407</v>
      </c>
      <c r="C40" s="23" t="n">
        <v>0</v>
      </c>
      <c r="D40" s="23" t="n">
        <v>306435931</v>
      </c>
      <c r="E40" s="23" t="n">
        <v>150556000</v>
      </c>
      <c r="F40" s="23" t="n">
        <v>0</v>
      </c>
      <c r="G40" s="23" t="n">
        <v>2454000</v>
      </c>
      <c r="H40" s="23" t="n">
        <v>7836000</v>
      </c>
      <c r="I40" s="23" t="n">
        <v>884827301</v>
      </c>
      <c r="J40" s="23" t="n">
        <v>71036107</v>
      </c>
      <c r="K40" s="23" t="n">
        <v>0</v>
      </c>
      <c r="L40" s="23" t="n">
        <v>120145994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218398243</v>
      </c>
      <c r="R40" s="23" t="n">
        <v>0</v>
      </c>
      <c r="S40" s="23" t="n">
        <v>0</v>
      </c>
      <c r="T40" s="23" t="n">
        <v>0</v>
      </c>
      <c r="U40" s="23" t="n">
        <v>300000000</v>
      </c>
      <c r="V40" s="23" t="n">
        <v>0</v>
      </c>
      <c r="W40" s="23" t="n">
        <v>0</v>
      </c>
      <c r="X40" s="23" t="n">
        <v>835950369.23</v>
      </c>
      <c r="Y40" s="23" t="n">
        <v>4912915306</v>
      </c>
      <c r="Z40" s="23" t="n">
        <v>208603111.9149</v>
      </c>
      <c r="AA40" s="23" t="n">
        <v>3680992093</v>
      </c>
      <c r="AB40" s="22" t="n">
        <v>2069775.56038</v>
      </c>
      <c r="AC40" s="22" t="n">
        <v>8000000</v>
      </c>
      <c r="AD40" s="22" t="n">
        <v>121516.133942161</v>
      </c>
      <c r="AE40" s="22" t="n">
        <v>160000</v>
      </c>
      <c r="AF40" s="22" t="n">
        <v>20540711.7064</v>
      </c>
      <c r="AG40" s="23" t="n">
        <v>5449654020.24</v>
      </c>
      <c r="AH40" s="23" t="n">
        <v>6279791343</v>
      </c>
      <c r="AI40" s="23" t="n">
        <v>5798480562</v>
      </c>
      <c r="AJ40" s="23" t="n">
        <v>534521439.73</v>
      </c>
      <c r="AK40" s="25"/>
    </row>
    <row r="41" customFormat="false" ht="15.75" hidden="false" customHeight="true" outlineLevel="0" collapsed="false">
      <c r="A41" s="21" t="n">
        <v>46084</v>
      </c>
      <c r="B41" s="22" t="n">
        <v>1403</v>
      </c>
      <c r="C41" s="23" t="n">
        <v>0</v>
      </c>
      <c r="D41" s="23" t="n">
        <v>356734583.68</v>
      </c>
      <c r="E41" s="23" t="n">
        <v>-19705000</v>
      </c>
      <c r="F41" s="23" t="n">
        <v>0</v>
      </c>
      <c r="G41" s="23" t="n">
        <v>5648339</v>
      </c>
      <c r="H41" s="23" t="n">
        <v>7836000</v>
      </c>
      <c r="I41" s="23" t="n">
        <v>834315279</v>
      </c>
      <c r="J41" s="23" t="n">
        <v>199849164</v>
      </c>
      <c r="K41" s="23" t="n">
        <v>0</v>
      </c>
      <c r="L41" s="23" t="n">
        <v>31790070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163566887</v>
      </c>
      <c r="R41" s="23" t="n">
        <v>0</v>
      </c>
      <c r="S41" s="23" t="n">
        <v>0</v>
      </c>
      <c r="T41" s="23" t="n">
        <v>0</v>
      </c>
      <c r="U41" s="23" t="n">
        <v>40000000</v>
      </c>
      <c r="V41" s="23" t="n">
        <v>0</v>
      </c>
      <c r="W41" s="23" t="n">
        <v>0</v>
      </c>
      <c r="X41" s="23" t="n">
        <v>585291899</v>
      </c>
      <c r="Y41" s="23" t="n">
        <v>4741020562</v>
      </c>
      <c r="Z41" s="23" t="n">
        <v>208603111.9149</v>
      </c>
      <c r="AA41" s="23" t="n">
        <v>3684822493</v>
      </c>
      <c r="AB41" s="22" t="n">
        <v>2069775.56038</v>
      </c>
      <c r="AC41" s="22" t="n">
        <v>8000000</v>
      </c>
      <c r="AD41" s="22" t="n">
        <v>121516.133942161</v>
      </c>
      <c r="AE41" s="22" t="n">
        <v>160000</v>
      </c>
      <c r="AF41" s="22" t="n">
        <v>20789326.0564</v>
      </c>
      <c r="AG41" s="23" t="n">
        <v>5449654020.24</v>
      </c>
      <c r="AH41" s="23" t="n">
        <v>6199819175.12</v>
      </c>
      <c r="AI41" s="23" t="n">
        <v>5781995898</v>
      </c>
      <c r="AJ41" s="23" t="n">
        <v>39992216</v>
      </c>
      <c r="AK41" s="25"/>
    </row>
    <row r="42" customFormat="false" ht="15.75" hidden="false" customHeight="true" outlineLevel="0" collapsed="false">
      <c r="A42" s="21" t="n">
        <v>46085</v>
      </c>
      <c r="B42" s="22" t="n">
        <v>1407</v>
      </c>
      <c r="C42" s="23" t="n">
        <v>0</v>
      </c>
      <c r="D42" s="23" t="n">
        <v>393222849.68</v>
      </c>
      <c r="E42" s="23" t="n">
        <v>90636589.13</v>
      </c>
      <c r="F42" s="23" t="n">
        <v>0</v>
      </c>
      <c r="G42" s="23" t="n">
        <v>5357000</v>
      </c>
      <c r="H42" s="23" t="n">
        <v>4507000</v>
      </c>
      <c r="I42" s="23" t="n">
        <v>872621589</v>
      </c>
      <c r="J42" s="23" t="n">
        <v>104843862</v>
      </c>
      <c r="K42" s="23" t="n">
        <v>0</v>
      </c>
      <c r="L42" s="23" t="n">
        <v>14678610</v>
      </c>
      <c r="M42" s="23" t="n">
        <v>0</v>
      </c>
      <c r="N42" s="23" t="n">
        <v>0</v>
      </c>
      <c r="O42" s="23" t="n">
        <v>0</v>
      </c>
      <c r="P42" s="23" t="n">
        <v>7753901</v>
      </c>
      <c r="Q42" s="23" t="n">
        <v>67696843</v>
      </c>
      <c r="R42" s="23" t="n">
        <v>0</v>
      </c>
      <c r="S42" s="23" t="n">
        <v>0</v>
      </c>
      <c r="T42" s="23" t="n">
        <v>0</v>
      </c>
      <c r="U42" s="23" t="n">
        <v>300000000</v>
      </c>
      <c r="V42" s="23" t="n">
        <v>0</v>
      </c>
      <c r="W42" s="23" t="n">
        <v>0</v>
      </c>
      <c r="X42" s="23" t="n">
        <v>1325376841.92</v>
      </c>
      <c r="Y42" s="23" t="n">
        <v>4648463632</v>
      </c>
      <c r="Z42" s="23" t="n">
        <v>208603111.9149</v>
      </c>
      <c r="AA42" s="23" t="n">
        <v>4651050912</v>
      </c>
      <c r="AB42" s="22" t="n">
        <v>2069775.56038</v>
      </c>
      <c r="AC42" s="22" t="n">
        <v>8000000</v>
      </c>
      <c r="AD42" s="22" t="n">
        <v>121516.133942161</v>
      </c>
      <c r="AE42" s="22" t="n">
        <v>160000</v>
      </c>
      <c r="AF42" s="22" t="n">
        <v>15795731.8064</v>
      </c>
      <c r="AG42" s="23" t="n">
        <v>5449654020.24</v>
      </c>
      <c r="AH42" s="23" t="n">
        <v>5551402920</v>
      </c>
      <c r="AI42" s="23" t="n">
        <v>5685934632</v>
      </c>
      <c r="AJ42" s="23" t="n">
        <v>298040764</v>
      </c>
      <c r="AK42" s="25"/>
    </row>
    <row r="43" customFormat="false" ht="15.75" hidden="false" customHeight="true" outlineLevel="0" collapsed="false">
      <c r="A43" s="21" t="n">
        <v>46086</v>
      </c>
      <c r="B43" s="22" t="n">
        <v>1400.5</v>
      </c>
      <c r="C43" s="23" t="n">
        <v>0</v>
      </c>
      <c r="D43" s="23" t="n">
        <v>412879299</v>
      </c>
      <c r="E43" s="23" t="n">
        <v>137297000</v>
      </c>
      <c r="F43" s="23" t="n">
        <v>0</v>
      </c>
      <c r="G43" s="23" t="n">
        <v>13802000</v>
      </c>
      <c r="H43" s="23" t="n">
        <v>2072000</v>
      </c>
      <c r="I43" s="23" t="n">
        <v>894699296</v>
      </c>
      <c r="J43" s="23" t="n">
        <v>69280210</v>
      </c>
      <c r="K43" s="23" t="n">
        <v>0</v>
      </c>
      <c r="L43" s="23" t="n">
        <v>8400000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496982362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870700115</v>
      </c>
      <c r="Y43" s="23" t="n">
        <v>3956419857</v>
      </c>
      <c r="Z43" s="23" t="n">
        <v>208603111.9149</v>
      </c>
      <c r="AA43" s="23" t="n">
        <v>4662476319</v>
      </c>
      <c r="AB43" s="22" t="n">
        <v>2069775.56038</v>
      </c>
      <c r="AC43" s="22" t="n">
        <v>8000000</v>
      </c>
      <c r="AD43" s="22" t="n">
        <v>121807.800608828</v>
      </c>
      <c r="AE43" s="22" t="n">
        <v>160000</v>
      </c>
      <c r="AF43" s="22" t="n">
        <v>15828196.7064</v>
      </c>
      <c r="AG43" s="23" t="n">
        <v>5449654020.24</v>
      </c>
      <c r="AH43" s="23" t="n">
        <v>5722690888.5</v>
      </c>
      <c r="AI43" s="23" t="n">
        <v>6727934776</v>
      </c>
      <c r="AJ43" s="23" t="n">
        <v>840</v>
      </c>
      <c r="AK43" s="25"/>
    </row>
    <row r="44" customFormat="false" ht="15.75" hidden="false" customHeight="true" outlineLevel="0" collapsed="false">
      <c r="A44" s="21" t="n">
        <v>46087</v>
      </c>
      <c r="B44" s="22" t="n">
        <v>1405</v>
      </c>
      <c r="C44" s="23" t="n">
        <v>0</v>
      </c>
      <c r="D44" s="23" t="n">
        <v>412879299</v>
      </c>
      <c r="E44" s="23" t="n">
        <v>158495000</v>
      </c>
      <c r="F44" s="23" t="n">
        <v>0</v>
      </c>
      <c r="G44" s="23" t="n">
        <v>12795000</v>
      </c>
      <c r="H44" s="23" t="n">
        <v>8048000</v>
      </c>
      <c r="I44" s="23" t="n">
        <v>1105369336</v>
      </c>
      <c r="J44" s="23" t="n">
        <v>138205000</v>
      </c>
      <c r="K44" s="23" t="n">
        <v>0</v>
      </c>
      <c r="L44" s="23" t="n">
        <v>2644096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165132703</v>
      </c>
      <c r="R44" s="23" t="n">
        <v>0</v>
      </c>
      <c r="S44" s="23" t="n">
        <v>0</v>
      </c>
      <c r="T44" s="23" t="n">
        <v>0</v>
      </c>
      <c r="U44" s="23" t="n">
        <v>300000000</v>
      </c>
      <c r="V44" s="23" t="n">
        <v>0</v>
      </c>
      <c r="W44" s="23" t="n">
        <v>0</v>
      </c>
      <c r="X44" s="23" t="n">
        <v>547535196</v>
      </c>
      <c r="Y44" s="23" t="n">
        <v>3952725761</v>
      </c>
      <c r="Z44" s="23" t="n">
        <v>208603111.9149</v>
      </c>
      <c r="AA44" s="23" t="n">
        <v>4660238685</v>
      </c>
      <c r="AB44" s="22" t="n">
        <v>2069775.56038</v>
      </c>
      <c r="AC44" s="22" t="n">
        <v>8000000</v>
      </c>
      <c r="AD44" s="22" t="n">
        <v>121807.800608828</v>
      </c>
      <c r="AE44" s="22" t="n">
        <v>160000</v>
      </c>
      <c r="AF44" s="22" t="n">
        <v>15828196.7064</v>
      </c>
      <c r="AG44" s="23" t="n">
        <v>5449654020.24</v>
      </c>
      <c r="AH44" s="23" t="n">
        <v>5669231298.35</v>
      </c>
      <c r="AI44" s="23" t="n">
        <v>5790238230</v>
      </c>
      <c r="AJ44" s="23" t="n">
        <v>840</v>
      </c>
      <c r="AK44" s="25"/>
    </row>
    <row r="45" customFormat="false" ht="15.75" hidden="false" customHeight="true" outlineLevel="0" collapsed="false">
      <c r="A45" s="21" t="n">
        <v>46090</v>
      </c>
      <c r="B45" s="22" t="n">
        <v>1405</v>
      </c>
      <c r="C45" s="23" t="n">
        <v>0</v>
      </c>
      <c r="D45" s="23" t="n">
        <v>445688779.68</v>
      </c>
      <c r="E45" s="23" t="n">
        <v>107811032</v>
      </c>
      <c r="F45" s="23" t="n">
        <v>0</v>
      </c>
      <c r="G45" s="23" t="n">
        <v>18663717</v>
      </c>
      <c r="H45" s="23" t="n">
        <v>8048000</v>
      </c>
      <c r="I45" s="23" t="n">
        <v>1249156888</v>
      </c>
      <c r="J45" s="23" t="n">
        <v>844639.62</v>
      </c>
      <c r="K45" s="23" t="n">
        <v>0</v>
      </c>
      <c r="L45" s="23" t="n">
        <v>88098086</v>
      </c>
      <c r="M45" s="23" t="n">
        <v>0</v>
      </c>
      <c r="N45" s="23" t="n">
        <v>0</v>
      </c>
      <c r="O45" s="23" t="n">
        <v>2118950</v>
      </c>
      <c r="P45" s="23" t="n">
        <v>40110389</v>
      </c>
      <c r="Q45" s="23" t="n">
        <v>1356016293.2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621207239</v>
      </c>
      <c r="Y45" s="23" t="n">
        <v>2772139921</v>
      </c>
      <c r="Z45" s="23" t="n">
        <v>208603111.9149</v>
      </c>
      <c r="AA45" s="23" t="n">
        <v>5451953419</v>
      </c>
      <c r="AB45" s="22" t="n">
        <v>2069775.56038</v>
      </c>
      <c r="AC45" s="22" t="n">
        <v>8000000</v>
      </c>
      <c r="AD45" s="22" t="n">
        <v>121807.800608828</v>
      </c>
      <c r="AE45" s="22" t="n">
        <v>160000</v>
      </c>
      <c r="AF45" s="22" t="n">
        <v>16845041.74</v>
      </c>
      <c r="AG45" s="23" t="n">
        <v>5449654020.24</v>
      </c>
      <c r="AH45" s="23" t="n">
        <v>5713197710.45</v>
      </c>
      <c r="AI45" s="23" t="n">
        <v>8674829680</v>
      </c>
      <c r="AJ45" s="23" t="n">
        <v>840</v>
      </c>
      <c r="AK45" s="25"/>
    </row>
    <row r="46" customFormat="false" ht="15.75" hidden="false" customHeight="true" outlineLevel="0" collapsed="false">
      <c r="A46" s="21" t="n">
        <v>46091</v>
      </c>
      <c r="B46" s="22" t="n">
        <v>1417</v>
      </c>
      <c r="C46" s="23" t="n">
        <v>0</v>
      </c>
      <c r="D46" s="23" t="n">
        <v>445688779</v>
      </c>
      <c r="E46" s="23" t="n">
        <v>-39984000</v>
      </c>
      <c r="F46" s="23" t="n">
        <v>0</v>
      </c>
      <c r="G46" s="23" t="n">
        <v>9298000</v>
      </c>
      <c r="H46" s="23" t="n">
        <v>8048000</v>
      </c>
      <c r="I46" s="23" t="n">
        <v>1595762118</v>
      </c>
      <c r="J46" s="23" t="n">
        <v>19280660</v>
      </c>
      <c r="K46" s="23" t="n">
        <v>86098436</v>
      </c>
      <c r="L46" s="23" t="n">
        <v>114305640</v>
      </c>
      <c r="M46" s="23" t="n">
        <v>0</v>
      </c>
      <c r="N46" s="23" t="n">
        <v>0</v>
      </c>
      <c r="O46" s="23" t="n">
        <v>0</v>
      </c>
      <c r="P46" s="23" t="n">
        <v>16800700</v>
      </c>
      <c r="Q46" s="23" t="n">
        <v>234494885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743364933</v>
      </c>
      <c r="Y46" s="23" t="n">
        <v>2278604381</v>
      </c>
      <c r="Z46" s="23" t="n">
        <v>208603111.9149</v>
      </c>
      <c r="AA46" s="23" t="n">
        <v>5438640665.67</v>
      </c>
      <c r="AB46" s="22" t="n">
        <v>2069775.56038</v>
      </c>
      <c r="AC46" s="22" t="n">
        <v>9000000</v>
      </c>
      <c r="AD46" s="22" t="n">
        <v>121807.800608828</v>
      </c>
      <c r="AE46" s="22" t="n">
        <v>160000</v>
      </c>
      <c r="AF46" s="22" t="n">
        <v>14197400.124</v>
      </c>
      <c r="AG46" s="23" t="n">
        <v>5449654020.24</v>
      </c>
      <c r="AH46" s="23" t="n">
        <v>4859179616.59</v>
      </c>
      <c r="AI46" s="23" t="n">
        <v>8533988775</v>
      </c>
      <c r="AJ46" s="23" t="n">
        <v>1420000840</v>
      </c>
      <c r="AK46" s="25"/>
    </row>
    <row r="47" customFormat="false" ht="15.75" hidden="false" customHeight="true" outlineLevel="0" collapsed="false">
      <c r="A47" s="21" t="n">
        <v>46092</v>
      </c>
      <c r="B47" s="22" t="n">
        <v>1401</v>
      </c>
      <c r="C47" s="23" t="n">
        <v>0</v>
      </c>
      <c r="D47" s="23" t="n">
        <v>496406750.56</v>
      </c>
      <c r="E47" s="23" t="n">
        <v>59736452</v>
      </c>
      <c r="F47" s="23" t="n">
        <v>0</v>
      </c>
      <c r="G47" s="23" t="n">
        <v>9298113</v>
      </c>
      <c r="H47" s="23" t="n">
        <v>7867000</v>
      </c>
      <c r="I47" s="23" t="n">
        <v>1579975629</v>
      </c>
      <c r="J47" s="23" t="n">
        <v>84800000</v>
      </c>
      <c r="K47" s="23" t="n">
        <v>0</v>
      </c>
      <c r="L47" s="23" t="n">
        <v>12400000</v>
      </c>
      <c r="M47" s="23" t="n">
        <v>0</v>
      </c>
      <c r="N47" s="23" t="n">
        <v>0</v>
      </c>
      <c r="O47" s="23" t="n">
        <v>0</v>
      </c>
      <c r="P47" s="23" t="n">
        <v>2195000</v>
      </c>
      <c r="Q47" s="23" t="n">
        <v>278397543</v>
      </c>
      <c r="R47" s="23" t="n">
        <v>0</v>
      </c>
      <c r="S47" s="23" t="n">
        <v>0</v>
      </c>
      <c r="T47" s="23" t="n">
        <v>0</v>
      </c>
      <c r="U47" s="23" t="n">
        <v>235000000</v>
      </c>
      <c r="V47" s="23" t="n">
        <v>0</v>
      </c>
      <c r="W47" s="23" t="n">
        <v>0</v>
      </c>
      <c r="X47" s="23" t="n">
        <v>2295766389.98</v>
      </c>
      <c r="Y47" s="23" t="n">
        <v>2142458235</v>
      </c>
      <c r="Z47" s="23" t="n">
        <v>208603111.9149</v>
      </c>
      <c r="AA47" s="23" t="n">
        <v>5136570401</v>
      </c>
      <c r="AB47" s="22" t="n">
        <v>2069775.56038</v>
      </c>
      <c r="AC47" s="22" t="n">
        <v>9000000</v>
      </c>
      <c r="AD47" s="22" t="n">
        <v>141199.467275495</v>
      </c>
      <c r="AE47" s="22" t="n">
        <v>160000</v>
      </c>
      <c r="AF47" s="22" t="n">
        <v>14246092.524</v>
      </c>
      <c r="AG47" s="23" t="n">
        <v>5449654020.24</v>
      </c>
      <c r="AH47" s="23" t="n">
        <v>4426491442.8</v>
      </c>
      <c r="AI47" s="23" t="n">
        <v>8437627575</v>
      </c>
      <c r="AJ47" s="23" t="n">
        <v>1653153603</v>
      </c>
      <c r="AK47" s="25"/>
    </row>
    <row r="48" customFormat="false" ht="15.75" hidden="false" customHeight="true" outlineLevel="0" collapsed="false">
      <c r="A48" s="21" t="n">
        <v>46093</v>
      </c>
      <c r="B48" s="22" t="n">
        <v>1393</v>
      </c>
      <c r="C48" s="23" t="n">
        <v>0</v>
      </c>
      <c r="D48" s="23" t="n">
        <v>494096752</v>
      </c>
      <c r="E48" s="23" t="n">
        <v>64814000</v>
      </c>
      <c r="F48" s="23" t="n">
        <v>17746000</v>
      </c>
      <c r="G48" s="23" t="n">
        <v>16790000</v>
      </c>
      <c r="H48" s="23" t="n">
        <v>6108000</v>
      </c>
      <c r="I48" s="23" t="n">
        <v>1458063964</v>
      </c>
      <c r="J48" s="23" t="n">
        <v>176366449</v>
      </c>
      <c r="K48" s="23" t="n">
        <v>0</v>
      </c>
      <c r="L48" s="23" t="n">
        <v>6629023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469916271</v>
      </c>
      <c r="R48" s="23" t="n">
        <v>0</v>
      </c>
      <c r="S48" s="23" t="n">
        <v>0</v>
      </c>
      <c r="T48" s="23" t="n">
        <v>0</v>
      </c>
      <c r="U48" s="23" t="n">
        <v>200000000</v>
      </c>
      <c r="V48" s="23" t="n">
        <v>0</v>
      </c>
      <c r="W48" s="23" t="n">
        <v>0</v>
      </c>
      <c r="X48" s="23" t="n">
        <v>1638571298</v>
      </c>
      <c r="Y48" s="23" t="n">
        <v>1738903689</v>
      </c>
      <c r="Z48" s="23" t="n">
        <v>208603111.9149</v>
      </c>
      <c r="AA48" s="23" t="n">
        <v>5135688097</v>
      </c>
      <c r="AB48" s="22" t="n">
        <v>2069775.56038</v>
      </c>
      <c r="AC48" s="22" t="n">
        <v>9000000</v>
      </c>
      <c r="AD48" s="22" t="n">
        <v>141199.467275495</v>
      </c>
      <c r="AE48" s="22" t="n">
        <v>160000</v>
      </c>
      <c r="AF48" s="22" t="n">
        <v>13740489.874</v>
      </c>
      <c r="AG48" s="23" t="n">
        <v>5449654020.24</v>
      </c>
      <c r="AH48" s="23" t="n">
        <v>4651580822</v>
      </c>
      <c r="AI48" s="23" t="n">
        <v>8624032354</v>
      </c>
      <c r="AJ48" s="23" t="n">
        <v>1619790359.95</v>
      </c>
      <c r="AK48" s="25"/>
    </row>
    <row r="49" customFormat="false" ht="15.75" hidden="false" customHeight="true" outlineLevel="0" collapsed="false">
      <c r="A49" s="21" t="n">
        <v>46094</v>
      </c>
      <c r="B49" s="22" t="n">
        <v>1397</v>
      </c>
      <c r="C49" s="23" t="n">
        <v>0</v>
      </c>
      <c r="D49" s="23" t="n">
        <v>776624900</v>
      </c>
      <c r="E49" s="23" t="n">
        <v>48288000</v>
      </c>
      <c r="F49" s="23" t="n">
        <v>21849000</v>
      </c>
      <c r="G49" s="23" t="n">
        <v>7750000</v>
      </c>
      <c r="H49" s="23" t="n">
        <v>2381000</v>
      </c>
      <c r="I49" s="23" t="n">
        <v>1171499857</v>
      </c>
      <c r="J49" s="23" t="n">
        <v>284416095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5192799</v>
      </c>
      <c r="P49" s="23" t="n">
        <v>2899508</v>
      </c>
      <c r="Q49" s="23" t="n">
        <v>64291510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1297943637</v>
      </c>
      <c r="Y49" s="23" t="n">
        <v>1632533382</v>
      </c>
      <c r="Z49" s="23" t="n">
        <v>208603111.9149</v>
      </c>
      <c r="AA49" s="23" t="n">
        <v>5165195285</v>
      </c>
      <c r="AB49" s="22" t="n">
        <v>1250975</v>
      </c>
      <c r="AC49" s="22" t="n">
        <v>9000000</v>
      </c>
      <c r="AD49" s="22" t="n">
        <v>141199.467275495</v>
      </c>
      <c r="AE49" s="22" t="n">
        <v>160000</v>
      </c>
      <c r="AF49" s="22" t="n">
        <v>12820143.101</v>
      </c>
      <c r="AG49" s="23" t="n">
        <v>5449654020.24</v>
      </c>
      <c r="AH49" s="23" t="n">
        <v>4006602985</v>
      </c>
      <c r="AI49" s="23" t="n">
        <v>8648796266</v>
      </c>
      <c r="AJ49" s="23" t="n">
        <v>1620034443.66</v>
      </c>
      <c r="AK49" s="25"/>
    </row>
    <row r="50" customFormat="false" ht="15.75" hidden="false" customHeight="true" outlineLevel="0" collapsed="false">
      <c r="A50" s="21" t="n">
        <v>46097</v>
      </c>
      <c r="B50" s="22" t="n">
        <v>1386</v>
      </c>
      <c r="C50" s="23" t="n">
        <v>0</v>
      </c>
      <c r="D50" s="23" t="n">
        <v>496041968.31</v>
      </c>
      <c r="E50" s="23" t="n">
        <v>78696000</v>
      </c>
      <c r="F50" s="23" t="n">
        <v>3849000</v>
      </c>
      <c r="G50" s="23" t="n">
        <v>4113000</v>
      </c>
      <c r="H50" s="23" t="n">
        <v>2381000</v>
      </c>
      <c r="I50" s="23" t="n">
        <v>1313630359</v>
      </c>
      <c r="J50" s="23" t="n">
        <v>175013626</v>
      </c>
      <c r="K50" s="23" t="n">
        <v>0</v>
      </c>
      <c r="L50" s="23" t="n">
        <v>93376144</v>
      </c>
      <c r="M50" s="23" t="n">
        <v>0</v>
      </c>
      <c r="N50" s="23" t="n">
        <v>0</v>
      </c>
      <c r="O50" s="23" t="n">
        <v>0</v>
      </c>
      <c r="P50" s="23" t="n">
        <v>7115202</v>
      </c>
      <c r="Q50" s="23" t="n">
        <v>7999270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1059874987</v>
      </c>
      <c r="Y50" s="23" t="n">
        <v>1751061941</v>
      </c>
      <c r="Z50" s="23" t="n">
        <v>208603111.9149</v>
      </c>
      <c r="AA50" s="23" t="n">
        <v>4945026674</v>
      </c>
      <c r="AB50" s="22" t="n">
        <v>1250975</v>
      </c>
      <c r="AC50" s="22" t="n">
        <v>9000000</v>
      </c>
      <c r="AD50" s="22" t="n">
        <v>141199.467275495</v>
      </c>
      <c r="AE50" s="22" t="n">
        <v>160000</v>
      </c>
      <c r="AF50" s="22" t="n">
        <v>14290777.001</v>
      </c>
      <c r="AG50" s="23" t="n">
        <v>5449654020.24</v>
      </c>
      <c r="AH50" s="23" t="n">
        <v>3440491694.64</v>
      </c>
      <c r="AI50" s="23" t="n">
        <v>9209146716</v>
      </c>
      <c r="AJ50" s="23" t="n">
        <v>1425244303.35</v>
      </c>
      <c r="AK50" s="25"/>
    </row>
    <row r="51" customFormat="false" ht="15.75" hidden="false" customHeight="true" outlineLevel="0" collapsed="false">
      <c r="A51" s="21" t="n">
        <v>46098</v>
      </c>
      <c r="B51" s="22" t="n">
        <v>1390</v>
      </c>
      <c r="C51" s="23" t="n">
        <v>0</v>
      </c>
      <c r="D51" s="23" t="n">
        <v>475044247</v>
      </c>
      <c r="E51" s="23" t="n">
        <v>116518922</v>
      </c>
      <c r="F51" s="23" t="n">
        <v>5205905</v>
      </c>
      <c r="G51" s="23" t="n">
        <v>10432992.64</v>
      </c>
      <c r="H51" s="23" t="n">
        <v>2381000</v>
      </c>
      <c r="I51" s="23" t="n">
        <v>1469409002</v>
      </c>
      <c r="J51" s="23" t="n">
        <v>174057809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10492117</v>
      </c>
      <c r="Q51" s="23" t="n">
        <v>97995171</v>
      </c>
      <c r="R51" s="23" t="n">
        <v>141034158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861327456</v>
      </c>
      <c r="Y51" s="23" t="n">
        <v>1731117568</v>
      </c>
      <c r="Z51" s="23" t="n">
        <v>208603111.9149</v>
      </c>
      <c r="AA51" s="23" t="n">
        <v>5259320043</v>
      </c>
      <c r="AB51" s="22" t="n">
        <v>1228556.96038</v>
      </c>
      <c r="AC51" s="22" t="n">
        <v>9000000</v>
      </c>
      <c r="AD51" s="22" t="n">
        <v>141199.467275495</v>
      </c>
      <c r="AE51" s="22" t="n">
        <v>160000</v>
      </c>
      <c r="AF51" s="22" t="n">
        <v>14867224.501</v>
      </c>
      <c r="AG51" s="23" t="n">
        <v>5449654020.24</v>
      </c>
      <c r="AH51" s="23" t="n">
        <v>2938927373.6</v>
      </c>
      <c r="AI51" s="23" t="n">
        <v>9189021730</v>
      </c>
      <c r="AJ51" s="23" t="n">
        <v>1574225880.58</v>
      </c>
      <c r="AK51" s="25"/>
    </row>
    <row r="52" customFormat="false" ht="15.75" hidden="false" customHeight="true" outlineLevel="0" collapsed="false">
      <c r="A52" s="21" t="n">
        <v>46099</v>
      </c>
      <c r="B52" s="22" t="n">
        <v>1394</v>
      </c>
      <c r="C52" s="23" t="n">
        <v>0</v>
      </c>
      <c r="D52" s="23" t="n">
        <v>538099582</v>
      </c>
      <c r="E52" s="23" t="n">
        <v>201265012</v>
      </c>
      <c r="F52" s="23" t="n">
        <v>4500000</v>
      </c>
      <c r="G52" s="23" t="n">
        <v>10432696</v>
      </c>
      <c r="H52" s="23" t="n">
        <v>3800000</v>
      </c>
      <c r="I52" s="23" t="n">
        <v>1590332187</v>
      </c>
      <c r="J52" s="23" t="n">
        <v>188091983</v>
      </c>
      <c r="K52" s="23" t="n">
        <v>0</v>
      </c>
      <c r="L52" s="23" t="n">
        <v>38908506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117971240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751509509</v>
      </c>
      <c r="Y52" s="23" t="n">
        <v>1693875769</v>
      </c>
      <c r="Z52" s="23" t="n">
        <v>208603111.9149</v>
      </c>
      <c r="AA52" s="23" t="n">
        <v>5461024896</v>
      </c>
      <c r="AB52" s="22" t="n">
        <v>1228556.96038</v>
      </c>
      <c r="AC52" s="22" t="n">
        <v>9000000</v>
      </c>
      <c r="AD52" s="22" t="n">
        <v>141199.467275495</v>
      </c>
      <c r="AE52" s="22" t="n">
        <v>160000</v>
      </c>
      <c r="AF52" s="22" t="n">
        <v>14554407.215</v>
      </c>
      <c r="AG52" s="23" t="n">
        <v>5449654020.24</v>
      </c>
      <c r="AH52" s="23" t="n">
        <v>2669906230.56</v>
      </c>
      <c r="AI52" s="23" t="n">
        <v>9211918622</v>
      </c>
      <c r="AJ52" s="23" t="n">
        <v>1691358076</v>
      </c>
      <c r="AK52" s="25"/>
    </row>
    <row r="53" customFormat="false" ht="15.75" hidden="false" customHeight="true" outlineLevel="0" collapsed="false">
      <c r="A53" s="21" t="n">
        <v>46100</v>
      </c>
      <c r="B53" s="22" t="n">
        <v>1397</v>
      </c>
      <c r="C53" s="23" t="n">
        <v>0</v>
      </c>
      <c r="D53" s="23" t="n">
        <v>542935582</v>
      </c>
      <c r="E53" s="23" t="n">
        <v>60469000</v>
      </c>
      <c r="F53" s="23" t="n">
        <v>5164000</v>
      </c>
      <c r="G53" s="23" t="n">
        <v>9993772.91</v>
      </c>
      <c r="H53" s="23" t="n">
        <v>3800000</v>
      </c>
      <c r="I53" s="23" t="n">
        <v>1660165654</v>
      </c>
      <c r="J53" s="23" t="n">
        <v>133869939</v>
      </c>
      <c r="K53" s="23" t="n">
        <v>0</v>
      </c>
      <c r="L53" s="23" t="n">
        <v>9156035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47379354</v>
      </c>
      <c r="R53" s="23" t="n">
        <v>0</v>
      </c>
      <c r="S53" s="23" t="n">
        <v>0</v>
      </c>
      <c r="T53" s="23" t="n">
        <v>0</v>
      </c>
      <c r="U53" s="23" t="n">
        <v>0</v>
      </c>
      <c r="V53" s="23" t="n">
        <v>0</v>
      </c>
      <c r="W53" s="23" t="n">
        <v>0</v>
      </c>
      <c r="X53" s="23" t="n">
        <v>1638081318</v>
      </c>
      <c r="Y53" s="23" t="n">
        <v>1601091447</v>
      </c>
      <c r="Z53" s="23" t="n">
        <v>208603111.9149</v>
      </c>
      <c r="AA53" s="23" t="n">
        <v>4607813786.44</v>
      </c>
      <c r="AB53" s="22" t="n">
        <v>1228556.96038</v>
      </c>
      <c r="AC53" s="22" t="n">
        <v>9000000</v>
      </c>
      <c r="AD53" s="22" t="n">
        <v>141199.467275495</v>
      </c>
      <c r="AE53" s="22" t="n">
        <v>160000</v>
      </c>
      <c r="AF53" s="22" t="n">
        <v>13902830.249</v>
      </c>
      <c r="AG53" s="23" t="n">
        <v>5449654020.24</v>
      </c>
      <c r="AH53" s="23" t="n">
        <v>2382337963.28</v>
      </c>
      <c r="AI53" s="23" t="n">
        <v>9231743411</v>
      </c>
      <c r="AJ53" s="23" t="n">
        <v>1691358076</v>
      </c>
      <c r="AK53" s="25"/>
    </row>
    <row r="54" customFormat="false" ht="15.75" hidden="false" customHeight="true" outlineLevel="0" collapsed="false">
      <c r="A54" s="21" t="n">
        <v>46101</v>
      </c>
      <c r="B54" s="22" t="n">
        <v>1391</v>
      </c>
      <c r="C54" s="23" t="n">
        <v>0</v>
      </c>
      <c r="D54" s="23" t="n">
        <v>657838152</v>
      </c>
      <c r="E54" s="23" t="n">
        <v>225017000</v>
      </c>
      <c r="F54" s="23" t="n">
        <v>2600000</v>
      </c>
      <c r="G54" s="23" t="n">
        <v>9993772.91</v>
      </c>
      <c r="H54" s="23" t="n">
        <v>3800000</v>
      </c>
      <c r="I54" s="23" t="n">
        <v>1658651333</v>
      </c>
      <c r="J54" s="23" t="n">
        <v>211047561</v>
      </c>
      <c r="K54" s="23" t="n">
        <v>0</v>
      </c>
      <c r="L54" s="23" t="n">
        <v>178622803</v>
      </c>
      <c r="M54" s="23" t="n">
        <v>0</v>
      </c>
      <c r="N54" s="23" t="n">
        <v>0</v>
      </c>
      <c r="O54" s="23" t="n">
        <v>336600</v>
      </c>
      <c r="P54" s="23" t="n">
        <v>0</v>
      </c>
      <c r="Q54" s="23" t="n">
        <v>91189797</v>
      </c>
      <c r="R54" s="23" t="n">
        <v>0</v>
      </c>
      <c r="S54" s="23" t="n">
        <v>0</v>
      </c>
      <c r="T54" s="23" t="n">
        <v>0</v>
      </c>
      <c r="U54" s="23" t="n">
        <v>0</v>
      </c>
      <c r="V54" s="23" t="n">
        <v>0</v>
      </c>
      <c r="W54" s="23" t="n">
        <v>0</v>
      </c>
      <c r="X54" s="23" t="n">
        <v>1448972679</v>
      </c>
      <c r="Y54" s="23" t="n">
        <v>1357212772</v>
      </c>
      <c r="Z54" s="23" t="n">
        <v>208603111.9149</v>
      </c>
      <c r="AA54" s="23" t="n">
        <v>5127082976</v>
      </c>
      <c r="AB54" s="22" t="n">
        <v>1228556.96038</v>
      </c>
      <c r="AC54" s="22" t="n">
        <v>9000000</v>
      </c>
      <c r="AD54" s="22" t="n">
        <v>141199.467275495</v>
      </c>
      <c r="AE54" s="22" t="n">
        <v>160000</v>
      </c>
      <c r="AF54" s="22" t="n">
        <v>14578331.668</v>
      </c>
      <c r="AG54" s="23" t="n">
        <v>5449654020.24</v>
      </c>
      <c r="AH54" s="23" t="n">
        <v>2981715106.24</v>
      </c>
      <c r="AI54" s="23" t="n">
        <v>9192093833</v>
      </c>
      <c r="AJ54" s="23" t="n">
        <v>1691358076</v>
      </c>
      <c r="AK54" s="25"/>
    </row>
    <row r="55" customFormat="false" ht="15.75" hidden="false" customHeight="true" outlineLevel="0" collapsed="false">
      <c r="A55" s="21" t="n">
        <v>46106</v>
      </c>
      <c r="B55" s="22" t="n">
        <v>1392</v>
      </c>
      <c r="C55" s="23" t="n">
        <v>0</v>
      </c>
      <c r="D55" s="23" t="n">
        <v>752903080</v>
      </c>
      <c r="E55" s="23" t="n">
        <v>26119000</v>
      </c>
      <c r="F55" s="23" t="n">
        <v>2162000</v>
      </c>
      <c r="G55" s="23" t="n">
        <v>15791000</v>
      </c>
      <c r="H55" s="23" t="n">
        <v>3207000</v>
      </c>
      <c r="I55" s="23" t="n">
        <v>1610115708</v>
      </c>
      <c r="J55" s="23" t="n">
        <v>135527709</v>
      </c>
      <c r="K55" s="23" t="n">
        <v>0</v>
      </c>
      <c r="L55" s="23" t="n">
        <v>69163617</v>
      </c>
      <c r="M55" s="23" t="n">
        <v>0</v>
      </c>
      <c r="N55" s="23" t="n">
        <v>0</v>
      </c>
      <c r="O55" s="23" t="n">
        <v>1009800</v>
      </c>
      <c r="P55" s="23" t="n">
        <v>200629151</v>
      </c>
      <c r="Q55" s="23" t="n">
        <v>47630937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1180253141</v>
      </c>
      <c r="Y55" s="23" t="n">
        <v>710103092</v>
      </c>
      <c r="Z55" s="23" t="n">
        <v>208603111.9149</v>
      </c>
      <c r="AA55" s="23" t="n">
        <v>5481497772</v>
      </c>
      <c r="AB55" s="22" t="n">
        <v>1228556.96038</v>
      </c>
      <c r="AC55" s="22" t="n">
        <v>9000000</v>
      </c>
      <c r="AD55" s="22" t="n">
        <v>141199.467275495</v>
      </c>
      <c r="AE55" s="22" t="n">
        <v>160000</v>
      </c>
      <c r="AF55" s="22" t="n">
        <v>14669820.595</v>
      </c>
      <c r="AG55" s="23" t="n">
        <v>5449654020.24</v>
      </c>
      <c r="AH55" s="23" t="n">
        <v>3126846816</v>
      </c>
      <c r="AI55" s="23" t="n">
        <v>10956290016</v>
      </c>
      <c r="AJ55" s="23" t="n">
        <v>1692912381</v>
      </c>
      <c r="AK55" s="25"/>
    </row>
    <row r="56" customFormat="false" ht="15.75" hidden="false" customHeight="true" outlineLevel="0" collapsed="false">
      <c r="A56" s="21" t="n">
        <v>46107</v>
      </c>
      <c r="B56" s="22" t="n">
        <v>1375</v>
      </c>
      <c r="C56" s="23" t="n">
        <v>0</v>
      </c>
      <c r="D56" s="23" t="n">
        <v>941322312</v>
      </c>
      <c r="E56" s="23" t="n">
        <v>-34900000</v>
      </c>
      <c r="F56" s="23" t="n">
        <v>90520000</v>
      </c>
      <c r="G56" s="23" t="n">
        <v>15791000</v>
      </c>
      <c r="H56" s="23" t="n">
        <v>3207000</v>
      </c>
      <c r="I56" s="23" t="n">
        <v>1560973000</v>
      </c>
      <c r="J56" s="23" t="n">
        <v>218255439</v>
      </c>
      <c r="K56" s="23" t="n">
        <v>0</v>
      </c>
      <c r="L56" s="23" t="n">
        <v>64598704</v>
      </c>
      <c r="M56" s="23" t="n">
        <v>0</v>
      </c>
      <c r="N56" s="23" t="n">
        <v>0</v>
      </c>
      <c r="O56" s="23" t="n">
        <v>4634982</v>
      </c>
      <c r="P56" s="23" t="n">
        <v>0</v>
      </c>
      <c r="Q56" s="23" t="n">
        <v>67600000</v>
      </c>
      <c r="R56" s="23" t="n">
        <v>0</v>
      </c>
      <c r="S56" s="23" t="n">
        <v>0</v>
      </c>
      <c r="T56" s="23" t="n">
        <v>0</v>
      </c>
      <c r="U56" s="23" t="n">
        <v>150000000</v>
      </c>
      <c r="V56" s="23" t="n">
        <v>0</v>
      </c>
      <c r="W56" s="23" t="n">
        <v>0</v>
      </c>
      <c r="X56" s="23" t="n">
        <v>1264387796</v>
      </c>
      <c r="Y56" s="23" t="n">
        <v>773190886</v>
      </c>
      <c r="Z56" s="23" t="n">
        <v>208603111.9149</v>
      </c>
      <c r="AA56" s="23" t="n">
        <v>5381776094</v>
      </c>
      <c r="AB56" s="22" t="n">
        <v>1186423.85038</v>
      </c>
      <c r="AC56" s="22" t="n">
        <v>9000000</v>
      </c>
      <c r="AD56" s="22" t="n">
        <v>141199.467275495</v>
      </c>
      <c r="AE56" s="22" t="n">
        <v>160000</v>
      </c>
      <c r="AF56" s="22" t="n">
        <v>14618622.711</v>
      </c>
      <c r="AG56" s="23" t="n">
        <v>5449654020.24</v>
      </c>
      <c r="AH56" s="23" t="n">
        <v>3368501207.5</v>
      </c>
      <c r="AI56" s="23" t="n">
        <v>10308834250</v>
      </c>
      <c r="AJ56" s="23" t="n">
        <v>1692912381</v>
      </c>
      <c r="AK56" s="25"/>
    </row>
    <row r="57" customFormat="false" ht="15.75" hidden="false" customHeight="true" outlineLevel="0" collapsed="false">
      <c r="A57" s="21" t="n">
        <v>46108</v>
      </c>
      <c r="B57" s="22" t="n">
        <v>1366</v>
      </c>
      <c r="C57" s="23" t="n">
        <v>0</v>
      </c>
      <c r="D57" s="23" t="n">
        <v>827701000</v>
      </c>
      <c r="E57" s="23" t="n">
        <v>44961000</v>
      </c>
      <c r="F57" s="23" t="n">
        <v>181000000</v>
      </c>
      <c r="G57" s="23" t="n">
        <v>13532000</v>
      </c>
      <c r="H57" s="23" t="n">
        <v>3207000</v>
      </c>
      <c r="I57" s="23" t="n">
        <v>1511985003</v>
      </c>
      <c r="J57" s="23" t="n">
        <v>141809269</v>
      </c>
      <c r="K57" s="23" t="n">
        <v>0</v>
      </c>
      <c r="L57" s="23" t="n">
        <v>111489207</v>
      </c>
      <c r="M57" s="23" t="n">
        <v>0</v>
      </c>
      <c r="N57" s="23" t="n">
        <v>0</v>
      </c>
      <c r="O57" s="23" t="n">
        <v>104346000</v>
      </c>
      <c r="P57" s="23" t="n">
        <v>0</v>
      </c>
      <c r="Q57" s="23" t="n">
        <v>32757200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1212579961</v>
      </c>
      <c r="Y57" s="23" t="n">
        <v>764659987</v>
      </c>
      <c r="Z57" s="23" t="n">
        <v>208603111.9149</v>
      </c>
      <c r="AA57" s="23" t="n">
        <v>5314929980</v>
      </c>
      <c r="AB57" s="22" t="n">
        <v>1186423.85038</v>
      </c>
      <c r="AC57" s="22" t="n">
        <v>9000000</v>
      </c>
      <c r="AD57" s="22" t="n">
        <v>141199.467275495</v>
      </c>
      <c r="AE57" s="22" t="n">
        <v>160000</v>
      </c>
      <c r="AF57" s="22" t="n">
        <v>14554143.091</v>
      </c>
      <c r="AG57" s="23" t="n">
        <v>5449654020.24</v>
      </c>
      <c r="AH57" s="23" t="n">
        <v>3605178563.36</v>
      </c>
      <c r="AI57" s="23" t="n">
        <v>9881450028</v>
      </c>
      <c r="AJ57" s="23" t="n">
        <v>1657306981</v>
      </c>
      <c r="AK57" s="25"/>
    </row>
    <row r="58" customFormat="false" ht="15.75" hidden="false" customHeight="true" outlineLevel="0" collapsed="false">
      <c r="A58" s="21" t="n">
        <v>46111</v>
      </c>
      <c r="B58" s="22" t="n">
        <v>1371.5</v>
      </c>
      <c r="C58" s="23" t="n">
        <v>0</v>
      </c>
      <c r="D58" s="23" t="n">
        <v>832701000</v>
      </c>
      <c r="E58" s="23" t="n">
        <v>975542000</v>
      </c>
      <c r="F58" s="23" t="n">
        <v>1442000</v>
      </c>
      <c r="G58" s="23" t="n">
        <v>14842000</v>
      </c>
      <c r="H58" s="23" t="n">
        <v>2800000</v>
      </c>
      <c r="I58" s="23" t="n">
        <v>935692970</v>
      </c>
      <c r="J58" s="23" t="n">
        <v>336145864</v>
      </c>
      <c r="K58" s="23" t="n">
        <v>0</v>
      </c>
      <c r="L58" s="23" t="n">
        <v>86897738</v>
      </c>
      <c r="M58" s="23" t="n">
        <v>0</v>
      </c>
      <c r="N58" s="23" t="n">
        <v>0</v>
      </c>
      <c r="O58" s="23" t="n">
        <v>0</v>
      </c>
      <c r="P58" s="23" t="n">
        <v>445000</v>
      </c>
      <c r="Q58" s="23" t="n">
        <v>25600000</v>
      </c>
      <c r="R58" s="23" t="n">
        <v>0</v>
      </c>
      <c r="S58" s="23" t="n">
        <v>0</v>
      </c>
      <c r="T58" s="23" t="n">
        <v>0</v>
      </c>
      <c r="U58" s="23" t="n">
        <v>300000000</v>
      </c>
      <c r="V58" s="23" t="n">
        <v>0</v>
      </c>
      <c r="W58" s="23" t="n">
        <v>0</v>
      </c>
      <c r="X58" s="23" t="n">
        <v>1016347490</v>
      </c>
      <c r="Y58" s="23" t="n">
        <v>962035178</v>
      </c>
      <c r="Z58" s="23" t="n">
        <v>208603111.9149</v>
      </c>
      <c r="AA58" s="23" t="n">
        <v>5546363032</v>
      </c>
      <c r="AB58" s="22" t="n">
        <v>1261501.43253</v>
      </c>
      <c r="AC58" s="22" t="n">
        <v>9000000</v>
      </c>
      <c r="AD58" s="22" t="n">
        <v>141199.467275495</v>
      </c>
      <c r="AE58" s="22" t="n">
        <v>160000</v>
      </c>
      <c r="AF58" s="22" t="n">
        <v>14623486.5525</v>
      </c>
      <c r="AG58" s="23" t="n">
        <v>5449654020.24</v>
      </c>
      <c r="AH58" s="23" t="n">
        <v>3282208636</v>
      </c>
      <c r="AI58" s="23" t="n">
        <v>10251360411.5</v>
      </c>
      <c r="AJ58" s="23" t="n">
        <v>1678236596</v>
      </c>
      <c r="AK58" s="25"/>
    </row>
    <row r="59" customFormat="false" ht="15.75" hidden="false" customHeight="true" outlineLevel="0" collapsed="false">
      <c r="A59" s="21" t="n">
        <v>46112</v>
      </c>
      <c r="B59" s="22" t="n">
        <v>1371.5</v>
      </c>
      <c r="C59" s="23" t="n">
        <v>0</v>
      </c>
      <c r="D59" s="23" t="n">
        <v>1020478576.93</v>
      </c>
      <c r="E59" s="23" t="n">
        <v>96180000</v>
      </c>
      <c r="F59" s="23" t="n">
        <v>56816000</v>
      </c>
      <c r="G59" s="23" t="n">
        <v>10024326</v>
      </c>
      <c r="H59" s="23" t="n">
        <v>2800000</v>
      </c>
      <c r="I59" s="23" t="n">
        <v>1225007012</v>
      </c>
      <c r="J59" s="23" t="n">
        <v>485176000</v>
      </c>
      <c r="K59" s="23" t="n">
        <v>0</v>
      </c>
      <c r="L59" s="23" t="n">
        <v>655000</v>
      </c>
      <c r="M59" s="23" t="n">
        <v>0</v>
      </c>
      <c r="N59" s="23" t="n">
        <v>0</v>
      </c>
      <c r="O59" s="23" t="n">
        <v>14591610</v>
      </c>
      <c r="P59" s="23" t="n">
        <v>0</v>
      </c>
      <c r="Q59" s="23" t="n">
        <v>127954559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1001318794</v>
      </c>
      <c r="Y59" s="23" t="n">
        <v>873946433</v>
      </c>
      <c r="Z59" s="23" t="n">
        <v>208603111.9149</v>
      </c>
      <c r="AA59" s="23" t="n">
        <v>5009764245</v>
      </c>
      <c r="AB59" s="22" t="n">
        <v>1173173.71253</v>
      </c>
      <c r="AC59" s="22" t="n">
        <v>9000000</v>
      </c>
      <c r="AD59" s="22" t="n">
        <v>141199.467275495</v>
      </c>
      <c r="AE59" s="22" t="n">
        <v>160000</v>
      </c>
      <c r="AF59" s="22" t="n">
        <v>10642274.986</v>
      </c>
      <c r="AG59" s="23" t="n">
        <v>5582721359</v>
      </c>
      <c r="AH59" s="23" t="n">
        <v>3998648215.51</v>
      </c>
      <c r="AI59" s="23" t="n">
        <v>10251360411.5</v>
      </c>
      <c r="AJ59" s="23" t="n">
        <v>1678236596</v>
      </c>
      <c r="AK59" s="25"/>
    </row>
    <row r="60" customFormat="false" ht="15.75" hidden="false" customHeight="true" outlineLevel="0" collapsed="false">
      <c r="A60" s="21" t="n">
        <v>46118</v>
      </c>
      <c r="B60" s="22" t="n">
        <v>1383</v>
      </c>
      <c r="C60" s="23" t="n">
        <v>0</v>
      </c>
      <c r="D60" s="23" t="n">
        <v>906680076</v>
      </c>
      <c r="E60" s="23" t="n">
        <v>87527408</v>
      </c>
      <c r="F60" s="23" t="n">
        <v>164533000</v>
      </c>
      <c r="G60" s="23" t="n">
        <v>9691000</v>
      </c>
      <c r="H60" s="23" t="n">
        <v>2500000</v>
      </c>
      <c r="I60" s="23" t="n">
        <v>1424949749</v>
      </c>
      <c r="J60" s="23" t="n">
        <v>168305085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66378278</v>
      </c>
      <c r="Q60" s="23" t="n">
        <v>244819590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1217405688</v>
      </c>
      <c r="Y60" s="23" t="n">
        <v>4192506916</v>
      </c>
      <c r="Z60" s="23" t="n">
        <v>202734656.16865</v>
      </c>
      <c r="AA60" s="23" t="n">
        <v>5070299230</v>
      </c>
      <c r="AB60" s="22" t="n">
        <v>1043837.65169</v>
      </c>
      <c r="AC60" s="22" t="n">
        <v>9000000</v>
      </c>
      <c r="AD60" s="22" t="n">
        <v>141199.467275495</v>
      </c>
      <c r="AE60" s="22" t="n">
        <v>160000</v>
      </c>
      <c r="AF60" s="22" t="n">
        <v>11964450.0055</v>
      </c>
      <c r="AG60" s="23" t="n">
        <v>5582721359</v>
      </c>
      <c r="AH60" s="23" t="n">
        <v>4335886957.92</v>
      </c>
      <c r="AI60" s="23" t="n">
        <v>10537028595</v>
      </c>
      <c r="AJ60" s="23" t="n">
        <v>1639971486</v>
      </c>
      <c r="AK60" s="25"/>
    </row>
    <row r="61" customFormat="false" ht="15.75" hidden="false" customHeight="true" outlineLevel="0" collapsed="false">
      <c r="A61" s="21" t="n">
        <v>46119</v>
      </c>
      <c r="B61" s="22" t="n">
        <v>1382</v>
      </c>
      <c r="C61" s="23" t="n">
        <v>0</v>
      </c>
      <c r="D61" s="23" t="n">
        <v>976450190</v>
      </c>
      <c r="E61" s="23" t="n">
        <v>-276711000</v>
      </c>
      <c r="F61" s="23" t="n">
        <v>114129000</v>
      </c>
      <c r="G61" s="23" t="n">
        <v>9690000</v>
      </c>
      <c r="H61" s="23" t="n">
        <v>2500000</v>
      </c>
      <c r="I61" s="23" t="n">
        <v>1550678134</v>
      </c>
      <c r="J61" s="23" t="n">
        <v>228205027</v>
      </c>
      <c r="K61" s="23" t="n">
        <v>0</v>
      </c>
      <c r="L61" s="23" t="n">
        <v>13908000</v>
      </c>
      <c r="M61" s="23" t="n">
        <v>0</v>
      </c>
      <c r="N61" s="23" t="n">
        <v>0</v>
      </c>
      <c r="O61" s="23" t="n">
        <v>0</v>
      </c>
      <c r="P61" s="23" t="n">
        <v>1099000</v>
      </c>
      <c r="Q61" s="23" t="n">
        <v>448716641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1570067713</v>
      </c>
      <c r="Y61" s="23" t="n">
        <v>3719608294</v>
      </c>
      <c r="Z61" s="23" t="n">
        <v>202734656.16865</v>
      </c>
      <c r="AA61" s="23" t="n">
        <v>5205859918</v>
      </c>
      <c r="AB61" s="22" t="n">
        <v>1043837.65169</v>
      </c>
      <c r="AC61" s="22" t="n">
        <v>9000000</v>
      </c>
      <c r="AD61" s="22" t="n">
        <v>141199.467275495</v>
      </c>
      <c r="AE61" s="22" t="n">
        <v>160000</v>
      </c>
      <c r="AF61" s="22" t="n">
        <v>11612685.6785</v>
      </c>
      <c r="AG61" s="23" t="n">
        <v>5582721359</v>
      </c>
      <c r="AH61" s="23" t="n">
        <v>4809318318.88</v>
      </c>
      <c r="AI61" s="23" t="n">
        <v>10529409630</v>
      </c>
      <c r="AJ61" s="23" t="n">
        <v>1674297146</v>
      </c>
      <c r="AK61" s="25"/>
    </row>
    <row r="62" customFormat="false" ht="15.75" hidden="false" customHeight="true" outlineLevel="0" collapsed="false">
      <c r="A62" s="21" t="n">
        <v>46120</v>
      </c>
      <c r="B62" s="22" t="n">
        <v>1382.5</v>
      </c>
      <c r="C62" s="23" t="n">
        <v>0</v>
      </c>
      <c r="D62" s="23" t="n">
        <v>1017149904</v>
      </c>
      <c r="E62" s="23" t="n">
        <v>12670000</v>
      </c>
      <c r="F62" s="23" t="n">
        <v>120419000</v>
      </c>
      <c r="G62" s="23" t="n">
        <v>314757</v>
      </c>
      <c r="H62" s="23" t="n">
        <v>2500000</v>
      </c>
      <c r="I62" s="23" t="n">
        <v>1601244716</v>
      </c>
      <c r="J62" s="23" t="n">
        <v>398655000</v>
      </c>
      <c r="K62" s="23" t="n">
        <v>0</v>
      </c>
      <c r="L62" s="23" t="n">
        <v>23306385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199614538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1287374179</v>
      </c>
      <c r="Y62" s="23" t="n">
        <v>3746628000</v>
      </c>
      <c r="Z62" s="23" t="n">
        <v>202734656.16865</v>
      </c>
      <c r="AA62" s="23" t="n">
        <v>5443486561</v>
      </c>
      <c r="AB62" s="22" t="n">
        <v>1043837.65169</v>
      </c>
      <c r="AC62" s="22" t="n">
        <v>9000000</v>
      </c>
      <c r="AD62" s="22" t="n">
        <v>141199.467275495</v>
      </c>
      <c r="AE62" s="22" t="n">
        <v>160000</v>
      </c>
      <c r="AF62" s="22" t="n">
        <v>11790325.2945</v>
      </c>
      <c r="AG62" s="23" t="n">
        <v>5582721359</v>
      </c>
      <c r="AH62" s="23" t="n">
        <v>4140256031.8</v>
      </c>
      <c r="AI62" s="23" t="n">
        <v>10533219112.5</v>
      </c>
      <c r="AJ62" s="23" t="n">
        <v>1674902898</v>
      </c>
      <c r="AK62" s="25"/>
    </row>
    <row r="63" customFormat="false" ht="15.75" hidden="false" customHeight="true" outlineLevel="0" collapsed="false">
      <c r="A63" s="21" t="n">
        <v>46121</v>
      </c>
      <c r="B63" s="22" t="n">
        <v>1382.5</v>
      </c>
      <c r="C63" s="23" t="n">
        <v>0</v>
      </c>
      <c r="D63" s="23" t="n">
        <v>1175631886</v>
      </c>
      <c r="E63" s="23" t="n">
        <v>123676000</v>
      </c>
      <c r="F63" s="23" t="n">
        <v>65535000</v>
      </c>
      <c r="G63" s="23" t="n">
        <v>1601901</v>
      </c>
      <c r="H63" s="23" t="n">
        <v>2500000</v>
      </c>
      <c r="I63" s="23" t="n">
        <v>1576163559</v>
      </c>
      <c r="J63" s="23" t="n">
        <v>42810000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1134776419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1686304226</v>
      </c>
      <c r="Y63" s="23" t="n">
        <v>2366743698</v>
      </c>
      <c r="Z63" s="23" t="n">
        <v>202734656.16865</v>
      </c>
      <c r="AA63" s="23" t="n">
        <v>5260055414</v>
      </c>
      <c r="AB63" s="22" t="n">
        <v>1043837.65169</v>
      </c>
      <c r="AC63" s="22" t="n">
        <v>9000000</v>
      </c>
      <c r="AD63" s="22" t="n">
        <v>141199.467275495</v>
      </c>
      <c r="AE63" s="22" t="n">
        <v>160000</v>
      </c>
      <c r="AF63" s="22" t="n">
        <v>12461597.5765</v>
      </c>
      <c r="AG63" s="23" t="n">
        <v>5582721359</v>
      </c>
      <c r="AH63" s="23" t="n">
        <v>5314070090</v>
      </c>
      <c r="AI63" s="23" t="n">
        <v>10533219112.5</v>
      </c>
      <c r="AJ63" s="23" t="n">
        <v>1674902898</v>
      </c>
      <c r="AK63" s="25"/>
    </row>
    <row r="64" customFormat="false" ht="15.75" hidden="false" customHeight="true" outlineLevel="0" collapsed="false">
      <c r="A64" s="21" t="n">
        <v>46122</v>
      </c>
      <c r="B64" s="22" t="n">
        <v>1382</v>
      </c>
      <c r="C64" s="23" t="n">
        <v>0</v>
      </c>
      <c r="D64" s="23" t="n">
        <v>1094067815</v>
      </c>
      <c r="E64" s="23" t="n">
        <v>-24741000</v>
      </c>
      <c r="F64" s="23" t="n">
        <v>50432000</v>
      </c>
      <c r="G64" s="23" t="n">
        <v>-47296000</v>
      </c>
      <c r="H64" s="23" t="n">
        <v>-12432000</v>
      </c>
      <c r="I64" s="23" t="n">
        <v>1608021539</v>
      </c>
      <c r="J64" s="23" t="n">
        <v>151448140</v>
      </c>
      <c r="K64" s="23" t="n">
        <v>0</v>
      </c>
      <c r="L64" s="23" t="n">
        <v>280819495</v>
      </c>
      <c r="M64" s="23" t="n">
        <v>0</v>
      </c>
      <c r="N64" s="23" t="n">
        <v>0</v>
      </c>
      <c r="O64" s="23" t="n">
        <v>0</v>
      </c>
      <c r="P64" s="23" t="n">
        <v>121038032</v>
      </c>
      <c r="Q64" s="23" t="n">
        <v>348167135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2103842933</v>
      </c>
      <c r="Y64" s="23" t="n">
        <v>2027049642</v>
      </c>
      <c r="Z64" s="23" t="n">
        <v>202734656.16865</v>
      </c>
      <c r="AA64" s="23" t="n">
        <v>5682562836</v>
      </c>
      <c r="AB64" s="22" t="n">
        <v>1043837.65169</v>
      </c>
      <c r="AC64" s="22" t="n">
        <v>9000000</v>
      </c>
      <c r="AD64" s="22" t="n">
        <v>141199.467275495</v>
      </c>
      <c r="AE64" s="22" t="n">
        <v>160000</v>
      </c>
      <c r="AF64" s="22" t="n">
        <v>14538528.597</v>
      </c>
      <c r="AG64" s="23" t="n">
        <v>5582721359</v>
      </c>
      <c r="AH64" s="23" t="n">
        <v>5504015514.38</v>
      </c>
      <c r="AI64" s="23" t="n">
        <v>10529409630</v>
      </c>
      <c r="AJ64" s="23" t="n">
        <v>1674902898</v>
      </c>
      <c r="AK64" s="25"/>
    </row>
    <row r="65" customFormat="false" ht="15.75" hidden="false" customHeight="true" outlineLevel="0" collapsed="false">
      <c r="A65" s="21" t="n">
        <v>46125</v>
      </c>
      <c r="B65" s="22" t="n">
        <v>1371.5</v>
      </c>
      <c r="C65" s="23" t="n">
        <v>0</v>
      </c>
      <c r="D65" s="23" t="n">
        <v>1175319480</v>
      </c>
      <c r="E65" s="23" t="n">
        <v>-14800000</v>
      </c>
      <c r="F65" s="23" t="n">
        <v>80000000</v>
      </c>
      <c r="G65" s="23" t="n">
        <v>-47296000</v>
      </c>
      <c r="H65" s="23" t="n">
        <v>2500000</v>
      </c>
      <c r="I65" s="23" t="n">
        <v>1542847285</v>
      </c>
      <c r="J65" s="23" t="n">
        <v>351202908</v>
      </c>
      <c r="K65" s="23" t="n">
        <v>0</v>
      </c>
      <c r="L65" s="23" t="n">
        <v>218300000</v>
      </c>
      <c r="M65" s="23" t="n">
        <v>0</v>
      </c>
      <c r="N65" s="23" t="n">
        <v>0</v>
      </c>
      <c r="O65" s="23" t="n">
        <v>0</v>
      </c>
      <c r="P65" s="23" t="n">
        <v>6971504</v>
      </c>
      <c r="Q65" s="23" t="n">
        <v>111568478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1932169958</v>
      </c>
      <c r="Y65" s="23" t="n">
        <v>1746864264</v>
      </c>
      <c r="Z65" s="23" t="n">
        <v>202734656.16865</v>
      </c>
      <c r="AA65" s="23" t="n">
        <v>5567248779</v>
      </c>
      <c r="AB65" s="22" t="n">
        <v>1043837.65169</v>
      </c>
      <c r="AC65" s="22" t="n">
        <v>9000000</v>
      </c>
      <c r="AD65" s="22" t="n">
        <v>141199.467275495</v>
      </c>
      <c r="AE65" s="22" t="n">
        <v>160000</v>
      </c>
      <c r="AF65" s="22" t="n">
        <v>15414085.287</v>
      </c>
      <c r="AG65" s="23" t="n">
        <v>5582721359</v>
      </c>
      <c r="AH65" s="23" t="n">
        <v>4662286275.335</v>
      </c>
      <c r="AI65" s="23" t="n">
        <v>8655009844</v>
      </c>
      <c r="AJ65" s="23" t="n">
        <v>1525590577</v>
      </c>
      <c r="AK65" s="25"/>
    </row>
    <row r="66" customFormat="false" ht="15.75" hidden="false" customHeight="true" outlineLevel="0" collapsed="false">
      <c r="A66" s="21" t="n">
        <v>46126</v>
      </c>
      <c r="B66" s="22" t="n">
        <v>1360</v>
      </c>
      <c r="C66" s="23" t="n">
        <v>0</v>
      </c>
      <c r="D66" s="23" t="n">
        <v>1403445482</v>
      </c>
      <c r="E66" s="23" t="n">
        <v>101354000</v>
      </c>
      <c r="F66" s="23" t="n">
        <v>85648232</v>
      </c>
      <c r="G66" s="23" t="n">
        <v>2698000</v>
      </c>
      <c r="H66" s="23" t="n">
        <v>3456000</v>
      </c>
      <c r="I66" s="23" t="n">
        <v>1310322293</v>
      </c>
      <c r="J66" s="23" t="n">
        <v>369655847</v>
      </c>
      <c r="K66" s="23" t="n">
        <v>0</v>
      </c>
      <c r="L66" s="23" t="n">
        <v>11005220</v>
      </c>
      <c r="M66" s="23" t="n">
        <v>0</v>
      </c>
      <c r="N66" s="23" t="n">
        <v>0</v>
      </c>
      <c r="O66" s="23" t="n">
        <v>0</v>
      </c>
      <c r="P66" s="23" t="n">
        <v>170686877</v>
      </c>
      <c r="Q66" s="23" t="n">
        <v>194410416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2839096283</v>
      </c>
      <c r="Y66" s="23" t="n">
        <v>1459313632</v>
      </c>
      <c r="Z66" s="23" t="n">
        <v>202734656.16865</v>
      </c>
      <c r="AA66" s="23" t="n">
        <v>5323936474</v>
      </c>
      <c r="AB66" s="22" t="n">
        <v>1043837.65169</v>
      </c>
      <c r="AC66" s="22" t="n">
        <v>9000000</v>
      </c>
      <c r="AD66" s="22" t="n">
        <v>141199.467275495</v>
      </c>
      <c r="AE66" s="22" t="n">
        <v>160000</v>
      </c>
      <c r="AF66" s="22" t="n">
        <v>15805699.747</v>
      </c>
      <c r="AG66" s="23" t="n">
        <v>5582721359</v>
      </c>
      <c r="AH66" s="23" t="n">
        <v>3817389440</v>
      </c>
      <c r="AI66" s="23" t="n">
        <v>8988796240</v>
      </c>
      <c r="AJ66" s="23" t="n">
        <v>0</v>
      </c>
      <c r="AK66" s="25"/>
    </row>
    <row r="67" customFormat="false" ht="15.75" hidden="false" customHeight="true" outlineLevel="0" collapsed="false">
      <c r="A67" s="21" t="n">
        <v>46127</v>
      </c>
      <c r="B67" s="22" t="n">
        <v>1352</v>
      </c>
      <c r="C67" s="23" t="n">
        <v>0</v>
      </c>
      <c r="D67" s="23" t="n">
        <v>1403445482</v>
      </c>
      <c r="E67" s="23" t="n">
        <v>206593000</v>
      </c>
      <c r="F67" s="23" t="n">
        <v>85648232</v>
      </c>
      <c r="G67" s="23" t="n">
        <v>2611000</v>
      </c>
      <c r="H67" s="23" t="n">
        <v>3456000</v>
      </c>
      <c r="I67" s="23" t="n">
        <v>1310322293</v>
      </c>
      <c r="J67" s="23" t="n">
        <v>337214711</v>
      </c>
      <c r="K67" s="23" t="n">
        <v>0</v>
      </c>
      <c r="L67" s="23" t="n">
        <v>17878000</v>
      </c>
      <c r="M67" s="23" t="n">
        <v>0</v>
      </c>
      <c r="N67" s="23" t="n">
        <v>0</v>
      </c>
      <c r="O67" s="23" t="n">
        <v>0</v>
      </c>
      <c r="P67" s="23" t="n">
        <v>10914176</v>
      </c>
      <c r="Q67" s="23" t="n">
        <v>135510630</v>
      </c>
      <c r="R67" s="23" t="n">
        <v>0</v>
      </c>
      <c r="S67" s="23" t="n">
        <v>0</v>
      </c>
      <c r="T67" s="23" t="n">
        <v>0</v>
      </c>
      <c r="U67" s="23" t="n">
        <v>0</v>
      </c>
      <c r="V67" s="23" t="n">
        <v>0</v>
      </c>
      <c r="W67" s="23" t="n">
        <v>0</v>
      </c>
      <c r="X67" s="23" t="n">
        <v>2495481224</v>
      </c>
      <c r="Y67" s="23" t="n">
        <v>1377700645</v>
      </c>
      <c r="Z67" s="23" t="n">
        <v>202734656.16865</v>
      </c>
      <c r="AA67" s="23" t="n">
        <v>5326477214</v>
      </c>
      <c r="AB67" s="22" t="n">
        <v>1043837.65169</v>
      </c>
      <c r="AC67" s="22" t="n">
        <v>9000000</v>
      </c>
      <c r="AD67" s="22" t="n">
        <v>141199.467275495</v>
      </c>
      <c r="AE67" s="22" t="n">
        <v>160000</v>
      </c>
      <c r="AF67" s="22" t="n">
        <v>14987064.137</v>
      </c>
      <c r="AG67" s="23" t="n">
        <v>5582721359</v>
      </c>
      <c r="AH67" s="23" t="n">
        <v>3567315544</v>
      </c>
      <c r="AI67" s="23" t="n">
        <v>8935920968</v>
      </c>
      <c r="AJ67" s="23" t="n">
        <v>0</v>
      </c>
      <c r="AK67" s="25"/>
    </row>
    <row r="68" customFormat="false" ht="15.75" hidden="false" customHeight="true" outlineLevel="0" collapsed="false">
      <c r="A68" s="21" t="n">
        <v>46128</v>
      </c>
      <c r="B68" s="22" t="n">
        <v>1360</v>
      </c>
      <c r="C68" s="23" t="n">
        <v>0</v>
      </c>
      <c r="D68" s="23" t="n">
        <v>1210218285</v>
      </c>
      <c r="E68" s="23" t="n">
        <v>154506000</v>
      </c>
      <c r="F68" s="23" t="n">
        <v>206414000</v>
      </c>
      <c r="G68" s="23" t="n">
        <v>2669000</v>
      </c>
      <c r="H68" s="23" t="n">
        <v>3456000</v>
      </c>
      <c r="I68" s="23" t="n">
        <v>1265122000</v>
      </c>
      <c r="J68" s="23" t="n">
        <v>192956961</v>
      </c>
      <c r="K68" s="23" t="n">
        <v>0</v>
      </c>
      <c r="L68" s="23" t="n">
        <v>3652167</v>
      </c>
      <c r="M68" s="23" t="n">
        <v>0</v>
      </c>
      <c r="N68" s="23" t="n">
        <v>0</v>
      </c>
      <c r="O68" s="23" t="n">
        <v>0</v>
      </c>
      <c r="P68" s="23" t="n">
        <v>0</v>
      </c>
      <c r="Q68" s="23" t="n">
        <v>5532358</v>
      </c>
      <c r="R68" s="23" t="n">
        <v>0</v>
      </c>
      <c r="S68" s="23" t="n">
        <v>0</v>
      </c>
      <c r="T68" s="23" t="n">
        <v>27315764</v>
      </c>
      <c r="U68" s="23" t="n">
        <v>60000000</v>
      </c>
      <c r="V68" s="23" t="n">
        <v>0</v>
      </c>
      <c r="W68" s="23" t="n">
        <v>0</v>
      </c>
      <c r="X68" s="23" t="n">
        <v>2893419877</v>
      </c>
      <c r="Y68" s="23" t="n">
        <v>1329325329</v>
      </c>
      <c r="Z68" s="23" t="n">
        <v>202734656.16865</v>
      </c>
      <c r="AA68" s="23" t="n">
        <v>5326477214</v>
      </c>
      <c r="AB68" s="22" t="n">
        <v>1073356.57169</v>
      </c>
      <c r="AC68" s="22" t="n">
        <v>9000000</v>
      </c>
      <c r="AD68" s="22" t="n">
        <v>141199.467275495</v>
      </c>
      <c r="AE68" s="22" t="n">
        <v>160000</v>
      </c>
      <c r="AF68" s="22" t="n">
        <v>15105321.485</v>
      </c>
      <c r="AG68" s="23" t="n">
        <v>5582721359</v>
      </c>
      <c r="AH68" s="23" t="n">
        <v>3627743288</v>
      </c>
      <c r="AI68" s="23" t="n">
        <v>8756902640</v>
      </c>
      <c r="AJ68" s="23" t="n">
        <v>0</v>
      </c>
      <c r="AK68" s="25"/>
    </row>
    <row r="69" customFormat="false" ht="15.75" hidden="false" customHeight="true" outlineLevel="0" collapsed="false">
      <c r="A69" s="21" t="n">
        <v>46129</v>
      </c>
      <c r="B69" s="22" t="n">
        <v>1350.5</v>
      </c>
      <c r="C69" s="23" t="n">
        <v>0</v>
      </c>
      <c r="D69" s="23" t="n">
        <v>1267593265</v>
      </c>
      <c r="E69" s="23" t="n">
        <v>76372453</v>
      </c>
      <c r="F69" s="23" t="n">
        <v>74285000</v>
      </c>
      <c r="G69" s="23" t="n">
        <v>9854000</v>
      </c>
      <c r="H69" s="23" t="n">
        <v>5000000</v>
      </c>
      <c r="I69" s="23" t="n">
        <v>1123224296</v>
      </c>
      <c r="J69" s="23" t="n">
        <v>469448182</v>
      </c>
      <c r="K69" s="23" t="n">
        <v>0</v>
      </c>
      <c r="L69" s="23" t="n">
        <v>29391431</v>
      </c>
      <c r="M69" s="23" t="n">
        <v>0</v>
      </c>
      <c r="N69" s="23" t="n">
        <v>0</v>
      </c>
      <c r="O69" s="23" t="n">
        <v>0</v>
      </c>
      <c r="P69" s="23" t="n">
        <v>0</v>
      </c>
      <c r="Q69" s="23" t="n">
        <v>5316363</v>
      </c>
      <c r="R69" s="23" t="n">
        <v>0</v>
      </c>
      <c r="S69" s="23" t="n">
        <v>0</v>
      </c>
      <c r="T69" s="23" t="n">
        <v>0</v>
      </c>
      <c r="U69" s="23" t="n">
        <v>0</v>
      </c>
      <c r="V69" s="23" t="n">
        <v>0</v>
      </c>
      <c r="W69" s="23" t="n">
        <v>0</v>
      </c>
      <c r="X69" s="23" t="n">
        <v>2690024375</v>
      </c>
      <c r="Y69" s="23" t="n">
        <v>1324212687</v>
      </c>
      <c r="Z69" s="23" t="n">
        <v>202734656.16865</v>
      </c>
      <c r="AA69" s="23" t="n">
        <v>4452570427</v>
      </c>
      <c r="AB69" s="22" t="n">
        <v>1073356.57169</v>
      </c>
      <c r="AC69" s="22" t="n">
        <v>9000000</v>
      </c>
      <c r="AD69" s="22" t="n">
        <v>141199.467275495</v>
      </c>
      <c r="AE69" s="22" t="n">
        <v>160000</v>
      </c>
      <c r="AF69" s="22" t="n">
        <v>15276296.839</v>
      </c>
      <c r="AG69" s="23" t="n">
        <v>5582721359</v>
      </c>
      <c r="AH69" s="23" t="n">
        <v>3303933250.435</v>
      </c>
      <c r="AI69" s="23" t="n">
        <v>8165952205</v>
      </c>
      <c r="AJ69" s="23" t="n">
        <v>0</v>
      </c>
      <c r="AK69" s="25"/>
    </row>
    <row r="70" customFormat="false" ht="15.75" hidden="false" customHeight="true" outlineLevel="0" collapsed="false">
      <c r="A70" s="21" t="n">
        <v>46132</v>
      </c>
      <c r="B70" s="22" t="n">
        <v>1355.5</v>
      </c>
      <c r="C70" s="23" t="n">
        <v>0</v>
      </c>
      <c r="D70" s="23" t="n">
        <v>1267593265</v>
      </c>
      <c r="E70" s="23" t="n">
        <v>-116067000</v>
      </c>
      <c r="F70" s="23" t="n">
        <v>52600000</v>
      </c>
      <c r="G70" s="23" t="n">
        <v>4790000</v>
      </c>
      <c r="H70" s="23" t="n">
        <v>5000000</v>
      </c>
      <c r="I70" s="23" t="n">
        <v>1240572794</v>
      </c>
      <c r="J70" s="23" t="n">
        <v>300914150</v>
      </c>
      <c r="K70" s="23" t="n">
        <v>0</v>
      </c>
      <c r="L70" s="23" t="n">
        <v>77682307</v>
      </c>
      <c r="M70" s="23" t="n">
        <v>0</v>
      </c>
      <c r="N70" s="23" t="n">
        <v>0</v>
      </c>
      <c r="O70" s="23" t="n">
        <v>0</v>
      </c>
      <c r="P70" s="23" t="n">
        <v>14964634</v>
      </c>
      <c r="Q70" s="23" t="n">
        <v>158411799</v>
      </c>
      <c r="R70" s="23" t="n">
        <v>0</v>
      </c>
      <c r="S70" s="23" t="n">
        <v>0</v>
      </c>
      <c r="T70" s="23" t="n">
        <v>0</v>
      </c>
      <c r="U70" s="23" t="n">
        <v>0</v>
      </c>
      <c r="V70" s="23" t="n">
        <v>0</v>
      </c>
      <c r="W70" s="23" t="n">
        <v>0</v>
      </c>
      <c r="X70" s="23" t="n">
        <v>2626877814</v>
      </c>
      <c r="Y70" s="23" t="n">
        <v>1210621552</v>
      </c>
      <c r="Z70" s="23" t="n">
        <v>202734656.16865</v>
      </c>
      <c r="AA70" s="23" t="n">
        <v>4251587803</v>
      </c>
      <c r="AB70" s="22" t="n">
        <v>1073356.57169</v>
      </c>
      <c r="AC70" s="22" t="n">
        <v>9000000</v>
      </c>
      <c r="AD70" s="22" t="n">
        <v>141199.467275495</v>
      </c>
      <c r="AE70" s="22" t="n">
        <v>160000</v>
      </c>
      <c r="AF70" s="22" t="n">
        <v>15276296.839</v>
      </c>
      <c r="AG70" s="23" t="n">
        <v>5582721359</v>
      </c>
      <c r="AH70" s="23" t="n">
        <v>2711482923.985</v>
      </c>
      <c r="AI70" s="23" t="n">
        <v>9988148144</v>
      </c>
      <c r="AJ70" s="23" t="n">
        <v>80200000</v>
      </c>
      <c r="AK70" s="25"/>
    </row>
    <row r="71" customFormat="false" ht="15.75" hidden="false" customHeight="true" outlineLevel="0" collapsed="false">
      <c r="A71" s="21" t="n">
        <v>46133</v>
      </c>
      <c r="B71" s="22" t="n">
        <v>1372</v>
      </c>
      <c r="C71" s="23" t="n">
        <v>0</v>
      </c>
      <c r="D71" s="23" t="n">
        <v>1338654892</v>
      </c>
      <c r="E71" s="23" t="n">
        <v>-35371000</v>
      </c>
      <c r="F71" s="23" t="n">
        <v>163000000</v>
      </c>
      <c r="G71" s="23" t="n">
        <v>4790000</v>
      </c>
      <c r="H71" s="23" t="n">
        <v>5000000</v>
      </c>
      <c r="I71" s="23" t="n">
        <v>1110138054</v>
      </c>
      <c r="J71" s="23" t="n">
        <v>292098764</v>
      </c>
      <c r="K71" s="23" t="n">
        <v>0</v>
      </c>
      <c r="L71" s="23" t="n">
        <v>0</v>
      </c>
      <c r="M71" s="23" t="n">
        <v>0</v>
      </c>
      <c r="N71" s="23" t="n">
        <v>0</v>
      </c>
      <c r="O71" s="23" t="n">
        <v>0</v>
      </c>
      <c r="P71" s="23" t="n">
        <v>201453922</v>
      </c>
      <c r="Q71" s="23" t="n">
        <v>133001436</v>
      </c>
      <c r="R71" s="23" t="n">
        <v>0</v>
      </c>
      <c r="S71" s="23" t="n">
        <v>0</v>
      </c>
      <c r="T71" s="23" t="n">
        <v>0</v>
      </c>
      <c r="U71" s="23" t="n">
        <v>0</v>
      </c>
      <c r="V71" s="23" t="n">
        <v>0</v>
      </c>
      <c r="W71" s="23" t="n">
        <v>0</v>
      </c>
      <c r="X71" s="23" t="n">
        <v>2169131172</v>
      </c>
      <c r="Y71" s="23" t="n">
        <v>765562959</v>
      </c>
      <c r="Z71" s="23" t="n">
        <v>202734656.16865</v>
      </c>
      <c r="AA71" s="23" t="n">
        <v>4290166643</v>
      </c>
      <c r="AB71" s="22" t="n">
        <v>1146353.53769</v>
      </c>
      <c r="AC71" s="22" t="n">
        <v>9000000</v>
      </c>
      <c r="AD71" s="22" t="n">
        <v>141199.467275495</v>
      </c>
      <c r="AE71" s="22" t="n">
        <v>160000</v>
      </c>
      <c r="AF71" s="22" t="n">
        <v>16078914.6945</v>
      </c>
      <c r="AG71" s="23" t="n">
        <v>5582721359</v>
      </c>
      <c r="AH71" s="23" t="n">
        <v>2560829452.44</v>
      </c>
      <c r="AI71" s="23" t="n">
        <v>10109730176</v>
      </c>
      <c r="AJ71" s="23" t="n">
        <v>80265000</v>
      </c>
      <c r="AK71" s="25"/>
    </row>
    <row r="72" customFormat="false" ht="15.75" hidden="false" customHeight="true" outlineLevel="0" collapsed="false">
      <c r="A72" s="21" t="n">
        <v>46134</v>
      </c>
      <c r="B72" s="22" t="n">
        <v>1377</v>
      </c>
      <c r="C72" s="23" t="n">
        <v>0</v>
      </c>
      <c r="D72" s="23" t="n">
        <v>1391899942</v>
      </c>
      <c r="E72" s="23" t="n">
        <v>295000000</v>
      </c>
      <c r="F72" s="23" t="n">
        <v>143000000</v>
      </c>
      <c r="G72" s="23" t="n">
        <v>9743000</v>
      </c>
      <c r="H72" s="23" t="n">
        <v>5000000</v>
      </c>
      <c r="I72" s="23" t="n">
        <v>1055697748</v>
      </c>
      <c r="J72" s="23" t="n">
        <v>211947173</v>
      </c>
      <c r="K72" s="23" t="n">
        <v>0</v>
      </c>
      <c r="L72" s="23" t="n">
        <v>842000</v>
      </c>
      <c r="M72" s="23" t="n">
        <v>0</v>
      </c>
      <c r="N72" s="23" t="n">
        <v>0</v>
      </c>
      <c r="O72" s="23" t="n">
        <v>141952080</v>
      </c>
      <c r="P72" s="23" t="n">
        <v>0</v>
      </c>
      <c r="Q72" s="23" t="n">
        <v>89500000</v>
      </c>
      <c r="R72" s="23" t="n">
        <v>0</v>
      </c>
      <c r="S72" s="23" t="n">
        <v>0</v>
      </c>
      <c r="T72" s="23" t="n">
        <v>0</v>
      </c>
      <c r="U72" s="23" t="n">
        <v>80000000</v>
      </c>
      <c r="V72" s="23" t="n">
        <v>0</v>
      </c>
      <c r="W72" s="23" t="n">
        <v>0</v>
      </c>
      <c r="X72" s="23" t="n">
        <v>1992139178</v>
      </c>
      <c r="Y72" s="23" t="n">
        <v>560117810</v>
      </c>
      <c r="Z72" s="23" t="n">
        <v>202734656.16865</v>
      </c>
      <c r="AA72" s="23" t="n">
        <v>4379298833</v>
      </c>
      <c r="AB72" s="22" t="n">
        <v>1146353.53769</v>
      </c>
      <c r="AC72" s="22" t="n">
        <v>9000000</v>
      </c>
      <c r="AD72" s="22" t="n">
        <v>141199.467275495</v>
      </c>
      <c r="AE72" s="22" t="n">
        <v>160000</v>
      </c>
      <c r="AF72" s="22" t="n">
        <v>16224100.4625</v>
      </c>
      <c r="AG72" s="23" t="n">
        <v>5582721359</v>
      </c>
      <c r="AH72" s="23" t="n">
        <v>2313985529.79</v>
      </c>
      <c r="AI72" s="23" t="n">
        <v>9900817272</v>
      </c>
      <c r="AJ72" s="23" t="n">
        <v>80300000</v>
      </c>
      <c r="AK72" s="25"/>
    </row>
    <row r="73" customFormat="false" ht="15.75" hidden="false" customHeight="true" outlineLevel="0" collapsed="false">
      <c r="A73" s="21" t="n">
        <v>46135</v>
      </c>
      <c r="B73" s="22" t="n">
        <v>1373.5</v>
      </c>
      <c r="C73" s="23" t="n">
        <v>0</v>
      </c>
      <c r="D73" s="23" t="n">
        <v>1414433742</v>
      </c>
      <c r="E73" s="23" t="n">
        <v>27566000</v>
      </c>
      <c r="F73" s="23" t="n">
        <v>17046000</v>
      </c>
      <c r="G73" s="23" t="n">
        <v>2895000</v>
      </c>
      <c r="H73" s="23" t="n">
        <v>5000000</v>
      </c>
      <c r="I73" s="23" t="n">
        <v>1206468829</v>
      </c>
      <c r="J73" s="23" t="n">
        <v>255556200</v>
      </c>
      <c r="K73" s="23" t="n">
        <v>0</v>
      </c>
      <c r="L73" s="23" t="n">
        <v>33242998</v>
      </c>
      <c r="M73" s="23" t="n">
        <v>0</v>
      </c>
      <c r="N73" s="23" t="n">
        <v>0</v>
      </c>
      <c r="O73" s="23" t="n">
        <v>0</v>
      </c>
      <c r="P73" s="23" t="n">
        <v>21014869</v>
      </c>
      <c r="Q73" s="23" t="n">
        <v>15400000</v>
      </c>
      <c r="R73" s="23" t="n">
        <v>0</v>
      </c>
      <c r="S73" s="23" t="n">
        <v>0</v>
      </c>
      <c r="T73" s="23" t="n">
        <v>22900000</v>
      </c>
      <c r="U73" s="23" t="n">
        <v>0</v>
      </c>
      <c r="V73" s="23" t="n">
        <v>0</v>
      </c>
      <c r="W73" s="23" t="n">
        <v>0</v>
      </c>
      <c r="X73" s="23" t="n">
        <v>1519394912</v>
      </c>
      <c r="Y73" s="23" t="n">
        <v>551752466</v>
      </c>
      <c r="Z73" s="23" t="n">
        <v>202734656.16865</v>
      </c>
      <c r="AA73" s="23" t="n">
        <v>4712030319</v>
      </c>
      <c r="AB73" s="22" t="n">
        <v>1146353.53769</v>
      </c>
      <c r="AC73" s="22" t="n">
        <v>9000000</v>
      </c>
      <c r="AD73" s="22" t="n">
        <v>141199.467275495</v>
      </c>
      <c r="AE73" s="22" t="n">
        <v>160000</v>
      </c>
      <c r="AF73" s="22" t="n">
        <v>16778257.9565</v>
      </c>
      <c r="AG73" s="23" t="n">
        <v>5582721359</v>
      </c>
      <c r="AH73" s="23" t="n">
        <v>1753393164.745</v>
      </c>
      <c r="AI73" s="23" t="n">
        <v>9875651796</v>
      </c>
      <c r="AJ73" s="23" t="n">
        <v>15309000</v>
      </c>
      <c r="AK73" s="25"/>
    </row>
    <row r="74" customFormat="false" ht="15.75" hidden="false" customHeight="true" outlineLevel="0" collapsed="false">
      <c r="A74" s="21" t="n">
        <v>46136</v>
      </c>
      <c r="B74" s="22" t="n">
        <v>1382</v>
      </c>
      <c r="C74" s="23" t="n">
        <v>0</v>
      </c>
      <c r="D74" s="23" t="n">
        <v>1597175171</v>
      </c>
      <c r="E74" s="23" t="n">
        <v>75000000</v>
      </c>
      <c r="F74" s="23" t="n">
        <v>43802000</v>
      </c>
      <c r="G74" s="23" t="n">
        <v>9793000</v>
      </c>
      <c r="H74" s="23" t="n">
        <v>5000000</v>
      </c>
      <c r="I74" s="23" t="n">
        <v>1077543013</v>
      </c>
      <c r="J74" s="23" t="n">
        <v>234611000</v>
      </c>
      <c r="K74" s="23" t="n">
        <v>0</v>
      </c>
      <c r="L74" s="23" t="n">
        <v>5400000</v>
      </c>
      <c r="M74" s="23" t="n">
        <v>0</v>
      </c>
      <c r="N74" s="23" t="n">
        <v>0</v>
      </c>
      <c r="O74" s="23" t="n">
        <v>2056026</v>
      </c>
      <c r="P74" s="23" t="n">
        <v>0</v>
      </c>
      <c r="Q74" s="23" t="n">
        <v>15684872</v>
      </c>
      <c r="R74" s="23" t="n">
        <v>0</v>
      </c>
      <c r="S74" s="23" t="n">
        <v>0</v>
      </c>
      <c r="T74" s="23" t="n">
        <v>0</v>
      </c>
      <c r="U74" s="23" t="n">
        <v>0</v>
      </c>
      <c r="V74" s="23" t="n">
        <v>0</v>
      </c>
      <c r="W74" s="23" t="n">
        <v>0</v>
      </c>
      <c r="X74" s="23" t="n">
        <v>1585276144</v>
      </c>
      <c r="Y74" s="23" t="n">
        <v>881125903</v>
      </c>
      <c r="Z74" s="23" t="n">
        <v>202734656.16865</v>
      </c>
      <c r="AA74" s="23" t="n">
        <v>4694734694</v>
      </c>
      <c r="AB74" s="22" t="n">
        <v>1197403.09169</v>
      </c>
      <c r="AC74" s="22" t="n">
        <v>9000000</v>
      </c>
      <c r="AD74" s="22" t="n">
        <v>141199.467275495</v>
      </c>
      <c r="AE74" s="22" t="n">
        <v>160000</v>
      </c>
      <c r="AF74" s="22" t="n">
        <v>17866546.0675</v>
      </c>
      <c r="AG74" s="23" t="n">
        <v>5582721359</v>
      </c>
      <c r="AH74" s="23" t="n">
        <v>1415845622.24</v>
      </c>
      <c r="AI74" s="23" t="n">
        <v>9936767952</v>
      </c>
      <c r="AJ74" s="23" t="n">
        <v>15316000</v>
      </c>
      <c r="AK74" s="25"/>
    </row>
    <row r="75" customFormat="false" ht="15.75" hidden="false" customHeight="true" outlineLevel="0" collapsed="false">
      <c r="A75" s="21" t="n">
        <v>46139</v>
      </c>
      <c r="B75" s="22" t="n">
        <v>1392</v>
      </c>
      <c r="C75" s="23" t="n">
        <v>0</v>
      </c>
      <c r="D75" s="23" t="n">
        <v>1175405558</v>
      </c>
      <c r="E75" s="23" t="n">
        <v>60784000</v>
      </c>
      <c r="F75" s="23" t="n">
        <v>52904000</v>
      </c>
      <c r="G75" s="23" t="n">
        <v>-850000</v>
      </c>
      <c r="H75" s="23" t="n">
        <v>5000000</v>
      </c>
      <c r="I75" s="23" t="n">
        <v>1508308609</v>
      </c>
      <c r="J75" s="23" t="n">
        <v>252767155</v>
      </c>
      <c r="K75" s="23" t="n">
        <v>0</v>
      </c>
      <c r="L75" s="23" t="n">
        <v>4233335</v>
      </c>
      <c r="M75" s="23" t="n">
        <v>0</v>
      </c>
      <c r="N75" s="23" t="n">
        <v>0</v>
      </c>
      <c r="O75" s="23" t="n">
        <v>13501112</v>
      </c>
      <c r="P75" s="23" t="n">
        <v>0</v>
      </c>
      <c r="Q75" s="23" t="n">
        <v>0</v>
      </c>
      <c r="R75" s="23" t="n">
        <v>0</v>
      </c>
      <c r="S75" s="23" t="n">
        <v>0</v>
      </c>
      <c r="T75" s="23" t="n">
        <v>0</v>
      </c>
      <c r="U75" s="23" t="n">
        <v>0</v>
      </c>
      <c r="V75" s="23" t="n">
        <v>0</v>
      </c>
      <c r="W75" s="23" t="n">
        <v>0</v>
      </c>
      <c r="X75" s="23" t="n">
        <v>1343741521</v>
      </c>
      <c r="Y75" s="23" t="n">
        <v>864331855</v>
      </c>
      <c r="Z75" s="23" t="n">
        <v>202734656.16865</v>
      </c>
      <c r="AA75" s="23" t="n">
        <v>5547195047</v>
      </c>
      <c r="AB75" s="22" t="n">
        <v>1197403.09169</v>
      </c>
      <c r="AC75" s="22" t="n">
        <v>9000000</v>
      </c>
      <c r="AD75" s="22" t="n">
        <v>141199.467275495</v>
      </c>
      <c r="AE75" s="22" t="n">
        <v>160000</v>
      </c>
      <c r="AF75" s="22" t="n">
        <v>19735952.9955</v>
      </c>
      <c r="AG75" s="23" t="n">
        <v>5582721359</v>
      </c>
      <c r="AH75" s="23" t="n">
        <v>1255812844.8</v>
      </c>
      <c r="AI75" s="23" t="n">
        <v>10846823136</v>
      </c>
      <c r="AJ75" s="23" t="n">
        <v>15337000</v>
      </c>
      <c r="AK75" s="25"/>
    </row>
    <row r="76" customFormat="false" ht="15.75" hidden="false" customHeight="true" outlineLevel="0" collapsed="false">
      <c r="A76" s="21" t="n">
        <v>46140</v>
      </c>
      <c r="B76" s="22" t="n">
        <v>1406</v>
      </c>
      <c r="C76" s="23" t="n">
        <v>0</v>
      </c>
      <c r="D76" s="23" t="n">
        <v>1246590848</v>
      </c>
      <c r="E76" s="23" t="n">
        <v>155954000</v>
      </c>
      <c r="F76" s="23" t="n">
        <v>168196000</v>
      </c>
      <c r="G76" s="23" t="n">
        <v>1889000</v>
      </c>
      <c r="H76" s="23" t="n">
        <v>2000000</v>
      </c>
      <c r="I76" s="23" t="n">
        <v>988265645</v>
      </c>
      <c r="J76" s="23" t="n">
        <v>253969477</v>
      </c>
      <c r="K76" s="23" t="n">
        <v>0</v>
      </c>
      <c r="L76" s="23" t="n">
        <v>2400000</v>
      </c>
      <c r="M76" s="23" t="n">
        <v>0</v>
      </c>
      <c r="N76" s="23" t="n">
        <v>0</v>
      </c>
      <c r="O76" s="23" t="n">
        <v>0</v>
      </c>
      <c r="P76" s="23" t="n">
        <v>0</v>
      </c>
      <c r="Q76" s="23" t="n">
        <v>29500000</v>
      </c>
      <c r="R76" s="23" t="n">
        <v>0</v>
      </c>
      <c r="S76" s="23" t="n">
        <v>0</v>
      </c>
      <c r="T76" s="23" t="n">
        <v>0</v>
      </c>
      <c r="U76" s="23" t="n">
        <v>0</v>
      </c>
      <c r="V76" s="23" t="n">
        <v>0</v>
      </c>
      <c r="W76" s="23" t="n">
        <v>0</v>
      </c>
      <c r="X76" s="23" t="n">
        <v>1095625975</v>
      </c>
      <c r="Y76" s="23" t="n">
        <v>847059423</v>
      </c>
      <c r="Z76" s="23" t="n">
        <v>202734656.16865</v>
      </c>
      <c r="AA76" s="23" t="n">
        <v>5696016937</v>
      </c>
      <c r="AB76" s="22" t="n">
        <v>1197403.09169</v>
      </c>
      <c r="AC76" s="22" t="n">
        <v>9000000</v>
      </c>
      <c r="AD76" s="22" t="n">
        <v>141199.467275495</v>
      </c>
      <c r="AE76" s="22" t="n">
        <v>160000</v>
      </c>
      <c r="AF76" s="22" t="n">
        <v>20113367.4685</v>
      </c>
      <c r="AG76" s="23" t="n">
        <v>5582721359</v>
      </c>
      <c r="AH76" s="23" t="n">
        <v>1000314869</v>
      </c>
      <c r="AI76" s="23" t="n">
        <v>10886710022</v>
      </c>
      <c r="AJ76" s="23" t="n">
        <v>15344000</v>
      </c>
      <c r="AK76" s="25"/>
    </row>
    <row r="77" customFormat="false" ht="15.75" hidden="false" customHeight="true" outlineLevel="0" collapsed="false">
      <c r="A77" s="21" t="n">
        <v>46141</v>
      </c>
      <c r="B77" s="22" t="n">
        <v>1400</v>
      </c>
      <c r="C77" s="23" t="n">
        <v>0</v>
      </c>
      <c r="D77" s="23" t="n">
        <v>957101202</v>
      </c>
      <c r="E77" s="23" t="n">
        <v>-105615000</v>
      </c>
      <c r="F77" s="23" t="n">
        <v>183500000</v>
      </c>
      <c r="G77" s="23" t="n">
        <v>1946000</v>
      </c>
      <c r="H77" s="23" t="n">
        <v>2000000</v>
      </c>
      <c r="I77" s="23" t="n">
        <v>955153045</v>
      </c>
      <c r="J77" s="23" t="n">
        <v>387161334</v>
      </c>
      <c r="K77" s="23" t="n">
        <v>0</v>
      </c>
      <c r="L77" s="23" t="n">
        <v>4086149</v>
      </c>
      <c r="M77" s="23" t="n">
        <v>0</v>
      </c>
      <c r="N77" s="23" t="n">
        <v>0</v>
      </c>
      <c r="O77" s="23" t="n">
        <v>7328761</v>
      </c>
      <c r="P77" s="23" t="n">
        <v>0</v>
      </c>
      <c r="Q77" s="23" t="n">
        <v>0</v>
      </c>
      <c r="R77" s="23" t="n">
        <v>0</v>
      </c>
      <c r="S77" s="23" t="n">
        <v>0</v>
      </c>
      <c r="T77" s="23" t="n">
        <v>0</v>
      </c>
      <c r="U77" s="23" t="n">
        <v>0</v>
      </c>
      <c r="V77" s="23" t="n">
        <v>0</v>
      </c>
      <c r="W77" s="23" t="n">
        <v>0</v>
      </c>
      <c r="X77" s="23" t="n">
        <v>870640000</v>
      </c>
      <c r="Y77" s="23" t="n">
        <v>1020219535</v>
      </c>
      <c r="Z77" s="23" t="n">
        <v>202734656.16865</v>
      </c>
      <c r="AA77" s="23" t="n">
        <v>6059237792</v>
      </c>
      <c r="AB77" s="22" t="n">
        <v>1197403.09169</v>
      </c>
      <c r="AC77" s="22" t="n">
        <v>9000000</v>
      </c>
      <c r="AD77" s="22" t="n">
        <v>141199.467275495</v>
      </c>
      <c r="AE77" s="22" t="n">
        <v>160000</v>
      </c>
      <c r="AF77" s="22" t="n">
        <v>20113367.4685</v>
      </c>
      <c r="AG77" s="23" t="n">
        <v>5582721359</v>
      </c>
      <c r="AH77" s="23" t="n">
        <v>1440833100</v>
      </c>
      <c r="AI77" s="23" t="n">
        <v>10870927200</v>
      </c>
      <c r="AJ77" s="23" t="n">
        <v>15351000</v>
      </c>
      <c r="AK77" s="25"/>
    </row>
    <row r="78" customFormat="false" ht="15.75" hidden="false" customHeight="true" outlineLevel="0" collapsed="false">
      <c r="A78" s="21" t="n">
        <v>46142</v>
      </c>
      <c r="B78" s="22" t="n">
        <v>1400</v>
      </c>
      <c r="C78" s="23" t="n">
        <v>0</v>
      </c>
      <c r="D78" s="23" t="n">
        <v>1116981335</v>
      </c>
      <c r="E78" s="23" t="n">
        <v>21500000</v>
      </c>
      <c r="F78" s="23" t="n">
        <v>324500000</v>
      </c>
      <c r="G78" s="23" t="n">
        <v>1946000</v>
      </c>
      <c r="H78" s="23" t="n">
        <v>2000000</v>
      </c>
      <c r="I78" s="23" t="n">
        <v>1013495558</v>
      </c>
      <c r="J78" s="23" t="n">
        <v>419782337</v>
      </c>
      <c r="K78" s="23" t="n">
        <v>0</v>
      </c>
      <c r="L78" s="23" t="n">
        <v>115404377</v>
      </c>
      <c r="M78" s="23" t="n">
        <v>0</v>
      </c>
      <c r="N78" s="23" t="n">
        <v>0</v>
      </c>
      <c r="O78" s="23" t="n">
        <v>0</v>
      </c>
      <c r="P78" s="23" t="n">
        <v>0</v>
      </c>
      <c r="Q78" s="23" t="n">
        <v>4527200</v>
      </c>
      <c r="R78" s="23" t="n">
        <v>0</v>
      </c>
      <c r="S78" s="23" t="n">
        <v>0</v>
      </c>
      <c r="T78" s="23" t="n">
        <v>0</v>
      </c>
      <c r="U78" s="23" t="n">
        <v>0</v>
      </c>
      <c r="V78" s="23" t="n">
        <v>0</v>
      </c>
      <c r="W78" s="23" t="n">
        <v>0</v>
      </c>
      <c r="X78" s="23" t="n">
        <v>949484713</v>
      </c>
      <c r="Y78" s="23" t="n">
        <v>1574004295</v>
      </c>
      <c r="Z78" s="23" t="n">
        <v>202734656.16865</v>
      </c>
      <c r="AA78" s="23" t="n">
        <v>6734890193</v>
      </c>
      <c r="AB78" s="22" t="n">
        <v>1197403.09169</v>
      </c>
      <c r="AC78" s="22" t="n">
        <v>9000000</v>
      </c>
      <c r="AD78" s="22" t="n">
        <v>141199.467275495</v>
      </c>
      <c r="AE78" s="22" t="n">
        <v>160000</v>
      </c>
      <c r="AF78" s="22" t="n">
        <v>10799849.4785</v>
      </c>
      <c r="AG78" s="23" t="n">
        <v>5582721359</v>
      </c>
      <c r="AH78" s="23" t="n">
        <v>2504740980</v>
      </c>
      <c r="AI78" s="23" t="n">
        <v>10664858400</v>
      </c>
      <c r="AJ78" s="23" t="n">
        <v>15375000</v>
      </c>
      <c r="AK78" s="25"/>
    </row>
    <row r="79" customFormat="false" ht="15.75" hidden="false" customHeight="true" outlineLevel="0" collapsed="false">
      <c r="A79" s="21" t="n">
        <v>46146</v>
      </c>
      <c r="B79" s="22" t="n">
        <v>1375</v>
      </c>
      <c r="C79" s="23" t="n">
        <v>0</v>
      </c>
      <c r="D79" s="23" t="n">
        <v>1131935735</v>
      </c>
      <c r="E79" s="23" t="n">
        <v>166033000</v>
      </c>
      <c r="F79" s="23" t="n">
        <v>28500000</v>
      </c>
      <c r="G79" s="23" t="n">
        <v>8048000</v>
      </c>
      <c r="H79" s="23" t="n">
        <v>2000000</v>
      </c>
      <c r="I79" s="23" t="n">
        <v>903817018</v>
      </c>
      <c r="J79" s="23" t="n">
        <v>229734851</v>
      </c>
      <c r="K79" s="23" t="n">
        <v>0</v>
      </c>
      <c r="L79" s="23" t="n">
        <v>150337439</v>
      </c>
      <c r="M79" s="23" t="n">
        <v>0</v>
      </c>
      <c r="N79" s="23" t="n">
        <v>0</v>
      </c>
      <c r="O79" s="23" t="n">
        <v>0</v>
      </c>
      <c r="P79" s="23" t="n">
        <v>0</v>
      </c>
      <c r="Q79" s="23" t="n">
        <v>219029189</v>
      </c>
      <c r="R79" s="23" t="n">
        <v>0</v>
      </c>
      <c r="S79" s="23" t="n">
        <v>0</v>
      </c>
      <c r="T79" s="23" t="n">
        <v>0</v>
      </c>
      <c r="U79" s="23" t="n">
        <v>0</v>
      </c>
      <c r="V79" s="23" t="n">
        <v>0</v>
      </c>
      <c r="W79" s="23" t="n">
        <v>0</v>
      </c>
      <c r="X79" s="23" t="n">
        <v>761417437</v>
      </c>
      <c r="Y79" s="23" t="n">
        <v>1204637667</v>
      </c>
      <c r="Z79" s="23" t="n">
        <v>202734656.16865</v>
      </c>
      <c r="AA79" s="23" t="n">
        <v>6714755409</v>
      </c>
      <c r="AB79" s="22" t="n">
        <v>1197403.09169</v>
      </c>
      <c r="AC79" s="22" t="n">
        <v>9000000</v>
      </c>
      <c r="AD79" s="22" t="n">
        <v>141199.467275495</v>
      </c>
      <c r="AE79" s="22" t="n">
        <v>280000</v>
      </c>
      <c r="AF79" s="22" t="n">
        <v>11061867.4785</v>
      </c>
      <c r="AG79" s="23" t="n">
        <v>5582721359</v>
      </c>
      <c r="AH79" s="23" t="n">
        <v>2267595962.5</v>
      </c>
      <c r="AI79" s="23" t="n">
        <v>10000689875</v>
      </c>
      <c r="AJ79" s="23" t="n">
        <v>15387507</v>
      </c>
      <c r="AK79" s="25"/>
    </row>
    <row r="80" customFormat="false" ht="15.75" hidden="false" customHeight="true" outlineLevel="0" collapsed="false">
      <c r="A80" s="21" t="n">
        <v>46147</v>
      </c>
      <c r="B80" s="22" t="n">
        <v>1396.5</v>
      </c>
      <c r="C80" s="23" t="n">
        <v>0</v>
      </c>
      <c r="D80" s="23" t="n">
        <v>915176645</v>
      </c>
      <c r="E80" s="23" t="n">
        <v>148789000</v>
      </c>
      <c r="F80" s="23" t="n">
        <v>56350000</v>
      </c>
      <c r="G80" s="23" t="n">
        <v>7900000</v>
      </c>
      <c r="H80" s="23" t="n">
        <v>2000000</v>
      </c>
      <c r="I80" s="23" t="n">
        <v>1234633053</v>
      </c>
      <c r="J80" s="23" t="n">
        <v>78748672</v>
      </c>
      <c r="K80" s="23" t="n">
        <v>0</v>
      </c>
      <c r="L80" s="23" t="n">
        <v>0</v>
      </c>
      <c r="M80" s="23" t="n">
        <v>0</v>
      </c>
      <c r="N80" s="23" t="n">
        <v>0</v>
      </c>
      <c r="O80" s="23" t="n">
        <v>0</v>
      </c>
      <c r="P80" s="23" t="n">
        <v>22222231</v>
      </c>
      <c r="Q80" s="23" t="n">
        <v>371180743</v>
      </c>
      <c r="R80" s="23" t="n">
        <v>0</v>
      </c>
      <c r="S80" s="23" t="n">
        <v>0</v>
      </c>
      <c r="T80" s="23" t="n">
        <v>0</v>
      </c>
      <c r="U80" s="23" t="n">
        <v>100000000</v>
      </c>
      <c r="V80" s="23" t="n">
        <v>0</v>
      </c>
      <c r="W80" s="23" t="n">
        <v>0</v>
      </c>
      <c r="X80" s="23" t="n">
        <v>841723050</v>
      </c>
      <c r="Y80" s="23" t="n">
        <v>3021797600</v>
      </c>
      <c r="Z80" s="23" t="n">
        <v>202734656.16865</v>
      </c>
      <c r="AA80" s="23" t="n">
        <v>6871897895</v>
      </c>
      <c r="AB80" s="22" t="n">
        <v>1196248.61769</v>
      </c>
      <c r="AC80" s="22" t="n">
        <v>9000000</v>
      </c>
      <c r="AD80" s="22" t="n">
        <v>141199.467275495</v>
      </c>
      <c r="AE80" s="22" t="n">
        <v>280000</v>
      </c>
      <c r="AF80" s="22" t="n">
        <v>11210473.5785</v>
      </c>
      <c r="AG80" s="23" t="n">
        <v>5582721359</v>
      </c>
      <c r="AH80" s="23" t="n">
        <v>3108364389.06</v>
      </c>
      <c r="AI80" s="23" t="n">
        <v>9693476572.5</v>
      </c>
      <c r="AJ80" s="23" t="n">
        <v>15392000</v>
      </c>
      <c r="AK80" s="25"/>
    </row>
    <row r="81" customFormat="false" ht="15.75" hidden="false" customHeight="true" outlineLevel="0" collapsed="false">
      <c r="A81" s="21" t="n">
        <v>46148</v>
      </c>
      <c r="B81" s="22" t="n">
        <v>1394</v>
      </c>
      <c r="C81" s="23" t="n">
        <v>0</v>
      </c>
      <c r="D81" s="23" t="n">
        <v>1004100985</v>
      </c>
      <c r="E81" s="23" t="n">
        <v>169968000</v>
      </c>
      <c r="F81" s="23" t="n">
        <v>154116000</v>
      </c>
      <c r="G81" s="23" t="n">
        <v>5631000</v>
      </c>
      <c r="H81" s="23" t="n">
        <v>2000000</v>
      </c>
      <c r="I81" s="23" t="n">
        <v>1157142384</v>
      </c>
      <c r="J81" s="23" t="n">
        <v>164021678</v>
      </c>
      <c r="K81" s="23" t="n">
        <v>0</v>
      </c>
      <c r="L81" s="23" t="n">
        <v>8902350</v>
      </c>
      <c r="M81" s="23" t="n">
        <v>0</v>
      </c>
      <c r="N81" s="23" t="n">
        <v>0</v>
      </c>
      <c r="O81" s="23" t="n">
        <v>0</v>
      </c>
      <c r="P81" s="23" t="n">
        <v>15369453</v>
      </c>
      <c r="Q81" s="23" t="n">
        <v>196498507</v>
      </c>
      <c r="R81" s="23" t="n">
        <v>0</v>
      </c>
      <c r="S81" s="23" t="n">
        <v>0</v>
      </c>
      <c r="T81" s="23" t="n">
        <v>0</v>
      </c>
      <c r="U81" s="23" t="n">
        <v>180000000</v>
      </c>
      <c r="V81" s="23" t="n">
        <v>0</v>
      </c>
      <c r="W81" s="23" t="n">
        <v>0</v>
      </c>
      <c r="X81" s="23" t="n">
        <v>1105183352</v>
      </c>
      <c r="Y81" s="23" t="n">
        <v>3123849992</v>
      </c>
      <c r="Z81" s="23" t="n">
        <v>202734656.16865</v>
      </c>
      <c r="AA81" s="23" t="n">
        <v>7025155800</v>
      </c>
      <c r="AB81" s="22" t="n">
        <v>1196248.61769</v>
      </c>
      <c r="AC81" s="22" t="n">
        <v>9000000</v>
      </c>
      <c r="AD81" s="22" t="n">
        <v>141199.467275495</v>
      </c>
      <c r="AE81" s="22" t="n">
        <v>280000</v>
      </c>
      <c r="AF81" s="22" t="n">
        <v>12797567.936</v>
      </c>
      <c r="AG81" s="23" t="n">
        <v>5582721359</v>
      </c>
      <c r="AH81" s="23" t="n">
        <v>2680599046.96</v>
      </c>
      <c r="AI81" s="23" t="n">
        <v>8928795828</v>
      </c>
      <c r="AJ81" s="23" t="n">
        <v>67392000</v>
      </c>
      <c r="AK81" s="25"/>
    </row>
    <row r="82" customFormat="false" ht="15.75" hidden="false" customHeight="true" outlineLevel="0" collapsed="false">
      <c r="A82" s="21" t="n">
        <v>46149</v>
      </c>
      <c r="B82" s="22" t="n">
        <v>1400</v>
      </c>
      <c r="C82" s="23" t="n">
        <v>0</v>
      </c>
      <c r="D82" s="23" t="n">
        <v>1004100985</v>
      </c>
      <c r="E82" s="23" t="n">
        <v>56178000</v>
      </c>
      <c r="F82" s="23" t="n">
        <v>13243000</v>
      </c>
      <c r="G82" s="23" t="n">
        <v>4270000</v>
      </c>
      <c r="H82" s="23" t="n">
        <v>2000000</v>
      </c>
      <c r="I82" s="23" t="n">
        <v>1586995953</v>
      </c>
      <c r="J82" s="23" t="n">
        <v>0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0</v>
      </c>
      <c r="P82" s="23" t="n">
        <v>0</v>
      </c>
      <c r="Q82" s="23" t="n">
        <v>0</v>
      </c>
      <c r="R82" s="23" t="n">
        <v>0</v>
      </c>
      <c r="S82" s="23" t="n">
        <v>0</v>
      </c>
      <c r="T82" s="23" t="n">
        <v>0</v>
      </c>
      <c r="U82" s="23" t="n">
        <v>0</v>
      </c>
      <c r="V82" s="23" t="n">
        <v>0</v>
      </c>
      <c r="W82" s="23" t="n">
        <v>0</v>
      </c>
      <c r="X82" s="23" t="n">
        <v>1237302832.29</v>
      </c>
      <c r="Y82" s="23" t="n">
        <v>2896014463</v>
      </c>
      <c r="Z82" s="23" t="n">
        <v>202734656.16865</v>
      </c>
      <c r="AA82" s="23" t="n">
        <v>7174765725</v>
      </c>
      <c r="AB82" s="22" t="n">
        <v>1196248.61769</v>
      </c>
      <c r="AC82" s="22" t="n">
        <v>9000000</v>
      </c>
      <c r="AD82" s="22" t="n">
        <v>141199.467275495</v>
      </c>
      <c r="AE82" s="22" t="n">
        <v>280000</v>
      </c>
      <c r="AF82" s="22" t="n">
        <v>12657303.614</v>
      </c>
      <c r="AG82" s="23" t="n">
        <v>5582721359</v>
      </c>
      <c r="AH82" s="23" t="n">
        <v>2731278746</v>
      </c>
      <c r="AI82" s="23" t="n">
        <v>0</v>
      </c>
      <c r="AJ82" s="23" t="n">
        <v>102471144</v>
      </c>
      <c r="AK82" s="25"/>
    </row>
    <row r="83" customFormat="false" ht="15.75" hidden="false" customHeight="true" outlineLevel="0" collapsed="false">
      <c r="A83" s="21"/>
      <c r="B83" s="26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7"/>
      <c r="AB83" s="27"/>
      <c r="AC83" s="27"/>
      <c r="AD83" s="27"/>
      <c r="AE83" s="27"/>
      <c r="AF83" s="24"/>
      <c r="AG83" s="24"/>
      <c r="AH83" s="24"/>
      <c r="AI83" s="24"/>
      <c r="AJ83" s="24"/>
      <c r="AK83" s="25"/>
    </row>
    <row r="84" customFormat="false" ht="15.75" hidden="false" customHeight="true" outlineLevel="0" collapsed="false">
      <c r="A84" s="21"/>
      <c r="B84" s="26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7"/>
      <c r="AB84" s="27"/>
      <c r="AC84" s="27"/>
      <c r="AD84" s="27"/>
      <c r="AE84" s="27"/>
      <c r="AF84" s="24"/>
      <c r="AG84" s="24"/>
      <c r="AH84" s="24"/>
      <c r="AI84" s="24"/>
      <c r="AJ84" s="24"/>
      <c r="AK84" s="25"/>
    </row>
    <row r="85" customFormat="false" ht="15.75" hidden="false" customHeight="true" outlineLevel="0" collapsed="false">
      <c r="A85" s="21"/>
      <c r="B85" s="26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7"/>
      <c r="AB85" s="27"/>
      <c r="AC85" s="27"/>
      <c r="AD85" s="27"/>
      <c r="AE85" s="27"/>
      <c r="AF85" s="24"/>
      <c r="AG85" s="24"/>
      <c r="AH85" s="24"/>
      <c r="AI85" s="24"/>
      <c r="AJ85" s="24"/>
      <c r="AK85" s="25"/>
    </row>
    <row r="86" customFormat="false" ht="15.75" hidden="false" customHeight="true" outlineLevel="0" collapsed="false">
      <c r="A86" s="21"/>
      <c r="B86" s="26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7"/>
      <c r="AB86" s="27"/>
      <c r="AC86" s="27"/>
      <c r="AD86" s="27"/>
      <c r="AE86" s="27"/>
      <c r="AF86" s="24"/>
      <c r="AG86" s="24"/>
      <c r="AH86" s="24"/>
      <c r="AI86" s="24"/>
      <c r="AJ86" s="24"/>
      <c r="AK86" s="25"/>
    </row>
    <row r="87" customFormat="false" ht="15.75" hidden="false" customHeight="true" outlineLevel="0" collapsed="false">
      <c r="A87" s="21"/>
      <c r="B87" s="26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7"/>
      <c r="AB87" s="27"/>
      <c r="AC87" s="27"/>
      <c r="AD87" s="27"/>
      <c r="AE87" s="27"/>
      <c r="AF87" s="24"/>
      <c r="AG87" s="24"/>
      <c r="AH87" s="24"/>
      <c r="AI87" s="24"/>
      <c r="AJ87" s="24"/>
      <c r="AK87" s="25"/>
    </row>
    <row r="88" customFormat="false" ht="15.75" hidden="false" customHeight="true" outlineLevel="0" collapsed="false">
      <c r="A88" s="21"/>
      <c r="B88" s="26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7"/>
      <c r="AB88" s="27"/>
      <c r="AC88" s="27"/>
      <c r="AD88" s="27"/>
      <c r="AE88" s="27"/>
      <c r="AF88" s="24"/>
      <c r="AG88" s="24"/>
      <c r="AH88" s="24"/>
      <c r="AI88" s="24"/>
      <c r="AJ88" s="24"/>
      <c r="AK88" s="25"/>
    </row>
    <row r="89" customFormat="false" ht="15.75" hidden="false" customHeight="true" outlineLevel="0" collapsed="false">
      <c r="A89" s="21"/>
      <c r="B89" s="26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7"/>
      <c r="AB89" s="27"/>
      <c r="AC89" s="27"/>
      <c r="AD89" s="27"/>
      <c r="AE89" s="27"/>
      <c r="AF89" s="24"/>
      <c r="AG89" s="24"/>
      <c r="AH89" s="24"/>
      <c r="AI89" s="24"/>
      <c r="AJ89" s="24"/>
      <c r="AK89" s="25"/>
    </row>
    <row r="90" customFormat="false" ht="15.75" hidden="false" customHeight="true" outlineLevel="0" collapsed="false">
      <c r="A90" s="21"/>
      <c r="B90" s="26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7"/>
      <c r="AB90" s="27"/>
      <c r="AC90" s="27"/>
      <c r="AD90" s="27"/>
      <c r="AE90" s="27"/>
      <c r="AF90" s="24"/>
      <c r="AG90" s="24"/>
      <c r="AH90" s="24"/>
      <c r="AI90" s="24"/>
      <c r="AJ90" s="24"/>
      <c r="AK90" s="25"/>
    </row>
    <row r="91" customFormat="false" ht="15.75" hidden="false" customHeight="true" outlineLevel="0" collapsed="false">
      <c r="A91" s="21"/>
      <c r="B91" s="26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7"/>
      <c r="AB91" s="27"/>
      <c r="AC91" s="27"/>
      <c r="AD91" s="27"/>
      <c r="AE91" s="27"/>
      <c r="AF91" s="24"/>
      <c r="AG91" s="24"/>
      <c r="AH91" s="24"/>
      <c r="AI91" s="24"/>
      <c r="AJ91" s="24"/>
      <c r="AK91" s="25"/>
    </row>
    <row r="92" customFormat="false" ht="15.75" hidden="false" customHeight="true" outlineLevel="0" collapsed="false">
      <c r="A92" s="21"/>
      <c r="B92" s="26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7"/>
      <c r="AB92" s="27"/>
      <c r="AC92" s="27"/>
      <c r="AD92" s="27"/>
      <c r="AE92" s="27"/>
      <c r="AF92" s="24"/>
      <c r="AG92" s="24"/>
      <c r="AH92" s="24"/>
      <c r="AI92" s="24"/>
      <c r="AJ92" s="24"/>
      <c r="AK92" s="25"/>
    </row>
    <row r="93" customFormat="false" ht="15.75" hidden="false" customHeight="true" outlineLevel="0" collapsed="false">
      <c r="A93" s="21"/>
      <c r="B93" s="26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7"/>
      <c r="AB93" s="27"/>
      <c r="AC93" s="27"/>
      <c r="AD93" s="27"/>
      <c r="AE93" s="27"/>
      <c r="AF93" s="24"/>
      <c r="AG93" s="24"/>
      <c r="AH93" s="24"/>
      <c r="AI93" s="24"/>
      <c r="AJ93" s="24"/>
      <c r="AK93" s="25"/>
    </row>
    <row r="94" customFormat="false" ht="15.75" hidden="false" customHeight="true" outlineLevel="0" collapsed="false">
      <c r="A94" s="21"/>
      <c r="B94" s="26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7"/>
      <c r="AB94" s="27"/>
      <c r="AC94" s="27"/>
      <c r="AD94" s="27"/>
      <c r="AE94" s="27"/>
      <c r="AF94" s="24"/>
      <c r="AG94" s="24"/>
      <c r="AH94" s="24"/>
      <c r="AI94" s="24"/>
      <c r="AJ94" s="24"/>
      <c r="AK94" s="25"/>
    </row>
    <row r="95" customFormat="false" ht="15.75" hidden="false" customHeight="true" outlineLevel="0" collapsed="false">
      <c r="A95" s="21"/>
      <c r="B95" s="26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7"/>
      <c r="AB95" s="27"/>
      <c r="AC95" s="27"/>
      <c r="AD95" s="27"/>
      <c r="AE95" s="27"/>
      <c r="AF95" s="24"/>
      <c r="AG95" s="24"/>
      <c r="AH95" s="24"/>
      <c r="AI95" s="24"/>
      <c r="AJ95" s="24"/>
      <c r="AK95" s="25"/>
    </row>
    <row r="96" customFormat="false" ht="15.75" hidden="false" customHeight="true" outlineLevel="0" collapsed="false">
      <c r="A96" s="21"/>
      <c r="B96" s="26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7"/>
      <c r="AB96" s="27"/>
      <c r="AC96" s="27"/>
      <c r="AD96" s="27"/>
      <c r="AE96" s="27"/>
      <c r="AF96" s="24"/>
      <c r="AG96" s="24"/>
      <c r="AH96" s="24"/>
      <c r="AI96" s="24"/>
      <c r="AJ96" s="24"/>
      <c r="AK96" s="25"/>
    </row>
    <row r="97" customFormat="false" ht="15.75" hidden="false" customHeight="true" outlineLevel="0" collapsed="false">
      <c r="A97" s="21"/>
      <c r="B97" s="26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7"/>
      <c r="AB97" s="27"/>
      <c r="AC97" s="27"/>
      <c r="AD97" s="27"/>
      <c r="AE97" s="27"/>
      <c r="AF97" s="24"/>
      <c r="AG97" s="24"/>
      <c r="AH97" s="24"/>
      <c r="AI97" s="24"/>
      <c r="AJ97" s="24"/>
      <c r="AK97" s="25"/>
    </row>
    <row r="98" customFormat="false" ht="15.75" hidden="false" customHeight="true" outlineLevel="0" collapsed="false">
      <c r="A98" s="21"/>
      <c r="B98" s="26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7"/>
      <c r="AB98" s="27"/>
      <c r="AC98" s="27"/>
      <c r="AD98" s="27"/>
      <c r="AE98" s="27"/>
      <c r="AF98" s="24"/>
      <c r="AG98" s="24"/>
      <c r="AH98" s="24"/>
      <c r="AI98" s="24"/>
      <c r="AJ98" s="24"/>
      <c r="AK98" s="25"/>
    </row>
    <row r="99" customFormat="false" ht="15.75" hidden="false" customHeight="true" outlineLevel="0" collapsed="false">
      <c r="A99" s="21"/>
      <c r="B99" s="26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7"/>
      <c r="AB99" s="27"/>
      <c r="AC99" s="27"/>
      <c r="AD99" s="27"/>
      <c r="AE99" s="27"/>
      <c r="AF99" s="24"/>
      <c r="AG99" s="24"/>
      <c r="AH99" s="24"/>
      <c r="AI99" s="24"/>
      <c r="AJ99" s="24"/>
      <c r="AK99" s="25"/>
    </row>
    <row r="100" customFormat="false" ht="15.75" hidden="false" customHeight="true" outlineLevel="0" collapsed="false">
      <c r="A100" s="21"/>
      <c r="B100" s="26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7"/>
      <c r="AB100" s="27"/>
      <c r="AC100" s="27"/>
      <c r="AD100" s="27"/>
      <c r="AE100" s="27"/>
      <c r="AF100" s="24"/>
      <c r="AG100" s="24"/>
      <c r="AH100" s="24"/>
      <c r="AI100" s="24"/>
      <c r="AJ100" s="24"/>
      <c r="AK100" s="25"/>
    </row>
    <row r="101" customFormat="false" ht="15.75" hidden="false" customHeight="true" outlineLevel="0" collapsed="false">
      <c r="A101" s="21"/>
      <c r="B101" s="26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7"/>
      <c r="AB101" s="27"/>
      <c r="AC101" s="27"/>
      <c r="AD101" s="27"/>
      <c r="AE101" s="27"/>
      <c r="AF101" s="24"/>
      <c r="AG101" s="24"/>
      <c r="AH101" s="24"/>
      <c r="AI101" s="24"/>
      <c r="AJ101" s="24"/>
      <c r="AK101" s="25"/>
    </row>
    <row r="102" customFormat="false" ht="15.75" hidden="false" customHeight="true" outlineLevel="0" collapsed="false">
      <c r="A102" s="21"/>
      <c r="B102" s="26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7"/>
      <c r="AB102" s="27"/>
      <c r="AC102" s="27"/>
      <c r="AD102" s="27"/>
      <c r="AE102" s="27"/>
      <c r="AF102" s="24"/>
      <c r="AG102" s="24"/>
      <c r="AH102" s="24"/>
      <c r="AI102" s="24"/>
      <c r="AJ102" s="24"/>
      <c r="AK102" s="25"/>
    </row>
    <row r="103" customFormat="false" ht="15.75" hidden="false" customHeight="true" outlineLevel="0" collapsed="false">
      <c r="A103" s="21"/>
      <c r="B103" s="26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7"/>
      <c r="AB103" s="27"/>
      <c r="AC103" s="27"/>
      <c r="AD103" s="27"/>
      <c r="AE103" s="27"/>
      <c r="AF103" s="24"/>
      <c r="AG103" s="24"/>
      <c r="AH103" s="24"/>
      <c r="AI103" s="24"/>
      <c r="AJ103" s="24"/>
      <c r="AK103" s="25"/>
    </row>
    <row r="104" customFormat="false" ht="15.75" hidden="false" customHeight="true" outlineLevel="0" collapsed="false">
      <c r="A104" s="21"/>
      <c r="B104" s="26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7"/>
      <c r="AB104" s="27"/>
      <c r="AC104" s="27"/>
      <c r="AD104" s="27"/>
      <c r="AE104" s="27"/>
      <c r="AF104" s="24"/>
      <c r="AG104" s="24"/>
      <c r="AH104" s="24"/>
      <c r="AI104" s="24"/>
      <c r="AJ104" s="24"/>
      <c r="AK104" s="25"/>
    </row>
    <row r="105" customFormat="false" ht="15.75" hidden="false" customHeight="true" outlineLevel="0" collapsed="false">
      <c r="A105" s="21"/>
      <c r="B105" s="26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7"/>
      <c r="AB105" s="27"/>
      <c r="AC105" s="27"/>
      <c r="AD105" s="27"/>
      <c r="AE105" s="27"/>
      <c r="AF105" s="24"/>
      <c r="AG105" s="24"/>
      <c r="AH105" s="24"/>
      <c r="AI105" s="24"/>
      <c r="AJ105" s="24"/>
      <c r="AK105" s="25"/>
    </row>
    <row r="106" customFormat="false" ht="15.75" hidden="false" customHeight="true" outlineLevel="0" collapsed="false">
      <c r="A106" s="21"/>
      <c r="B106" s="26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7"/>
      <c r="AB106" s="27"/>
      <c r="AC106" s="27"/>
      <c r="AD106" s="27"/>
      <c r="AE106" s="27"/>
      <c r="AF106" s="24"/>
      <c r="AG106" s="24"/>
      <c r="AH106" s="24"/>
      <c r="AI106" s="24"/>
      <c r="AJ106" s="24"/>
      <c r="AK106" s="25"/>
    </row>
    <row r="107" customFormat="false" ht="15.75" hidden="false" customHeight="true" outlineLevel="0" collapsed="false">
      <c r="A107" s="21"/>
      <c r="B107" s="26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7"/>
      <c r="AB107" s="27"/>
      <c r="AC107" s="27"/>
      <c r="AD107" s="27"/>
      <c r="AE107" s="27"/>
      <c r="AF107" s="24"/>
      <c r="AG107" s="24"/>
      <c r="AH107" s="24"/>
      <c r="AI107" s="24"/>
      <c r="AJ107" s="24"/>
      <c r="AK107" s="25"/>
    </row>
    <row r="108" customFormat="false" ht="15.75" hidden="false" customHeight="true" outlineLevel="0" collapsed="false">
      <c r="A108" s="21"/>
      <c r="B108" s="26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7"/>
      <c r="AB108" s="27"/>
      <c r="AC108" s="27"/>
      <c r="AD108" s="27"/>
      <c r="AE108" s="27"/>
      <c r="AF108" s="24"/>
      <c r="AG108" s="24"/>
      <c r="AH108" s="24"/>
      <c r="AI108" s="24"/>
      <c r="AJ108" s="24"/>
      <c r="AK108" s="25"/>
    </row>
    <row r="109" customFormat="false" ht="15.75" hidden="false" customHeight="true" outlineLevel="0" collapsed="false">
      <c r="A109" s="21"/>
      <c r="B109" s="26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7"/>
      <c r="AB109" s="27"/>
      <c r="AC109" s="27"/>
      <c r="AD109" s="27"/>
      <c r="AE109" s="27"/>
      <c r="AF109" s="24"/>
      <c r="AG109" s="24"/>
      <c r="AH109" s="24"/>
      <c r="AI109" s="24"/>
      <c r="AJ109" s="24"/>
      <c r="AK109" s="25"/>
    </row>
    <row r="110" customFormat="false" ht="15.75" hidden="false" customHeight="true" outlineLevel="0" collapsed="false">
      <c r="A110" s="21"/>
      <c r="B110" s="26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7"/>
      <c r="AB110" s="27"/>
      <c r="AC110" s="27"/>
      <c r="AD110" s="27"/>
      <c r="AE110" s="27"/>
      <c r="AF110" s="24"/>
      <c r="AG110" s="24"/>
      <c r="AH110" s="24"/>
      <c r="AI110" s="24"/>
      <c r="AJ110" s="24"/>
      <c r="AK110" s="25"/>
    </row>
    <row r="111" customFormat="false" ht="15.75" hidden="false" customHeight="true" outlineLevel="0" collapsed="false">
      <c r="A111" s="21"/>
      <c r="B111" s="26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7"/>
      <c r="AB111" s="27"/>
      <c r="AC111" s="27"/>
      <c r="AD111" s="27"/>
      <c r="AE111" s="27"/>
      <c r="AF111" s="24"/>
      <c r="AG111" s="24"/>
      <c r="AH111" s="24"/>
      <c r="AI111" s="24"/>
      <c r="AJ111" s="24"/>
      <c r="AK111" s="25"/>
    </row>
    <row r="112" customFormat="false" ht="15.75" hidden="false" customHeight="true" outlineLevel="0" collapsed="false">
      <c r="A112" s="21"/>
      <c r="B112" s="26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7"/>
      <c r="AB112" s="27"/>
      <c r="AC112" s="27"/>
      <c r="AD112" s="27"/>
      <c r="AE112" s="27"/>
      <c r="AF112" s="24"/>
      <c r="AG112" s="24"/>
      <c r="AH112" s="24"/>
      <c r="AI112" s="24"/>
      <c r="AJ112" s="24"/>
      <c r="AK112" s="25"/>
    </row>
    <row r="113" customFormat="false" ht="15.75" hidden="false" customHeight="true" outlineLevel="0" collapsed="false">
      <c r="A113" s="21"/>
      <c r="B113" s="26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7"/>
      <c r="AB113" s="27"/>
      <c r="AC113" s="27"/>
      <c r="AD113" s="27"/>
      <c r="AE113" s="27"/>
      <c r="AF113" s="24"/>
      <c r="AG113" s="24"/>
      <c r="AH113" s="24"/>
      <c r="AI113" s="24"/>
      <c r="AJ113" s="24"/>
      <c r="AK113" s="25"/>
    </row>
    <row r="114" customFormat="false" ht="15.75" hidden="false" customHeight="true" outlineLevel="0" collapsed="false">
      <c r="A114" s="21"/>
      <c r="B114" s="26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7"/>
      <c r="AB114" s="27"/>
      <c r="AC114" s="27"/>
      <c r="AD114" s="27"/>
      <c r="AE114" s="27"/>
      <c r="AF114" s="24"/>
      <c r="AG114" s="24"/>
      <c r="AH114" s="24"/>
      <c r="AI114" s="24"/>
      <c r="AJ114" s="24"/>
      <c r="AK114" s="25"/>
    </row>
    <row r="115" customFormat="false" ht="15.75" hidden="false" customHeight="true" outlineLevel="0" collapsed="false">
      <c r="A115" s="21"/>
      <c r="B115" s="26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7"/>
      <c r="AB115" s="27"/>
      <c r="AC115" s="27"/>
      <c r="AD115" s="27"/>
      <c r="AE115" s="27"/>
      <c r="AF115" s="24"/>
      <c r="AG115" s="24"/>
      <c r="AH115" s="24"/>
      <c r="AI115" s="24"/>
      <c r="AJ115" s="24"/>
      <c r="AK115" s="25"/>
    </row>
    <row r="116" customFormat="false" ht="15.75" hidden="false" customHeight="true" outlineLevel="0" collapsed="false">
      <c r="A116" s="21"/>
      <c r="B116" s="26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7"/>
      <c r="AB116" s="27"/>
      <c r="AC116" s="27"/>
      <c r="AD116" s="27"/>
      <c r="AE116" s="27"/>
      <c r="AF116" s="24"/>
      <c r="AG116" s="24"/>
      <c r="AH116" s="24"/>
      <c r="AI116" s="24"/>
      <c r="AJ116" s="24"/>
      <c r="AK116" s="25"/>
    </row>
    <row r="117" customFormat="false" ht="15.75" hidden="false" customHeight="true" outlineLevel="0" collapsed="false">
      <c r="A117" s="21"/>
      <c r="B117" s="26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7"/>
      <c r="AB117" s="27"/>
      <c r="AC117" s="27"/>
      <c r="AD117" s="27"/>
      <c r="AE117" s="27"/>
      <c r="AF117" s="24"/>
      <c r="AG117" s="24"/>
      <c r="AH117" s="24"/>
      <c r="AI117" s="24"/>
      <c r="AJ117" s="24"/>
      <c r="AK117" s="25"/>
    </row>
    <row r="118" customFormat="false" ht="15.75" hidden="false" customHeight="true" outlineLevel="0" collapsed="false">
      <c r="A118" s="21"/>
      <c r="B118" s="26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7"/>
      <c r="AB118" s="27"/>
      <c r="AC118" s="27"/>
      <c r="AD118" s="27"/>
      <c r="AE118" s="27"/>
      <c r="AF118" s="24"/>
      <c r="AG118" s="24"/>
      <c r="AH118" s="24"/>
      <c r="AI118" s="24"/>
      <c r="AJ118" s="24"/>
      <c r="AK118" s="25"/>
    </row>
    <row r="119" customFormat="false" ht="15.75" hidden="false" customHeight="true" outlineLevel="0" collapsed="false">
      <c r="A119" s="21"/>
      <c r="B119" s="26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7"/>
      <c r="AB119" s="27"/>
      <c r="AC119" s="27"/>
      <c r="AD119" s="27"/>
      <c r="AE119" s="27"/>
      <c r="AF119" s="24"/>
      <c r="AG119" s="24"/>
      <c r="AH119" s="24"/>
      <c r="AI119" s="24"/>
      <c r="AJ119" s="24"/>
      <c r="AK119" s="25"/>
    </row>
    <row r="120" customFormat="false" ht="15.75" hidden="false" customHeight="true" outlineLevel="0" collapsed="false">
      <c r="A120" s="21"/>
      <c r="B120" s="26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7"/>
      <c r="AB120" s="27"/>
      <c r="AC120" s="27"/>
      <c r="AD120" s="27"/>
      <c r="AE120" s="27"/>
      <c r="AF120" s="24"/>
      <c r="AG120" s="24"/>
      <c r="AH120" s="24"/>
      <c r="AI120" s="24"/>
      <c r="AJ120" s="24"/>
      <c r="AK120" s="25"/>
    </row>
    <row r="121" customFormat="false" ht="15.75" hidden="false" customHeight="true" outlineLevel="0" collapsed="false">
      <c r="A121" s="21"/>
      <c r="B121" s="26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7"/>
      <c r="AB121" s="27"/>
      <c r="AC121" s="27"/>
      <c r="AD121" s="27"/>
      <c r="AE121" s="27"/>
      <c r="AF121" s="24"/>
      <c r="AG121" s="24"/>
      <c r="AH121" s="24"/>
      <c r="AI121" s="24"/>
      <c r="AJ121" s="24"/>
      <c r="AK121" s="25"/>
    </row>
    <row r="122" customFormat="false" ht="15.75" hidden="false" customHeight="true" outlineLevel="0" collapsed="false">
      <c r="A122" s="21"/>
      <c r="B122" s="26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7"/>
      <c r="AB122" s="27"/>
      <c r="AC122" s="27"/>
      <c r="AD122" s="27"/>
      <c r="AE122" s="27"/>
      <c r="AF122" s="24"/>
      <c r="AG122" s="24"/>
      <c r="AH122" s="24"/>
      <c r="AI122" s="24"/>
      <c r="AJ122" s="24"/>
      <c r="AK122" s="25"/>
    </row>
    <row r="123" customFormat="false" ht="15.75" hidden="false" customHeight="true" outlineLevel="0" collapsed="false">
      <c r="A123" s="21"/>
      <c r="B123" s="26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7"/>
      <c r="AB123" s="27"/>
      <c r="AC123" s="27"/>
      <c r="AD123" s="27"/>
      <c r="AE123" s="27"/>
      <c r="AF123" s="24"/>
      <c r="AG123" s="24"/>
      <c r="AH123" s="24"/>
      <c r="AI123" s="24"/>
      <c r="AJ123" s="24"/>
      <c r="AK123" s="25"/>
    </row>
    <row r="124" customFormat="false" ht="15.75" hidden="false" customHeight="true" outlineLevel="0" collapsed="false">
      <c r="A124" s="21"/>
      <c r="B124" s="26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7"/>
      <c r="AB124" s="27"/>
      <c r="AC124" s="27"/>
      <c r="AD124" s="27"/>
      <c r="AE124" s="27"/>
      <c r="AF124" s="24"/>
      <c r="AG124" s="24"/>
      <c r="AH124" s="24"/>
      <c r="AI124" s="24"/>
      <c r="AJ124" s="24"/>
      <c r="AK124" s="25"/>
    </row>
    <row r="125" customFormat="false" ht="15.75" hidden="false" customHeight="true" outlineLevel="0" collapsed="false">
      <c r="A125" s="21"/>
      <c r="B125" s="26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7"/>
      <c r="AB125" s="27"/>
      <c r="AC125" s="27"/>
      <c r="AD125" s="27"/>
      <c r="AE125" s="27"/>
      <c r="AF125" s="24"/>
      <c r="AG125" s="24"/>
      <c r="AH125" s="24"/>
      <c r="AI125" s="24"/>
      <c r="AJ125" s="24"/>
      <c r="AK125" s="25"/>
    </row>
    <row r="126" customFormat="false" ht="15.75" hidden="false" customHeight="true" outlineLevel="0" collapsed="false">
      <c r="A126" s="21"/>
      <c r="B126" s="26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7"/>
      <c r="AB126" s="27"/>
      <c r="AC126" s="27"/>
      <c r="AD126" s="27"/>
      <c r="AE126" s="27"/>
      <c r="AF126" s="24"/>
      <c r="AG126" s="24"/>
      <c r="AH126" s="24"/>
      <c r="AI126" s="24"/>
      <c r="AJ126" s="24"/>
      <c r="AK126" s="25"/>
    </row>
    <row r="127" customFormat="false" ht="15.75" hidden="false" customHeight="true" outlineLevel="0" collapsed="false">
      <c r="A127" s="21"/>
      <c r="B127" s="26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7"/>
      <c r="AB127" s="27"/>
      <c r="AC127" s="27"/>
      <c r="AD127" s="27"/>
      <c r="AE127" s="27"/>
      <c r="AF127" s="24"/>
      <c r="AG127" s="24"/>
      <c r="AH127" s="24"/>
      <c r="AI127" s="24"/>
      <c r="AJ127" s="24"/>
      <c r="AK127" s="25"/>
    </row>
    <row r="128" customFormat="false" ht="15.75" hidden="false" customHeight="true" outlineLevel="0" collapsed="false">
      <c r="A128" s="21"/>
      <c r="B128" s="26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7"/>
      <c r="AB128" s="27"/>
      <c r="AC128" s="27"/>
      <c r="AD128" s="27"/>
      <c r="AE128" s="27"/>
      <c r="AF128" s="24"/>
      <c r="AG128" s="24"/>
      <c r="AH128" s="24"/>
      <c r="AI128" s="24"/>
      <c r="AJ128" s="24"/>
      <c r="AK128" s="25"/>
    </row>
    <row r="129" customFormat="false" ht="15.75" hidden="false" customHeight="true" outlineLevel="0" collapsed="false">
      <c r="A129" s="21"/>
      <c r="B129" s="26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7"/>
      <c r="AB129" s="27"/>
      <c r="AC129" s="27"/>
      <c r="AD129" s="27"/>
      <c r="AE129" s="27"/>
      <c r="AF129" s="24"/>
      <c r="AG129" s="24"/>
      <c r="AH129" s="24"/>
      <c r="AI129" s="24"/>
      <c r="AJ129" s="24"/>
      <c r="AK129" s="25"/>
    </row>
    <row r="130" customFormat="false" ht="15.75" hidden="false" customHeight="true" outlineLevel="0" collapsed="false">
      <c r="A130" s="21"/>
      <c r="B130" s="26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7"/>
      <c r="AB130" s="27"/>
      <c r="AC130" s="27"/>
      <c r="AD130" s="27"/>
      <c r="AE130" s="27"/>
      <c r="AF130" s="24"/>
      <c r="AG130" s="24"/>
      <c r="AH130" s="24"/>
      <c r="AI130" s="24"/>
      <c r="AJ130" s="24"/>
      <c r="AK130" s="25"/>
    </row>
    <row r="131" customFormat="false" ht="15.75" hidden="false" customHeight="true" outlineLevel="0" collapsed="false">
      <c r="A131" s="21"/>
      <c r="B131" s="26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7"/>
      <c r="AB131" s="27"/>
      <c r="AC131" s="27"/>
      <c r="AD131" s="27"/>
      <c r="AE131" s="27"/>
      <c r="AF131" s="24"/>
      <c r="AG131" s="24"/>
      <c r="AH131" s="24"/>
      <c r="AI131" s="24"/>
      <c r="AJ131" s="24"/>
      <c r="AK131" s="25"/>
    </row>
    <row r="132" customFormat="false" ht="15.75" hidden="false" customHeight="true" outlineLevel="0" collapsed="false">
      <c r="A132" s="21"/>
      <c r="B132" s="26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7"/>
      <c r="AB132" s="27"/>
      <c r="AC132" s="27"/>
      <c r="AD132" s="27"/>
      <c r="AE132" s="27"/>
      <c r="AF132" s="24"/>
      <c r="AG132" s="24"/>
      <c r="AH132" s="24"/>
      <c r="AI132" s="24"/>
      <c r="AJ132" s="24"/>
      <c r="AK132" s="25"/>
    </row>
    <row r="133" customFormat="false" ht="15.75" hidden="false" customHeight="true" outlineLevel="0" collapsed="false">
      <c r="A133" s="21"/>
      <c r="B133" s="26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7"/>
      <c r="AB133" s="27"/>
      <c r="AC133" s="27"/>
      <c r="AD133" s="27"/>
      <c r="AE133" s="27"/>
      <c r="AF133" s="24"/>
      <c r="AG133" s="24"/>
      <c r="AH133" s="24"/>
      <c r="AI133" s="24"/>
      <c r="AJ133" s="24"/>
      <c r="AK133" s="25"/>
    </row>
    <row r="134" customFormat="false" ht="15.75" hidden="false" customHeight="true" outlineLevel="0" collapsed="false">
      <c r="A134" s="21"/>
      <c r="B134" s="26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7"/>
      <c r="AB134" s="27"/>
      <c r="AC134" s="27"/>
      <c r="AD134" s="27"/>
      <c r="AE134" s="27"/>
      <c r="AF134" s="24"/>
      <c r="AG134" s="24"/>
      <c r="AH134" s="24"/>
      <c r="AI134" s="24"/>
      <c r="AJ134" s="24"/>
      <c r="AK134" s="25"/>
    </row>
    <row r="135" customFormat="false" ht="15.75" hidden="false" customHeight="true" outlineLevel="0" collapsed="false">
      <c r="A135" s="21"/>
      <c r="B135" s="26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7"/>
      <c r="AB135" s="27"/>
      <c r="AC135" s="27"/>
      <c r="AD135" s="27"/>
      <c r="AE135" s="27"/>
      <c r="AF135" s="24"/>
      <c r="AG135" s="24"/>
      <c r="AH135" s="24"/>
      <c r="AI135" s="24"/>
      <c r="AJ135" s="24"/>
      <c r="AK135" s="25"/>
    </row>
    <row r="136" customFormat="false" ht="15.75" hidden="false" customHeight="true" outlineLevel="0" collapsed="false">
      <c r="A136" s="21"/>
      <c r="B136" s="26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7"/>
      <c r="AB136" s="27"/>
      <c r="AC136" s="27"/>
      <c r="AD136" s="27"/>
      <c r="AE136" s="27"/>
      <c r="AF136" s="24"/>
      <c r="AG136" s="24"/>
      <c r="AH136" s="24"/>
      <c r="AI136" s="24"/>
      <c r="AJ136" s="24"/>
      <c r="AK136" s="25"/>
    </row>
    <row r="137" customFormat="false" ht="15.75" hidden="false" customHeight="true" outlineLevel="0" collapsed="false">
      <c r="A137" s="21"/>
      <c r="B137" s="26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7"/>
      <c r="AB137" s="27"/>
      <c r="AC137" s="27"/>
      <c r="AD137" s="27"/>
      <c r="AE137" s="27"/>
      <c r="AF137" s="24"/>
      <c r="AG137" s="24"/>
      <c r="AH137" s="24"/>
      <c r="AI137" s="24"/>
      <c r="AJ137" s="24"/>
      <c r="AK137" s="25"/>
    </row>
    <row r="138" customFormat="false" ht="15.75" hidden="false" customHeight="true" outlineLevel="0" collapsed="false">
      <c r="A138" s="21"/>
      <c r="B138" s="26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7"/>
      <c r="AB138" s="27"/>
      <c r="AC138" s="27"/>
      <c r="AD138" s="27"/>
      <c r="AE138" s="27"/>
      <c r="AF138" s="24"/>
      <c r="AG138" s="24"/>
      <c r="AH138" s="24"/>
      <c r="AI138" s="24"/>
      <c r="AJ138" s="24"/>
      <c r="AK138" s="25"/>
    </row>
    <row r="139" customFormat="false" ht="15.75" hidden="false" customHeight="true" outlineLevel="0" collapsed="false">
      <c r="A139" s="21"/>
      <c r="B139" s="26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7"/>
      <c r="AB139" s="27"/>
      <c r="AC139" s="27"/>
      <c r="AD139" s="27"/>
      <c r="AE139" s="27"/>
      <c r="AF139" s="24"/>
      <c r="AG139" s="24"/>
      <c r="AH139" s="24"/>
      <c r="AI139" s="24"/>
      <c r="AJ139" s="24"/>
      <c r="AK139" s="25"/>
    </row>
    <row r="140" customFormat="false" ht="15.75" hidden="false" customHeight="true" outlineLevel="0" collapsed="false">
      <c r="A140" s="21"/>
      <c r="B140" s="26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7"/>
      <c r="AB140" s="27"/>
      <c r="AC140" s="27"/>
      <c r="AD140" s="27"/>
      <c r="AE140" s="27"/>
      <c r="AF140" s="24"/>
      <c r="AG140" s="24"/>
      <c r="AH140" s="24"/>
      <c r="AI140" s="24"/>
      <c r="AJ140" s="24"/>
      <c r="AK140" s="25"/>
    </row>
    <row r="141" customFormat="false" ht="15.75" hidden="false" customHeight="true" outlineLevel="0" collapsed="false">
      <c r="A141" s="21"/>
      <c r="B141" s="26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7"/>
      <c r="AB141" s="27"/>
      <c r="AC141" s="27"/>
      <c r="AD141" s="27"/>
      <c r="AE141" s="27"/>
      <c r="AF141" s="24"/>
      <c r="AG141" s="24"/>
      <c r="AH141" s="24"/>
      <c r="AI141" s="24"/>
      <c r="AJ141" s="24"/>
      <c r="AK141" s="25"/>
    </row>
    <row r="142" customFormat="false" ht="15.75" hidden="false" customHeight="true" outlineLevel="0" collapsed="false">
      <c r="A142" s="21"/>
      <c r="B142" s="26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7"/>
      <c r="AB142" s="27"/>
      <c r="AC142" s="27"/>
      <c r="AD142" s="27"/>
      <c r="AE142" s="27"/>
      <c r="AF142" s="24"/>
      <c r="AG142" s="24"/>
      <c r="AH142" s="24"/>
      <c r="AI142" s="24"/>
      <c r="AJ142" s="24"/>
      <c r="AK142" s="25"/>
    </row>
    <row r="143" customFormat="false" ht="15.75" hidden="false" customHeight="true" outlineLevel="0" collapsed="false">
      <c r="A143" s="21"/>
      <c r="B143" s="26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7"/>
      <c r="AB143" s="27"/>
      <c r="AC143" s="27"/>
      <c r="AD143" s="27"/>
      <c r="AE143" s="27"/>
      <c r="AF143" s="24"/>
      <c r="AG143" s="24"/>
      <c r="AH143" s="24"/>
      <c r="AI143" s="24"/>
      <c r="AJ143" s="24"/>
      <c r="AK143" s="25"/>
    </row>
    <row r="144" customFormat="false" ht="15.75" hidden="false" customHeight="true" outlineLevel="0" collapsed="false">
      <c r="A144" s="21"/>
      <c r="B144" s="26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7"/>
      <c r="AB144" s="27"/>
      <c r="AC144" s="27"/>
      <c r="AD144" s="27"/>
      <c r="AE144" s="27"/>
      <c r="AF144" s="24"/>
      <c r="AG144" s="24"/>
      <c r="AH144" s="24"/>
      <c r="AI144" s="24"/>
      <c r="AJ144" s="24"/>
      <c r="AK144" s="25"/>
    </row>
    <row r="145" customFormat="false" ht="15.75" hidden="false" customHeight="true" outlineLevel="0" collapsed="false">
      <c r="A145" s="21"/>
      <c r="B145" s="26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7"/>
      <c r="AB145" s="27"/>
      <c r="AC145" s="27"/>
      <c r="AD145" s="27"/>
      <c r="AE145" s="27"/>
      <c r="AF145" s="24"/>
      <c r="AG145" s="24"/>
      <c r="AH145" s="24"/>
      <c r="AI145" s="24"/>
      <c r="AJ145" s="24"/>
      <c r="AK145" s="25"/>
    </row>
    <row r="146" customFormat="false" ht="15.75" hidden="false" customHeight="true" outlineLevel="0" collapsed="false">
      <c r="A146" s="21"/>
      <c r="B146" s="26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7"/>
      <c r="AB146" s="27"/>
      <c r="AC146" s="27"/>
      <c r="AD146" s="27"/>
      <c r="AE146" s="27"/>
      <c r="AF146" s="24"/>
      <c r="AG146" s="24"/>
      <c r="AH146" s="24"/>
      <c r="AI146" s="24"/>
      <c r="AJ146" s="24"/>
      <c r="AK146" s="25"/>
    </row>
    <row r="147" customFormat="false" ht="15.75" hidden="false" customHeight="true" outlineLevel="0" collapsed="false">
      <c r="A147" s="21"/>
      <c r="B147" s="26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7"/>
      <c r="AB147" s="27"/>
      <c r="AC147" s="27"/>
      <c r="AD147" s="27"/>
      <c r="AE147" s="27"/>
      <c r="AF147" s="24"/>
      <c r="AG147" s="24"/>
      <c r="AH147" s="24"/>
      <c r="AI147" s="24"/>
      <c r="AJ147" s="24"/>
      <c r="AK147" s="25"/>
    </row>
    <row r="148" customFormat="false" ht="15.75" hidden="false" customHeight="true" outlineLevel="0" collapsed="false">
      <c r="A148" s="21"/>
      <c r="B148" s="26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7"/>
      <c r="AB148" s="27"/>
      <c r="AC148" s="27"/>
      <c r="AD148" s="27"/>
      <c r="AE148" s="27"/>
      <c r="AF148" s="24"/>
      <c r="AG148" s="24"/>
      <c r="AH148" s="24"/>
      <c r="AI148" s="24"/>
      <c r="AJ148" s="24"/>
      <c r="AK148" s="25"/>
    </row>
    <row r="149" customFormat="false" ht="15.75" hidden="false" customHeight="true" outlineLevel="0" collapsed="false">
      <c r="A149" s="21"/>
      <c r="B149" s="26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7"/>
      <c r="AB149" s="27"/>
      <c r="AC149" s="27"/>
      <c r="AD149" s="27"/>
      <c r="AE149" s="27"/>
      <c r="AF149" s="24"/>
      <c r="AG149" s="24"/>
      <c r="AH149" s="24"/>
      <c r="AI149" s="24"/>
      <c r="AJ149" s="24"/>
      <c r="AK149" s="25"/>
    </row>
    <row r="150" customFormat="false" ht="15.75" hidden="false" customHeight="true" outlineLevel="0" collapsed="false">
      <c r="A150" s="21"/>
      <c r="B150" s="26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7"/>
      <c r="AB150" s="27"/>
      <c r="AC150" s="27"/>
      <c r="AD150" s="27"/>
      <c r="AE150" s="27"/>
      <c r="AF150" s="24"/>
      <c r="AG150" s="24"/>
      <c r="AH150" s="24"/>
      <c r="AI150" s="24"/>
      <c r="AJ150" s="24"/>
      <c r="AK150" s="25"/>
    </row>
    <row r="151" customFormat="false" ht="15.75" hidden="false" customHeight="true" outlineLevel="0" collapsed="false">
      <c r="A151" s="21"/>
      <c r="B151" s="26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7"/>
      <c r="AB151" s="27"/>
      <c r="AC151" s="27"/>
      <c r="AD151" s="27"/>
      <c r="AE151" s="27"/>
      <c r="AF151" s="24"/>
      <c r="AG151" s="24"/>
      <c r="AH151" s="24"/>
      <c r="AI151" s="24"/>
      <c r="AJ151" s="24"/>
      <c r="AK151" s="25"/>
    </row>
    <row r="152" customFormat="false" ht="15.75" hidden="false" customHeight="true" outlineLevel="0" collapsed="false">
      <c r="A152" s="21"/>
      <c r="B152" s="26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7"/>
      <c r="AB152" s="27"/>
      <c r="AC152" s="27"/>
      <c r="AD152" s="27"/>
      <c r="AE152" s="27"/>
      <c r="AF152" s="24"/>
      <c r="AG152" s="24"/>
      <c r="AH152" s="24"/>
      <c r="AI152" s="24"/>
      <c r="AJ152" s="24"/>
      <c r="AK152" s="25"/>
    </row>
    <row r="153" customFormat="false" ht="15.75" hidden="false" customHeight="true" outlineLevel="0" collapsed="false">
      <c r="A153" s="21"/>
      <c r="B153" s="26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7"/>
      <c r="AB153" s="27"/>
      <c r="AC153" s="27"/>
      <c r="AD153" s="27"/>
      <c r="AE153" s="27"/>
      <c r="AF153" s="24"/>
      <c r="AG153" s="24"/>
      <c r="AH153" s="24"/>
      <c r="AI153" s="24"/>
      <c r="AJ153" s="24"/>
      <c r="AK153" s="25"/>
    </row>
    <row r="154" customFormat="false" ht="15.75" hidden="false" customHeight="true" outlineLevel="0" collapsed="false">
      <c r="A154" s="21"/>
      <c r="B154" s="26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7"/>
      <c r="AB154" s="27"/>
      <c r="AC154" s="27"/>
      <c r="AD154" s="27"/>
      <c r="AE154" s="27"/>
      <c r="AF154" s="24"/>
      <c r="AG154" s="24"/>
      <c r="AH154" s="24"/>
      <c r="AI154" s="24"/>
      <c r="AJ154" s="24"/>
      <c r="AK154" s="25"/>
    </row>
    <row r="155" customFormat="false" ht="15.75" hidden="false" customHeight="true" outlineLevel="0" collapsed="false">
      <c r="A155" s="21"/>
      <c r="B155" s="26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7"/>
      <c r="AB155" s="27"/>
      <c r="AC155" s="27"/>
      <c r="AD155" s="27"/>
      <c r="AE155" s="27"/>
      <c r="AF155" s="24"/>
      <c r="AG155" s="24"/>
      <c r="AH155" s="24"/>
      <c r="AI155" s="24"/>
      <c r="AJ155" s="24"/>
      <c r="AK155" s="25"/>
    </row>
    <row r="156" customFormat="false" ht="15.75" hidden="false" customHeight="true" outlineLevel="0" collapsed="false">
      <c r="A156" s="21"/>
      <c r="B156" s="26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7"/>
      <c r="AB156" s="27"/>
      <c r="AC156" s="27"/>
      <c r="AD156" s="27"/>
      <c r="AE156" s="27"/>
      <c r="AF156" s="24"/>
      <c r="AG156" s="24"/>
      <c r="AH156" s="24"/>
      <c r="AI156" s="24"/>
      <c r="AJ156" s="24"/>
      <c r="AK156" s="25"/>
    </row>
    <row r="157" customFormat="false" ht="15.75" hidden="false" customHeight="true" outlineLevel="0" collapsed="false">
      <c r="A157" s="21"/>
      <c r="B157" s="26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7"/>
      <c r="AB157" s="27"/>
      <c r="AC157" s="27"/>
      <c r="AD157" s="27"/>
      <c r="AE157" s="27"/>
      <c r="AF157" s="24"/>
      <c r="AG157" s="24"/>
      <c r="AH157" s="24"/>
      <c r="AI157" s="24"/>
      <c r="AJ157" s="24"/>
      <c r="AK157" s="25"/>
    </row>
    <row r="158" customFormat="false" ht="15.75" hidden="false" customHeight="true" outlineLevel="0" collapsed="false">
      <c r="A158" s="21"/>
      <c r="B158" s="26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7"/>
      <c r="AB158" s="27"/>
      <c r="AC158" s="27"/>
      <c r="AD158" s="27"/>
      <c r="AE158" s="27"/>
      <c r="AF158" s="24"/>
      <c r="AG158" s="24"/>
      <c r="AH158" s="24"/>
      <c r="AI158" s="24"/>
      <c r="AJ158" s="24"/>
      <c r="AK158" s="25"/>
    </row>
    <row r="159" customFormat="false" ht="15.75" hidden="false" customHeight="true" outlineLevel="0" collapsed="false">
      <c r="A159" s="21"/>
      <c r="B159" s="26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7"/>
      <c r="AB159" s="27"/>
      <c r="AC159" s="27"/>
      <c r="AD159" s="27"/>
      <c r="AE159" s="27"/>
      <c r="AF159" s="24"/>
      <c r="AG159" s="24"/>
      <c r="AH159" s="24"/>
      <c r="AI159" s="24"/>
      <c r="AJ159" s="24"/>
      <c r="AK159" s="25"/>
    </row>
    <row r="160" customFormat="false" ht="15.75" hidden="false" customHeight="true" outlineLevel="0" collapsed="false">
      <c r="A160" s="21"/>
      <c r="B160" s="26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7"/>
      <c r="AB160" s="27"/>
      <c r="AC160" s="27"/>
      <c r="AD160" s="27"/>
      <c r="AE160" s="27"/>
      <c r="AF160" s="24"/>
      <c r="AG160" s="24"/>
      <c r="AH160" s="24"/>
      <c r="AI160" s="24"/>
      <c r="AJ160" s="24"/>
      <c r="AK160" s="25"/>
    </row>
    <row r="161" customFormat="false" ht="15.75" hidden="false" customHeight="true" outlineLevel="0" collapsed="false">
      <c r="A161" s="21"/>
      <c r="B161" s="26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7"/>
      <c r="AB161" s="27"/>
      <c r="AC161" s="27"/>
      <c r="AD161" s="27"/>
      <c r="AE161" s="27"/>
      <c r="AF161" s="24"/>
      <c r="AG161" s="24"/>
      <c r="AH161" s="24"/>
      <c r="AI161" s="24"/>
      <c r="AJ161" s="24"/>
      <c r="AK161" s="25"/>
    </row>
    <row r="162" customFormat="false" ht="15.75" hidden="false" customHeight="true" outlineLevel="0" collapsed="false">
      <c r="A162" s="21"/>
      <c r="B162" s="26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7"/>
      <c r="AB162" s="27"/>
      <c r="AC162" s="27"/>
      <c r="AD162" s="27"/>
      <c r="AE162" s="27"/>
      <c r="AF162" s="24"/>
      <c r="AG162" s="24"/>
      <c r="AH162" s="24"/>
      <c r="AI162" s="24"/>
      <c r="AJ162" s="24"/>
      <c r="AK162" s="25"/>
    </row>
    <row r="163" customFormat="false" ht="15.75" hidden="false" customHeight="true" outlineLevel="0" collapsed="false">
      <c r="A163" s="21"/>
      <c r="B163" s="26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7"/>
      <c r="AB163" s="27"/>
      <c r="AC163" s="27"/>
      <c r="AD163" s="27"/>
      <c r="AE163" s="27"/>
      <c r="AF163" s="24"/>
      <c r="AG163" s="24"/>
      <c r="AH163" s="24"/>
      <c r="AI163" s="24"/>
      <c r="AJ163" s="24"/>
      <c r="AK163" s="25"/>
    </row>
    <row r="164" customFormat="false" ht="15.75" hidden="false" customHeight="true" outlineLevel="0" collapsed="false">
      <c r="A164" s="21"/>
      <c r="B164" s="26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7"/>
      <c r="AB164" s="27"/>
      <c r="AC164" s="27"/>
      <c r="AD164" s="27"/>
      <c r="AE164" s="27"/>
      <c r="AF164" s="24"/>
      <c r="AG164" s="24"/>
      <c r="AH164" s="24"/>
      <c r="AI164" s="24"/>
      <c r="AJ164" s="24"/>
      <c r="AK164" s="25"/>
    </row>
    <row r="165" customFormat="false" ht="15.75" hidden="false" customHeight="true" outlineLevel="0" collapsed="false">
      <c r="A165" s="21"/>
      <c r="B165" s="26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7"/>
      <c r="AB165" s="27"/>
      <c r="AC165" s="27"/>
      <c r="AD165" s="27"/>
      <c r="AE165" s="27"/>
      <c r="AF165" s="24"/>
      <c r="AG165" s="24"/>
      <c r="AH165" s="24"/>
      <c r="AI165" s="24"/>
      <c r="AJ165" s="24"/>
      <c r="AK165" s="25"/>
    </row>
    <row r="166" customFormat="false" ht="15.75" hidden="false" customHeight="true" outlineLevel="0" collapsed="false">
      <c r="A166" s="21"/>
      <c r="B166" s="26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7"/>
      <c r="AB166" s="27"/>
      <c r="AC166" s="27"/>
      <c r="AD166" s="27"/>
      <c r="AE166" s="27"/>
      <c r="AF166" s="24"/>
      <c r="AG166" s="24"/>
      <c r="AH166" s="24"/>
      <c r="AI166" s="24"/>
      <c r="AJ166" s="24"/>
      <c r="AK166" s="25"/>
    </row>
    <row r="167" customFormat="false" ht="15.75" hidden="false" customHeight="true" outlineLevel="0" collapsed="false">
      <c r="A167" s="21"/>
      <c r="B167" s="26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7"/>
      <c r="AB167" s="27"/>
      <c r="AC167" s="27"/>
      <c r="AD167" s="27"/>
      <c r="AE167" s="27"/>
      <c r="AF167" s="24"/>
      <c r="AG167" s="24"/>
      <c r="AH167" s="24"/>
      <c r="AI167" s="24"/>
      <c r="AJ167" s="24"/>
      <c r="AK167" s="25"/>
    </row>
    <row r="168" customFormat="false" ht="15.75" hidden="false" customHeight="true" outlineLevel="0" collapsed="false">
      <c r="A168" s="21"/>
      <c r="B168" s="26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7"/>
      <c r="AB168" s="27"/>
      <c r="AC168" s="27"/>
      <c r="AD168" s="27"/>
      <c r="AE168" s="27"/>
      <c r="AF168" s="24"/>
      <c r="AG168" s="24"/>
      <c r="AH168" s="24"/>
      <c r="AI168" s="24"/>
      <c r="AJ168" s="24"/>
      <c r="AK168" s="25"/>
    </row>
    <row r="169" customFormat="false" ht="15.75" hidden="false" customHeight="true" outlineLevel="0" collapsed="false">
      <c r="A169" s="21"/>
      <c r="B169" s="26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7"/>
      <c r="AB169" s="27"/>
      <c r="AC169" s="27"/>
      <c r="AD169" s="27"/>
      <c r="AE169" s="27"/>
      <c r="AF169" s="24"/>
      <c r="AG169" s="24"/>
      <c r="AH169" s="24"/>
      <c r="AI169" s="24"/>
      <c r="AJ169" s="24"/>
      <c r="AK169" s="25"/>
    </row>
    <row r="170" customFormat="false" ht="15.75" hidden="false" customHeight="true" outlineLevel="0" collapsed="false">
      <c r="A170" s="21"/>
      <c r="B170" s="26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7"/>
      <c r="AB170" s="27"/>
      <c r="AC170" s="27"/>
      <c r="AD170" s="27"/>
      <c r="AE170" s="27"/>
      <c r="AF170" s="24"/>
      <c r="AG170" s="24"/>
      <c r="AH170" s="24"/>
      <c r="AI170" s="24"/>
      <c r="AJ170" s="24"/>
      <c r="AK170" s="25"/>
    </row>
    <row r="171" customFormat="false" ht="15.75" hidden="false" customHeight="true" outlineLevel="0" collapsed="false">
      <c r="A171" s="21"/>
      <c r="B171" s="26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7"/>
      <c r="AB171" s="27"/>
      <c r="AC171" s="27"/>
      <c r="AD171" s="27"/>
      <c r="AE171" s="27"/>
      <c r="AF171" s="24"/>
      <c r="AG171" s="24"/>
      <c r="AH171" s="24"/>
      <c r="AI171" s="24"/>
      <c r="AJ171" s="24"/>
      <c r="AK171" s="25"/>
    </row>
    <row r="172" customFormat="false" ht="15.75" hidden="false" customHeight="true" outlineLevel="0" collapsed="false">
      <c r="A172" s="21"/>
      <c r="B172" s="26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7"/>
      <c r="AB172" s="27"/>
      <c r="AC172" s="27"/>
      <c r="AD172" s="27"/>
      <c r="AE172" s="27"/>
      <c r="AF172" s="24"/>
      <c r="AG172" s="24"/>
      <c r="AH172" s="24"/>
      <c r="AI172" s="24"/>
      <c r="AJ172" s="24"/>
      <c r="AK172" s="25"/>
    </row>
    <row r="173" customFormat="false" ht="15.75" hidden="false" customHeight="true" outlineLevel="0" collapsed="false">
      <c r="A173" s="21"/>
      <c r="B173" s="26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7"/>
      <c r="AB173" s="27"/>
      <c r="AC173" s="27"/>
      <c r="AD173" s="27"/>
      <c r="AE173" s="27"/>
      <c r="AF173" s="24"/>
      <c r="AG173" s="24"/>
      <c r="AH173" s="24"/>
      <c r="AI173" s="24"/>
      <c r="AJ173" s="24"/>
      <c r="AK173" s="25"/>
    </row>
    <row r="174" customFormat="false" ht="15.75" hidden="false" customHeight="true" outlineLevel="0" collapsed="false">
      <c r="A174" s="21"/>
      <c r="B174" s="26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7"/>
      <c r="AB174" s="27"/>
      <c r="AC174" s="27"/>
      <c r="AD174" s="27"/>
      <c r="AE174" s="27"/>
      <c r="AF174" s="24"/>
      <c r="AG174" s="24"/>
      <c r="AH174" s="24"/>
      <c r="AI174" s="24"/>
      <c r="AJ174" s="24"/>
      <c r="AK174" s="25"/>
    </row>
    <row r="175" customFormat="false" ht="15.75" hidden="false" customHeight="true" outlineLevel="0" collapsed="false">
      <c r="A175" s="21"/>
      <c r="B175" s="26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7"/>
      <c r="AB175" s="27"/>
      <c r="AC175" s="27"/>
      <c r="AD175" s="27"/>
      <c r="AE175" s="27"/>
      <c r="AF175" s="24"/>
      <c r="AG175" s="24"/>
      <c r="AH175" s="24"/>
      <c r="AI175" s="24"/>
      <c r="AJ175" s="24"/>
      <c r="AK175" s="25"/>
    </row>
    <row r="176" customFormat="false" ht="15.75" hidden="false" customHeight="true" outlineLevel="0" collapsed="false">
      <c r="A176" s="21"/>
      <c r="B176" s="26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7"/>
      <c r="AB176" s="27"/>
      <c r="AC176" s="27"/>
      <c r="AD176" s="27"/>
      <c r="AE176" s="27"/>
      <c r="AF176" s="24"/>
      <c r="AG176" s="24"/>
      <c r="AH176" s="24"/>
      <c r="AI176" s="24"/>
      <c r="AJ176" s="24"/>
      <c r="AK176" s="25"/>
    </row>
    <row r="177" customFormat="false" ht="15.75" hidden="false" customHeight="true" outlineLevel="0" collapsed="false">
      <c r="A177" s="21"/>
      <c r="B177" s="26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7"/>
      <c r="AB177" s="27"/>
      <c r="AC177" s="27"/>
      <c r="AD177" s="27"/>
      <c r="AE177" s="27"/>
      <c r="AF177" s="24"/>
      <c r="AG177" s="24"/>
      <c r="AH177" s="24"/>
      <c r="AI177" s="24"/>
      <c r="AJ177" s="24"/>
      <c r="AK177" s="25"/>
    </row>
    <row r="178" customFormat="false" ht="15.75" hidden="false" customHeight="true" outlineLevel="0" collapsed="false">
      <c r="A178" s="21"/>
      <c r="B178" s="26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7"/>
      <c r="AB178" s="27"/>
      <c r="AC178" s="27"/>
      <c r="AD178" s="27"/>
      <c r="AE178" s="27"/>
      <c r="AF178" s="24"/>
      <c r="AG178" s="24"/>
      <c r="AH178" s="24"/>
      <c r="AI178" s="24"/>
      <c r="AJ178" s="24"/>
      <c r="AK178" s="25"/>
    </row>
    <row r="179" customFormat="false" ht="15.75" hidden="false" customHeight="true" outlineLevel="0" collapsed="false">
      <c r="A179" s="21"/>
      <c r="B179" s="26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7"/>
      <c r="AB179" s="27"/>
      <c r="AC179" s="27"/>
      <c r="AD179" s="27"/>
      <c r="AE179" s="27"/>
      <c r="AF179" s="24"/>
      <c r="AG179" s="24"/>
      <c r="AH179" s="24"/>
      <c r="AI179" s="24"/>
      <c r="AJ179" s="24"/>
      <c r="AK179" s="25"/>
    </row>
    <row r="180" customFormat="false" ht="15.75" hidden="false" customHeight="true" outlineLevel="0" collapsed="false">
      <c r="A180" s="21"/>
      <c r="B180" s="26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7"/>
      <c r="AB180" s="27"/>
      <c r="AC180" s="27"/>
      <c r="AD180" s="27"/>
      <c r="AE180" s="27"/>
      <c r="AF180" s="24"/>
      <c r="AG180" s="24"/>
      <c r="AH180" s="24"/>
      <c r="AI180" s="24"/>
      <c r="AJ180" s="24"/>
      <c r="AK180" s="25"/>
    </row>
    <row r="181" customFormat="false" ht="15.75" hidden="false" customHeight="true" outlineLevel="0" collapsed="false">
      <c r="A181" s="21"/>
      <c r="B181" s="26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7"/>
      <c r="AB181" s="27"/>
      <c r="AC181" s="27"/>
      <c r="AD181" s="27"/>
      <c r="AE181" s="27"/>
      <c r="AF181" s="24"/>
      <c r="AG181" s="24"/>
      <c r="AH181" s="24"/>
      <c r="AI181" s="24"/>
      <c r="AJ181" s="24"/>
      <c r="AK181" s="25"/>
    </row>
    <row r="182" customFormat="false" ht="15.75" hidden="false" customHeight="true" outlineLevel="0" collapsed="false">
      <c r="A182" s="21"/>
      <c r="B182" s="26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7"/>
      <c r="AB182" s="27"/>
      <c r="AC182" s="27"/>
      <c r="AD182" s="27"/>
      <c r="AE182" s="27"/>
      <c r="AF182" s="24"/>
      <c r="AG182" s="24"/>
      <c r="AH182" s="24"/>
      <c r="AI182" s="24"/>
      <c r="AJ182" s="24"/>
      <c r="AK182" s="25"/>
    </row>
    <row r="183" customFormat="false" ht="15.75" hidden="false" customHeight="true" outlineLevel="0" collapsed="false">
      <c r="A183" s="21"/>
      <c r="B183" s="26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7"/>
      <c r="AB183" s="27"/>
      <c r="AC183" s="27"/>
      <c r="AD183" s="27"/>
      <c r="AE183" s="27"/>
      <c r="AF183" s="24"/>
      <c r="AG183" s="24"/>
      <c r="AH183" s="24"/>
      <c r="AI183" s="24"/>
      <c r="AJ183" s="24"/>
      <c r="AK183" s="25"/>
    </row>
    <row r="184" customFormat="false" ht="15.75" hidden="false" customHeight="true" outlineLevel="0" collapsed="false">
      <c r="A184" s="21"/>
      <c r="B184" s="26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7"/>
      <c r="AB184" s="27"/>
      <c r="AC184" s="27"/>
      <c r="AD184" s="27"/>
      <c r="AE184" s="27"/>
      <c r="AF184" s="24"/>
      <c r="AG184" s="24"/>
      <c r="AH184" s="24"/>
      <c r="AI184" s="24"/>
      <c r="AJ184" s="24"/>
      <c r="AK184" s="25"/>
    </row>
    <row r="185" customFormat="false" ht="15.75" hidden="false" customHeight="true" outlineLevel="0" collapsed="false">
      <c r="A185" s="21"/>
      <c r="B185" s="26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7"/>
      <c r="AB185" s="27"/>
      <c r="AC185" s="27"/>
      <c r="AD185" s="27"/>
      <c r="AE185" s="27"/>
      <c r="AF185" s="24"/>
      <c r="AG185" s="24"/>
      <c r="AH185" s="24"/>
      <c r="AI185" s="24"/>
      <c r="AJ185" s="24"/>
      <c r="AK185" s="25"/>
    </row>
    <row r="186" customFormat="false" ht="15.75" hidden="false" customHeight="true" outlineLevel="0" collapsed="false">
      <c r="A186" s="21"/>
      <c r="B186" s="26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7"/>
      <c r="AB186" s="27"/>
      <c r="AC186" s="27"/>
      <c r="AD186" s="27"/>
      <c r="AE186" s="27"/>
      <c r="AF186" s="24"/>
      <c r="AG186" s="24"/>
      <c r="AH186" s="24"/>
      <c r="AI186" s="24"/>
      <c r="AJ186" s="24"/>
      <c r="AK186" s="25"/>
    </row>
    <row r="187" customFormat="false" ht="15.75" hidden="false" customHeight="true" outlineLevel="0" collapsed="false">
      <c r="A187" s="21"/>
      <c r="B187" s="26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7"/>
      <c r="AB187" s="27"/>
      <c r="AC187" s="27"/>
      <c r="AD187" s="27"/>
      <c r="AE187" s="27"/>
      <c r="AF187" s="24"/>
      <c r="AG187" s="24"/>
      <c r="AH187" s="24"/>
      <c r="AI187" s="24"/>
      <c r="AJ187" s="24"/>
      <c r="AK187" s="25"/>
    </row>
    <row r="188" customFormat="false" ht="15.75" hidden="false" customHeight="true" outlineLevel="0" collapsed="false">
      <c r="A188" s="21"/>
      <c r="B188" s="26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7"/>
      <c r="AB188" s="27"/>
      <c r="AC188" s="27"/>
      <c r="AD188" s="27"/>
      <c r="AE188" s="27"/>
      <c r="AF188" s="24"/>
      <c r="AG188" s="24"/>
      <c r="AH188" s="24"/>
      <c r="AI188" s="24"/>
      <c r="AJ188" s="24"/>
      <c r="AK188" s="25"/>
    </row>
    <row r="189" customFormat="false" ht="15.75" hidden="false" customHeight="true" outlineLevel="0" collapsed="false">
      <c r="A189" s="21"/>
      <c r="B189" s="26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7"/>
      <c r="AB189" s="27"/>
      <c r="AC189" s="27"/>
      <c r="AD189" s="27"/>
      <c r="AE189" s="27"/>
      <c r="AF189" s="24"/>
      <c r="AG189" s="24"/>
      <c r="AH189" s="24"/>
      <c r="AI189" s="24"/>
      <c r="AJ189" s="24"/>
      <c r="AK189" s="25"/>
    </row>
    <row r="190" customFormat="false" ht="15.75" hidden="false" customHeight="true" outlineLevel="0" collapsed="false">
      <c r="A190" s="21"/>
      <c r="B190" s="26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7"/>
      <c r="AB190" s="27"/>
      <c r="AC190" s="27"/>
      <c r="AD190" s="27"/>
      <c r="AE190" s="27"/>
      <c r="AF190" s="24"/>
      <c r="AG190" s="24"/>
      <c r="AH190" s="24"/>
      <c r="AI190" s="24"/>
      <c r="AJ190" s="24"/>
      <c r="AK190" s="25"/>
    </row>
    <row r="191" customFormat="false" ht="15.75" hidden="false" customHeight="true" outlineLevel="0" collapsed="false">
      <c r="A191" s="21"/>
      <c r="B191" s="26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7"/>
      <c r="AB191" s="27"/>
      <c r="AC191" s="27"/>
      <c r="AD191" s="27"/>
      <c r="AE191" s="27"/>
      <c r="AF191" s="24"/>
      <c r="AG191" s="24"/>
      <c r="AH191" s="24"/>
      <c r="AI191" s="24"/>
      <c r="AJ191" s="24"/>
      <c r="AK191" s="25"/>
    </row>
    <row r="192" customFormat="false" ht="15.75" hidden="false" customHeight="true" outlineLevel="0" collapsed="false">
      <c r="A192" s="21"/>
      <c r="B192" s="26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7"/>
      <c r="AB192" s="27"/>
      <c r="AC192" s="27"/>
      <c r="AD192" s="27"/>
      <c r="AE192" s="27"/>
      <c r="AF192" s="24"/>
      <c r="AG192" s="24"/>
      <c r="AH192" s="24"/>
      <c r="AI192" s="24"/>
      <c r="AJ192" s="24"/>
      <c r="AK192" s="25"/>
    </row>
    <row r="193" customFormat="false" ht="15.75" hidden="false" customHeight="true" outlineLevel="0" collapsed="false">
      <c r="A193" s="21"/>
      <c r="B193" s="26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7"/>
      <c r="AB193" s="27"/>
      <c r="AC193" s="27"/>
      <c r="AD193" s="27"/>
      <c r="AE193" s="27"/>
      <c r="AF193" s="24"/>
      <c r="AG193" s="24"/>
      <c r="AH193" s="24"/>
      <c r="AI193" s="24"/>
      <c r="AJ193" s="24"/>
      <c r="AK193" s="25"/>
    </row>
    <row r="194" customFormat="false" ht="15.75" hidden="false" customHeight="true" outlineLevel="0" collapsed="false">
      <c r="A194" s="21"/>
      <c r="B194" s="26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7"/>
      <c r="AB194" s="27"/>
      <c r="AC194" s="27"/>
      <c r="AD194" s="27"/>
      <c r="AE194" s="27"/>
      <c r="AF194" s="24"/>
      <c r="AG194" s="24"/>
      <c r="AH194" s="24"/>
      <c r="AI194" s="24"/>
      <c r="AJ194" s="24"/>
      <c r="AK194" s="25"/>
    </row>
    <row r="195" customFormat="false" ht="15.75" hidden="false" customHeight="true" outlineLevel="0" collapsed="false">
      <c r="A195" s="21"/>
      <c r="B195" s="26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7"/>
      <c r="AB195" s="27"/>
      <c r="AC195" s="27"/>
      <c r="AD195" s="27"/>
      <c r="AE195" s="27"/>
      <c r="AF195" s="24"/>
      <c r="AG195" s="24"/>
      <c r="AH195" s="24"/>
      <c r="AI195" s="24"/>
      <c r="AJ195" s="24"/>
      <c r="AK195" s="25"/>
    </row>
    <row r="196" customFormat="false" ht="15.75" hidden="false" customHeight="true" outlineLevel="0" collapsed="false">
      <c r="A196" s="21"/>
      <c r="B196" s="26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7"/>
      <c r="AB196" s="27"/>
      <c r="AC196" s="27"/>
      <c r="AD196" s="27"/>
      <c r="AE196" s="27"/>
      <c r="AF196" s="24"/>
      <c r="AG196" s="24"/>
      <c r="AH196" s="24"/>
      <c r="AI196" s="24"/>
      <c r="AJ196" s="24"/>
      <c r="AK196" s="25"/>
    </row>
    <row r="197" customFormat="false" ht="15.75" hidden="false" customHeight="true" outlineLevel="0" collapsed="false">
      <c r="A197" s="21"/>
      <c r="B197" s="26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7"/>
      <c r="AB197" s="27"/>
      <c r="AC197" s="27"/>
      <c r="AD197" s="27"/>
      <c r="AE197" s="27"/>
      <c r="AF197" s="24"/>
      <c r="AG197" s="24"/>
      <c r="AH197" s="24"/>
      <c r="AI197" s="24"/>
      <c r="AJ197" s="24"/>
      <c r="AK197" s="25"/>
    </row>
    <row r="198" customFormat="false" ht="15.75" hidden="false" customHeight="true" outlineLevel="0" collapsed="false">
      <c r="A198" s="21"/>
      <c r="B198" s="26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7"/>
      <c r="AB198" s="27"/>
      <c r="AC198" s="27"/>
      <c r="AD198" s="27"/>
      <c r="AE198" s="27"/>
      <c r="AF198" s="24"/>
      <c r="AG198" s="24"/>
      <c r="AH198" s="24"/>
      <c r="AI198" s="24"/>
      <c r="AJ198" s="24"/>
      <c r="AK198" s="25"/>
    </row>
    <row r="199" customFormat="false" ht="15.75" hidden="false" customHeight="true" outlineLevel="0" collapsed="false">
      <c r="A199" s="21"/>
      <c r="B199" s="26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7"/>
      <c r="AB199" s="27"/>
      <c r="AC199" s="27"/>
      <c r="AD199" s="27"/>
      <c r="AE199" s="27"/>
      <c r="AF199" s="24"/>
      <c r="AG199" s="24"/>
      <c r="AH199" s="24"/>
      <c r="AI199" s="24"/>
      <c r="AJ199" s="24"/>
      <c r="AK199" s="25"/>
    </row>
    <row r="200" customFormat="false" ht="15.75" hidden="false" customHeight="true" outlineLevel="0" collapsed="false">
      <c r="A200" s="21"/>
      <c r="B200" s="26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7"/>
      <c r="AB200" s="27"/>
      <c r="AC200" s="27"/>
      <c r="AD200" s="27"/>
      <c r="AE200" s="27"/>
      <c r="AF200" s="24"/>
      <c r="AG200" s="24"/>
      <c r="AH200" s="24"/>
      <c r="AI200" s="24"/>
      <c r="AJ200" s="24"/>
      <c r="AK200" s="25"/>
    </row>
    <row r="201" customFormat="false" ht="15.75" hidden="false" customHeight="true" outlineLevel="0" collapsed="false">
      <c r="A201" s="21"/>
      <c r="B201" s="26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7"/>
      <c r="AB201" s="27"/>
      <c r="AC201" s="27"/>
      <c r="AD201" s="27"/>
      <c r="AE201" s="27"/>
      <c r="AF201" s="24"/>
      <c r="AG201" s="24"/>
      <c r="AH201" s="24"/>
      <c r="AI201" s="24"/>
      <c r="AJ201" s="24"/>
      <c r="AK201" s="25"/>
    </row>
    <row r="202" customFormat="false" ht="15.75" hidden="false" customHeight="true" outlineLevel="0" collapsed="false">
      <c r="A202" s="21"/>
      <c r="B202" s="26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7"/>
      <c r="AB202" s="27"/>
      <c r="AC202" s="27"/>
      <c r="AD202" s="27"/>
      <c r="AE202" s="27"/>
      <c r="AF202" s="24"/>
      <c r="AG202" s="24"/>
      <c r="AH202" s="24"/>
      <c r="AI202" s="24"/>
      <c r="AJ202" s="24"/>
      <c r="AK202" s="25"/>
    </row>
    <row r="203" customFormat="false" ht="15.75" hidden="false" customHeight="true" outlineLevel="0" collapsed="false">
      <c r="A203" s="21"/>
      <c r="B203" s="26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7"/>
      <c r="AB203" s="27"/>
      <c r="AC203" s="27"/>
      <c r="AD203" s="27"/>
      <c r="AE203" s="27"/>
      <c r="AF203" s="24"/>
      <c r="AG203" s="24"/>
      <c r="AH203" s="24"/>
      <c r="AI203" s="24"/>
      <c r="AJ203" s="24"/>
      <c r="AK203" s="25"/>
    </row>
    <row r="204" customFormat="false" ht="15.75" hidden="false" customHeight="true" outlineLevel="0" collapsed="false">
      <c r="A204" s="21"/>
      <c r="B204" s="26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7"/>
      <c r="AB204" s="27"/>
      <c r="AC204" s="27"/>
      <c r="AD204" s="27"/>
      <c r="AE204" s="27"/>
      <c r="AF204" s="24"/>
      <c r="AG204" s="24"/>
      <c r="AH204" s="24"/>
      <c r="AI204" s="24"/>
      <c r="AJ204" s="24"/>
      <c r="AK204" s="25"/>
    </row>
    <row r="205" customFormat="false" ht="15.75" hidden="false" customHeight="true" outlineLevel="0" collapsed="false">
      <c r="A205" s="21"/>
      <c r="B205" s="26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7"/>
      <c r="AB205" s="27"/>
      <c r="AC205" s="27"/>
      <c r="AD205" s="27"/>
      <c r="AE205" s="27"/>
      <c r="AF205" s="24"/>
      <c r="AG205" s="24"/>
      <c r="AH205" s="24"/>
      <c r="AI205" s="24"/>
      <c r="AJ205" s="24"/>
      <c r="AK205" s="25"/>
    </row>
    <row r="206" customFormat="false" ht="15.75" hidden="false" customHeight="true" outlineLevel="0" collapsed="false">
      <c r="A206" s="21"/>
      <c r="B206" s="26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7"/>
      <c r="AB206" s="27"/>
      <c r="AC206" s="27"/>
      <c r="AD206" s="27"/>
      <c r="AE206" s="27"/>
      <c r="AF206" s="24"/>
      <c r="AG206" s="24"/>
      <c r="AH206" s="24"/>
      <c r="AI206" s="24"/>
      <c r="AJ206" s="24"/>
      <c r="AK206" s="25"/>
    </row>
    <row r="207" customFormat="false" ht="15.75" hidden="false" customHeight="true" outlineLevel="0" collapsed="false">
      <c r="A207" s="21"/>
      <c r="B207" s="26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7"/>
      <c r="AB207" s="27"/>
      <c r="AC207" s="27"/>
      <c r="AD207" s="27"/>
      <c r="AE207" s="27"/>
      <c r="AF207" s="24"/>
      <c r="AG207" s="24"/>
      <c r="AH207" s="24"/>
      <c r="AI207" s="24"/>
      <c r="AJ207" s="24"/>
      <c r="AK207" s="25"/>
    </row>
    <row r="208" customFormat="false" ht="15.75" hidden="false" customHeight="true" outlineLevel="0" collapsed="false">
      <c r="A208" s="21"/>
      <c r="B208" s="26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7"/>
      <c r="AB208" s="27"/>
      <c r="AC208" s="27"/>
      <c r="AD208" s="27"/>
      <c r="AE208" s="27"/>
      <c r="AF208" s="24"/>
      <c r="AG208" s="24"/>
      <c r="AH208" s="24"/>
      <c r="AI208" s="24"/>
      <c r="AJ208" s="24"/>
      <c r="AK208" s="25"/>
    </row>
    <row r="209" customFormat="false" ht="15.75" hidden="false" customHeight="true" outlineLevel="0" collapsed="false">
      <c r="A209" s="21"/>
      <c r="B209" s="26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7"/>
      <c r="AB209" s="27"/>
      <c r="AC209" s="27"/>
      <c r="AD209" s="27"/>
      <c r="AE209" s="27"/>
      <c r="AF209" s="24"/>
      <c r="AG209" s="24"/>
      <c r="AH209" s="24"/>
      <c r="AI209" s="24"/>
      <c r="AJ209" s="24"/>
      <c r="AK209" s="25"/>
    </row>
    <row r="210" customFormat="false" ht="15.75" hidden="false" customHeight="true" outlineLevel="0" collapsed="false">
      <c r="A210" s="21"/>
      <c r="B210" s="26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7"/>
      <c r="AB210" s="27"/>
      <c r="AC210" s="27"/>
      <c r="AD210" s="27"/>
      <c r="AE210" s="27"/>
      <c r="AF210" s="24"/>
      <c r="AG210" s="24"/>
      <c r="AH210" s="24"/>
      <c r="AI210" s="24"/>
      <c r="AJ210" s="24"/>
      <c r="AK210" s="25"/>
    </row>
    <row r="211" customFormat="false" ht="15.75" hidden="false" customHeight="true" outlineLevel="0" collapsed="false">
      <c r="A211" s="21"/>
      <c r="B211" s="26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7"/>
      <c r="AB211" s="27"/>
      <c r="AC211" s="27"/>
      <c r="AD211" s="27"/>
      <c r="AE211" s="27"/>
      <c r="AF211" s="24"/>
      <c r="AG211" s="24"/>
      <c r="AH211" s="24"/>
      <c r="AI211" s="24"/>
      <c r="AJ211" s="24"/>
      <c r="AK211" s="25"/>
    </row>
    <row r="212" customFormat="false" ht="15.75" hidden="false" customHeight="true" outlineLevel="0" collapsed="false">
      <c r="A212" s="21"/>
      <c r="B212" s="26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7"/>
      <c r="AB212" s="27"/>
      <c r="AC212" s="27"/>
      <c r="AD212" s="27"/>
      <c r="AE212" s="27"/>
      <c r="AF212" s="24"/>
      <c r="AG212" s="24"/>
      <c r="AH212" s="24"/>
      <c r="AI212" s="24"/>
      <c r="AJ212" s="24"/>
      <c r="AK212" s="25"/>
    </row>
    <row r="213" customFormat="false" ht="15.75" hidden="false" customHeight="true" outlineLevel="0" collapsed="false">
      <c r="A213" s="21"/>
      <c r="B213" s="26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7"/>
      <c r="AB213" s="27"/>
      <c r="AC213" s="27"/>
      <c r="AD213" s="27"/>
      <c r="AE213" s="27"/>
      <c r="AF213" s="24"/>
      <c r="AG213" s="24"/>
      <c r="AH213" s="24"/>
      <c r="AI213" s="24"/>
      <c r="AJ213" s="24"/>
      <c r="AK213" s="25"/>
    </row>
    <row r="214" customFormat="false" ht="15.75" hidden="false" customHeight="true" outlineLevel="0" collapsed="false">
      <c r="A214" s="21"/>
      <c r="B214" s="26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7"/>
      <c r="AB214" s="27"/>
      <c r="AC214" s="27"/>
      <c r="AD214" s="27"/>
      <c r="AE214" s="27"/>
      <c r="AF214" s="24"/>
      <c r="AG214" s="24"/>
      <c r="AH214" s="24"/>
      <c r="AI214" s="24"/>
      <c r="AJ214" s="24"/>
      <c r="AK214" s="25"/>
    </row>
    <row r="215" customFormat="false" ht="15.75" hidden="false" customHeight="true" outlineLevel="0" collapsed="false">
      <c r="A215" s="21"/>
      <c r="B215" s="26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7"/>
      <c r="AB215" s="27"/>
      <c r="AC215" s="27"/>
      <c r="AD215" s="27"/>
      <c r="AE215" s="27"/>
      <c r="AF215" s="24"/>
      <c r="AG215" s="24"/>
      <c r="AH215" s="24"/>
      <c r="AI215" s="24"/>
      <c r="AJ215" s="24"/>
      <c r="AK215" s="25"/>
    </row>
    <row r="216" customFormat="false" ht="15.75" hidden="false" customHeight="true" outlineLevel="0" collapsed="false">
      <c r="A216" s="21"/>
      <c r="B216" s="26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7"/>
      <c r="AB216" s="27"/>
      <c r="AC216" s="27"/>
      <c r="AD216" s="27"/>
      <c r="AE216" s="27"/>
      <c r="AF216" s="24"/>
      <c r="AG216" s="24"/>
      <c r="AH216" s="24"/>
      <c r="AI216" s="24"/>
      <c r="AJ216" s="24"/>
      <c r="AK216" s="25"/>
    </row>
    <row r="217" customFormat="false" ht="15.75" hidden="false" customHeight="true" outlineLevel="0" collapsed="false">
      <c r="A217" s="21"/>
      <c r="B217" s="26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7"/>
      <c r="AB217" s="27"/>
      <c r="AC217" s="27"/>
      <c r="AD217" s="27"/>
      <c r="AE217" s="27"/>
      <c r="AF217" s="24"/>
      <c r="AG217" s="24"/>
      <c r="AH217" s="24"/>
      <c r="AI217" s="24"/>
      <c r="AJ217" s="24"/>
      <c r="AK217" s="25"/>
    </row>
    <row r="218" customFormat="false" ht="15.75" hidden="false" customHeight="true" outlineLevel="0" collapsed="false">
      <c r="A218" s="21"/>
      <c r="B218" s="26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7"/>
      <c r="AB218" s="27"/>
      <c r="AC218" s="27"/>
      <c r="AD218" s="27"/>
      <c r="AE218" s="27"/>
      <c r="AF218" s="24"/>
      <c r="AG218" s="24"/>
      <c r="AH218" s="24"/>
      <c r="AI218" s="24"/>
      <c r="AJ218" s="24"/>
      <c r="AK218" s="25"/>
    </row>
    <row r="219" customFormat="false" ht="15.75" hidden="false" customHeight="true" outlineLevel="0" collapsed="false">
      <c r="A219" s="21"/>
      <c r="B219" s="26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7"/>
      <c r="AB219" s="27"/>
      <c r="AC219" s="27"/>
      <c r="AD219" s="27"/>
      <c r="AE219" s="27"/>
      <c r="AF219" s="24"/>
      <c r="AG219" s="24"/>
      <c r="AH219" s="24"/>
      <c r="AI219" s="24"/>
      <c r="AJ219" s="24"/>
      <c r="AK219" s="25"/>
    </row>
    <row r="220" customFormat="false" ht="15.75" hidden="false" customHeight="true" outlineLevel="0" collapsed="false">
      <c r="A220" s="21"/>
      <c r="B220" s="26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7"/>
      <c r="AB220" s="27"/>
      <c r="AC220" s="27"/>
      <c r="AD220" s="27"/>
      <c r="AE220" s="27"/>
      <c r="AF220" s="24"/>
      <c r="AG220" s="24"/>
      <c r="AH220" s="24"/>
      <c r="AI220" s="24"/>
      <c r="AJ220" s="24"/>
      <c r="AK220" s="25"/>
    </row>
    <row r="221" customFormat="false" ht="15.75" hidden="false" customHeight="true" outlineLevel="0" collapsed="false">
      <c r="A221" s="21"/>
      <c r="B221" s="26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7"/>
      <c r="AB221" s="27"/>
      <c r="AC221" s="27"/>
      <c r="AD221" s="27"/>
      <c r="AE221" s="27"/>
      <c r="AF221" s="24"/>
      <c r="AG221" s="24"/>
      <c r="AH221" s="24"/>
      <c r="AI221" s="24"/>
      <c r="AJ221" s="24"/>
      <c r="AK221" s="25"/>
    </row>
    <row r="222" customFormat="false" ht="15.75" hidden="false" customHeight="true" outlineLevel="0" collapsed="false">
      <c r="A222" s="21"/>
      <c r="B222" s="26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7"/>
      <c r="AB222" s="27"/>
      <c r="AC222" s="27"/>
      <c r="AD222" s="27"/>
      <c r="AE222" s="27"/>
      <c r="AF222" s="24"/>
      <c r="AG222" s="24"/>
      <c r="AH222" s="24"/>
      <c r="AI222" s="24"/>
      <c r="AJ222" s="24"/>
      <c r="AK222" s="25"/>
    </row>
    <row r="223" customFormat="false" ht="15.75" hidden="false" customHeight="true" outlineLevel="0" collapsed="false">
      <c r="A223" s="21"/>
      <c r="B223" s="26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7"/>
      <c r="AB223" s="27"/>
      <c r="AC223" s="27"/>
      <c r="AD223" s="27"/>
      <c r="AE223" s="27"/>
      <c r="AF223" s="24"/>
      <c r="AG223" s="24"/>
      <c r="AH223" s="24"/>
      <c r="AI223" s="24"/>
      <c r="AJ223" s="24"/>
      <c r="AK223" s="25"/>
    </row>
    <row r="224" customFormat="false" ht="15.75" hidden="false" customHeight="true" outlineLevel="0" collapsed="false">
      <c r="A224" s="21"/>
      <c r="B224" s="26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7"/>
      <c r="AB224" s="27"/>
      <c r="AC224" s="27"/>
      <c r="AD224" s="27"/>
      <c r="AE224" s="27"/>
      <c r="AF224" s="24"/>
      <c r="AG224" s="24"/>
      <c r="AH224" s="24"/>
      <c r="AI224" s="24"/>
      <c r="AJ224" s="24"/>
      <c r="AK224" s="25"/>
    </row>
    <row r="225" customFormat="false" ht="15.75" hidden="false" customHeight="true" outlineLevel="0" collapsed="false">
      <c r="A225" s="21"/>
      <c r="B225" s="26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7"/>
      <c r="AB225" s="27"/>
      <c r="AC225" s="27"/>
      <c r="AD225" s="27"/>
      <c r="AE225" s="27"/>
      <c r="AF225" s="24"/>
      <c r="AG225" s="24"/>
      <c r="AH225" s="24"/>
      <c r="AI225" s="24"/>
      <c r="AJ225" s="24"/>
      <c r="AK225" s="25"/>
    </row>
    <row r="226" customFormat="false" ht="15.75" hidden="false" customHeight="true" outlineLevel="0" collapsed="false">
      <c r="A226" s="21"/>
      <c r="B226" s="26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7"/>
      <c r="AB226" s="27"/>
      <c r="AC226" s="27"/>
      <c r="AD226" s="27"/>
      <c r="AE226" s="27"/>
      <c r="AF226" s="24"/>
      <c r="AG226" s="24"/>
      <c r="AH226" s="24"/>
      <c r="AI226" s="24"/>
      <c r="AJ226" s="24"/>
      <c r="AK226" s="25"/>
    </row>
    <row r="227" customFormat="false" ht="15.75" hidden="false" customHeight="true" outlineLevel="0" collapsed="false">
      <c r="A227" s="21"/>
      <c r="B227" s="26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7"/>
      <c r="AB227" s="27"/>
      <c r="AC227" s="27"/>
      <c r="AD227" s="27"/>
      <c r="AE227" s="27"/>
      <c r="AF227" s="24"/>
      <c r="AG227" s="24"/>
      <c r="AH227" s="24"/>
      <c r="AI227" s="24"/>
      <c r="AJ227" s="24"/>
      <c r="AK227" s="25"/>
    </row>
    <row r="228" customFormat="false" ht="15.75" hidden="false" customHeight="true" outlineLevel="0" collapsed="false">
      <c r="A228" s="21"/>
      <c r="B228" s="26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7"/>
      <c r="AB228" s="27"/>
      <c r="AC228" s="27"/>
      <c r="AD228" s="27"/>
      <c r="AE228" s="27"/>
      <c r="AF228" s="24"/>
      <c r="AG228" s="24"/>
      <c r="AH228" s="24"/>
      <c r="AI228" s="24"/>
      <c r="AJ228" s="24"/>
      <c r="AK228" s="25"/>
    </row>
    <row r="229" customFormat="false" ht="15.75" hidden="false" customHeight="true" outlineLevel="0" collapsed="false">
      <c r="A229" s="21"/>
      <c r="B229" s="26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7"/>
      <c r="AB229" s="27"/>
      <c r="AC229" s="27"/>
      <c r="AD229" s="27"/>
      <c r="AE229" s="27"/>
      <c r="AF229" s="24"/>
      <c r="AG229" s="24"/>
      <c r="AH229" s="24"/>
      <c r="AI229" s="24"/>
      <c r="AJ229" s="24"/>
      <c r="AK229" s="25"/>
    </row>
    <row r="230" customFormat="false" ht="15.75" hidden="false" customHeight="true" outlineLevel="0" collapsed="false">
      <c r="A230" s="21"/>
      <c r="B230" s="26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7"/>
      <c r="AB230" s="27"/>
      <c r="AC230" s="27"/>
      <c r="AD230" s="27"/>
      <c r="AE230" s="27"/>
      <c r="AF230" s="24"/>
      <c r="AG230" s="24"/>
      <c r="AH230" s="24"/>
      <c r="AI230" s="24"/>
      <c r="AJ230" s="24"/>
      <c r="AK230" s="25"/>
    </row>
    <row r="231" customFormat="false" ht="15.75" hidden="false" customHeight="true" outlineLevel="0" collapsed="false">
      <c r="A231" s="21"/>
      <c r="B231" s="26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7"/>
      <c r="AB231" s="27"/>
      <c r="AC231" s="27"/>
      <c r="AD231" s="27"/>
      <c r="AE231" s="27"/>
      <c r="AF231" s="24"/>
      <c r="AG231" s="24"/>
      <c r="AH231" s="24"/>
      <c r="AI231" s="24"/>
      <c r="AJ231" s="24"/>
      <c r="AK231" s="25"/>
    </row>
    <row r="232" customFormat="false" ht="15.75" hidden="false" customHeight="true" outlineLevel="0" collapsed="false">
      <c r="A232" s="21"/>
      <c r="B232" s="26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7"/>
      <c r="AB232" s="27"/>
      <c r="AC232" s="27"/>
      <c r="AD232" s="27"/>
      <c r="AE232" s="27"/>
      <c r="AF232" s="24"/>
      <c r="AG232" s="24"/>
      <c r="AH232" s="24"/>
      <c r="AI232" s="24"/>
      <c r="AJ232" s="24"/>
      <c r="AK232" s="25"/>
    </row>
    <row r="233" customFormat="false" ht="15.75" hidden="false" customHeight="true" outlineLevel="0" collapsed="false">
      <c r="A233" s="21"/>
      <c r="B233" s="26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7"/>
      <c r="AB233" s="27"/>
      <c r="AC233" s="27"/>
      <c r="AD233" s="27"/>
      <c r="AE233" s="27"/>
      <c r="AF233" s="24"/>
      <c r="AG233" s="24"/>
      <c r="AH233" s="24"/>
      <c r="AI233" s="24"/>
      <c r="AJ233" s="24"/>
      <c r="AK233" s="25"/>
    </row>
    <row r="234" customFormat="false" ht="15.75" hidden="false" customHeight="true" outlineLevel="0" collapsed="false">
      <c r="A234" s="21"/>
      <c r="B234" s="26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7"/>
      <c r="AB234" s="27"/>
      <c r="AC234" s="27"/>
      <c r="AD234" s="27"/>
      <c r="AE234" s="27"/>
      <c r="AF234" s="24"/>
      <c r="AG234" s="24"/>
      <c r="AH234" s="24"/>
      <c r="AI234" s="24"/>
      <c r="AJ234" s="24"/>
      <c r="AK234" s="25"/>
    </row>
    <row r="235" customFormat="false" ht="15.75" hidden="false" customHeight="true" outlineLevel="0" collapsed="false">
      <c r="A235" s="21"/>
      <c r="B235" s="26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7"/>
      <c r="AB235" s="27"/>
      <c r="AC235" s="27"/>
      <c r="AD235" s="27"/>
      <c r="AE235" s="27"/>
      <c r="AF235" s="24"/>
      <c r="AG235" s="24"/>
      <c r="AH235" s="24"/>
      <c r="AI235" s="24"/>
      <c r="AJ235" s="24"/>
      <c r="AK235" s="25"/>
    </row>
    <row r="236" customFormat="false" ht="15.75" hidden="false" customHeight="true" outlineLevel="0" collapsed="false">
      <c r="A236" s="21"/>
      <c r="B236" s="26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7"/>
      <c r="AB236" s="27"/>
      <c r="AC236" s="27"/>
      <c r="AD236" s="27"/>
      <c r="AE236" s="27"/>
      <c r="AF236" s="24"/>
      <c r="AG236" s="24"/>
      <c r="AH236" s="24"/>
      <c r="AI236" s="24"/>
      <c r="AJ236" s="24"/>
      <c r="AK236" s="25"/>
    </row>
    <row r="237" customFormat="false" ht="15.75" hidden="false" customHeight="true" outlineLevel="0" collapsed="false">
      <c r="A237" s="21"/>
      <c r="B237" s="26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7"/>
      <c r="AB237" s="27"/>
      <c r="AC237" s="27"/>
      <c r="AD237" s="27"/>
      <c r="AE237" s="27"/>
      <c r="AF237" s="24"/>
      <c r="AG237" s="24"/>
      <c r="AH237" s="24"/>
      <c r="AI237" s="24"/>
      <c r="AJ237" s="24"/>
      <c r="AK237" s="25"/>
    </row>
    <row r="238" customFormat="false" ht="15.75" hidden="false" customHeight="true" outlineLevel="0" collapsed="false">
      <c r="A238" s="21"/>
      <c r="B238" s="26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7"/>
      <c r="AB238" s="27"/>
      <c r="AC238" s="27"/>
      <c r="AD238" s="27"/>
      <c r="AE238" s="27"/>
      <c r="AF238" s="24"/>
      <c r="AG238" s="24"/>
      <c r="AH238" s="24"/>
      <c r="AI238" s="24"/>
      <c r="AJ238" s="24"/>
      <c r="AK238" s="25"/>
    </row>
    <row r="239" customFormat="false" ht="15.75" hidden="false" customHeight="true" outlineLevel="0" collapsed="false">
      <c r="A239" s="21"/>
      <c r="B239" s="26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7"/>
      <c r="AB239" s="27"/>
      <c r="AC239" s="27"/>
      <c r="AD239" s="27"/>
      <c r="AE239" s="27"/>
      <c r="AF239" s="24"/>
      <c r="AG239" s="24"/>
      <c r="AH239" s="24"/>
      <c r="AI239" s="24"/>
      <c r="AJ239" s="24"/>
      <c r="AK239" s="25"/>
    </row>
    <row r="240" customFormat="false" ht="15.75" hidden="false" customHeight="true" outlineLevel="0" collapsed="false">
      <c r="A240" s="21"/>
      <c r="B240" s="26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7"/>
      <c r="AB240" s="27"/>
      <c r="AC240" s="27"/>
      <c r="AD240" s="27"/>
      <c r="AE240" s="27"/>
      <c r="AF240" s="24"/>
      <c r="AG240" s="24"/>
      <c r="AH240" s="24"/>
      <c r="AI240" s="24"/>
      <c r="AJ240" s="24"/>
      <c r="AK240" s="25"/>
    </row>
    <row r="241" customFormat="false" ht="15.75" hidden="false" customHeight="true" outlineLevel="0" collapsed="false">
      <c r="A241" s="21"/>
      <c r="B241" s="26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7"/>
      <c r="AB241" s="27"/>
      <c r="AC241" s="27"/>
      <c r="AD241" s="27"/>
      <c r="AE241" s="27"/>
      <c r="AF241" s="24"/>
      <c r="AG241" s="24"/>
      <c r="AH241" s="24"/>
      <c r="AI241" s="24"/>
      <c r="AJ241" s="24"/>
      <c r="AK241" s="25"/>
    </row>
    <row r="242" customFormat="false" ht="15.75" hidden="false" customHeight="true" outlineLevel="0" collapsed="false">
      <c r="A242" s="21"/>
      <c r="B242" s="26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7"/>
      <c r="AB242" s="27"/>
      <c r="AC242" s="27"/>
      <c r="AD242" s="27"/>
      <c r="AE242" s="27"/>
      <c r="AF242" s="24"/>
      <c r="AG242" s="24"/>
      <c r="AH242" s="24"/>
      <c r="AI242" s="24"/>
      <c r="AJ242" s="24"/>
      <c r="AK242" s="25"/>
    </row>
    <row r="243" customFormat="false" ht="15.75" hidden="false" customHeight="true" outlineLevel="0" collapsed="false">
      <c r="A243" s="21"/>
      <c r="B243" s="26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7"/>
      <c r="AB243" s="27"/>
      <c r="AC243" s="27"/>
      <c r="AD243" s="27"/>
      <c r="AE243" s="27"/>
      <c r="AF243" s="24"/>
      <c r="AG243" s="24"/>
      <c r="AH243" s="24"/>
      <c r="AI243" s="24"/>
      <c r="AJ243" s="24"/>
      <c r="AK243" s="25"/>
    </row>
    <row r="244" customFormat="false" ht="15.75" hidden="false" customHeight="true" outlineLevel="0" collapsed="false">
      <c r="A244" s="21"/>
      <c r="B244" s="26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7"/>
      <c r="AB244" s="27"/>
      <c r="AC244" s="27"/>
      <c r="AD244" s="27"/>
      <c r="AE244" s="27"/>
      <c r="AF244" s="24"/>
      <c r="AG244" s="24"/>
      <c r="AH244" s="24"/>
      <c r="AI244" s="24"/>
      <c r="AJ244" s="24"/>
      <c r="AK244" s="25"/>
    </row>
    <row r="245" customFormat="false" ht="15.75" hidden="false" customHeight="true" outlineLevel="0" collapsed="false">
      <c r="A245" s="21"/>
      <c r="B245" s="26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7"/>
      <c r="AB245" s="27"/>
      <c r="AC245" s="27"/>
      <c r="AD245" s="27"/>
      <c r="AE245" s="27"/>
      <c r="AF245" s="24"/>
      <c r="AG245" s="24"/>
      <c r="AH245" s="24"/>
      <c r="AI245" s="24"/>
      <c r="AJ245" s="24"/>
      <c r="AK245" s="25"/>
    </row>
    <row r="246" customFormat="false" ht="15.75" hidden="false" customHeight="true" outlineLevel="0" collapsed="false">
      <c r="A246" s="21"/>
      <c r="B246" s="26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7"/>
      <c r="AB246" s="27"/>
      <c r="AC246" s="27"/>
      <c r="AD246" s="27"/>
      <c r="AE246" s="27"/>
      <c r="AF246" s="24"/>
      <c r="AG246" s="24"/>
      <c r="AH246" s="24"/>
      <c r="AI246" s="24"/>
      <c r="AJ246" s="24"/>
      <c r="AK246" s="25"/>
    </row>
    <row r="247" customFormat="false" ht="15.75" hidden="false" customHeight="true" outlineLevel="0" collapsed="false">
      <c r="A247" s="21"/>
      <c r="B247" s="26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7"/>
      <c r="AB247" s="27"/>
      <c r="AC247" s="27"/>
      <c r="AD247" s="27"/>
      <c r="AE247" s="27"/>
      <c r="AF247" s="24"/>
      <c r="AG247" s="24"/>
      <c r="AH247" s="24"/>
      <c r="AI247" s="24"/>
      <c r="AJ247" s="24"/>
      <c r="AK247" s="25"/>
    </row>
    <row r="248" customFormat="false" ht="15.75" hidden="false" customHeight="true" outlineLevel="0" collapsed="false">
      <c r="A248" s="21"/>
      <c r="B248" s="26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7"/>
      <c r="AB248" s="27"/>
      <c r="AC248" s="27"/>
      <c r="AD248" s="27"/>
      <c r="AE248" s="27"/>
      <c r="AF248" s="24"/>
      <c r="AG248" s="24"/>
      <c r="AH248" s="24"/>
      <c r="AI248" s="24"/>
      <c r="AJ248" s="24"/>
      <c r="AK248" s="25"/>
    </row>
    <row r="249" customFormat="false" ht="15.75" hidden="false" customHeight="true" outlineLevel="0" collapsed="false">
      <c r="A249" s="21"/>
      <c r="B249" s="26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7"/>
      <c r="AB249" s="27"/>
      <c r="AC249" s="27"/>
      <c r="AD249" s="27"/>
      <c r="AE249" s="27"/>
      <c r="AF249" s="24"/>
      <c r="AG249" s="24"/>
      <c r="AH249" s="24"/>
      <c r="AI249" s="24"/>
      <c r="AJ249" s="24"/>
      <c r="AK249" s="25"/>
    </row>
    <row r="250" customFormat="false" ht="15.75" hidden="false" customHeight="true" outlineLevel="0" collapsed="false">
      <c r="A250" s="21"/>
      <c r="B250" s="26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7"/>
      <c r="AB250" s="27"/>
      <c r="AC250" s="27"/>
      <c r="AD250" s="27"/>
      <c r="AE250" s="27"/>
      <c r="AF250" s="24"/>
      <c r="AG250" s="24"/>
      <c r="AH250" s="24"/>
      <c r="AI250" s="24"/>
      <c r="AJ250" s="24"/>
      <c r="AK250" s="25"/>
    </row>
    <row r="251" customFormat="false" ht="15.75" hidden="false" customHeight="true" outlineLevel="0" collapsed="false">
      <c r="A251" s="21"/>
      <c r="B251" s="26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7"/>
      <c r="AB251" s="27"/>
      <c r="AC251" s="27"/>
      <c r="AD251" s="27"/>
      <c r="AE251" s="27"/>
      <c r="AF251" s="24"/>
      <c r="AG251" s="24"/>
      <c r="AH251" s="24"/>
      <c r="AI251" s="24"/>
      <c r="AJ251" s="24"/>
      <c r="AK251" s="25"/>
    </row>
    <row r="252" customFormat="false" ht="15.75" hidden="false" customHeight="true" outlineLevel="0" collapsed="false">
      <c r="A252" s="21"/>
      <c r="B252" s="26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7"/>
      <c r="AB252" s="27"/>
      <c r="AC252" s="27"/>
      <c r="AD252" s="27"/>
      <c r="AE252" s="27"/>
      <c r="AF252" s="24"/>
      <c r="AG252" s="24"/>
      <c r="AH252" s="24"/>
      <c r="AI252" s="24"/>
      <c r="AJ252" s="24"/>
      <c r="AK252" s="25"/>
    </row>
    <row r="253" customFormat="false" ht="15.75" hidden="false" customHeight="true" outlineLevel="0" collapsed="false">
      <c r="A253" s="21"/>
      <c r="B253" s="26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7"/>
      <c r="AB253" s="27"/>
      <c r="AC253" s="27"/>
      <c r="AD253" s="27"/>
      <c r="AE253" s="27"/>
      <c r="AF253" s="24"/>
      <c r="AG253" s="24"/>
      <c r="AH253" s="24"/>
      <c r="AI253" s="24"/>
      <c r="AJ253" s="24"/>
      <c r="AK253" s="25"/>
    </row>
    <row r="254" customFormat="false" ht="15.75" hidden="false" customHeight="true" outlineLevel="0" collapsed="false">
      <c r="A254" s="21"/>
      <c r="B254" s="26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7"/>
      <c r="AB254" s="27"/>
      <c r="AC254" s="27"/>
      <c r="AD254" s="27"/>
      <c r="AE254" s="27"/>
      <c r="AF254" s="24"/>
      <c r="AG254" s="24"/>
      <c r="AH254" s="24"/>
      <c r="AI254" s="24"/>
      <c r="AJ254" s="24"/>
      <c r="AK254" s="25"/>
    </row>
    <row r="255" customFormat="false" ht="15.75" hidden="false" customHeight="true" outlineLevel="0" collapsed="false">
      <c r="A255" s="21"/>
      <c r="B255" s="26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7"/>
      <c r="AB255" s="27"/>
      <c r="AC255" s="27"/>
      <c r="AD255" s="27"/>
      <c r="AE255" s="27"/>
      <c r="AF255" s="24"/>
      <c r="AG255" s="24"/>
      <c r="AH255" s="24"/>
      <c r="AI255" s="24"/>
      <c r="AJ255" s="24"/>
      <c r="AK255" s="25"/>
    </row>
    <row r="256" customFormat="false" ht="15.75" hidden="false" customHeight="true" outlineLevel="0" collapsed="false">
      <c r="A256" s="21"/>
      <c r="B256" s="26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7"/>
      <c r="AB256" s="27"/>
      <c r="AC256" s="27"/>
      <c r="AD256" s="27"/>
      <c r="AE256" s="27"/>
      <c r="AF256" s="24"/>
      <c r="AG256" s="24"/>
      <c r="AH256" s="24"/>
      <c r="AI256" s="24"/>
      <c r="AJ256" s="24"/>
      <c r="AK256" s="25"/>
    </row>
    <row r="257" customFormat="false" ht="15.75" hidden="false" customHeight="true" outlineLevel="0" collapsed="false">
      <c r="A257" s="21"/>
      <c r="B257" s="26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7"/>
      <c r="AB257" s="27"/>
      <c r="AC257" s="27"/>
      <c r="AD257" s="27"/>
      <c r="AE257" s="27"/>
      <c r="AF257" s="24"/>
      <c r="AG257" s="24"/>
      <c r="AH257" s="24"/>
      <c r="AI257" s="24"/>
      <c r="AJ257" s="24"/>
      <c r="AK257" s="25"/>
    </row>
    <row r="258" customFormat="false" ht="15.75" hidden="false" customHeight="true" outlineLevel="0" collapsed="false">
      <c r="A258" s="21"/>
      <c r="B258" s="26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7"/>
      <c r="AB258" s="27"/>
      <c r="AC258" s="27"/>
      <c r="AD258" s="27"/>
      <c r="AE258" s="27"/>
      <c r="AF258" s="24"/>
      <c r="AG258" s="24"/>
      <c r="AH258" s="24"/>
      <c r="AI258" s="24"/>
      <c r="AJ258" s="24"/>
      <c r="AK258" s="25"/>
    </row>
    <row r="259" customFormat="false" ht="15.75" hidden="false" customHeight="true" outlineLevel="0" collapsed="false">
      <c r="A259" s="21"/>
      <c r="B259" s="26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7"/>
      <c r="AB259" s="27"/>
      <c r="AC259" s="27"/>
      <c r="AD259" s="27"/>
      <c r="AE259" s="27"/>
      <c r="AF259" s="24"/>
      <c r="AG259" s="24"/>
      <c r="AH259" s="24"/>
      <c r="AI259" s="24"/>
      <c r="AJ259" s="24"/>
      <c r="AK259" s="25"/>
    </row>
    <row r="260" customFormat="false" ht="15.75" hidden="false" customHeight="true" outlineLevel="0" collapsed="false">
      <c r="A260" s="21"/>
      <c r="B260" s="26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7"/>
      <c r="AB260" s="27"/>
      <c r="AC260" s="27"/>
      <c r="AD260" s="27"/>
      <c r="AE260" s="27"/>
      <c r="AF260" s="24"/>
      <c r="AG260" s="24"/>
      <c r="AH260" s="24"/>
      <c r="AI260" s="24"/>
      <c r="AJ260" s="24"/>
      <c r="AK260" s="25"/>
    </row>
    <row r="261" customFormat="false" ht="15.75" hidden="false" customHeight="true" outlineLevel="0" collapsed="false">
      <c r="A261" s="21"/>
      <c r="B261" s="26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7"/>
      <c r="AB261" s="27"/>
      <c r="AC261" s="27"/>
      <c r="AD261" s="27"/>
      <c r="AE261" s="27"/>
      <c r="AF261" s="24"/>
      <c r="AG261" s="24"/>
      <c r="AH261" s="24"/>
      <c r="AI261" s="24"/>
      <c r="AJ261" s="24"/>
      <c r="AK261" s="25"/>
    </row>
    <row r="262" customFormat="false" ht="15.75" hidden="false" customHeight="true" outlineLevel="0" collapsed="false">
      <c r="A262" s="21"/>
      <c r="B262" s="26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7"/>
      <c r="AB262" s="27"/>
      <c r="AC262" s="27"/>
      <c r="AD262" s="27"/>
      <c r="AE262" s="27"/>
      <c r="AF262" s="24"/>
      <c r="AG262" s="24"/>
      <c r="AH262" s="24"/>
      <c r="AI262" s="24"/>
      <c r="AJ262" s="24"/>
      <c r="AK262" s="25"/>
    </row>
    <row r="263" customFormat="false" ht="15.75" hidden="false" customHeight="true" outlineLevel="0" collapsed="false">
      <c r="A263" s="21"/>
      <c r="B263" s="26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7"/>
      <c r="AB263" s="27"/>
      <c r="AC263" s="27"/>
      <c r="AD263" s="27"/>
      <c r="AE263" s="27"/>
      <c r="AF263" s="24"/>
      <c r="AG263" s="24"/>
      <c r="AH263" s="24"/>
      <c r="AI263" s="24"/>
      <c r="AJ263" s="24"/>
      <c r="AK263" s="25"/>
    </row>
    <row r="264" customFormat="false" ht="15.75" hidden="false" customHeight="true" outlineLevel="0" collapsed="false">
      <c r="A264" s="21"/>
      <c r="B264" s="26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7"/>
      <c r="AB264" s="27"/>
      <c r="AC264" s="27"/>
      <c r="AD264" s="27"/>
      <c r="AE264" s="27"/>
      <c r="AF264" s="24"/>
      <c r="AG264" s="24"/>
      <c r="AH264" s="24"/>
      <c r="AI264" s="24"/>
      <c r="AJ264" s="24"/>
      <c r="AK264" s="25"/>
    </row>
    <row r="265" customFormat="false" ht="15.75" hidden="false" customHeight="true" outlineLevel="0" collapsed="false">
      <c r="A265" s="21"/>
      <c r="B265" s="26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7"/>
      <c r="AB265" s="27"/>
      <c r="AC265" s="27"/>
      <c r="AD265" s="27"/>
      <c r="AE265" s="27"/>
      <c r="AF265" s="24"/>
      <c r="AG265" s="24"/>
      <c r="AH265" s="24"/>
      <c r="AI265" s="24"/>
      <c r="AJ265" s="24"/>
      <c r="AK265" s="25"/>
    </row>
    <row r="266" customFormat="false" ht="15.75" hidden="false" customHeight="true" outlineLevel="0" collapsed="false">
      <c r="A266" s="21"/>
      <c r="B266" s="26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7"/>
      <c r="AB266" s="27"/>
      <c r="AC266" s="27"/>
      <c r="AD266" s="27"/>
      <c r="AE266" s="27"/>
      <c r="AF266" s="24"/>
      <c r="AG266" s="24"/>
      <c r="AH266" s="24"/>
      <c r="AI266" s="24"/>
      <c r="AJ266" s="24"/>
      <c r="AK266" s="25"/>
    </row>
    <row r="267" customFormat="false" ht="15.75" hidden="false" customHeight="true" outlineLevel="0" collapsed="false">
      <c r="A267" s="21"/>
      <c r="B267" s="26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7"/>
      <c r="AB267" s="27"/>
      <c r="AC267" s="27"/>
      <c r="AD267" s="27"/>
      <c r="AE267" s="27"/>
      <c r="AF267" s="24"/>
      <c r="AG267" s="24"/>
      <c r="AH267" s="24"/>
      <c r="AI267" s="24"/>
      <c r="AJ267" s="24"/>
      <c r="AK267" s="25"/>
    </row>
    <row r="268" customFormat="false" ht="15.75" hidden="false" customHeight="true" outlineLevel="0" collapsed="false">
      <c r="A268" s="21"/>
      <c r="B268" s="26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7"/>
      <c r="AB268" s="27"/>
      <c r="AC268" s="27"/>
      <c r="AD268" s="27"/>
      <c r="AE268" s="27"/>
      <c r="AF268" s="24"/>
      <c r="AG268" s="24"/>
      <c r="AH268" s="24"/>
      <c r="AI268" s="24"/>
      <c r="AJ268" s="24"/>
      <c r="AK268" s="25"/>
    </row>
    <row r="269" customFormat="false" ht="15.75" hidden="false" customHeight="true" outlineLevel="0" collapsed="false">
      <c r="A269" s="21"/>
      <c r="B269" s="26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7"/>
      <c r="AB269" s="27"/>
      <c r="AC269" s="27"/>
      <c r="AD269" s="27"/>
      <c r="AE269" s="27"/>
      <c r="AF269" s="24"/>
      <c r="AG269" s="24"/>
      <c r="AH269" s="24"/>
      <c r="AI269" s="24"/>
      <c r="AJ269" s="24"/>
      <c r="AK269" s="25"/>
    </row>
    <row r="270" customFormat="false" ht="15.75" hidden="false" customHeight="true" outlineLevel="0" collapsed="false">
      <c r="A270" s="21"/>
      <c r="B270" s="26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7"/>
      <c r="AB270" s="27"/>
      <c r="AC270" s="27"/>
      <c r="AD270" s="27"/>
      <c r="AE270" s="27"/>
      <c r="AF270" s="24"/>
      <c r="AG270" s="24"/>
      <c r="AH270" s="24"/>
      <c r="AI270" s="24"/>
      <c r="AJ270" s="24"/>
      <c r="AK270" s="25"/>
    </row>
    <row r="271" customFormat="false" ht="15.75" hidden="false" customHeight="true" outlineLevel="0" collapsed="false">
      <c r="A271" s="21"/>
      <c r="B271" s="26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7"/>
      <c r="AB271" s="27"/>
      <c r="AC271" s="27"/>
      <c r="AD271" s="27"/>
      <c r="AE271" s="27"/>
      <c r="AF271" s="24"/>
      <c r="AG271" s="24"/>
      <c r="AH271" s="24"/>
      <c r="AI271" s="24"/>
      <c r="AJ271" s="24"/>
      <c r="AK271" s="25"/>
    </row>
    <row r="272" customFormat="false" ht="15.75" hidden="false" customHeight="true" outlineLevel="0" collapsed="false">
      <c r="A272" s="21"/>
      <c r="B272" s="26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7"/>
      <c r="AB272" s="27"/>
      <c r="AC272" s="27"/>
      <c r="AD272" s="27"/>
      <c r="AE272" s="27"/>
      <c r="AF272" s="24"/>
      <c r="AG272" s="24"/>
      <c r="AH272" s="24"/>
      <c r="AI272" s="24"/>
      <c r="AJ272" s="24"/>
      <c r="AK272" s="25"/>
    </row>
    <row r="273" customFormat="false" ht="15.75" hidden="false" customHeight="true" outlineLevel="0" collapsed="false">
      <c r="A273" s="21"/>
      <c r="B273" s="26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7"/>
      <c r="AB273" s="27"/>
      <c r="AC273" s="27"/>
      <c r="AD273" s="27"/>
      <c r="AE273" s="27"/>
      <c r="AF273" s="24"/>
      <c r="AG273" s="24"/>
      <c r="AH273" s="24"/>
      <c r="AI273" s="24"/>
      <c r="AJ273" s="24"/>
      <c r="AK273" s="25"/>
    </row>
    <row r="274" customFormat="false" ht="15.75" hidden="false" customHeight="true" outlineLevel="0" collapsed="false">
      <c r="A274" s="21"/>
      <c r="B274" s="26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7"/>
      <c r="AB274" s="27"/>
      <c r="AC274" s="27"/>
      <c r="AD274" s="27"/>
      <c r="AE274" s="27"/>
      <c r="AF274" s="24"/>
      <c r="AG274" s="24"/>
      <c r="AH274" s="24"/>
      <c r="AI274" s="24"/>
      <c r="AJ274" s="24"/>
      <c r="AK274" s="25"/>
    </row>
    <row r="275" customFormat="false" ht="15.75" hidden="false" customHeight="true" outlineLevel="0" collapsed="false">
      <c r="A275" s="21"/>
      <c r="B275" s="26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7"/>
      <c r="AB275" s="27"/>
      <c r="AC275" s="27"/>
      <c r="AD275" s="27"/>
      <c r="AE275" s="27"/>
      <c r="AF275" s="24"/>
      <c r="AG275" s="24"/>
      <c r="AH275" s="24"/>
      <c r="AI275" s="24"/>
      <c r="AJ275" s="24"/>
      <c r="AK275" s="25"/>
    </row>
    <row r="276" customFormat="false" ht="15.75" hidden="false" customHeight="true" outlineLevel="0" collapsed="false">
      <c r="A276" s="21"/>
      <c r="B276" s="26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7"/>
      <c r="AB276" s="27"/>
      <c r="AC276" s="27"/>
      <c r="AD276" s="27"/>
      <c r="AE276" s="27"/>
      <c r="AF276" s="24"/>
      <c r="AG276" s="24"/>
      <c r="AH276" s="24"/>
      <c r="AI276" s="24"/>
      <c r="AJ276" s="24"/>
      <c r="AK276" s="25"/>
    </row>
    <row r="277" customFormat="false" ht="15.75" hidden="false" customHeight="true" outlineLevel="0" collapsed="false">
      <c r="A277" s="21"/>
      <c r="B277" s="26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7"/>
      <c r="AB277" s="27"/>
      <c r="AC277" s="27"/>
      <c r="AD277" s="27"/>
      <c r="AE277" s="27"/>
      <c r="AF277" s="24"/>
      <c r="AG277" s="24"/>
      <c r="AH277" s="24"/>
      <c r="AI277" s="24"/>
      <c r="AJ277" s="24"/>
      <c r="AK277" s="25"/>
    </row>
    <row r="278" customFormat="false" ht="15.75" hidden="false" customHeight="true" outlineLevel="0" collapsed="false">
      <c r="A278" s="21"/>
      <c r="B278" s="26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7"/>
      <c r="AB278" s="27"/>
      <c r="AC278" s="27"/>
      <c r="AD278" s="27"/>
      <c r="AE278" s="27"/>
      <c r="AF278" s="24"/>
      <c r="AG278" s="24"/>
      <c r="AH278" s="24"/>
      <c r="AI278" s="24"/>
      <c r="AJ278" s="24"/>
      <c r="AK278" s="25"/>
    </row>
    <row r="279" customFormat="false" ht="15.75" hidden="false" customHeight="true" outlineLevel="0" collapsed="false">
      <c r="A279" s="21"/>
      <c r="B279" s="26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7"/>
      <c r="AB279" s="27"/>
      <c r="AC279" s="27"/>
      <c r="AD279" s="27"/>
      <c r="AE279" s="27"/>
      <c r="AF279" s="24"/>
      <c r="AG279" s="24"/>
      <c r="AH279" s="24"/>
      <c r="AI279" s="24"/>
      <c r="AJ279" s="24"/>
      <c r="AK279" s="25"/>
    </row>
    <row r="280" customFormat="false" ht="15.75" hidden="false" customHeight="true" outlineLevel="0" collapsed="false">
      <c r="A280" s="21"/>
      <c r="B280" s="26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7"/>
      <c r="AB280" s="27"/>
      <c r="AC280" s="27"/>
      <c r="AD280" s="27"/>
      <c r="AE280" s="27"/>
      <c r="AF280" s="24"/>
      <c r="AG280" s="24"/>
      <c r="AH280" s="24"/>
      <c r="AI280" s="24"/>
      <c r="AJ280" s="24"/>
      <c r="AK280" s="25"/>
    </row>
    <row r="281" customFormat="false" ht="15.75" hidden="false" customHeight="true" outlineLevel="0" collapsed="false">
      <c r="A281" s="21"/>
      <c r="B281" s="26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7"/>
      <c r="AB281" s="27"/>
      <c r="AC281" s="27"/>
      <c r="AD281" s="27"/>
      <c r="AE281" s="27"/>
      <c r="AF281" s="24"/>
      <c r="AG281" s="24"/>
      <c r="AH281" s="24"/>
      <c r="AI281" s="24"/>
      <c r="AJ281" s="24"/>
      <c r="AK281" s="25"/>
    </row>
    <row r="282" customFormat="false" ht="15.75" hidden="false" customHeight="true" outlineLevel="0" collapsed="false">
      <c r="A282" s="21"/>
      <c r="B282" s="26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7"/>
      <c r="AB282" s="27"/>
      <c r="AC282" s="27"/>
      <c r="AD282" s="27"/>
      <c r="AE282" s="27"/>
      <c r="AF282" s="24"/>
      <c r="AG282" s="24"/>
      <c r="AH282" s="24"/>
      <c r="AI282" s="24"/>
      <c r="AJ282" s="24"/>
      <c r="AK282" s="25"/>
    </row>
    <row r="283" customFormat="false" ht="15.75" hidden="false" customHeight="true" outlineLevel="0" collapsed="false">
      <c r="A283" s="21"/>
      <c r="B283" s="26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7"/>
      <c r="AB283" s="27"/>
      <c r="AC283" s="27"/>
      <c r="AD283" s="27"/>
      <c r="AE283" s="27"/>
      <c r="AF283" s="24"/>
      <c r="AG283" s="24"/>
      <c r="AH283" s="24"/>
      <c r="AI283" s="24"/>
      <c r="AJ283" s="24"/>
      <c r="AK283" s="25"/>
    </row>
    <row r="284" customFormat="false" ht="15.75" hidden="false" customHeight="true" outlineLevel="0" collapsed="false">
      <c r="A284" s="21"/>
      <c r="B284" s="26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7"/>
      <c r="AB284" s="27"/>
      <c r="AC284" s="27"/>
      <c r="AD284" s="27"/>
      <c r="AE284" s="27"/>
      <c r="AF284" s="24"/>
      <c r="AG284" s="24"/>
      <c r="AH284" s="24"/>
      <c r="AI284" s="24"/>
      <c r="AJ284" s="24"/>
      <c r="AK284" s="25"/>
    </row>
    <row r="285" customFormat="false" ht="15.75" hidden="false" customHeight="true" outlineLevel="0" collapsed="false">
      <c r="A285" s="21"/>
      <c r="B285" s="26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7"/>
      <c r="AB285" s="27"/>
      <c r="AC285" s="27"/>
      <c r="AD285" s="27"/>
      <c r="AE285" s="27"/>
      <c r="AF285" s="24"/>
      <c r="AG285" s="24"/>
      <c r="AH285" s="24"/>
      <c r="AI285" s="24"/>
      <c r="AJ285" s="24"/>
      <c r="AK285" s="25"/>
    </row>
    <row r="286" customFormat="false" ht="15.75" hidden="false" customHeight="true" outlineLevel="0" collapsed="false">
      <c r="A286" s="21"/>
      <c r="B286" s="26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7"/>
      <c r="AB286" s="27"/>
      <c r="AC286" s="27"/>
      <c r="AD286" s="27"/>
      <c r="AE286" s="27"/>
      <c r="AF286" s="24"/>
      <c r="AG286" s="24"/>
      <c r="AH286" s="24"/>
      <c r="AI286" s="24"/>
      <c r="AJ286" s="24"/>
      <c r="AK286" s="25"/>
    </row>
    <row r="287" customFormat="false" ht="15.75" hidden="false" customHeight="true" outlineLevel="0" collapsed="false">
      <c r="A287" s="21"/>
      <c r="B287" s="26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7"/>
      <c r="AB287" s="27"/>
      <c r="AC287" s="27"/>
      <c r="AD287" s="27"/>
      <c r="AE287" s="27"/>
      <c r="AF287" s="24"/>
      <c r="AG287" s="24"/>
      <c r="AH287" s="24"/>
      <c r="AI287" s="24"/>
      <c r="AJ287" s="24"/>
      <c r="AK287" s="25"/>
    </row>
    <row r="288" customFormat="false" ht="15.75" hidden="false" customHeight="true" outlineLevel="0" collapsed="false">
      <c r="A288" s="21"/>
      <c r="B288" s="26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7"/>
      <c r="AB288" s="27"/>
      <c r="AC288" s="27"/>
      <c r="AD288" s="27"/>
      <c r="AE288" s="27"/>
      <c r="AF288" s="24"/>
      <c r="AG288" s="24"/>
      <c r="AH288" s="24"/>
      <c r="AI288" s="24"/>
      <c r="AJ288" s="24"/>
      <c r="AK288" s="25"/>
    </row>
    <row r="289" customFormat="false" ht="15.75" hidden="false" customHeight="true" outlineLevel="0" collapsed="false">
      <c r="A289" s="21"/>
      <c r="B289" s="26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7"/>
      <c r="AB289" s="27"/>
      <c r="AC289" s="27"/>
      <c r="AD289" s="27"/>
      <c r="AE289" s="27"/>
      <c r="AF289" s="24"/>
      <c r="AG289" s="24"/>
      <c r="AH289" s="24"/>
      <c r="AI289" s="24"/>
      <c r="AJ289" s="24"/>
      <c r="AK289" s="25"/>
    </row>
    <row r="290" customFormat="false" ht="15.75" hidden="false" customHeight="true" outlineLevel="0" collapsed="false">
      <c r="A290" s="21"/>
      <c r="B290" s="26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7"/>
      <c r="AB290" s="27"/>
      <c r="AC290" s="27"/>
      <c r="AD290" s="27"/>
      <c r="AE290" s="27"/>
      <c r="AF290" s="24"/>
      <c r="AG290" s="24"/>
      <c r="AH290" s="24"/>
      <c r="AI290" s="24"/>
      <c r="AJ290" s="24"/>
      <c r="AK290" s="25"/>
    </row>
    <row r="291" customFormat="false" ht="15.75" hidden="false" customHeight="true" outlineLevel="0" collapsed="false">
      <c r="A291" s="21"/>
      <c r="B291" s="26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7"/>
      <c r="AB291" s="27"/>
      <c r="AC291" s="27"/>
      <c r="AD291" s="27"/>
      <c r="AE291" s="27"/>
      <c r="AF291" s="24"/>
      <c r="AG291" s="24"/>
      <c r="AH291" s="24"/>
      <c r="AI291" s="24"/>
      <c r="AJ291" s="24"/>
      <c r="AK291" s="25"/>
    </row>
    <row r="292" customFormat="false" ht="15.75" hidden="false" customHeight="true" outlineLevel="0" collapsed="false">
      <c r="A292" s="21"/>
      <c r="B292" s="26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7"/>
      <c r="AB292" s="27"/>
      <c r="AC292" s="27"/>
      <c r="AD292" s="27"/>
      <c r="AE292" s="27"/>
      <c r="AF292" s="24"/>
      <c r="AG292" s="24"/>
      <c r="AH292" s="24"/>
      <c r="AI292" s="24"/>
      <c r="AJ292" s="24"/>
      <c r="AK292" s="25"/>
    </row>
    <row r="293" customFormat="false" ht="15.75" hidden="false" customHeight="true" outlineLevel="0" collapsed="false">
      <c r="A293" s="21"/>
      <c r="B293" s="26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7"/>
      <c r="AB293" s="27"/>
      <c r="AC293" s="27"/>
      <c r="AD293" s="27"/>
      <c r="AE293" s="27"/>
      <c r="AF293" s="24"/>
      <c r="AG293" s="24"/>
      <c r="AH293" s="24"/>
      <c r="AI293" s="24"/>
      <c r="AJ293" s="24"/>
      <c r="AK293" s="25"/>
    </row>
    <row r="294" customFormat="false" ht="15.75" hidden="false" customHeight="true" outlineLevel="0" collapsed="false">
      <c r="A294" s="21"/>
      <c r="B294" s="26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7"/>
      <c r="AB294" s="27"/>
      <c r="AC294" s="27"/>
      <c r="AD294" s="27"/>
      <c r="AE294" s="27"/>
      <c r="AF294" s="24"/>
      <c r="AG294" s="24"/>
      <c r="AH294" s="24"/>
      <c r="AI294" s="24"/>
      <c r="AJ294" s="24"/>
      <c r="AK294" s="25"/>
    </row>
    <row r="295" customFormat="false" ht="15.75" hidden="false" customHeight="true" outlineLevel="0" collapsed="false">
      <c r="A295" s="21"/>
      <c r="B295" s="26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7"/>
      <c r="AB295" s="27"/>
      <c r="AC295" s="27"/>
      <c r="AD295" s="27"/>
      <c r="AE295" s="27"/>
      <c r="AF295" s="24"/>
      <c r="AG295" s="24"/>
      <c r="AH295" s="24"/>
      <c r="AI295" s="24"/>
      <c r="AJ295" s="24"/>
      <c r="AK295" s="25"/>
    </row>
    <row r="296" customFormat="false" ht="15.75" hidden="false" customHeight="true" outlineLevel="0" collapsed="false">
      <c r="A296" s="21"/>
      <c r="B296" s="26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7"/>
      <c r="AB296" s="27"/>
      <c r="AC296" s="27"/>
      <c r="AD296" s="27"/>
      <c r="AE296" s="27"/>
      <c r="AF296" s="24"/>
      <c r="AG296" s="24"/>
      <c r="AH296" s="24"/>
      <c r="AI296" s="24"/>
      <c r="AJ296" s="24"/>
      <c r="AK296" s="25"/>
    </row>
    <row r="297" customFormat="false" ht="15.75" hidden="false" customHeight="true" outlineLevel="0" collapsed="false">
      <c r="A297" s="21"/>
      <c r="B297" s="26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7"/>
      <c r="AB297" s="27"/>
      <c r="AC297" s="27"/>
      <c r="AD297" s="27"/>
      <c r="AE297" s="27"/>
      <c r="AF297" s="24"/>
      <c r="AG297" s="24"/>
      <c r="AH297" s="24"/>
      <c r="AI297" s="24"/>
      <c r="AJ297" s="24"/>
      <c r="AK297" s="25"/>
    </row>
    <row r="298" customFormat="false" ht="15.75" hidden="false" customHeight="true" outlineLevel="0" collapsed="false">
      <c r="A298" s="21"/>
      <c r="B298" s="26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7"/>
      <c r="AB298" s="27"/>
      <c r="AC298" s="27"/>
      <c r="AD298" s="27"/>
      <c r="AE298" s="27"/>
      <c r="AF298" s="24"/>
      <c r="AG298" s="24"/>
      <c r="AH298" s="24"/>
      <c r="AI298" s="24"/>
      <c r="AJ298" s="24"/>
      <c r="AK298" s="25"/>
    </row>
    <row r="299" customFormat="false" ht="15.75" hidden="false" customHeight="true" outlineLevel="0" collapsed="false">
      <c r="A299" s="21"/>
      <c r="B299" s="26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7"/>
      <c r="AB299" s="27"/>
      <c r="AC299" s="27"/>
      <c r="AD299" s="27"/>
      <c r="AE299" s="27"/>
      <c r="AF299" s="24"/>
      <c r="AG299" s="24"/>
      <c r="AH299" s="24"/>
      <c r="AI299" s="24"/>
      <c r="AJ299" s="24"/>
      <c r="AK299" s="25"/>
    </row>
    <row r="300" customFormat="false" ht="15.75" hidden="false" customHeight="true" outlineLevel="0" collapsed="false">
      <c r="A300" s="21"/>
      <c r="B300" s="26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7"/>
      <c r="AB300" s="27"/>
      <c r="AC300" s="27"/>
      <c r="AD300" s="27"/>
      <c r="AE300" s="27"/>
      <c r="AF300" s="24"/>
      <c r="AG300" s="24"/>
      <c r="AH300" s="24"/>
      <c r="AI300" s="24"/>
      <c r="AJ300" s="24"/>
      <c r="AK300" s="25"/>
    </row>
    <row r="301" customFormat="false" ht="15.75" hidden="false" customHeight="true" outlineLevel="0" collapsed="false">
      <c r="A301" s="21"/>
      <c r="B301" s="26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7"/>
      <c r="AB301" s="27"/>
      <c r="AC301" s="27"/>
      <c r="AD301" s="27"/>
      <c r="AE301" s="27"/>
      <c r="AF301" s="24"/>
      <c r="AG301" s="24"/>
      <c r="AH301" s="24"/>
      <c r="AI301" s="24"/>
      <c r="AJ301" s="24"/>
      <c r="AK301" s="25"/>
    </row>
    <row r="302" customFormat="false" ht="15.75" hidden="false" customHeight="true" outlineLevel="0" collapsed="false">
      <c r="A302" s="21"/>
      <c r="B302" s="26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7"/>
      <c r="AB302" s="27"/>
      <c r="AC302" s="27"/>
      <c r="AD302" s="27"/>
      <c r="AE302" s="27"/>
      <c r="AF302" s="24"/>
      <c r="AG302" s="24"/>
      <c r="AH302" s="24"/>
      <c r="AI302" s="24"/>
      <c r="AJ302" s="24"/>
      <c r="AK302" s="25"/>
    </row>
    <row r="303" customFormat="false" ht="15.75" hidden="false" customHeight="true" outlineLevel="0" collapsed="false">
      <c r="A303" s="21"/>
      <c r="B303" s="26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7"/>
      <c r="AB303" s="27"/>
      <c r="AC303" s="27"/>
      <c r="AD303" s="27"/>
      <c r="AE303" s="27"/>
      <c r="AF303" s="24"/>
      <c r="AG303" s="24"/>
      <c r="AH303" s="24"/>
      <c r="AI303" s="24"/>
      <c r="AJ303" s="24"/>
      <c r="AK303" s="25"/>
    </row>
    <row r="304" customFormat="false" ht="15.75" hidden="false" customHeight="true" outlineLevel="0" collapsed="false">
      <c r="A304" s="21"/>
      <c r="B304" s="26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7"/>
      <c r="AB304" s="27"/>
      <c r="AC304" s="27"/>
      <c r="AD304" s="27"/>
      <c r="AE304" s="27"/>
      <c r="AF304" s="24"/>
      <c r="AG304" s="24"/>
      <c r="AH304" s="24"/>
      <c r="AI304" s="24"/>
      <c r="AJ304" s="24"/>
      <c r="AK304" s="25"/>
    </row>
    <row r="305" customFormat="false" ht="15.75" hidden="false" customHeight="true" outlineLevel="0" collapsed="false">
      <c r="A305" s="21"/>
      <c r="B305" s="26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7"/>
      <c r="AB305" s="27"/>
      <c r="AC305" s="27"/>
      <c r="AD305" s="27"/>
      <c r="AE305" s="27"/>
      <c r="AF305" s="24"/>
      <c r="AG305" s="24"/>
      <c r="AH305" s="24"/>
      <c r="AI305" s="24"/>
      <c r="AJ305" s="24"/>
      <c r="AK305" s="25"/>
    </row>
    <row r="306" customFormat="false" ht="15.75" hidden="false" customHeight="true" outlineLevel="0" collapsed="false">
      <c r="A306" s="21"/>
      <c r="B306" s="26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7"/>
      <c r="AB306" s="27"/>
      <c r="AC306" s="27"/>
      <c r="AD306" s="27"/>
      <c r="AE306" s="27"/>
      <c r="AF306" s="24"/>
      <c r="AG306" s="24"/>
      <c r="AH306" s="24"/>
      <c r="AI306" s="24"/>
      <c r="AJ306" s="24"/>
      <c r="AK306" s="25"/>
    </row>
    <row r="307" customFormat="false" ht="15.75" hidden="false" customHeight="true" outlineLevel="0" collapsed="false">
      <c r="A307" s="21"/>
      <c r="B307" s="26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7"/>
      <c r="AB307" s="27"/>
      <c r="AC307" s="27"/>
      <c r="AD307" s="27"/>
      <c r="AE307" s="27"/>
      <c r="AF307" s="24"/>
      <c r="AG307" s="24"/>
      <c r="AH307" s="24"/>
      <c r="AI307" s="24"/>
      <c r="AJ307" s="24"/>
      <c r="AK307" s="25"/>
    </row>
    <row r="308" customFormat="false" ht="15.75" hidden="false" customHeight="true" outlineLevel="0" collapsed="false">
      <c r="A308" s="21"/>
      <c r="B308" s="26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7"/>
      <c r="AB308" s="27"/>
      <c r="AC308" s="27"/>
      <c r="AD308" s="27"/>
      <c r="AE308" s="27"/>
      <c r="AF308" s="24"/>
      <c r="AG308" s="24"/>
      <c r="AH308" s="24"/>
      <c r="AI308" s="24"/>
      <c r="AJ308" s="24"/>
      <c r="AK308" s="25"/>
    </row>
    <row r="309" customFormat="false" ht="15.75" hidden="false" customHeight="true" outlineLevel="0" collapsed="false">
      <c r="A309" s="21"/>
      <c r="B309" s="26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7"/>
      <c r="AB309" s="27"/>
      <c r="AC309" s="27"/>
      <c r="AD309" s="27"/>
      <c r="AE309" s="27"/>
      <c r="AF309" s="24"/>
      <c r="AG309" s="24"/>
      <c r="AH309" s="24"/>
      <c r="AI309" s="24"/>
      <c r="AJ309" s="24"/>
      <c r="AK309" s="25"/>
    </row>
    <row r="310" customFormat="false" ht="15.75" hidden="false" customHeight="true" outlineLevel="0" collapsed="false">
      <c r="A310" s="21"/>
      <c r="B310" s="26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7"/>
      <c r="AB310" s="27"/>
      <c r="AC310" s="27"/>
      <c r="AD310" s="27"/>
      <c r="AE310" s="27"/>
      <c r="AF310" s="24"/>
      <c r="AG310" s="24"/>
      <c r="AH310" s="24"/>
      <c r="AI310" s="24"/>
      <c r="AJ310" s="24"/>
      <c r="AK310" s="25"/>
    </row>
    <row r="311" customFormat="false" ht="15.75" hidden="false" customHeight="true" outlineLevel="0" collapsed="false">
      <c r="A311" s="21"/>
      <c r="B311" s="26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7"/>
      <c r="AB311" s="27"/>
      <c r="AC311" s="27"/>
      <c r="AD311" s="27"/>
      <c r="AE311" s="27"/>
      <c r="AF311" s="24"/>
      <c r="AG311" s="24"/>
      <c r="AH311" s="24"/>
      <c r="AI311" s="24"/>
      <c r="AJ311" s="24"/>
      <c r="AK311" s="25"/>
    </row>
    <row r="312" customFormat="false" ht="15.75" hidden="false" customHeight="true" outlineLevel="0" collapsed="false">
      <c r="A312" s="21"/>
      <c r="B312" s="26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7"/>
      <c r="AB312" s="27"/>
      <c r="AC312" s="27"/>
      <c r="AD312" s="27"/>
      <c r="AE312" s="27"/>
      <c r="AF312" s="24"/>
      <c r="AG312" s="24"/>
      <c r="AH312" s="24"/>
      <c r="AI312" s="24"/>
      <c r="AJ312" s="24"/>
      <c r="AK312" s="25"/>
    </row>
    <row r="313" customFormat="false" ht="15.75" hidden="false" customHeight="true" outlineLevel="0" collapsed="false">
      <c r="A313" s="21"/>
      <c r="B313" s="26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7"/>
      <c r="AB313" s="27"/>
      <c r="AC313" s="27"/>
      <c r="AD313" s="27"/>
      <c r="AE313" s="27"/>
      <c r="AF313" s="24"/>
      <c r="AG313" s="24"/>
      <c r="AH313" s="24"/>
      <c r="AI313" s="24"/>
      <c r="AJ313" s="24"/>
      <c r="AK313" s="25"/>
    </row>
    <row r="314" customFormat="false" ht="15.75" hidden="false" customHeight="true" outlineLevel="0" collapsed="false">
      <c r="A314" s="21"/>
      <c r="B314" s="26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7"/>
      <c r="AB314" s="27"/>
      <c r="AC314" s="27"/>
      <c r="AD314" s="27"/>
      <c r="AE314" s="27"/>
      <c r="AF314" s="24"/>
      <c r="AG314" s="24"/>
      <c r="AH314" s="24"/>
      <c r="AI314" s="24"/>
      <c r="AJ314" s="24"/>
      <c r="AK314" s="25"/>
    </row>
    <row r="315" customFormat="false" ht="15.75" hidden="false" customHeight="true" outlineLevel="0" collapsed="false">
      <c r="A315" s="21"/>
      <c r="B315" s="26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7"/>
      <c r="AB315" s="27"/>
      <c r="AC315" s="27"/>
      <c r="AD315" s="27"/>
      <c r="AE315" s="27"/>
      <c r="AF315" s="24"/>
      <c r="AG315" s="24"/>
      <c r="AH315" s="24"/>
      <c r="AI315" s="24"/>
      <c r="AJ315" s="24"/>
      <c r="AK315" s="25"/>
    </row>
    <row r="316" customFormat="false" ht="15.75" hidden="false" customHeight="true" outlineLevel="0" collapsed="false">
      <c r="A316" s="21"/>
      <c r="B316" s="26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7"/>
      <c r="AB316" s="27"/>
      <c r="AC316" s="27"/>
      <c r="AD316" s="27"/>
      <c r="AE316" s="27"/>
      <c r="AF316" s="24"/>
      <c r="AG316" s="24"/>
      <c r="AH316" s="24"/>
      <c r="AI316" s="24"/>
      <c r="AJ316" s="24"/>
      <c r="AK316" s="25"/>
    </row>
    <row r="317" customFormat="false" ht="15.75" hidden="false" customHeight="true" outlineLevel="0" collapsed="false">
      <c r="A317" s="21"/>
      <c r="B317" s="26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7"/>
      <c r="AB317" s="27"/>
      <c r="AC317" s="27"/>
      <c r="AD317" s="27"/>
      <c r="AE317" s="27"/>
      <c r="AF317" s="24"/>
      <c r="AG317" s="24"/>
      <c r="AH317" s="24"/>
      <c r="AI317" s="24"/>
      <c r="AJ317" s="24"/>
      <c r="AK317" s="25"/>
    </row>
    <row r="318" customFormat="false" ht="15.75" hidden="false" customHeight="true" outlineLevel="0" collapsed="false">
      <c r="A318" s="21"/>
      <c r="B318" s="26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7"/>
      <c r="AB318" s="27"/>
      <c r="AC318" s="27"/>
      <c r="AD318" s="27"/>
      <c r="AE318" s="27"/>
      <c r="AF318" s="24"/>
      <c r="AG318" s="24"/>
      <c r="AH318" s="24"/>
      <c r="AI318" s="24"/>
      <c r="AJ318" s="24"/>
      <c r="AK318" s="25"/>
    </row>
    <row r="319" customFormat="false" ht="15.75" hidden="false" customHeight="true" outlineLevel="0" collapsed="false">
      <c r="A319" s="21"/>
      <c r="B319" s="26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7"/>
      <c r="AB319" s="27"/>
      <c r="AC319" s="27"/>
      <c r="AD319" s="27"/>
      <c r="AE319" s="27"/>
      <c r="AF319" s="24"/>
      <c r="AG319" s="24"/>
      <c r="AH319" s="24"/>
      <c r="AI319" s="24"/>
      <c r="AJ319" s="24"/>
      <c r="AK319" s="25"/>
    </row>
    <row r="320" customFormat="false" ht="15.75" hidden="false" customHeight="true" outlineLevel="0" collapsed="false">
      <c r="A320" s="21"/>
      <c r="B320" s="26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7"/>
      <c r="AB320" s="27"/>
      <c r="AC320" s="27"/>
      <c r="AD320" s="27"/>
      <c r="AE320" s="27"/>
      <c r="AF320" s="24"/>
      <c r="AG320" s="24"/>
      <c r="AH320" s="24"/>
      <c r="AI320" s="24"/>
      <c r="AJ320" s="24"/>
      <c r="AK320" s="25"/>
    </row>
    <row r="321" customFormat="false" ht="15.75" hidden="false" customHeight="true" outlineLevel="0" collapsed="false">
      <c r="A321" s="21"/>
      <c r="B321" s="26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7"/>
      <c r="AB321" s="27"/>
      <c r="AC321" s="27"/>
      <c r="AD321" s="27"/>
      <c r="AE321" s="27"/>
      <c r="AF321" s="24"/>
      <c r="AG321" s="24"/>
      <c r="AH321" s="24"/>
      <c r="AI321" s="24"/>
      <c r="AJ321" s="24"/>
      <c r="AK321" s="25"/>
    </row>
    <row r="322" customFormat="false" ht="15.75" hidden="false" customHeight="true" outlineLevel="0" collapsed="false">
      <c r="A322" s="21"/>
      <c r="B322" s="26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7"/>
      <c r="AB322" s="27"/>
      <c r="AC322" s="27"/>
      <c r="AD322" s="27"/>
      <c r="AE322" s="27"/>
      <c r="AF322" s="24"/>
      <c r="AG322" s="24"/>
      <c r="AH322" s="24"/>
      <c r="AI322" s="24"/>
      <c r="AJ322" s="24"/>
      <c r="AK322" s="25"/>
    </row>
    <row r="323" customFormat="false" ht="15.75" hidden="false" customHeight="true" outlineLevel="0" collapsed="false">
      <c r="A323" s="21"/>
      <c r="B323" s="26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7"/>
      <c r="AB323" s="27"/>
      <c r="AC323" s="27"/>
      <c r="AD323" s="27"/>
      <c r="AE323" s="27"/>
      <c r="AF323" s="24"/>
      <c r="AG323" s="24"/>
      <c r="AH323" s="24"/>
      <c r="AI323" s="24"/>
      <c r="AJ323" s="24"/>
      <c r="AK323" s="25"/>
    </row>
    <row r="324" customFormat="false" ht="15.75" hidden="false" customHeight="true" outlineLevel="0" collapsed="false">
      <c r="A324" s="21"/>
      <c r="B324" s="26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7"/>
      <c r="AB324" s="27"/>
      <c r="AC324" s="27"/>
      <c r="AD324" s="27"/>
      <c r="AE324" s="27"/>
      <c r="AF324" s="24"/>
      <c r="AG324" s="24"/>
      <c r="AH324" s="24"/>
      <c r="AI324" s="24"/>
      <c r="AJ324" s="24"/>
      <c r="AK324" s="25"/>
    </row>
    <row r="325" customFormat="false" ht="15.75" hidden="false" customHeight="true" outlineLevel="0" collapsed="false">
      <c r="A325" s="21"/>
      <c r="B325" s="26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7"/>
      <c r="AB325" s="27"/>
      <c r="AC325" s="27"/>
      <c r="AD325" s="27"/>
      <c r="AE325" s="27"/>
      <c r="AF325" s="24"/>
      <c r="AG325" s="24"/>
      <c r="AH325" s="24"/>
      <c r="AI325" s="24"/>
      <c r="AJ325" s="24"/>
      <c r="AK325" s="25"/>
    </row>
    <row r="326" customFormat="false" ht="15.75" hidden="false" customHeight="true" outlineLevel="0" collapsed="false">
      <c r="A326" s="21"/>
      <c r="B326" s="26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7"/>
      <c r="AB326" s="27"/>
      <c r="AC326" s="27"/>
      <c r="AD326" s="27"/>
      <c r="AE326" s="27"/>
      <c r="AF326" s="24"/>
      <c r="AG326" s="24"/>
      <c r="AH326" s="24"/>
      <c r="AI326" s="24"/>
      <c r="AJ326" s="24"/>
      <c r="AK326" s="25"/>
    </row>
    <row r="327" customFormat="false" ht="15.75" hidden="false" customHeight="true" outlineLevel="0" collapsed="false">
      <c r="A327" s="21"/>
      <c r="B327" s="26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7"/>
      <c r="AB327" s="27"/>
      <c r="AC327" s="27"/>
      <c r="AD327" s="27"/>
      <c r="AE327" s="27"/>
      <c r="AF327" s="24"/>
      <c r="AG327" s="24"/>
      <c r="AH327" s="24"/>
      <c r="AI327" s="24"/>
      <c r="AJ327" s="24"/>
      <c r="AK327" s="25"/>
    </row>
    <row r="328" customFormat="false" ht="15.75" hidden="false" customHeight="true" outlineLevel="0" collapsed="false">
      <c r="A328" s="21"/>
      <c r="B328" s="26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7"/>
      <c r="AB328" s="27"/>
      <c r="AC328" s="27"/>
      <c r="AD328" s="27"/>
      <c r="AE328" s="27"/>
      <c r="AF328" s="24"/>
      <c r="AG328" s="24"/>
      <c r="AH328" s="24"/>
      <c r="AI328" s="24"/>
      <c r="AJ328" s="24"/>
      <c r="AK328" s="25"/>
    </row>
    <row r="329" customFormat="false" ht="15.75" hidden="false" customHeight="true" outlineLevel="0" collapsed="false">
      <c r="A329" s="21"/>
      <c r="B329" s="26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7"/>
      <c r="AB329" s="27"/>
      <c r="AC329" s="27"/>
      <c r="AD329" s="27"/>
      <c r="AE329" s="27"/>
      <c r="AF329" s="24"/>
      <c r="AG329" s="24"/>
      <c r="AH329" s="24"/>
      <c r="AI329" s="24"/>
      <c r="AJ329" s="24"/>
      <c r="AK329" s="25"/>
    </row>
    <row r="330" customFormat="false" ht="15.75" hidden="false" customHeight="true" outlineLevel="0" collapsed="false">
      <c r="A330" s="21"/>
      <c r="B330" s="26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7"/>
      <c r="AB330" s="27"/>
      <c r="AC330" s="27"/>
      <c r="AD330" s="27"/>
      <c r="AE330" s="27"/>
      <c r="AF330" s="24"/>
      <c r="AG330" s="24"/>
      <c r="AH330" s="24"/>
      <c r="AI330" s="24"/>
      <c r="AJ330" s="24"/>
      <c r="AK330" s="25"/>
    </row>
    <row r="331" customFormat="false" ht="15.75" hidden="false" customHeight="true" outlineLevel="0" collapsed="false">
      <c r="A331" s="21"/>
      <c r="B331" s="26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7"/>
      <c r="AB331" s="27"/>
      <c r="AC331" s="27"/>
      <c r="AD331" s="27"/>
      <c r="AE331" s="27"/>
      <c r="AF331" s="24"/>
      <c r="AG331" s="24"/>
      <c r="AH331" s="24"/>
      <c r="AI331" s="24"/>
      <c r="AJ331" s="24"/>
      <c r="AK331" s="25"/>
    </row>
    <row r="332" customFormat="false" ht="15.75" hidden="false" customHeight="true" outlineLevel="0" collapsed="false">
      <c r="A332" s="21"/>
      <c r="B332" s="26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7"/>
      <c r="AB332" s="27"/>
      <c r="AC332" s="27"/>
      <c r="AD332" s="27"/>
      <c r="AE332" s="27"/>
      <c r="AF332" s="24"/>
      <c r="AG332" s="24"/>
      <c r="AH332" s="24"/>
      <c r="AI332" s="24"/>
      <c r="AJ332" s="24"/>
      <c r="AK332" s="25"/>
    </row>
    <row r="333" customFormat="false" ht="15.75" hidden="false" customHeight="true" outlineLevel="0" collapsed="false">
      <c r="A333" s="21"/>
      <c r="B333" s="26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7"/>
      <c r="AB333" s="27"/>
      <c r="AC333" s="27"/>
      <c r="AD333" s="27"/>
      <c r="AE333" s="27"/>
      <c r="AF333" s="24"/>
      <c r="AG333" s="24"/>
      <c r="AH333" s="24"/>
      <c r="AI333" s="24"/>
      <c r="AJ333" s="24"/>
      <c r="AK333" s="25"/>
    </row>
    <row r="334" customFormat="false" ht="15.75" hidden="false" customHeight="true" outlineLevel="0" collapsed="false">
      <c r="A334" s="21"/>
      <c r="B334" s="26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7"/>
      <c r="AB334" s="27"/>
      <c r="AC334" s="27"/>
      <c r="AD334" s="27"/>
      <c r="AE334" s="27"/>
      <c r="AF334" s="24"/>
      <c r="AG334" s="24"/>
      <c r="AH334" s="24"/>
      <c r="AI334" s="24"/>
      <c r="AJ334" s="24"/>
      <c r="AK334" s="25"/>
    </row>
    <row r="335" customFormat="false" ht="15.75" hidden="false" customHeight="true" outlineLevel="0" collapsed="false">
      <c r="A335" s="21"/>
      <c r="B335" s="26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7"/>
      <c r="AB335" s="27"/>
      <c r="AC335" s="27"/>
      <c r="AD335" s="27"/>
      <c r="AE335" s="27"/>
      <c r="AF335" s="24"/>
      <c r="AG335" s="24"/>
      <c r="AH335" s="24"/>
      <c r="AI335" s="24"/>
      <c r="AJ335" s="24"/>
      <c r="AK335" s="25"/>
    </row>
    <row r="336" customFormat="false" ht="15.75" hidden="false" customHeight="true" outlineLevel="0" collapsed="false">
      <c r="A336" s="21"/>
      <c r="B336" s="26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7"/>
      <c r="AB336" s="27"/>
      <c r="AC336" s="27"/>
      <c r="AD336" s="27"/>
      <c r="AE336" s="27"/>
      <c r="AF336" s="24"/>
      <c r="AG336" s="24"/>
      <c r="AH336" s="24"/>
      <c r="AI336" s="24"/>
      <c r="AJ336" s="24"/>
      <c r="AK336" s="25"/>
    </row>
    <row r="337" customFormat="false" ht="15.75" hidden="false" customHeight="true" outlineLevel="0" collapsed="false">
      <c r="A337" s="21"/>
      <c r="B337" s="26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7"/>
      <c r="AB337" s="27"/>
      <c r="AC337" s="27"/>
      <c r="AD337" s="27"/>
      <c r="AE337" s="27"/>
      <c r="AF337" s="24"/>
      <c r="AG337" s="24"/>
      <c r="AH337" s="24"/>
      <c r="AI337" s="24"/>
      <c r="AJ337" s="24"/>
      <c r="AK337" s="25"/>
    </row>
    <row r="338" customFormat="false" ht="15.75" hidden="false" customHeight="true" outlineLevel="0" collapsed="false">
      <c r="A338" s="21"/>
      <c r="B338" s="26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7"/>
      <c r="AB338" s="27"/>
      <c r="AC338" s="27"/>
      <c r="AD338" s="27"/>
      <c r="AE338" s="27"/>
      <c r="AF338" s="24"/>
      <c r="AG338" s="24"/>
      <c r="AH338" s="24"/>
      <c r="AI338" s="24"/>
      <c r="AJ338" s="24"/>
      <c r="AK338" s="25"/>
    </row>
    <row r="339" customFormat="false" ht="15.75" hidden="false" customHeight="true" outlineLevel="0" collapsed="false">
      <c r="A339" s="21"/>
      <c r="B339" s="26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7"/>
      <c r="AB339" s="27"/>
      <c r="AC339" s="27"/>
      <c r="AD339" s="27"/>
      <c r="AE339" s="27"/>
      <c r="AF339" s="24"/>
      <c r="AG339" s="24"/>
      <c r="AH339" s="24"/>
      <c r="AI339" s="24"/>
      <c r="AJ339" s="24"/>
      <c r="AK339" s="25"/>
    </row>
    <row r="340" customFormat="false" ht="15.75" hidden="false" customHeight="true" outlineLevel="0" collapsed="false">
      <c r="A340" s="21"/>
      <c r="B340" s="26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7"/>
      <c r="AB340" s="27"/>
      <c r="AC340" s="27"/>
      <c r="AD340" s="27"/>
      <c r="AE340" s="27"/>
      <c r="AF340" s="24"/>
      <c r="AG340" s="24"/>
      <c r="AH340" s="24"/>
      <c r="AI340" s="24"/>
      <c r="AJ340" s="24"/>
      <c r="AK340" s="25"/>
    </row>
    <row r="341" customFormat="false" ht="15.75" hidden="false" customHeight="true" outlineLevel="0" collapsed="false">
      <c r="A341" s="21"/>
      <c r="B341" s="26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7"/>
      <c r="AB341" s="27"/>
      <c r="AC341" s="27"/>
      <c r="AD341" s="27"/>
      <c r="AE341" s="27"/>
      <c r="AF341" s="24"/>
      <c r="AG341" s="24"/>
      <c r="AH341" s="24"/>
      <c r="AI341" s="24"/>
      <c r="AJ341" s="24"/>
      <c r="AK341" s="25"/>
    </row>
    <row r="342" customFormat="false" ht="15.75" hidden="false" customHeight="true" outlineLevel="0" collapsed="false">
      <c r="A342" s="21"/>
      <c r="B342" s="26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7"/>
      <c r="AB342" s="27"/>
      <c r="AC342" s="27"/>
      <c r="AD342" s="27"/>
      <c r="AE342" s="27"/>
      <c r="AF342" s="24"/>
      <c r="AG342" s="24"/>
      <c r="AH342" s="24"/>
      <c r="AI342" s="24"/>
      <c r="AJ342" s="24"/>
      <c r="AK342" s="25"/>
    </row>
    <row r="343" customFormat="false" ht="15.75" hidden="false" customHeight="true" outlineLevel="0" collapsed="false">
      <c r="A343" s="21"/>
      <c r="B343" s="26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7"/>
      <c r="AB343" s="27"/>
      <c r="AC343" s="27"/>
      <c r="AD343" s="27"/>
      <c r="AE343" s="27"/>
      <c r="AF343" s="24"/>
      <c r="AG343" s="24"/>
      <c r="AH343" s="24"/>
      <c r="AI343" s="24"/>
      <c r="AJ343" s="24"/>
      <c r="AK343" s="25"/>
    </row>
    <row r="344" customFormat="false" ht="15.75" hidden="false" customHeight="true" outlineLevel="0" collapsed="false">
      <c r="A344" s="21"/>
      <c r="B344" s="26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7"/>
      <c r="AB344" s="27"/>
      <c r="AC344" s="27"/>
      <c r="AD344" s="27"/>
      <c r="AE344" s="27"/>
      <c r="AF344" s="24"/>
      <c r="AG344" s="24"/>
      <c r="AH344" s="24"/>
      <c r="AI344" s="24"/>
      <c r="AJ344" s="24"/>
      <c r="AK344" s="25"/>
    </row>
    <row r="345" customFormat="false" ht="15.75" hidden="false" customHeight="true" outlineLevel="0" collapsed="false">
      <c r="A345" s="21"/>
      <c r="B345" s="26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7"/>
      <c r="AB345" s="27"/>
      <c r="AC345" s="27"/>
      <c r="AD345" s="27"/>
      <c r="AE345" s="27"/>
      <c r="AF345" s="24"/>
      <c r="AG345" s="24"/>
      <c r="AH345" s="24"/>
      <c r="AI345" s="24"/>
      <c r="AJ345" s="24"/>
      <c r="AK345" s="25"/>
    </row>
    <row r="346" customFormat="false" ht="15.75" hidden="false" customHeight="true" outlineLevel="0" collapsed="false">
      <c r="A346" s="21"/>
      <c r="B346" s="26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7"/>
      <c r="AB346" s="27"/>
      <c r="AC346" s="27"/>
      <c r="AD346" s="27"/>
      <c r="AE346" s="27"/>
      <c r="AF346" s="24"/>
      <c r="AG346" s="24"/>
      <c r="AH346" s="24"/>
      <c r="AI346" s="24"/>
      <c r="AJ346" s="24"/>
      <c r="AK346" s="25"/>
    </row>
    <row r="347" customFormat="false" ht="15.75" hidden="false" customHeight="true" outlineLevel="0" collapsed="false">
      <c r="A347" s="21"/>
      <c r="B347" s="26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7"/>
      <c r="AB347" s="27"/>
      <c r="AC347" s="27"/>
      <c r="AD347" s="27"/>
      <c r="AE347" s="27"/>
      <c r="AF347" s="24"/>
      <c r="AG347" s="24"/>
      <c r="AH347" s="24"/>
      <c r="AI347" s="24"/>
      <c r="AJ347" s="24"/>
      <c r="AK347" s="25"/>
    </row>
    <row r="348" customFormat="false" ht="15.75" hidden="false" customHeight="true" outlineLevel="0" collapsed="false">
      <c r="A348" s="21"/>
      <c r="B348" s="26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7"/>
      <c r="AB348" s="27"/>
      <c r="AC348" s="27"/>
      <c r="AD348" s="27"/>
      <c r="AE348" s="27"/>
      <c r="AF348" s="24"/>
      <c r="AG348" s="24"/>
      <c r="AH348" s="24"/>
      <c r="AI348" s="24"/>
      <c r="AJ348" s="24"/>
      <c r="AK348" s="25"/>
    </row>
    <row r="349" customFormat="false" ht="15.75" hidden="false" customHeight="true" outlineLevel="0" collapsed="false">
      <c r="A349" s="21"/>
      <c r="B349" s="26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7"/>
      <c r="AB349" s="27"/>
      <c r="AC349" s="27"/>
      <c r="AD349" s="27"/>
      <c r="AE349" s="27"/>
      <c r="AF349" s="24"/>
      <c r="AG349" s="24"/>
      <c r="AH349" s="24"/>
      <c r="AI349" s="24"/>
      <c r="AJ349" s="24"/>
      <c r="AK349" s="25"/>
    </row>
    <row r="350" customFormat="false" ht="15.75" hidden="false" customHeight="true" outlineLevel="0" collapsed="false">
      <c r="A350" s="21"/>
      <c r="B350" s="26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7"/>
      <c r="AB350" s="27"/>
      <c r="AC350" s="27"/>
      <c r="AD350" s="27"/>
      <c r="AE350" s="27"/>
      <c r="AF350" s="24"/>
      <c r="AG350" s="24"/>
      <c r="AH350" s="24"/>
      <c r="AI350" s="24"/>
      <c r="AJ350" s="24"/>
      <c r="AK350" s="25"/>
    </row>
    <row r="351" customFormat="false" ht="15.75" hidden="false" customHeight="true" outlineLevel="0" collapsed="false">
      <c r="A351" s="21"/>
      <c r="B351" s="26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7"/>
      <c r="AB351" s="27"/>
      <c r="AC351" s="27"/>
      <c r="AD351" s="27"/>
      <c r="AE351" s="27"/>
      <c r="AF351" s="24"/>
      <c r="AG351" s="24"/>
      <c r="AH351" s="24"/>
      <c r="AI351" s="24"/>
      <c r="AJ351" s="24"/>
      <c r="AK351" s="25"/>
    </row>
    <row r="352" customFormat="false" ht="15.75" hidden="false" customHeight="true" outlineLevel="0" collapsed="false">
      <c r="A352" s="21"/>
      <c r="B352" s="26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7"/>
      <c r="AB352" s="27"/>
      <c r="AC352" s="27"/>
      <c r="AD352" s="27"/>
      <c r="AE352" s="27"/>
      <c r="AF352" s="24"/>
      <c r="AG352" s="24"/>
      <c r="AH352" s="24"/>
      <c r="AI352" s="24"/>
      <c r="AJ352" s="24"/>
      <c r="AK352" s="25"/>
    </row>
    <row r="353" customFormat="false" ht="15.75" hidden="false" customHeight="true" outlineLevel="0" collapsed="false">
      <c r="A353" s="21"/>
      <c r="B353" s="26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7"/>
      <c r="AB353" s="27"/>
      <c r="AC353" s="27"/>
      <c r="AD353" s="27"/>
      <c r="AE353" s="27"/>
      <c r="AF353" s="24"/>
      <c r="AG353" s="24"/>
      <c r="AH353" s="24"/>
      <c r="AI353" s="24"/>
      <c r="AJ353" s="24"/>
      <c r="AK353" s="25"/>
    </row>
    <row r="354" customFormat="false" ht="15.75" hidden="false" customHeight="true" outlineLevel="0" collapsed="false">
      <c r="A354" s="21"/>
      <c r="B354" s="26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7"/>
      <c r="AB354" s="27"/>
      <c r="AC354" s="27"/>
      <c r="AD354" s="27"/>
      <c r="AE354" s="27"/>
      <c r="AF354" s="24"/>
      <c r="AG354" s="24"/>
      <c r="AH354" s="24"/>
      <c r="AI354" s="24"/>
      <c r="AJ354" s="24"/>
      <c r="AK354" s="25"/>
    </row>
    <row r="355" customFormat="false" ht="15.75" hidden="false" customHeight="true" outlineLevel="0" collapsed="false">
      <c r="A355" s="21"/>
      <c r="B355" s="26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7"/>
      <c r="AB355" s="27"/>
      <c r="AC355" s="27"/>
      <c r="AD355" s="27"/>
      <c r="AE355" s="27"/>
      <c r="AF355" s="24"/>
      <c r="AG355" s="24"/>
      <c r="AH355" s="24"/>
      <c r="AI355" s="24"/>
      <c r="AJ355" s="24"/>
      <c r="AK355" s="25"/>
    </row>
    <row r="356" customFormat="false" ht="15.75" hidden="false" customHeight="true" outlineLevel="0" collapsed="false">
      <c r="A356" s="21"/>
      <c r="B356" s="26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7"/>
      <c r="AB356" s="27"/>
      <c r="AC356" s="27"/>
      <c r="AD356" s="27"/>
      <c r="AE356" s="27"/>
      <c r="AF356" s="24"/>
      <c r="AG356" s="24"/>
      <c r="AH356" s="24"/>
      <c r="AI356" s="24"/>
      <c r="AJ356" s="24"/>
      <c r="AK356" s="25"/>
    </row>
    <row r="357" customFormat="false" ht="15.75" hidden="false" customHeight="true" outlineLevel="0" collapsed="false">
      <c r="A357" s="21"/>
      <c r="B357" s="26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7"/>
      <c r="AB357" s="27"/>
      <c r="AC357" s="27"/>
      <c r="AD357" s="27"/>
      <c r="AE357" s="27"/>
      <c r="AF357" s="24"/>
      <c r="AG357" s="24"/>
      <c r="AH357" s="24"/>
      <c r="AI357" s="24"/>
      <c r="AJ357" s="24"/>
      <c r="AK357" s="25"/>
    </row>
    <row r="358" customFormat="false" ht="15.75" hidden="false" customHeight="true" outlineLevel="0" collapsed="false">
      <c r="A358" s="21"/>
      <c r="B358" s="26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7"/>
      <c r="AB358" s="27"/>
      <c r="AC358" s="27"/>
      <c r="AD358" s="27"/>
      <c r="AE358" s="27"/>
      <c r="AF358" s="24"/>
      <c r="AG358" s="24"/>
      <c r="AH358" s="24"/>
      <c r="AI358" s="24"/>
      <c r="AJ358" s="24"/>
      <c r="AK358" s="25"/>
    </row>
    <row r="359" customFormat="false" ht="15.75" hidden="false" customHeight="true" outlineLevel="0" collapsed="false">
      <c r="A359" s="21"/>
      <c r="B359" s="26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7"/>
      <c r="AB359" s="27"/>
      <c r="AC359" s="27"/>
      <c r="AD359" s="27"/>
      <c r="AE359" s="27"/>
      <c r="AF359" s="24"/>
      <c r="AG359" s="24"/>
      <c r="AH359" s="24"/>
      <c r="AI359" s="24"/>
      <c r="AJ359" s="24"/>
      <c r="AK359" s="25"/>
    </row>
    <row r="360" customFormat="false" ht="15.75" hidden="false" customHeight="true" outlineLevel="0" collapsed="false">
      <c r="A360" s="21"/>
      <c r="B360" s="26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7"/>
      <c r="AB360" s="27"/>
      <c r="AC360" s="27"/>
      <c r="AD360" s="27"/>
      <c r="AE360" s="27"/>
      <c r="AF360" s="24"/>
      <c r="AG360" s="24"/>
      <c r="AH360" s="24"/>
      <c r="AI360" s="24"/>
      <c r="AJ360" s="24"/>
      <c r="AK360" s="25"/>
    </row>
    <row r="361" customFormat="false" ht="15.75" hidden="false" customHeight="true" outlineLevel="0" collapsed="false">
      <c r="A361" s="21"/>
      <c r="B361" s="26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7"/>
      <c r="AB361" s="27"/>
      <c r="AC361" s="27"/>
      <c r="AD361" s="27"/>
      <c r="AE361" s="27"/>
      <c r="AF361" s="24"/>
      <c r="AG361" s="24"/>
      <c r="AH361" s="24"/>
      <c r="AI361" s="24"/>
      <c r="AJ361" s="24"/>
      <c r="AK361" s="25"/>
    </row>
    <row r="362" customFormat="false" ht="15.75" hidden="false" customHeight="true" outlineLevel="0" collapsed="false">
      <c r="A362" s="21"/>
      <c r="B362" s="26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7"/>
      <c r="AB362" s="27"/>
      <c r="AC362" s="27"/>
      <c r="AD362" s="27"/>
      <c r="AE362" s="27"/>
      <c r="AF362" s="24"/>
      <c r="AG362" s="24"/>
      <c r="AH362" s="24"/>
      <c r="AI362" s="24"/>
      <c r="AJ362" s="24"/>
      <c r="AK362" s="25"/>
    </row>
    <row r="363" customFormat="false" ht="15.75" hidden="false" customHeight="true" outlineLevel="0" collapsed="false">
      <c r="A363" s="21"/>
      <c r="B363" s="26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7"/>
      <c r="AB363" s="27"/>
      <c r="AC363" s="27"/>
      <c r="AD363" s="27"/>
      <c r="AE363" s="27"/>
      <c r="AF363" s="24"/>
      <c r="AG363" s="24"/>
      <c r="AH363" s="24"/>
      <c r="AI363" s="24"/>
      <c r="AJ363" s="24"/>
      <c r="AK363" s="25"/>
    </row>
    <row r="364" customFormat="false" ht="15.75" hidden="false" customHeight="true" outlineLevel="0" collapsed="false">
      <c r="A364" s="21"/>
      <c r="B364" s="26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7"/>
      <c r="AB364" s="27"/>
      <c r="AC364" s="27"/>
      <c r="AD364" s="27"/>
      <c r="AE364" s="27"/>
      <c r="AF364" s="24"/>
      <c r="AG364" s="24"/>
      <c r="AH364" s="24"/>
      <c r="AI364" s="24"/>
      <c r="AJ364" s="24"/>
      <c r="AK364" s="25"/>
    </row>
    <row r="365" customFormat="false" ht="15.75" hidden="false" customHeight="true" outlineLevel="0" collapsed="false">
      <c r="A365" s="21"/>
      <c r="B365" s="26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7"/>
      <c r="AB365" s="27"/>
      <c r="AC365" s="27"/>
      <c r="AD365" s="27"/>
      <c r="AE365" s="27"/>
      <c r="AF365" s="24"/>
      <c r="AG365" s="24"/>
      <c r="AH365" s="24"/>
      <c r="AI365" s="24"/>
      <c r="AJ365" s="24"/>
      <c r="AK365" s="25"/>
    </row>
    <row r="366" customFormat="false" ht="15.75" hidden="false" customHeight="true" outlineLevel="0" collapsed="false">
      <c r="A366" s="21"/>
      <c r="B366" s="26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7"/>
      <c r="AB366" s="27"/>
      <c r="AC366" s="27"/>
      <c r="AD366" s="27"/>
      <c r="AE366" s="27"/>
      <c r="AF366" s="24"/>
      <c r="AG366" s="24"/>
      <c r="AH366" s="24"/>
      <c r="AI366" s="24"/>
      <c r="AJ366" s="24"/>
      <c r="AK366" s="25"/>
    </row>
    <row r="367" customFormat="false" ht="15.75" hidden="false" customHeight="true" outlineLevel="0" collapsed="false">
      <c r="A367" s="21"/>
      <c r="B367" s="26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7"/>
      <c r="AB367" s="27"/>
      <c r="AC367" s="27"/>
      <c r="AD367" s="27"/>
      <c r="AE367" s="27"/>
      <c r="AF367" s="24"/>
      <c r="AG367" s="24"/>
      <c r="AH367" s="24"/>
      <c r="AI367" s="24"/>
      <c r="AJ367" s="24"/>
      <c r="AK367" s="25"/>
    </row>
    <row r="368" customFormat="false" ht="15.75" hidden="false" customHeight="true" outlineLevel="0" collapsed="false">
      <c r="A368" s="21"/>
      <c r="B368" s="26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7"/>
      <c r="AB368" s="27"/>
      <c r="AC368" s="27"/>
      <c r="AD368" s="27"/>
      <c r="AE368" s="27"/>
      <c r="AF368" s="24"/>
      <c r="AG368" s="24"/>
      <c r="AH368" s="24"/>
      <c r="AI368" s="24"/>
      <c r="AJ368" s="24"/>
      <c r="AK368" s="25"/>
    </row>
    <row r="369" customFormat="false" ht="15.75" hidden="false" customHeight="true" outlineLevel="0" collapsed="false">
      <c r="A369" s="21"/>
      <c r="B369" s="26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7"/>
      <c r="AB369" s="27"/>
      <c r="AC369" s="27"/>
      <c r="AD369" s="27"/>
      <c r="AE369" s="27"/>
      <c r="AF369" s="24"/>
      <c r="AG369" s="24"/>
      <c r="AH369" s="24"/>
      <c r="AI369" s="24"/>
      <c r="AJ369" s="24"/>
      <c r="AK369" s="25"/>
    </row>
    <row r="370" customFormat="false" ht="15.75" hidden="false" customHeight="true" outlineLevel="0" collapsed="false">
      <c r="A370" s="21"/>
      <c r="B370" s="26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7"/>
      <c r="AB370" s="27"/>
      <c r="AC370" s="27"/>
      <c r="AD370" s="27"/>
      <c r="AE370" s="27"/>
      <c r="AF370" s="24"/>
      <c r="AG370" s="24"/>
      <c r="AH370" s="24"/>
      <c r="AI370" s="24"/>
      <c r="AJ370" s="24"/>
      <c r="AK370" s="25"/>
    </row>
    <row r="371" customFormat="false" ht="15.75" hidden="false" customHeight="true" outlineLevel="0" collapsed="false">
      <c r="A371" s="21"/>
      <c r="B371" s="26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7"/>
      <c r="AB371" s="27"/>
      <c r="AC371" s="27"/>
      <c r="AD371" s="27"/>
      <c r="AE371" s="27"/>
      <c r="AF371" s="24"/>
      <c r="AG371" s="24"/>
      <c r="AH371" s="24"/>
      <c r="AI371" s="24"/>
      <c r="AJ371" s="24"/>
      <c r="AK371" s="25"/>
    </row>
    <row r="372" customFormat="false" ht="15.75" hidden="false" customHeight="true" outlineLevel="0" collapsed="false">
      <c r="A372" s="21"/>
      <c r="B372" s="26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7"/>
      <c r="AB372" s="27"/>
      <c r="AC372" s="27"/>
      <c r="AD372" s="27"/>
      <c r="AE372" s="27"/>
      <c r="AF372" s="24"/>
      <c r="AG372" s="24"/>
      <c r="AH372" s="24"/>
      <c r="AI372" s="24"/>
      <c r="AJ372" s="24"/>
      <c r="AK372" s="25"/>
    </row>
    <row r="373" customFormat="false" ht="15.75" hidden="false" customHeight="true" outlineLevel="0" collapsed="false">
      <c r="A373" s="21"/>
      <c r="B373" s="26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7"/>
      <c r="AB373" s="27"/>
      <c r="AC373" s="27"/>
      <c r="AD373" s="27"/>
      <c r="AE373" s="27"/>
      <c r="AF373" s="24"/>
      <c r="AG373" s="24"/>
      <c r="AH373" s="24"/>
      <c r="AI373" s="24"/>
      <c r="AJ373" s="24"/>
      <c r="AK373" s="25"/>
    </row>
    <row r="374" customFormat="false" ht="15.75" hidden="false" customHeight="true" outlineLevel="0" collapsed="false">
      <c r="A374" s="21"/>
      <c r="B374" s="26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7"/>
      <c r="AB374" s="27"/>
      <c r="AC374" s="27"/>
      <c r="AD374" s="27"/>
      <c r="AE374" s="27"/>
      <c r="AF374" s="24"/>
      <c r="AG374" s="24"/>
      <c r="AH374" s="24"/>
      <c r="AI374" s="24"/>
      <c r="AJ374" s="24"/>
      <c r="AK374" s="25"/>
    </row>
    <row r="375" customFormat="false" ht="15.75" hidden="false" customHeight="true" outlineLevel="0" collapsed="false">
      <c r="A375" s="21"/>
      <c r="B375" s="26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7"/>
      <c r="AB375" s="27"/>
      <c r="AC375" s="27"/>
      <c r="AD375" s="27"/>
      <c r="AE375" s="27"/>
      <c r="AF375" s="24"/>
      <c r="AG375" s="24"/>
      <c r="AH375" s="24"/>
      <c r="AI375" s="24"/>
      <c r="AJ375" s="24"/>
      <c r="AK375" s="25"/>
    </row>
    <row r="376" customFormat="false" ht="15.75" hidden="false" customHeight="true" outlineLevel="0" collapsed="false">
      <c r="A376" s="21"/>
      <c r="B376" s="26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7"/>
      <c r="AB376" s="27"/>
      <c r="AC376" s="27"/>
      <c r="AD376" s="27"/>
      <c r="AE376" s="27"/>
      <c r="AF376" s="24"/>
      <c r="AG376" s="24"/>
      <c r="AH376" s="24"/>
      <c r="AI376" s="24"/>
      <c r="AJ376" s="24"/>
      <c r="AK376" s="25"/>
    </row>
    <row r="377" customFormat="false" ht="15.75" hidden="false" customHeight="true" outlineLevel="0" collapsed="false">
      <c r="A377" s="21"/>
      <c r="B377" s="26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7"/>
      <c r="AB377" s="27"/>
      <c r="AC377" s="27"/>
      <c r="AD377" s="27"/>
      <c r="AE377" s="27"/>
      <c r="AF377" s="24"/>
      <c r="AG377" s="24"/>
      <c r="AH377" s="24"/>
      <c r="AI377" s="24"/>
      <c r="AJ377" s="24"/>
      <c r="AK377" s="25"/>
    </row>
    <row r="378" customFormat="false" ht="15.75" hidden="false" customHeight="true" outlineLevel="0" collapsed="false">
      <c r="A378" s="21"/>
      <c r="B378" s="26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7"/>
      <c r="AB378" s="27"/>
      <c r="AC378" s="27"/>
      <c r="AD378" s="27"/>
      <c r="AE378" s="27"/>
      <c r="AF378" s="24"/>
      <c r="AG378" s="24"/>
      <c r="AH378" s="24"/>
      <c r="AI378" s="24"/>
      <c r="AJ378" s="24"/>
      <c r="AK378" s="25"/>
    </row>
    <row r="379" customFormat="false" ht="15.75" hidden="false" customHeight="true" outlineLevel="0" collapsed="false">
      <c r="A379" s="21"/>
      <c r="B379" s="26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7"/>
      <c r="AB379" s="27"/>
      <c r="AC379" s="27"/>
      <c r="AD379" s="27"/>
      <c r="AE379" s="27"/>
      <c r="AF379" s="24"/>
      <c r="AG379" s="24"/>
      <c r="AH379" s="24"/>
      <c r="AI379" s="24"/>
      <c r="AJ379" s="24"/>
      <c r="AK379" s="25"/>
    </row>
    <row r="380" customFormat="false" ht="15.75" hidden="false" customHeight="true" outlineLevel="0" collapsed="false">
      <c r="A380" s="21"/>
      <c r="B380" s="26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7"/>
      <c r="AB380" s="27"/>
      <c r="AC380" s="27"/>
      <c r="AD380" s="27"/>
      <c r="AE380" s="27"/>
      <c r="AF380" s="24"/>
      <c r="AG380" s="24"/>
      <c r="AH380" s="24"/>
      <c r="AI380" s="24"/>
      <c r="AJ380" s="24"/>
      <c r="AK380" s="25"/>
    </row>
    <row r="381" customFormat="false" ht="15.75" hidden="false" customHeight="true" outlineLevel="0" collapsed="false">
      <c r="A381" s="21"/>
      <c r="B381" s="26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7"/>
      <c r="AB381" s="27"/>
      <c r="AC381" s="27"/>
      <c r="AD381" s="27"/>
      <c r="AE381" s="27"/>
      <c r="AF381" s="24"/>
      <c r="AG381" s="24"/>
      <c r="AH381" s="24"/>
      <c r="AI381" s="24"/>
      <c r="AJ381" s="24"/>
      <c r="AK381" s="25"/>
    </row>
    <row r="382" customFormat="false" ht="15.75" hidden="false" customHeight="true" outlineLevel="0" collapsed="false">
      <c r="A382" s="21"/>
      <c r="B382" s="26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7"/>
      <c r="AB382" s="27"/>
      <c r="AC382" s="27"/>
      <c r="AD382" s="27"/>
      <c r="AE382" s="27"/>
      <c r="AF382" s="24"/>
      <c r="AG382" s="24"/>
      <c r="AH382" s="24"/>
      <c r="AI382" s="24"/>
      <c r="AJ382" s="24"/>
      <c r="AK382" s="25"/>
    </row>
    <row r="383" customFormat="false" ht="15.75" hidden="false" customHeight="true" outlineLevel="0" collapsed="false">
      <c r="A383" s="21"/>
      <c r="B383" s="26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7"/>
      <c r="AB383" s="27"/>
      <c r="AC383" s="27"/>
      <c r="AD383" s="27"/>
      <c r="AE383" s="27"/>
      <c r="AF383" s="24"/>
      <c r="AG383" s="24"/>
      <c r="AH383" s="24"/>
      <c r="AI383" s="24"/>
      <c r="AJ383" s="24"/>
      <c r="AK383" s="25"/>
    </row>
    <row r="384" customFormat="false" ht="15.75" hidden="false" customHeight="true" outlineLevel="0" collapsed="false">
      <c r="A384" s="21"/>
      <c r="B384" s="26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7"/>
      <c r="AB384" s="27"/>
      <c r="AC384" s="27"/>
      <c r="AD384" s="27"/>
      <c r="AE384" s="27"/>
      <c r="AF384" s="24"/>
      <c r="AG384" s="24"/>
      <c r="AH384" s="24"/>
      <c r="AI384" s="24"/>
      <c r="AJ384" s="24"/>
      <c r="AK384" s="25"/>
    </row>
    <row r="385" customFormat="false" ht="15.75" hidden="false" customHeight="true" outlineLevel="0" collapsed="false">
      <c r="A385" s="21"/>
      <c r="B385" s="26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7"/>
      <c r="AB385" s="27"/>
      <c r="AC385" s="27"/>
      <c r="AD385" s="27"/>
      <c r="AE385" s="27"/>
      <c r="AF385" s="24"/>
      <c r="AG385" s="24"/>
      <c r="AH385" s="24"/>
      <c r="AI385" s="24"/>
      <c r="AJ385" s="24"/>
      <c r="AK385" s="25"/>
    </row>
    <row r="386" customFormat="false" ht="15.75" hidden="false" customHeight="true" outlineLevel="0" collapsed="false">
      <c r="A386" s="21"/>
      <c r="B386" s="26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7"/>
      <c r="AB386" s="27"/>
      <c r="AC386" s="27"/>
      <c r="AD386" s="27"/>
      <c r="AE386" s="27"/>
      <c r="AF386" s="24"/>
      <c r="AG386" s="24"/>
      <c r="AH386" s="24"/>
      <c r="AI386" s="24"/>
      <c r="AJ386" s="24"/>
      <c r="AK386" s="25"/>
    </row>
    <row r="387" customFormat="false" ht="15.75" hidden="false" customHeight="true" outlineLevel="0" collapsed="false">
      <c r="A387" s="21"/>
      <c r="B387" s="26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7"/>
      <c r="AB387" s="27"/>
      <c r="AC387" s="27"/>
      <c r="AD387" s="27"/>
      <c r="AE387" s="27"/>
      <c r="AF387" s="24"/>
      <c r="AG387" s="24"/>
      <c r="AH387" s="24"/>
      <c r="AI387" s="24"/>
      <c r="AJ387" s="24"/>
      <c r="AK387" s="25"/>
    </row>
    <row r="388" customFormat="false" ht="15.75" hidden="false" customHeight="true" outlineLevel="0" collapsed="false">
      <c r="A388" s="21"/>
      <c r="B388" s="26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7"/>
      <c r="AB388" s="27"/>
      <c r="AC388" s="27"/>
      <c r="AD388" s="27"/>
      <c r="AE388" s="27"/>
      <c r="AF388" s="24"/>
      <c r="AG388" s="24"/>
      <c r="AH388" s="24"/>
      <c r="AI388" s="24"/>
      <c r="AJ388" s="24"/>
      <c r="AK388" s="25"/>
    </row>
    <row r="389" customFormat="false" ht="15.75" hidden="false" customHeight="true" outlineLevel="0" collapsed="false">
      <c r="A389" s="21"/>
      <c r="B389" s="26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7"/>
      <c r="AB389" s="27"/>
      <c r="AC389" s="27"/>
      <c r="AD389" s="27"/>
      <c r="AE389" s="27"/>
      <c r="AF389" s="24"/>
      <c r="AG389" s="24"/>
      <c r="AH389" s="24"/>
      <c r="AI389" s="24"/>
      <c r="AJ389" s="24"/>
      <c r="AK389" s="25"/>
    </row>
    <row r="390" customFormat="false" ht="15.75" hidden="false" customHeight="true" outlineLevel="0" collapsed="false">
      <c r="A390" s="21"/>
      <c r="B390" s="26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7"/>
      <c r="AB390" s="27"/>
      <c r="AC390" s="27"/>
      <c r="AD390" s="27"/>
      <c r="AE390" s="27"/>
      <c r="AF390" s="24"/>
      <c r="AG390" s="24"/>
      <c r="AH390" s="24"/>
      <c r="AI390" s="24"/>
      <c r="AJ390" s="24"/>
      <c r="AK390" s="25"/>
    </row>
    <row r="391" customFormat="false" ht="15.75" hidden="false" customHeight="true" outlineLevel="0" collapsed="false">
      <c r="A391" s="21"/>
      <c r="B391" s="26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7"/>
      <c r="AB391" s="27"/>
      <c r="AC391" s="27"/>
      <c r="AD391" s="27"/>
      <c r="AE391" s="27"/>
      <c r="AF391" s="24"/>
      <c r="AG391" s="24"/>
      <c r="AH391" s="24"/>
      <c r="AI391" s="24"/>
      <c r="AJ391" s="24"/>
      <c r="AK391" s="25"/>
    </row>
    <row r="392" customFormat="false" ht="15.75" hidden="false" customHeight="true" outlineLevel="0" collapsed="false">
      <c r="A392" s="21"/>
      <c r="B392" s="26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7"/>
      <c r="AB392" s="27"/>
      <c r="AC392" s="27"/>
      <c r="AD392" s="27"/>
      <c r="AE392" s="27"/>
      <c r="AF392" s="24"/>
      <c r="AG392" s="24"/>
      <c r="AH392" s="24"/>
      <c r="AI392" s="24"/>
      <c r="AJ392" s="24"/>
      <c r="AK392" s="25"/>
    </row>
    <row r="393" customFormat="false" ht="15.75" hidden="false" customHeight="true" outlineLevel="0" collapsed="false">
      <c r="A393" s="21"/>
      <c r="B393" s="26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7"/>
      <c r="AB393" s="27"/>
      <c r="AC393" s="27"/>
      <c r="AD393" s="27"/>
      <c r="AE393" s="27"/>
      <c r="AF393" s="24"/>
      <c r="AG393" s="24"/>
      <c r="AH393" s="24"/>
      <c r="AI393" s="24"/>
      <c r="AJ393" s="24"/>
      <c r="AK393" s="25"/>
    </row>
    <row r="394" customFormat="false" ht="15.75" hidden="false" customHeight="true" outlineLevel="0" collapsed="false">
      <c r="A394" s="21"/>
      <c r="B394" s="26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7"/>
      <c r="AB394" s="27"/>
      <c r="AC394" s="27"/>
      <c r="AD394" s="27"/>
      <c r="AE394" s="27"/>
      <c r="AF394" s="24"/>
      <c r="AG394" s="24"/>
      <c r="AH394" s="24"/>
      <c r="AI394" s="24"/>
      <c r="AJ394" s="24"/>
      <c r="AK394" s="25"/>
    </row>
    <row r="395" customFormat="false" ht="15.75" hidden="false" customHeight="true" outlineLevel="0" collapsed="false">
      <c r="A395" s="21"/>
      <c r="B395" s="26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7"/>
      <c r="AB395" s="27"/>
      <c r="AC395" s="27"/>
      <c r="AD395" s="27"/>
      <c r="AE395" s="27"/>
      <c r="AF395" s="24"/>
      <c r="AG395" s="24"/>
      <c r="AH395" s="24"/>
      <c r="AI395" s="24"/>
      <c r="AJ395" s="24"/>
      <c r="AK395" s="25"/>
    </row>
    <row r="396" customFormat="false" ht="15.75" hidden="false" customHeight="true" outlineLevel="0" collapsed="false">
      <c r="A396" s="21"/>
      <c r="B396" s="26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7"/>
      <c r="AB396" s="27"/>
      <c r="AC396" s="27"/>
      <c r="AD396" s="27"/>
      <c r="AE396" s="27"/>
      <c r="AF396" s="24"/>
      <c r="AG396" s="24"/>
      <c r="AH396" s="24"/>
      <c r="AI396" s="24"/>
      <c r="AJ396" s="24"/>
      <c r="AK396" s="25"/>
    </row>
    <row r="397" customFormat="false" ht="15.75" hidden="false" customHeight="true" outlineLevel="0" collapsed="false">
      <c r="A397" s="21"/>
      <c r="B397" s="26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7"/>
      <c r="AB397" s="27"/>
      <c r="AC397" s="27"/>
      <c r="AD397" s="27"/>
      <c r="AE397" s="27"/>
      <c r="AF397" s="24"/>
      <c r="AG397" s="24"/>
      <c r="AH397" s="24"/>
      <c r="AI397" s="24"/>
      <c r="AJ397" s="24"/>
      <c r="AK397" s="25"/>
    </row>
    <row r="398" customFormat="false" ht="15.75" hidden="false" customHeight="true" outlineLevel="0" collapsed="false">
      <c r="A398" s="21"/>
      <c r="B398" s="26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7"/>
      <c r="AB398" s="27"/>
      <c r="AC398" s="27"/>
      <c r="AD398" s="27"/>
      <c r="AE398" s="27"/>
      <c r="AF398" s="24"/>
      <c r="AG398" s="24"/>
      <c r="AH398" s="24"/>
      <c r="AI398" s="24"/>
      <c r="AJ398" s="24"/>
      <c r="AK398" s="25"/>
    </row>
    <row r="399" customFormat="false" ht="15.75" hidden="false" customHeight="true" outlineLevel="0" collapsed="false">
      <c r="A399" s="21"/>
      <c r="B399" s="26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7"/>
      <c r="AB399" s="27"/>
      <c r="AC399" s="27"/>
      <c r="AD399" s="27"/>
      <c r="AE399" s="27"/>
      <c r="AF399" s="24"/>
      <c r="AG399" s="24"/>
      <c r="AH399" s="24"/>
      <c r="AI399" s="24"/>
      <c r="AJ399" s="24"/>
      <c r="AK399" s="25"/>
    </row>
    <row r="400" customFormat="false" ht="15.75" hidden="false" customHeight="true" outlineLevel="0" collapsed="false">
      <c r="A400" s="21"/>
      <c r="B400" s="26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7"/>
      <c r="AB400" s="27"/>
      <c r="AC400" s="27"/>
      <c r="AD400" s="27"/>
      <c r="AE400" s="27"/>
      <c r="AF400" s="24"/>
      <c r="AG400" s="24"/>
      <c r="AH400" s="24"/>
      <c r="AI400" s="24"/>
      <c r="AJ400" s="24"/>
      <c r="AK400" s="25"/>
    </row>
    <row r="401" customFormat="false" ht="15.75" hidden="false" customHeight="true" outlineLevel="0" collapsed="false">
      <c r="A401" s="21"/>
      <c r="B401" s="26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7"/>
      <c r="AB401" s="27"/>
      <c r="AC401" s="27"/>
      <c r="AD401" s="27"/>
      <c r="AE401" s="27"/>
      <c r="AF401" s="24"/>
      <c r="AG401" s="24"/>
      <c r="AH401" s="24"/>
      <c r="AI401" s="24"/>
      <c r="AJ401" s="24"/>
      <c r="AK401" s="25"/>
    </row>
    <row r="402" customFormat="false" ht="15.75" hidden="false" customHeight="true" outlineLevel="0" collapsed="false">
      <c r="A402" s="21"/>
      <c r="B402" s="26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7"/>
      <c r="AB402" s="27"/>
      <c r="AC402" s="27"/>
      <c r="AD402" s="27"/>
      <c r="AE402" s="27"/>
      <c r="AF402" s="24"/>
      <c r="AG402" s="24"/>
      <c r="AH402" s="24"/>
      <c r="AI402" s="24"/>
      <c r="AJ402" s="24"/>
      <c r="AK402" s="25"/>
    </row>
    <row r="403" customFormat="false" ht="15.75" hidden="false" customHeight="true" outlineLevel="0" collapsed="false">
      <c r="A403" s="21"/>
      <c r="B403" s="26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7"/>
      <c r="AB403" s="27"/>
      <c r="AC403" s="27"/>
      <c r="AD403" s="27"/>
      <c r="AE403" s="27"/>
      <c r="AF403" s="24"/>
      <c r="AG403" s="24"/>
      <c r="AH403" s="24"/>
      <c r="AI403" s="24"/>
      <c r="AJ403" s="24"/>
      <c r="AK403" s="25"/>
    </row>
    <row r="404" customFormat="false" ht="15.75" hidden="false" customHeight="true" outlineLevel="0" collapsed="false">
      <c r="A404" s="21"/>
      <c r="B404" s="26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7"/>
      <c r="AB404" s="27"/>
      <c r="AC404" s="27"/>
      <c r="AD404" s="27"/>
      <c r="AE404" s="27"/>
      <c r="AF404" s="24"/>
      <c r="AG404" s="24"/>
      <c r="AH404" s="24"/>
      <c r="AI404" s="24"/>
      <c r="AJ404" s="24"/>
      <c r="AK404" s="25"/>
    </row>
    <row r="405" customFormat="false" ht="15.75" hidden="false" customHeight="true" outlineLevel="0" collapsed="false">
      <c r="A405" s="21"/>
      <c r="B405" s="26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7"/>
      <c r="AB405" s="27"/>
      <c r="AC405" s="27"/>
      <c r="AD405" s="27"/>
      <c r="AE405" s="27"/>
      <c r="AF405" s="24"/>
      <c r="AG405" s="24"/>
      <c r="AH405" s="24"/>
      <c r="AI405" s="24"/>
      <c r="AJ405" s="24"/>
      <c r="AK405" s="25"/>
    </row>
    <row r="406" customFormat="false" ht="15.75" hidden="false" customHeight="true" outlineLevel="0" collapsed="false">
      <c r="A406" s="21"/>
      <c r="B406" s="26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7"/>
      <c r="AB406" s="27"/>
      <c r="AC406" s="27"/>
      <c r="AD406" s="27"/>
      <c r="AE406" s="27"/>
      <c r="AF406" s="24"/>
      <c r="AG406" s="24"/>
      <c r="AH406" s="24"/>
      <c r="AI406" s="24"/>
      <c r="AJ406" s="24"/>
      <c r="AK406" s="25"/>
    </row>
    <row r="407" customFormat="false" ht="15.75" hidden="false" customHeight="true" outlineLevel="0" collapsed="false">
      <c r="A407" s="21"/>
      <c r="B407" s="26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7"/>
      <c r="AB407" s="27"/>
      <c r="AC407" s="27"/>
      <c r="AD407" s="27"/>
      <c r="AE407" s="27"/>
      <c r="AF407" s="24"/>
      <c r="AG407" s="24"/>
      <c r="AH407" s="24"/>
      <c r="AI407" s="24"/>
      <c r="AJ407" s="24"/>
      <c r="AK407" s="25"/>
    </row>
    <row r="408" customFormat="false" ht="15.75" hidden="false" customHeight="true" outlineLevel="0" collapsed="false">
      <c r="A408" s="21"/>
      <c r="B408" s="26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7"/>
      <c r="AB408" s="27"/>
      <c r="AC408" s="27"/>
      <c r="AD408" s="27"/>
      <c r="AE408" s="27"/>
      <c r="AF408" s="24"/>
      <c r="AG408" s="24"/>
      <c r="AH408" s="24"/>
      <c r="AI408" s="24"/>
      <c r="AJ408" s="24"/>
      <c r="AK408" s="25"/>
    </row>
    <row r="409" customFormat="false" ht="15.75" hidden="false" customHeight="true" outlineLevel="0" collapsed="false">
      <c r="A409" s="21"/>
      <c r="B409" s="26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7"/>
      <c r="AB409" s="27"/>
      <c r="AC409" s="27"/>
      <c r="AD409" s="27"/>
      <c r="AE409" s="27"/>
      <c r="AF409" s="24"/>
      <c r="AG409" s="24"/>
      <c r="AH409" s="24"/>
      <c r="AI409" s="24"/>
      <c r="AJ409" s="24"/>
      <c r="AK409" s="25"/>
    </row>
    <row r="410" customFormat="false" ht="15.75" hidden="false" customHeight="true" outlineLevel="0" collapsed="false">
      <c r="A410" s="21"/>
      <c r="B410" s="26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7"/>
      <c r="AB410" s="27"/>
      <c r="AC410" s="27"/>
      <c r="AD410" s="27"/>
      <c r="AE410" s="27"/>
      <c r="AF410" s="24"/>
      <c r="AG410" s="24"/>
      <c r="AH410" s="24"/>
      <c r="AI410" s="24"/>
      <c r="AJ410" s="24"/>
      <c r="AK410" s="25"/>
    </row>
    <row r="411" customFormat="false" ht="15.75" hidden="false" customHeight="true" outlineLevel="0" collapsed="false">
      <c r="A411" s="21"/>
      <c r="B411" s="26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7"/>
      <c r="AB411" s="27"/>
      <c r="AC411" s="27"/>
      <c r="AD411" s="27"/>
      <c r="AE411" s="27"/>
      <c r="AF411" s="24"/>
      <c r="AG411" s="24"/>
      <c r="AH411" s="24"/>
      <c r="AI411" s="24"/>
      <c r="AJ411" s="24"/>
      <c r="AK411" s="25"/>
    </row>
    <row r="412" customFormat="false" ht="15.75" hidden="false" customHeight="true" outlineLevel="0" collapsed="false">
      <c r="A412" s="21"/>
      <c r="B412" s="26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7"/>
      <c r="AB412" s="27"/>
      <c r="AC412" s="27"/>
      <c r="AD412" s="27"/>
      <c r="AE412" s="27"/>
      <c r="AF412" s="24"/>
      <c r="AG412" s="24"/>
      <c r="AH412" s="24"/>
      <c r="AI412" s="24"/>
      <c r="AJ412" s="24"/>
      <c r="AK412" s="25"/>
    </row>
    <row r="413" customFormat="false" ht="15.75" hidden="false" customHeight="true" outlineLevel="0" collapsed="false">
      <c r="A413" s="21"/>
      <c r="B413" s="26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7"/>
      <c r="AB413" s="27"/>
      <c r="AC413" s="27"/>
      <c r="AD413" s="27"/>
      <c r="AE413" s="27"/>
      <c r="AF413" s="24"/>
      <c r="AG413" s="24"/>
      <c r="AH413" s="24"/>
      <c r="AI413" s="24"/>
      <c r="AJ413" s="24"/>
      <c r="AK413" s="25"/>
    </row>
    <row r="414" customFormat="false" ht="15.75" hidden="false" customHeight="true" outlineLevel="0" collapsed="false">
      <c r="A414" s="21"/>
      <c r="B414" s="26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7"/>
      <c r="AB414" s="27"/>
      <c r="AC414" s="27"/>
      <c r="AD414" s="27"/>
      <c r="AE414" s="27"/>
      <c r="AF414" s="24"/>
      <c r="AG414" s="24"/>
      <c r="AH414" s="24"/>
      <c r="AI414" s="24"/>
      <c r="AJ414" s="24"/>
      <c r="AK414" s="25"/>
    </row>
    <row r="415" customFormat="false" ht="15.75" hidden="false" customHeight="true" outlineLevel="0" collapsed="false">
      <c r="A415" s="21"/>
      <c r="B415" s="26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7"/>
      <c r="AB415" s="27"/>
      <c r="AC415" s="27"/>
      <c r="AD415" s="27"/>
      <c r="AE415" s="27"/>
      <c r="AF415" s="24"/>
      <c r="AG415" s="24"/>
      <c r="AH415" s="24"/>
      <c r="AI415" s="24"/>
      <c r="AJ415" s="24"/>
      <c r="AK415" s="25"/>
    </row>
    <row r="416" customFormat="false" ht="15.75" hidden="false" customHeight="true" outlineLevel="0" collapsed="false">
      <c r="A416" s="21"/>
      <c r="B416" s="26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7"/>
      <c r="AB416" s="27"/>
      <c r="AC416" s="27"/>
      <c r="AD416" s="27"/>
      <c r="AE416" s="27"/>
      <c r="AF416" s="24"/>
      <c r="AG416" s="24"/>
      <c r="AH416" s="24"/>
      <c r="AI416" s="24"/>
      <c r="AJ416" s="24"/>
      <c r="AK416" s="25"/>
    </row>
    <row r="417" customFormat="false" ht="15.75" hidden="false" customHeight="true" outlineLevel="0" collapsed="false">
      <c r="A417" s="21"/>
      <c r="B417" s="26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7"/>
      <c r="AB417" s="27"/>
      <c r="AC417" s="27"/>
      <c r="AD417" s="27"/>
      <c r="AE417" s="27"/>
      <c r="AF417" s="24"/>
      <c r="AG417" s="24"/>
      <c r="AH417" s="24"/>
      <c r="AI417" s="24"/>
      <c r="AJ417" s="24"/>
      <c r="AK417" s="25"/>
    </row>
    <row r="418" customFormat="false" ht="15.75" hidden="false" customHeight="true" outlineLevel="0" collapsed="false">
      <c r="A418" s="21"/>
      <c r="B418" s="26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7"/>
      <c r="AB418" s="27"/>
      <c r="AC418" s="27"/>
      <c r="AD418" s="27"/>
      <c r="AE418" s="27"/>
      <c r="AF418" s="24"/>
      <c r="AG418" s="24"/>
      <c r="AH418" s="24"/>
      <c r="AI418" s="24"/>
      <c r="AJ418" s="24"/>
      <c r="AK418" s="25"/>
    </row>
    <row r="419" customFormat="false" ht="15.75" hidden="false" customHeight="true" outlineLevel="0" collapsed="false">
      <c r="A419" s="21"/>
      <c r="B419" s="26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7"/>
      <c r="AB419" s="27"/>
      <c r="AC419" s="27"/>
      <c r="AD419" s="27"/>
      <c r="AE419" s="27"/>
      <c r="AF419" s="24"/>
      <c r="AG419" s="24"/>
      <c r="AH419" s="24"/>
      <c r="AI419" s="24"/>
      <c r="AJ419" s="24"/>
      <c r="AK419" s="25"/>
    </row>
    <row r="420" customFormat="false" ht="15.75" hidden="false" customHeight="true" outlineLevel="0" collapsed="false">
      <c r="A420" s="21"/>
      <c r="B420" s="26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7"/>
      <c r="AB420" s="27"/>
      <c r="AC420" s="27"/>
      <c r="AD420" s="27"/>
      <c r="AE420" s="27"/>
      <c r="AF420" s="24"/>
      <c r="AG420" s="24"/>
      <c r="AH420" s="24"/>
      <c r="AI420" s="24"/>
      <c r="AJ420" s="24"/>
      <c r="AK420" s="25"/>
    </row>
    <row r="421" customFormat="false" ht="15.75" hidden="false" customHeight="true" outlineLevel="0" collapsed="false">
      <c r="A421" s="21"/>
      <c r="B421" s="26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7"/>
      <c r="AB421" s="27"/>
      <c r="AC421" s="27"/>
      <c r="AD421" s="27"/>
      <c r="AE421" s="27"/>
      <c r="AF421" s="24"/>
      <c r="AG421" s="24"/>
      <c r="AH421" s="24"/>
      <c r="AI421" s="24"/>
      <c r="AJ421" s="24"/>
      <c r="AK421" s="25"/>
    </row>
    <row r="422" customFormat="false" ht="15.75" hidden="false" customHeight="true" outlineLevel="0" collapsed="false">
      <c r="A422" s="21"/>
      <c r="B422" s="26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7"/>
      <c r="AB422" s="27"/>
      <c r="AC422" s="27"/>
      <c r="AD422" s="27"/>
      <c r="AE422" s="27"/>
      <c r="AF422" s="24"/>
      <c r="AG422" s="24"/>
      <c r="AH422" s="24"/>
      <c r="AI422" s="24"/>
      <c r="AJ422" s="24"/>
      <c r="AK422" s="25"/>
    </row>
    <row r="423" customFormat="false" ht="15.75" hidden="false" customHeight="true" outlineLevel="0" collapsed="false">
      <c r="A423" s="21"/>
      <c r="B423" s="26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7"/>
      <c r="AB423" s="27"/>
      <c r="AC423" s="27"/>
      <c r="AD423" s="27"/>
      <c r="AE423" s="27"/>
      <c r="AF423" s="24"/>
      <c r="AG423" s="24"/>
      <c r="AH423" s="24"/>
      <c r="AI423" s="24"/>
      <c r="AJ423" s="24"/>
      <c r="AK423" s="25"/>
    </row>
    <row r="424" customFormat="false" ht="15.75" hidden="false" customHeight="true" outlineLevel="0" collapsed="false">
      <c r="A424" s="21"/>
      <c r="B424" s="26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7"/>
      <c r="AB424" s="27"/>
      <c r="AC424" s="27"/>
      <c r="AD424" s="27"/>
      <c r="AE424" s="27"/>
      <c r="AF424" s="24"/>
      <c r="AG424" s="24"/>
      <c r="AH424" s="24"/>
      <c r="AI424" s="24"/>
      <c r="AJ424" s="24"/>
      <c r="AK424" s="25"/>
    </row>
    <row r="425" customFormat="false" ht="15.75" hidden="false" customHeight="true" outlineLevel="0" collapsed="false">
      <c r="A425" s="21"/>
      <c r="B425" s="26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7"/>
      <c r="AB425" s="27"/>
      <c r="AC425" s="27"/>
      <c r="AD425" s="27"/>
      <c r="AE425" s="27"/>
      <c r="AF425" s="24"/>
      <c r="AG425" s="24"/>
      <c r="AH425" s="24"/>
      <c r="AI425" s="24"/>
      <c r="AJ425" s="24"/>
      <c r="AK425" s="25"/>
    </row>
    <row r="426" customFormat="false" ht="15.75" hidden="false" customHeight="true" outlineLevel="0" collapsed="false">
      <c r="A426" s="21"/>
      <c r="B426" s="26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7"/>
      <c r="AB426" s="27"/>
      <c r="AC426" s="27"/>
      <c r="AD426" s="27"/>
      <c r="AE426" s="27"/>
      <c r="AF426" s="24"/>
      <c r="AG426" s="24"/>
      <c r="AH426" s="24"/>
      <c r="AI426" s="24"/>
      <c r="AJ426" s="24"/>
      <c r="AK426" s="25"/>
    </row>
    <row r="427" customFormat="false" ht="15.75" hidden="false" customHeight="true" outlineLevel="0" collapsed="false">
      <c r="A427" s="21"/>
      <c r="B427" s="26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7"/>
      <c r="AB427" s="27"/>
      <c r="AC427" s="27"/>
      <c r="AD427" s="27"/>
      <c r="AE427" s="27"/>
      <c r="AF427" s="24"/>
      <c r="AG427" s="24"/>
      <c r="AH427" s="24"/>
      <c r="AI427" s="24"/>
      <c r="AJ427" s="24"/>
      <c r="AK427" s="25"/>
    </row>
    <row r="428" customFormat="false" ht="15.75" hidden="false" customHeight="true" outlineLevel="0" collapsed="false">
      <c r="A428" s="21"/>
      <c r="B428" s="26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7"/>
      <c r="AB428" s="27"/>
      <c r="AC428" s="27"/>
      <c r="AD428" s="27"/>
      <c r="AE428" s="27"/>
      <c r="AF428" s="24"/>
      <c r="AG428" s="24"/>
      <c r="AH428" s="24"/>
      <c r="AI428" s="24"/>
      <c r="AJ428" s="24"/>
      <c r="AK428" s="25"/>
    </row>
    <row r="429" customFormat="false" ht="15.75" hidden="false" customHeight="true" outlineLevel="0" collapsed="false">
      <c r="A429" s="21"/>
      <c r="B429" s="26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7"/>
      <c r="AB429" s="27"/>
      <c r="AC429" s="27"/>
      <c r="AD429" s="27"/>
      <c r="AE429" s="27"/>
      <c r="AF429" s="24"/>
      <c r="AG429" s="24"/>
      <c r="AH429" s="24"/>
      <c r="AI429" s="24"/>
      <c r="AJ429" s="24"/>
      <c r="AK429" s="25"/>
    </row>
    <row r="430" customFormat="false" ht="15.75" hidden="false" customHeight="true" outlineLevel="0" collapsed="false">
      <c r="A430" s="21"/>
      <c r="B430" s="26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7"/>
      <c r="AB430" s="27"/>
      <c r="AC430" s="27"/>
      <c r="AD430" s="27"/>
      <c r="AE430" s="27"/>
      <c r="AF430" s="24"/>
      <c r="AG430" s="24"/>
      <c r="AH430" s="24"/>
      <c r="AI430" s="24"/>
      <c r="AJ430" s="24"/>
      <c r="AK430" s="25"/>
    </row>
    <row r="431" customFormat="false" ht="15.75" hidden="false" customHeight="true" outlineLevel="0" collapsed="false">
      <c r="A431" s="21"/>
      <c r="B431" s="26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7"/>
      <c r="AB431" s="27"/>
      <c r="AC431" s="27"/>
      <c r="AD431" s="27"/>
      <c r="AE431" s="27"/>
      <c r="AF431" s="24"/>
      <c r="AG431" s="24"/>
      <c r="AH431" s="24"/>
      <c r="AI431" s="24"/>
      <c r="AJ431" s="24"/>
      <c r="AK431" s="25"/>
    </row>
    <row r="432" customFormat="false" ht="15.75" hidden="false" customHeight="true" outlineLevel="0" collapsed="false">
      <c r="A432" s="21"/>
      <c r="B432" s="26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7"/>
      <c r="AB432" s="27"/>
      <c r="AC432" s="27"/>
      <c r="AD432" s="27"/>
      <c r="AE432" s="27"/>
      <c r="AF432" s="24"/>
      <c r="AG432" s="24"/>
      <c r="AH432" s="24"/>
      <c r="AI432" s="24"/>
      <c r="AJ432" s="24"/>
      <c r="AK432" s="25"/>
    </row>
    <row r="433" customFormat="false" ht="15.75" hidden="false" customHeight="true" outlineLevel="0" collapsed="false">
      <c r="A433" s="21"/>
      <c r="B433" s="26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7"/>
      <c r="AB433" s="27"/>
      <c r="AC433" s="27"/>
      <c r="AD433" s="27"/>
      <c r="AE433" s="27"/>
      <c r="AF433" s="24"/>
      <c r="AG433" s="24"/>
      <c r="AH433" s="24"/>
      <c r="AI433" s="24"/>
      <c r="AJ433" s="24"/>
      <c r="AK433" s="25"/>
    </row>
    <row r="434" customFormat="false" ht="15.75" hidden="false" customHeight="true" outlineLevel="0" collapsed="false">
      <c r="A434" s="21"/>
      <c r="B434" s="26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7"/>
      <c r="AB434" s="27"/>
      <c r="AC434" s="27"/>
      <c r="AD434" s="27"/>
      <c r="AE434" s="27"/>
      <c r="AF434" s="24"/>
      <c r="AG434" s="24"/>
      <c r="AH434" s="24"/>
      <c r="AI434" s="24"/>
      <c r="AJ434" s="24"/>
      <c r="AK434" s="25"/>
    </row>
    <row r="435" customFormat="false" ht="15.75" hidden="false" customHeight="true" outlineLevel="0" collapsed="false">
      <c r="A435" s="21"/>
      <c r="B435" s="26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7"/>
      <c r="AB435" s="27"/>
      <c r="AC435" s="27"/>
      <c r="AD435" s="27"/>
      <c r="AE435" s="27"/>
      <c r="AF435" s="24"/>
      <c r="AG435" s="24"/>
      <c r="AH435" s="24"/>
      <c r="AI435" s="24"/>
      <c r="AJ435" s="24"/>
      <c r="AK435" s="25"/>
    </row>
    <row r="436" customFormat="false" ht="15.75" hidden="false" customHeight="true" outlineLevel="0" collapsed="false">
      <c r="A436" s="21"/>
      <c r="B436" s="26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7"/>
      <c r="AB436" s="27"/>
      <c r="AC436" s="27"/>
      <c r="AD436" s="27"/>
      <c r="AE436" s="27"/>
      <c r="AF436" s="24"/>
      <c r="AG436" s="24"/>
      <c r="AH436" s="24"/>
      <c r="AI436" s="24"/>
      <c r="AJ436" s="24"/>
      <c r="AK436" s="25"/>
    </row>
    <row r="437" customFormat="false" ht="15.75" hidden="false" customHeight="true" outlineLevel="0" collapsed="false">
      <c r="A437" s="21"/>
      <c r="B437" s="26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7"/>
      <c r="AB437" s="27"/>
      <c r="AC437" s="27"/>
      <c r="AD437" s="27"/>
      <c r="AE437" s="27"/>
      <c r="AF437" s="24"/>
      <c r="AG437" s="24"/>
      <c r="AH437" s="24"/>
      <c r="AI437" s="24"/>
      <c r="AJ437" s="24"/>
      <c r="AK437" s="25"/>
    </row>
    <row r="438" customFormat="false" ht="15.75" hidden="false" customHeight="true" outlineLevel="0" collapsed="false">
      <c r="A438" s="21"/>
      <c r="B438" s="26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7"/>
      <c r="AB438" s="27"/>
      <c r="AC438" s="27"/>
      <c r="AD438" s="27"/>
      <c r="AE438" s="27"/>
      <c r="AF438" s="24"/>
      <c r="AG438" s="24"/>
      <c r="AH438" s="24"/>
      <c r="AI438" s="24"/>
      <c r="AJ438" s="24"/>
      <c r="AK438" s="25"/>
    </row>
    <row r="439" customFormat="false" ht="15.75" hidden="false" customHeight="true" outlineLevel="0" collapsed="false">
      <c r="A439" s="21"/>
      <c r="B439" s="26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7"/>
      <c r="AB439" s="27"/>
      <c r="AC439" s="27"/>
      <c r="AD439" s="27"/>
      <c r="AE439" s="27"/>
      <c r="AF439" s="24"/>
      <c r="AG439" s="24"/>
      <c r="AH439" s="24"/>
      <c r="AI439" s="24"/>
      <c r="AJ439" s="24"/>
      <c r="AK439" s="25"/>
    </row>
    <row r="440" customFormat="false" ht="15.75" hidden="false" customHeight="true" outlineLevel="0" collapsed="false">
      <c r="A440" s="21"/>
      <c r="B440" s="26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7"/>
      <c r="AB440" s="27"/>
      <c r="AC440" s="27"/>
      <c r="AD440" s="27"/>
      <c r="AE440" s="27"/>
      <c r="AF440" s="24"/>
      <c r="AG440" s="24"/>
      <c r="AH440" s="24"/>
      <c r="AI440" s="24"/>
      <c r="AJ440" s="24"/>
      <c r="AK440" s="25"/>
    </row>
    <row r="441" customFormat="false" ht="15.75" hidden="false" customHeight="true" outlineLevel="0" collapsed="false">
      <c r="A441" s="21"/>
      <c r="B441" s="26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7"/>
      <c r="AB441" s="27"/>
      <c r="AC441" s="27"/>
      <c r="AD441" s="27"/>
      <c r="AE441" s="27"/>
      <c r="AF441" s="24"/>
      <c r="AG441" s="24"/>
      <c r="AH441" s="24"/>
      <c r="AI441" s="24"/>
      <c r="AJ441" s="24"/>
      <c r="AK441" s="25"/>
    </row>
    <row r="442" customFormat="false" ht="15.75" hidden="false" customHeight="true" outlineLevel="0" collapsed="false">
      <c r="A442" s="21"/>
      <c r="B442" s="26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7"/>
      <c r="AB442" s="27"/>
      <c r="AC442" s="27"/>
      <c r="AD442" s="27"/>
      <c r="AE442" s="27"/>
      <c r="AF442" s="24"/>
      <c r="AG442" s="24"/>
      <c r="AH442" s="24"/>
      <c r="AI442" s="24"/>
      <c r="AJ442" s="24"/>
      <c r="AK442" s="25"/>
    </row>
    <row r="443" customFormat="false" ht="15.75" hidden="false" customHeight="true" outlineLevel="0" collapsed="false">
      <c r="A443" s="21"/>
      <c r="B443" s="26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7"/>
      <c r="AB443" s="27"/>
      <c r="AC443" s="27"/>
      <c r="AD443" s="27"/>
      <c r="AE443" s="27"/>
      <c r="AF443" s="24"/>
      <c r="AG443" s="24"/>
      <c r="AH443" s="24"/>
      <c r="AI443" s="24"/>
      <c r="AJ443" s="24"/>
      <c r="AK443" s="25"/>
    </row>
    <row r="444" customFormat="false" ht="15.75" hidden="false" customHeight="true" outlineLevel="0" collapsed="false">
      <c r="A444" s="21"/>
      <c r="B444" s="26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7"/>
      <c r="AB444" s="27"/>
      <c r="AC444" s="27"/>
      <c r="AD444" s="27"/>
      <c r="AE444" s="27"/>
      <c r="AF444" s="24"/>
      <c r="AG444" s="24"/>
      <c r="AH444" s="24"/>
      <c r="AI444" s="24"/>
      <c r="AJ444" s="24"/>
      <c r="AK444" s="25"/>
    </row>
    <row r="445" customFormat="false" ht="15.75" hidden="false" customHeight="true" outlineLevel="0" collapsed="false">
      <c r="A445" s="21"/>
      <c r="B445" s="26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7"/>
      <c r="AB445" s="27"/>
      <c r="AC445" s="27"/>
      <c r="AD445" s="27"/>
      <c r="AE445" s="27"/>
      <c r="AF445" s="24"/>
      <c r="AG445" s="24"/>
      <c r="AH445" s="24"/>
      <c r="AI445" s="24"/>
      <c r="AJ445" s="24"/>
      <c r="AK445" s="25"/>
    </row>
    <row r="446" customFormat="false" ht="15.75" hidden="false" customHeight="true" outlineLevel="0" collapsed="false">
      <c r="A446" s="21"/>
      <c r="B446" s="26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7"/>
      <c r="AB446" s="27"/>
      <c r="AC446" s="27"/>
      <c r="AD446" s="27"/>
      <c r="AE446" s="27"/>
      <c r="AF446" s="24"/>
      <c r="AG446" s="24"/>
      <c r="AH446" s="24"/>
      <c r="AI446" s="24"/>
      <c r="AJ446" s="24"/>
      <c r="AK446" s="25"/>
    </row>
    <row r="447" customFormat="false" ht="15.75" hidden="false" customHeight="true" outlineLevel="0" collapsed="false">
      <c r="A447" s="21"/>
      <c r="B447" s="26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7"/>
      <c r="AB447" s="27"/>
      <c r="AC447" s="27"/>
      <c r="AD447" s="27"/>
      <c r="AE447" s="27"/>
      <c r="AF447" s="24"/>
      <c r="AG447" s="24"/>
      <c r="AH447" s="24"/>
      <c r="AI447" s="24"/>
      <c r="AJ447" s="24"/>
      <c r="AK447" s="25"/>
    </row>
    <row r="448" customFormat="false" ht="15.75" hidden="false" customHeight="true" outlineLevel="0" collapsed="false">
      <c r="A448" s="21"/>
      <c r="B448" s="26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7"/>
      <c r="AB448" s="27"/>
      <c r="AC448" s="27"/>
      <c r="AD448" s="27"/>
      <c r="AE448" s="27"/>
      <c r="AF448" s="24"/>
      <c r="AG448" s="24"/>
      <c r="AH448" s="24"/>
      <c r="AI448" s="24"/>
      <c r="AJ448" s="24"/>
      <c r="AK448" s="25"/>
    </row>
    <row r="449" customFormat="false" ht="15.75" hidden="false" customHeight="true" outlineLevel="0" collapsed="false">
      <c r="A449" s="21"/>
      <c r="B449" s="26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7"/>
      <c r="AB449" s="27"/>
      <c r="AC449" s="27"/>
      <c r="AD449" s="27"/>
      <c r="AE449" s="27"/>
      <c r="AF449" s="24"/>
      <c r="AG449" s="24"/>
      <c r="AH449" s="24"/>
      <c r="AI449" s="24"/>
      <c r="AJ449" s="24"/>
      <c r="AK449" s="25"/>
    </row>
    <row r="450" customFormat="false" ht="15.75" hidden="false" customHeight="true" outlineLevel="0" collapsed="false">
      <c r="A450" s="21"/>
      <c r="B450" s="26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7"/>
      <c r="AB450" s="27"/>
      <c r="AC450" s="27"/>
      <c r="AD450" s="27"/>
      <c r="AE450" s="27"/>
      <c r="AF450" s="24"/>
      <c r="AG450" s="24"/>
      <c r="AH450" s="24"/>
      <c r="AI450" s="24"/>
      <c r="AJ450" s="24"/>
      <c r="AK450" s="25"/>
    </row>
    <row r="451" customFormat="false" ht="15.75" hidden="false" customHeight="true" outlineLevel="0" collapsed="false">
      <c r="A451" s="21"/>
      <c r="B451" s="26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7"/>
      <c r="AB451" s="27"/>
      <c r="AC451" s="27"/>
      <c r="AD451" s="27"/>
      <c r="AE451" s="27"/>
      <c r="AF451" s="24"/>
      <c r="AG451" s="24"/>
      <c r="AH451" s="24"/>
      <c r="AI451" s="24"/>
      <c r="AJ451" s="24"/>
      <c r="AK451" s="25"/>
    </row>
    <row r="452" customFormat="false" ht="15.75" hidden="false" customHeight="true" outlineLevel="0" collapsed="false">
      <c r="A452" s="21"/>
      <c r="B452" s="26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7"/>
      <c r="AB452" s="27"/>
      <c r="AC452" s="27"/>
      <c r="AD452" s="27"/>
      <c r="AE452" s="27"/>
      <c r="AF452" s="24"/>
      <c r="AG452" s="24"/>
      <c r="AH452" s="24"/>
      <c r="AI452" s="24"/>
      <c r="AJ452" s="24"/>
      <c r="AK452" s="25"/>
    </row>
    <row r="453" customFormat="false" ht="15.75" hidden="false" customHeight="true" outlineLevel="0" collapsed="false">
      <c r="A453" s="21"/>
      <c r="B453" s="26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7"/>
      <c r="AB453" s="27"/>
      <c r="AC453" s="27"/>
      <c r="AD453" s="27"/>
      <c r="AE453" s="27"/>
      <c r="AF453" s="24"/>
      <c r="AG453" s="24"/>
      <c r="AH453" s="24"/>
      <c r="AI453" s="24"/>
      <c r="AJ453" s="24"/>
      <c r="AK453" s="25"/>
    </row>
    <row r="454" customFormat="false" ht="15.75" hidden="false" customHeight="true" outlineLevel="0" collapsed="false">
      <c r="A454" s="21"/>
      <c r="B454" s="26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7"/>
      <c r="AB454" s="27"/>
      <c r="AC454" s="27"/>
      <c r="AD454" s="27"/>
      <c r="AE454" s="27"/>
      <c r="AF454" s="24"/>
      <c r="AG454" s="24"/>
      <c r="AH454" s="24"/>
      <c r="AI454" s="24"/>
      <c r="AJ454" s="24"/>
      <c r="AK454" s="25"/>
    </row>
    <row r="455" customFormat="false" ht="15.75" hidden="false" customHeight="true" outlineLevel="0" collapsed="false">
      <c r="A455" s="21"/>
      <c r="B455" s="26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7"/>
      <c r="AB455" s="27"/>
      <c r="AC455" s="27"/>
      <c r="AD455" s="27"/>
      <c r="AE455" s="27"/>
      <c r="AF455" s="24"/>
      <c r="AG455" s="24"/>
      <c r="AH455" s="24"/>
      <c r="AI455" s="24"/>
      <c r="AJ455" s="24"/>
      <c r="AK455" s="25"/>
    </row>
    <row r="456" customFormat="false" ht="15.75" hidden="false" customHeight="true" outlineLevel="0" collapsed="false">
      <c r="A456" s="21"/>
      <c r="B456" s="26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7"/>
      <c r="AB456" s="27"/>
      <c r="AC456" s="27"/>
      <c r="AD456" s="27"/>
      <c r="AE456" s="27"/>
      <c r="AF456" s="24"/>
      <c r="AG456" s="24"/>
      <c r="AH456" s="24"/>
      <c r="AI456" s="24"/>
      <c r="AJ456" s="24"/>
      <c r="AK456" s="25"/>
    </row>
    <row r="457" customFormat="false" ht="15.75" hidden="false" customHeight="true" outlineLevel="0" collapsed="false">
      <c r="A457" s="21"/>
      <c r="B457" s="26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7"/>
      <c r="AB457" s="27"/>
      <c r="AC457" s="27"/>
      <c r="AD457" s="27"/>
      <c r="AE457" s="27"/>
      <c r="AF457" s="24"/>
      <c r="AG457" s="24"/>
      <c r="AH457" s="24"/>
      <c r="AI457" s="24"/>
      <c r="AJ457" s="24"/>
      <c r="AK457" s="25"/>
    </row>
    <row r="458" customFormat="false" ht="15.75" hidden="false" customHeight="true" outlineLevel="0" collapsed="false">
      <c r="A458" s="21"/>
      <c r="B458" s="26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7"/>
      <c r="AB458" s="27"/>
      <c r="AC458" s="27"/>
      <c r="AD458" s="27"/>
      <c r="AE458" s="27"/>
      <c r="AF458" s="24"/>
      <c r="AG458" s="24"/>
      <c r="AH458" s="24"/>
      <c r="AI458" s="24"/>
      <c r="AJ458" s="24"/>
      <c r="AK458" s="25"/>
    </row>
    <row r="459" customFormat="false" ht="15.75" hidden="false" customHeight="true" outlineLevel="0" collapsed="false">
      <c r="A459" s="21"/>
      <c r="B459" s="26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7"/>
      <c r="AB459" s="27"/>
      <c r="AC459" s="27"/>
      <c r="AD459" s="27"/>
      <c r="AE459" s="27"/>
      <c r="AF459" s="24"/>
      <c r="AG459" s="24"/>
      <c r="AH459" s="24"/>
      <c r="AI459" s="24"/>
      <c r="AJ459" s="24"/>
      <c r="AK459" s="25"/>
    </row>
    <row r="460" customFormat="false" ht="15.75" hidden="false" customHeight="true" outlineLevel="0" collapsed="false">
      <c r="A460" s="21"/>
      <c r="B460" s="26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7"/>
      <c r="AB460" s="27"/>
      <c r="AC460" s="27"/>
      <c r="AD460" s="27"/>
      <c r="AE460" s="27"/>
      <c r="AF460" s="24"/>
      <c r="AG460" s="24"/>
      <c r="AH460" s="24"/>
      <c r="AI460" s="24"/>
      <c r="AJ460" s="24"/>
      <c r="AK460" s="25"/>
    </row>
    <row r="461" customFormat="false" ht="15.75" hidden="false" customHeight="true" outlineLevel="0" collapsed="false">
      <c r="A461" s="21"/>
      <c r="B461" s="26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7"/>
      <c r="AB461" s="27"/>
      <c r="AC461" s="27"/>
      <c r="AD461" s="27"/>
      <c r="AE461" s="27"/>
      <c r="AF461" s="24"/>
      <c r="AG461" s="24"/>
      <c r="AH461" s="24"/>
      <c r="AI461" s="24"/>
      <c r="AJ461" s="24"/>
      <c r="AK461" s="25"/>
    </row>
    <row r="462" customFormat="false" ht="15.75" hidden="false" customHeight="true" outlineLevel="0" collapsed="false">
      <c r="A462" s="21"/>
      <c r="B462" s="26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7"/>
      <c r="AB462" s="27"/>
      <c r="AC462" s="27"/>
      <c r="AD462" s="27"/>
      <c r="AE462" s="27"/>
      <c r="AF462" s="24"/>
      <c r="AG462" s="24"/>
      <c r="AH462" s="24"/>
      <c r="AI462" s="24"/>
      <c r="AJ462" s="24"/>
      <c r="AK462" s="25"/>
    </row>
    <row r="463" customFormat="false" ht="15.75" hidden="false" customHeight="true" outlineLevel="0" collapsed="false">
      <c r="A463" s="21"/>
      <c r="B463" s="26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7"/>
      <c r="AB463" s="27"/>
      <c r="AC463" s="27"/>
      <c r="AD463" s="27"/>
      <c r="AE463" s="27"/>
      <c r="AF463" s="24"/>
      <c r="AG463" s="24"/>
      <c r="AH463" s="24"/>
      <c r="AI463" s="24"/>
      <c r="AJ463" s="24"/>
      <c r="AK463" s="25"/>
    </row>
    <row r="464" customFormat="false" ht="15.75" hidden="false" customHeight="true" outlineLevel="0" collapsed="false">
      <c r="A464" s="21"/>
      <c r="B464" s="26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7"/>
      <c r="AB464" s="27"/>
      <c r="AC464" s="27"/>
      <c r="AD464" s="27"/>
      <c r="AE464" s="27"/>
      <c r="AF464" s="24"/>
      <c r="AG464" s="24"/>
      <c r="AH464" s="24"/>
      <c r="AI464" s="24"/>
      <c r="AJ464" s="24"/>
      <c r="AK464" s="25"/>
    </row>
    <row r="465" customFormat="false" ht="15.75" hidden="false" customHeight="true" outlineLevel="0" collapsed="false">
      <c r="A465" s="21"/>
      <c r="B465" s="26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7"/>
      <c r="AB465" s="27"/>
      <c r="AC465" s="27"/>
      <c r="AD465" s="27"/>
      <c r="AE465" s="27"/>
      <c r="AF465" s="24"/>
      <c r="AG465" s="24"/>
      <c r="AH465" s="24"/>
      <c r="AI465" s="24"/>
      <c r="AJ465" s="24"/>
      <c r="AK465" s="25"/>
    </row>
    <row r="466" customFormat="false" ht="15.75" hidden="false" customHeight="true" outlineLevel="0" collapsed="false">
      <c r="A466" s="21"/>
      <c r="B466" s="26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7"/>
      <c r="AB466" s="27"/>
      <c r="AC466" s="27"/>
      <c r="AD466" s="27"/>
      <c r="AE466" s="27"/>
      <c r="AF466" s="24"/>
      <c r="AG466" s="24"/>
      <c r="AH466" s="24"/>
      <c r="AI466" s="24"/>
      <c r="AJ466" s="24"/>
      <c r="AK466" s="25"/>
    </row>
    <row r="467" customFormat="false" ht="15.75" hidden="false" customHeight="true" outlineLevel="0" collapsed="false">
      <c r="A467" s="21"/>
      <c r="B467" s="26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7"/>
      <c r="AB467" s="27"/>
      <c r="AC467" s="27"/>
      <c r="AD467" s="27"/>
      <c r="AE467" s="27"/>
      <c r="AF467" s="24"/>
      <c r="AG467" s="24"/>
      <c r="AH467" s="24"/>
      <c r="AI467" s="24"/>
      <c r="AJ467" s="24"/>
      <c r="AK467" s="25"/>
    </row>
    <row r="468" customFormat="false" ht="15.75" hidden="false" customHeight="true" outlineLevel="0" collapsed="false">
      <c r="A468" s="21"/>
      <c r="B468" s="26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7"/>
      <c r="AB468" s="27"/>
      <c r="AC468" s="27"/>
      <c r="AD468" s="27"/>
      <c r="AE468" s="27"/>
      <c r="AF468" s="24"/>
      <c r="AG468" s="24"/>
      <c r="AH468" s="24"/>
      <c r="AI468" s="24"/>
      <c r="AJ468" s="24"/>
      <c r="AK468" s="25"/>
    </row>
    <row r="469" customFormat="false" ht="15.75" hidden="false" customHeight="true" outlineLevel="0" collapsed="false">
      <c r="A469" s="21"/>
      <c r="B469" s="26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7"/>
      <c r="AB469" s="27"/>
      <c r="AC469" s="27"/>
      <c r="AD469" s="27"/>
      <c r="AE469" s="27"/>
      <c r="AF469" s="24"/>
      <c r="AG469" s="24"/>
      <c r="AH469" s="24"/>
      <c r="AI469" s="24"/>
      <c r="AJ469" s="24"/>
      <c r="AK469" s="25"/>
    </row>
    <row r="470" customFormat="false" ht="15.75" hidden="false" customHeight="true" outlineLevel="0" collapsed="false">
      <c r="A470" s="21"/>
      <c r="B470" s="26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7"/>
      <c r="AB470" s="27"/>
      <c r="AC470" s="27"/>
      <c r="AD470" s="27"/>
      <c r="AE470" s="27"/>
      <c r="AF470" s="24"/>
      <c r="AG470" s="24"/>
      <c r="AH470" s="24"/>
      <c r="AI470" s="24"/>
      <c r="AJ470" s="24"/>
      <c r="AK470" s="25"/>
    </row>
    <row r="471" customFormat="false" ht="15.75" hidden="false" customHeight="true" outlineLevel="0" collapsed="false">
      <c r="A471" s="21"/>
      <c r="B471" s="26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7"/>
      <c r="AB471" s="27"/>
      <c r="AC471" s="27"/>
      <c r="AD471" s="27"/>
      <c r="AE471" s="27"/>
      <c r="AF471" s="24"/>
      <c r="AG471" s="24"/>
      <c r="AH471" s="24"/>
      <c r="AI471" s="24"/>
      <c r="AJ471" s="24"/>
      <c r="AK471" s="25"/>
    </row>
    <row r="472" customFormat="false" ht="15.75" hidden="false" customHeight="true" outlineLevel="0" collapsed="false">
      <c r="A472" s="21"/>
      <c r="B472" s="26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7"/>
      <c r="AB472" s="27"/>
      <c r="AC472" s="27"/>
      <c r="AD472" s="27"/>
      <c r="AE472" s="27"/>
      <c r="AF472" s="24"/>
      <c r="AG472" s="24"/>
      <c r="AH472" s="24"/>
      <c r="AI472" s="24"/>
      <c r="AJ472" s="24"/>
      <c r="AK472" s="25"/>
    </row>
    <row r="473" customFormat="false" ht="15.75" hidden="false" customHeight="true" outlineLevel="0" collapsed="false">
      <c r="A473" s="21"/>
      <c r="B473" s="26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7"/>
      <c r="AB473" s="27"/>
      <c r="AC473" s="27"/>
      <c r="AD473" s="27"/>
      <c r="AE473" s="27"/>
      <c r="AF473" s="24"/>
      <c r="AG473" s="24"/>
      <c r="AH473" s="24"/>
      <c r="AI473" s="24"/>
      <c r="AJ473" s="24"/>
      <c r="AK473" s="25"/>
    </row>
    <row r="474" customFormat="false" ht="15.75" hidden="false" customHeight="true" outlineLevel="0" collapsed="false">
      <c r="A474" s="21"/>
      <c r="B474" s="26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7"/>
      <c r="AB474" s="27"/>
      <c r="AC474" s="27"/>
      <c r="AD474" s="27"/>
      <c r="AE474" s="27"/>
      <c r="AF474" s="24"/>
      <c r="AG474" s="24"/>
      <c r="AH474" s="24"/>
      <c r="AI474" s="24"/>
      <c r="AJ474" s="24"/>
      <c r="AK474" s="25"/>
    </row>
    <row r="475" customFormat="false" ht="15.75" hidden="false" customHeight="true" outlineLevel="0" collapsed="false">
      <c r="A475" s="21"/>
      <c r="B475" s="26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7"/>
      <c r="AB475" s="27"/>
      <c r="AC475" s="27"/>
      <c r="AD475" s="27"/>
      <c r="AE475" s="27"/>
      <c r="AF475" s="24"/>
      <c r="AG475" s="24"/>
      <c r="AH475" s="24"/>
      <c r="AI475" s="24"/>
      <c r="AJ475" s="24"/>
      <c r="AK475" s="25"/>
    </row>
    <row r="476" customFormat="false" ht="15.75" hidden="false" customHeight="true" outlineLevel="0" collapsed="false">
      <c r="A476" s="21"/>
      <c r="B476" s="26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7"/>
      <c r="AB476" s="27"/>
      <c r="AC476" s="27"/>
      <c r="AD476" s="27"/>
      <c r="AE476" s="27"/>
      <c r="AF476" s="24"/>
      <c r="AG476" s="24"/>
      <c r="AH476" s="24"/>
      <c r="AI476" s="24"/>
      <c r="AJ476" s="24"/>
      <c r="AK476" s="25"/>
    </row>
    <row r="477" customFormat="false" ht="15.75" hidden="false" customHeight="true" outlineLevel="0" collapsed="false">
      <c r="A477" s="21"/>
      <c r="B477" s="26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7"/>
      <c r="AB477" s="27"/>
      <c r="AC477" s="27"/>
      <c r="AD477" s="27"/>
      <c r="AE477" s="27"/>
      <c r="AF477" s="24"/>
      <c r="AG477" s="24"/>
      <c r="AH477" s="24"/>
      <c r="AI477" s="24"/>
      <c r="AJ477" s="24"/>
      <c r="AK477" s="25"/>
    </row>
    <row r="478" customFormat="false" ht="15.75" hidden="false" customHeight="true" outlineLevel="0" collapsed="false">
      <c r="A478" s="21"/>
      <c r="B478" s="26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7"/>
      <c r="AB478" s="27"/>
      <c r="AC478" s="27"/>
      <c r="AD478" s="27"/>
      <c r="AE478" s="27"/>
      <c r="AF478" s="24"/>
      <c r="AG478" s="24"/>
      <c r="AH478" s="24"/>
      <c r="AI478" s="24"/>
      <c r="AJ478" s="24"/>
      <c r="AK478" s="25"/>
    </row>
    <row r="479" customFormat="false" ht="15.75" hidden="false" customHeight="true" outlineLevel="0" collapsed="false">
      <c r="A479" s="21"/>
      <c r="B479" s="26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7"/>
      <c r="AB479" s="27"/>
      <c r="AC479" s="27"/>
      <c r="AD479" s="27"/>
      <c r="AE479" s="27"/>
      <c r="AF479" s="24"/>
      <c r="AG479" s="24"/>
      <c r="AH479" s="24"/>
      <c r="AI479" s="24"/>
      <c r="AJ479" s="24"/>
      <c r="AK479" s="25"/>
    </row>
    <row r="480" customFormat="false" ht="15.75" hidden="false" customHeight="true" outlineLevel="0" collapsed="false">
      <c r="A480" s="21"/>
      <c r="B480" s="26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7"/>
      <c r="AB480" s="27"/>
      <c r="AC480" s="27"/>
      <c r="AD480" s="27"/>
      <c r="AE480" s="27"/>
      <c r="AF480" s="24"/>
      <c r="AG480" s="24"/>
      <c r="AH480" s="24"/>
      <c r="AI480" s="24"/>
      <c r="AJ480" s="24"/>
      <c r="AK480" s="25"/>
    </row>
    <row r="481" customFormat="false" ht="15.75" hidden="false" customHeight="true" outlineLevel="0" collapsed="false">
      <c r="A481" s="21"/>
      <c r="B481" s="26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7"/>
      <c r="AB481" s="27"/>
      <c r="AC481" s="27"/>
      <c r="AD481" s="27"/>
      <c r="AE481" s="27"/>
      <c r="AF481" s="24"/>
      <c r="AG481" s="24"/>
      <c r="AH481" s="24"/>
      <c r="AI481" s="24"/>
      <c r="AJ481" s="24"/>
      <c r="AK481" s="25"/>
    </row>
    <row r="482" customFormat="false" ht="15.75" hidden="false" customHeight="true" outlineLevel="0" collapsed="false">
      <c r="A482" s="21"/>
      <c r="B482" s="26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7"/>
      <c r="AB482" s="27"/>
      <c r="AC482" s="27"/>
      <c r="AD482" s="27"/>
      <c r="AE482" s="27"/>
      <c r="AF482" s="24"/>
      <c r="AG482" s="24"/>
      <c r="AH482" s="24"/>
      <c r="AI482" s="24"/>
      <c r="AJ482" s="24"/>
      <c r="AK482" s="25"/>
    </row>
    <row r="483" customFormat="false" ht="15.75" hidden="false" customHeight="true" outlineLevel="0" collapsed="false">
      <c r="A483" s="21"/>
      <c r="B483" s="26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7"/>
      <c r="AB483" s="27"/>
      <c r="AC483" s="27"/>
      <c r="AD483" s="27"/>
      <c r="AE483" s="27"/>
      <c r="AF483" s="24"/>
      <c r="AG483" s="24"/>
      <c r="AH483" s="24"/>
      <c r="AI483" s="24"/>
      <c r="AJ483" s="24"/>
      <c r="AK483" s="25"/>
    </row>
    <row r="484" customFormat="false" ht="15.75" hidden="false" customHeight="true" outlineLevel="0" collapsed="false">
      <c r="A484" s="21"/>
      <c r="B484" s="26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7"/>
      <c r="AB484" s="27"/>
      <c r="AC484" s="27"/>
      <c r="AD484" s="27"/>
      <c r="AE484" s="27"/>
      <c r="AF484" s="24"/>
      <c r="AG484" s="24"/>
      <c r="AH484" s="24"/>
      <c r="AI484" s="24"/>
      <c r="AJ484" s="24"/>
      <c r="AK484" s="25"/>
    </row>
    <row r="485" customFormat="false" ht="15.75" hidden="false" customHeight="true" outlineLevel="0" collapsed="false">
      <c r="A485" s="21"/>
      <c r="B485" s="26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7"/>
      <c r="AB485" s="27"/>
      <c r="AC485" s="27"/>
      <c r="AD485" s="27"/>
      <c r="AE485" s="27"/>
      <c r="AF485" s="24"/>
      <c r="AG485" s="24"/>
      <c r="AH485" s="24"/>
      <c r="AI485" s="24"/>
      <c r="AJ485" s="24"/>
      <c r="AK485" s="25"/>
    </row>
    <row r="486" customFormat="false" ht="15.75" hidden="false" customHeight="true" outlineLevel="0" collapsed="false">
      <c r="A486" s="21"/>
      <c r="B486" s="26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7"/>
      <c r="AB486" s="27"/>
      <c r="AC486" s="27"/>
      <c r="AD486" s="27"/>
      <c r="AE486" s="27"/>
      <c r="AF486" s="24"/>
      <c r="AG486" s="24"/>
      <c r="AH486" s="24"/>
      <c r="AI486" s="24"/>
      <c r="AJ486" s="24"/>
      <c r="AK486" s="25"/>
    </row>
    <row r="487" customFormat="false" ht="15.75" hidden="false" customHeight="true" outlineLevel="0" collapsed="false">
      <c r="A487" s="21"/>
      <c r="B487" s="26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7"/>
      <c r="AB487" s="27"/>
      <c r="AC487" s="27"/>
      <c r="AD487" s="27"/>
      <c r="AE487" s="27"/>
      <c r="AF487" s="24"/>
      <c r="AG487" s="24"/>
      <c r="AH487" s="24"/>
      <c r="AI487" s="24"/>
      <c r="AJ487" s="24"/>
      <c r="AK487" s="25"/>
    </row>
    <row r="488" customFormat="false" ht="15.75" hidden="false" customHeight="true" outlineLevel="0" collapsed="false">
      <c r="A488" s="21"/>
      <c r="B488" s="26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7"/>
      <c r="AB488" s="27"/>
      <c r="AC488" s="27"/>
      <c r="AD488" s="27"/>
      <c r="AE488" s="27"/>
      <c r="AF488" s="24"/>
      <c r="AG488" s="24"/>
      <c r="AH488" s="24"/>
      <c r="AI488" s="24"/>
      <c r="AJ488" s="24"/>
      <c r="AK488" s="25"/>
    </row>
    <row r="489" customFormat="false" ht="15.75" hidden="false" customHeight="true" outlineLevel="0" collapsed="false">
      <c r="A489" s="21"/>
      <c r="B489" s="26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7"/>
      <c r="AB489" s="27"/>
      <c r="AC489" s="27"/>
      <c r="AD489" s="27"/>
      <c r="AE489" s="27"/>
      <c r="AF489" s="24"/>
      <c r="AG489" s="24"/>
      <c r="AH489" s="24"/>
      <c r="AI489" s="24"/>
      <c r="AJ489" s="24"/>
      <c r="AK489" s="25"/>
    </row>
    <row r="490" customFormat="false" ht="15.75" hidden="false" customHeight="true" outlineLevel="0" collapsed="false">
      <c r="A490" s="21"/>
      <c r="B490" s="26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7"/>
      <c r="AB490" s="27"/>
      <c r="AC490" s="27"/>
      <c r="AD490" s="27"/>
      <c r="AE490" s="27"/>
      <c r="AF490" s="24"/>
      <c r="AG490" s="24"/>
      <c r="AH490" s="24"/>
      <c r="AI490" s="24"/>
      <c r="AJ490" s="24"/>
      <c r="AK490" s="25"/>
    </row>
    <row r="491" customFormat="false" ht="15.75" hidden="false" customHeight="true" outlineLevel="0" collapsed="false">
      <c r="A491" s="21"/>
      <c r="B491" s="26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7"/>
      <c r="AB491" s="27"/>
      <c r="AC491" s="27"/>
      <c r="AD491" s="27"/>
      <c r="AE491" s="27"/>
      <c r="AF491" s="24"/>
      <c r="AG491" s="24"/>
      <c r="AH491" s="24"/>
      <c r="AI491" s="24"/>
      <c r="AJ491" s="24"/>
      <c r="AK491" s="25"/>
    </row>
    <row r="492" customFormat="false" ht="15.75" hidden="false" customHeight="true" outlineLevel="0" collapsed="false">
      <c r="A492" s="21"/>
      <c r="B492" s="26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7"/>
      <c r="AB492" s="27"/>
      <c r="AC492" s="27"/>
      <c r="AD492" s="27"/>
      <c r="AE492" s="27"/>
      <c r="AF492" s="24"/>
      <c r="AG492" s="24"/>
      <c r="AH492" s="24"/>
      <c r="AI492" s="24"/>
      <c r="AJ492" s="24"/>
      <c r="AK492" s="25"/>
    </row>
    <row r="493" customFormat="false" ht="15.75" hidden="false" customHeight="true" outlineLevel="0" collapsed="false">
      <c r="A493" s="21"/>
      <c r="B493" s="26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7"/>
      <c r="AB493" s="27"/>
      <c r="AC493" s="27"/>
      <c r="AD493" s="27"/>
      <c r="AE493" s="27"/>
      <c r="AF493" s="24"/>
      <c r="AG493" s="24"/>
      <c r="AH493" s="24"/>
      <c r="AI493" s="24"/>
      <c r="AJ493" s="24"/>
      <c r="AK493" s="25"/>
    </row>
    <row r="494" customFormat="false" ht="15.75" hidden="false" customHeight="true" outlineLevel="0" collapsed="false">
      <c r="A494" s="21"/>
      <c r="B494" s="26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7"/>
      <c r="AB494" s="27"/>
      <c r="AC494" s="27"/>
      <c r="AD494" s="27"/>
      <c r="AE494" s="27"/>
      <c r="AF494" s="24"/>
      <c r="AG494" s="24"/>
      <c r="AH494" s="24"/>
      <c r="AI494" s="24"/>
      <c r="AJ494" s="24"/>
      <c r="AK494" s="25"/>
    </row>
    <row r="495" customFormat="false" ht="15.75" hidden="false" customHeight="true" outlineLevel="0" collapsed="false">
      <c r="A495" s="21"/>
      <c r="B495" s="26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7"/>
      <c r="AB495" s="27"/>
      <c r="AC495" s="27"/>
      <c r="AD495" s="27"/>
      <c r="AE495" s="27"/>
      <c r="AF495" s="24"/>
      <c r="AG495" s="24"/>
      <c r="AH495" s="24"/>
      <c r="AI495" s="24"/>
      <c r="AJ495" s="24"/>
      <c r="AK495" s="25"/>
    </row>
    <row r="496" customFormat="false" ht="15.75" hidden="false" customHeight="true" outlineLevel="0" collapsed="false">
      <c r="A496" s="21"/>
      <c r="B496" s="26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7"/>
      <c r="AB496" s="27"/>
      <c r="AC496" s="27"/>
      <c r="AD496" s="27"/>
      <c r="AE496" s="27"/>
      <c r="AF496" s="24"/>
      <c r="AG496" s="24"/>
      <c r="AH496" s="24"/>
      <c r="AI496" s="24"/>
      <c r="AJ496" s="24"/>
      <c r="AK496" s="25"/>
    </row>
    <row r="497" customFormat="false" ht="15.75" hidden="false" customHeight="true" outlineLevel="0" collapsed="false">
      <c r="A497" s="21"/>
      <c r="B497" s="26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7"/>
      <c r="AB497" s="27"/>
      <c r="AC497" s="27"/>
      <c r="AD497" s="27"/>
      <c r="AE497" s="27"/>
      <c r="AF497" s="24"/>
      <c r="AG497" s="24"/>
      <c r="AH497" s="24"/>
      <c r="AI497" s="24"/>
      <c r="AJ497" s="24"/>
      <c r="AK497" s="25"/>
    </row>
    <row r="498" customFormat="false" ht="15.75" hidden="false" customHeight="true" outlineLevel="0" collapsed="false">
      <c r="A498" s="21"/>
      <c r="B498" s="26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7"/>
      <c r="AB498" s="27"/>
      <c r="AC498" s="27"/>
      <c r="AD498" s="27"/>
      <c r="AE498" s="27"/>
      <c r="AF498" s="24"/>
      <c r="AG498" s="24"/>
      <c r="AH498" s="24"/>
      <c r="AI498" s="24"/>
      <c r="AJ498" s="24"/>
      <c r="AK498" s="25"/>
    </row>
    <row r="499" customFormat="false" ht="15.75" hidden="false" customHeight="true" outlineLevel="0" collapsed="false">
      <c r="A499" s="21"/>
      <c r="B499" s="26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7"/>
      <c r="AB499" s="27"/>
      <c r="AC499" s="27"/>
      <c r="AD499" s="27"/>
      <c r="AE499" s="27"/>
      <c r="AF499" s="24"/>
      <c r="AG499" s="24"/>
      <c r="AH499" s="24"/>
      <c r="AI499" s="24"/>
      <c r="AJ499" s="24"/>
      <c r="AK499" s="25"/>
    </row>
    <row r="500" customFormat="false" ht="15.75" hidden="false" customHeight="true" outlineLevel="0" collapsed="false">
      <c r="A500" s="21"/>
      <c r="B500" s="26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7"/>
      <c r="AB500" s="27"/>
      <c r="AC500" s="27"/>
      <c r="AD500" s="27"/>
      <c r="AE500" s="27"/>
      <c r="AF500" s="24"/>
      <c r="AG500" s="24"/>
      <c r="AH500" s="24"/>
      <c r="AI500" s="24"/>
      <c r="AJ500" s="24"/>
      <c r="AK500" s="25"/>
    </row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</sheetData>
  <mergeCells count="6">
    <mergeCell ref="A1:Z1"/>
    <mergeCell ref="C2:I2"/>
    <mergeCell ref="J2:V2"/>
    <mergeCell ref="W2:AE2"/>
    <mergeCell ref="AE2:AF2"/>
    <mergeCell ref="AG2:A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2"/>
  </cols>
  <sheetData>
    <row r="1" customFormat="false" ht="27.75" hidden="false" customHeight="true" outlineLevel="0" collapsed="false">
      <c r="A1" s="8" t="s">
        <v>96</v>
      </c>
      <c r="B1" s="8"/>
      <c r="C1" s="8"/>
      <c r="D1" s="8"/>
      <c r="E1" s="8"/>
      <c r="F1" s="8"/>
      <c r="G1" s="8"/>
      <c r="H1" s="8"/>
    </row>
    <row r="2" customFormat="false" ht="21.75" hidden="false" customHeight="true" outlineLevel="0" collapsed="false">
      <c r="A2" s="28" t="s">
        <v>97</v>
      </c>
      <c r="B2" s="28" t="s">
        <v>98</v>
      </c>
      <c r="C2" s="28" t="s">
        <v>99</v>
      </c>
      <c r="D2" s="28" t="s">
        <v>100</v>
      </c>
      <c r="E2" s="28" t="s">
        <v>101</v>
      </c>
      <c r="F2" s="28" t="s">
        <v>102</v>
      </c>
      <c r="G2" s="28" t="s">
        <v>103</v>
      </c>
      <c r="H2" s="28" t="s">
        <v>104</v>
      </c>
      <c r="I2" s="28" t="s">
        <v>105</v>
      </c>
    </row>
    <row r="3" customFormat="false" ht="15.75" hidden="false" customHeight="true" outlineLevel="0" collapsed="false">
      <c r="A3" s="29" t="s">
        <v>106</v>
      </c>
      <c r="B3" s="29" t="s">
        <v>107</v>
      </c>
      <c r="C3" s="30" t="n">
        <v>46096</v>
      </c>
      <c r="D3" s="30" t="n">
        <v>46157</v>
      </c>
      <c r="E3" s="31" t="n">
        <f aca="true">IFERROR(D3-TODAY(),"")</f>
        <v>4</v>
      </c>
      <c r="F3" s="32" t="n">
        <v>320000</v>
      </c>
      <c r="G3" s="26" t="n">
        <v>1197</v>
      </c>
      <c r="H3" s="33" t="n">
        <f aca="false">IFERROR(F3*G3,0)</f>
        <v>383040000</v>
      </c>
      <c r="I3" s="29" t="s">
        <v>108</v>
      </c>
    </row>
    <row r="4" customFormat="false" ht="15.75" hidden="false" customHeight="true" outlineLevel="0" collapsed="false">
      <c r="A4" s="29" t="s">
        <v>109</v>
      </c>
      <c r="B4" s="29" t="s">
        <v>110</v>
      </c>
      <c r="C4" s="30" t="n">
        <v>46113</v>
      </c>
      <c r="D4" s="30" t="n">
        <v>46172</v>
      </c>
      <c r="E4" s="31" t="n">
        <f aca="true">IFERROR(D4-TODAY(),"")</f>
        <v>19</v>
      </c>
      <c r="F4" s="32" t="n">
        <v>185000</v>
      </c>
      <c r="G4" s="26" t="n">
        <v>1197</v>
      </c>
      <c r="H4" s="33" t="n">
        <f aca="false">IFERROR(F4*G4,0)</f>
        <v>221445000</v>
      </c>
      <c r="I4" s="29" t="s">
        <v>108</v>
      </c>
    </row>
    <row r="5" customFormat="false" ht="15.75" hidden="false" customHeight="true" outlineLevel="0" collapsed="false">
      <c r="A5" s="29" t="s">
        <v>111</v>
      </c>
      <c r="B5" s="29" t="s">
        <v>112</v>
      </c>
      <c r="C5" s="30" t="n">
        <v>46122</v>
      </c>
      <c r="D5" s="30" t="n">
        <v>46183</v>
      </c>
      <c r="E5" s="31" t="n">
        <f aca="true">IFERROR(D5-TODAY(),"")</f>
        <v>30</v>
      </c>
      <c r="F5" s="32" t="n">
        <v>240000</v>
      </c>
      <c r="G5" s="26" t="n">
        <v>1197</v>
      </c>
      <c r="H5" s="33" t="n">
        <f aca="false">IFERROR(F5*G5,0)</f>
        <v>287280000</v>
      </c>
      <c r="I5" s="29" t="s">
        <v>108</v>
      </c>
    </row>
    <row r="6" customFormat="false" ht="15.75" hidden="false" customHeight="true" outlineLevel="0" collapsed="false">
      <c r="A6" s="29" t="s">
        <v>113</v>
      </c>
      <c r="B6" s="29" t="s">
        <v>114</v>
      </c>
      <c r="C6" s="30" t="n">
        <v>46132</v>
      </c>
      <c r="D6" s="30" t="n">
        <v>46193</v>
      </c>
      <c r="E6" s="31" t="n">
        <f aca="true">IFERROR(D6-TODAY(),"")</f>
        <v>40</v>
      </c>
      <c r="F6" s="32" t="n">
        <v>495000</v>
      </c>
      <c r="G6" s="26" t="n">
        <v>1197</v>
      </c>
      <c r="H6" s="33" t="n">
        <f aca="false">IFERROR(F6*G6,0)</f>
        <v>592515000</v>
      </c>
      <c r="I6" s="29" t="s">
        <v>108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5" min="3" style="1" width="14"/>
    <col collapsed="false" customWidth="true" hidden="false" outlineLevel="0" max="6" min="6" style="1" width="18"/>
  </cols>
  <sheetData>
    <row r="1" customFormat="false" ht="27.75" hidden="false" customHeight="true" outlineLevel="0" collapsed="false">
      <c r="A1" s="8" t="s">
        <v>115</v>
      </c>
      <c r="B1" s="8"/>
      <c r="C1" s="8"/>
      <c r="D1" s="8"/>
      <c r="E1" s="8"/>
      <c r="F1" s="8"/>
    </row>
    <row r="2" customFormat="false" ht="21.75" hidden="false" customHeight="true" outlineLevel="0" collapsed="false">
      <c r="A2" s="28" t="s">
        <v>60</v>
      </c>
      <c r="B2" s="28" t="s">
        <v>116</v>
      </c>
      <c r="C2" s="28" t="s">
        <v>117</v>
      </c>
      <c r="D2" s="28" t="s">
        <v>118</v>
      </c>
      <c r="E2" s="28" t="s">
        <v>119</v>
      </c>
      <c r="F2" s="28" t="s">
        <v>120</v>
      </c>
    </row>
    <row r="3" customFormat="false" ht="15.75" hidden="false" customHeight="true" outlineLevel="0" collapsed="false">
      <c r="A3" s="30" t="n">
        <v>46140</v>
      </c>
      <c r="B3" s="26" t="n">
        <v>1194</v>
      </c>
      <c r="C3" s="32" t="n">
        <v>285000</v>
      </c>
      <c r="D3" s="32" t="n">
        <v>140000</v>
      </c>
      <c r="E3" s="34" t="n">
        <f aca="false">C3+D3</f>
        <v>425000</v>
      </c>
      <c r="F3" s="32" t="n">
        <v>87000</v>
      </c>
    </row>
    <row r="4" customFormat="false" ht="15.75" hidden="false" customHeight="true" outlineLevel="0" collapsed="false">
      <c r="A4" s="30" t="n">
        <v>46141</v>
      </c>
      <c r="B4" s="26" t="n">
        <v>1196</v>
      </c>
      <c r="C4" s="32" t="n">
        <v>268000</v>
      </c>
      <c r="D4" s="32" t="n">
        <v>135000</v>
      </c>
      <c r="E4" s="34" t="n">
        <f aca="false">C4+D4</f>
        <v>403000</v>
      </c>
      <c r="F4" s="32" t="n">
        <v>72000</v>
      </c>
    </row>
    <row r="5" customFormat="false" ht="15.75" hidden="false" customHeight="true" outlineLevel="0" collapsed="false">
      <c r="A5" s="30" t="n">
        <v>46142</v>
      </c>
      <c r="B5" s="26" t="n">
        <v>1197</v>
      </c>
      <c r="C5" s="32" t="n">
        <v>301000</v>
      </c>
      <c r="D5" s="32" t="n">
        <v>148000</v>
      </c>
      <c r="E5" s="34" t="n">
        <f aca="false">C5+D5</f>
        <v>449000</v>
      </c>
      <c r="F5" s="32" t="n">
        <v>95000</v>
      </c>
    </row>
    <row r="6" customFormat="false" ht="15.75" hidden="false" customHeight="true" outlineLevel="0" collapsed="false">
      <c r="A6" s="30" t="n">
        <v>46144</v>
      </c>
      <c r="B6" s="26" t="n">
        <v>1198.5</v>
      </c>
      <c r="C6" s="32" t="n">
        <v>275000</v>
      </c>
      <c r="D6" s="32" t="n">
        <v>128000</v>
      </c>
      <c r="E6" s="34" t="n">
        <f aca="false">C6+D6</f>
        <v>403000</v>
      </c>
      <c r="F6" s="32" t="n">
        <v>68000</v>
      </c>
    </row>
    <row r="7" customFormat="false" ht="15.75" hidden="false" customHeight="true" outlineLevel="0" collapsed="false">
      <c r="A7" s="30" t="n">
        <v>46147</v>
      </c>
      <c r="B7" s="26" t="n">
        <v>1197</v>
      </c>
      <c r="C7" s="32" t="n">
        <v>285000</v>
      </c>
      <c r="D7" s="32" t="n">
        <v>140000</v>
      </c>
      <c r="E7" s="34" t="n">
        <f aca="false">C7+D7</f>
        <v>425000</v>
      </c>
      <c r="F7" s="32" t="n">
        <v>87000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</cols>
  <sheetData>
    <row r="1" customFormat="false" ht="27.75" hidden="false" customHeight="true" outlineLevel="0" collapsed="false">
      <c r="A1" s="8" t="s">
        <v>121</v>
      </c>
      <c r="B1" s="8"/>
      <c r="C1" s="8"/>
      <c r="D1" s="8"/>
      <c r="E1" s="8"/>
      <c r="F1" s="8"/>
      <c r="G1" s="8"/>
    </row>
    <row r="2" customFormat="false" ht="15.75" hidden="false" customHeight="true" outlineLevel="0" collapsed="false">
      <c r="A2" s="35" t="s">
        <v>122</v>
      </c>
      <c r="B2" s="35"/>
      <c r="C2" s="35"/>
      <c r="D2" s="35"/>
      <c r="E2" s="35"/>
      <c r="F2" s="35"/>
      <c r="G2" s="35"/>
    </row>
    <row r="3" customFormat="false" ht="21.75" hidden="false" customHeight="true" outlineLevel="0" collapsed="false">
      <c r="A3" s="28" t="s">
        <v>60</v>
      </c>
      <c r="B3" s="28" t="s">
        <v>123</v>
      </c>
      <c r="C3" s="28" t="s">
        <v>124</v>
      </c>
      <c r="D3" s="28" t="s">
        <v>125</v>
      </c>
      <c r="E3" s="28" t="s">
        <v>126</v>
      </c>
      <c r="F3" s="28" t="s">
        <v>102</v>
      </c>
      <c r="G3" s="28" t="s">
        <v>105</v>
      </c>
    </row>
    <row r="4" customFormat="false" ht="15.75" hidden="false" customHeight="true" outlineLevel="0" collapsed="false">
      <c r="A4" s="21" t="n">
        <v>46148</v>
      </c>
      <c r="B4" s="36" t="s">
        <v>127</v>
      </c>
      <c r="C4" s="37" t="s">
        <v>128</v>
      </c>
      <c r="D4" s="24" t="n">
        <v>42000000</v>
      </c>
      <c r="E4" s="38" t="n">
        <v>1197</v>
      </c>
      <c r="F4" s="39" t="n">
        <f aca="false">IFERROR(D4/E4,0)</f>
        <v>35087.7192982456</v>
      </c>
      <c r="G4" s="25" t="s">
        <v>108</v>
      </c>
    </row>
    <row r="5" customFormat="false" ht="15.75" hidden="false" customHeight="true" outlineLevel="0" collapsed="false">
      <c r="A5" s="21" t="n">
        <v>46149</v>
      </c>
      <c r="B5" s="40" t="s">
        <v>129</v>
      </c>
      <c r="C5" s="37" t="s">
        <v>130</v>
      </c>
      <c r="D5" s="24" t="n">
        <v>87000000</v>
      </c>
      <c r="E5" s="38" t="n">
        <v>1197</v>
      </c>
      <c r="F5" s="41" t="n">
        <f aca="false">IFERROR(D5/E5,0)</f>
        <v>72681.7042606516</v>
      </c>
      <c r="G5" s="25" t="s">
        <v>108</v>
      </c>
    </row>
    <row r="6" customFormat="false" ht="15.75" hidden="false" customHeight="true" outlineLevel="0" collapsed="false">
      <c r="A6" s="21" t="n">
        <v>46150</v>
      </c>
      <c r="B6" s="36" t="s">
        <v>127</v>
      </c>
      <c r="C6" s="37" t="s">
        <v>131</v>
      </c>
      <c r="D6" s="24" t="n">
        <v>65000000</v>
      </c>
      <c r="E6" s="38" t="n">
        <v>1197</v>
      </c>
      <c r="F6" s="39" t="n">
        <f aca="false">IFERROR(D6/E6,0)</f>
        <v>54302.4227234754</v>
      </c>
      <c r="G6" s="25" t="s">
        <v>108</v>
      </c>
    </row>
    <row r="7" customFormat="false" ht="15.75" hidden="false" customHeight="true" outlineLevel="0" collapsed="false">
      <c r="A7" s="21" t="n">
        <v>46151</v>
      </c>
      <c r="B7" s="40" t="s">
        <v>129</v>
      </c>
      <c r="C7" s="37" t="s">
        <v>132</v>
      </c>
      <c r="D7" s="24" t="n">
        <v>48500000</v>
      </c>
      <c r="E7" s="38" t="n">
        <v>1197</v>
      </c>
      <c r="F7" s="41" t="n">
        <f aca="false">IFERROR(D7/E7,0)</f>
        <v>40517.9615705932</v>
      </c>
      <c r="G7" s="25" t="s">
        <v>108</v>
      </c>
    </row>
    <row r="8" customFormat="false" ht="15.75" hidden="false" customHeight="true" outlineLevel="0" collapsed="false">
      <c r="A8" s="21" t="n">
        <v>46152</v>
      </c>
      <c r="B8" s="36" t="s">
        <v>127</v>
      </c>
      <c r="C8" s="37" t="s">
        <v>133</v>
      </c>
      <c r="D8" s="24" t="n">
        <v>113715000</v>
      </c>
      <c r="E8" s="38" t="n">
        <v>1197</v>
      </c>
      <c r="F8" s="39" t="n">
        <f aca="false">IFERROR(D8/E8,0)</f>
        <v>95000</v>
      </c>
      <c r="G8" s="25" t="s">
        <v>108</v>
      </c>
    </row>
    <row r="9" customFormat="false" ht="15.75" hidden="false" customHeight="true" outlineLevel="0" collapsed="false">
      <c r="A9" s="21" t="n">
        <v>46152</v>
      </c>
      <c r="B9" s="40" t="s">
        <v>129</v>
      </c>
      <c r="C9" s="37" t="s">
        <v>134</v>
      </c>
      <c r="D9" s="24" t="n">
        <v>96000000</v>
      </c>
      <c r="E9" s="38" t="n">
        <v>1197</v>
      </c>
      <c r="F9" s="41" t="n">
        <f aca="false">IFERROR(D9/E9,0)</f>
        <v>80200.5012531328</v>
      </c>
      <c r="G9" s="25" t="s">
        <v>108</v>
      </c>
    </row>
    <row r="10" customFormat="false" ht="15.75" hidden="false" customHeight="true" outlineLevel="0" collapsed="false">
      <c r="A10" s="21" t="n">
        <v>46154</v>
      </c>
      <c r="B10" s="40" t="s">
        <v>129</v>
      </c>
      <c r="C10" s="37" t="s">
        <v>135</v>
      </c>
      <c r="D10" s="24" t="n">
        <v>23000000</v>
      </c>
      <c r="E10" s="38" t="n">
        <v>1197</v>
      </c>
      <c r="F10" s="41" t="n">
        <f aca="false">IFERROR(D10/E10,0)</f>
        <v>19214.7034252297</v>
      </c>
      <c r="G10" s="25" t="s">
        <v>108</v>
      </c>
    </row>
    <row r="11" customFormat="false" ht="15.75" hidden="false" customHeight="true" outlineLevel="0" collapsed="false">
      <c r="A11" s="21" t="n">
        <v>46157</v>
      </c>
      <c r="B11" s="36" t="s">
        <v>127</v>
      </c>
      <c r="C11" s="37" t="s">
        <v>136</v>
      </c>
      <c r="D11" s="24" t="n">
        <v>145000000</v>
      </c>
      <c r="E11" s="38" t="n">
        <v>1197</v>
      </c>
      <c r="F11" s="39" t="n">
        <f aca="false">IFERROR(D11/E11,0)</f>
        <v>121136.173767753</v>
      </c>
      <c r="G11" s="25" t="s">
        <v>108</v>
      </c>
    </row>
    <row r="12" customFormat="false" ht="15.75" hidden="false" customHeight="true" outlineLevel="0" collapsed="false">
      <c r="A12" s="21" t="n">
        <v>46162</v>
      </c>
      <c r="B12" s="40" t="s">
        <v>129</v>
      </c>
      <c r="C12" s="37" t="s">
        <v>137</v>
      </c>
      <c r="D12" s="24" t="n">
        <v>95760000</v>
      </c>
      <c r="E12" s="38" t="n">
        <v>1197</v>
      </c>
      <c r="F12" s="41" t="n">
        <f aca="false">IFERROR(D12/E12,0)</f>
        <v>80000</v>
      </c>
      <c r="G12" s="25" t="s">
        <v>108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7" min="6" style="1" width="14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8" t="s">
        <v>138</v>
      </c>
      <c r="B1" s="8"/>
      <c r="C1" s="8"/>
      <c r="D1" s="8"/>
      <c r="E1" s="8"/>
      <c r="F1" s="8"/>
      <c r="G1" s="8"/>
      <c r="H1" s="8"/>
    </row>
    <row r="2" customFormat="false" ht="18" hidden="false" customHeight="true" outlineLevel="0" collapsed="false">
      <c r="A2" s="42" t="s">
        <v>139</v>
      </c>
      <c r="B2" s="42"/>
      <c r="C2" s="42"/>
      <c r="D2" s="42"/>
      <c r="E2" s="42"/>
      <c r="F2" s="42"/>
      <c r="G2" s="42"/>
      <c r="H2" s="42"/>
    </row>
    <row r="3" customFormat="false" ht="31.5" hidden="false" customHeight="true" outlineLevel="0" collapsed="false">
      <c r="A3" s="28" t="s">
        <v>60</v>
      </c>
      <c r="B3" s="28" t="s">
        <v>116</v>
      </c>
      <c r="C3" s="28" t="s">
        <v>140</v>
      </c>
      <c r="D3" s="28" t="s">
        <v>141</v>
      </c>
      <c r="E3" s="28" t="s">
        <v>142</v>
      </c>
      <c r="F3" s="43" t="s">
        <v>143</v>
      </c>
      <c r="G3" s="43" t="s">
        <v>144</v>
      </c>
      <c r="H3" s="28" t="s">
        <v>145</v>
      </c>
    </row>
    <row r="4" customFormat="false" ht="15.75" hidden="false" customHeight="true" outlineLevel="0" collapsed="false">
      <c r="A4" s="44" t="n">
        <f aca="false">IF(CARGA_DIARIA!A4="","",CARGA_DIARIA!A4)</f>
        <v>46029</v>
      </c>
      <c r="B4" s="45" t="n">
        <f aca="false">IF(CARGA_DIARIA!A4="","",CARGA_DIARIA!B4)</f>
        <v>1463</v>
      </c>
      <c r="C4" s="46" t="n">
        <f aca="false"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</v>
      </c>
      <c r="D4" s="47" t="n">
        <f aca="false"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</v>
      </c>
      <c r="E4" s="47" t="n">
        <f aca="false">IF(CARGA_DIARIA!A4="","",IF(CARGA_DIARIA!B4=0,0,(CARGA_DIARIA!X4+CARGA_DIARIA!Y4+CARGA_DIARIA!Z4+CARGA_DIARIA!AA4)/CARGA_DIARIA!B4+CARGA_DIARIA!AB4+CARGA_DIARIA!AC4+CARGA_DIARIA!AD4+CARGA_DIARIA!AE4))</f>
        <v>16746778.3321941</v>
      </c>
      <c r="F4" s="48" t="s">
        <v>146</v>
      </c>
      <c r="G4" s="48" t="s">
        <v>146</v>
      </c>
      <c r="H4" s="49" t="n">
        <f aca="false">IF(CARGA_DIARIA!A4="","",C4-D4-E4)</f>
        <v>2022212.70266576</v>
      </c>
    </row>
    <row r="5" customFormat="false" ht="15.75" hidden="false" customHeight="true" outlineLevel="0" collapsed="false">
      <c r="A5" s="44" t="n">
        <f aca="false">IF(CARGA_DIARIA!A5="","",CARGA_DIARIA!A5)</f>
        <v>46030</v>
      </c>
      <c r="B5" s="45" t="n">
        <f aca="false">IF(CARGA_DIARIA!A5="","",CARGA_DIARIA!B5)</f>
        <v>1469</v>
      </c>
      <c r="C5" s="46" t="n">
        <f aca="false"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18101965.7896801</v>
      </c>
      <c r="D5" s="47" t="n">
        <f aca="false"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350053.341790334</v>
      </c>
      <c r="E5" s="47" t="n">
        <f aca="false">IF(CARGA_DIARIA!A5="","",IF(CARGA_DIARIA!B5=0,0,(CARGA_DIARIA!X5+CARGA_DIARIA!Y5+CARGA_DIARIA!Z5+CARGA_DIARIA!AA5)/CARGA_DIARIA!B5+CARGA_DIARIA!AB5+CARGA_DIARIA!AC5+CARGA_DIARIA!AD5+CARGA_DIARIA!AE5))</f>
        <v>16647891.5172907</v>
      </c>
      <c r="F5" s="48" t="s">
        <v>146</v>
      </c>
      <c r="G5" s="48" t="s">
        <v>146</v>
      </c>
      <c r="H5" s="49" t="n">
        <f aca="false">IF(CARGA_DIARIA!A5="","",C5-D5-E5)</f>
        <v>1104020.93059905</v>
      </c>
    </row>
    <row r="6" customFormat="false" ht="15.75" hidden="false" customHeight="true" outlineLevel="0" collapsed="false">
      <c r="A6" s="44" t="n">
        <f aca="false">IF(CARGA_DIARIA!A6="","",CARGA_DIARIA!A6)</f>
        <v>46031</v>
      </c>
      <c r="B6" s="45" t="n">
        <f aca="false">IF(CARGA_DIARIA!A6="","",CARGA_DIARIA!B6)</f>
        <v>1455</v>
      </c>
      <c r="C6" s="46" t="n">
        <f aca="false"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18851670.6920275</v>
      </c>
      <c r="D6" s="47" t="n">
        <f aca="false"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93342.5113402062</v>
      </c>
      <c r="E6" s="47" t="n">
        <f aca="false">IF(CARGA_DIARIA!A6="","",IF(CARGA_DIARIA!B6=0,0,(CARGA_DIARIA!X6+CARGA_DIARIA!Y6+CARGA_DIARIA!Z6+CARGA_DIARIA!AA6)/CARGA_DIARIA!B6+CARGA_DIARIA!AB6+CARGA_DIARIA!AC6+CARGA_DIARIA!AD6+CARGA_DIARIA!AE6))</f>
        <v>15918601.225457</v>
      </c>
      <c r="F6" s="48" t="s">
        <v>146</v>
      </c>
      <c r="G6" s="48" t="s">
        <v>146</v>
      </c>
      <c r="H6" s="49" t="n">
        <f aca="false">IF(CARGA_DIARIA!A6="","",C6-D6-E6)</f>
        <v>2839726.95523024</v>
      </c>
    </row>
    <row r="7" customFormat="false" ht="15.75" hidden="false" customHeight="true" outlineLevel="0" collapsed="false">
      <c r="A7" s="44" t="n">
        <f aca="false">IF(CARGA_DIARIA!A7="","",CARGA_DIARIA!A7)</f>
        <v>46034</v>
      </c>
      <c r="B7" s="45" t="n">
        <f aca="false">IF(CARGA_DIARIA!A7="","",CARGA_DIARIA!B7)</f>
        <v>1465.5</v>
      </c>
      <c r="C7" s="46" t="n">
        <f aca="false"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18930220.22623</v>
      </c>
      <c r="D7" s="47" t="n">
        <f aca="false"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</v>
      </c>
      <c r="E7" s="47" t="n">
        <f aca="false">IF(CARGA_DIARIA!A7="","",IF(CARGA_DIARIA!B7=0,0,(CARGA_DIARIA!X7+CARGA_DIARIA!Y7+CARGA_DIARIA!Z7+CARGA_DIARIA!AA7)/CARGA_DIARIA!B7+CARGA_DIARIA!AB7+CARGA_DIARIA!AC7+CARGA_DIARIA!AD7+CARGA_DIARIA!AE7))</f>
        <v>16152945.7198908</v>
      </c>
      <c r="F7" s="48" t="s">
        <v>146</v>
      </c>
      <c r="G7" s="48" t="s">
        <v>146</v>
      </c>
      <c r="H7" s="49" t="n">
        <f aca="false">IF(CARGA_DIARIA!A7="","",C7-D7-E7)</f>
        <v>2507577.10272262</v>
      </c>
    </row>
    <row r="8" customFormat="false" ht="15.75" hidden="false" customHeight="true" outlineLevel="0" collapsed="false">
      <c r="A8" s="44" t="n">
        <f aca="false">IF(CARGA_DIARIA!A8="","",CARGA_DIARIA!A8)</f>
        <v>46035</v>
      </c>
      <c r="B8" s="45" t="n">
        <f aca="false">IF(CARGA_DIARIA!A8="","",CARGA_DIARIA!B8)</f>
        <v>1462</v>
      </c>
      <c r="C8" s="46" t="n">
        <f aca="false"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19304446.480985</v>
      </c>
      <c r="D8" s="47" t="n">
        <f aca="false"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</v>
      </c>
      <c r="E8" s="47" t="n">
        <f aca="false">IF(CARGA_DIARIA!A8="","",IF(CARGA_DIARIA!B8=0,0,(CARGA_DIARIA!X8+CARGA_DIARIA!Y8+CARGA_DIARIA!Z8+CARGA_DIARIA!AA8)/CARGA_DIARIA!B8+CARGA_DIARIA!AB8+CARGA_DIARIA!AC8+CARGA_DIARIA!AD8+CARGA_DIARIA!AE8))</f>
        <v>15935429.376881</v>
      </c>
      <c r="F8" s="48" t="s">
        <v>146</v>
      </c>
      <c r="G8" s="48" t="s">
        <v>146</v>
      </c>
      <c r="H8" s="49" t="n">
        <f aca="false">IF(CARGA_DIARIA!A8="","",C8-D8-E8)</f>
        <v>3093407.33597811</v>
      </c>
    </row>
    <row r="9" customFormat="false" ht="19.5" hidden="false" customHeight="true" outlineLevel="0" collapsed="false">
      <c r="A9" s="44" t="n">
        <f aca="false">IF(CARGA_DIARIA!A9="","",CARGA_DIARIA!A9)</f>
        <v>46036</v>
      </c>
      <c r="B9" s="45" t="n">
        <f aca="false">IF(CARGA_DIARIA!A9="","",CARGA_DIARIA!B9)</f>
        <v>1464.5</v>
      </c>
      <c r="C9" s="46" t="n">
        <f aca="false"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</v>
      </c>
      <c r="D9" s="47" t="n">
        <f aca="false"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</v>
      </c>
      <c r="E9" s="47" t="n">
        <f aca="false">IF(CARGA_DIARIA!A9="","",IF(CARGA_DIARIA!B9=0,0,(CARGA_DIARIA!X9+CARGA_DIARIA!Y9+CARGA_DIARIA!Z9+CARGA_DIARIA!AA9)/CARGA_DIARIA!B9+CARGA_DIARIA!AB9+CARGA_DIARIA!AC9+CARGA_DIARIA!AD9+CARGA_DIARIA!AE9))</f>
        <v>15830369.7982247</v>
      </c>
      <c r="F9" s="50" t="s">
        <v>146</v>
      </c>
      <c r="G9" s="50" t="s">
        <v>146</v>
      </c>
      <c r="H9" s="49" t="n">
        <f aca="false">IF(CARGA_DIARIA!A9="","",C9-D9-E9)</f>
        <v>2815560.85396722</v>
      </c>
    </row>
    <row r="10" customFormat="false" ht="15.75" hidden="false" customHeight="true" outlineLevel="0" collapsed="false">
      <c r="A10" s="44" t="n">
        <f aca="false">IF(CARGA_DIARIA!A10="","",CARGA_DIARIA!A10)</f>
        <v>46037</v>
      </c>
      <c r="B10" s="45" t="n">
        <f aca="false">IF(CARGA_DIARIA!A10="","",CARGA_DIARIA!B10)</f>
        <v>1450</v>
      </c>
      <c r="C10" s="46" t="n">
        <f aca="false"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19136047.4946966</v>
      </c>
      <c r="D10" s="47" t="n">
        <f aca="false"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332734.657710345</v>
      </c>
      <c r="E10" s="47" t="n">
        <f aca="false">IF(CARGA_DIARIA!A10="","",IF(CARGA_DIARIA!B10=0,0,(CARGA_DIARIA!X10+CARGA_DIARIA!Y10+CARGA_DIARIA!Z10+CARGA_DIARIA!AA10)/CARGA_DIARIA!B10+CARGA_DIARIA!AB10+CARGA_DIARIA!AC10+CARGA_DIARIA!AD10+CARGA_DIARIA!AE10))</f>
        <v>15774051.0681586</v>
      </c>
      <c r="F10" s="50" t="s">
        <v>146</v>
      </c>
      <c r="G10" s="50" t="s">
        <v>146</v>
      </c>
      <c r="H10" s="49" t="n">
        <f aca="false">IF(CARGA_DIARIA!A10="","",C10-D10-E10)</f>
        <v>3029261.76882759</v>
      </c>
    </row>
    <row r="11" customFormat="false" ht="15.75" hidden="false" customHeight="true" outlineLevel="0" collapsed="false">
      <c r="A11" s="44" t="n">
        <f aca="false">IF(CARGA_DIARIA!A11="","",CARGA_DIARIA!A11)</f>
        <v>46038</v>
      </c>
      <c r="B11" s="45" t="n">
        <f aca="false">IF(CARGA_DIARIA!A11="","",CARGA_DIARIA!B11)</f>
        <v>1440</v>
      </c>
      <c r="C11" s="46" t="n">
        <f aca="false"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19578701.7540903</v>
      </c>
      <c r="D11" s="47" t="n">
        <f aca="false"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47" t="n">
        <f aca="false">IF(CARGA_DIARIA!A11="","",IF(CARGA_DIARIA!B11=0,0,(CARGA_DIARIA!X11+CARGA_DIARIA!Y11+CARGA_DIARIA!Z11+CARGA_DIARIA!AA11)/CARGA_DIARIA!B11+CARGA_DIARIA!AB11+CARGA_DIARIA!AC11+CARGA_DIARIA!AD11+CARGA_DIARIA!AE11))</f>
        <v>15465778.9138889</v>
      </c>
      <c r="F11" s="50" t="s">
        <v>146</v>
      </c>
      <c r="G11" s="50" t="s">
        <v>146</v>
      </c>
      <c r="H11" s="49" t="n">
        <f aca="false">IF(CARGA_DIARIA!A11="","",C11-D11-E11)</f>
        <v>3978145.24095139</v>
      </c>
    </row>
    <row r="12" customFormat="false" ht="15.75" hidden="false" customHeight="true" outlineLevel="0" collapsed="false">
      <c r="A12" s="44" t="n">
        <f aca="false">IF(CARGA_DIARIA!A12="","",CARGA_DIARIA!A12)</f>
        <v>46041</v>
      </c>
      <c r="B12" s="45" t="n">
        <f aca="false">IF(CARGA_DIARIA!A12="","",CARGA_DIARIA!B12)</f>
        <v>1428</v>
      </c>
      <c r="C12" s="46" t="n">
        <f aca="false"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20822018.5296919</v>
      </c>
      <c r="D12" s="47" t="n">
        <f aca="false"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</v>
      </c>
      <c r="E12" s="47" t="n">
        <f aca="false">IF(CARGA_DIARIA!A12="","",IF(CARGA_DIARIA!B12=0,0,(CARGA_DIARIA!X12+CARGA_DIARIA!Y12+CARGA_DIARIA!Z12+CARGA_DIARIA!AA12)/CARGA_DIARIA!B12+CARGA_DIARIA!AB12+CARGA_DIARIA!AC12+CARGA_DIARIA!AD12+CARGA_DIARIA!AE12))</f>
        <v>14933647.4145658</v>
      </c>
      <c r="F12" s="50" t="s">
        <v>146</v>
      </c>
      <c r="G12" s="50" t="s">
        <v>146</v>
      </c>
      <c r="H12" s="49" t="n">
        <f aca="false">IF(CARGA_DIARIA!A12="","",C12-D12-E12)</f>
        <v>5725340.19005602</v>
      </c>
    </row>
    <row r="13" customFormat="false" ht="15.75" hidden="false" customHeight="true" outlineLevel="0" collapsed="false">
      <c r="A13" s="44" t="n">
        <f aca="false">IF(CARGA_DIARIA!A13="","",CARGA_DIARIA!A13)</f>
        <v>46042</v>
      </c>
      <c r="B13" s="45" t="n">
        <f aca="false">IF(CARGA_DIARIA!A13="","",CARGA_DIARIA!B13)</f>
        <v>1428.5</v>
      </c>
      <c r="C13" s="46" t="n">
        <f aca="false"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21139012.3706068</v>
      </c>
      <c r="D13" s="47" t="n">
        <f aca="false"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</v>
      </c>
      <c r="E13" s="47" t="n">
        <f aca="false">IF(CARGA_DIARIA!A13="","",IF(CARGA_DIARIA!B13=0,0,(CARGA_DIARIA!X13+CARGA_DIARIA!Y13+CARGA_DIARIA!Z13+CARGA_DIARIA!AA13)/CARGA_DIARIA!B13+CARGA_DIARIA!AB13+CARGA_DIARIA!AC13+CARGA_DIARIA!AD13+CARGA_DIARIA!AE13))</f>
        <v>15449352.1547077</v>
      </c>
      <c r="F13" s="50" t="s">
        <v>146</v>
      </c>
      <c r="G13" s="50" t="s">
        <v>146</v>
      </c>
      <c r="H13" s="49" t="n">
        <f aca="false">IF(CARGA_DIARIA!A13="","",C13-D13-E13)</f>
        <v>5332231.65727109</v>
      </c>
    </row>
    <row r="14" customFormat="false" ht="15.75" hidden="false" customHeight="true" outlineLevel="0" collapsed="false">
      <c r="A14" s="44" t="n">
        <f aca="false">IF(CARGA_DIARIA!A14="","",CARGA_DIARIA!A14)</f>
        <v>46043</v>
      </c>
      <c r="B14" s="45" t="n">
        <f aca="false">IF(CARGA_DIARIA!A14="","",CARGA_DIARIA!B14)</f>
        <v>1432</v>
      </c>
      <c r="C14" s="46" t="n">
        <f aca="false"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</v>
      </c>
      <c r="D14" s="47" t="n">
        <f aca="false"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</v>
      </c>
      <c r="E14" s="47" t="n">
        <f aca="false">IF(CARGA_DIARIA!A14="","",IF(CARGA_DIARIA!B14=0,0,(CARGA_DIARIA!X14+CARGA_DIARIA!Y14+CARGA_DIARIA!Z14+CARGA_DIARIA!AA14)/CARGA_DIARIA!B14+CARGA_DIARIA!AB14+CARGA_DIARIA!AC14+CARGA_DIARIA!AD14+CARGA_DIARIA!AE14))</f>
        <v>15559503.2227654</v>
      </c>
      <c r="F14" s="50" t="s">
        <v>146</v>
      </c>
      <c r="G14" s="50" t="s">
        <v>146</v>
      </c>
      <c r="H14" s="49" t="n">
        <f aca="false">IF(CARGA_DIARIA!A14="","",C14-D14-E14)</f>
        <v>5676988.69432961</v>
      </c>
    </row>
    <row r="15" customFormat="false" ht="15.75" hidden="false" customHeight="true" outlineLevel="0" collapsed="false">
      <c r="A15" s="44" t="n">
        <f aca="false">IF(CARGA_DIARIA!A15="","",CARGA_DIARIA!A15)</f>
        <v>46044</v>
      </c>
      <c r="B15" s="45" t="n">
        <f aca="false">IF(CARGA_DIARIA!A15="","",CARGA_DIARIA!B15)</f>
        <v>1427</v>
      </c>
      <c r="C15" s="46" t="n">
        <f aca="false"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21827493.8680729</v>
      </c>
      <c r="D15" s="47" t="n">
        <f aca="false"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164046.412053259</v>
      </c>
      <c r="E15" s="47" t="n">
        <f aca="false">IF(CARGA_DIARIA!A15="","",IF(CARGA_DIARIA!B15=0,0,(CARGA_DIARIA!X15+CARGA_DIARIA!Y15+CARGA_DIARIA!Z15+CARGA_DIARIA!AA15)/CARGA_DIARIA!B15+CARGA_DIARIA!AB15+CARGA_DIARIA!AC15+CARGA_DIARIA!AD15+CARGA_DIARIA!AE15))</f>
        <v>15422835.7602383</v>
      </c>
      <c r="F15" s="50" t="s">
        <v>146</v>
      </c>
      <c r="G15" s="50" t="s">
        <v>146</v>
      </c>
      <c r="H15" s="49" t="n">
        <f aca="false">IF(CARGA_DIARIA!A15="","",C15-D15-E15)</f>
        <v>6240611.69578136</v>
      </c>
    </row>
    <row r="16" customFormat="false" ht="15.75" hidden="false" customHeight="true" outlineLevel="0" collapsed="false">
      <c r="A16" s="44" t="n">
        <f aca="false">IF(CARGA_DIARIA!A16="","",CARGA_DIARIA!A16)</f>
        <v>46045</v>
      </c>
      <c r="B16" s="45" t="n">
        <f aca="false">IF(CARGA_DIARIA!A16="","",CARGA_DIARIA!B16)</f>
        <v>1421</v>
      </c>
      <c r="C16" s="46" t="n">
        <f aca="false"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</v>
      </c>
      <c r="D16" s="47" t="n">
        <f aca="false"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147054.307529909</v>
      </c>
      <c r="E16" s="47" t="n">
        <f aca="false">IF(CARGA_DIARIA!A16="","",IF(CARGA_DIARIA!B16=0,0,(CARGA_DIARIA!X16+CARGA_DIARIA!Y16+CARGA_DIARIA!Z16+CARGA_DIARIA!AA16)/CARGA_DIARIA!B16+CARGA_DIARIA!AB16+CARGA_DIARIA!AC16+CARGA_DIARIA!AD16+CARGA_DIARIA!AE16))</f>
        <v>15227170.868107</v>
      </c>
      <c r="F16" s="50" t="s">
        <v>146</v>
      </c>
      <c r="G16" s="50" t="s">
        <v>146</v>
      </c>
      <c r="H16" s="49" t="n">
        <f aca="false">IF(CARGA_DIARIA!A16="","",C16-D16-E16)</f>
        <v>7138318.96651654</v>
      </c>
    </row>
    <row r="17" customFormat="false" ht="15.75" hidden="false" customHeight="true" outlineLevel="0" collapsed="false">
      <c r="A17" s="44" t="n">
        <f aca="false">IF(CARGA_DIARIA!A17="","",CARGA_DIARIA!A17)</f>
        <v>46048</v>
      </c>
      <c r="B17" s="45" t="n">
        <f aca="false">IF(CARGA_DIARIA!A17="","",CARGA_DIARIA!B17)</f>
        <v>1428</v>
      </c>
      <c r="C17" s="46" t="n">
        <f aca="false"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</v>
      </c>
      <c r="D17" s="47" t="n">
        <f aca="false"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</v>
      </c>
      <c r="E17" s="47" t="n">
        <f aca="false">IF(CARGA_DIARIA!A17="","",IF(CARGA_DIARIA!B17=0,0,(CARGA_DIARIA!X17+CARGA_DIARIA!Y17+CARGA_DIARIA!Z17+CARGA_DIARIA!AA17)/CARGA_DIARIA!B17+CARGA_DIARIA!AB17+CARGA_DIARIA!AC17+CARGA_DIARIA!AD17+CARGA_DIARIA!AE17))</f>
        <v>15177325.9643557</v>
      </c>
      <c r="F17" s="50" t="s">
        <v>146</v>
      </c>
      <c r="G17" s="50" t="s">
        <v>146</v>
      </c>
      <c r="H17" s="49" t="n">
        <f aca="false">IF(CARGA_DIARIA!A17="","",C17-D17-E17)</f>
        <v>8092604.43170868</v>
      </c>
    </row>
    <row r="18" customFormat="false" ht="15.75" hidden="false" customHeight="true" outlineLevel="0" collapsed="false">
      <c r="A18" s="44" t="n">
        <f aca="false">IF(CARGA_DIARIA!A18="","",CARGA_DIARIA!A18)</f>
        <v>46049</v>
      </c>
      <c r="B18" s="45" t="n">
        <f aca="false">IF(CARGA_DIARIA!A18="","",CARGA_DIARIA!B18)</f>
        <v>1435</v>
      </c>
      <c r="C18" s="46" t="n">
        <f aca="false"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24852186.9520544</v>
      </c>
      <c r="D18" s="47" t="n">
        <f aca="false"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231215.636236934</v>
      </c>
      <c r="E18" s="47" t="n">
        <f aca="false">IF(CARGA_DIARIA!A18="","",IF(CARGA_DIARIA!B18=0,0,(CARGA_DIARIA!X18+CARGA_DIARIA!Y18+CARGA_DIARIA!Z18+CARGA_DIARIA!AA18)/CARGA_DIARIA!B18+CARGA_DIARIA!AB18+CARGA_DIARIA!AC18+CARGA_DIARIA!AD18+CARGA_DIARIA!AE18))</f>
        <v>17107721.4034843</v>
      </c>
      <c r="F18" s="50" t="s">
        <v>146</v>
      </c>
      <c r="G18" s="50" t="s">
        <v>146</v>
      </c>
      <c r="H18" s="49" t="n">
        <f aca="false">IF(CARGA_DIARIA!A18="","",C18-D18-E18)</f>
        <v>7513249.9123331</v>
      </c>
    </row>
    <row r="19" customFormat="false" ht="15.75" hidden="false" customHeight="true" outlineLevel="0" collapsed="false">
      <c r="A19" s="44" t="n">
        <f aca="false">IF(CARGA_DIARIA!A19="","",CARGA_DIARIA!A19)</f>
        <v>46050</v>
      </c>
      <c r="B19" s="45" t="n">
        <f aca="false">IF(CARGA_DIARIA!A19="","",CARGA_DIARIA!B19)</f>
        <v>1437</v>
      </c>
      <c r="C19" s="46" t="n">
        <f aca="false"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</v>
      </c>
      <c r="D19" s="47" t="n">
        <f aca="false"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151307.983298539</v>
      </c>
      <c r="E19" s="47" t="n">
        <f aca="false">IF(CARGA_DIARIA!A19="","",IF(CARGA_DIARIA!B19=0,0,(CARGA_DIARIA!X19+CARGA_DIARIA!Y19+CARGA_DIARIA!Z19+CARGA_DIARIA!AA19)/CARGA_DIARIA!B19+CARGA_DIARIA!AB19+CARGA_DIARIA!AC19+CARGA_DIARIA!AD19+CARGA_DIARIA!AE19))</f>
        <v>16405927.9470285</v>
      </c>
      <c r="F19" s="50" t="s">
        <v>146</v>
      </c>
      <c r="G19" s="50" t="s">
        <v>146</v>
      </c>
      <c r="H19" s="49" t="n">
        <f aca="false">IF(CARGA_DIARIA!A19="","",C19-D19-E19)</f>
        <v>8114158.38599165</v>
      </c>
    </row>
    <row r="20" customFormat="false" ht="15.75" hidden="false" customHeight="true" outlineLevel="0" collapsed="false">
      <c r="A20" s="44" t="n">
        <f aca="false">IF(CARGA_DIARIA!A20="","",CARGA_DIARIA!A20)</f>
        <v>46051</v>
      </c>
      <c r="B20" s="45" t="n">
        <f aca="false">IF(CARGA_DIARIA!A20="","",CARGA_DIARIA!B20)</f>
        <v>1437</v>
      </c>
      <c r="C20" s="46" t="n">
        <f aca="false"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</v>
      </c>
      <c r="D20" s="47" t="n">
        <f aca="false"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</v>
      </c>
      <c r="E20" s="47" t="n">
        <f aca="false">IF(CARGA_DIARIA!A20="","",IF(CARGA_DIARIA!B20=0,0,(CARGA_DIARIA!X20+CARGA_DIARIA!Y20+CARGA_DIARIA!Z20+CARGA_DIARIA!AA20)/CARGA_DIARIA!B20+CARGA_DIARIA!AB20+CARGA_DIARIA!AC20+CARGA_DIARIA!AD20+CARGA_DIARIA!AE20))</f>
        <v>16327270.5613222</v>
      </c>
      <c r="F20" s="50" t="s">
        <v>146</v>
      </c>
      <c r="G20" s="50" t="s">
        <v>146</v>
      </c>
      <c r="H20" s="49" t="n">
        <f aca="false">IF(CARGA_DIARIA!A20="","",C20-D20-E20)</f>
        <v>12450884.6319551</v>
      </c>
    </row>
    <row r="21" customFormat="false" ht="15.75" hidden="false" customHeight="true" outlineLevel="0" collapsed="false">
      <c r="A21" s="44" t="n">
        <f aca="false">IF(CARGA_DIARIA!A21="","",CARGA_DIARIA!A21)</f>
        <v>46052</v>
      </c>
      <c r="B21" s="45" t="n">
        <f aca="false">IF(CARGA_DIARIA!A21="","",CARGA_DIARIA!B21)</f>
        <v>1443</v>
      </c>
      <c r="C21" s="46" t="n">
        <f aca="false"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</v>
      </c>
      <c r="D21" s="47" t="n">
        <f aca="false"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282650.907830908</v>
      </c>
      <c r="E21" s="47" t="n">
        <f aca="false">IF(CARGA_DIARIA!A21="","",IF(CARGA_DIARIA!B21=0,0,(CARGA_DIARIA!X21+CARGA_DIARIA!Y21+CARGA_DIARIA!Z21+CARGA_DIARIA!AA21)/CARGA_DIARIA!B21+CARGA_DIARIA!AB21+CARGA_DIARIA!AC21+CARGA_DIARIA!AD21+CARGA_DIARIA!AE21))</f>
        <v>15419997.3847124</v>
      </c>
      <c r="F21" s="50" t="s">
        <v>146</v>
      </c>
      <c r="G21" s="50" t="s">
        <v>146</v>
      </c>
      <c r="H21" s="49" t="n">
        <f aca="false">IF(CARGA_DIARIA!A21="","",C21-D21-E21)</f>
        <v>11549906.6236036</v>
      </c>
    </row>
    <row r="22" customFormat="false" ht="15.75" hidden="false" customHeight="true" outlineLevel="0" collapsed="false">
      <c r="A22" s="44" t="n">
        <f aca="false">IF(CARGA_DIARIA!A22="","",CARGA_DIARIA!A22)</f>
        <v>46055</v>
      </c>
      <c r="B22" s="45" t="n">
        <f aca="false">IF(CARGA_DIARIA!A22="","",CARGA_DIARIA!B22)</f>
        <v>1444</v>
      </c>
      <c r="C22" s="46" t="n">
        <f aca="false"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30109966.9286704</v>
      </c>
      <c r="D22" s="47" t="n">
        <f aca="false"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160812.967451524</v>
      </c>
      <c r="E22" s="47" t="n">
        <f aca="false">IF(CARGA_DIARIA!A22="","",IF(CARGA_DIARIA!B22=0,0,(CARGA_DIARIA!X22+CARGA_DIARIA!Y22+CARGA_DIARIA!Z22+CARGA_DIARIA!AA22)/CARGA_DIARIA!B22+CARGA_DIARIA!AB22+CARGA_DIARIA!AC22+CARGA_DIARIA!AD22+CARGA_DIARIA!AE22))</f>
        <v>17203509.7930167</v>
      </c>
      <c r="F22" s="50" t="s">
        <v>146</v>
      </c>
      <c r="G22" s="50" t="s">
        <v>146</v>
      </c>
      <c r="H22" s="49" t="n">
        <f aca="false">IF(CARGA_DIARIA!A22="","",C22-D22-E22)</f>
        <v>12745644.1682021</v>
      </c>
    </row>
    <row r="23" customFormat="false" ht="15.75" hidden="false" customHeight="true" outlineLevel="0" collapsed="false">
      <c r="A23" s="44" t="n">
        <f aca="false">IF(CARGA_DIARIA!A23="","",CARGA_DIARIA!A23)</f>
        <v>46056</v>
      </c>
      <c r="B23" s="45" t="n">
        <f aca="false">IF(CARGA_DIARIA!A23="","",CARGA_DIARIA!B23)</f>
        <v>1447</v>
      </c>
      <c r="C23" s="46" t="n">
        <f aca="false"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28311525.9899724</v>
      </c>
      <c r="D23" s="47" t="n">
        <f aca="false"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117693.325501037</v>
      </c>
      <c r="E23" s="47" t="n">
        <f aca="false">IF(CARGA_DIARIA!A23="","",IF(CARGA_DIARIA!B23=0,0,(CARGA_DIARIA!X23+CARGA_DIARIA!Y23+CARGA_DIARIA!Z23+CARGA_DIARIA!AA23)/CARGA_DIARIA!B23+CARGA_DIARIA!AB23+CARGA_DIARIA!AC23+CARGA_DIARIA!AD23+CARGA_DIARIA!AE23))</f>
        <v>16979168.5135564</v>
      </c>
      <c r="F23" s="50" t="s">
        <v>146</v>
      </c>
      <c r="G23" s="50" t="s">
        <v>146</v>
      </c>
      <c r="H23" s="49" t="n">
        <f aca="false">IF(CARGA_DIARIA!A23="","",C23-D23-E23)</f>
        <v>11214664.1509149</v>
      </c>
    </row>
    <row r="24" customFormat="false" ht="15.75" hidden="false" customHeight="true" outlineLevel="0" collapsed="false">
      <c r="A24" s="44" t="n">
        <f aca="false">IF(CARGA_DIARIA!A24="","",CARGA_DIARIA!A24)</f>
        <v>46057</v>
      </c>
      <c r="B24" s="45" t="n">
        <f aca="false">IF(CARGA_DIARIA!A24="","",CARGA_DIARIA!B24)</f>
        <v>1444</v>
      </c>
      <c r="C24" s="46" t="n">
        <f aca="false"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</v>
      </c>
      <c r="D24" s="47" t="n">
        <f aca="false"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</v>
      </c>
      <c r="E24" s="47" t="n">
        <f aca="false">IF(CARGA_DIARIA!A24="","",IF(CARGA_DIARIA!B24=0,0,(CARGA_DIARIA!X24+CARGA_DIARIA!Y24+CARGA_DIARIA!Z24+CARGA_DIARIA!AA24)/CARGA_DIARIA!B24+CARGA_DIARIA!AB24+CARGA_DIARIA!AC24+CARGA_DIARIA!AD24+CARGA_DIARIA!AE24))</f>
        <v>16986764.0201635</v>
      </c>
      <c r="F24" s="50" t="s">
        <v>146</v>
      </c>
      <c r="G24" s="50" t="s">
        <v>146</v>
      </c>
      <c r="H24" s="49" t="n">
        <f aca="false">IF(CARGA_DIARIA!A24="","",C24-D24-E24)</f>
        <v>9013853.50753729</v>
      </c>
    </row>
    <row r="25" customFormat="false" ht="15.75" hidden="false" customHeight="true" outlineLevel="0" collapsed="false">
      <c r="A25" s="44" t="n">
        <f aca="false">IF(CARGA_DIARIA!A25="","",CARGA_DIARIA!A25)</f>
        <v>46058</v>
      </c>
      <c r="B25" s="45" t="n">
        <f aca="false">IF(CARGA_DIARIA!A25="","",CARGA_DIARIA!B25)</f>
        <v>1444.5</v>
      </c>
      <c r="C25" s="46" t="n">
        <f aca="false"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27709476.8585712</v>
      </c>
      <c r="D25" s="47" t="n">
        <f aca="false"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</v>
      </c>
      <c r="E25" s="47" t="n">
        <f aca="false">IF(CARGA_DIARIA!A25="","",IF(CARGA_DIARIA!B25=0,0,(CARGA_DIARIA!X25+CARGA_DIARIA!Y25+CARGA_DIARIA!Z25+CARGA_DIARIA!AA25)/CARGA_DIARIA!B25+CARGA_DIARIA!AB25+CARGA_DIARIA!AC25+CARGA_DIARIA!AD25+CARGA_DIARIA!AE25))</f>
        <v>16729854.1899939</v>
      </c>
      <c r="F25" s="50" t="s">
        <v>146</v>
      </c>
      <c r="G25" s="50" t="s">
        <v>146</v>
      </c>
      <c r="H25" s="49" t="n">
        <f aca="false">IF(CARGA_DIARIA!A25="","",C25-D25-E25)</f>
        <v>10723783.5124679</v>
      </c>
    </row>
    <row r="26" customFormat="false" ht="15.75" hidden="false" customHeight="true" outlineLevel="0" collapsed="false">
      <c r="A26" s="44" t="n">
        <f aca="false">IF(CARGA_DIARIA!A26="","",CARGA_DIARIA!A26)</f>
        <v>46059</v>
      </c>
      <c r="B26" s="45" t="n">
        <f aca="false">IF(CARGA_DIARIA!A26="","",CARGA_DIARIA!B26)</f>
        <v>1444.5</v>
      </c>
      <c r="C26" s="46" t="n">
        <f aca="false"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</v>
      </c>
      <c r="D26" s="47" t="n">
        <f aca="false"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288885.708245068</v>
      </c>
      <c r="E26" s="47" t="n">
        <f aca="false">IF(CARGA_DIARIA!A26="","",IF(CARGA_DIARIA!B26=0,0,(CARGA_DIARIA!X26+CARGA_DIARIA!Y26+CARGA_DIARIA!Z26+CARGA_DIARIA!AA26)/CARGA_DIARIA!B26+CARGA_DIARIA!AB26+CARGA_DIARIA!AC26+CARGA_DIARIA!AD26+CARGA_DIARIA!AE26))</f>
        <v>16522953.1052656</v>
      </c>
      <c r="F26" s="50" t="s">
        <v>146</v>
      </c>
      <c r="G26" s="50" t="s">
        <v>146</v>
      </c>
      <c r="H26" s="49" t="n">
        <f aca="false">IF(CARGA_DIARIA!A26="","",C26-D26-E26)</f>
        <v>12208352.8483814</v>
      </c>
    </row>
    <row r="27" customFormat="false" ht="15.75" hidden="false" customHeight="true" outlineLevel="0" collapsed="false">
      <c r="A27" s="44" t="n">
        <f aca="false">IF(CARGA_DIARIA!A27="","",CARGA_DIARIA!A27)</f>
        <v>46062</v>
      </c>
      <c r="B27" s="45" t="n">
        <f aca="false">IF(CARGA_DIARIA!A27="","",CARGA_DIARIA!B27)</f>
        <v>1420</v>
      </c>
      <c r="C27" s="46" t="n">
        <f aca="false"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</v>
      </c>
      <c r="D27" s="47" t="n">
        <f aca="false"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</v>
      </c>
      <c r="E27" s="47" t="n">
        <f aca="false">IF(CARGA_DIARIA!A27="","",IF(CARGA_DIARIA!B27=0,0,(CARGA_DIARIA!X27+CARGA_DIARIA!Y27+CARGA_DIARIA!Z27+CARGA_DIARIA!AA27)/CARGA_DIARIA!B27+CARGA_DIARIA!AB27+CARGA_DIARIA!AC27+CARGA_DIARIA!AD27+CARGA_DIARIA!AE27))</f>
        <v>14211039.1831804</v>
      </c>
      <c r="F27" s="50" t="s">
        <v>146</v>
      </c>
      <c r="G27" s="50" t="s">
        <v>146</v>
      </c>
      <c r="H27" s="49" t="n">
        <f aca="false">IF(CARGA_DIARIA!A27="","",C27-D27-E27)</f>
        <v>14428136.8564309</v>
      </c>
    </row>
    <row r="28" customFormat="false" ht="15.75" hidden="false" customHeight="true" outlineLevel="0" collapsed="false">
      <c r="A28" s="44" t="n">
        <f aca="false">IF(CARGA_DIARIA!A28="","",CARGA_DIARIA!A28)</f>
        <v>46063</v>
      </c>
      <c r="B28" s="45" t="n">
        <f aca="false">IF(CARGA_DIARIA!A28="","",CARGA_DIARIA!B28)</f>
        <v>1424</v>
      </c>
      <c r="C28" s="46" t="n">
        <f aca="false"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27431409.6878874</v>
      </c>
      <c r="D28" s="47" t="n">
        <f aca="false"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234454.023876405</v>
      </c>
      <c r="E28" s="47" t="n">
        <f aca="false">IF(CARGA_DIARIA!A28="","",IF(CARGA_DIARIA!B28=0,0,(CARGA_DIARIA!X28+CARGA_DIARIA!Y28+CARGA_DIARIA!Z28+CARGA_DIARIA!AA28)/CARGA_DIARIA!B28+CARGA_DIARIA!AB28+CARGA_DIARIA!AC28+CARGA_DIARIA!AD28+CARGA_DIARIA!AE28))</f>
        <v>13996864.0738175</v>
      </c>
      <c r="F28" s="50" t="s">
        <v>146</v>
      </c>
      <c r="G28" s="50" t="s">
        <v>146</v>
      </c>
      <c r="H28" s="49" t="n">
        <f aca="false">IF(CARGA_DIARIA!A28="","",C28-D28-E28)</f>
        <v>13200091.5901934</v>
      </c>
    </row>
    <row r="29" customFormat="false" ht="15.75" hidden="false" customHeight="true" outlineLevel="0" collapsed="false">
      <c r="A29" s="44" t="n">
        <f aca="false">IF(CARGA_DIARIA!A29="","",CARGA_DIARIA!A29)</f>
        <v>46064</v>
      </c>
      <c r="B29" s="45" t="n">
        <f aca="false">IF(CARGA_DIARIA!A29="","",CARGA_DIARIA!B29)</f>
        <v>1401</v>
      </c>
      <c r="C29" s="46" t="n">
        <f aca="false"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</v>
      </c>
      <c r="D29" s="47" t="n">
        <f aca="false"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</v>
      </c>
      <c r="E29" s="47" t="n">
        <f aca="false">IF(CARGA_DIARIA!A29="","",IF(CARGA_DIARIA!B29=0,0,(CARGA_DIARIA!X29+CARGA_DIARIA!Y29+CARGA_DIARIA!Z29+CARGA_DIARIA!AA29)/CARGA_DIARIA!B29+CARGA_DIARIA!AB29+CARGA_DIARIA!AC29+CARGA_DIARIA!AD29+CARGA_DIARIA!AE29))</f>
        <v>13042101.3528524</v>
      </c>
      <c r="F29" s="50" t="s">
        <v>146</v>
      </c>
      <c r="G29" s="50" t="s">
        <v>146</v>
      </c>
      <c r="H29" s="49" t="n">
        <f aca="false">IF(CARGA_DIARIA!A29="","",C29-D29-E29)</f>
        <v>17126335.8028349</v>
      </c>
    </row>
    <row r="30" customFormat="false" ht="15.75" hidden="false" customHeight="true" outlineLevel="0" collapsed="false">
      <c r="A30" s="44" t="n">
        <f aca="false">IF(CARGA_DIARIA!A30="","",CARGA_DIARIA!A30)</f>
        <v>46065</v>
      </c>
      <c r="B30" s="45" t="n">
        <f aca="false">IF(CARGA_DIARIA!A30="","",CARGA_DIARIA!B30)</f>
        <v>1397</v>
      </c>
      <c r="C30" s="46" t="n">
        <f aca="false"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</v>
      </c>
      <c r="D30" s="47" t="n">
        <f aca="false"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391264.178239084</v>
      </c>
      <c r="E30" s="47" t="n">
        <f aca="false">IF(CARGA_DIARIA!A30="","",IF(CARGA_DIARIA!B30=0,0,(CARGA_DIARIA!X30+CARGA_DIARIA!Y30+CARGA_DIARIA!Z30+CARGA_DIARIA!AA30)/CARGA_DIARIA!B30+CARGA_DIARIA!AB30+CARGA_DIARIA!AC30+CARGA_DIARIA!AD30+CARGA_DIARIA!AE30))</f>
        <v>13292695.2899901</v>
      </c>
      <c r="F30" s="50" t="s">
        <v>146</v>
      </c>
      <c r="G30" s="50" t="s">
        <v>146</v>
      </c>
      <c r="H30" s="49" t="n">
        <f aca="false">IF(CARGA_DIARIA!A30="","",C30-D30-E30)</f>
        <v>18514420.3600846</v>
      </c>
    </row>
    <row r="31" customFormat="false" ht="15.75" hidden="false" customHeight="true" outlineLevel="0" collapsed="false">
      <c r="A31" s="44" t="n">
        <f aca="false">IF(CARGA_DIARIA!A31="","",CARGA_DIARIA!A31)</f>
        <v>46066</v>
      </c>
      <c r="B31" s="45" t="n">
        <f aca="false">IF(CARGA_DIARIA!A31="","",CARGA_DIARIA!B31)</f>
        <v>1390</v>
      </c>
      <c r="C31" s="46" t="n">
        <f aca="false"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32564442.284936</v>
      </c>
      <c r="D31" s="47" t="n">
        <f aca="false"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411389.130935252</v>
      </c>
      <c r="E31" s="47" t="n">
        <f aca="false">IF(CARGA_DIARIA!A31="","",IF(CARGA_DIARIA!B31=0,0,(CARGA_DIARIA!X31+CARGA_DIARIA!Y31+CARGA_DIARIA!Z31+CARGA_DIARIA!AA31)/CARGA_DIARIA!B31+CARGA_DIARIA!AB31+CARGA_DIARIA!AC31+CARGA_DIARIA!AD31+CARGA_DIARIA!AE31))</f>
        <v>13061680.0763426</v>
      </c>
      <c r="F31" s="50" t="s">
        <v>146</v>
      </c>
      <c r="G31" s="50" t="s">
        <v>146</v>
      </c>
      <c r="H31" s="49" t="n">
        <f aca="false">IF(CARGA_DIARIA!A31="","",C31-D31-E31)</f>
        <v>19091373.0776582</v>
      </c>
    </row>
    <row r="32" customFormat="false" ht="15.75" hidden="false" customHeight="true" outlineLevel="0" collapsed="false">
      <c r="A32" s="44" t="n">
        <f aca="false">IF(CARGA_DIARIA!A32="","",CARGA_DIARIA!A32)</f>
        <v>46071</v>
      </c>
      <c r="B32" s="45" t="n">
        <f aca="false">IF(CARGA_DIARIA!A32="","",CARGA_DIARIA!B32)</f>
        <v>1392</v>
      </c>
      <c r="C32" s="46" t="n">
        <f aca="false"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35470783.939571</v>
      </c>
      <c r="D32" s="47" t="n">
        <f aca="false"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336356.574712644</v>
      </c>
      <c r="E32" s="47" t="n">
        <f aca="false">IF(CARGA_DIARIA!A32="","",IF(CARGA_DIARIA!B32=0,0,(CARGA_DIARIA!X32+CARGA_DIARIA!Y32+CARGA_DIARIA!Z32+CARGA_DIARIA!AA32)/CARGA_DIARIA!B32+CARGA_DIARIA!AB32+CARGA_DIARIA!AC32+CARGA_DIARIA!AD32+CARGA_DIARIA!AE32))</f>
        <v>12926116.5820152</v>
      </c>
      <c r="F32" s="50" t="s">
        <v>146</v>
      </c>
      <c r="G32" s="50" t="s">
        <v>146</v>
      </c>
      <c r="H32" s="49" t="n">
        <f aca="false">IF(CARGA_DIARIA!A32="","",C32-D32-E32)</f>
        <v>22208310.7828432</v>
      </c>
    </row>
    <row r="33" customFormat="false" ht="15.75" hidden="false" customHeight="true" outlineLevel="0" collapsed="false">
      <c r="A33" s="44" t="n">
        <f aca="false">IF(CARGA_DIARIA!A33="","",CARGA_DIARIA!A33)</f>
        <v>46072</v>
      </c>
      <c r="B33" s="45" t="n">
        <f aca="false">IF(CARGA_DIARIA!A33="","",CARGA_DIARIA!B33)</f>
        <v>1400</v>
      </c>
      <c r="C33" s="46" t="n">
        <f aca="false"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</v>
      </c>
      <c r="D33" s="47" t="n">
        <f aca="false"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270902.955714286</v>
      </c>
      <c r="E33" s="47" t="n">
        <f aca="false">IF(CARGA_DIARIA!A33="","",IF(CARGA_DIARIA!B33=0,0,(CARGA_DIARIA!X33+CARGA_DIARIA!Y33+CARGA_DIARIA!Z33+CARGA_DIARIA!AA33)/CARGA_DIARIA!B33+CARGA_DIARIA!AB33+CARGA_DIARIA!AC33+CARGA_DIARIA!AD33+CARGA_DIARIA!AE33))</f>
        <v>12826652.0826058</v>
      </c>
      <c r="F33" s="50" t="s">
        <v>146</v>
      </c>
      <c r="G33" s="50" t="s">
        <v>146</v>
      </c>
      <c r="H33" s="49" t="n">
        <f aca="false">IF(CARGA_DIARIA!A33="","",C33-D33-E33)</f>
        <v>22317010.8241156</v>
      </c>
    </row>
    <row r="34" customFormat="false" ht="15.75" hidden="false" customHeight="true" outlineLevel="0" collapsed="false">
      <c r="A34" s="44" t="n">
        <f aca="false">IF(CARGA_DIARIA!A34="","",CARGA_DIARIA!A34)</f>
        <v>46073</v>
      </c>
      <c r="B34" s="45" t="n">
        <f aca="false">IF(CARGA_DIARIA!A34="","",CARGA_DIARIA!B34)</f>
        <v>1400</v>
      </c>
      <c r="C34" s="46" t="n">
        <f aca="false"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</v>
      </c>
      <c r="D34" s="47" t="n">
        <f aca="false"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</v>
      </c>
      <c r="E34" s="47" t="n">
        <f aca="false">IF(CARGA_DIARIA!A34="","",IF(CARGA_DIARIA!B34=0,0,(CARGA_DIARIA!X34+CARGA_DIARIA!Y34+CARGA_DIARIA!Z34+CARGA_DIARIA!AA34)/CARGA_DIARIA!B34+CARGA_DIARIA!AB34+CARGA_DIARIA!AC34+CARGA_DIARIA!AD34+CARGA_DIARIA!AE34))</f>
        <v>12582537.2103344</v>
      </c>
      <c r="F34" s="50" t="s">
        <v>146</v>
      </c>
      <c r="G34" s="50" t="s">
        <v>146</v>
      </c>
      <c r="H34" s="49" t="n">
        <f aca="false">IF(CARGA_DIARIA!A34="","",C34-D34-E34)</f>
        <v>21679717.817937</v>
      </c>
    </row>
    <row r="35" customFormat="false" ht="15.75" hidden="false" customHeight="true" outlineLevel="0" collapsed="false">
      <c r="A35" s="44" t="n">
        <f aca="false">IF(CARGA_DIARIA!A35="","",CARGA_DIARIA!A35)</f>
        <v>46076</v>
      </c>
      <c r="B35" s="45" t="n">
        <f aca="false">IF(CARGA_DIARIA!A35="","",CARGA_DIARIA!B35)</f>
        <v>1381</v>
      </c>
      <c r="C35" s="46" t="n">
        <f aca="false"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</v>
      </c>
      <c r="D35" s="47" t="n">
        <f aca="false"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157540.14301231</v>
      </c>
      <c r="E35" s="47" t="n">
        <f aca="false">IF(CARGA_DIARIA!A35="","",IF(CARGA_DIARIA!B35=0,0,(CARGA_DIARIA!X35+CARGA_DIARIA!Y35+CARGA_DIARIA!Z35+CARGA_DIARIA!AA35)/CARGA_DIARIA!B35+CARGA_DIARIA!AB35+CARGA_DIARIA!AC35+CARGA_DIARIA!AD35+CARGA_DIARIA!AE35))</f>
        <v>12596062.3193345</v>
      </c>
      <c r="F35" s="50" t="s">
        <v>146</v>
      </c>
      <c r="G35" s="50" t="s">
        <v>146</v>
      </c>
      <c r="H35" s="49" t="n">
        <f aca="false">IF(CARGA_DIARIA!A35="","",C35-D35-E35)</f>
        <v>26287582.8918077</v>
      </c>
    </row>
    <row r="36" customFormat="false" ht="15.75" hidden="false" customHeight="true" outlineLevel="0" collapsed="false">
      <c r="A36" s="44" t="n">
        <f aca="false">IF(CARGA_DIARIA!A36="","",CARGA_DIARIA!A36)</f>
        <v>46077</v>
      </c>
      <c r="B36" s="45" t="n">
        <f aca="false">IF(CARGA_DIARIA!A36="","",CARGA_DIARIA!B36)</f>
        <v>1360.5</v>
      </c>
      <c r="C36" s="46" t="n">
        <f aca="false"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40183944.1245845</v>
      </c>
      <c r="D36" s="47" t="n">
        <f aca="false"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</v>
      </c>
      <c r="E36" s="47" t="n">
        <f aca="false">IF(CARGA_DIARIA!A36="","",IF(CARGA_DIARIA!B36=0,0,(CARGA_DIARIA!X36+CARGA_DIARIA!Y36+CARGA_DIARIA!Z36+CARGA_DIARIA!AA36)/CARGA_DIARIA!B36+CARGA_DIARIA!AB36+CARGA_DIARIA!AC36+CARGA_DIARIA!AD36+CARGA_DIARIA!AE36))</f>
        <v>12954040.4482774</v>
      </c>
      <c r="F36" s="50" t="s">
        <v>146</v>
      </c>
      <c r="G36" s="50" t="s">
        <v>146</v>
      </c>
      <c r="H36" s="49" t="n">
        <f aca="false">IF(CARGA_DIARIA!A36="","",C36-D36-E36)</f>
        <v>27079535.8674133</v>
      </c>
    </row>
    <row r="37" customFormat="false" ht="15.75" hidden="false" customHeight="true" outlineLevel="0" collapsed="false">
      <c r="A37" s="44" t="n">
        <f aca="false">IF(CARGA_DIARIA!A37="","",CARGA_DIARIA!A37)</f>
        <v>46078</v>
      </c>
      <c r="B37" s="45" t="n">
        <f aca="false">IF(CARGA_DIARIA!A37="","",CARGA_DIARIA!B37)</f>
        <v>1373.5</v>
      </c>
      <c r="C37" s="46" t="n">
        <f aca="false"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34469176.7444015</v>
      </c>
      <c r="D37" s="47" t="n">
        <f aca="false"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188702.918441937</v>
      </c>
      <c r="E37" s="47" t="n">
        <f aca="false">IF(CARGA_DIARIA!A37="","",IF(CARGA_DIARIA!B37=0,0,(CARGA_DIARIA!X37+CARGA_DIARIA!Y37+CARGA_DIARIA!Z37+CARGA_DIARIA!AA37)/CARGA_DIARIA!B37+CARGA_DIARIA!AB37+CARGA_DIARIA!AC37+CARGA_DIARIA!AD37+CARGA_DIARIA!AE37))</f>
        <v>12830593.3652549</v>
      </c>
      <c r="F37" s="50" t="s">
        <v>146</v>
      </c>
      <c r="G37" s="50" t="s">
        <v>146</v>
      </c>
      <c r="H37" s="49" t="n">
        <f aca="false">IF(CARGA_DIARIA!A37="","",C37-D37-E37)</f>
        <v>21449880.4607046</v>
      </c>
    </row>
    <row r="38" customFormat="false" ht="15.75" hidden="false" customHeight="true" outlineLevel="0" collapsed="false">
      <c r="A38" s="44" t="n">
        <f aca="false">IF(CARGA_DIARIA!A38="","",CARGA_DIARIA!A38)</f>
        <v>46079</v>
      </c>
      <c r="B38" s="45" t="n">
        <f aca="false">IF(CARGA_DIARIA!A38="","",CARGA_DIARIA!B38)</f>
        <v>1383.5</v>
      </c>
      <c r="C38" s="46" t="n">
        <f aca="false"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34929069.1352544</v>
      </c>
      <c r="D38" s="47" t="n">
        <f aca="false"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267982.217564149</v>
      </c>
      <c r="E38" s="47" t="n">
        <f aca="false">IF(CARGA_DIARIA!A38="","",IF(CARGA_DIARIA!B38=0,0,(CARGA_DIARIA!X38+CARGA_DIARIA!Y38+CARGA_DIARIA!Z38+CARGA_DIARIA!AA38)/CARGA_DIARIA!B38+CARGA_DIARIA!AB38+CARGA_DIARIA!AC38+CARGA_DIARIA!AD38+CARGA_DIARIA!AE38))</f>
        <v>12944434.682834</v>
      </c>
      <c r="F38" s="50" t="s">
        <v>146</v>
      </c>
      <c r="G38" s="50" t="s">
        <v>146</v>
      </c>
      <c r="H38" s="49" t="n">
        <f aca="false">IF(CARGA_DIARIA!A38="","",C38-D38-E38)</f>
        <v>21716652.2348562</v>
      </c>
    </row>
    <row r="39" customFormat="false" ht="15.75" hidden="false" customHeight="true" outlineLevel="0" collapsed="false">
      <c r="A39" s="44" t="n">
        <f aca="false">IF(CARGA_DIARIA!A39="","",CARGA_DIARIA!A39)</f>
        <v>46080</v>
      </c>
      <c r="B39" s="45" t="n">
        <f aca="false">IF(CARGA_DIARIA!A39="","",CARGA_DIARIA!B39)</f>
        <v>1401</v>
      </c>
      <c r="C39" s="46" t="n">
        <f aca="false"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30820979.3418961</v>
      </c>
      <c r="D39" s="47" t="n">
        <f aca="false"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</v>
      </c>
      <c r="E39" s="47" t="n">
        <f aca="false">IF(CARGA_DIARIA!A39="","",IF(CARGA_DIARIA!B39=0,0,(CARGA_DIARIA!X39+CARGA_DIARIA!Y39+CARGA_DIARIA!Z39+CARGA_DIARIA!AA39)/CARGA_DIARIA!B39+CARGA_DIARIA!AB39+CARGA_DIARIA!AC39+CARGA_DIARIA!AD39+CARGA_DIARIA!AE39))</f>
        <v>12695993.3703508</v>
      </c>
      <c r="F39" s="50" t="s">
        <v>146</v>
      </c>
      <c r="G39" s="50" t="s">
        <v>146</v>
      </c>
      <c r="H39" s="49" t="n">
        <f aca="false">IF(CARGA_DIARIA!A39="","",C39-D39-E39)</f>
        <v>17957095.0693326</v>
      </c>
    </row>
    <row r="40" customFormat="false" ht="15.75" hidden="false" customHeight="true" outlineLevel="0" collapsed="false">
      <c r="A40" s="44" t="n">
        <f aca="false">IF(CARGA_DIARIA!A40="","",CARGA_DIARIA!A40)</f>
        <v>46083</v>
      </c>
      <c r="B40" s="45" t="n">
        <f aca="false">IF(CARGA_DIARIA!A40="","",CARGA_DIARIA!B40)</f>
        <v>1407</v>
      </c>
      <c r="C40" s="46" t="n">
        <f aca="false"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</v>
      </c>
      <c r="D40" s="47" t="n">
        <f aca="false"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504321.495380242</v>
      </c>
      <c r="E40" s="47" t="n">
        <f aca="false">IF(CARGA_DIARIA!A40="","",IF(CARGA_DIARIA!B40=0,0,(CARGA_DIARIA!X40+CARGA_DIARIA!Y40+CARGA_DIARIA!Z40+CARGA_DIARIA!AA40)/CARGA_DIARIA!B40+CARGA_DIARIA!AB40+CARGA_DIARIA!AC40+CARGA_DIARIA!AD40+CARGA_DIARIA!AE40))</f>
        <v>17201654.7932169</v>
      </c>
      <c r="F40" s="50" t="s">
        <v>146</v>
      </c>
      <c r="G40" s="50" t="s">
        <v>146</v>
      </c>
      <c r="H40" s="49" t="n">
        <f aca="false">IF(CARGA_DIARIA!A40="","",C40-D40-E40)</f>
        <v>16633283.1057702</v>
      </c>
    </row>
    <row r="41" customFormat="false" ht="15.75" hidden="false" customHeight="true" outlineLevel="0" collapsed="false">
      <c r="A41" s="44" t="n">
        <f aca="false">IF(CARGA_DIARIA!A41="","",CARGA_DIARIA!A41)</f>
        <v>46084</v>
      </c>
      <c r="B41" s="45" t="n">
        <f aca="false">IF(CARGA_DIARIA!A41="","",CARGA_DIARIA!B41)</f>
        <v>1403</v>
      </c>
      <c r="C41" s="46" t="n">
        <f aca="false"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</v>
      </c>
      <c r="D41" s="47" t="n">
        <f aca="false"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310196.807555239</v>
      </c>
      <c r="E41" s="47" t="n">
        <f aca="false">IF(CARGA_DIARIA!A41="","",IF(CARGA_DIARIA!B41=0,0,(CARGA_DIARIA!X41+CARGA_DIARIA!Y41+CARGA_DIARIA!Z41+CARGA_DIARIA!AA41)/CARGA_DIARIA!B41+CARGA_DIARIA!AB41+CARGA_DIARIA!AC41+CARGA_DIARIA!AD41+CARGA_DIARIA!AE41))</f>
        <v>16922737.2152879</v>
      </c>
      <c r="F41" s="50" t="s">
        <v>146</v>
      </c>
      <c r="G41" s="50" t="s">
        <v>146</v>
      </c>
      <c r="H41" s="49" t="n">
        <f aca="false">IF(CARGA_DIARIA!A41="","",C41-D41-E41)</f>
        <v>16853819.3400715</v>
      </c>
    </row>
    <row r="42" customFormat="false" ht="15.75" hidden="false" customHeight="true" outlineLevel="0" collapsed="false">
      <c r="A42" s="44" t="n">
        <f aca="false">IF(CARGA_DIARIA!A42="","",CARGA_DIARIA!A42)</f>
        <v>46085</v>
      </c>
      <c r="B42" s="45" t="n">
        <f aca="false">IF(CARGA_DIARIA!A42="","",CARGA_DIARIA!B42)</f>
        <v>1407</v>
      </c>
      <c r="C42" s="46" t="n">
        <f aca="false"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</v>
      </c>
      <c r="D42" s="47" t="n">
        <f aca="false"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</v>
      </c>
      <c r="E42" s="47" t="n">
        <f aca="false">IF(CARGA_DIARIA!A42="","",IF(CARGA_DIARIA!B42=0,0,(CARGA_DIARIA!X42+CARGA_DIARIA!Y42+CARGA_DIARIA!Z42+CARGA_DIARIA!AA42)/CARGA_DIARIA!B42+CARGA_DIARIA!AB42+CARGA_DIARIA!AC42+CARGA_DIARIA!AD42+CARGA_DIARIA!AE42))</f>
        <v>18051003.4909355</v>
      </c>
      <c r="F42" s="50" t="s">
        <v>146</v>
      </c>
      <c r="G42" s="50" t="s">
        <v>146</v>
      </c>
      <c r="H42" s="49" t="n">
        <f aca="false">IF(CARGA_DIARIA!A42="","",C42-D42-E42)</f>
        <v>10435847.1129414</v>
      </c>
    </row>
    <row r="43" customFormat="false" ht="15.75" hidden="false" customHeight="true" outlineLevel="0" collapsed="false">
      <c r="A43" s="44" t="n">
        <f aca="false">IF(CARGA_DIARIA!A43="","",CARGA_DIARIA!A43)</f>
        <v>46086</v>
      </c>
      <c r="B43" s="45" t="n">
        <f aca="false">IF(CARGA_DIARIA!A43="","",CARGA_DIARIA!B43)</f>
        <v>1400.5</v>
      </c>
      <c r="C43" s="46" t="n">
        <f aca="false"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29652566.6598024</v>
      </c>
      <c r="D43" s="47" t="n">
        <f aca="false"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410326.72045698</v>
      </c>
      <c r="E43" s="47" t="n">
        <f aca="false">IF(CARGA_DIARIA!A43="","",IF(CARGA_DIARIA!B43=0,0,(CARGA_DIARIA!X43+CARGA_DIARIA!Y43+CARGA_DIARIA!Z43+CARGA_DIARIA!AA43)/CARGA_DIARIA!B43+CARGA_DIARIA!AB43+CARGA_DIARIA!AC43+CARGA_DIARIA!AD43+CARGA_DIARIA!AE43))</f>
        <v>17276395.5015921</v>
      </c>
      <c r="F43" s="50" t="s">
        <v>146</v>
      </c>
      <c r="G43" s="50" t="s">
        <v>146</v>
      </c>
      <c r="H43" s="49" t="n">
        <f aca="false">IF(CARGA_DIARIA!A43="","",C43-D43-E43)</f>
        <v>11965844.4377533</v>
      </c>
    </row>
    <row r="44" customFormat="false" ht="15.75" hidden="false" customHeight="true" outlineLevel="0" collapsed="false">
      <c r="A44" s="44" t="n">
        <f aca="false">IF(CARGA_DIARIA!A44="","",CARGA_DIARIA!A44)</f>
        <v>46087</v>
      </c>
      <c r="B44" s="45" t="n">
        <f aca="false">IF(CARGA_DIARIA!A44="","",CARGA_DIARIA!B44)</f>
        <v>1405</v>
      </c>
      <c r="C44" s="46" t="n">
        <f aca="false"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</v>
      </c>
      <c r="D44" s="47" t="n">
        <f aca="false"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</v>
      </c>
      <c r="E44" s="47" t="n">
        <f aca="false">IF(CARGA_DIARIA!A44="","",IF(CARGA_DIARIA!B44=0,0,(CARGA_DIARIA!X44+CARGA_DIARIA!Y44+CARGA_DIARIA!Z44+CARGA_DIARIA!AA44)/CARGA_DIARIA!B44+CARGA_DIARIA!AB44+CARGA_DIARIA!AC44+CARGA_DIARIA!AD44+CARGA_DIARIA!AE44))</f>
        <v>17019983.8975831</v>
      </c>
      <c r="F44" s="50" t="s">
        <v>146</v>
      </c>
      <c r="G44" s="50" t="s">
        <v>146</v>
      </c>
      <c r="H44" s="49" t="n">
        <f aca="false">IF(CARGA_DIARIA!A44="","",C44-D44-E44)</f>
        <v>11620119.7302333</v>
      </c>
    </row>
    <row r="45" customFormat="false" ht="15.75" hidden="false" customHeight="true" outlineLevel="0" collapsed="false">
      <c r="A45" s="44" t="n">
        <f aca="false">IF(CARGA_DIARIA!A45="","",CARGA_DIARIA!A45)</f>
        <v>46090</v>
      </c>
      <c r="B45" s="45" t="n">
        <f aca="false">IF(CARGA_DIARIA!A45="","",CARGA_DIARIA!B45)</f>
        <v>1405</v>
      </c>
      <c r="C45" s="46" t="n">
        <f aca="false"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</v>
      </c>
      <c r="D45" s="47" t="n">
        <f aca="false"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</v>
      </c>
      <c r="E45" s="47" t="n">
        <f aca="false">IF(CARGA_DIARIA!A45="","",IF(CARGA_DIARIA!B45=0,0,(CARGA_DIARIA!X45+CARGA_DIARIA!Y45+CARGA_DIARIA!Z45+CARGA_DIARIA!AA45)/CARGA_DIARIA!B45+CARGA_DIARIA!AB45+CARGA_DIARIA!AC45+CARGA_DIARIA!AD45+CARGA_DIARIA!AE45))</f>
        <v>16795642.9274763</v>
      </c>
      <c r="F45" s="50" t="s">
        <v>146</v>
      </c>
      <c r="G45" s="50" t="s">
        <v>146</v>
      </c>
      <c r="H45" s="49" t="n">
        <f aca="false">IF(CARGA_DIARIA!A45="","",C45-D45-E45)</f>
        <v>14412290.1360468</v>
      </c>
    </row>
    <row r="46" customFormat="false" ht="15.75" hidden="false" customHeight="true" outlineLevel="0" collapsed="false">
      <c r="A46" s="44" t="n">
        <f aca="false">IF(CARGA_DIARIA!A46="","",CARGA_DIARIA!A46)</f>
        <v>46091</v>
      </c>
      <c r="B46" s="45" t="n">
        <f aca="false">IF(CARGA_DIARIA!A46="","",CARGA_DIARIA!B46)</f>
        <v>1417</v>
      </c>
      <c r="C46" s="46" t="n">
        <f aca="false"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29921913.9904997</v>
      </c>
      <c r="D46" s="47" t="n">
        <f aca="false"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332378.49047283</v>
      </c>
      <c r="E46" s="47" t="n">
        <f aca="false">IF(CARGA_DIARIA!A46="","",IF(CARGA_DIARIA!B46=0,0,(CARGA_DIARIA!X46+CARGA_DIARIA!Y46+CARGA_DIARIA!Z46+CARGA_DIARIA!AA46)/CARGA_DIARIA!B46+CARGA_DIARIA!AB46+CARGA_DIARIA!AC46+CARGA_DIARIA!AD46+CARGA_DIARIA!AE46))</f>
        <v>17469588.3656359</v>
      </c>
      <c r="F46" s="50" t="s">
        <v>146</v>
      </c>
      <c r="G46" s="50" t="s">
        <v>146</v>
      </c>
      <c r="H46" s="49" t="n">
        <f aca="false">IF(CARGA_DIARIA!A46="","",C46-D46-E46)</f>
        <v>12119947.1343909</v>
      </c>
    </row>
    <row r="47" customFormat="false" ht="15.75" hidden="false" customHeight="true" outlineLevel="0" collapsed="false">
      <c r="A47" s="44" t="n">
        <f aca="false">IF(CARGA_DIARIA!A47="","",CARGA_DIARIA!A47)</f>
        <v>46092</v>
      </c>
      <c r="B47" s="45" t="n">
        <f aca="false">IF(CARGA_DIARIA!A47="","",CARGA_DIARIA!B47)</f>
        <v>1401</v>
      </c>
      <c r="C47" s="46" t="n">
        <f aca="false"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</v>
      </c>
      <c r="D47" s="47" t="n">
        <f aca="false"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</v>
      </c>
      <c r="E47" s="47" t="n">
        <f aca="false">IF(CARGA_DIARIA!A47="","",IF(CARGA_DIARIA!B47=0,0,(CARGA_DIARIA!X47+CARGA_DIARIA!Y47+CARGA_DIARIA!Z47+CARGA_DIARIA!AA47)/CARGA_DIARIA!B47+CARGA_DIARIA!AB47+CARGA_DIARIA!AC47+CARGA_DIARIA!AD47+CARGA_DIARIA!AE47))</f>
        <v>18354128.5878945</v>
      </c>
      <c r="F47" s="50" t="s">
        <v>146</v>
      </c>
      <c r="G47" s="50" t="s">
        <v>146</v>
      </c>
      <c r="H47" s="49" t="n">
        <f aca="false">IF(CARGA_DIARIA!A47="","",C47-D47-E47)</f>
        <v>11243440.0550205</v>
      </c>
    </row>
    <row r="48" customFormat="false" ht="15.75" hidden="false" customHeight="true" outlineLevel="0" collapsed="false">
      <c r="A48" s="44" t="n">
        <f aca="false">IF(CARGA_DIARIA!A48="","",CARGA_DIARIA!A48)</f>
        <v>46093</v>
      </c>
      <c r="B48" s="45" t="n">
        <f aca="false">IF(CARGA_DIARIA!A48="","",CARGA_DIARIA!B48)</f>
        <v>1393</v>
      </c>
      <c r="C48" s="46" t="n">
        <f aca="false"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29822813.1131888</v>
      </c>
      <c r="D48" s="47" t="n">
        <f aca="false"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612284.094041637</v>
      </c>
      <c r="E48" s="47" t="n">
        <f aca="false">IF(CARGA_DIARIA!A48="","",IF(CARGA_DIARIA!B48=0,0,(CARGA_DIARIA!X48+CARGA_DIARIA!Y48+CARGA_DIARIA!Z48+CARGA_DIARIA!AA48)/CARGA_DIARIA!B48+CARGA_DIARIA!AB48+CARGA_DIARIA!AC48+CARGA_DIARIA!AD48+CARGA_DIARIA!AE48))</f>
        <v>17632113.7181902</v>
      </c>
      <c r="F48" s="50" t="s">
        <v>146</v>
      </c>
      <c r="G48" s="50" t="s">
        <v>146</v>
      </c>
      <c r="H48" s="49" t="n">
        <f aca="false">IF(CARGA_DIARIA!A48="","",C48-D48-E48)</f>
        <v>11578415.3009569</v>
      </c>
    </row>
    <row r="49" customFormat="false" ht="15.75" hidden="false" customHeight="true" outlineLevel="0" collapsed="false">
      <c r="A49" s="44" t="n">
        <f aca="false">IF(CARGA_DIARIA!A49="","",CARGA_DIARIA!A49)</f>
        <v>46094</v>
      </c>
      <c r="B49" s="45" t="n">
        <f aca="false">IF(CARGA_DIARIA!A49="","",CARGA_DIARIA!B49)</f>
        <v>1397</v>
      </c>
      <c r="C49" s="46" t="n">
        <f aca="false"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</v>
      </c>
      <c r="D49" s="47" t="n">
        <f aca="false"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</v>
      </c>
      <c r="E49" s="47" t="n">
        <f aca="false">IF(CARGA_DIARIA!A49="","",IF(CARGA_DIARIA!B49=0,0,(CARGA_DIARIA!X49+CARGA_DIARIA!Y49+CARGA_DIARIA!Z49+CARGA_DIARIA!AA49)/CARGA_DIARIA!B49+CARGA_DIARIA!AB49+CARGA_DIARIA!AC49+CARGA_DIARIA!AD49+CARGA_DIARIA!AE49))</f>
        <v>16496537.6855396</v>
      </c>
      <c r="F49" s="50" t="s">
        <v>146</v>
      </c>
      <c r="G49" s="50" t="s">
        <v>146</v>
      </c>
      <c r="H49" s="49" t="n">
        <f aca="false">IF(CARGA_DIARIA!A49="","",C49-D49-E49)</f>
        <v>11639769.0231197</v>
      </c>
    </row>
    <row r="50" customFormat="false" ht="15.75" hidden="false" customHeight="true" outlineLevel="0" collapsed="false">
      <c r="A50" s="44" t="n">
        <f aca="false">IF(CARGA_DIARIA!A50="","",CARGA_DIARIA!A50)</f>
        <v>46097</v>
      </c>
      <c r="B50" s="45" t="n">
        <f aca="false">IF(CARGA_DIARIA!A50="","",CARGA_DIARIA!B50)</f>
        <v>1386</v>
      </c>
      <c r="C50" s="46" t="n">
        <f aca="false"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</v>
      </c>
      <c r="D50" s="47" t="n">
        <f aca="false"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</v>
      </c>
      <c r="E50" s="47" t="n">
        <f aca="false">IF(CARGA_DIARIA!A50="","",IF(CARGA_DIARIA!B50=0,0,(CARGA_DIARIA!X50+CARGA_DIARIA!Y50+CARGA_DIARIA!Z50+CARGA_DIARIA!AA50)/CARGA_DIARIA!B50+CARGA_DIARIA!AB50+CARGA_DIARIA!AC50+CARGA_DIARIA!AD50+CARGA_DIARIA!AE50))</f>
        <v>16298615.0978057</v>
      </c>
      <c r="F50" s="50" t="s">
        <v>146</v>
      </c>
      <c r="G50" s="50" t="s">
        <v>146</v>
      </c>
      <c r="H50" s="49" t="n">
        <f aca="false">IF(CARGA_DIARIA!A50="","",C50-D50-E50)</f>
        <v>13244502.3213328</v>
      </c>
    </row>
    <row r="51" customFormat="false" ht="15.75" hidden="false" customHeight="true" outlineLevel="0" collapsed="false">
      <c r="A51" s="44" t="n">
        <f aca="false">IF(CARGA_DIARIA!A51="","",CARGA_DIARIA!A51)</f>
        <v>46098</v>
      </c>
      <c r="B51" s="45" t="n">
        <f aca="false">IF(CARGA_DIARIA!A51="","",CARGA_DIARIA!B51)</f>
        <v>1390</v>
      </c>
      <c r="C51" s="46" t="n">
        <f aca="false"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30141196.4960072</v>
      </c>
      <c r="D51" s="47" t="n">
        <f aca="false"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</v>
      </c>
      <c r="E51" s="47" t="n">
        <f aca="false">IF(CARGA_DIARIA!A51="","",IF(CARGA_DIARIA!B51=0,0,(CARGA_DIARIA!X51+CARGA_DIARIA!Y51+CARGA_DIARIA!Z51+CARGA_DIARIA!AA51)/CARGA_DIARIA!B51+CARGA_DIARIA!AB51+CARGA_DIARIA!AC51+CARGA_DIARIA!AD51+CARGA_DIARIA!AE51))</f>
        <v>16328582.4556518</v>
      </c>
      <c r="F51" s="50" t="s">
        <v>146</v>
      </c>
      <c r="G51" s="50" t="s">
        <v>146</v>
      </c>
      <c r="H51" s="49" t="n">
        <f aca="false">IF(CARGA_DIARIA!A51="","",C51-D51-E51)</f>
        <v>13507880.763377</v>
      </c>
    </row>
    <row r="52" customFormat="false" ht="15.75" hidden="false" customHeight="true" outlineLevel="0" collapsed="false">
      <c r="A52" s="44" t="n">
        <f aca="false">IF(CARGA_DIARIA!A52="","",CARGA_DIARIA!A52)</f>
        <v>46099</v>
      </c>
      <c r="B52" s="45" t="n">
        <f aca="false">IF(CARGA_DIARIA!A52="","",CARGA_DIARIA!B52)</f>
        <v>1394</v>
      </c>
      <c r="C52" s="46" t="n">
        <f aca="false"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29885301.351155</v>
      </c>
      <c r="D52" s="47" t="n">
        <f aca="false"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</v>
      </c>
      <c r="E52" s="47" t="n">
        <f aca="false">IF(CARGA_DIARIA!A52="","",IF(CARGA_DIARIA!B52=0,0,(CARGA_DIARIA!X52+CARGA_DIARIA!Y52+CARGA_DIARIA!Z52+CARGA_DIARIA!AA52)/CARGA_DIARIA!B52+CARGA_DIARIA!AB52+CARGA_DIARIA!AC52+CARGA_DIARIA!AD52+CARGA_DIARIA!AE52))</f>
        <v>16351143.2898613</v>
      </c>
      <c r="F52" s="50" t="s">
        <v>146</v>
      </c>
      <c r="G52" s="50" t="s">
        <v>146</v>
      </c>
      <c r="H52" s="49" t="n">
        <f aca="false">IF(CARGA_DIARIA!A52="","",C52-D52-E52)</f>
        <v>13286689.1021832</v>
      </c>
    </row>
    <row r="53" customFormat="false" ht="15.75" hidden="false" customHeight="true" outlineLevel="0" collapsed="false">
      <c r="A53" s="44" t="n">
        <f aca="false">IF(CARGA_DIARIA!A53="","",CARGA_DIARIA!A53)</f>
        <v>46100</v>
      </c>
      <c r="B53" s="45" t="n">
        <f aca="false">IF(CARGA_DIARIA!A53="","",CARGA_DIARIA!B53)</f>
        <v>1397</v>
      </c>
      <c r="C53" s="46" t="n">
        <f aca="false"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28961972.3244689</v>
      </c>
      <c r="D53" s="47" t="n">
        <f aca="false"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</v>
      </c>
      <c r="E53" s="47" t="n">
        <f aca="false">IF(CARGA_DIARIA!A53="","",IF(CARGA_DIARIA!B53=0,0,(CARGA_DIARIA!X53+CARGA_DIARIA!Y53+CARGA_DIARIA!Z53+CARGA_DIARIA!AA53)/CARGA_DIARIA!B53+CARGA_DIARIA!AB53+CARGA_DIARIA!AC53+CARGA_DIARIA!AD53+CARGA_DIARIA!AE53))</f>
        <v>16296105.5066497</v>
      </c>
      <c r="F53" s="50" t="s">
        <v>146</v>
      </c>
      <c r="G53" s="50" t="s">
        <v>146</v>
      </c>
      <c r="H53" s="49" t="n">
        <f aca="false">IF(CARGA_DIARIA!A53="","",C53-D53-E53)</f>
        <v>12529570.94953</v>
      </c>
    </row>
    <row r="54" customFormat="false" ht="15.75" hidden="false" customHeight="true" outlineLevel="0" collapsed="false">
      <c r="A54" s="44" t="n">
        <f aca="false">IF(CARGA_DIARIA!A54="","",CARGA_DIARIA!A54)</f>
        <v>46101</v>
      </c>
      <c r="B54" s="45" t="n">
        <f aca="false">IF(CARGA_DIARIA!A54="","",CARGA_DIARIA!B54)</f>
        <v>1391</v>
      </c>
      <c r="C54" s="46" t="n">
        <f aca="false"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</v>
      </c>
      <c r="D54" s="47" t="n">
        <f aca="false"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345935.845434939</v>
      </c>
      <c r="E54" s="47" t="n">
        <f aca="false">IF(CARGA_DIARIA!A54="","",IF(CARGA_DIARIA!B54=0,0,(CARGA_DIARIA!X54+CARGA_DIARIA!Y54+CARGA_DIARIA!Z54+CARGA_DIARIA!AA54)/CARGA_DIARIA!B54+CARGA_DIARIA!AB54+CARGA_DIARIA!AC54+CARGA_DIARIA!AD54+CARGA_DIARIA!AE54))</f>
        <v>16383006.9948121</v>
      </c>
      <c r="F54" s="50" t="s">
        <v>146</v>
      </c>
      <c r="G54" s="50" t="s">
        <v>146</v>
      </c>
      <c r="H54" s="49" t="n">
        <f aca="false">IF(CARGA_DIARIA!A54="","",C54-D54-E54)</f>
        <v>13573846.9825984</v>
      </c>
    </row>
    <row r="55" customFormat="false" ht="15.75" hidden="false" customHeight="true" outlineLevel="0" collapsed="false">
      <c r="A55" s="44" t="n">
        <f aca="false">IF(CARGA_DIARIA!A55="","",CARGA_DIARIA!A55)</f>
        <v>46106</v>
      </c>
      <c r="B55" s="45" t="n">
        <f aca="false">IF(CARGA_DIARIA!A55="","",CARGA_DIARIA!B55)</f>
        <v>1392</v>
      </c>
      <c r="C55" s="46" t="n">
        <f aca="false"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31649706.3861207</v>
      </c>
      <c r="D55" s="47" t="n">
        <f aca="false"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</v>
      </c>
      <c r="E55" s="47" t="n">
        <f aca="false">IF(CARGA_DIARIA!A55="","",IF(CARGA_DIARIA!B55=0,0,(CARGA_DIARIA!X55+CARGA_DIARIA!Y55+CARGA_DIARIA!Z55+CARGA_DIARIA!AA55)/CARGA_DIARIA!B55+CARGA_DIARIA!AB55+CARGA_DIARIA!AC55+CARGA_DIARIA!AD55+CARGA_DIARIA!AE55))</f>
        <v>15975487.1150944</v>
      </c>
      <c r="F55" s="50" t="s">
        <v>146</v>
      </c>
      <c r="G55" s="50" t="s">
        <v>146</v>
      </c>
      <c r="H55" s="49" t="n">
        <f aca="false">IF(CARGA_DIARIA!A55="","",C55-D55-E55)</f>
        <v>15348097.7092447</v>
      </c>
    </row>
    <row r="56" customFormat="false" ht="15.75" hidden="false" customHeight="true" outlineLevel="0" collapsed="false">
      <c r="A56" s="44" t="n">
        <f aca="false">IF(CARGA_DIARIA!A56="","",CARGA_DIARIA!A56)</f>
        <v>46107</v>
      </c>
      <c r="B56" s="45" t="n">
        <f aca="false">IF(CARGA_DIARIA!A56="","",CARGA_DIARIA!B56)</f>
        <v>1375</v>
      </c>
      <c r="C56" s="46" t="n">
        <f aca="false"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31634488.28972</v>
      </c>
      <c r="D56" s="47" t="n">
        <f aca="false"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</v>
      </c>
      <c r="E56" s="47" t="n">
        <f aca="false">IF(CARGA_DIARIA!A56="","",IF(CARGA_DIARIA!B56=0,0,(CARGA_DIARIA!X56+CARGA_DIARIA!Y56+CARGA_DIARIA!Z56+CARGA_DIARIA!AA56)/CARGA_DIARIA!B56+CARGA_DIARIA!AB56+CARGA_DIARIA!AC56+CARGA_DIARIA!AD56+CARGA_DIARIA!AE56))</f>
        <v>16035229.0543209</v>
      </c>
      <c r="F56" s="50" t="s">
        <v>146</v>
      </c>
      <c r="G56" s="50" t="s">
        <v>146</v>
      </c>
      <c r="H56" s="49" t="n">
        <f aca="false">IF(CARGA_DIARIA!A56="","",C56-D56-E56)</f>
        <v>15231921.6899446</v>
      </c>
    </row>
    <row r="57" customFormat="false" ht="15.75" hidden="false" customHeight="true" outlineLevel="0" collapsed="false">
      <c r="A57" s="44" t="n">
        <f aca="false">IF(CARGA_DIARIA!A57="","",CARGA_DIARIA!A57)</f>
        <v>46108</v>
      </c>
      <c r="B57" s="45" t="n">
        <f aca="false">IF(CARGA_DIARIA!A57="","",CARGA_DIARIA!B57)</f>
        <v>1366</v>
      </c>
      <c r="C57" s="46" t="n">
        <f aca="false"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</v>
      </c>
      <c r="D57" s="47" t="n">
        <f aca="false"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</v>
      </c>
      <c r="E57" s="47" t="n">
        <f aca="false">IF(CARGA_DIARIA!A57="","",IF(CARGA_DIARIA!B57=0,0,(CARGA_DIARIA!X57+CARGA_DIARIA!Y57+CARGA_DIARIA!Z57+CARGA_DIARIA!AA57)/CARGA_DIARIA!B57+CARGA_DIARIA!AB57+CARGA_DIARIA!AC57+CARGA_DIARIA!AD57+CARGA_DIARIA!AE57))</f>
        <v>15978672.395192</v>
      </c>
      <c r="F57" s="50" t="s">
        <v>146</v>
      </c>
      <c r="G57" s="50" t="s">
        <v>146</v>
      </c>
      <c r="H57" s="49" t="n">
        <f aca="false">IF(CARGA_DIARIA!A57="","",C57-D57-E57)</f>
        <v>15255978.6896586</v>
      </c>
    </row>
    <row r="58" customFormat="false" ht="15.75" hidden="false" customHeight="true" outlineLevel="0" collapsed="false">
      <c r="A58" s="44" t="n">
        <f aca="false">IF(CARGA_DIARIA!A58="","",CARGA_DIARIA!A58)</f>
        <v>46111</v>
      </c>
      <c r="B58" s="45" t="n">
        <f aca="false">IF(CARGA_DIARIA!A58="","",CARGA_DIARIA!B58)</f>
        <v>1371.5</v>
      </c>
      <c r="C58" s="46" t="n">
        <f aca="false"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</v>
      </c>
      <c r="D58" s="47" t="n">
        <f aca="false"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</v>
      </c>
      <c r="E58" s="47" t="n">
        <f aca="false">IF(CARGA_DIARIA!A58="","",IF(CARGA_DIARIA!B58=0,0,(CARGA_DIARIA!X58+CARGA_DIARIA!Y58+CARGA_DIARIA!Z58+CARGA_DIARIA!AA58)/CARGA_DIARIA!B58+CARGA_DIARIA!AB58+CARGA_DIARIA!AC58+CARGA_DIARIA!AD58+CARGA_DIARIA!AE58))</f>
        <v>16201307.3977383</v>
      </c>
      <c r="F58" s="50" t="s">
        <v>146</v>
      </c>
      <c r="G58" s="50" t="s">
        <v>146</v>
      </c>
      <c r="H58" s="49" t="n">
        <f aca="false">IF(CARGA_DIARIA!A58="","",C58-D58-E58)</f>
        <v>14955457.3404999</v>
      </c>
    </row>
    <row r="59" customFormat="false" ht="15.75" hidden="false" customHeight="true" outlineLevel="0" collapsed="false">
      <c r="A59" s="44" t="n">
        <f aca="false">IF(CARGA_DIARIA!A59="","",CARGA_DIARIA!A59)</f>
        <v>46112</v>
      </c>
      <c r="B59" s="45" t="n">
        <f aca="false">IF(CARGA_DIARIA!A59="","",CARGA_DIARIA!B59)</f>
        <v>1371.5</v>
      </c>
      <c r="C59" s="46" t="n">
        <f aca="false"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</v>
      </c>
      <c r="D59" s="47" t="n">
        <f aca="false"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</v>
      </c>
      <c r="E59" s="47" t="n">
        <f aca="false">IF(CARGA_DIARIA!A59="","",IF(CARGA_DIARIA!B59=0,0,(CARGA_DIARIA!X59+CARGA_DIARIA!Y59+CARGA_DIARIA!Z59+CARGA_DIARIA!AA59)/CARGA_DIARIA!B59+CARGA_DIARIA!AB59+CARGA_DIARIA!AC59+CARGA_DIARIA!AD59+CARGA_DIARIA!AE59))</f>
        <v>15646544.2216683</v>
      </c>
      <c r="F59" s="50" t="s">
        <v>146</v>
      </c>
      <c r="G59" s="50" t="s">
        <v>146</v>
      </c>
      <c r="H59" s="49" t="n">
        <f aca="false">IF(CARGA_DIARIA!A59="","",C59-D59-E59)</f>
        <v>11979978.1780684</v>
      </c>
    </row>
    <row r="60" customFormat="false" ht="15.75" hidden="false" customHeight="true" outlineLevel="0" collapsed="false">
      <c r="A60" s="44" t="n">
        <f aca="false">IF(CARGA_DIARIA!A60="","",CARGA_DIARIA!A60)</f>
        <v>46118</v>
      </c>
      <c r="B60" s="45" t="n">
        <f aca="false">IF(CARGA_DIARIA!A60="","",CARGA_DIARIA!B60)</f>
        <v>1383</v>
      </c>
      <c r="C60" s="46" t="n">
        <f aca="false"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29818021.6836779</v>
      </c>
      <c r="D60" s="47" t="n">
        <f aca="false"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</v>
      </c>
      <c r="E60" s="47" t="n">
        <f aca="false">IF(CARGA_DIARIA!A60="","",IF(CARGA_DIARIA!B60=0,0,(CARGA_DIARIA!X60+CARGA_DIARIA!Y60+CARGA_DIARIA!Z60+CARGA_DIARIA!AA60)/CARGA_DIARIA!B60+CARGA_DIARIA!AB60+CARGA_DIARIA!AC60+CARGA_DIARIA!AD60+CARGA_DIARIA!AE60))</f>
        <v>18069510.3584222</v>
      </c>
      <c r="F60" s="50" t="s">
        <v>146</v>
      </c>
      <c r="G60" s="50" t="s">
        <v>146</v>
      </c>
      <c r="H60" s="49" t="n">
        <f aca="false">IF(CARGA_DIARIA!A60="","",C60-D60-E60)</f>
        <v>11401799.1394277</v>
      </c>
    </row>
    <row r="61" customFormat="false" ht="15.75" hidden="false" customHeight="true" outlineLevel="0" collapsed="false">
      <c r="A61" s="44" t="n">
        <f aca="false">IF(CARGA_DIARIA!A61="","",CARGA_DIARIA!A61)</f>
        <v>46119</v>
      </c>
      <c r="B61" s="45" t="n">
        <f aca="false">IF(CARGA_DIARIA!A61="","",CARGA_DIARIA!B61)</f>
        <v>1382</v>
      </c>
      <c r="C61" s="46" t="n">
        <f aca="false"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</v>
      </c>
      <c r="D61" s="47" t="n">
        <f aca="false"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500671.973950796</v>
      </c>
      <c r="E61" s="47" t="n">
        <f aca="false">IF(CARGA_DIARIA!A61="","",IF(CARGA_DIARIA!B61=0,0,(CARGA_DIARIA!X61+CARGA_DIARIA!Y61+CARGA_DIARIA!Z61+CARGA_DIARIA!AA61)/CARGA_DIARIA!B61+CARGA_DIARIA!AB61+CARGA_DIARIA!AC61+CARGA_DIARIA!AD61+CARGA_DIARIA!AE61))</f>
        <v>18086188.046005</v>
      </c>
      <c r="F61" s="50" t="s">
        <v>146</v>
      </c>
      <c r="G61" s="50" t="s">
        <v>146</v>
      </c>
      <c r="H61" s="49" t="n">
        <f aca="false">IF(CARGA_DIARIA!A61="","",C61-D61-E61)</f>
        <v>11095639.5354472</v>
      </c>
    </row>
    <row r="62" customFormat="false" ht="15.75" hidden="false" customHeight="true" outlineLevel="0" collapsed="false">
      <c r="A62" s="44" t="n">
        <f aca="false">IF(CARGA_DIARIA!A62="","",CARGA_DIARIA!A62)</f>
        <v>46120</v>
      </c>
      <c r="B62" s="45" t="n">
        <f aca="false">IF(CARGA_DIARIA!A62="","",CARGA_DIARIA!B62)</f>
        <v>1382.5</v>
      </c>
      <c r="C62" s="46" t="n">
        <f aca="false"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</v>
      </c>
      <c r="D62" s="47" t="n">
        <f aca="false"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449602.83761302</v>
      </c>
      <c r="E62" s="47" t="n">
        <f aca="false">IF(CARGA_DIARIA!A62="","",IF(CARGA_DIARIA!B62=0,0,(CARGA_DIARIA!X62+CARGA_DIARIA!Y62+CARGA_DIARIA!Z62+CARGA_DIARIA!AA62)/CARGA_DIARIA!B62+CARGA_DIARIA!AB62+CARGA_DIARIA!AC62+CARGA_DIARIA!AD62+CARGA_DIARIA!AE62))</f>
        <v>18070334.3313841</v>
      </c>
      <c r="F62" s="50" t="s">
        <v>146</v>
      </c>
      <c r="G62" s="50" t="s">
        <v>146</v>
      </c>
      <c r="H62" s="49" t="n">
        <f aca="false">IF(CARGA_DIARIA!A62="","",C62-D62-E62)</f>
        <v>11126010.3882877</v>
      </c>
    </row>
    <row r="63" customFormat="false" ht="15.75" hidden="false" customHeight="true" outlineLevel="0" collapsed="false">
      <c r="A63" s="44" t="n">
        <f aca="false">IF(CARGA_DIARIA!A63="","",CARGA_DIARIA!A63)</f>
        <v>46121</v>
      </c>
      <c r="B63" s="45" t="n">
        <f aca="false">IF(CARGA_DIARIA!A63="","",CARGA_DIARIA!B63)</f>
        <v>1382.5</v>
      </c>
      <c r="C63" s="46" t="n">
        <f aca="false"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</v>
      </c>
      <c r="D63" s="47" t="n">
        <f aca="false"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851780.411573237</v>
      </c>
      <c r="E63" s="47" t="n">
        <f aca="false">IF(CARGA_DIARIA!A63="","",IF(CARGA_DIARIA!B63=0,0,(CARGA_DIARIA!X63+CARGA_DIARIA!Y63+CARGA_DIARIA!Z63+CARGA_DIARIA!AA63)/CARGA_DIARIA!B63+CARGA_DIARIA!AB63+CARGA_DIARIA!AC63+CARGA_DIARIA!AD63+CARGA_DIARIA!AE63))</f>
        <v>17228102.5758687</v>
      </c>
      <c r="F63" s="50" t="s">
        <v>146</v>
      </c>
      <c r="G63" s="50" t="s">
        <v>146</v>
      </c>
      <c r="H63" s="49" t="n">
        <f aca="false">IF(CARGA_DIARIA!A63="","",C63-D63-E63)</f>
        <v>13224406.6726024</v>
      </c>
    </row>
    <row r="64" customFormat="false" ht="15.75" hidden="false" customHeight="true" outlineLevel="0" collapsed="false">
      <c r="A64" s="44" t="n">
        <f aca="false">IF(CARGA_DIARIA!A64="","",CARGA_DIARIA!A64)</f>
        <v>46122</v>
      </c>
      <c r="B64" s="45" t="n">
        <f aca="false">IF(CARGA_DIARIA!A64="","",CARGA_DIARIA!B64)</f>
        <v>1382</v>
      </c>
      <c r="C64" s="46" t="n">
        <f aca="false"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47" t="n">
        <f aca="false"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652295.80463097</v>
      </c>
      <c r="E64" s="47" t="n">
        <f aca="false">IF(CARGA_DIARIA!A64="","",IF(CARGA_DIARIA!B64=0,0,(CARGA_DIARIA!X64+CARGA_DIARIA!Y64+CARGA_DIARIA!Z64+CARGA_DIARIA!AA64)/CARGA_DIARIA!B64+CARGA_DIARIA!AB64+CARGA_DIARIA!AC64+CARGA_DIARIA!AD64+CARGA_DIARIA!AE64))</f>
        <v>17592642.0879732</v>
      </c>
      <c r="F64" s="50" t="s">
        <v>146</v>
      </c>
      <c r="G64" s="50" t="s">
        <v>146</v>
      </c>
      <c r="H64" s="49" t="n">
        <f aca="false">IF(CARGA_DIARIA!A64="","",C64-D64-E64)</f>
        <v>15077311.2220369</v>
      </c>
    </row>
    <row r="65" customFormat="false" ht="15.75" hidden="false" customHeight="true" outlineLevel="0" collapsed="false">
      <c r="A65" s="44" t="n">
        <f aca="false">IF(CARGA_DIARIA!A65="","",CARGA_DIARIA!A65)</f>
        <v>46125</v>
      </c>
      <c r="B65" s="45" t="n">
        <f aca="false">IF(CARGA_DIARIA!A65="","",CARGA_DIARIA!B65)</f>
        <v>1371.5</v>
      </c>
      <c r="C65" s="46" t="n">
        <f aca="false"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32303752.6733179</v>
      </c>
      <c r="D65" s="47" t="n">
        <f aca="false"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501671.811884798</v>
      </c>
      <c r="E65" s="47" t="n">
        <f aca="false">IF(CARGA_DIARIA!A65="","",IF(CARGA_DIARIA!B65=0,0,(CARGA_DIARIA!X65+CARGA_DIARIA!Y65+CARGA_DIARIA!Z65+CARGA_DIARIA!AA65)/CARGA_DIARIA!B65+CARGA_DIARIA!AB65+CARGA_DIARIA!AC65+CARGA_DIARIA!AD65+CARGA_DIARIA!AE65))</f>
        <v>17234586.9965948</v>
      </c>
      <c r="F65" s="50" t="s">
        <v>146</v>
      </c>
      <c r="G65" s="50" t="s">
        <v>146</v>
      </c>
      <c r="H65" s="49" t="n">
        <f aca="false">IF(CARGA_DIARIA!A65="","",C65-D65-E65)</f>
        <v>14567493.8648383</v>
      </c>
    </row>
    <row r="66" customFormat="false" ht="15.75" hidden="false" customHeight="true" outlineLevel="0" collapsed="false">
      <c r="A66" s="44" t="n">
        <f aca="false">IF(CARGA_DIARIA!A66="","",CARGA_DIARIA!A66)</f>
        <v>46126</v>
      </c>
      <c r="B66" s="45" t="n">
        <f aca="false">IF(CARGA_DIARIA!A66="","",CARGA_DIARIA!B66)</f>
        <v>1360</v>
      </c>
      <c r="C66" s="46" t="n">
        <f aca="false"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</v>
      </c>
      <c r="D66" s="47" t="n">
        <f aca="false"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548351.735294118</v>
      </c>
      <c r="E66" s="47" t="n">
        <f aca="false">IF(CARGA_DIARIA!A66="","",IF(CARGA_DIARIA!B66=0,0,(CARGA_DIARIA!X66+CARGA_DIARIA!Y66+CARGA_DIARIA!Z66+CARGA_DIARIA!AA66)/CARGA_DIARIA!B66+CARGA_DIARIA!AB66+CARGA_DIARIA!AC66+CARGA_DIARIA!AD66+CARGA_DIARIA!AE66))</f>
        <v>17569361.4168836</v>
      </c>
      <c r="F66" s="50" t="s">
        <v>146</v>
      </c>
      <c r="G66" s="50" t="s">
        <v>146</v>
      </c>
      <c r="H66" s="49" t="n">
        <f aca="false">IF(CARGA_DIARIA!A66="","",C66-D66-E66)</f>
        <v>13346685.8933517</v>
      </c>
    </row>
    <row r="67" customFormat="false" ht="15.75" hidden="false" customHeight="true" outlineLevel="0" collapsed="false">
      <c r="A67" s="44" t="n">
        <f aca="false">IF(CARGA_DIARIA!A67="","",CARGA_DIARIA!A67)</f>
        <v>46127</v>
      </c>
      <c r="B67" s="45" t="n">
        <f aca="false">IF(CARGA_DIARIA!A67="","",CARGA_DIARIA!B67)</f>
        <v>1352</v>
      </c>
      <c r="C67" s="46" t="n">
        <f aca="false"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</v>
      </c>
      <c r="D67" s="47" t="n">
        <f aca="false"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370944.909023669</v>
      </c>
      <c r="E67" s="47" t="n">
        <f aca="false">IF(CARGA_DIARIA!A67="","",IF(CARGA_DIARIA!B67=0,0,(CARGA_DIARIA!X67+CARGA_DIARIA!Y67+CARGA_DIARIA!Z67+CARGA_DIARIA!AA67)/CARGA_DIARIA!B67+CARGA_DIARIA!AB67+CARGA_DIARIA!AC67+CARGA_DIARIA!AD67+CARGA_DIARIA!AE67))</f>
        <v>17299470.3579956</v>
      </c>
      <c r="F67" s="50" t="s">
        <v>146</v>
      </c>
      <c r="G67" s="50" t="s">
        <v>146</v>
      </c>
      <c r="H67" s="49" t="n">
        <f aca="false">IF(CARGA_DIARIA!A67="","",C67-D67-E67)</f>
        <v>12921703.5134719</v>
      </c>
    </row>
    <row r="68" customFormat="false" ht="15.75" hidden="false" customHeight="true" outlineLevel="0" collapsed="false">
      <c r="A68" s="44" t="n">
        <f aca="false">IF(CARGA_DIARIA!A68="","",CARGA_DIARIA!A68)</f>
        <v>46128</v>
      </c>
      <c r="B68" s="45" t="n">
        <f aca="false">IF(CARGA_DIARIA!A68="","",CARGA_DIARIA!B68)</f>
        <v>1360</v>
      </c>
      <c r="C68" s="46" t="n">
        <f aca="false"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30406610.1408824</v>
      </c>
      <c r="D68" s="47" t="n">
        <f aca="false"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</v>
      </c>
      <c r="E68" s="47" t="n">
        <f aca="false">IF(CARGA_DIARIA!A68="","",IF(CARGA_DIARIA!B68=0,0,(CARGA_DIARIA!X68+CARGA_DIARIA!Y68+CARGA_DIARIA!Z68+CARGA_DIARIA!AA68)/CARGA_DIARIA!B68+CARGA_DIARIA!AB68+CARGA_DIARIA!AC68+CARGA_DIARIA!AD68+CARGA_DIARIA!AE68))</f>
        <v>17545112.7126189</v>
      </c>
      <c r="F68" s="50" t="s">
        <v>146</v>
      </c>
      <c r="G68" s="50" t="s">
        <v>146</v>
      </c>
      <c r="H68" s="49" t="n">
        <f aca="false">IF(CARGA_DIARIA!A68="","",C68-D68-E68)</f>
        <v>12648661.2150281</v>
      </c>
    </row>
    <row r="69" customFormat="false" ht="15.75" hidden="false" customHeight="true" outlineLevel="0" collapsed="false">
      <c r="A69" s="44" t="n">
        <f aca="false">IF(CARGA_DIARIA!A69="","",CARGA_DIARIA!A69)</f>
        <v>46129</v>
      </c>
      <c r="B69" s="45" t="n">
        <f aca="false">IF(CARGA_DIARIA!A69="","",CARGA_DIARIA!B69)</f>
        <v>1350.5</v>
      </c>
      <c r="C69" s="46" t="n">
        <f aca="false"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</v>
      </c>
      <c r="D69" s="47" t="n">
        <f aca="false"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373310.607922992</v>
      </c>
      <c r="E69" s="47" t="n">
        <f aca="false">IF(CARGA_DIARIA!A69="","",IF(CARGA_DIARIA!B69=0,0,(CARGA_DIARIA!X69+CARGA_DIARIA!Y69+CARGA_DIARIA!Z69+CARGA_DIARIA!AA69)/CARGA_DIARIA!B69+CARGA_DIARIA!AB69+CARGA_DIARIA!AC69+CARGA_DIARIA!AD69+CARGA_DIARIA!AE69))</f>
        <v>16794061.5148401</v>
      </c>
      <c r="F69" s="50" t="s">
        <v>146</v>
      </c>
      <c r="G69" s="50" t="s">
        <v>146</v>
      </c>
      <c r="H69" s="49" t="n">
        <f aca="false">IF(CARGA_DIARIA!A69="","",C69-D69-E69)</f>
        <v>12628684.6780548</v>
      </c>
    </row>
    <row r="70" customFormat="false" ht="15.75" hidden="false" customHeight="true" outlineLevel="0" collapsed="false">
      <c r="A70" s="44" t="n">
        <f aca="false">IF(CARGA_DIARIA!A70="","",CARGA_DIARIA!A70)</f>
        <v>46132</v>
      </c>
      <c r="B70" s="45" t="n">
        <f aca="false">IF(CARGA_DIARIA!A70="","",CARGA_DIARIA!B70)</f>
        <v>1355.5</v>
      </c>
      <c r="C70" s="46" t="n">
        <f aca="false"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30633760.1263368</v>
      </c>
      <c r="D70" s="47" t="n">
        <f aca="false"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</v>
      </c>
      <c r="E70" s="47" t="n">
        <f aca="false">IF(CARGA_DIARIA!A70="","",IF(CARGA_DIARIA!B70=0,0,(CARGA_DIARIA!X70+CARGA_DIARIA!Y70+CARGA_DIARIA!Z70+CARGA_DIARIA!AA70)/CARGA_DIARIA!B70+CARGA_DIARIA!AB70+CARGA_DIARIA!AC70+CARGA_DIARIA!AD70+CARGA_DIARIA!AE70))</f>
        <v>16491724.4824687</v>
      </c>
      <c r="F70" s="50" t="s">
        <v>146</v>
      </c>
      <c r="G70" s="50" t="s">
        <v>146</v>
      </c>
      <c r="H70" s="49" t="n">
        <f aca="false">IF(CARGA_DIARIA!A70="","",C70-D70-E70)</f>
        <v>13734825.8393679</v>
      </c>
    </row>
    <row r="71" customFormat="false" ht="15.75" hidden="false" customHeight="true" outlineLevel="0" collapsed="false">
      <c r="A71" s="44" t="n">
        <f aca="false">IF(CARGA_DIARIA!A71="","",CARGA_DIARIA!A71)</f>
        <v>46133</v>
      </c>
      <c r="B71" s="45" t="n">
        <f aca="false">IF(CARGA_DIARIA!A71="","",CARGA_DIARIA!B71)</f>
        <v>1372</v>
      </c>
      <c r="C71" s="46" t="n">
        <f aca="false"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31326551.672226</v>
      </c>
      <c r="D71" s="47" t="n">
        <f aca="false"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</v>
      </c>
      <c r="E71" s="47" t="n">
        <f aca="false">IF(CARGA_DIARIA!A71="","",IF(CARGA_DIARIA!B71=0,0,(CARGA_DIARIA!X71+CARGA_DIARIA!Y71+CARGA_DIARIA!Z71+CARGA_DIARIA!AA71)/CARGA_DIARIA!B71+CARGA_DIARIA!AB71+CARGA_DIARIA!AC71+CARGA_DIARIA!AD71+CARGA_DIARIA!AE71))</f>
        <v>15861252.2980913</v>
      </c>
      <c r="F71" s="50" t="s">
        <v>146</v>
      </c>
      <c r="G71" s="50" t="s">
        <v>146</v>
      </c>
      <c r="H71" s="49" t="n">
        <f aca="false">IF(CARGA_DIARIA!A71="","",C71-D71-E71)</f>
        <v>15008627.2735515</v>
      </c>
    </row>
    <row r="72" customFormat="false" ht="15.75" hidden="false" customHeight="true" outlineLevel="0" collapsed="false">
      <c r="A72" s="44" t="n">
        <f aca="false">IF(CARGA_DIARIA!A72="","",CARGA_DIARIA!A72)</f>
        <v>46134</v>
      </c>
      <c r="B72" s="45" t="n">
        <f aca="false">IF(CARGA_DIARIA!A72="","",CARGA_DIARIA!B72)</f>
        <v>1377</v>
      </c>
      <c r="C72" s="46" t="n">
        <f aca="false"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31313544.7985857</v>
      </c>
      <c r="D72" s="47" t="n">
        <f aca="false"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380712.602033406</v>
      </c>
      <c r="E72" s="47" t="n">
        <f aca="false">IF(CARGA_DIARIA!A72="","",IF(CARGA_DIARIA!B72=0,0,(CARGA_DIARIA!X72+CARGA_DIARIA!Y72+CARGA_DIARIA!Z72+CARGA_DIARIA!AA72)/CARGA_DIARIA!B72+CARGA_DIARIA!AB72+CARGA_DIARIA!AC72+CARGA_DIARIA!AD72+CARGA_DIARIA!AE72))</f>
        <v>15628591.8409631</v>
      </c>
      <c r="F72" s="50" t="s">
        <v>146</v>
      </c>
      <c r="G72" s="50" t="s">
        <v>146</v>
      </c>
      <c r="H72" s="49" t="n">
        <f aca="false">IF(CARGA_DIARIA!A72="","",C72-D72-E72)</f>
        <v>15304240.3555892</v>
      </c>
    </row>
    <row r="73" customFormat="false" ht="15.75" hidden="false" customHeight="true" outlineLevel="0" collapsed="false">
      <c r="A73" s="44" t="n">
        <f aca="false">IF(CARGA_DIARIA!A73="","",CARGA_DIARIA!A73)</f>
        <v>46135</v>
      </c>
      <c r="B73" s="45" t="n">
        <f aca="false">IF(CARGA_DIARIA!A73="","",CARGA_DIARIA!B73)</f>
        <v>1373.5</v>
      </c>
      <c r="C73" s="46" t="n">
        <f aca="false"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</v>
      </c>
      <c r="D73" s="47" t="n">
        <f aca="false"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</v>
      </c>
      <c r="E73" s="47" t="n">
        <f aca="false">IF(CARGA_DIARIA!A73="","",IF(CARGA_DIARIA!B73=0,0,(CARGA_DIARIA!X73+CARGA_DIARIA!Y73+CARGA_DIARIA!Z73+CARGA_DIARIA!AA73)/CARGA_DIARIA!B73+CARGA_DIARIA!AB73+CARGA_DIARIA!AC73+CARGA_DIARIA!AD73+CARGA_DIARIA!AE73))</f>
        <v>15533765.1295877</v>
      </c>
      <c r="F73" s="50" t="s">
        <v>146</v>
      </c>
      <c r="G73" s="50" t="s">
        <v>146</v>
      </c>
      <c r="H73" s="49" t="n">
        <f aca="false">IF(CARGA_DIARIA!A73="","",C73-D73-E73)</f>
        <v>15479928.4466756</v>
      </c>
    </row>
    <row r="74" customFormat="false" ht="15.75" hidden="false" customHeight="true" outlineLevel="0" collapsed="false">
      <c r="A74" s="44" t="n">
        <f aca="false">IF(CARGA_DIARIA!A74="","",CARGA_DIARIA!A74)</f>
        <v>46136</v>
      </c>
      <c r="B74" s="45" t="n">
        <f aca="false">IF(CARGA_DIARIA!A74="","",CARGA_DIARIA!B74)</f>
        <v>1382</v>
      </c>
      <c r="C74" s="46" t="n">
        <f aca="false"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</v>
      </c>
      <c r="D74" s="47" t="n">
        <f aca="false"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186506.438494935</v>
      </c>
      <c r="E74" s="47" t="n">
        <f aca="false">IF(CARGA_DIARIA!A74="","",IF(CARGA_DIARIA!B74=0,0,(CARGA_DIARIA!X74+CARGA_DIARIA!Y74+CARGA_DIARIA!Z74+CARGA_DIARIA!AA74)/CARGA_DIARIA!B74+CARGA_DIARIA!AB74+CARGA_DIARIA!AC74+CARGA_DIARIA!AD74+CARGA_DIARIA!AE74))</f>
        <v>15827018.9100282</v>
      </c>
      <c r="F74" s="50" t="s">
        <v>146</v>
      </c>
      <c r="G74" s="50" t="s">
        <v>146</v>
      </c>
      <c r="H74" s="49" t="n">
        <f aca="false">IF(CARGA_DIARIA!A74="","",C74-D74-E74)</f>
        <v>16150389.8342012</v>
      </c>
    </row>
    <row r="75" customFormat="false" ht="15.75" hidden="false" customHeight="true" outlineLevel="0" collapsed="false">
      <c r="A75" s="44" t="n">
        <f aca="false">IF(CARGA_DIARIA!A75="","",CARGA_DIARIA!A75)</f>
        <v>46139</v>
      </c>
      <c r="B75" s="45" t="n">
        <f aca="false">IF(CARGA_DIARIA!A75="","",CARGA_DIARIA!B75)</f>
        <v>1392</v>
      </c>
      <c r="C75" s="46" t="n">
        <f aca="false"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34464578.3595805</v>
      </c>
      <c r="D75" s="47" t="n">
        <f aca="false"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</v>
      </c>
      <c r="E75" s="47" t="n">
        <f aca="false">IF(CARGA_DIARIA!A75="","",IF(CARGA_DIARIA!B75=0,0,(CARGA_DIARIA!X75+CARGA_DIARIA!Y75+CARGA_DIARIA!Z75+CARGA_DIARIA!AA75)/CARGA_DIARIA!B75+CARGA_DIARIA!AB75+CARGA_DIARIA!AC75+CARGA_DIARIA!AD75+CARGA_DIARIA!AE75))</f>
        <v>16215558.7940004</v>
      </c>
      <c r="F75" s="50" t="s">
        <v>146</v>
      </c>
      <c r="G75" s="50" t="s">
        <v>146</v>
      </c>
      <c r="H75" s="49" t="n">
        <f aca="false">IF(CARGA_DIARIA!A75="","",C75-D75-E75)</f>
        <v>18054693.7020743</v>
      </c>
    </row>
    <row r="76" customFormat="false" ht="15.75" hidden="false" customHeight="true" outlineLevel="0" collapsed="false">
      <c r="A76" s="44" t="n">
        <f aca="false">IF(CARGA_DIARIA!A76="","",CARGA_DIARIA!A76)</f>
        <v>46140</v>
      </c>
      <c r="B76" s="45" t="n">
        <f aca="false">IF(CARGA_DIARIA!A76="","",CARGA_DIARIA!B76)</f>
        <v>1406</v>
      </c>
      <c r="C76" s="46" t="n">
        <f aca="false"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34372247.797803</v>
      </c>
      <c r="D76" s="47" t="n">
        <f aca="false"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203321.107396871</v>
      </c>
      <c r="E76" s="47" t="n">
        <f aca="false">IF(CARGA_DIARIA!A76="","",IF(CARGA_DIARIA!B76=0,0,(CARGA_DIARIA!X76+CARGA_DIARIA!Y76+CARGA_DIARIA!Z76+CARGA_DIARIA!AA76)/CARGA_DIARIA!B76+CARGA_DIARIA!AB76+CARGA_DIARIA!AC76+CARGA_DIARIA!AD76+CARGA_DIARIA!AE76))</f>
        <v>16075727.0192561</v>
      </c>
      <c r="F76" s="50" t="s">
        <v>146</v>
      </c>
      <c r="G76" s="50" t="s">
        <v>146</v>
      </c>
      <c r="H76" s="49" t="n">
        <f aca="false">IF(CARGA_DIARIA!A76="","",C76-D76-E76)</f>
        <v>18093199.67115</v>
      </c>
    </row>
    <row r="77" customFormat="false" ht="15.75" hidden="false" customHeight="true" outlineLevel="0" collapsed="false">
      <c r="A77" s="44" t="n">
        <f aca="false">IF(CARGA_DIARIA!A77="","",CARGA_DIARIA!A77)</f>
        <v>46141</v>
      </c>
      <c r="B77" s="45" t="n">
        <f aca="false">IF(CARGA_DIARIA!A77="","",CARGA_DIARIA!B77)</f>
        <v>1400</v>
      </c>
      <c r="C77" s="46" t="n">
        <f aca="false"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</v>
      </c>
      <c r="D77" s="47" t="n">
        <f aca="false"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</v>
      </c>
      <c r="E77" s="47" t="n">
        <f aca="false">IF(CARGA_DIARIA!A77="","",IF(CARGA_DIARIA!B77=0,0,(CARGA_DIARIA!X77+CARGA_DIARIA!Y77+CARGA_DIARIA!Z77+CARGA_DIARIA!AA77)/CARGA_DIARIA!B77+CARGA_DIARIA!AB77+CARGA_DIARIA!AC77+CARGA_DIARIA!AD77+CARGA_DIARIA!AE77))</f>
        <v>16322053.9755145</v>
      </c>
      <c r="F77" s="50" t="s">
        <v>146</v>
      </c>
      <c r="G77" s="50" t="s">
        <v>146</v>
      </c>
      <c r="H77" s="49" t="n">
        <f aca="false">IF(CARGA_DIARIA!A77="","",C77-D77-E77)</f>
        <v>17723700.394414</v>
      </c>
    </row>
    <row r="78" customFormat="false" ht="15.75" hidden="false" customHeight="true" outlineLevel="0" collapsed="false">
      <c r="A78" s="44" t="n">
        <f aca="false">IF(CARGA_DIARIA!A78="","",CARGA_DIARIA!A78)</f>
        <v>46142</v>
      </c>
      <c r="B78" s="45" t="n">
        <f aca="false">IF(CARGA_DIARIA!A78="","",CARGA_DIARIA!B78)</f>
        <v>1400</v>
      </c>
      <c r="C78" s="46" t="n">
        <f aca="false"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</v>
      </c>
      <c r="D78" s="47" t="n">
        <f aca="false"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385509.938571429</v>
      </c>
      <c r="E78" s="47" t="n">
        <f aca="false">IF(CARGA_DIARIA!A78="","",IF(CARGA_DIARIA!B78=0,0,(CARGA_DIARIA!X78+CARGA_DIARIA!Y78+CARGA_DIARIA!Z78+CARGA_DIARIA!AA78)/CARGA_DIARIA!B78+CARGA_DIARIA!AB78+CARGA_DIARIA!AC78+CARGA_DIARIA!AD78+CARGA_DIARIA!AE78))</f>
        <v>17256541.0283717</v>
      </c>
      <c r="F78" s="50" t="s">
        <v>146</v>
      </c>
      <c r="G78" s="50" t="s">
        <v>146</v>
      </c>
      <c r="H78" s="49" t="n">
        <f aca="false">IF(CARGA_DIARIA!A78="","",C78-D78-E78)</f>
        <v>8335026.10584261</v>
      </c>
    </row>
    <row r="79" customFormat="false" ht="15.75" hidden="false" customHeight="true" outlineLevel="0" collapsed="false">
      <c r="A79" s="44" t="n">
        <f aca="false">IF(CARGA_DIARIA!A79="","",CARGA_DIARIA!A79)</f>
        <v>46146</v>
      </c>
      <c r="B79" s="45" t="n">
        <f aca="false">IF(CARGA_DIARIA!A79="","",CARGA_DIARIA!B79)</f>
        <v>1375</v>
      </c>
      <c r="C79" s="46" t="n">
        <f aca="false"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</v>
      </c>
      <c r="D79" s="47" t="n">
        <f aca="false"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435710.166545455</v>
      </c>
      <c r="E79" s="47" t="n">
        <f aca="false">IF(CARGA_DIARIA!A79="","",IF(CARGA_DIARIA!B79=0,0,(CARGA_DIARIA!X79+CARGA_DIARIA!Y79+CARGA_DIARIA!Z79+CARGA_DIARIA!AA79)/CARGA_DIARIA!B79+CARGA_DIARIA!AB79+CARGA_DIARIA!AC79+CARGA_DIARIA!AD79+CARGA_DIARIA!AE79))</f>
        <v>17079362.6819972</v>
      </c>
      <c r="F79" s="50" t="s">
        <v>146</v>
      </c>
      <c r="G79" s="50" t="s">
        <v>146</v>
      </c>
      <c r="H79" s="49" t="n">
        <f aca="false">IF(CARGA_DIARIA!A79="","",C79-D79-E79)</f>
        <v>8169869.87104821</v>
      </c>
    </row>
    <row r="80" customFormat="false" ht="15.75" hidden="false" customHeight="true" outlineLevel="0" collapsed="false">
      <c r="A80" s="44" t="n">
        <f aca="false">IF(CARGA_DIARIA!A80="","",CARGA_DIARIA!A80)</f>
        <v>46147</v>
      </c>
      <c r="B80" s="45" t="n">
        <f aca="false">IF(CARGA_DIARIA!A80="","",CARGA_DIARIA!B80)</f>
        <v>1396.5</v>
      </c>
      <c r="C80" s="46" t="n">
        <f aca="false"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</v>
      </c>
      <c r="D80" s="47" t="n">
        <f aca="false"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</v>
      </c>
      <c r="E80" s="47" t="n">
        <f aca="false">IF(CARGA_DIARIA!A80="","",IF(CARGA_DIARIA!B80=0,0,(CARGA_DIARIA!X80+CARGA_DIARIA!Y80+CARGA_DIARIA!Z80+CARGA_DIARIA!AA80)/CARGA_DIARIA!B80+CARGA_DIARIA!AB80+CARGA_DIARIA!AC80+CARGA_DIARIA!AD80+CARGA_DIARIA!AE80))</f>
        <v>18449996.0270841</v>
      </c>
      <c r="F80" s="50" t="s">
        <v>146</v>
      </c>
      <c r="G80" s="50" t="s">
        <v>146</v>
      </c>
      <c r="H80" s="49" t="n">
        <f aca="false">IF(CARGA_DIARIA!A80="","",C80-D80-E80)</f>
        <v>7219948.63810403</v>
      </c>
    </row>
    <row r="81" customFormat="false" ht="15.75" hidden="false" customHeight="true" outlineLevel="0" collapsed="false">
      <c r="A81" s="44" t="n">
        <f aca="false">IF(CARGA_DIARIA!A81="","",CARGA_DIARIA!A81)</f>
        <v>46148</v>
      </c>
      <c r="B81" s="45" t="n">
        <f aca="false">IF(CARGA_DIARIA!A81="","",CARGA_DIARIA!B81)</f>
        <v>1394</v>
      </c>
      <c r="C81" s="46" t="n">
        <f aca="false"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26967199.6454405</v>
      </c>
      <c r="D81" s="47" t="n">
        <f aca="false"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</v>
      </c>
      <c r="E81" s="47" t="n">
        <f aca="false">IF(CARGA_DIARIA!A81="","",IF(CARGA_DIARIA!B81=0,0,(CARGA_DIARIA!X81+CARGA_DIARIA!Y81+CARGA_DIARIA!Z81+CARGA_DIARIA!AA81)/CARGA_DIARIA!B81+CARGA_DIARIA!AB81+CARGA_DIARIA!AC81+CARGA_DIARIA!AD81+CARGA_DIARIA!AE81))</f>
        <v>18836188.2572529</v>
      </c>
      <c r="F81" s="50" t="s">
        <v>146</v>
      </c>
      <c r="G81" s="50" t="s">
        <v>146</v>
      </c>
      <c r="H81" s="49" t="n">
        <f aca="false">IF(CARGA_DIARIA!A81="","",C81-D81-E81)</f>
        <v>7725852.1428504</v>
      </c>
    </row>
    <row r="82" customFormat="false" ht="15.75" hidden="false" customHeight="true" outlineLevel="0" collapsed="false">
      <c r="A82" s="44" t="n">
        <f aca="false">IF(CARGA_DIARIA!A82="","",CARGA_DIARIA!A82)</f>
        <v>46149</v>
      </c>
      <c r="B82" s="45" t="n">
        <f aca="false">IF(CARGA_DIARIA!A82="","",CARGA_DIARIA!B82)</f>
        <v>1400</v>
      </c>
      <c r="C82" s="46" t="n">
        <f aca="false"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20573917.319</v>
      </c>
      <c r="D82" s="47" t="n">
        <f aca="false"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47" t="n">
        <f aca="false">IF(CARGA_DIARIA!A82="","",IF(CARGA_DIARIA!B82=0,0,(CARGA_DIARIA!X82+CARGA_DIARIA!Y82+CARGA_DIARIA!Z82+CARGA_DIARIA!AA82)/CARGA_DIARIA!B82+CARGA_DIARIA!AB82+CARGA_DIARIA!AC82+CARGA_DIARIA!AD82+CARGA_DIARIA!AE82))</f>
        <v>18839460.7110074</v>
      </c>
      <c r="F82" s="50" t="s">
        <v>146</v>
      </c>
      <c r="G82" s="50" t="s">
        <v>146</v>
      </c>
      <c r="H82" s="49" t="n">
        <f aca="false">IF(CARGA_DIARIA!A82="","",C82-D82-E82)</f>
        <v>1734456.60799261</v>
      </c>
    </row>
    <row r="83" customFormat="false" ht="15.75" hidden="false" customHeight="true" outlineLevel="0" collapsed="false">
      <c r="A83" s="44" t="str">
        <f aca="false">IF(CARGA_DIARIA!A83="","",CARGA_DIARIA!A83)</f>
        <v/>
      </c>
      <c r="B83" s="45" t="str">
        <f aca="false">IF(CARGA_DIARIA!A83="","",CARGA_DIARIA!B83)</f>
        <v/>
      </c>
      <c r="C83" s="46" t="str">
        <f aca="false"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/>
      </c>
      <c r="D83" s="47" t="str">
        <f aca="false"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/>
      </c>
      <c r="E83" s="47" t="str">
        <f aca="false">IF(CARGA_DIARIA!A83="","",IF(CARGA_DIARIA!B83=0,0,(CARGA_DIARIA!X83+CARGA_DIARIA!Y83+CARGA_DIARIA!Z83+CARGA_DIARIA!AA83)/CARGA_DIARIA!B83+CARGA_DIARIA!AB83+CARGA_DIARIA!AC83+CARGA_DIARIA!AD83+CARGA_DIARIA!AE83))</f>
        <v/>
      </c>
      <c r="F83" s="50" t="s">
        <v>146</v>
      </c>
      <c r="G83" s="50" t="s">
        <v>146</v>
      </c>
      <c r="H83" s="49" t="str">
        <f aca="false">IF(CARGA_DIARIA!A83="","",C83-D83-E83)</f>
        <v/>
      </c>
    </row>
    <row r="84" customFormat="false" ht="15.75" hidden="false" customHeight="true" outlineLevel="0" collapsed="false">
      <c r="A84" s="44" t="str">
        <f aca="false">IF(CARGA_DIARIA!A84="","",CARGA_DIARIA!A84)</f>
        <v/>
      </c>
      <c r="B84" s="45" t="str">
        <f aca="false">IF(CARGA_DIARIA!A84="","",CARGA_DIARIA!B84)</f>
        <v/>
      </c>
      <c r="C84" s="46" t="str">
        <f aca="false"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/>
      </c>
      <c r="D84" s="47" t="str">
        <f aca="false"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/>
      </c>
      <c r="E84" s="47" t="str">
        <f aca="false">IF(CARGA_DIARIA!A84="","",IF(CARGA_DIARIA!B84=0,0,(CARGA_DIARIA!X84+CARGA_DIARIA!Y84+CARGA_DIARIA!Z84+CARGA_DIARIA!AA84)/CARGA_DIARIA!B84+CARGA_DIARIA!AB84+CARGA_DIARIA!AC84+CARGA_DIARIA!AD84+CARGA_DIARIA!AE84))</f>
        <v/>
      </c>
      <c r="F84" s="50" t="s">
        <v>146</v>
      </c>
      <c r="G84" s="50" t="s">
        <v>146</v>
      </c>
      <c r="H84" s="49" t="str">
        <f aca="false">IF(CARGA_DIARIA!A84="","",C84-D84-E84)</f>
        <v/>
      </c>
    </row>
    <row r="85" customFormat="false" ht="15.75" hidden="false" customHeight="true" outlineLevel="0" collapsed="false">
      <c r="A85" s="44" t="str">
        <f aca="false">IF(CARGA_DIARIA!A85="","",CARGA_DIARIA!A85)</f>
        <v/>
      </c>
      <c r="B85" s="45" t="str">
        <f aca="false">IF(CARGA_DIARIA!A85="","",CARGA_DIARIA!B85)</f>
        <v/>
      </c>
      <c r="C85" s="46" t="str">
        <f aca="false"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/>
      </c>
      <c r="D85" s="47" t="str">
        <f aca="false"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/>
      </c>
      <c r="E85" s="47" t="str">
        <f aca="false">IF(CARGA_DIARIA!A85="","",IF(CARGA_DIARIA!B85=0,0,(CARGA_DIARIA!X85+CARGA_DIARIA!Y85+CARGA_DIARIA!Z85+CARGA_DIARIA!AA85)/CARGA_DIARIA!B85+CARGA_DIARIA!AB85+CARGA_DIARIA!AC85+CARGA_DIARIA!AD85+CARGA_DIARIA!AE85))</f>
        <v/>
      </c>
      <c r="F85" s="50" t="s">
        <v>146</v>
      </c>
      <c r="G85" s="50" t="s">
        <v>146</v>
      </c>
      <c r="H85" s="49" t="str">
        <f aca="false">IF(CARGA_DIARIA!A85="","",C85-D85-E85)</f>
        <v/>
      </c>
    </row>
    <row r="86" customFormat="false" ht="15.75" hidden="false" customHeight="true" outlineLevel="0" collapsed="false">
      <c r="A86" s="44" t="str">
        <f aca="false">IF(CARGA_DIARIA!A86="","",CARGA_DIARIA!A86)</f>
        <v/>
      </c>
      <c r="B86" s="45" t="str">
        <f aca="false">IF(CARGA_DIARIA!A86="","",CARGA_DIARIA!B86)</f>
        <v/>
      </c>
      <c r="C86" s="46" t="str">
        <f aca="false"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/>
      </c>
      <c r="D86" s="47" t="str">
        <f aca="false"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/>
      </c>
      <c r="E86" s="47" t="str">
        <f aca="false">IF(CARGA_DIARIA!A86="","",IF(CARGA_DIARIA!B86=0,0,(CARGA_DIARIA!X86+CARGA_DIARIA!Y86+CARGA_DIARIA!Z86+CARGA_DIARIA!AA86)/CARGA_DIARIA!B86+CARGA_DIARIA!AB86+CARGA_DIARIA!AC86+CARGA_DIARIA!AD86+CARGA_DIARIA!AE86))</f>
        <v/>
      </c>
      <c r="F86" s="50" t="s">
        <v>146</v>
      </c>
      <c r="G86" s="50" t="s">
        <v>146</v>
      </c>
      <c r="H86" s="49" t="str">
        <f aca="false">IF(CARGA_DIARIA!A86="","",C86-D86-E86)</f>
        <v/>
      </c>
    </row>
    <row r="87" customFormat="false" ht="15.75" hidden="false" customHeight="true" outlineLevel="0" collapsed="false">
      <c r="A87" s="44" t="str">
        <f aca="false">IF(CARGA_DIARIA!A87="","",CARGA_DIARIA!A87)</f>
        <v/>
      </c>
      <c r="B87" s="45" t="str">
        <f aca="false">IF(CARGA_DIARIA!A87="","",CARGA_DIARIA!B87)</f>
        <v/>
      </c>
      <c r="C87" s="46" t="str">
        <f aca="false"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/>
      </c>
      <c r="D87" s="47" t="str">
        <f aca="false"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/>
      </c>
      <c r="E87" s="47" t="str">
        <f aca="false">IF(CARGA_DIARIA!A87="","",IF(CARGA_DIARIA!B87=0,0,(CARGA_DIARIA!X87+CARGA_DIARIA!Y87+CARGA_DIARIA!Z87+CARGA_DIARIA!AA87)/CARGA_DIARIA!B87+CARGA_DIARIA!AB87+CARGA_DIARIA!AC87+CARGA_DIARIA!AD87+CARGA_DIARIA!AE87))</f>
        <v/>
      </c>
      <c r="F87" s="50" t="s">
        <v>146</v>
      </c>
      <c r="G87" s="50" t="s">
        <v>146</v>
      </c>
      <c r="H87" s="49" t="str">
        <f aca="false">IF(CARGA_DIARIA!A87="","",C87-D87-E87)</f>
        <v/>
      </c>
    </row>
    <row r="88" customFormat="false" ht="15.75" hidden="false" customHeight="true" outlineLevel="0" collapsed="false">
      <c r="A88" s="44" t="str">
        <f aca="false">IF(CARGA_DIARIA!A88="","",CARGA_DIARIA!A88)</f>
        <v/>
      </c>
      <c r="B88" s="45" t="str">
        <f aca="false">IF(CARGA_DIARIA!A88="","",CARGA_DIARIA!B88)</f>
        <v/>
      </c>
      <c r="C88" s="46" t="str">
        <f aca="false"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/>
      </c>
      <c r="D88" s="47" t="str">
        <f aca="false"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47" t="str">
        <f aca="false">IF(CARGA_DIARIA!A88="","",IF(CARGA_DIARIA!B88=0,0,(CARGA_DIARIA!X88+CARGA_DIARIA!Y88+CARGA_DIARIA!Z88+CARGA_DIARIA!AA88)/CARGA_DIARIA!B88+CARGA_DIARIA!AB88+CARGA_DIARIA!AC88+CARGA_DIARIA!AD88+CARGA_DIARIA!AE88))</f>
        <v/>
      </c>
      <c r="F88" s="50" t="s">
        <v>146</v>
      </c>
      <c r="G88" s="50" t="s">
        <v>146</v>
      </c>
      <c r="H88" s="49" t="str">
        <f aca="false">IF(CARGA_DIARIA!A88="","",C88-D88-E88)</f>
        <v/>
      </c>
    </row>
    <row r="89" customFormat="false" ht="15.75" hidden="false" customHeight="true" outlineLevel="0" collapsed="false">
      <c r="A89" s="44" t="str">
        <f aca="false">IF(CARGA_DIARIA!A89="","",CARGA_DIARIA!A89)</f>
        <v/>
      </c>
      <c r="B89" s="45" t="str">
        <f aca="false">IF(CARGA_DIARIA!A89="","",CARGA_DIARIA!B89)</f>
        <v/>
      </c>
      <c r="C89" s="46" t="str">
        <f aca="false"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47" t="str">
        <f aca="false"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47" t="str">
        <f aca="false">IF(CARGA_DIARIA!A89="","",IF(CARGA_DIARIA!B89=0,0,(CARGA_DIARIA!X89+CARGA_DIARIA!Y89+CARGA_DIARIA!Z89+CARGA_DIARIA!AA89)/CARGA_DIARIA!B89+CARGA_DIARIA!AB89+CARGA_DIARIA!AC89+CARGA_DIARIA!AD89+CARGA_DIARIA!AE89))</f>
        <v/>
      </c>
      <c r="F89" s="50" t="s">
        <v>146</v>
      </c>
      <c r="G89" s="50" t="s">
        <v>146</v>
      </c>
      <c r="H89" s="49" t="str">
        <f aca="false">IF(CARGA_DIARIA!A89="","",C89-D89-E89)</f>
        <v/>
      </c>
    </row>
    <row r="90" customFormat="false" ht="15.75" hidden="false" customHeight="true" outlineLevel="0" collapsed="false">
      <c r="A90" s="44" t="str">
        <f aca="false">IF(CARGA_DIARIA!A90="","",CARGA_DIARIA!A90)</f>
        <v/>
      </c>
      <c r="B90" s="45" t="str">
        <f aca="false">IF(CARGA_DIARIA!A90="","",CARGA_DIARIA!B90)</f>
        <v/>
      </c>
      <c r="C90" s="46" t="str">
        <f aca="false"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47" t="str">
        <f aca="false"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47" t="str">
        <f aca="false">IF(CARGA_DIARIA!A90="","",IF(CARGA_DIARIA!B90=0,0,(CARGA_DIARIA!X90+CARGA_DIARIA!Y90+CARGA_DIARIA!Z90+CARGA_DIARIA!AA90)/CARGA_DIARIA!B90+CARGA_DIARIA!AB90+CARGA_DIARIA!AC90+CARGA_DIARIA!AD90+CARGA_DIARIA!AE90))</f>
        <v/>
      </c>
      <c r="F90" s="50" t="s">
        <v>146</v>
      </c>
      <c r="G90" s="50" t="s">
        <v>146</v>
      </c>
      <c r="H90" s="49" t="str">
        <f aca="false">IF(CARGA_DIARIA!A90="","",C90-D90-E90)</f>
        <v/>
      </c>
    </row>
    <row r="91" customFormat="false" ht="15.75" hidden="false" customHeight="true" outlineLevel="0" collapsed="false">
      <c r="A91" s="44" t="str">
        <f aca="false">IF(CARGA_DIARIA!A91="","",CARGA_DIARIA!A91)</f>
        <v/>
      </c>
      <c r="B91" s="45" t="str">
        <f aca="false">IF(CARGA_DIARIA!A91="","",CARGA_DIARIA!B91)</f>
        <v/>
      </c>
      <c r="C91" s="46" t="str">
        <f aca="false"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47" t="str">
        <f aca="false"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47" t="str">
        <f aca="false">IF(CARGA_DIARIA!A91="","",IF(CARGA_DIARIA!B91=0,0,(CARGA_DIARIA!X91+CARGA_DIARIA!Y91+CARGA_DIARIA!Z91+CARGA_DIARIA!AA91)/CARGA_DIARIA!B91+CARGA_DIARIA!AB91+CARGA_DIARIA!AC91+CARGA_DIARIA!AD91+CARGA_DIARIA!AE91))</f>
        <v/>
      </c>
      <c r="F91" s="50" t="s">
        <v>146</v>
      </c>
      <c r="G91" s="50" t="s">
        <v>146</v>
      </c>
      <c r="H91" s="49" t="str">
        <f aca="false">IF(CARGA_DIARIA!A91="","",C91-D91-E91)</f>
        <v/>
      </c>
    </row>
    <row r="92" customFormat="false" ht="15.75" hidden="false" customHeight="true" outlineLevel="0" collapsed="false">
      <c r="A92" s="44" t="str">
        <f aca="false">IF(CARGA_DIARIA!A92="","",CARGA_DIARIA!A92)</f>
        <v/>
      </c>
      <c r="B92" s="45" t="str">
        <f aca="false">IF(CARGA_DIARIA!A92="","",CARGA_DIARIA!B92)</f>
        <v/>
      </c>
      <c r="C92" s="46" t="str">
        <f aca="false"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47" t="str">
        <f aca="false"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47" t="str">
        <f aca="false">IF(CARGA_DIARIA!A92="","",IF(CARGA_DIARIA!B92=0,0,(CARGA_DIARIA!X92+CARGA_DIARIA!Y92+CARGA_DIARIA!Z92+CARGA_DIARIA!AA92)/CARGA_DIARIA!B92+CARGA_DIARIA!AB92+CARGA_DIARIA!AC92+CARGA_DIARIA!AD92+CARGA_DIARIA!AE92))</f>
        <v/>
      </c>
      <c r="F92" s="50" t="s">
        <v>146</v>
      </c>
      <c r="G92" s="50" t="s">
        <v>146</v>
      </c>
      <c r="H92" s="49" t="str">
        <f aca="false">IF(CARGA_DIARIA!A92="","",C92-D92-E92)</f>
        <v/>
      </c>
    </row>
    <row r="93" customFormat="false" ht="15.75" hidden="false" customHeight="true" outlineLevel="0" collapsed="false">
      <c r="A93" s="44" t="str">
        <f aca="false">IF(CARGA_DIARIA!A93="","",CARGA_DIARIA!A93)</f>
        <v/>
      </c>
      <c r="B93" s="45" t="str">
        <f aca="false">IF(CARGA_DIARIA!A93="","",CARGA_DIARIA!B93)</f>
        <v/>
      </c>
      <c r="C93" s="46" t="str">
        <f aca="false"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47" t="str">
        <f aca="false"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47" t="str">
        <f aca="false">IF(CARGA_DIARIA!A93="","",IF(CARGA_DIARIA!B93=0,0,(CARGA_DIARIA!X93+CARGA_DIARIA!Y93+CARGA_DIARIA!Z93+CARGA_DIARIA!AA93)/CARGA_DIARIA!B93+CARGA_DIARIA!AB93+CARGA_DIARIA!AC93+CARGA_DIARIA!AD93+CARGA_DIARIA!AE93))</f>
        <v/>
      </c>
      <c r="F93" s="50" t="s">
        <v>146</v>
      </c>
      <c r="G93" s="50" t="s">
        <v>146</v>
      </c>
      <c r="H93" s="49" t="str">
        <f aca="false">IF(CARGA_DIARIA!A93="","",C93-D93-E93)</f>
        <v/>
      </c>
    </row>
    <row r="94" customFormat="false" ht="15.75" hidden="false" customHeight="true" outlineLevel="0" collapsed="false">
      <c r="A94" s="44" t="str">
        <f aca="false">IF(CARGA_DIARIA!A94="","",CARGA_DIARIA!A94)</f>
        <v/>
      </c>
      <c r="B94" s="45" t="str">
        <f aca="false">IF(CARGA_DIARIA!A94="","",CARGA_DIARIA!B94)</f>
        <v/>
      </c>
      <c r="C94" s="46" t="str">
        <f aca="false"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47" t="str">
        <f aca="false"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47" t="str">
        <f aca="false">IF(CARGA_DIARIA!A94="","",IF(CARGA_DIARIA!B94=0,0,(CARGA_DIARIA!X94+CARGA_DIARIA!Y94+CARGA_DIARIA!Z94+CARGA_DIARIA!AA94)/CARGA_DIARIA!B94+CARGA_DIARIA!AB94+CARGA_DIARIA!AC94+CARGA_DIARIA!AD94+CARGA_DIARIA!AE94))</f>
        <v/>
      </c>
      <c r="F94" s="50" t="s">
        <v>146</v>
      </c>
      <c r="G94" s="50" t="s">
        <v>146</v>
      </c>
      <c r="H94" s="49" t="str">
        <f aca="false">IF(CARGA_DIARIA!A94="","",C94-D94-E94)</f>
        <v/>
      </c>
    </row>
    <row r="95" customFormat="false" ht="15.75" hidden="false" customHeight="true" outlineLevel="0" collapsed="false">
      <c r="A95" s="44" t="str">
        <f aca="false">IF(CARGA_DIARIA!A95="","",CARGA_DIARIA!A95)</f>
        <v/>
      </c>
      <c r="B95" s="45" t="str">
        <f aca="false">IF(CARGA_DIARIA!A95="","",CARGA_DIARIA!B95)</f>
        <v/>
      </c>
      <c r="C95" s="46" t="str">
        <f aca="false"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47" t="str">
        <f aca="false"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47" t="str">
        <f aca="false">IF(CARGA_DIARIA!A95="","",IF(CARGA_DIARIA!B95=0,0,(CARGA_DIARIA!X95+CARGA_DIARIA!Y95+CARGA_DIARIA!Z95+CARGA_DIARIA!AA95)/CARGA_DIARIA!B95+CARGA_DIARIA!AB95+CARGA_DIARIA!AC95+CARGA_DIARIA!AD95+CARGA_DIARIA!AE95))</f>
        <v/>
      </c>
      <c r="F95" s="50" t="s">
        <v>146</v>
      </c>
      <c r="G95" s="50" t="s">
        <v>146</v>
      </c>
      <c r="H95" s="49" t="str">
        <f aca="false">IF(CARGA_DIARIA!A95="","",C95-D95-E95)</f>
        <v/>
      </c>
    </row>
    <row r="96" customFormat="false" ht="15.75" hidden="false" customHeight="true" outlineLevel="0" collapsed="false">
      <c r="A96" s="44" t="str">
        <f aca="false">IF(CARGA_DIARIA!A96="","",CARGA_DIARIA!A96)</f>
        <v/>
      </c>
      <c r="B96" s="45" t="str">
        <f aca="false">IF(CARGA_DIARIA!A96="","",CARGA_DIARIA!B96)</f>
        <v/>
      </c>
      <c r="C96" s="46" t="str">
        <f aca="false"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47" t="str">
        <f aca="false"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47" t="str">
        <f aca="false">IF(CARGA_DIARIA!A96="","",IF(CARGA_DIARIA!B96=0,0,(CARGA_DIARIA!X96+CARGA_DIARIA!Y96+CARGA_DIARIA!Z96+CARGA_DIARIA!AA96)/CARGA_DIARIA!B96+CARGA_DIARIA!AB96+CARGA_DIARIA!AC96+CARGA_DIARIA!AD96+CARGA_DIARIA!AE96))</f>
        <v/>
      </c>
      <c r="F96" s="50" t="s">
        <v>146</v>
      </c>
      <c r="G96" s="50" t="s">
        <v>146</v>
      </c>
      <c r="H96" s="49" t="str">
        <f aca="false">IF(CARGA_DIARIA!A96="","",C96-D96-E96)</f>
        <v/>
      </c>
    </row>
    <row r="97" customFormat="false" ht="15.75" hidden="false" customHeight="true" outlineLevel="0" collapsed="false">
      <c r="A97" s="44" t="str">
        <f aca="false">IF(CARGA_DIARIA!A97="","",CARGA_DIARIA!A97)</f>
        <v/>
      </c>
      <c r="B97" s="45" t="str">
        <f aca="false">IF(CARGA_DIARIA!A97="","",CARGA_DIARIA!B97)</f>
        <v/>
      </c>
      <c r="C97" s="46" t="str">
        <f aca="false"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47" t="str">
        <f aca="false"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47" t="str">
        <f aca="false">IF(CARGA_DIARIA!A97="","",IF(CARGA_DIARIA!B97=0,0,(CARGA_DIARIA!X97+CARGA_DIARIA!Y97+CARGA_DIARIA!Z97+CARGA_DIARIA!AA97)/CARGA_DIARIA!B97+CARGA_DIARIA!AB97+CARGA_DIARIA!AC97+CARGA_DIARIA!AD97+CARGA_DIARIA!AE97))</f>
        <v/>
      </c>
      <c r="F97" s="50" t="s">
        <v>146</v>
      </c>
      <c r="G97" s="50" t="s">
        <v>146</v>
      </c>
      <c r="H97" s="49" t="str">
        <f aca="false">IF(CARGA_DIARIA!A97="","",C97-D97-E97)</f>
        <v/>
      </c>
    </row>
    <row r="98" customFormat="false" ht="15.75" hidden="false" customHeight="true" outlineLevel="0" collapsed="false">
      <c r="A98" s="44" t="str">
        <f aca="false">IF(CARGA_DIARIA!A98="","",CARGA_DIARIA!A98)</f>
        <v/>
      </c>
      <c r="B98" s="45" t="str">
        <f aca="false">IF(CARGA_DIARIA!A98="","",CARGA_DIARIA!B98)</f>
        <v/>
      </c>
      <c r="C98" s="46" t="str">
        <f aca="false"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47" t="str">
        <f aca="false"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47" t="str">
        <f aca="false">IF(CARGA_DIARIA!A98="","",IF(CARGA_DIARIA!B98=0,0,(CARGA_DIARIA!X98+CARGA_DIARIA!Y98+CARGA_DIARIA!Z98+CARGA_DIARIA!AA98)/CARGA_DIARIA!B98+CARGA_DIARIA!AB98+CARGA_DIARIA!AC98+CARGA_DIARIA!AD98+CARGA_DIARIA!AE98))</f>
        <v/>
      </c>
      <c r="F98" s="50" t="s">
        <v>146</v>
      </c>
      <c r="G98" s="50" t="s">
        <v>146</v>
      </c>
      <c r="H98" s="49" t="str">
        <f aca="false">IF(CARGA_DIARIA!A98="","",C98-D98-E98)</f>
        <v/>
      </c>
    </row>
    <row r="99" customFormat="false" ht="15.75" hidden="false" customHeight="true" outlineLevel="0" collapsed="false">
      <c r="A99" s="44" t="str">
        <f aca="false">IF(CARGA_DIARIA!A99="","",CARGA_DIARIA!A99)</f>
        <v/>
      </c>
      <c r="B99" s="45" t="str">
        <f aca="false">IF(CARGA_DIARIA!A99="","",CARGA_DIARIA!B99)</f>
        <v/>
      </c>
      <c r="C99" s="46" t="str">
        <f aca="false"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47" t="str">
        <f aca="false"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47" t="str">
        <f aca="false">IF(CARGA_DIARIA!A99="","",IF(CARGA_DIARIA!B99=0,0,(CARGA_DIARIA!X99+CARGA_DIARIA!Y99+CARGA_DIARIA!Z99+CARGA_DIARIA!AA99)/CARGA_DIARIA!B99+CARGA_DIARIA!AB99+CARGA_DIARIA!AC99+CARGA_DIARIA!AD99+CARGA_DIARIA!AE99))</f>
        <v/>
      </c>
      <c r="F99" s="50" t="s">
        <v>146</v>
      </c>
      <c r="G99" s="50" t="s">
        <v>146</v>
      </c>
      <c r="H99" s="49" t="str">
        <f aca="false">IF(CARGA_DIARIA!A99="","",C99-D99-E99)</f>
        <v/>
      </c>
    </row>
    <row r="100" customFormat="false" ht="15.75" hidden="false" customHeight="true" outlineLevel="0" collapsed="false">
      <c r="A100" s="44" t="str">
        <f aca="false">IF(CARGA_DIARIA!A100="","",CARGA_DIARIA!A100)</f>
        <v/>
      </c>
      <c r="B100" s="45" t="str">
        <f aca="false">IF(CARGA_DIARIA!A100="","",CARGA_DIARIA!B100)</f>
        <v/>
      </c>
      <c r="C100" s="46" t="str">
        <f aca="false"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47" t="str">
        <f aca="false"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47" t="str">
        <f aca="false">IF(CARGA_DIARIA!A100="","",IF(CARGA_DIARIA!B100=0,0,(CARGA_DIARIA!X100+CARGA_DIARIA!Y100+CARGA_DIARIA!Z100+CARGA_DIARIA!AA100)/CARGA_DIARIA!B100+CARGA_DIARIA!AB100+CARGA_DIARIA!AC100+CARGA_DIARIA!AD100+CARGA_DIARIA!AE100))</f>
        <v/>
      </c>
      <c r="F100" s="50" t="s">
        <v>146</v>
      </c>
      <c r="G100" s="50" t="s">
        <v>146</v>
      </c>
      <c r="H100" s="49" t="str">
        <f aca="false">IF(CARGA_DIARIA!A100="","",C100-D100-E100)</f>
        <v/>
      </c>
    </row>
    <row r="101" customFormat="false" ht="15.75" hidden="false" customHeight="true" outlineLevel="0" collapsed="false">
      <c r="A101" s="44" t="str">
        <f aca="false">IF(CARGA_DIARIA!A101="","",CARGA_DIARIA!A101)</f>
        <v/>
      </c>
      <c r="B101" s="45" t="str">
        <f aca="false">IF(CARGA_DIARIA!A101="","",CARGA_DIARIA!B101)</f>
        <v/>
      </c>
      <c r="C101" s="46" t="str">
        <f aca="false"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47" t="str">
        <f aca="false"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47" t="str">
        <f aca="false">IF(CARGA_DIARIA!A101="","",IF(CARGA_DIARIA!B101=0,0,(CARGA_DIARIA!X101+CARGA_DIARIA!Y101+CARGA_DIARIA!Z101+CARGA_DIARIA!AA101)/CARGA_DIARIA!B101+CARGA_DIARIA!AB101+CARGA_DIARIA!AC101+CARGA_DIARIA!AD101+CARGA_DIARIA!AE101))</f>
        <v/>
      </c>
      <c r="F101" s="50" t="s">
        <v>146</v>
      </c>
      <c r="G101" s="50" t="s">
        <v>146</v>
      </c>
      <c r="H101" s="49" t="str">
        <f aca="false">IF(CARGA_DIARIA!A101="","",C101-D101-E101)</f>
        <v/>
      </c>
    </row>
    <row r="102" customFormat="false" ht="15.75" hidden="false" customHeight="true" outlineLevel="0" collapsed="false">
      <c r="A102" s="44" t="str">
        <f aca="false">IF(CARGA_DIARIA!A102="","",CARGA_DIARIA!A102)</f>
        <v/>
      </c>
      <c r="B102" s="45" t="str">
        <f aca="false">IF(CARGA_DIARIA!A102="","",CARGA_DIARIA!B102)</f>
        <v/>
      </c>
      <c r="C102" s="46" t="str">
        <f aca="false"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47" t="str">
        <f aca="false"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47" t="str">
        <f aca="false">IF(CARGA_DIARIA!A102="","",IF(CARGA_DIARIA!B102=0,0,(CARGA_DIARIA!X102+CARGA_DIARIA!Y102+CARGA_DIARIA!Z102+CARGA_DIARIA!AA102)/CARGA_DIARIA!B102+CARGA_DIARIA!AB102+CARGA_DIARIA!AC102+CARGA_DIARIA!AD102+CARGA_DIARIA!AE102))</f>
        <v/>
      </c>
      <c r="F102" s="50" t="s">
        <v>146</v>
      </c>
      <c r="G102" s="50" t="s">
        <v>146</v>
      </c>
      <c r="H102" s="49" t="str">
        <f aca="false">IF(CARGA_DIARIA!A102="","",C102-D102-E102)</f>
        <v/>
      </c>
    </row>
    <row r="103" customFormat="false" ht="15.75" hidden="false" customHeight="true" outlineLevel="0" collapsed="false">
      <c r="A103" s="44" t="str">
        <f aca="false">IF(CARGA_DIARIA!A103="","",CARGA_DIARIA!A103)</f>
        <v/>
      </c>
      <c r="B103" s="45" t="str">
        <f aca="false">IF(CARGA_DIARIA!A103="","",CARGA_DIARIA!B103)</f>
        <v/>
      </c>
      <c r="C103" s="46" t="str">
        <f aca="false"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47" t="str">
        <f aca="false"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47" t="str">
        <f aca="false">IF(CARGA_DIARIA!A103="","",IF(CARGA_DIARIA!B103=0,0,(CARGA_DIARIA!X103+CARGA_DIARIA!Y103+CARGA_DIARIA!Z103+CARGA_DIARIA!AA103)/CARGA_DIARIA!B103+CARGA_DIARIA!AB103+CARGA_DIARIA!AC103+CARGA_DIARIA!AD103+CARGA_DIARIA!AE103))</f>
        <v/>
      </c>
      <c r="F103" s="50" t="s">
        <v>146</v>
      </c>
      <c r="G103" s="50" t="s">
        <v>146</v>
      </c>
      <c r="H103" s="49" t="str">
        <f aca="false">IF(CARGA_DIARIA!A103="","",C103-D103-E103)</f>
        <v/>
      </c>
    </row>
    <row r="104" customFormat="false" ht="15.75" hidden="false" customHeight="true" outlineLevel="0" collapsed="false">
      <c r="A104" s="44" t="str">
        <f aca="false">IF(CARGA_DIARIA!A104="","",CARGA_DIARIA!A104)</f>
        <v/>
      </c>
      <c r="B104" s="45" t="str">
        <f aca="false">IF(CARGA_DIARIA!A104="","",CARGA_DIARIA!B104)</f>
        <v/>
      </c>
      <c r="C104" s="46" t="str">
        <f aca="false"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47" t="str">
        <f aca="false"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47" t="str">
        <f aca="false">IF(CARGA_DIARIA!A104="","",IF(CARGA_DIARIA!B104=0,0,(CARGA_DIARIA!X104+CARGA_DIARIA!Y104+CARGA_DIARIA!Z104+CARGA_DIARIA!AA104)/CARGA_DIARIA!B104+CARGA_DIARIA!AB104+CARGA_DIARIA!AC104+CARGA_DIARIA!AD104+CARGA_DIARIA!AE104))</f>
        <v/>
      </c>
      <c r="F104" s="50" t="s">
        <v>146</v>
      </c>
      <c r="G104" s="50" t="s">
        <v>146</v>
      </c>
      <c r="H104" s="49" t="str">
        <f aca="false">IF(CARGA_DIARIA!A104="","",C104-D104-E104)</f>
        <v/>
      </c>
    </row>
    <row r="105" customFormat="false" ht="15.75" hidden="false" customHeight="true" outlineLevel="0" collapsed="false">
      <c r="A105" s="44" t="str">
        <f aca="false">IF(CARGA_DIARIA!A105="","",CARGA_DIARIA!A105)</f>
        <v/>
      </c>
      <c r="B105" s="45" t="str">
        <f aca="false">IF(CARGA_DIARIA!A105="","",CARGA_DIARIA!B105)</f>
        <v/>
      </c>
      <c r="C105" s="46" t="str">
        <f aca="false"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47" t="str">
        <f aca="false"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47" t="str">
        <f aca="false">IF(CARGA_DIARIA!A105="","",IF(CARGA_DIARIA!B105=0,0,(CARGA_DIARIA!X105+CARGA_DIARIA!Y105+CARGA_DIARIA!Z105+CARGA_DIARIA!AA105)/CARGA_DIARIA!B105+CARGA_DIARIA!AB105+CARGA_DIARIA!AC105+CARGA_DIARIA!AD105+CARGA_DIARIA!AE105))</f>
        <v/>
      </c>
      <c r="F105" s="50" t="s">
        <v>146</v>
      </c>
      <c r="G105" s="50" t="s">
        <v>146</v>
      </c>
      <c r="H105" s="49" t="str">
        <f aca="false">IF(CARGA_DIARIA!A105="","",C105-D105-E105)</f>
        <v/>
      </c>
    </row>
    <row r="106" customFormat="false" ht="15.75" hidden="false" customHeight="true" outlineLevel="0" collapsed="false">
      <c r="A106" s="44" t="str">
        <f aca="false">IF(CARGA_DIARIA!A106="","",CARGA_DIARIA!A106)</f>
        <v/>
      </c>
      <c r="B106" s="45" t="str">
        <f aca="false">IF(CARGA_DIARIA!A106="","",CARGA_DIARIA!B106)</f>
        <v/>
      </c>
      <c r="C106" s="46" t="str">
        <f aca="false"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47" t="str">
        <f aca="false"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47" t="str">
        <f aca="false">IF(CARGA_DIARIA!A106="","",IF(CARGA_DIARIA!B106=0,0,(CARGA_DIARIA!X106+CARGA_DIARIA!Y106+CARGA_DIARIA!Z106+CARGA_DIARIA!AA106)/CARGA_DIARIA!B106+CARGA_DIARIA!AB106+CARGA_DIARIA!AC106+CARGA_DIARIA!AD106+CARGA_DIARIA!AE106))</f>
        <v/>
      </c>
      <c r="F106" s="50" t="s">
        <v>146</v>
      </c>
      <c r="G106" s="50" t="s">
        <v>146</v>
      </c>
      <c r="H106" s="49" t="str">
        <f aca="false">IF(CARGA_DIARIA!A106="","",C106-D106-E106)</f>
        <v/>
      </c>
    </row>
    <row r="107" customFormat="false" ht="15.75" hidden="false" customHeight="true" outlineLevel="0" collapsed="false">
      <c r="A107" s="44" t="str">
        <f aca="false">IF(CARGA_DIARIA!A107="","",CARGA_DIARIA!A107)</f>
        <v/>
      </c>
      <c r="B107" s="45" t="str">
        <f aca="false">IF(CARGA_DIARIA!A107="","",CARGA_DIARIA!B107)</f>
        <v/>
      </c>
      <c r="C107" s="46" t="str">
        <f aca="false"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47" t="str">
        <f aca="false"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47" t="str">
        <f aca="false">IF(CARGA_DIARIA!A107="","",IF(CARGA_DIARIA!B107=0,0,(CARGA_DIARIA!X107+CARGA_DIARIA!Y107+CARGA_DIARIA!Z107+CARGA_DIARIA!AA107)/CARGA_DIARIA!B107+CARGA_DIARIA!AB107+CARGA_DIARIA!AC107+CARGA_DIARIA!AD107+CARGA_DIARIA!AE107))</f>
        <v/>
      </c>
      <c r="F107" s="50" t="s">
        <v>146</v>
      </c>
      <c r="G107" s="50" t="s">
        <v>146</v>
      </c>
      <c r="H107" s="49" t="str">
        <f aca="false">IF(CARGA_DIARIA!A107="","",C107-D107-E107)</f>
        <v/>
      </c>
    </row>
    <row r="108" customFormat="false" ht="15.75" hidden="false" customHeight="true" outlineLevel="0" collapsed="false">
      <c r="A108" s="44" t="str">
        <f aca="false">IF(CARGA_DIARIA!A108="","",CARGA_DIARIA!A108)</f>
        <v/>
      </c>
      <c r="B108" s="45" t="str">
        <f aca="false">IF(CARGA_DIARIA!A108="","",CARGA_DIARIA!B108)</f>
        <v/>
      </c>
      <c r="C108" s="46" t="str">
        <f aca="false"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47" t="str">
        <f aca="false"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47" t="str">
        <f aca="false">IF(CARGA_DIARIA!A108="","",IF(CARGA_DIARIA!B108=0,0,(CARGA_DIARIA!X108+CARGA_DIARIA!Y108+CARGA_DIARIA!Z108+CARGA_DIARIA!AA108)/CARGA_DIARIA!B108+CARGA_DIARIA!AB108+CARGA_DIARIA!AC108+CARGA_DIARIA!AD108+CARGA_DIARIA!AE108))</f>
        <v/>
      </c>
      <c r="F108" s="50" t="s">
        <v>146</v>
      </c>
      <c r="G108" s="50" t="s">
        <v>146</v>
      </c>
      <c r="H108" s="49" t="str">
        <f aca="false">IF(CARGA_DIARIA!A108="","",C108-D108-E108)</f>
        <v/>
      </c>
    </row>
    <row r="109" customFormat="false" ht="15.75" hidden="false" customHeight="true" outlineLevel="0" collapsed="false">
      <c r="A109" s="44" t="str">
        <f aca="false">IF(CARGA_DIARIA!A109="","",CARGA_DIARIA!A109)</f>
        <v/>
      </c>
      <c r="B109" s="45" t="str">
        <f aca="false">IF(CARGA_DIARIA!A109="","",CARGA_DIARIA!B109)</f>
        <v/>
      </c>
      <c r="C109" s="46" t="str">
        <f aca="false"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47" t="str">
        <f aca="false"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47" t="str">
        <f aca="false">IF(CARGA_DIARIA!A109="","",IF(CARGA_DIARIA!B109=0,0,(CARGA_DIARIA!X109+CARGA_DIARIA!Y109+CARGA_DIARIA!Z109+CARGA_DIARIA!AA109)/CARGA_DIARIA!B109+CARGA_DIARIA!AB109+CARGA_DIARIA!AC109+CARGA_DIARIA!AD109+CARGA_DIARIA!AE109))</f>
        <v/>
      </c>
      <c r="F109" s="50" t="s">
        <v>146</v>
      </c>
      <c r="G109" s="50" t="s">
        <v>146</v>
      </c>
      <c r="H109" s="49" t="str">
        <f aca="false">IF(CARGA_DIARIA!A109="","",C109-D109-E109)</f>
        <v/>
      </c>
    </row>
    <row r="110" customFormat="false" ht="15.75" hidden="false" customHeight="true" outlineLevel="0" collapsed="false">
      <c r="A110" s="44" t="str">
        <f aca="false">IF(CARGA_DIARIA!A110="","",CARGA_DIARIA!A110)</f>
        <v/>
      </c>
      <c r="B110" s="45" t="str">
        <f aca="false">IF(CARGA_DIARIA!A110="","",CARGA_DIARIA!B110)</f>
        <v/>
      </c>
      <c r="C110" s="46" t="str">
        <f aca="false"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47" t="str">
        <f aca="false"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47" t="str">
        <f aca="false">IF(CARGA_DIARIA!A110="","",IF(CARGA_DIARIA!B110=0,0,(CARGA_DIARIA!X110+CARGA_DIARIA!Y110+CARGA_DIARIA!Z110+CARGA_DIARIA!AA110)/CARGA_DIARIA!B110+CARGA_DIARIA!AB110+CARGA_DIARIA!AC110+CARGA_DIARIA!AD110+CARGA_DIARIA!AE110))</f>
        <v/>
      </c>
      <c r="F110" s="50" t="s">
        <v>146</v>
      </c>
      <c r="G110" s="50" t="s">
        <v>146</v>
      </c>
      <c r="H110" s="49" t="str">
        <f aca="false">IF(CARGA_DIARIA!A110="","",C110-D110-E110)</f>
        <v/>
      </c>
    </row>
    <row r="111" customFormat="false" ht="15.75" hidden="false" customHeight="true" outlineLevel="0" collapsed="false">
      <c r="A111" s="44" t="str">
        <f aca="false">IF(CARGA_DIARIA!A111="","",CARGA_DIARIA!A111)</f>
        <v/>
      </c>
      <c r="B111" s="45" t="str">
        <f aca="false">IF(CARGA_DIARIA!A111="","",CARGA_DIARIA!B111)</f>
        <v/>
      </c>
      <c r="C111" s="46" t="str">
        <f aca="false"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47" t="str">
        <f aca="false"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47" t="str">
        <f aca="false">IF(CARGA_DIARIA!A111="","",IF(CARGA_DIARIA!B111=0,0,(CARGA_DIARIA!X111+CARGA_DIARIA!Y111+CARGA_DIARIA!Z111+CARGA_DIARIA!AA111)/CARGA_DIARIA!B111+CARGA_DIARIA!AB111+CARGA_DIARIA!AC111+CARGA_DIARIA!AD111+CARGA_DIARIA!AE111))</f>
        <v/>
      </c>
      <c r="F111" s="50" t="s">
        <v>146</v>
      </c>
      <c r="G111" s="50" t="s">
        <v>146</v>
      </c>
      <c r="H111" s="49" t="str">
        <f aca="false">IF(CARGA_DIARIA!A111="","",C111-D111-E111)</f>
        <v/>
      </c>
    </row>
    <row r="112" customFormat="false" ht="15.75" hidden="false" customHeight="true" outlineLevel="0" collapsed="false">
      <c r="A112" s="44" t="str">
        <f aca="false">IF(CARGA_DIARIA!A112="","",CARGA_DIARIA!A112)</f>
        <v/>
      </c>
      <c r="B112" s="45" t="str">
        <f aca="false">IF(CARGA_DIARIA!A112="","",CARGA_DIARIA!B112)</f>
        <v/>
      </c>
      <c r="C112" s="46" t="str">
        <f aca="false"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47" t="str">
        <f aca="false"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47" t="str">
        <f aca="false">IF(CARGA_DIARIA!A112="","",IF(CARGA_DIARIA!B112=0,0,(CARGA_DIARIA!X112+CARGA_DIARIA!Y112+CARGA_DIARIA!Z112+CARGA_DIARIA!AA112)/CARGA_DIARIA!B112+CARGA_DIARIA!AB112+CARGA_DIARIA!AC112+CARGA_DIARIA!AD112+CARGA_DIARIA!AE112))</f>
        <v/>
      </c>
      <c r="F112" s="50" t="s">
        <v>146</v>
      </c>
      <c r="G112" s="50" t="s">
        <v>146</v>
      </c>
      <c r="H112" s="49" t="str">
        <f aca="false">IF(CARGA_DIARIA!A112="","",C112-D112-E112)</f>
        <v/>
      </c>
    </row>
    <row r="113" customFormat="false" ht="15.75" hidden="false" customHeight="true" outlineLevel="0" collapsed="false">
      <c r="A113" s="44" t="str">
        <f aca="false">IF(CARGA_DIARIA!A113="","",CARGA_DIARIA!A113)</f>
        <v/>
      </c>
      <c r="B113" s="45" t="str">
        <f aca="false">IF(CARGA_DIARIA!A113="","",CARGA_DIARIA!B113)</f>
        <v/>
      </c>
      <c r="C113" s="46" t="str">
        <f aca="false"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47" t="str">
        <f aca="false"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47" t="str">
        <f aca="false">IF(CARGA_DIARIA!A113="","",IF(CARGA_DIARIA!B113=0,0,(CARGA_DIARIA!X113+CARGA_DIARIA!Y113+CARGA_DIARIA!Z113+CARGA_DIARIA!AA113)/CARGA_DIARIA!B113+CARGA_DIARIA!AB113+CARGA_DIARIA!AC113+CARGA_DIARIA!AD113+CARGA_DIARIA!AE113))</f>
        <v/>
      </c>
      <c r="F113" s="50" t="s">
        <v>146</v>
      </c>
      <c r="G113" s="50" t="s">
        <v>146</v>
      </c>
      <c r="H113" s="49" t="str">
        <f aca="false">IF(CARGA_DIARIA!A113="","",C113-D113-E113)</f>
        <v/>
      </c>
    </row>
    <row r="114" customFormat="false" ht="15.75" hidden="false" customHeight="true" outlineLevel="0" collapsed="false">
      <c r="A114" s="44" t="str">
        <f aca="false">IF(CARGA_DIARIA!A114="","",CARGA_DIARIA!A114)</f>
        <v/>
      </c>
      <c r="B114" s="45" t="str">
        <f aca="false">IF(CARGA_DIARIA!A114="","",CARGA_DIARIA!B114)</f>
        <v/>
      </c>
      <c r="C114" s="46" t="str">
        <f aca="false"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47" t="str">
        <f aca="false"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47" t="str">
        <f aca="false">IF(CARGA_DIARIA!A114="","",IF(CARGA_DIARIA!B114=0,0,(CARGA_DIARIA!X114+CARGA_DIARIA!Y114+CARGA_DIARIA!Z114+CARGA_DIARIA!AA114)/CARGA_DIARIA!B114+CARGA_DIARIA!AB114+CARGA_DIARIA!AC114+CARGA_DIARIA!AD114+CARGA_DIARIA!AE114))</f>
        <v/>
      </c>
      <c r="F114" s="50" t="s">
        <v>146</v>
      </c>
      <c r="G114" s="50" t="s">
        <v>146</v>
      </c>
      <c r="H114" s="49" t="str">
        <f aca="false">IF(CARGA_DIARIA!A114="","",C114-D114-E114)</f>
        <v/>
      </c>
    </row>
    <row r="115" customFormat="false" ht="15.75" hidden="false" customHeight="true" outlineLevel="0" collapsed="false">
      <c r="A115" s="44" t="str">
        <f aca="false">IF(CARGA_DIARIA!A115="","",CARGA_DIARIA!A115)</f>
        <v/>
      </c>
      <c r="B115" s="45" t="str">
        <f aca="false">IF(CARGA_DIARIA!A115="","",CARGA_DIARIA!B115)</f>
        <v/>
      </c>
      <c r="C115" s="46" t="str">
        <f aca="false"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47" t="str">
        <f aca="false"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47" t="str">
        <f aca="false">IF(CARGA_DIARIA!A115="","",IF(CARGA_DIARIA!B115=0,0,(CARGA_DIARIA!X115+CARGA_DIARIA!Y115+CARGA_DIARIA!Z115+CARGA_DIARIA!AA115)/CARGA_DIARIA!B115+CARGA_DIARIA!AB115+CARGA_DIARIA!AC115+CARGA_DIARIA!AD115+CARGA_DIARIA!AE115))</f>
        <v/>
      </c>
      <c r="F115" s="50" t="s">
        <v>146</v>
      </c>
      <c r="G115" s="50" t="s">
        <v>146</v>
      </c>
      <c r="H115" s="49" t="str">
        <f aca="false">IF(CARGA_DIARIA!A115="","",C115-D115-E115)</f>
        <v/>
      </c>
    </row>
    <row r="116" customFormat="false" ht="15.75" hidden="false" customHeight="true" outlineLevel="0" collapsed="false">
      <c r="A116" s="44" t="str">
        <f aca="false">IF(CARGA_DIARIA!A116="","",CARGA_DIARIA!A116)</f>
        <v/>
      </c>
      <c r="B116" s="45" t="str">
        <f aca="false">IF(CARGA_DIARIA!A116="","",CARGA_DIARIA!B116)</f>
        <v/>
      </c>
      <c r="C116" s="46" t="str">
        <f aca="false"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47" t="str">
        <f aca="false"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47" t="str">
        <f aca="false">IF(CARGA_DIARIA!A116="","",IF(CARGA_DIARIA!B116=0,0,(CARGA_DIARIA!X116+CARGA_DIARIA!Y116+CARGA_DIARIA!Z116+CARGA_DIARIA!AA116)/CARGA_DIARIA!B116+CARGA_DIARIA!AB116+CARGA_DIARIA!AC116+CARGA_DIARIA!AD116+CARGA_DIARIA!AE116))</f>
        <v/>
      </c>
      <c r="F116" s="50" t="s">
        <v>146</v>
      </c>
      <c r="G116" s="50" t="s">
        <v>146</v>
      </c>
      <c r="H116" s="49" t="str">
        <f aca="false">IF(CARGA_DIARIA!A116="","",C116-D116-E116)</f>
        <v/>
      </c>
    </row>
    <row r="117" customFormat="false" ht="15.75" hidden="false" customHeight="true" outlineLevel="0" collapsed="false">
      <c r="A117" s="44" t="str">
        <f aca="false">IF(CARGA_DIARIA!A117="","",CARGA_DIARIA!A117)</f>
        <v/>
      </c>
      <c r="B117" s="45" t="str">
        <f aca="false">IF(CARGA_DIARIA!A117="","",CARGA_DIARIA!B117)</f>
        <v/>
      </c>
      <c r="C117" s="46" t="str">
        <f aca="false"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47" t="str">
        <f aca="false"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47" t="str">
        <f aca="false">IF(CARGA_DIARIA!A117="","",IF(CARGA_DIARIA!B117=0,0,(CARGA_DIARIA!X117+CARGA_DIARIA!Y117+CARGA_DIARIA!Z117+CARGA_DIARIA!AA117)/CARGA_DIARIA!B117+CARGA_DIARIA!AB117+CARGA_DIARIA!AC117+CARGA_DIARIA!AD117+CARGA_DIARIA!AE117))</f>
        <v/>
      </c>
      <c r="F117" s="50" t="s">
        <v>146</v>
      </c>
      <c r="G117" s="50" t="s">
        <v>146</v>
      </c>
      <c r="H117" s="49" t="str">
        <f aca="false">IF(CARGA_DIARIA!A117="","",C117-D117-E117)</f>
        <v/>
      </c>
    </row>
    <row r="118" customFormat="false" ht="15.75" hidden="false" customHeight="true" outlineLevel="0" collapsed="false">
      <c r="A118" s="44" t="str">
        <f aca="false">IF(CARGA_DIARIA!A118="","",CARGA_DIARIA!A118)</f>
        <v/>
      </c>
      <c r="B118" s="45" t="str">
        <f aca="false">IF(CARGA_DIARIA!A118="","",CARGA_DIARIA!B118)</f>
        <v/>
      </c>
      <c r="C118" s="46" t="str">
        <f aca="false"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47" t="str">
        <f aca="false"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47" t="str">
        <f aca="false">IF(CARGA_DIARIA!A118="","",IF(CARGA_DIARIA!B118=0,0,(CARGA_DIARIA!X118+CARGA_DIARIA!Y118+CARGA_DIARIA!Z118+CARGA_DIARIA!AA118)/CARGA_DIARIA!B118+CARGA_DIARIA!AB118+CARGA_DIARIA!AC118+CARGA_DIARIA!AD118+CARGA_DIARIA!AE118))</f>
        <v/>
      </c>
      <c r="F118" s="50" t="s">
        <v>146</v>
      </c>
      <c r="G118" s="50" t="s">
        <v>146</v>
      </c>
      <c r="H118" s="49" t="str">
        <f aca="false">IF(CARGA_DIARIA!A118="","",C118-D118-E118)</f>
        <v/>
      </c>
    </row>
    <row r="119" customFormat="false" ht="15.75" hidden="false" customHeight="true" outlineLevel="0" collapsed="false">
      <c r="A119" s="44" t="str">
        <f aca="false">IF(CARGA_DIARIA!A119="","",CARGA_DIARIA!A119)</f>
        <v/>
      </c>
      <c r="B119" s="45" t="str">
        <f aca="false">IF(CARGA_DIARIA!A119="","",CARGA_DIARIA!B119)</f>
        <v/>
      </c>
      <c r="C119" s="46" t="str">
        <f aca="false"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47" t="str">
        <f aca="false"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47" t="str">
        <f aca="false">IF(CARGA_DIARIA!A119="","",IF(CARGA_DIARIA!B119=0,0,(CARGA_DIARIA!X119+CARGA_DIARIA!Y119+CARGA_DIARIA!Z119+CARGA_DIARIA!AA119)/CARGA_DIARIA!B119+CARGA_DIARIA!AB119+CARGA_DIARIA!AC119+CARGA_DIARIA!AD119+CARGA_DIARIA!AE119))</f>
        <v/>
      </c>
      <c r="F119" s="50" t="s">
        <v>146</v>
      </c>
      <c r="G119" s="50" t="s">
        <v>146</v>
      </c>
      <c r="H119" s="49" t="str">
        <f aca="false">IF(CARGA_DIARIA!A119="","",C119-D119-E119)</f>
        <v/>
      </c>
    </row>
    <row r="120" customFormat="false" ht="15.75" hidden="false" customHeight="true" outlineLevel="0" collapsed="false">
      <c r="A120" s="44" t="str">
        <f aca="false">IF(CARGA_DIARIA!A120="","",CARGA_DIARIA!A120)</f>
        <v/>
      </c>
      <c r="B120" s="45" t="str">
        <f aca="false">IF(CARGA_DIARIA!A120="","",CARGA_DIARIA!B120)</f>
        <v/>
      </c>
      <c r="C120" s="46" t="str">
        <f aca="false"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47" t="str">
        <f aca="false"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47" t="str">
        <f aca="false">IF(CARGA_DIARIA!A120="","",IF(CARGA_DIARIA!B120=0,0,(CARGA_DIARIA!X120+CARGA_DIARIA!Y120+CARGA_DIARIA!Z120+CARGA_DIARIA!AA120)/CARGA_DIARIA!B120+CARGA_DIARIA!AB120+CARGA_DIARIA!AC120+CARGA_DIARIA!AD120+CARGA_DIARIA!AE120))</f>
        <v/>
      </c>
      <c r="F120" s="50" t="s">
        <v>146</v>
      </c>
      <c r="G120" s="50" t="s">
        <v>146</v>
      </c>
      <c r="H120" s="49" t="str">
        <f aca="false">IF(CARGA_DIARIA!A120="","",C120-D120-E120)</f>
        <v/>
      </c>
    </row>
    <row r="121" customFormat="false" ht="15.75" hidden="false" customHeight="true" outlineLevel="0" collapsed="false">
      <c r="A121" s="44" t="str">
        <f aca="false">IF(CARGA_DIARIA!A121="","",CARGA_DIARIA!A121)</f>
        <v/>
      </c>
      <c r="B121" s="45" t="str">
        <f aca="false">IF(CARGA_DIARIA!A121="","",CARGA_DIARIA!B121)</f>
        <v/>
      </c>
      <c r="C121" s="46" t="str">
        <f aca="false"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47" t="str">
        <f aca="false"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47" t="str">
        <f aca="false">IF(CARGA_DIARIA!A121="","",IF(CARGA_DIARIA!B121=0,0,(CARGA_DIARIA!X121+CARGA_DIARIA!Y121+CARGA_DIARIA!Z121+CARGA_DIARIA!AA121)/CARGA_DIARIA!B121+CARGA_DIARIA!AB121+CARGA_DIARIA!AC121+CARGA_DIARIA!AD121+CARGA_DIARIA!AE121))</f>
        <v/>
      </c>
      <c r="F121" s="50" t="s">
        <v>146</v>
      </c>
      <c r="G121" s="50" t="s">
        <v>146</v>
      </c>
      <c r="H121" s="49" t="str">
        <f aca="false">IF(CARGA_DIARIA!A121="","",C121-D121-E121)</f>
        <v/>
      </c>
    </row>
    <row r="122" customFormat="false" ht="15.75" hidden="false" customHeight="true" outlineLevel="0" collapsed="false">
      <c r="A122" s="44" t="str">
        <f aca="false">IF(CARGA_DIARIA!A122="","",CARGA_DIARIA!A122)</f>
        <v/>
      </c>
      <c r="B122" s="45" t="str">
        <f aca="false">IF(CARGA_DIARIA!A122="","",CARGA_DIARIA!B122)</f>
        <v/>
      </c>
      <c r="C122" s="46" t="str">
        <f aca="false"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47" t="str">
        <f aca="false"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47" t="str">
        <f aca="false">IF(CARGA_DIARIA!A122="","",IF(CARGA_DIARIA!B122=0,0,(CARGA_DIARIA!X122+CARGA_DIARIA!Y122+CARGA_DIARIA!Z122+CARGA_DIARIA!AA122)/CARGA_DIARIA!B122+CARGA_DIARIA!AB122+CARGA_DIARIA!AC122+CARGA_DIARIA!AD122+CARGA_DIARIA!AE122))</f>
        <v/>
      </c>
      <c r="F122" s="50" t="s">
        <v>146</v>
      </c>
      <c r="G122" s="50" t="s">
        <v>146</v>
      </c>
      <c r="H122" s="49" t="str">
        <f aca="false">IF(CARGA_DIARIA!A122="","",C122-D122-E122)</f>
        <v/>
      </c>
    </row>
    <row r="123" customFormat="false" ht="15.75" hidden="false" customHeight="true" outlineLevel="0" collapsed="false">
      <c r="A123" s="44" t="str">
        <f aca="false">IF(CARGA_DIARIA!A123="","",CARGA_DIARIA!A123)</f>
        <v/>
      </c>
      <c r="B123" s="45" t="str">
        <f aca="false">IF(CARGA_DIARIA!A123="","",CARGA_DIARIA!B123)</f>
        <v/>
      </c>
      <c r="C123" s="46" t="str">
        <f aca="false"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47" t="str">
        <f aca="false"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47" t="str">
        <f aca="false">IF(CARGA_DIARIA!A123="","",IF(CARGA_DIARIA!B123=0,0,(CARGA_DIARIA!X123+CARGA_DIARIA!Y123+CARGA_DIARIA!Z123+CARGA_DIARIA!AA123)/CARGA_DIARIA!B123+CARGA_DIARIA!AB123+CARGA_DIARIA!AC123+CARGA_DIARIA!AD123+CARGA_DIARIA!AE123))</f>
        <v/>
      </c>
      <c r="F123" s="50" t="s">
        <v>146</v>
      </c>
      <c r="G123" s="50" t="s">
        <v>146</v>
      </c>
      <c r="H123" s="49" t="str">
        <f aca="false">IF(CARGA_DIARIA!A123="","",C123-D123-E123)</f>
        <v/>
      </c>
    </row>
    <row r="124" customFormat="false" ht="15.75" hidden="false" customHeight="true" outlineLevel="0" collapsed="false">
      <c r="A124" s="44" t="str">
        <f aca="false">IF(CARGA_DIARIA!A124="","",CARGA_DIARIA!A124)</f>
        <v/>
      </c>
      <c r="B124" s="45" t="str">
        <f aca="false">IF(CARGA_DIARIA!A124="","",CARGA_DIARIA!B124)</f>
        <v/>
      </c>
      <c r="C124" s="46" t="str">
        <f aca="false"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47" t="str">
        <f aca="false"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47" t="str">
        <f aca="false">IF(CARGA_DIARIA!A124="","",IF(CARGA_DIARIA!B124=0,0,(CARGA_DIARIA!X124+CARGA_DIARIA!Y124+CARGA_DIARIA!Z124+CARGA_DIARIA!AA124)/CARGA_DIARIA!B124+CARGA_DIARIA!AB124+CARGA_DIARIA!AC124+CARGA_DIARIA!AD124+CARGA_DIARIA!AE124))</f>
        <v/>
      </c>
      <c r="F124" s="50" t="s">
        <v>146</v>
      </c>
      <c r="G124" s="50" t="s">
        <v>146</v>
      </c>
      <c r="H124" s="49" t="str">
        <f aca="false">IF(CARGA_DIARIA!A124="","",C124-D124-E124)</f>
        <v/>
      </c>
    </row>
    <row r="125" customFormat="false" ht="15.75" hidden="false" customHeight="true" outlineLevel="0" collapsed="false">
      <c r="A125" s="44" t="str">
        <f aca="false">IF(CARGA_DIARIA!A125="","",CARGA_DIARIA!A125)</f>
        <v/>
      </c>
      <c r="B125" s="45" t="str">
        <f aca="false">IF(CARGA_DIARIA!A125="","",CARGA_DIARIA!B125)</f>
        <v/>
      </c>
      <c r="C125" s="46" t="str">
        <f aca="false"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47" t="str">
        <f aca="false"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47" t="str">
        <f aca="false">IF(CARGA_DIARIA!A125="","",IF(CARGA_DIARIA!B125=0,0,(CARGA_DIARIA!X125+CARGA_DIARIA!Y125+CARGA_DIARIA!Z125+CARGA_DIARIA!AA125)/CARGA_DIARIA!B125+CARGA_DIARIA!AB125+CARGA_DIARIA!AC125+CARGA_DIARIA!AD125+CARGA_DIARIA!AE125))</f>
        <v/>
      </c>
      <c r="F125" s="50" t="s">
        <v>146</v>
      </c>
      <c r="G125" s="50" t="s">
        <v>146</v>
      </c>
      <c r="H125" s="49" t="str">
        <f aca="false">IF(CARGA_DIARIA!A125="","",C125-D125-E125)</f>
        <v/>
      </c>
    </row>
    <row r="126" customFormat="false" ht="15.75" hidden="false" customHeight="true" outlineLevel="0" collapsed="false">
      <c r="A126" s="44" t="str">
        <f aca="false">IF(CARGA_DIARIA!A126="","",CARGA_DIARIA!A126)</f>
        <v/>
      </c>
      <c r="B126" s="45" t="str">
        <f aca="false">IF(CARGA_DIARIA!A126="","",CARGA_DIARIA!B126)</f>
        <v/>
      </c>
      <c r="C126" s="46" t="str">
        <f aca="false"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47" t="str">
        <f aca="false"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47" t="str">
        <f aca="false">IF(CARGA_DIARIA!A126="","",IF(CARGA_DIARIA!B126=0,0,(CARGA_DIARIA!X126+CARGA_DIARIA!Y126+CARGA_DIARIA!Z126+CARGA_DIARIA!AA126)/CARGA_DIARIA!B126+CARGA_DIARIA!AB126+CARGA_DIARIA!AC126+CARGA_DIARIA!AD126+CARGA_DIARIA!AE126))</f>
        <v/>
      </c>
      <c r="F126" s="50" t="s">
        <v>146</v>
      </c>
      <c r="G126" s="50" t="s">
        <v>146</v>
      </c>
      <c r="H126" s="49" t="str">
        <f aca="false">IF(CARGA_DIARIA!A126="","",C126-D126-E126)</f>
        <v/>
      </c>
    </row>
    <row r="127" customFormat="false" ht="15.75" hidden="false" customHeight="true" outlineLevel="0" collapsed="false">
      <c r="A127" s="44" t="str">
        <f aca="false">IF(CARGA_DIARIA!A127="","",CARGA_DIARIA!A127)</f>
        <v/>
      </c>
      <c r="B127" s="45" t="str">
        <f aca="false">IF(CARGA_DIARIA!A127="","",CARGA_DIARIA!B127)</f>
        <v/>
      </c>
      <c r="C127" s="46" t="str">
        <f aca="false"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47" t="str">
        <f aca="false"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47" t="str">
        <f aca="false">IF(CARGA_DIARIA!A127="","",IF(CARGA_DIARIA!B127=0,0,(CARGA_DIARIA!X127+CARGA_DIARIA!Y127+CARGA_DIARIA!Z127+CARGA_DIARIA!AA127)/CARGA_DIARIA!B127+CARGA_DIARIA!AB127+CARGA_DIARIA!AC127+CARGA_DIARIA!AD127+CARGA_DIARIA!AE127))</f>
        <v/>
      </c>
      <c r="F127" s="50" t="s">
        <v>146</v>
      </c>
      <c r="G127" s="50" t="s">
        <v>146</v>
      </c>
      <c r="H127" s="49" t="str">
        <f aca="false">IF(CARGA_DIARIA!A127="","",C127-D127-E127)</f>
        <v/>
      </c>
    </row>
    <row r="128" customFormat="false" ht="15.75" hidden="false" customHeight="true" outlineLevel="0" collapsed="false">
      <c r="A128" s="44" t="str">
        <f aca="false">IF(CARGA_DIARIA!A128="","",CARGA_DIARIA!A128)</f>
        <v/>
      </c>
      <c r="B128" s="45" t="str">
        <f aca="false">IF(CARGA_DIARIA!A128="","",CARGA_DIARIA!B128)</f>
        <v/>
      </c>
      <c r="C128" s="46" t="str">
        <f aca="false"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47" t="str">
        <f aca="false"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47" t="str">
        <f aca="false">IF(CARGA_DIARIA!A128="","",IF(CARGA_DIARIA!B128=0,0,(CARGA_DIARIA!X128+CARGA_DIARIA!Y128+CARGA_DIARIA!Z128+CARGA_DIARIA!AA128)/CARGA_DIARIA!B128+CARGA_DIARIA!AB128+CARGA_DIARIA!AC128+CARGA_DIARIA!AD128+CARGA_DIARIA!AE128))</f>
        <v/>
      </c>
      <c r="F128" s="50" t="s">
        <v>146</v>
      </c>
      <c r="G128" s="50" t="s">
        <v>146</v>
      </c>
      <c r="H128" s="49" t="str">
        <f aca="false">IF(CARGA_DIARIA!A128="","",C128-D128-E128)</f>
        <v/>
      </c>
    </row>
    <row r="129" customFormat="false" ht="15.75" hidden="false" customHeight="true" outlineLevel="0" collapsed="false">
      <c r="A129" s="44" t="str">
        <f aca="false">IF(CARGA_DIARIA!A129="","",CARGA_DIARIA!A129)</f>
        <v/>
      </c>
      <c r="B129" s="45" t="str">
        <f aca="false">IF(CARGA_DIARIA!A129="","",CARGA_DIARIA!B129)</f>
        <v/>
      </c>
      <c r="C129" s="46" t="str">
        <f aca="false"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47" t="str">
        <f aca="false"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47" t="str">
        <f aca="false">IF(CARGA_DIARIA!A129="","",IF(CARGA_DIARIA!B129=0,0,(CARGA_DIARIA!X129+CARGA_DIARIA!Y129+CARGA_DIARIA!Z129+CARGA_DIARIA!AA129)/CARGA_DIARIA!B129+CARGA_DIARIA!AB129+CARGA_DIARIA!AC129+CARGA_DIARIA!AD129+CARGA_DIARIA!AE129))</f>
        <v/>
      </c>
      <c r="F129" s="50" t="s">
        <v>146</v>
      </c>
      <c r="G129" s="50" t="s">
        <v>146</v>
      </c>
      <c r="H129" s="49" t="str">
        <f aca="false">IF(CARGA_DIARIA!A129="","",C129-D129-E129)</f>
        <v/>
      </c>
    </row>
    <row r="130" customFormat="false" ht="15.75" hidden="false" customHeight="true" outlineLevel="0" collapsed="false">
      <c r="A130" s="44" t="str">
        <f aca="false">IF(CARGA_DIARIA!A130="","",CARGA_DIARIA!A130)</f>
        <v/>
      </c>
      <c r="B130" s="45" t="str">
        <f aca="false">IF(CARGA_DIARIA!A130="","",CARGA_DIARIA!B130)</f>
        <v/>
      </c>
      <c r="C130" s="46" t="str">
        <f aca="false"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47" t="str">
        <f aca="false"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47" t="str">
        <f aca="false">IF(CARGA_DIARIA!A130="","",IF(CARGA_DIARIA!B130=0,0,(CARGA_DIARIA!X130+CARGA_DIARIA!Y130+CARGA_DIARIA!Z130+CARGA_DIARIA!AA130)/CARGA_DIARIA!B130+CARGA_DIARIA!AB130+CARGA_DIARIA!AC130+CARGA_DIARIA!AD130+CARGA_DIARIA!AE130))</f>
        <v/>
      </c>
      <c r="F130" s="50" t="s">
        <v>146</v>
      </c>
      <c r="G130" s="50" t="s">
        <v>146</v>
      </c>
      <c r="H130" s="49" t="str">
        <f aca="false">IF(CARGA_DIARIA!A130="","",C130-D130-E130)</f>
        <v/>
      </c>
    </row>
    <row r="131" customFormat="false" ht="15.75" hidden="false" customHeight="true" outlineLevel="0" collapsed="false">
      <c r="A131" s="44" t="str">
        <f aca="false">IF(CARGA_DIARIA!A131="","",CARGA_DIARIA!A131)</f>
        <v/>
      </c>
      <c r="B131" s="45" t="str">
        <f aca="false">IF(CARGA_DIARIA!A131="","",CARGA_DIARIA!B131)</f>
        <v/>
      </c>
      <c r="C131" s="46" t="str">
        <f aca="false"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47" t="str">
        <f aca="false"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47" t="str">
        <f aca="false">IF(CARGA_DIARIA!A131="","",IF(CARGA_DIARIA!B131=0,0,(CARGA_DIARIA!X131+CARGA_DIARIA!Y131+CARGA_DIARIA!Z131+CARGA_DIARIA!AA131)/CARGA_DIARIA!B131+CARGA_DIARIA!AB131+CARGA_DIARIA!AC131+CARGA_DIARIA!AD131+CARGA_DIARIA!AE131))</f>
        <v/>
      </c>
      <c r="F131" s="50" t="s">
        <v>146</v>
      </c>
      <c r="G131" s="50" t="s">
        <v>146</v>
      </c>
      <c r="H131" s="49" t="str">
        <f aca="false">IF(CARGA_DIARIA!A131="","",C131-D131-E131)</f>
        <v/>
      </c>
    </row>
    <row r="132" customFormat="false" ht="15.75" hidden="false" customHeight="true" outlineLevel="0" collapsed="false">
      <c r="A132" s="44" t="str">
        <f aca="false">IF(CARGA_DIARIA!A132="","",CARGA_DIARIA!A132)</f>
        <v/>
      </c>
      <c r="B132" s="45" t="str">
        <f aca="false">IF(CARGA_DIARIA!A132="","",CARGA_DIARIA!B132)</f>
        <v/>
      </c>
      <c r="C132" s="46" t="str">
        <f aca="false"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47" t="str">
        <f aca="false"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47" t="str">
        <f aca="false">IF(CARGA_DIARIA!A132="","",IF(CARGA_DIARIA!B132=0,0,(CARGA_DIARIA!X132+CARGA_DIARIA!Y132+CARGA_DIARIA!Z132+CARGA_DIARIA!AA132)/CARGA_DIARIA!B132+CARGA_DIARIA!AB132+CARGA_DIARIA!AC132+CARGA_DIARIA!AD132+CARGA_DIARIA!AE132))</f>
        <v/>
      </c>
      <c r="F132" s="50" t="s">
        <v>146</v>
      </c>
      <c r="G132" s="50" t="s">
        <v>146</v>
      </c>
      <c r="H132" s="49" t="str">
        <f aca="false">IF(CARGA_DIARIA!A132="","",C132-D132-E132)</f>
        <v/>
      </c>
    </row>
    <row r="133" customFormat="false" ht="15.75" hidden="false" customHeight="true" outlineLevel="0" collapsed="false">
      <c r="A133" s="44" t="str">
        <f aca="false">IF(CARGA_DIARIA!A133="","",CARGA_DIARIA!A133)</f>
        <v/>
      </c>
      <c r="B133" s="45" t="str">
        <f aca="false">IF(CARGA_DIARIA!A133="","",CARGA_DIARIA!B133)</f>
        <v/>
      </c>
      <c r="C133" s="46" t="str">
        <f aca="false"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47" t="str">
        <f aca="false"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47" t="str">
        <f aca="false">IF(CARGA_DIARIA!A133="","",IF(CARGA_DIARIA!B133=0,0,(CARGA_DIARIA!X133+CARGA_DIARIA!Y133+CARGA_DIARIA!Z133+CARGA_DIARIA!AA133)/CARGA_DIARIA!B133+CARGA_DIARIA!AB133+CARGA_DIARIA!AC133+CARGA_DIARIA!AD133+CARGA_DIARIA!AE133))</f>
        <v/>
      </c>
      <c r="F133" s="50" t="s">
        <v>146</v>
      </c>
      <c r="G133" s="50" t="s">
        <v>146</v>
      </c>
      <c r="H133" s="49" t="str">
        <f aca="false">IF(CARGA_DIARIA!A133="","",C133-D133-E133)</f>
        <v/>
      </c>
    </row>
    <row r="134" customFormat="false" ht="15.75" hidden="false" customHeight="true" outlineLevel="0" collapsed="false">
      <c r="A134" s="44" t="str">
        <f aca="false">IF(CARGA_DIARIA!A134="","",CARGA_DIARIA!A134)</f>
        <v/>
      </c>
      <c r="B134" s="45" t="str">
        <f aca="false">IF(CARGA_DIARIA!A134="","",CARGA_DIARIA!B134)</f>
        <v/>
      </c>
      <c r="C134" s="46" t="str">
        <f aca="false"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47" t="str">
        <f aca="false"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47" t="str">
        <f aca="false">IF(CARGA_DIARIA!A134="","",IF(CARGA_DIARIA!B134=0,0,(CARGA_DIARIA!X134+CARGA_DIARIA!Y134+CARGA_DIARIA!Z134+CARGA_DIARIA!AA134)/CARGA_DIARIA!B134+CARGA_DIARIA!AB134+CARGA_DIARIA!AC134+CARGA_DIARIA!AD134+CARGA_DIARIA!AE134))</f>
        <v/>
      </c>
      <c r="F134" s="50" t="s">
        <v>146</v>
      </c>
      <c r="G134" s="50" t="s">
        <v>146</v>
      </c>
      <c r="H134" s="49" t="str">
        <f aca="false">IF(CARGA_DIARIA!A134="","",C134-D134-E134)</f>
        <v/>
      </c>
    </row>
    <row r="135" customFormat="false" ht="15.75" hidden="false" customHeight="true" outlineLevel="0" collapsed="false">
      <c r="A135" s="44" t="str">
        <f aca="false">IF(CARGA_DIARIA!A135="","",CARGA_DIARIA!A135)</f>
        <v/>
      </c>
      <c r="B135" s="45" t="str">
        <f aca="false">IF(CARGA_DIARIA!A135="","",CARGA_DIARIA!B135)</f>
        <v/>
      </c>
      <c r="C135" s="46" t="str">
        <f aca="false"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47" t="str">
        <f aca="false"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47" t="str">
        <f aca="false">IF(CARGA_DIARIA!A135="","",IF(CARGA_DIARIA!B135=0,0,(CARGA_DIARIA!X135+CARGA_DIARIA!Y135+CARGA_DIARIA!Z135+CARGA_DIARIA!AA135)/CARGA_DIARIA!B135+CARGA_DIARIA!AB135+CARGA_DIARIA!AC135+CARGA_DIARIA!AD135+CARGA_DIARIA!AE135))</f>
        <v/>
      </c>
      <c r="F135" s="50" t="s">
        <v>146</v>
      </c>
      <c r="G135" s="50" t="s">
        <v>146</v>
      </c>
      <c r="H135" s="49" t="str">
        <f aca="false">IF(CARGA_DIARIA!A135="","",C135-D135-E135)</f>
        <v/>
      </c>
    </row>
    <row r="136" customFormat="false" ht="15.75" hidden="false" customHeight="true" outlineLevel="0" collapsed="false">
      <c r="A136" s="44" t="str">
        <f aca="false">IF(CARGA_DIARIA!A136="","",CARGA_DIARIA!A136)</f>
        <v/>
      </c>
      <c r="B136" s="45" t="str">
        <f aca="false">IF(CARGA_DIARIA!A136="","",CARGA_DIARIA!B136)</f>
        <v/>
      </c>
      <c r="C136" s="46" t="str">
        <f aca="false"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47" t="str">
        <f aca="false"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47" t="str">
        <f aca="false">IF(CARGA_DIARIA!A136="","",IF(CARGA_DIARIA!B136=0,0,(CARGA_DIARIA!X136+CARGA_DIARIA!Y136+CARGA_DIARIA!Z136+CARGA_DIARIA!AA136)/CARGA_DIARIA!B136+CARGA_DIARIA!AB136+CARGA_DIARIA!AC136+CARGA_DIARIA!AD136+CARGA_DIARIA!AE136))</f>
        <v/>
      </c>
      <c r="F136" s="50" t="s">
        <v>146</v>
      </c>
      <c r="G136" s="50" t="s">
        <v>146</v>
      </c>
      <c r="H136" s="49" t="str">
        <f aca="false">IF(CARGA_DIARIA!A136="","",C136-D136-E136)</f>
        <v/>
      </c>
    </row>
    <row r="137" customFormat="false" ht="15.75" hidden="false" customHeight="true" outlineLevel="0" collapsed="false">
      <c r="A137" s="44" t="str">
        <f aca="false">IF(CARGA_DIARIA!A137="","",CARGA_DIARIA!A137)</f>
        <v/>
      </c>
      <c r="B137" s="45" t="str">
        <f aca="false">IF(CARGA_DIARIA!A137="","",CARGA_DIARIA!B137)</f>
        <v/>
      </c>
      <c r="C137" s="46" t="str">
        <f aca="false"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47" t="str">
        <f aca="false"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47" t="str">
        <f aca="false">IF(CARGA_DIARIA!A137="","",IF(CARGA_DIARIA!B137=0,0,(CARGA_DIARIA!X137+CARGA_DIARIA!Y137+CARGA_DIARIA!Z137+CARGA_DIARIA!AA137)/CARGA_DIARIA!B137+CARGA_DIARIA!AB137+CARGA_DIARIA!AC137+CARGA_DIARIA!AD137+CARGA_DIARIA!AE137))</f>
        <v/>
      </c>
      <c r="F137" s="50" t="s">
        <v>146</v>
      </c>
      <c r="G137" s="50" t="s">
        <v>146</v>
      </c>
      <c r="H137" s="49" t="str">
        <f aca="false">IF(CARGA_DIARIA!A137="","",C137-D137-E137)</f>
        <v/>
      </c>
    </row>
    <row r="138" customFormat="false" ht="15.75" hidden="false" customHeight="true" outlineLevel="0" collapsed="false">
      <c r="A138" s="44" t="str">
        <f aca="false">IF(CARGA_DIARIA!A138="","",CARGA_DIARIA!A138)</f>
        <v/>
      </c>
      <c r="B138" s="45" t="str">
        <f aca="false">IF(CARGA_DIARIA!A138="","",CARGA_DIARIA!B138)</f>
        <v/>
      </c>
      <c r="C138" s="46" t="str">
        <f aca="false"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47" t="str">
        <f aca="false"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47" t="str">
        <f aca="false">IF(CARGA_DIARIA!A138="","",IF(CARGA_DIARIA!B138=0,0,(CARGA_DIARIA!X138+CARGA_DIARIA!Y138+CARGA_DIARIA!Z138+CARGA_DIARIA!AA138)/CARGA_DIARIA!B138+CARGA_DIARIA!AB138+CARGA_DIARIA!AC138+CARGA_DIARIA!AD138+CARGA_DIARIA!AE138))</f>
        <v/>
      </c>
      <c r="F138" s="50" t="s">
        <v>146</v>
      </c>
      <c r="G138" s="50" t="s">
        <v>146</v>
      </c>
      <c r="H138" s="49" t="str">
        <f aca="false">IF(CARGA_DIARIA!A138="","",C138-D138-E138)</f>
        <v/>
      </c>
    </row>
    <row r="139" customFormat="false" ht="15.75" hidden="false" customHeight="true" outlineLevel="0" collapsed="false">
      <c r="A139" s="44" t="str">
        <f aca="false">IF(CARGA_DIARIA!A139="","",CARGA_DIARIA!A139)</f>
        <v/>
      </c>
      <c r="B139" s="45" t="str">
        <f aca="false">IF(CARGA_DIARIA!A139="","",CARGA_DIARIA!B139)</f>
        <v/>
      </c>
      <c r="C139" s="46" t="str">
        <f aca="false"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47" t="str">
        <f aca="false"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47" t="str">
        <f aca="false">IF(CARGA_DIARIA!A139="","",IF(CARGA_DIARIA!B139=0,0,(CARGA_DIARIA!X139+CARGA_DIARIA!Y139+CARGA_DIARIA!Z139+CARGA_DIARIA!AA139)/CARGA_DIARIA!B139+CARGA_DIARIA!AB139+CARGA_DIARIA!AC139+CARGA_DIARIA!AD139+CARGA_DIARIA!AE139))</f>
        <v/>
      </c>
      <c r="F139" s="50" t="s">
        <v>146</v>
      </c>
      <c r="G139" s="50" t="s">
        <v>146</v>
      </c>
      <c r="H139" s="49" t="str">
        <f aca="false">IF(CARGA_DIARIA!A139="","",C139-D139-E139)</f>
        <v/>
      </c>
    </row>
    <row r="140" customFormat="false" ht="15.75" hidden="false" customHeight="true" outlineLevel="0" collapsed="false">
      <c r="A140" s="44" t="str">
        <f aca="false">IF(CARGA_DIARIA!A140="","",CARGA_DIARIA!A140)</f>
        <v/>
      </c>
      <c r="B140" s="45" t="str">
        <f aca="false">IF(CARGA_DIARIA!A140="","",CARGA_DIARIA!B140)</f>
        <v/>
      </c>
      <c r="C140" s="46" t="str">
        <f aca="false"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47" t="str">
        <f aca="false"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47" t="str">
        <f aca="false">IF(CARGA_DIARIA!A140="","",IF(CARGA_DIARIA!B140=0,0,(CARGA_DIARIA!X140+CARGA_DIARIA!Y140+CARGA_DIARIA!Z140+CARGA_DIARIA!AA140)/CARGA_DIARIA!B140+CARGA_DIARIA!AB140+CARGA_DIARIA!AC140+CARGA_DIARIA!AD140+CARGA_DIARIA!AE140))</f>
        <v/>
      </c>
      <c r="F140" s="50" t="s">
        <v>146</v>
      </c>
      <c r="G140" s="50" t="s">
        <v>146</v>
      </c>
      <c r="H140" s="49" t="str">
        <f aca="false">IF(CARGA_DIARIA!A140="","",C140-D140-E140)</f>
        <v/>
      </c>
    </row>
    <row r="141" customFormat="false" ht="15.75" hidden="false" customHeight="true" outlineLevel="0" collapsed="false">
      <c r="A141" s="44" t="str">
        <f aca="false">IF(CARGA_DIARIA!A141="","",CARGA_DIARIA!A141)</f>
        <v/>
      </c>
      <c r="B141" s="45" t="str">
        <f aca="false">IF(CARGA_DIARIA!A141="","",CARGA_DIARIA!B141)</f>
        <v/>
      </c>
      <c r="C141" s="46" t="str">
        <f aca="false"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47" t="str">
        <f aca="false"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47" t="str">
        <f aca="false">IF(CARGA_DIARIA!A141="","",IF(CARGA_DIARIA!B141=0,0,(CARGA_DIARIA!X141+CARGA_DIARIA!Y141+CARGA_DIARIA!Z141+CARGA_DIARIA!AA141)/CARGA_DIARIA!B141+CARGA_DIARIA!AB141+CARGA_DIARIA!AC141+CARGA_DIARIA!AD141+CARGA_DIARIA!AE141))</f>
        <v/>
      </c>
      <c r="F141" s="50" t="s">
        <v>146</v>
      </c>
      <c r="G141" s="50" t="s">
        <v>146</v>
      </c>
      <c r="H141" s="49" t="str">
        <f aca="false">IF(CARGA_DIARIA!A141="","",C141-D141-E141)</f>
        <v/>
      </c>
    </row>
    <row r="142" customFormat="false" ht="15.75" hidden="false" customHeight="true" outlineLevel="0" collapsed="false">
      <c r="A142" s="44" t="str">
        <f aca="false">IF(CARGA_DIARIA!A142="","",CARGA_DIARIA!A142)</f>
        <v/>
      </c>
      <c r="B142" s="45" t="str">
        <f aca="false">IF(CARGA_DIARIA!A142="","",CARGA_DIARIA!B142)</f>
        <v/>
      </c>
      <c r="C142" s="46" t="str">
        <f aca="false"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47" t="str">
        <f aca="false"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47" t="str">
        <f aca="false">IF(CARGA_DIARIA!A142="","",IF(CARGA_DIARIA!B142=0,0,(CARGA_DIARIA!X142+CARGA_DIARIA!Y142+CARGA_DIARIA!Z142+CARGA_DIARIA!AA142)/CARGA_DIARIA!B142+CARGA_DIARIA!AB142+CARGA_DIARIA!AC142+CARGA_DIARIA!AD142+CARGA_DIARIA!AE142))</f>
        <v/>
      </c>
      <c r="F142" s="50" t="s">
        <v>146</v>
      </c>
      <c r="G142" s="50" t="s">
        <v>146</v>
      </c>
      <c r="H142" s="49" t="str">
        <f aca="false">IF(CARGA_DIARIA!A142="","",C142-D142-E142)</f>
        <v/>
      </c>
    </row>
    <row r="143" customFormat="false" ht="15.75" hidden="false" customHeight="true" outlineLevel="0" collapsed="false">
      <c r="A143" s="44" t="str">
        <f aca="false">IF(CARGA_DIARIA!A143="","",CARGA_DIARIA!A143)</f>
        <v/>
      </c>
      <c r="B143" s="45" t="str">
        <f aca="false">IF(CARGA_DIARIA!A143="","",CARGA_DIARIA!B143)</f>
        <v/>
      </c>
      <c r="C143" s="46" t="str">
        <f aca="false"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47" t="str">
        <f aca="false"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47" t="str">
        <f aca="false">IF(CARGA_DIARIA!A143="","",IF(CARGA_DIARIA!B143=0,0,(CARGA_DIARIA!X143+CARGA_DIARIA!Y143+CARGA_DIARIA!Z143+CARGA_DIARIA!AA143)/CARGA_DIARIA!B143+CARGA_DIARIA!AB143+CARGA_DIARIA!AC143+CARGA_DIARIA!AD143+CARGA_DIARIA!AE143))</f>
        <v/>
      </c>
      <c r="F143" s="50" t="s">
        <v>146</v>
      </c>
      <c r="G143" s="50" t="s">
        <v>146</v>
      </c>
      <c r="H143" s="49" t="str">
        <f aca="false">IF(CARGA_DIARIA!A143="","",C143-D143-E143)</f>
        <v/>
      </c>
    </row>
    <row r="144" customFormat="false" ht="15.75" hidden="false" customHeight="true" outlineLevel="0" collapsed="false">
      <c r="A144" s="44" t="str">
        <f aca="false">IF(CARGA_DIARIA!A144="","",CARGA_DIARIA!A144)</f>
        <v/>
      </c>
      <c r="B144" s="45" t="str">
        <f aca="false">IF(CARGA_DIARIA!A144="","",CARGA_DIARIA!B144)</f>
        <v/>
      </c>
      <c r="C144" s="46" t="str">
        <f aca="false"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47" t="str">
        <f aca="false"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47" t="str">
        <f aca="false">IF(CARGA_DIARIA!A144="","",IF(CARGA_DIARIA!B144=0,0,(CARGA_DIARIA!X144+CARGA_DIARIA!Y144+CARGA_DIARIA!Z144+CARGA_DIARIA!AA144)/CARGA_DIARIA!B144+CARGA_DIARIA!AB144+CARGA_DIARIA!AC144+CARGA_DIARIA!AD144+CARGA_DIARIA!AE144))</f>
        <v/>
      </c>
      <c r="F144" s="50" t="s">
        <v>146</v>
      </c>
      <c r="G144" s="50" t="s">
        <v>146</v>
      </c>
      <c r="H144" s="49" t="str">
        <f aca="false">IF(CARGA_DIARIA!A144="","",C144-D144-E144)</f>
        <v/>
      </c>
    </row>
    <row r="145" customFormat="false" ht="15.75" hidden="false" customHeight="true" outlineLevel="0" collapsed="false">
      <c r="A145" s="44" t="str">
        <f aca="false">IF(CARGA_DIARIA!A145="","",CARGA_DIARIA!A145)</f>
        <v/>
      </c>
      <c r="B145" s="45" t="str">
        <f aca="false">IF(CARGA_DIARIA!A145="","",CARGA_DIARIA!B145)</f>
        <v/>
      </c>
      <c r="C145" s="46" t="str">
        <f aca="false"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47" t="str">
        <f aca="false"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47" t="str">
        <f aca="false">IF(CARGA_DIARIA!A145="","",IF(CARGA_DIARIA!B145=0,0,(CARGA_DIARIA!X145+CARGA_DIARIA!Y145+CARGA_DIARIA!Z145+CARGA_DIARIA!AA145)/CARGA_DIARIA!B145+CARGA_DIARIA!AB145+CARGA_DIARIA!AC145+CARGA_DIARIA!AD145+CARGA_DIARIA!AE145))</f>
        <v/>
      </c>
      <c r="F145" s="50" t="s">
        <v>146</v>
      </c>
      <c r="G145" s="50" t="s">
        <v>146</v>
      </c>
      <c r="H145" s="49" t="str">
        <f aca="false">IF(CARGA_DIARIA!A145="","",C145-D145-E145)</f>
        <v/>
      </c>
    </row>
    <row r="146" customFormat="false" ht="15.75" hidden="false" customHeight="true" outlineLevel="0" collapsed="false">
      <c r="A146" s="44" t="str">
        <f aca="false">IF(CARGA_DIARIA!A146="","",CARGA_DIARIA!A146)</f>
        <v/>
      </c>
      <c r="B146" s="45" t="str">
        <f aca="false">IF(CARGA_DIARIA!A146="","",CARGA_DIARIA!B146)</f>
        <v/>
      </c>
      <c r="C146" s="46" t="str">
        <f aca="false"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47" t="str">
        <f aca="false"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47" t="str">
        <f aca="false">IF(CARGA_DIARIA!A146="","",IF(CARGA_DIARIA!B146=0,0,(CARGA_DIARIA!X146+CARGA_DIARIA!Y146+CARGA_DIARIA!Z146+CARGA_DIARIA!AA146)/CARGA_DIARIA!B146+CARGA_DIARIA!AB146+CARGA_DIARIA!AC146+CARGA_DIARIA!AD146+CARGA_DIARIA!AE146))</f>
        <v/>
      </c>
      <c r="F146" s="50" t="s">
        <v>146</v>
      </c>
      <c r="G146" s="50" t="s">
        <v>146</v>
      </c>
      <c r="H146" s="49" t="str">
        <f aca="false">IF(CARGA_DIARIA!A146="","",C146-D146-E146)</f>
        <v/>
      </c>
    </row>
    <row r="147" customFormat="false" ht="15.75" hidden="false" customHeight="true" outlineLevel="0" collapsed="false">
      <c r="A147" s="44" t="str">
        <f aca="false">IF(CARGA_DIARIA!A147="","",CARGA_DIARIA!A147)</f>
        <v/>
      </c>
      <c r="B147" s="45" t="str">
        <f aca="false">IF(CARGA_DIARIA!A147="","",CARGA_DIARIA!B147)</f>
        <v/>
      </c>
      <c r="C147" s="46" t="str">
        <f aca="false"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47" t="str">
        <f aca="false"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47" t="str">
        <f aca="false">IF(CARGA_DIARIA!A147="","",IF(CARGA_DIARIA!B147=0,0,(CARGA_DIARIA!X147+CARGA_DIARIA!Y147+CARGA_DIARIA!Z147+CARGA_DIARIA!AA147)/CARGA_DIARIA!B147+CARGA_DIARIA!AB147+CARGA_DIARIA!AC147+CARGA_DIARIA!AD147+CARGA_DIARIA!AE147))</f>
        <v/>
      </c>
      <c r="F147" s="50" t="s">
        <v>146</v>
      </c>
      <c r="G147" s="50" t="s">
        <v>146</v>
      </c>
      <c r="H147" s="49" t="str">
        <f aca="false">IF(CARGA_DIARIA!A147="","",C147-D147-E147)</f>
        <v/>
      </c>
    </row>
    <row r="148" customFormat="false" ht="15.75" hidden="false" customHeight="true" outlineLevel="0" collapsed="false">
      <c r="A148" s="44" t="str">
        <f aca="false">IF(CARGA_DIARIA!A148="","",CARGA_DIARIA!A148)</f>
        <v/>
      </c>
      <c r="B148" s="45" t="str">
        <f aca="false">IF(CARGA_DIARIA!A148="","",CARGA_DIARIA!B148)</f>
        <v/>
      </c>
      <c r="C148" s="46" t="str">
        <f aca="false"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47" t="str">
        <f aca="false"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47" t="str">
        <f aca="false">IF(CARGA_DIARIA!A148="","",IF(CARGA_DIARIA!B148=0,0,(CARGA_DIARIA!X148+CARGA_DIARIA!Y148+CARGA_DIARIA!Z148+CARGA_DIARIA!AA148)/CARGA_DIARIA!B148+CARGA_DIARIA!AB148+CARGA_DIARIA!AC148+CARGA_DIARIA!AD148+CARGA_DIARIA!AE148))</f>
        <v/>
      </c>
      <c r="F148" s="50" t="s">
        <v>146</v>
      </c>
      <c r="G148" s="50" t="s">
        <v>146</v>
      </c>
      <c r="H148" s="49" t="str">
        <f aca="false">IF(CARGA_DIARIA!A148="","",C148-D148-E148)</f>
        <v/>
      </c>
    </row>
    <row r="149" customFormat="false" ht="15.75" hidden="false" customHeight="true" outlineLevel="0" collapsed="false">
      <c r="A149" s="44" t="str">
        <f aca="false">IF(CARGA_DIARIA!A149="","",CARGA_DIARIA!A149)</f>
        <v/>
      </c>
      <c r="B149" s="45" t="str">
        <f aca="false">IF(CARGA_DIARIA!A149="","",CARGA_DIARIA!B149)</f>
        <v/>
      </c>
      <c r="C149" s="46" t="str">
        <f aca="false"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47" t="str">
        <f aca="false"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47" t="str">
        <f aca="false">IF(CARGA_DIARIA!A149="","",IF(CARGA_DIARIA!B149=0,0,(CARGA_DIARIA!X149+CARGA_DIARIA!Y149+CARGA_DIARIA!Z149+CARGA_DIARIA!AA149)/CARGA_DIARIA!B149+CARGA_DIARIA!AB149+CARGA_DIARIA!AC149+CARGA_DIARIA!AD149+CARGA_DIARIA!AE149))</f>
        <v/>
      </c>
      <c r="F149" s="50" t="s">
        <v>146</v>
      </c>
      <c r="G149" s="50" t="s">
        <v>146</v>
      </c>
      <c r="H149" s="49" t="str">
        <f aca="false">IF(CARGA_DIARIA!A149="","",C149-D149-E149)</f>
        <v/>
      </c>
    </row>
    <row r="150" customFormat="false" ht="15.75" hidden="false" customHeight="true" outlineLevel="0" collapsed="false">
      <c r="A150" s="44" t="str">
        <f aca="false">IF(CARGA_DIARIA!A150="","",CARGA_DIARIA!A150)</f>
        <v/>
      </c>
      <c r="B150" s="45" t="str">
        <f aca="false">IF(CARGA_DIARIA!A150="","",CARGA_DIARIA!B150)</f>
        <v/>
      </c>
      <c r="C150" s="46" t="str">
        <f aca="false"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47" t="str">
        <f aca="false"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47" t="str">
        <f aca="false">IF(CARGA_DIARIA!A150="","",IF(CARGA_DIARIA!B150=0,0,(CARGA_DIARIA!X150+CARGA_DIARIA!Y150+CARGA_DIARIA!Z150+CARGA_DIARIA!AA150)/CARGA_DIARIA!B150+CARGA_DIARIA!AB150+CARGA_DIARIA!AC150+CARGA_DIARIA!AD150+CARGA_DIARIA!AE150))</f>
        <v/>
      </c>
      <c r="F150" s="50" t="s">
        <v>146</v>
      </c>
      <c r="G150" s="50" t="s">
        <v>146</v>
      </c>
      <c r="H150" s="49" t="str">
        <f aca="false">IF(CARGA_DIARIA!A150="","",C150-D150-E150)</f>
        <v/>
      </c>
    </row>
    <row r="151" customFormat="false" ht="15.75" hidden="false" customHeight="true" outlineLevel="0" collapsed="false">
      <c r="A151" s="44" t="str">
        <f aca="false">IF(CARGA_DIARIA!A151="","",CARGA_DIARIA!A151)</f>
        <v/>
      </c>
      <c r="B151" s="45" t="str">
        <f aca="false">IF(CARGA_DIARIA!A151="","",CARGA_DIARIA!B151)</f>
        <v/>
      </c>
      <c r="C151" s="46" t="str">
        <f aca="false"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47" t="str">
        <f aca="false"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47" t="str">
        <f aca="false">IF(CARGA_DIARIA!A151="","",IF(CARGA_DIARIA!B151=0,0,(CARGA_DIARIA!X151+CARGA_DIARIA!Y151+CARGA_DIARIA!Z151+CARGA_DIARIA!AA151)/CARGA_DIARIA!B151+CARGA_DIARIA!AB151+CARGA_DIARIA!AC151+CARGA_DIARIA!AD151+CARGA_DIARIA!AE151))</f>
        <v/>
      </c>
      <c r="F151" s="50" t="s">
        <v>146</v>
      </c>
      <c r="G151" s="50" t="s">
        <v>146</v>
      </c>
      <c r="H151" s="49" t="str">
        <f aca="false">IF(CARGA_DIARIA!A151="","",C151-D151-E151)</f>
        <v/>
      </c>
    </row>
    <row r="152" customFormat="false" ht="15.75" hidden="false" customHeight="true" outlineLevel="0" collapsed="false">
      <c r="A152" s="44" t="str">
        <f aca="false">IF(CARGA_DIARIA!A152="","",CARGA_DIARIA!A152)</f>
        <v/>
      </c>
      <c r="B152" s="45" t="str">
        <f aca="false">IF(CARGA_DIARIA!A152="","",CARGA_DIARIA!B152)</f>
        <v/>
      </c>
      <c r="C152" s="46" t="str">
        <f aca="false"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47" t="str">
        <f aca="false"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47" t="str">
        <f aca="false">IF(CARGA_DIARIA!A152="","",IF(CARGA_DIARIA!B152=0,0,(CARGA_DIARIA!X152+CARGA_DIARIA!Y152+CARGA_DIARIA!Z152+CARGA_DIARIA!AA152)/CARGA_DIARIA!B152+CARGA_DIARIA!AB152+CARGA_DIARIA!AC152+CARGA_DIARIA!AD152+CARGA_DIARIA!AE152))</f>
        <v/>
      </c>
      <c r="F152" s="50" t="s">
        <v>146</v>
      </c>
      <c r="G152" s="50" t="s">
        <v>146</v>
      </c>
      <c r="H152" s="49" t="str">
        <f aca="false">IF(CARGA_DIARIA!A152="","",C152-D152-E152)</f>
        <v/>
      </c>
    </row>
    <row r="153" customFormat="false" ht="15.75" hidden="false" customHeight="true" outlineLevel="0" collapsed="false">
      <c r="A153" s="44" t="str">
        <f aca="false">IF(CARGA_DIARIA!A153="","",CARGA_DIARIA!A153)</f>
        <v/>
      </c>
      <c r="B153" s="45" t="str">
        <f aca="false">IF(CARGA_DIARIA!A153="","",CARGA_DIARIA!B153)</f>
        <v/>
      </c>
      <c r="C153" s="46" t="str">
        <f aca="false"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47" t="str">
        <f aca="false"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47" t="str">
        <f aca="false">IF(CARGA_DIARIA!A153="","",IF(CARGA_DIARIA!B153=0,0,(CARGA_DIARIA!X153+CARGA_DIARIA!Y153+CARGA_DIARIA!Z153+CARGA_DIARIA!AA153)/CARGA_DIARIA!B153+CARGA_DIARIA!AB153+CARGA_DIARIA!AC153+CARGA_DIARIA!AD153+CARGA_DIARIA!AE153))</f>
        <v/>
      </c>
      <c r="F153" s="50" t="s">
        <v>146</v>
      </c>
      <c r="G153" s="50" t="s">
        <v>146</v>
      </c>
      <c r="H153" s="49" t="str">
        <f aca="false">IF(CARGA_DIARIA!A153="","",C153-D153-E153)</f>
        <v/>
      </c>
    </row>
    <row r="154" customFormat="false" ht="15.75" hidden="false" customHeight="true" outlineLevel="0" collapsed="false">
      <c r="A154" s="44" t="str">
        <f aca="false">IF(CARGA_DIARIA!A154="","",CARGA_DIARIA!A154)</f>
        <v/>
      </c>
      <c r="B154" s="45" t="str">
        <f aca="false">IF(CARGA_DIARIA!A154="","",CARGA_DIARIA!B154)</f>
        <v/>
      </c>
      <c r="C154" s="46" t="str">
        <f aca="false"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47" t="str">
        <f aca="false"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47" t="str">
        <f aca="false">IF(CARGA_DIARIA!A154="","",IF(CARGA_DIARIA!B154=0,0,(CARGA_DIARIA!X154+CARGA_DIARIA!Y154+CARGA_DIARIA!Z154+CARGA_DIARIA!AA154)/CARGA_DIARIA!B154+CARGA_DIARIA!AB154+CARGA_DIARIA!AC154+CARGA_DIARIA!AD154+CARGA_DIARIA!AE154))</f>
        <v/>
      </c>
      <c r="F154" s="50" t="s">
        <v>146</v>
      </c>
      <c r="G154" s="50" t="s">
        <v>146</v>
      </c>
      <c r="H154" s="49" t="str">
        <f aca="false">IF(CARGA_DIARIA!A154="","",C154-D154-E154)</f>
        <v/>
      </c>
    </row>
    <row r="155" customFormat="false" ht="15.75" hidden="false" customHeight="true" outlineLevel="0" collapsed="false">
      <c r="A155" s="44" t="str">
        <f aca="false">IF(CARGA_DIARIA!A155="","",CARGA_DIARIA!A155)</f>
        <v/>
      </c>
      <c r="B155" s="45" t="str">
        <f aca="false">IF(CARGA_DIARIA!A155="","",CARGA_DIARIA!B155)</f>
        <v/>
      </c>
      <c r="C155" s="46" t="str">
        <f aca="false"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47" t="str">
        <f aca="false"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47" t="str">
        <f aca="false">IF(CARGA_DIARIA!A155="","",IF(CARGA_DIARIA!B155=0,0,(CARGA_DIARIA!X155+CARGA_DIARIA!Y155+CARGA_DIARIA!Z155+CARGA_DIARIA!AA155)/CARGA_DIARIA!B155+CARGA_DIARIA!AB155+CARGA_DIARIA!AC155+CARGA_DIARIA!AD155+CARGA_DIARIA!AE155))</f>
        <v/>
      </c>
      <c r="F155" s="50" t="s">
        <v>146</v>
      </c>
      <c r="G155" s="50" t="s">
        <v>146</v>
      </c>
      <c r="H155" s="49" t="str">
        <f aca="false">IF(CARGA_DIARIA!A155="","",C155-D155-E155)</f>
        <v/>
      </c>
    </row>
    <row r="156" customFormat="false" ht="15.75" hidden="false" customHeight="true" outlineLevel="0" collapsed="false">
      <c r="A156" s="44" t="str">
        <f aca="false">IF(CARGA_DIARIA!A156="","",CARGA_DIARIA!A156)</f>
        <v/>
      </c>
      <c r="B156" s="45" t="str">
        <f aca="false">IF(CARGA_DIARIA!A156="","",CARGA_DIARIA!B156)</f>
        <v/>
      </c>
      <c r="C156" s="46" t="str">
        <f aca="false"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47" t="str">
        <f aca="false"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47" t="str">
        <f aca="false">IF(CARGA_DIARIA!A156="","",IF(CARGA_DIARIA!B156=0,0,(CARGA_DIARIA!X156+CARGA_DIARIA!Y156+CARGA_DIARIA!Z156+CARGA_DIARIA!AA156)/CARGA_DIARIA!B156+CARGA_DIARIA!AB156+CARGA_DIARIA!AC156+CARGA_DIARIA!AD156+CARGA_DIARIA!AE156))</f>
        <v/>
      </c>
      <c r="F156" s="50" t="s">
        <v>146</v>
      </c>
      <c r="G156" s="50" t="s">
        <v>146</v>
      </c>
      <c r="H156" s="49" t="str">
        <f aca="false">IF(CARGA_DIARIA!A156="","",C156-D156-E156)</f>
        <v/>
      </c>
    </row>
    <row r="157" customFormat="false" ht="15.75" hidden="false" customHeight="true" outlineLevel="0" collapsed="false">
      <c r="A157" s="44" t="str">
        <f aca="false">IF(CARGA_DIARIA!A157="","",CARGA_DIARIA!A157)</f>
        <v/>
      </c>
      <c r="B157" s="45" t="str">
        <f aca="false">IF(CARGA_DIARIA!A157="","",CARGA_DIARIA!B157)</f>
        <v/>
      </c>
      <c r="C157" s="46" t="str">
        <f aca="false"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47" t="str">
        <f aca="false"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47" t="str">
        <f aca="false">IF(CARGA_DIARIA!A157="","",IF(CARGA_DIARIA!B157=0,0,(CARGA_DIARIA!X157+CARGA_DIARIA!Y157+CARGA_DIARIA!Z157+CARGA_DIARIA!AA157)/CARGA_DIARIA!B157+CARGA_DIARIA!AB157+CARGA_DIARIA!AC157+CARGA_DIARIA!AD157+CARGA_DIARIA!AE157))</f>
        <v/>
      </c>
      <c r="F157" s="50" t="s">
        <v>146</v>
      </c>
      <c r="G157" s="50" t="s">
        <v>146</v>
      </c>
      <c r="H157" s="49" t="str">
        <f aca="false">IF(CARGA_DIARIA!A157="","",C157-D157-E157)</f>
        <v/>
      </c>
    </row>
    <row r="158" customFormat="false" ht="15.75" hidden="false" customHeight="true" outlineLevel="0" collapsed="false">
      <c r="A158" s="44" t="str">
        <f aca="false">IF(CARGA_DIARIA!A158="","",CARGA_DIARIA!A158)</f>
        <v/>
      </c>
      <c r="B158" s="45" t="str">
        <f aca="false">IF(CARGA_DIARIA!A158="","",CARGA_DIARIA!B158)</f>
        <v/>
      </c>
      <c r="C158" s="46" t="str">
        <f aca="false"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47" t="str">
        <f aca="false"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47" t="str">
        <f aca="false">IF(CARGA_DIARIA!A158="","",IF(CARGA_DIARIA!B158=0,0,(CARGA_DIARIA!X158+CARGA_DIARIA!Y158+CARGA_DIARIA!Z158+CARGA_DIARIA!AA158)/CARGA_DIARIA!B158+CARGA_DIARIA!AB158+CARGA_DIARIA!AC158+CARGA_DIARIA!AD158+CARGA_DIARIA!AE158))</f>
        <v/>
      </c>
      <c r="F158" s="50" t="s">
        <v>146</v>
      </c>
      <c r="G158" s="50" t="s">
        <v>146</v>
      </c>
      <c r="H158" s="49" t="str">
        <f aca="false">IF(CARGA_DIARIA!A158="","",C158-D158-E158)</f>
        <v/>
      </c>
    </row>
    <row r="159" customFormat="false" ht="15.75" hidden="false" customHeight="true" outlineLevel="0" collapsed="false">
      <c r="A159" s="44" t="str">
        <f aca="false">IF(CARGA_DIARIA!A159="","",CARGA_DIARIA!A159)</f>
        <v/>
      </c>
      <c r="B159" s="45" t="str">
        <f aca="false">IF(CARGA_DIARIA!A159="","",CARGA_DIARIA!B159)</f>
        <v/>
      </c>
      <c r="C159" s="46" t="str">
        <f aca="false"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47" t="str">
        <f aca="false"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47" t="str">
        <f aca="false">IF(CARGA_DIARIA!A159="","",IF(CARGA_DIARIA!B159=0,0,(CARGA_DIARIA!X159+CARGA_DIARIA!Y159+CARGA_DIARIA!Z159+CARGA_DIARIA!AA159)/CARGA_DIARIA!B159+CARGA_DIARIA!AB159+CARGA_DIARIA!AC159+CARGA_DIARIA!AD159+CARGA_DIARIA!AE159))</f>
        <v/>
      </c>
      <c r="F159" s="50" t="s">
        <v>146</v>
      </c>
      <c r="G159" s="50" t="s">
        <v>146</v>
      </c>
      <c r="H159" s="49" t="str">
        <f aca="false">IF(CARGA_DIARIA!A159="","",C159-D159-E159)</f>
        <v/>
      </c>
    </row>
    <row r="160" customFormat="false" ht="15.75" hidden="false" customHeight="true" outlineLevel="0" collapsed="false">
      <c r="A160" s="44" t="str">
        <f aca="false">IF(CARGA_DIARIA!A160="","",CARGA_DIARIA!A160)</f>
        <v/>
      </c>
      <c r="B160" s="45" t="str">
        <f aca="false">IF(CARGA_DIARIA!A160="","",CARGA_DIARIA!B160)</f>
        <v/>
      </c>
      <c r="C160" s="46" t="str">
        <f aca="false"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47" t="str">
        <f aca="false"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47" t="str">
        <f aca="false">IF(CARGA_DIARIA!A160="","",IF(CARGA_DIARIA!B160=0,0,(CARGA_DIARIA!X160+CARGA_DIARIA!Y160+CARGA_DIARIA!Z160+CARGA_DIARIA!AA160)/CARGA_DIARIA!B160+CARGA_DIARIA!AB160+CARGA_DIARIA!AC160+CARGA_DIARIA!AD160+CARGA_DIARIA!AE160))</f>
        <v/>
      </c>
      <c r="F160" s="50" t="s">
        <v>146</v>
      </c>
      <c r="G160" s="50" t="s">
        <v>146</v>
      </c>
      <c r="H160" s="49" t="str">
        <f aca="false">IF(CARGA_DIARIA!A160="","",C160-D160-E160)</f>
        <v/>
      </c>
    </row>
    <row r="161" customFormat="false" ht="15.75" hidden="false" customHeight="true" outlineLevel="0" collapsed="false">
      <c r="A161" s="44" t="str">
        <f aca="false">IF(CARGA_DIARIA!A161="","",CARGA_DIARIA!A161)</f>
        <v/>
      </c>
      <c r="B161" s="45" t="str">
        <f aca="false">IF(CARGA_DIARIA!A161="","",CARGA_DIARIA!B161)</f>
        <v/>
      </c>
      <c r="C161" s="46" t="str">
        <f aca="false"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47" t="str">
        <f aca="false"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47" t="str">
        <f aca="false">IF(CARGA_DIARIA!A161="","",IF(CARGA_DIARIA!B161=0,0,(CARGA_DIARIA!X161+CARGA_DIARIA!Y161+CARGA_DIARIA!Z161+CARGA_DIARIA!AA161)/CARGA_DIARIA!B161+CARGA_DIARIA!AB161+CARGA_DIARIA!AC161+CARGA_DIARIA!AD161+CARGA_DIARIA!AE161))</f>
        <v/>
      </c>
      <c r="F161" s="50" t="s">
        <v>146</v>
      </c>
      <c r="G161" s="50" t="s">
        <v>146</v>
      </c>
      <c r="H161" s="49" t="str">
        <f aca="false">IF(CARGA_DIARIA!A161="","",C161-D161-E161)</f>
        <v/>
      </c>
    </row>
    <row r="162" customFormat="false" ht="15.75" hidden="false" customHeight="true" outlineLevel="0" collapsed="false">
      <c r="A162" s="44" t="str">
        <f aca="false">IF(CARGA_DIARIA!A162="","",CARGA_DIARIA!A162)</f>
        <v/>
      </c>
      <c r="B162" s="45" t="str">
        <f aca="false">IF(CARGA_DIARIA!A162="","",CARGA_DIARIA!B162)</f>
        <v/>
      </c>
      <c r="C162" s="46" t="str">
        <f aca="false"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47" t="str">
        <f aca="false"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47" t="str">
        <f aca="false">IF(CARGA_DIARIA!A162="","",IF(CARGA_DIARIA!B162=0,0,(CARGA_DIARIA!X162+CARGA_DIARIA!Y162+CARGA_DIARIA!Z162+CARGA_DIARIA!AA162)/CARGA_DIARIA!B162+CARGA_DIARIA!AB162+CARGA_DIARIA!AC162+CARGA_DIARIA!AD162+CARGA_DIARIA!AE162))</f>
        <v/>
      </c>
      <c r="F162" s="50" t="s">
        <v>146</v>
      </c>
      <c r="G162" s="50" t="s">
        <v>146</v>
      </c>
      <c r="H162" s="49" t="str">
        <f aca="false">IF(CARGA_DIARIA!A162="","",C162-D162-E162)</f>
        <v/>
      </c>
    </row>
    <row r="163" customFormat="false" ht="15.75" hidden="false" customHeight="true" outlineLevel="0" collapsed="false">
      <c r="A163" s="44" t="str">
        <f aca="false">IF(CARGA_DIARIA!A163="","",CARGA_DIARIA!A163)</f>
        <v/>
      </c>
      <c r="B163" s="45" t="str">
        <f aca="false">IF(CARGA_DIARIA!A163="","",CARGA_DIARIA!B163)</f>
        <v/>
      </c>
      <c r="C163" s="46" t="str">
        <f aca="false"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47" t="str">
        <f aca="false"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47" t="str">
        <f aca="false">IF(CARGA_DIARIA!A163="","",IF(CARGA_DIARIA!B163=0,0,(CARGA_DIARIA!X163+CARGA_DIARIA!Y163+CARGA_DIARIA!Z163+CARGA_DIARIA!AA163)/CARGA_DIARIA!B163+CARGA_DIARIA!AB163+CARGA_DIARIA!AC163+CARGA_DIARIA!AD163+CARGA_DIARIA!AE163))</f>
        <v/>
      </c>
      <c r="F163" s="50" t="s">
        <v>146</v>
      </c>
      <c r="G163" s="50" t="s">
        <v>146</v>
      </c>
      <c r="H163" s="49" t="str">
        <f aca="false">IF(CARGA_DIARIA!A163="","",C163-D163-E163)</f>
        <v/>
      </c>
    </row>
    <row r="164" customFormat="false" ht="15.75" hidden="false" customHeight="true" outlineLevel="0" collapsed="false">
      <c r="A164" s="44" t="str">
        <f aca="false">IF(CARGA_DIARIA!A164="","",CARGA_DIARIA!A164)</f>
        <v/>
      </c>
      <c r="B164" s="45" t="str">
        <f aca="false">IF(CARGA_DIARIA!A164="","",CARGA_DIARIA!B164)</f>
        <v/>
      </c>
      <c r="C164" s="46" t="str">
        <f aca="false"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47" t="str">
        <f aca="false"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47" t="str">
        <f aca="false">IF(CARGA_DIARIA!A164="","",IF(CARGA_DIARIA!B164=0,0,(CARGA_DIARIA!X164+CARGA_DIARIA!Y164+CARGA_DIARIA!Z164+CARGA_DIARIA!AA164)/CARGA_DIARIA!B164+CARGA_DIARIA!AB164+CARGA_DIARIA!AC164+CARGA_DIARIA!AD164+CARGA_DIARIA!AE164))</f>
        <v/>
      </c>
      <c r="F164" s="50" t="s">
        <v>146</v>
      </c>
      <c r="G164" s="50" t="s">
        <v>146</v>
      </c>
      <c r="H164" s="49" t="str">
        <f aca="false">IF(CARGA_DIARIA!A164="","",C164-D164-E164)</f>
        <v/>
      </c>
    </row>
    <row r="165" customFormat="false" ht="15.75" hidden="false" customHeight="true" outlineLevel="0" collapsed="false">
      <c r="A165" s="44" t="str">
        <f aca="false">IF(CARGA_DIARIA!A165="","",CARGA_DIARIA!A165)</f>
        <v/>
      </c>
      <c r="B165" s="45" t="str">
        <f aca="false">IF(CARGA_DIARIA!A165="","",CARGA_DIARIA!B165)</f>
        <v/>
      </c>
      <c r="C165" s="46" t="str">
        <f aca="false"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47" t="str">
        <f aca="false"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47" t="str">
        <f aca="false">IF(CARGA_DIARIA!A165="","",IF(CARGA_DIARIA!B165=0,0,(CARGA_DIARIA!X165+CARGA_DIARIA!Y165+CARGA_DIARIA!Z165+CARGA_DIARIA!AA165)/CARGA_DIARIA!B165+CARGA_DIARIA!AB165+CARGA_DIARIA!AC165+CARGA_DIARIA!AD165+CARGA_DIARIA!AE165))</f>
        <v/>
      </c>
      <c r="F165" s="50" t="s">
        <v>146</v>
      </c>
      <c r="G165" s="50" t="s">
        <v>146</v>
      </c>
      <c r="H165" s="49" t="str">
        <f aca="false">IF(CARGA_DIARIA!A165="","",C165-D165-E165)</f>
        <v/>
      </c>
    </row>
    <row r="166" customFormat="false" ht="15.75" hidden="false" customHeight="true" outlineLevel="0" collapsed="false">
      <c r="A166" s="44" t="str">
        <f aca="false">IF(CARGA_DIARIA!A166="","",CARGA_DIARIA!A166)</f>
        <v/>
      </c>
      <c r="B166" s="45" t="str">
        <f aca="false">IF(CARGA_DIARIA!A166="","",CARGA_DIARIA!B166)</f>
        <v/>
      </c>
      <c r="C166" s="46" t="str">
        <f aca="false"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47" t="str">
        <f aca="false"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47" t="str">
        <f aca="false">IF(CARGA_DIARIA!A166="","",IF(CARGA_DIARIA!B166=0,0,(CARGA_DIARIA!X166+CARGA_DIARIA!Y166+CARGA_DIARIA!Z166+CARGA_DIARIA!AA166)/CARGA_DIARIA!B166+CARGA_DIARIA!AB166+CARGA_DIARIA!AC166+CARGA_DIARIA!AD166+CARGA_DIARIA!AE166))</f>
        <v/>
      </c>
      <c r="F166" s="50" t="s">
        <v>146</v>
      </c>
      <c r="G166" s="50" t="s">
        <v>146</v>
      </c>
      <c r="H166" s="49" t="str">
        <f aca="false">IF(CARGA_DIARIA!A166="","",C166-D166-E166)</f>
        <v/>
      </c>
    </row>
    <row r="167" customFormat="false" ht="15.75" hidden="false" customHeight="true" outlineLevel="0" collapsed="false">
      <c r="A167" s="44" t="str">
        <f aca="false">IF(CARGA_DIARIA!A167="","",CARGA_DIARIA!A167)</f>
        <v/>
      </c>
      <c r="B167" s="45" t="str">
        <f aca="false">IF(CARGA_DIARIA!A167="","",CARGA_DIARIA!B167)</f>
        <v/>
      </c>
      <c r="C167" s="46" t="str">
        <f aca="false"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47" t="str">
        <f aca="false"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47" t="str">
        <f aca="false">IF(CARGA_DIARIA!A167="","",IF(CARGA_DIARIA!B167=0,0,(CARGA_DIARIA!X167+CARGA_DIARIA!Y167+CARGA_DIARIA!Z167+CARGA_DIARIA!AA167)/CARGA_DIARIA!B167+CARGA_DIARIA!AB167+CARGA_DIARIA!AC167+CARGA_DIARIA!AD167+CARGA_DIARIA!AE167))</f>
        <v/>
      </c>
      <c r="F167" s="50" t="s">
        <v>146</v>
      </c>
      <c r="G167" s="50" t="s">
        <v>146</v>
      </c>
      <c r="H167" s="49" t="str">
        <f aca="false">IF(CARGA_DIARIA!A167="","",C167-D167-E167)</f>
        <v/>
      </c>
    </row>
    <row r="168" customFormat="false" ht="15.75" hidden="false" customHeight="true" outlineLevel="0" collapsed="false">
      <c r="A168" s="44" t="str">
        <f aca="false">IF(CARGA_DIARIA!A168="","",CARGA_DIARIA!A168)</f>
        <v/>
      </c>
      <c r="B168" s="45" t="str">
        <f aca="false">IF(CARGA_DIARIA!A168="","",CARGA_DIARIA!B168)</f>
        <v/>
      </c>
      <c r="C168" s="46" t="str">
        <f aca="false"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47" t="str">
        <f aca="false"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47" t="str">
        <f aca="false">IF(CARGA_DIARIA!A168="","",IF(CARGA_DIARIA!B168=0,0,(CARGA_DIARIA!X168+CARGA_DIARIA!Y168+CARGA_DIARIA!Z168+CARGA_DIARIA!AA168)/CARGA_DIARIA!B168+CARGA_DIARIA!AB168+CARGA_DIARIA!AC168+CARGA_DIARIA!AD168+CARGA_DIARIA!AE168))</f>
        <v/>
      </c>
      <c r="F168" s="50" t="s">
        <v>146</v>
      </c>
      <c r="G168" s="50" t="s">
        <v>146</v>
      </c>
      <c r="H168" s="49" t="str">
        <f aca="false">IF(CARGA_DIARIA!A168="","",C168-D168-E168)</f>
        <v/>
      </c>
    </row>
    <row r="169" customFormat="false" ht="15.75" hidden="false" customHeight="true" outlineLevel="0" collapsed="false">
      <c r="A169" s="44" t="str">
        <f aca="false">IF(CARGA_DIARIA!A169="","",CARGA_DIARIA!A169)</f>
        <v/>
      </c>
      <c r="B169" s="45" t="str">
        <f aca="false">IF(CARGA_DIARIA!A169="","",CARGA_DIARIA!B169)</f>
        <v/>
      </c>
      <c r="C169" s="46" t="str">
        <f aca="false"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47" t="str">
        <f aca="false"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47" t="str">
        <f aca="false">IF(CARGA_DIARIA!A169="","",IF(CARGA_DIARIA!B169=0,0,(CARGA_DIARIA!X169+CARGA_DIARIA!Y169+CARGA_DIARIA!Z169+CARGA_DIARIA!AA169)/CARGA_DIARIA!B169+CARGA_DIARIA!AB169+CARGA_DIARIA!AC169+CARGA_DIARIA!AD169+CARGA_DIARIA!AE169))</f>
        <v/>
      </c>
      <c r="F169" s="50" t="s">
        <v>146</v>
      </c>
      <c r="G169" s="50" t="s">
        <v>146</v>
      </c>
      <c r="H169" s="49" t="str">
        <f aca="false">IF(CARGA_DIARIA!A169="","",C169-D169-E169)</f>
        <v/>
      </c>
    </row>
    <row r="170" customFormat="false" ht="15.75" hidden="false" customHeight="true" outlineLevel="0" collapsed="false">
      <c r="A170" s="44" t="str">
        <f aca="false">IF(CARGA_DIARIA!A170="","",CARGA_DIARIA!A170)</f>
        <v/>
      </c>
      <c r="B170" s="45" t="str">
        <f aca="false">IF(CARGA_DIARIA!A170="","",CARGA_DIARIA!B170)</f>
        <v/>
      </c>
      <c r="C170" s="46" t="str">
        <f aca="false"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47" t="str">
        <f aca="false"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47" t="str">
        <f aca="false">IF(CARGA_DIARIA!A170="","",IF(CARGA_DIARIA!B170=0,0,(CARGA_DIARIA!X170+CARGA_DIARIA!Y170+CARGA_DIARIA!Z170+CARGA_DIARIA!AA170)/CARGA_DIARIA!B170+CARGA_DIARIA!AB170+CARGA_DIARIA!AC170+CARGA_DIARIA!AD170+CARGA_DIARIA!AE170))</f>
        <v/>
      </c>
      <c r="F170" s="50" t="s">
        <v>146</v>
      </c>
      <c r="G170" s="50" t="s">
        <v>146</v>
      </c>
      <c r="H170" s="49" t="str">
        <f aca="false">IF(CARGA_DIARIA!A170="","",C170-D170-E170)</f>
        <v/>
      </c>
    </row>
    <row r="171" customFormat="false" ht="15.75" hidden="false" customHeight="true" outlineLevel="0" collapsed="false">
      <c r="A171" s="44" t="str">
        <f aca="false">IF(CARGA_DIARIA!A171="","",CARGA_DIARIA!A171)</f>
        <v/>
      </c>
      <c r="B171" s="45" t="str">
        <f aca="false">IF(CARGA_DIARIA!A171="","",CARGA_DIARIA!B171)</f>
        <v/>
      </c>
      <c r="C171" s="46" t="str">
        <f aca="false"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47" t="str">
        <f aca="false"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47" t="str">
        <f aca="false">IF(CARGA_DIARIA!A171="","",IF(CARGA_DIARIA!B171=0,0,(CARGA_DIARIA!X171+CARGA_DIARIA!Y171+CARGA_DIARIA!Z171+CARGA_DIARIA!AA171)/CARGA_DIARIA!B171+CARGA_DIARIA!AB171+CARGA_DIARIA!AC171+CARGA_DIARIA!AD171+CARGA_DIARIA!AE171))</f>
        <v/>
      </c>
      <c r="F171" s="50" t="s">
        <v>146</v>
      </c>
      <c r="G171" s="50" t="s">
        <v>146</v>
      </c>
      <c r="H171" s="49" t="str">
        <f aca="false">IF(CARGA_DIARIA!A171="","",C171-D171-E171)</f>
        <v/>
      </c>
    </row>
    <row r="172" customFormat="false" ht="15.75" hidden="false" customHeight="true" outlineLevel="0" collapsed="false">
      <c r="A172" s="44" t="str">
        <f aca="false">IF(CARGA_DIARIA!A172="","",CARGA_DIARIA!A172)</f>
        <v/>
      </c>
      <c r="B172" s="45" t="str">
        <f aca="false">IF(CARGA_DIARIA!A172="","",CARGA_DIARIA!B172)</f>
        <v/>
      </c>
      <c r="C172" s="46" t="str">
        <f aca="false"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47" t="str">
        <f aca="false"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47" t="str">
        <f aca="false">IF(CARGA_DIARIA!A172="","",IF(CARGA_DIARIA!B172=0,0,(CARGA_DIARIA!X172+CARGA_DIARIA!Y172+CARGA_DIARIA!Z172+CARGA_DIARIA!AA172)/CARGA_DIARIA!B172+CARGA_DIARIA!AB172+CARGA_DIARIA!AC172+CARGA_DIARIA!AD172+CARGA_DIARIA!AE172))</f>
        <v/>
      </c>
      <c r="F172" s="50" t="s">
        <v>146</v>
      </c>
      <c r="G172" s="50" t="s">
        <v>146</v>
      </c>
      <c r="H172" s="49" t="str">
        <f aca="false">IF(CARGA_DIARIA!A172="","",C172-D172-E172)</f>
        <v/>
      </c>
    </row>
    <row r="173" customFormat="false" ht="15.75" hidden="false" customHeight="true" outlineLevel="0" collapsed="false">
      <c r="A173" s="44" t="str">
        <f aca="false">IF(CARGA_DIARIA!A173="","",CARGA_DIARIA!A173)</f>
        <v/>
      </c>
      <c r="B173" s="45" t="str">
        <f aca="false">IF(CARGA_DIARIA!A173="","",CARGA_DIARIA!B173)</f>
        <v/>
      </c>
      <c r="C173" s="46" t="str">
        <f aca="false"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47" t="str">
        <f aca="false"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47" t="str">
        <f aca="false">IF(CARGA_DIARIA!A173="","",IF(CARGA_DIARIA!B173=0,0,(CARGA_DIARIA!X173+CARGA_DIARIA!Y173+CARGA_DIARIA!Z173+CARGA_DIARIA!AA173)/CARGA_DIARIA!B173+CARGA_DIARIA!AB173+CARGA_DIARIA!AC173+CARGA_DIARIA!AD173+CARGA_DIARIA!AE173))</f>
        <v/>
      </c>
      <c r="F173" s="50" t="s">
        <v>146</v>
      </c>
      <c r="G173" s="50" t="s">
        <v>146</v>
      </c>
      <c r="H173" s="49" t="str">
        <f aca="false">IF(CARGA_DIARIA!A173="","",C173-D173-E173)</f>
        <v/>
      </c>
    </row>
    <row r="174" customFormat="false" ht="15.75" hidden="false" customHeight="true" outlineLevel="0" collapsed="false">
      <c r="A174" s="44" t="str">
        <f aca="false">IF(CARGA_DIARIA!A174="","",CARGA_DIARIA!A174)</f>
        <v/>
      </c>
      <c r="B174" s="45" t="str">
        <f aca="false">IF(CARGA_DIARIA!A174="","",CARGA_DIARIA!B174)</f>
        <v/>
      </c>
      <c r="C174" s="46" t="str">
        <f aca="false"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47" t="str">
        <f aca="false"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47" t="str">
        <f aca="false">IF(CARGA_DIARIA!A174="","",IF(CARGA_DIARIA!B174=0,0,(CARGA_DIARIA!X174+CARGA_DIARIA!Y174+CARGA_DIARIA!Z174+CARGA_DIARIA!AA174)/CARGA_DIARIA!B174+CARGA_DIARIA!AB174+CARGA_DIARIA!AC174+CARGA_DIARIA!AD174+CARGA_DIARIA!AE174))</f>
        <v/>
      </c>
      <c r="F174" s="50" t="s">
        <v>146</v>
      </c>
      <c r="G174" s="50" t="s">
        <v>146</v>
      </c>
      <c r="H174" s="49" t="str">
        <f aca="false">IF(CARGA_DIARIA!A174="","",C174-D174-E174)</f>
        <v/>
      </c>
    </row>
    <row r="175" customFormat="false" ht="15.75" hidden="false" customHeight="true" outlineLevel="0" collapsed="false">
      <c r="A175" s="44" t="str">
        <f aca="false">IF(CARGA_DIARIA!A175="","",CARGA_DIARIA!A175)</f>
        <v/>
      </c>
      <c r="B175" s="45" t="str">
        <f aca="false">IF(CARGA_DIARIA!A175="","",CARGA_DIARIA!B175)</f>
        <v/>
      </c>
      <c r="C175" s="46" t="str">
        <f aca="false"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47" t="str">
        <f aca="false"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47" t="str">
        <f aca="false">IF(CARGA_DIARIA!A175="","",IF(CARGA_DIARIA!B175=0,0,(CARGA_DIARIA!X175+CARGA_DIARIA!Y175+CARGA_DIARIA!Z175+CARGA_DIARIA!AA175)/CARGA_DIARIA!B175+CARGA_DIARIA!AB175+CARGA_DIARIA!AC175+CARGA_DIARIA!AD175+CARGA_DIARIA!AE175))</f>
        <v/>
      </c>
      <c r="F175" s="50" t="s">
        <v>146</v>
      </c>
      <c r="G175" s="50" t="s">
        <v>146</v>
      </c>
      <c r="H175" s="49" t="str">
        <f aca="false">IF(CARGA_DIARIA!A175="","",C175-D175-E175)</f>
        <v/>
      </c>
    </row>
    <row r="176" customFormat="false" ht="15.75" hidden="false" customHeight="true" outlineLevel="0" collapsed="false">
      <c r="A176" s="44" t="str">
        <f aca="false">IF(CARGA_DIARIA!A176="","",CARGA_DIARIA!A176)</f>
        <v/>
      </c>
      <c r="B176" s="45" t="str">
        <f aca="false">IF(CARGA_DIARIA!A176="","",CARGA_DIARIA!B176)</f>
        <v/>
      </c>
      <c r="C176" s="46" t="str">
        <f aca="false"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47" t="str">
        <f aca="false"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47" t="str">
        <f aca="false">IF(CARGA_DIARIA!A176="","",IF(CARGA_DIARIA!B176=0,0,(CARGA_DIARIA!X176+CARGA_DIARIA!Y176+CARGA_DIARIA!Z176+CARGA_DIARIA!AA176)/CARGA_DIARIA!B176+CARGA_DIARIA!AB176+CARGA_DIARIA!AC176+CARGA_DIARIA!AD176+CARGA_DIARIA!AE176))</f>
        <v/>
      </c>
      <c r="F176" s="50" t="s">
        <v>146</v>
      </c>
      <c r="G176" s="50" t="s">
        <v>146</v>
      </c>
      <c r="H176" s="49" t="str">
        <f aca="false">IF(CARGA_DIARIA!A176="","",C176-D176-E176)</f>
        <v/>
      </c>
    </row>
    <row r="177" customFormat="false" ht="15.75" hidden="false" customHeight="true" outlineLevel="0" collapsed="false">
      <c r="A177" s="44" t="str">
        <f aca="false">IF(CARGA_DIARIA!A177="","",CARGA_DIARIA!A177)</f>
        <v/>
      </c>
      <c r="B177" s="45" t="str">
        <f aca="false">IF(CARGA_DIARIA!A177="","",CARGA_DIARIA!B177)</f>
        <v/>
      </c>
      <c r="C177" s="46" t="str">
        <f aca="false"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47" t="str">
        <f aca="false"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47" t="str">
        <f aca="false">IF(CARGA_DIARIA!A177="","",IF(CARGA_DIARIA!B177=0,0,(CARGA_DIARIA!X177+CARGA_DIARIA!Y177+CARGA_DIARIA!Z177+CARGA_DIARIA!AA177)/CARGA_DIARIA!B177+CARGA_DIARIA!AB177+CARGA_DIARIA!AC177+CARGA_DIARIA!AD177+CARGA_DIARIA!AE177))</f>
        <v/>
      </c>
      <c r="F177" s="50" t="s">
        <v>146</v>
      </c>
      <c r="G177" s="50" t="s">
        <v>146</v>
      </c>
      <c r="H177" s="49" t="str">
        <f aca="false">IF(CARGA_DIARIA!A177="","",C177-D177-E177)</f>
        <v/>
      </c>
    </row>
    <row r="178" customFormat="false" ht="15.75" hidden="false" customHeight="true" outlineLevel="0" collapsed="false">
      <c r="A178" s="44" t="str">
        <f aca="false">IF(CARGA_DIARIA!A178="","",CARGA_DIARIA!A178)</f>
        <v/>
      </c>
      <c r="B178" s="45" t="str">
        <f aca="false">IF(CARGA_DIARIA!A178="","",CARGA_DIARIA!B178)</f>
        <v/>
      </c>
      <c r="C178" s="46" t="str">
        <f aca="false"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47" t="str">
        <f aca="false"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47" t="str">
        <f aca="false">IF(CARGA_DIARIA!A178="","",IF(CARGA_DIARIA!B178=0,0,(CARGA_DIARIA!X178+CARGA_DIARIA!Y178+CARGA_DIARIA!Z178+CARGA_DIARIA!AA178)/CARGA_DIARIA!B178+CARGA_DIARIA!AB178+CARGA_DIARIA!AC178+CARGA_DIARIA!AD178+CARGA_DIARIA!AE178))</f>
        <v/>
      </c>
      <c r="F178" s="50" t="s">
        <v>146</v>
      </c>
      <c r="G178" s="50" t="s">
        <v>146</v>
      </c>
      <c r="H178" s="49" t="str">
        <f aca="false">IF(CARGA_DIARIA!A178="","",C178-D178-E178)</f>
        <v/>
      </c>
    </row>
    <row r="179" customFormat="false" ht="15.75" hidden="false" customHeight="true" outlineLevel="0" collapsed="false">
      <c r="A179" s="44" t="str">
        <f aca="false">IF(CARGA_DIARIA!A179="","",CARGA_DIARIA!A179)</f>
        <v/>
      </c>
      <c r="B179" s="45" t="str">
        <f aca="false">IF(CARGA_DIARIA!A179="","",CARGA_DIARIA!B179)</f>
        <v/>
      </c>
      <c r="C179" s="46" t="str">
        <f aca="false"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47" t="str">
        <f aca="false"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47" t="str">
        <f aca="false">IF(CARGA_DIARIA!A179="","",IF(CARGA_DIARIA!B179=0,0,(CARGA_DIARIA!X179+CARGA_DIARIA!Y179+CARGA_DIARIA!Z179+CARGA_DIARIA!AA179)/CARGA_DIARIA!B179+CARGA_DIARIA!AB179+CARGA_DIARIA!AC179+CARGA_DIARIA!AD179+CARGA_DIARIA!AE179))</f>
        <v/>
      </c>
      <c r="F179" s="50" t="s">
        <v>146</v>
      </c>
      <c r="G179" s="50" t="s">
        <v>146</v>
      </c>
      <c r="H179" s="49" t="str">
        <f aca="false">IF(CARGA_DIARIA!A179="","",C179-D179-E179)</f>
        <v/>
      </c>
    </row>
    <row r="180" customFormat="false" ht="15.75" hidden="false" customHeight="true" outlineLevel="0" collapsed="false">
      <c r="A180" s="44" t="str">
        <f aca="false">IF(CARGA_DIARIA!A180="","",CARGA_DIARIA!A180)</f>
        <v/>
      </c>
      <c r="B180" s="45" t="str">
        <f aca="false">IF(CARGA_DIARIA!A180="","",CARGA_DIARIA!B180)</f>
        <v/>
      </c>
      <c r="C180" s="46" t="str">
        <f aca="false"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47" t="str">
        <f aca="false"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47" t="str">
        <f aca="false">IF(CARGA_DIARIA!A180="","",IF(CARGA_DIARIA!B180=0,0,(CARGA_DIARIA!X180+CARGA_DIARIA!Y180+CARGA_DIARIA!Z180+CARGA_DIARIA!AA180)/CARGA_DIARIA!B180+CARGA_DIARIA!AB180+CARGA_DIARIA!AC180+CARGA_DIARIA!AD180+CARGA_DIARIA!AE180))</f>
        <v/>
      </c>
      <c r="F180" s="50" t="s">
        <v>146</v>
      </c>
      <c r="G180" s="50" t="s">
        <v>146</v>
      </c>
      <c r="H180" s="49" t="str">
        <f aca="false">IF(CARGA_DIARIA!A180="","",C180-D180-E180)</f>
        <v/>
      </c>
    </row>
    <row r="181" customFormat="false" ht="15.75" hidden="false" customHeight="true" outlineLevel="0" collapsed="false">
      <c r="A181" s="44" t="str">
        <f aca="false">IF(CARGA_DIARIA!A181="","",CARGA_DIARIA!A181)</f>
        <v/>
      </c>
      <c r="B181" s="45" t="str">
        <f aca="false">IF(CARGA_DIARIA!A181="","",CARGA_DIARIA!B181)</f>
        <v/>
      </c>
      <c r="C181" s="46" t="str">
        <f aca="false"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47" t="str">
        <f aca="false"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47" t="str">
        <f aca="false">IF(CARGA_DIARIA!A181="","",IF(CARGA_DIARIA!B181=0,0,(CARGA_DIARIA!X181+CARGA_DIARIA!Y181+CARGA_DIARIA!Z181+CARGA_DIARIA!AA181)/CARGA_DIARIA!B181+CARGA_DIARIA!AB181+CARGA_DIARIA!AC181+CARGA_DIARIA!AD181+CARGA_DIARIA!AE181))</f>
        <v/>
      </c>
      <c r="F181" s="50" t="s">
        <v>146</v>
      </c>
      <c r="G181" s="50" t="s">
        <v>146</v>
      </c>
      <c r="H181" s="49" t="str">
        <f aca="false">IF(CARGA_DIARIA!A181="","",C181-D181-E181)</f>
        <v/>
      </c>
    </row>
    <row r="182" customFormat="false" ht="15.75" hidden="false" customHeight="true" outlineLevel="0" collapsed="false">
      <c r="A182" s="44" t="str">
        <f aca="false">IF(CARGA_DIARIA!A182="","",CARGA_DIARIA!A182)</f>
        <v/>
      </c>
      <c r="B182" s="45" t="str">
        <f aca="false">IF(CARGA_DIARIA!A182="","",CARGA_DIARIA!B182)</f>
        <v/>
      </c>
      <c r="C182" s="46" t="str">
        <f aca="false"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47" t="str">
        <f aca="false"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47" t="str">
        <f aca="false">IF(CARGA_DIARIA!A182="","",IF(CARGA_DIARIA!B182=0,0,(CARGA_DIARIA!X182+CARGA_DIARIA!Y182+CARGA_DIARIA!Z182+CARGA_DIARIA!AA182)/CARGA_DIARIA!B182+CARGA_DIARIA!AB182+CARGA_DIARIA!AC182+CARGA_DIARIA!AD182+CARGA_DIARIA!AE182))</f>
        <v/>
      </c>
      <c r="F182" s="50" t="s">
        <v>146</v>
      </c>
      <c r="G182" s="50" t="s">
        <v>146</v>
      </c>
      <c r="H182" s="49" t="str">
        <f aca="false">IF(CARGA_DIARIA!A182="","",C182-D182-E182)</f>
        <v/>
      </c>
    </row>
    <row r="183" customFormat="false" ht="15.75" hidden="false" customHeight="true" outlineLevel="0" collapsed="false">
      <c r="A183" s="44" t="str">
        <f aca="false">IF(CARGA_DIARIA!A183="","",CARGA_DIARIA!A183)</f>
        <v/>
      </c>
      <c r="B183" s="45" t="str">
        <f aca="false">IF(CARGA_DIARIA!A183="","",CARGA_DIARIA!B183)</f>
        <v/>
      </c>
      <c r="C183" s="46" t="str">
        <f aca="false"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47" t="str">
        <f aca="false"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47" t="str">
        <f aca="false">IF(CARGA_DIARIA!A183="","",IF(CARGA_DIARIA!B183=0,0,(CARGA_DIARIA!X183+CARGA_DIARIA!Y183+CARGA_DIARIA!Z183+CARGA_DIARIA!AA183)/CARGA_DIARIA!B183+CARGA_DIARIA!AB183+CARGA_DIARIA!AC183+CARGA_DIARIA!AD183+CARGA_DIARIA!AE183))</f>
        <v/>
      </c>
      <c r="F183" s="50" t="s">
        <v>146</v>
      </c>
      <c r="G183" s="50" t="s">
        <v>146</v>
      </c>
      <c r="H183" s="49" t="str">
        <f aca="false">IF(CARGA_DIARIA!A183="","",C183-D183-E183)</f>
        <v/>
      </c>
    </row>
    <row r="184" customFormat="false" ht="15.75" hidden="false" customHeight="true" outlineLevel="0" collapsed="false">
      <c r="A184" s="44" t="str">
        <f aca="false">IF(CARGA_DIARIA!A184="","",CARGA_DIARIA!A184)</f>
        <v/>
      </c>
      <c r="B184" s="45" t="str">
        <f aca="false">IF(CARGA_DIARIA!A184="","",CARGA_DIARIA!B184)</f>
        <v/>
      </c>
      <c r="C184" s="46" t="str">
        <f aca="false"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47" t="str">
        <f aca="false"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47" t="str">
        <f aca="false">IF(CARGA_DIARIA!A184="","",IF(CARGA_DIARIA!B184=0,0,(CARGA_DIARIA!X184+CARGA_DIARIA!Y184+CARGA_DIARIA!Z184+CARGA_DIARIA!AA184)/CARGA_DIARIA!B184+CARGA_DIARIA!AB184+CARGA_DIARIA!AC184+CARGA_DIARIA!AD184+CARGA_DIARIA!AE184))</f>
        <v/>
      </c>
      <c r="F184" s="50" t="s">
        <v>146</v>
      </c>
      <c r="G184" s="50" t="s">
        <v>146</v>
      </c>
      <c r="H184" s="49" t="str">
        <f aca="false">IF(CARGA_DIARIA!A184="","",C184-D184-E184)</f>
        <v/>
      </c>
    </row>
    <row r="185" customFormat="false" ht="15.75" hidden="false" customHeight="true" outlineLevel="0" collapsed="false">
      <c r="A185" s="44" t="str">
        <f aca="false">IF(CARGA_DIARIA!A185="","",CARGA_DIARIA!A185)</f>
        <v/>
      </c>
      <c r="B185" s="45" t="str">
        <f aca="false">IF(CARGA_DIARIA!A185="","",CARGA_DIARIA!B185)</f>
        <v/>
      </c>
      <c r="C185" s="46" t="str">
        <f aca="false"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47" t="str">
        <f aca="false"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47" t="str">
        <f aca="false">IF(CARGA_DIARIA!A185="","",IF(CARGA_DIARIA!B185=0,0,(CARGA_DIARIA!X185+CARGA_DIARIA!Y185+CARGA_DIARIA!Z185+CARGA_DIARIA!AA185)/CARGA_DIARIA!B185+CARGA_DIARIA!AB185+CARGA_DIARIA!AC185+CARGA_DIARIA!AD185+CARGA_DIARIA!AE185))</f>
        <v/>
      </c>
      <c r="F185" s="50" t="s">
        <v>146</v>
      </c>
      <c r="G185" s="50" t="s">
        <v>146</v>
      </c>
      <c r="H185" s="49" t="str">
        <f aca="false">IF(CARGA_DIARIA!A185="","",C185-D185-E185)</f>
        <v/>
      </c>
    </row>
    <row r="186" customFormat="false" ht="15.75" hidden="false" customHeight="true" outlineLevel="0" collapsed="false">
      <c r="A186" s="44" t="str">
        <f aca="false">IF(CARGA_DIARIA!A186="","",CARGA_DIARIA!A186)</f>
        <v/>
      </c>
      <c r="B186" s="45" t="str">
        <f aca="false">IF(CARGA_DIARIA!A186="","",CARGA_DIARIA!B186)</f>
        <v/>
      </c>
      <c r="C186" s="46" t="str">
        <f aca="false"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47" t="str">
        <f aca="false"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47" t="str">
        <f aca="false">IF(CARGA_DIARIA!A186="","",IF(CARGA_DIARIA!B186=0,0,(CARGA_DIARIA!X186+CARGA_DIARIA!Y186+CARGA_DIARIA!Z186+CARGA_DIARIA!AA186)/CARGA_DIARIA!B186+CARGA_DIARIA!AB186+CARGA_DIARIA!AC186+CARGA_DIARIA!AD186+CARGA_DIARIA!AE186))</f>
        <v/>
      </c>
      <c r="F186" s="50" t="s">
        <v>146</v>
      </c>
      <c r="G186" s="50" t="s">
        <v>146</v>
      </c>
      <c r="H186" s="49" t="str">
        <f aca="false">IF(CARGA_DIARIA!A186="","",C186-D186-E186)</f>
        <v/>
      </c>
    </row>
    <row r="187" customFormat="false" ht="15.75" hidden="false" customHeight="true" outlineLevel="0" collapsed="false">
      <c r="A187" s="44" t="str">
        <f aca="false">IF(CARGA_DIARIA!A187="","",CARGA_DIARIA!A187)</f>
        <v/>
      </c>
      <c r="B187" s="45" t="str">
        <f aca="false">IF(CARGA_DIARIA!A187="","",CARGA_DIARIA!B187)</f>
        <v/>
      </c>
      <c r="C187" s="46" t="str">
        <f aca="false"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47" t="str">
        <f aca="false"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47" t="str">
        <f aca="false">IF(CARGA_DIARIA!A187="","",IF(CARGA_DIARIA!B187=0,0,(CARGA_DIARIA!X187+CARGA_DIARIA!Y187+CARGA_DIARIA!Z187+CARGA_DIARIA!AA187)/CARGA_DIARIA!B187+CARGA_DIARIA!AB187+CARGA_DIARIA!AC187+CARGA_DIARIA!AD187+CARGA_DIARIA!AE187))</f>
        <v/>
      </c>
      <c r="F187" s="50" t="s">
        <v>146</v>
      </c>
      <c r="G187" s="50" t="s">
        <v>146</v>
      </c>
      <c r="H187" s="49" t="str">
        <f aca="false">IF(CARGA_DIARIA!A187="","",C187-D187-E187)</f>
        <v/>
      </c>
    </row>
    <row r="188" customFormat="false" ht="15.75" hidden="false" customHeight="true" outlineLevel="0" collapsed="false">
      <c r="A188" s="44" t="str">
        <f aca="false">IF(CARGA_DIARIA!A188="","",CARGA_DIARIA!A188)</f>
        <v/>
      </c>
      <c r="B188" s="45" t="str">
        <f aca="false">IF(CARGA_DIARIA!A188="","",CARGA_DIARIA!B188)</f>
        <v/>
      </c>
      <c r="C188" s="46" t="str">
        <f aca="false"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47" t="str">
        <f aca="false"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47" t="str">
        <f aca="false">IF(CARGA_DIARIA!A188="","",IF(CARGA_DIARIA!B188=0,0,(CARGA_DIARIA!X188+CARGA_DIARIA!Y188+CARGA_DIARIA!Z188+CARGA_DIARIA!AA188)/CARGA_DIARIA!B188+CARGA_DIARIA!AB188+CARGA_DIARIA!AC188+CARGA_DIARIA!AD188+CARGA_DIARIA!AE188))</f>
        <v/>
      </c>
      <c r="F188" s="50" t="s">
        <v>146</v>
      </c>
      <c r="G188" s="50" t="s">
        <v>146</v>
      </c>
      <c r="H188" s="49" t="str">
        <f aca="false">IF(CARGA_DIARIA!A188="","",C188-D188-E188)</f>
        <v/>
      </c>
    </row>
    <row r="189" customFormat="false" ht="15.75" hidden="false" customHeight="true" outlineLevel="0" collapsed="false">
      <c r="A189" s="44" t="str">
        <f aca="false">IF(CARGA_DIARIA!A189="","",CARGA_DIARIA!A189)</f>
        <v/>
      </c>
      <c r="B189" s="45" t="str">
        <f aca="false">IF(CARGA_DIARIA!A189="","",CARGA_DIARIA!B189)</f>
        <v/>
      </c>
      <c r="C189" s="46" t="str">
        <f aca="false"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47" t="str">
        <f aca="false"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47" t="str">
        <f aca="false">IF(CARGA_DIARIA!A189="","",IF(CARGA_DIARIA!B189=0,0,(CARGA_DIARIA!X189+CARGA_DIARIA!Y189+CARGA_DIARIA!Z189+CARGA_DIARIA!AA189)/CARGA_DIARIA!B189+CARGA_DIARIA!AB189+CARGA_DIARIA!AC189+CARGA_DIARIA!AD189+CARGA_DIARIA!AE189))</f>
        <v/>
      </c>
      <c r="F189" s="50" t="s">
        <v>146</v>
      </c>
      <c r="G189" s="50" t="s">
        <v>146</v>
      </c>
      <c r="H189" s="49" t="str">
        <f aca="false">IF(CARGA_DIARIA!A189="","",C189-D189-E189)</f>
        <v/>
      </c>
    </row>
    <row r="190" customFormat="false" ht="15.75" hidden="false" customHeight="true" outlineLevel="0" collapsed="false">
      <c r="A190" s="44" t="str">
        <f aca="false">IF(CARGA_DIARIA!A190="","",CARGA_DIARIA!A190)</f>
        <v/>
      </c>
      <c r="B190" s="45" t="str">
        <f aca="false">IF(CARGA_DIARIA!A190="","",CARGA_DIARIA!B190)</f>
        <v/>
      </c>
      <c r="C190" s="46" t="str">
        <f aca="false"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47" t="str">
        <f aca="false"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47" t="str">
        <f aca="false">IF(CARGA_DIARIA!A190="","",IF(CARGA_DIARIA!B190=0,0,(CARGA_DIARIA!X190+CARGA_DIARIA!Y190+CARGA_DIARIA!Z190+CARGA_DIARIA!AA190)/CARGA_DIARIA!B190+CARGA_DIARIA!AB190+CARGA_DIARIA!AC190+CARGA_DIARIA!AD190+CARGA_DIARIA!AE190))</f>
        <v/>
      </c>
      <c r="F190" s="50" t="s">
        <v>146</v>
      </c>
      <c r="G190" s="50" t="s">
        <v>146</v>
      </c>
      <c r="H190" s="49" t="str">
        <f aca="false">IF(CARGA_DIARIA!A190="","",C190-D190-E190)</f>
        <v/>
      </c>
    </row>
    <row r="191" customFormat="false" ht="15.75" hidden="false" customHeight="true" outlineLevel="0" collapsed="false">
      <c r="A191" s="44" t="str">
        <f aca="false">IF(CARGA_DIARIA!A191="","",CARGA_DIARIA!A191)</f>
        <v/>
      </c>
      <c r="B191" s="45" t="str">
        <f aca="false">IF(CARGA_DIARIA!A191="","",CARGA_DIARIA!B191)</f>
        <v/>
      </c>
      <c r="C191" s="46" t="str">
        <f aca="false"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47" t="str">
        <f aca="false"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47" t="str">
        <f aca="false">IF(CARGA_DIARIA!A191="","",IF(CARGA_DIARIA!B191=0,0,(CARGA_DIARIA!X191+CARGA_DIARIA!Y191+CARGA_DIARIA!Z191+CARGA_DIARIA!AA191)/CARGA_DIARIA!B191+CARGA_DIARIA!AB191+CARGA_DIARIA!AC191+CARGA_DIARIA!AD191+CARGA_DIARIA!AE191))</f>
        <v/>
      </c>
      <c r="F191" s="50" t="s">
        <v>146</v>
      </c>
      <c r="G191" s="50" t="s">
        <v>146</v>
      </c>
      <c r="H191" s="49" t="str">
        <f aca="false">IF(CARGA_DIARIA!A191="","",C191-D191-E191)</f>
        <v/>
      </c>
    </row>
    <row r="192" customFormat="false" ht="15.75" hidden="false" customHeight="true" outlineLevel="0" collapsed="false">
      <c r="A192" s="44" t="str">
        <f aca="false">IF(CARGA_DIARIA!A192="","",CARGA_DIARIA!A192)</f>
        <v/>
      </c>
      <c r="B192" s="45" t="str">
        <f aca="false">IF(CARGA_DIARIA!A192="","",CARGA_DIARIA!B192)</f>
        <v/>
      </c>
      <c r="C192" s="46" t="str">
        <f aca="false"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47" t="str">
        <f aca="false"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47" t="str">
        <f aca="false">IF(CARGA_DIARIA!A192="","",IF(CARGA_DIARIA!B192=0,0,(CARGA_DIARIA!X192+CARGA_DIARIA!Y192+CARGA_DIARIA!Z192+CARGA_DIARIA!AA192)/CARGA_DIARIA!B192+CARGA_DIARIA!AB192+CARGA_DIARIA!AC192+CARGA_DIARIA!AD192+CARGA_DIARIA!AE192))</f>
        <v/>
      </c>
      <c r="F192" s="50" t="s">
        <v>146</v>
      </c>
      <c r="G192" s="50" t="s">
        <v>146</v>
      </c>
      <c r="H192" s="49" t="str">
        <f aca="false">IF(CARGA_DIARIA!A192="","",C192-D192-E192)</f>
        <v/>
      </c>
    </row>
    <row r="193" customFormat="false" ht="15.75" hidden="false" customHeight="true" outlineLevel="0" collapsed="false">
      <c r="A193" s="44" t="str">
        <f aca="false">IF(CARGA_DIARIA!A193="","",CARGA_DIARIA!A193)</f>
        <v/>
      </c>
      <c r="B193" s="45" t="str">
        <f aca="false">IF(CARGA_DIARIA!A193="","",CARGA_DIARIA!B193)</f>
        <v/>
      </c>
      <c r="C193" s="46" t="str">
        <f aca="false"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47" t="str">
        <f aca="false"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47" t="str">
        <f aca="false">IF(CARGA_DIARIA!A193="","",IF(CARGA_DIARIA!B193=0,0,(CARGA_DIARIA!X193+CARGA_DIARIA!Y193+CARGA_DIARIA!Z193+CARGA_DIARIA!AA193)/CARGA_DIARIA!B193+CARGA_DIARIA!AB193+CARGA_DIARIA!AC193+CARGA_DIARIA!AD193+CARGA_DIARIA!AE193))</f>
        <v/>
      </c>
      <c r="F193" s="50" t="s">
        <v>146</v>
      </c>
      <c r="G193" s="50" t="s">
        <v>146</v>
      </c>
      <c r="H193" s="49" t="str">
        <f aca="false">IF(CARGA_DIARIA!A193="","",C193-D193-E193)</f>
        <v/>
      </c>
    </row>
    <row r="194" customFormat="false" ht="15.75" hidden="false" customHeight="true" outlineLevel="0" collapsed="false">
      <c r="A194" s="44" t="str">
        <f aca="false">IF(CARGA_DIARIA!A194="","",CARGA_DIARIA!A194)</f>
        <v/>
      </c>
      <c r="B194" s="45" t="str">
        <f aca="false">IF(CARGA_DIARIA!A194="","",CARGA_DIARIA!B194)</f>
        <v/>
      </c>
      <c r="C194" s="46" t="str">
        <f aca="false"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47" t="str">
        <f aca="false"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47" t="str">
        <f aca="false">IF(CARGA_DIARIA!A194="","",IF(CARGA_DIARIA!B194=0,0,(CARGA_DIARIA!X194+CARGA_DIARIA!Y194+CARGA_DIARIA!Z194+CARGA_DIARIA!AA194)/CARGA_DIARIA!B194+CARGA_DIARIA!AB194+CARGA_DIARIA!AC194+CARGA_DIARIA!AD194+CARGA_DIARIA!AE194))</f>
        <v/>
      </c>
      <c r="F194" s="50" t="s">
        <v>146</v>
      </c>
      <c r="G194" s="50" t="s">
        <v>146</v>
      </c>
      <c r="H194" s="49" t="str">
        <f aca="false">IF(CARGA_DIARIA!A194="","",C194-D194-E194)</f>
        <v/>
      </c>
    </row>
    <row r="195" customFormat="false" ht="15.75" hidden="false" customHeight="true" outlineLevel="0" collapsed="false">
      <c r="A195" s="44" t="str">
        <f aca="false">IF(CARGA_DIARIA!A195="","",CARGA_DIARIA!A195)</f>
        <v/>
      </c>
      <c r="B195" s="45" t="str">
        <f aca="false">IF(CARGA_DIARIA!A195="","",CARGA_DIARIA!B195)</f>
        <v/>
      </c>
      <c r="C195" s="46" t="str">
        <f aca="false"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47" t="str">
        <f aca="false"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47" t="str">
        <f aca="false">IF(CARGA_DIARIA!A195="","",IF(CARGA_DIARIA!B195=0,0,(CARGA_DIARIA!X195+CARGA_DIARIA!Y195+CARGA_DIARIA!Z195+CARGA_DIARIA!AA195)/CARGA_DIARIA!B195+CARGA_DIARIA!AB195+CARGA_DIARIA!AC195+CARGA_DIARIA!AD195+CARGA_DIARIA!AE195))</f>
        <v/>
      </c>
      <c r="F195" s="50" t="s">
        <v>146</v>
      </c>
      <c r="G195" s="50" t="s">
        <v>146</v>
      </c>
      <c r="H195" s="49" t="str">
        <f aca="false">IF(CARGA_DIARIA!A195="","",C195-D195-E195)</f>
        <v/>
      </c>
    </row>
    <row r="196" customFormat="false" ht="15.75" hidden="false" customHeight="true" outlineLevel="0" collapsed="false">
      <c r="A196" s="44" t="str">
        <f aca="false">IF(CARGA_DIARIA!A196="","",CARGA_DIARIA!A196)</f>
        <v/>
      </c>
      <c r="B196" s="45" t="str">
        <f aca="false">IF(CARGA_DIARIA!A196="","",CARGA_DIARIA!B196)</f>
        <v/>
      </c>
      <c r="C196" s="46" t="str">
        <f aca="false"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47" t="str">
        <f aca="false"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47" t="str">
        <f aca="false">IF(CARGA_DIARIA!A196="","",IF(CARGA_DIARIA!B196=0,0,(CARGA_DIARIA!X196+CARGA_DIARIA!Y196+CARGA_DIARIA!Z196+CARGA_DIARIA!AA196)/CARGA_DIARIA!B196+CARGA_DIARIA!AB196+CARGA_DIARIA!AC196+CARGA_DIARIA!AD196+CARGA_DIARIA!AE196))</f>
        <v/>
      </c>
      <c r="F196" s="50" t="s">
        <v>146</v>
      </c>
      <c r="G196" s="50" t="s">
        <v>146</v>
      </c>
      <c r="H196" s="49" t="str">
        <f aca="false">IF(CARGA_DIARIA!A196="","",C196-D196-E196)</f>
        <v/>
      </c>
    </row>
    <row r="197" customFormat="false" ht="15.75" hidden="false" customHeight="true" outlineLevel="0" collapsed="false">
      <c r="A197" s="44" t="str">
        <f aca="false">IF(CARGA_DIARIA!A197="","",CARGA_DIARIA!A197)</f>
        <v/>
      </c>
      <c r="B197" s="45" t="str">
        <f aca="false">IF(CARGA_DIARIA!A197="","",CARGA_DIARIA!B197)</f>
        <v/>
      </c>
      <c r="C197" s="46" t="str">
        <f aca="false"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47" t="str">
        <f aca="false"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47" t="str">
        <f aca="false">IF(CARGA_DIARIA!A197="","",IF(CARGA_DIARIA!B197=0,0,(CARGA_DIARIA!X197+CARGA_DIARIA!Y197+CARGA_DIARIA!Z197+CARGA_DIARIA!AA197)/CARGA_DIARIA!B197+CARGA_DIARIA!AB197+CARGA_DIARIA!AC197+CARGA_DIARIA!AD197+CARGA_DIARIA!AE197))</f>
        <v/>
      </c>
      <c r="F197" s="50" t="s">
        <v>146</v>
      </c>
      <c r="G197" s="50" t="s">
        <v>146</v>
      </c>
      <c r="H197" s="49" t="str">
        <f aca="false">IF(CARGA_DIARIA!A197="","",C197-D197-E197)</f>
        <v/>
      </c>
    </row>
    <row r="198" customFormat="false" ht="15.75" hidden="false" customHeight="true" outlineLevel="0" collapsed="false">
      <c r="A198" s="44" t="str">
        <f aca="false">IF(CARGA_DIARIA!A198="","",CARGA_DIARIA!A198)</f>
        <v/>
      </c>
      <c r="B198" s="45" t="str">
        <f aca="false">IF(CARGA_DIARIA!A198="","",CARGA_DIARIA!B198)</f>
        <v/>
      </c>
      <c r="C198" s="46" t="str">
        <f aca="false"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47" t="str">
        <f aca="false"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47" t="str">
        <f aca="false">IF(CARGA_DIARIA!A198="","",IF(CARGA_DIARIA!B198=0,0,(CARGA_DIARIA!X198+CARGA_DIARIA!Y198+CARGA_DIARIA!Z198+CARGA_DIARIA!AA198)/CARGA_DIARIA!B198+CARGA_DIARIA!AB198+CARGA_DIARIA!AC198+CARGA_DIARIA!AD198+CARGA_DIARIA!AE198))</f>
        <v/>
      </c>
      <c r="F198" s="50" t="s">
        <v>146</v>
      </c>
      <c r="G198" s="50" t="s">
        <v>146</v>
      </c>
      <c r="H198" s="49" t="str">
        <f aca="false">IF(CARGA_DIARIA!A198="","",C198-D198-E198)</f>
        <v/>
      </c>
    </row>
    <row r="199" customFormat="false" ht="15.75" hidden="false" customHeight="true" outlineLevel="0" collapsed="false">
      <c r="A199" s="44" t="str">
        <f aca="false">IF(CARGA_DIARIA!A199="","",CARGA_DIARIA!A199)</f>
        <v/>
      </c>
      <c r="B199" s="45" t="str">
        <f aca="false">IF(CARGA_DIARIA!A199="","",CARGA_DIARIA!B199)</f>
        <v/>
      </c>
      <c r="C199" s="46" t="str">
        <f aca="false"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47" t="str">
        <f aca="false"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47" t="str">
        <f aca="false">IF(CARGA_DIARIA!A199="","",IF(CARGA_DIARIA!B199=0,0,(CARGA_DIARIA!X199+CARGA_DIARIA!Y199+CARGA_DIARIA!Z199+CARGA_DIARIA!AA199)/CARGA_DIARIA!B199+CARGA_DIARIA!AB199+CARGA_DIARIA!AC199+CARGA_DIARIA!AD199+CARGA_DIARIA!AE199))</f>
        <v/>
      </c>
      <c r="F199" s="50" t="s">
        <v>146</v>
      </c>
      <c r="G199" s="50" t="s">
        <v>146</v>
      </c>
      <c r="H199" s="49" t="str">
        <f aca="false">IF(CARGA_DIARIA!A199="","",C199-D199-E199)</f>
        <v/>
      </c>
    </row>
    <row r="200" customFormat="false" ht="15.75" hidden="false" customHeight="true" outlineLevel="0" collapsed="false">
      <c r="A200" s="44" t="str">
        <f aca="false">IF(CARGA_DIARIA!A200="","",CARGA_DIARIA!A200)</f>
        <v/>
      </c>
      <c r="B200" s="45" t="str">
        <f aca="false">IF(CARGA_DIARIA!A200="","",CARGA_DIARIA!B200)</f>
        <v/>
      </c>
      <c r="C200" s="46" t="str">
        <f aca="false"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47" t="str">
        <f aca="false"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47" t="str">
        <f aca="false">IF(CARGA_DIARIA!A200="","",IF(CARGA_DIARIA!B200=0,0,(CARGA_DIARIA!X200+CARGA_DIARIA!Y200+CARGA_DIARIA!Z200+CARGA_DIARIA!AA200)/CARGA_DIARIA!B200+CARGA_DIARIA!AB200+CARGA_DIARIA!AC200+CARGA_DIARIA!AD200+CARGA_DIARIA!AE200))</f>
        <v/>
      </c>
      <c r="F200" s="50" t="s">
        <v>146</v>
      </c>
      <c r="G200" s="50" t="s">
        <v>146</v>
      </c>
      <c r="H200" s="49" t="str">
        <f aca="false">IF(CARGA_DIARIA!A200="","",C200-D200-E200)</f>
        <v/>
      </c>
    </row>
    <row r="201" customFormat="false" ht="15.75" hidden="false" customHeight="true" outlineLevel="0" collapsed="false">
      <c r="A201" s="44" t="str">
        <f aca="false">IF(CARGA_DIARIA!A201="","",CARGA_DIARIA!A201)</f>
        <v/>
      </c>
      <c r="B201" s="45" t="str">
        <f aca="false">IF(CARGA_DIARIA!A201="","",CARGA_DIARIA!B201)</f>
        <v/>
      </c>
      <c r="C201" s="46" t="str">
        <f aca="false"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47" t="str">
        <f aca="false"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47" t="str">
        <f aca="false">IF(CARGA_DIARIA!A201="","",IF(CARGA_DIARIA!B201=0,0,(CARGA_DIARIA!X201+CARGA_DIARIA!Y201+CARGA_DIARIA!Z201+CARGA_DIARIA!AA201)/CARGA_DIARIA!B201+CARGA_DIARIA!AB201+CARGA_DIARIA!AC201+CARGA_DIARIA!AD201+CARGA_DIARIA!AE201))</f>
        <v/>
      </c>
      <c r="F201" s="50" t="s">
        <v>146</v>
      </c>
      <c r="G201" s="50" t="s">
        <v>146</v>
      </c>
      <c r="H201" s="49" t="str">
        <f aca="false">IF(CARGA_DIARIA!A201="","",C201-D201-E201)</f>
        <v/>
      </c>
    </row>
    <row r="202" customFormat="false" ht="15.75" hidden="false" customHeight="true" outlineLevel="0" collapsed="false">
      <c r="A202" s="44" t="str">
        <f aca="false">IF(CARGA_DIARIA!A202="","",CARGA_DIARIA!A202)</f>
        <v/>
      </c>
      <c r="B202" s="45" t="str">
        <f aca="false">IF(CARGA_DIARIA!A202="","",CARGA_DIARIA!B202)</f>
        <v/>
      </c>
      <c r="C202" s="46" t="str">
        <f aca="false"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47" t="str">
        <f aca="false"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47" t="str">
        <f aca="false">IF(CARGA_DIARIA!A202="","",IF(CARGA_DIARIA!B202=0,0,(CARGA_DIARIA!X202+CARGA_DIARIA!Y202+CARGA_DIARIA!Z202+CARGA_DIARIA!AA202)/CARGA_DIARIA!B202+CARGA_DIARIA!AB202+CARGA_DIARIA!AC202+CARGA_DIARIA!AD202+CARGA_DIARIA!AE202))</f>
        <v/>
      </c>
      <c r="F202" s="50" t="s">
        <v>146</v>
      </c>
      <c r="G202" s="50" t="s">
        <v>146</v>
      </c>
      <c r="H202" s="49" t="str">
        <f aca="false">IF(CARGA_DIARIA!A202="","",C202-D202-E202)</f>
        <v/>
      </c>
    </row>
    <row r="203" customFormat="false" ht="15.75" hidden="false" customHeight="true" outlineLevel="0" collapsed="false">
      <c r="A203" s="44" t="str">
        <f aca="false">IF(CARGA_DIARIA!A203="","",CARGA_DIARIA!A203)</f>
        <v/>
      </c>
      <c r="B203" s="45" t="str">
        <f aca="false">IF(CARGA_DIARIA!A203="","",CARGA_DIARIA!B203)</f>
        <v/>
      </c>
      <c r="C203" s="46" t="str">
        <f aca="false"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47" t="str">
        <f aca="false"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47" t="str">
        <f aca="false">IF(CARGA_DIARIA!A203="","",IF(CARGA_DIARIA!B203=0,0,(CARGA_DIARIA!X203+CARGA_DIARIA!Y203+CARGA_DIARIA!Z203+CARGA_DIARIA!AA203)/CARGA_DIARIA!B203+CARGA_DIARIA!AB203+CARGA_DIARIA!AC203+CARGA_DIARIA!AD203+CARGA_DIARIA!AE203))</f>
        <v/>
      </c>
      <c r="F203" s="50" t="s">
        <v>146</v>
      </c>
      <c r="G203" s="50" t="s">
        <v>146</v>
      </c>
      <c r="H203" s="49" t="str">
        <f aca="false">IF(CARGA_DIARIA!A203="","",C203-D203-E203)</f>
        <v/>
      </c>
    </row>
    <row r="204" customFormat="false" ht="15.75" hidden="false" customHeight="true" outlineLevel="0" collapsed="false">
      <c r="A204" s="44" t="str">
        <f aca="false">IF(CARGA_DIARIA!A204="","",CARGA_DIARIA!A204)</f>
        <v/>
      </c>
      <c r="B204" s="45" t="str">
        <f aca="false">IF(CARGA_DIARIA!A204="","",CARGA_DIARIA!B204)</f>
        <v/>
      </c>
      <c r="C204" s="46" t="str">
        <f aca="false"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47" t="str">
        <f aca="false"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47" t="str">
        <f aca="false">IF(CARGA_DIARIA!A204="","",IF(CARGA_DIARIA!B204=0,0,(CARGA_DIARIA!X204+CARGA_DIARIA!Y204+CARGA_DIARIA!Z204+CARGA_DIARIA!AA204)/CARGA_DIARIA!B204+CARGA_DIARIA!AB204+CARGA_DIARIA!AC204+CARGA_DIARIA!AD204+CARGA_DIARIA!AE204))</f>
        <v/>
      </c>
      <c r="F204" s="50" t="s">
        <v>146</v>
      </c>
      <c r="G204" s="50" t="s">
        <v>146</v>
      </c>
      <c r="H204" s="49" t="str">
        <f aca="false">IF(CARGA_DIARIA!A204="","",C204-D204-E204)</f>
        <v/>
      </c>
    </row>
    <row r="205" customFormat="false" ht="15.75" hidden="false" customHeight="true" outlineLevel="0" collapsed="false">
      <c r="A205" s="44" t="str">
        <f aca="false">IF(CARGA_DIARIA!A205="","",CARGA_DIARIA!A205)</f>
        <v/>
      </c>
      <c r="B205" s="45" t="str">
        <f aca="false">IF(CARGA_DIARIA!A205="","",CARGA_DIARIA!B205)</f>
        <v/>
      </c>
      <c r="C205" s="46" t="str">
        <f aca="false"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47" t="str">
        <f aca="false"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47" t="str">
        <f aca="false">IF(CARGA_DIARIA!A205="","",IF(CARGA_DIARIA!B205=0,0,(CARGA_DIARIA!X205+CARGA_DIARIA!Y205+CARGA_DIARIA!Z205+CARGA_DIARIA!AA205)/CARGA_DIARIA!B205+CARGA_DIARIA!AB205+CARGA_DIARIA!AC205+CARGA_DIARIA!AD205+CARGA_DIARIA!AE205))</f>
        <v/>
      </c>
      <c r="F205" s="50" t="s">
        <v>146</v>
      </c>
      <c r="G205" s="50" t="s">
        <v>146</v>
      </c>
      <c r="H205" s="49" t="str">
        <f aca="false">IF(CARGA_DIARIA!A205="","",C205-D205-E205)</f>
        <v/>
      </c>
    </row>
    <row r="206" customFormat="false" ht="15.75" hidden="false" customHeight="true" outlineLevel="0" collapsed="false">
      <c r="A206" s="44" t="str">
        <f aca="false">IF(CARGA_DIARIA!A206="","",CARGA_DIARIA!A206)</f>
        <v/>
      </c>
      <c r="B206" s="45" t="str">
        <f aca="false">IF(CARGA_DIARIA!A206="","",CARGA_DIARIA!B206)</f>
        <v/>
      </c>
      <c r="C206" s="46" t="str">
        <f aca="false"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47" t="str">
        <f aca="false"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47" t="str">
        <f aca="false">IF(CARGA_DIARIA!A206="","",IF(CARGA_DIARIA!B206=0,0,(CARGA_DIARIA!X206+CARGA_DIARIA!Y206+CARGA_DIARIA!Z206+CARGA_DIARIA!AA206)/CARGA_DIARIA!B206+CARGA_DIARIA!AB206+CARGA_DIARIA!AC206+CARGA_DIARIA!AD206+CARGA_DIARIA!AE206))</f>
        <v/>
      </c>
      <c r="F206" s="50" t="s">
        <v>146</v>
      </c>
      <c r="G206" s="50" t="s">
        <v>146</v>
      </c>
      <c r="H206" s="49" t="str">
        <f aca="false">IF(CARGA_DIARIA!A206="","",C206-D206-E206)</f>
        <v/>
      </c>
    </row>
    <row r="207" customFormat="false" ht="15.75" hidden="false" customHeight="true" outlineLevel="0" collapsed="false">
      <c r="A207" s="44" t="str">
        <f aca="false">IF(CARGA_DIARIA!A207="","",CARGA_DIARIA!A207)</f>
        <v/>
      </c>
      <c r="B207" s="45" t="str">
        <f aca="false">IF(CARGA_DIARIA!A207="","",CARGA_DIARIA!B207)</f>
        <v/>
      </c>
      <c r="C207" s="46" t="str">
        <f aca="false"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47" t="str">
        <f aca="false"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47" t="str">
        <f aca="false">IF(CARGA_DIARIA!A207="","",IF(CARGA_DIARIA!B207=0,0,(CARGA_DIARIA!X207+CARGA_DIARIA!Y207+CARGA_DIARIA!Z207+CARGA_DIARIA!AA207)/CARGA_DIARIA!B207+CARGA_DIARIA!AB207+CARGA_DIARIA!AC207+CARGA_DIARIA!AD207+CARGA_DIARIA!AE207))</f>
        <v/>
      </c>
      <c r="F207" s="50" t="s">
        <v>146</v>
      </c>
      <c r="G207" s="50" t="s">
        <v>146</v>
      </c>
      <c r="H207" s="49" t="str">
        <f aca="false">IF(CARGA_DIARIA!A207="","",C207-D207-E207)</f>
        <v/>
      </c>
    </row>
    <row r="208" customFormat="false" ht="15.75" hidden="false" customHeight="true" outlineLevel="0" collapsed="false">
      <c r="A208" s="44" t="str">
        <f aca="false">IF(CARGA_DIARIA!A208="","",CARGA_DIARIA!A208)</f>
        <v/>
      </c>
      <c r="B208" s="45" t="str">
        <f aca="false">IF(CARGA_DIARIA!A208="","",CARGA_DIARIA!B208)</f>
        <v/>
      </c>
      <c r="C208" s="46" t="str">
        <f aca="false"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47" t="str">
        <f aca="false"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47" t="str">
        <f aca="false">IF(CARGA_DIARIA!A208="","",IF(CARGA_DIARIA!B208=0,0,(CARGA_DIARIA!X208+CARGA_DIARIA!Y208+CARGA_DIARIA!Z208+CARGA_DIARIA!AA208)/CARGA_DIARIA!B208+CARGA_DIARIA!AB208+CARGA_DIARIA!AC208+CARGA_DIARIA!AD208+CARGA_DIARIA!AE208))</f>
        <v/>
      </c>
      <c r="F208" s="50" t="s">
        <v>146</v>
      </c>
      <c r="G208" s="50" t="s">
        <v>146</v>
      </c>
      <c r="H208" s="49" t="str">
        <f aca="false">IF(CARGA_DIARIA!A208="","",C208-D208-E208)</f>
        <v/>
      </c>
    </row>
    <row r="209" customFormat="false" ht="15.75" hidden="false" customHeight="true" outlineLevel="0" collapsed="false">
      <c r="A209" s="44" t="str">
        <f aca="false">IF(CARGA_DIARIA!A209="","",CARGA_DIARIA!A209)</f>
        <v/>
      </c>
      <c r="B209" s="45" t="str">
        <f aca="false">IF(CARGA_DIARIA!A209="","",CARGA_DIARIA!B209)</f>
        <v/>
      </c>
      <c r="C209" s="46" t="str">
        <f aca="false"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47" t="str">
        <f aca="false"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47" t="str">
        <f aca="false">IF(CARGA_DIARIA!A209="","",IF(CARGA_DIARIA!B209=0,0,(CARGA_DIARIA!X209+CARGA_DIARIA!Y209+CARGA_DIARIA!Z209+CARGA_DIARIA!AA209)/CARGA_DIARIA!B209+CARGA_DIARIA!AB209+CARGA_DIARIA!AC209+CARGA_DIARIA!AD209+CARGA_DIARIA!AE209))</f>
        <v/>
      </c>
      <c r="F209" s="50" t="s">
        <v>146</v>
      </c>
      <c r="G209" s="50" t="s">
        <v>146</v>
      </c>
      <c r="H209" s="49" t="str">
        <f aca="false">IF(CARGA_DIARIA!A209="","",C209-D209-E209)</f>
        <v/>
      </c>
    </row>
    <row r="210" customFormat="false" ht="15.75" hidden="false" customHeight="true" outlineLevel="0" collapsed="false">
      <c r="A210" s="44" t="str">
        <f aca="false">IF(CARGA_DIARIA!A210="","",CARGA_DIARIA!A210)</f>
        <v/>
      </c>
      <c r="B210" s="45" t="str">
        <f aca="false">IF(CARGA_DIARIA!A210="","",CARGA_DIARIA!B210)</f>
        <v/>
      </c>
      <c r="C210" s="46" t="str">
        <f aca="false"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47" t="str">
        <f aca="false"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47" t="str">
        <f aca="false">IF(CARGA_DIARIA!A210="","",IF(CARGA_DIARIA!B210=0,0,(CARGA_DIARIA!X210+CARGA_DIARIA!Y210+CARGA_DIARIA!Z210+CARGA_DIARIA!AA210)/CARGA_DIARIA!B210+CARGA_DIARIA!AB210+CARGA_DIARIA!AC210+CARGA_DIARIA!AD210+CARGA_DIARIA!AE210))</f>
        <v/>
      </c>
      <c r="F210" s="50" t="s">
        <v>146</v>
      </c>
      <c r="G210" s="50" t="s">
        <v>146</v>
      </c>
      <c r="H210" s="49" t="str">
        <f aca="false">IF(CARGA_DIARIA!A210="","",C210-D210-E210)</f>
        <v/>
      </c>
    </row>
    <row r="211" customFormat="false" ht="15.75" hidden="false" customHeight="true" outlineLevel="0" collapsed="false">
      <c r="A211" s="44" t="str">
        <f aca="false">IF(CARGA_DIARIA!A211="","",CARGA_DIARIA!A211)</f>
        <v/>
      </c>
      <c r="B211" s="45" t="str">
        <f aca="false">IF(CARGA_DIARIA!A211="","",CARGA_DIARIA!B211)</f>
        <v/>
      </c>
      <c r="C211" s="46" t="str">
        <f aca="false"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47" t="str">
        <f aca="false"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47" t="str">
        <f aca="false">IF(CARGA_DIARIA!A211="","",IF(CARGA_DIARIA!B211=0,0,(CARGA_DIARIA!X211+CARGA_DIARIA!Y211+CARGA_DIARIA!Z211+CARGA_DIARIA!AA211)/CARGA_DIARIA!B211+CARGA_DIARIA!AB211+CARGA_DIARIA!AC211+CARGA_DIARIA!AD211+CARGA_DIARIA!AE211))</f>
        <v/>
      </c>
      <c r="F211" s="50" t="s">
        <v>146</v>
      </c>
      <c r="G211" s="50" t="s">
        <v>146</v>
      </c>
      <c r="H211" s="49" t="str">
        <f aca="false">IF(CARGA_DIARIA!A211="","",C211-D211-E211)</f>
        <v/>
      </c>
    </row>
    <row r="212" customFormat="false" ht="15.75" hidden="false" customHeight="true" outlineLevel="0" collapsed="false">
      <c r="A212" s="44" t="str">
        <f aca="false">IF(CARGA_DIARIA!A212="","",CARGA_DIARIA!A212)</f>
        <v/>
      </c>
      <c r="B212" s="45" t="str">
        <f aca="false">IF(CARGA_DIARIA!A212="","",CARGA_DIARIA!B212)</f>
        <v/>
      </c>
      <c r="C212" s="46" t="str">
        <f aca="false"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47" t="str">
        <f aca="false"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47" t="str">
        <f aca="false">IF(CARGA_DIARIA!A212="","",IF(CARGA_DIARIA!B212=0,0,(CARGA_DIARIA!X212+CARGA_DIARIA!Y212+CARGA_DIARIA!Z212+CARGA_DIARIA!AA212)/CARGA_DIARIA!B212+CARGA_DIARIA!AB212+CARGA_DIARIA!AC212+CARGA_DIARIA!AD212+CARGA_DIARIA!AE212))</f>
        <v/>
      </c>
      <c r="F212" s="50" t="s">
        <v>146</v>
      </c>
      <c r="G212" s="50" t="s">
        <v>146</v>
      </c>
      <c r="H212" s="49" t="str">
        <f aca="false">IF(CARGA_DIARIA!A212="","",C212-D212-E212)</f>
        <v/>
      </c>
    </row>
    <row r="213" customFormat="false" ht="15.75" hidden="false" customHeight="true" outlineLevel="0" collapsed="false">
      <c r="A213" s="44" t="str">
        <f aca="false">IF(CARGA_DIARIA!A213="","",CARGA_DIARIA!A213)</f>
        <v/>
      </c>
      <c r="B213" s="45" t="str">
        <f aca="false">IF(CARGA_DIARIA!A213="","",CARGA_DIARIA!B213)</f>
        <v/>
      </c>
      <c r="C213" s="46" t="str">
        <f aca="false"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47" t="str">
        <f aca="false"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47" t="str">
        <f aca="false">IF(CARGA_DIARIA!A213="","",IF(CARGA_DIARIA!B213=0,0,(CARGA_DIARIA!X213+CARGA_DIARIA!Y213+CARGA_DIARIA!Z213+CARGA_DIARIA!AA213)/CARGA_DIARIA!B213+CARGA_DIARIA!AB213+CARGA_DIARIA!AC213+CARGA_DIARIA!AD213+CARGA_DIARIA!AE213))</f>
        <v/>
      </c>
      <c r="F213" s="50" t="s">
        <v>146</v>
      </c>
      <c r="G213" s="50" t="s">
        <v>146</v>
      </c>
      <c r="H213" s="49" t="str">
        <f aca="false">IF(CARGA_DIARIA!A213="","",C213-D213-E213)</f>
        <v/>
      </c>
    </row>
    <row r="214" customFormat="false" ht="15.75" hidden="false" customHeight="true" outlineLevel="0" collapsed="false">
      <c r="A214" s="44" t="str">
        <f aca="false">IF(CARGA_DIARIA!A214="","",CARGA_DIARIA!A214)</f>
        <v/>
      </c>
      <c r="B214" s="45" t="str">
        <f aca="false">IF(CARGA_DIARIA!A214="","",CARGA_DIARIA!B214)</f>
        <v/>
      </c>
      <c r="C214" s="46" t="str">
        <f aca="false"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47" t="str">
        <f aca="false"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47" t="str">
        <f aca="false">IF(CARGA_DIARIA!A214="","",IF(CARGA_DIARIA!B214=0,0,(CARGA_DIARIA!X214+CARGA_DIARIA!Y214+CARGA_DIARIA!Z214+CARGA_DIARIA!AA214)/CARGA_DIARIA!B214+CARGA_DIARIA!AB214+CARGA_DIARIA!AC214+CARGA_DIARIA!AD214+CARGA_DIARIA!AE214))</f>
        <v/>
      </c>
      <c r="F214" s="50" t="s">
        <v>146</v>
      </c>
      <c r="G214" s="50" t="s">
        <v>146</v>
      </c>
      <c r="H214" s="49" t="str">
        <f aca="false">IF(CARGA_DIARIA!A214="","",C214-D214-E214)</f>
        <v/>
      </c>
    </row>
    <row r="215" customFormat="false" ht="15.75" hidden="false" customHeight="true" outlineLevel="0" collapsed="false">
      <c r="A215" s="44" t="str">
        <f aca="false">IF(CARGA_DIARIA!A215="","",CARGA_DIARIA!A215)</f>
        <v/>
      </c>
      <c r="B215" s="45" t="str">
        <f aca="false">IF(CARGA_DIARIA!A215="","",CARGA_DIARIA!B215)</f>
        <v/>
      </c>
      <c r="C215" s="46" t="str">
        <f aca="false"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47" t="str">
        <f aca="false"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47" t="str">
        <f aca="false">IF(CARGA_DIARIA!A215="","",IF(CARGA_DIARIA!B215=0,0,(CARGA_DIARIA!X215+CARGA_DIARIA!Y215+CARGA_DIARIA!Z215+CARGA_DIARIA!AA215)/CARGA_DIARIA!B215+CARGA_DIARIA!AB215+CARGA_DIARIA!AC215+CARGA_DIARIA!AD215+CARGA_DIARIA!AE215))</f>
        <v/>
      </c>
      <c r="F215" s="50" t="s">
        <v>146</v>
      </c>
      <c r="G215" s="50" t="s">
        <v>146</v>
      </c>
      <c r="H215" s="49" t="str">
        <f aca="false">IF(CARGA_DIARIA!A215="","",C215-D215-E215)</f>
        <v/>
      </c>
    </row>
    <row r="216" customFormat="false" ht="15.75" hidden="false" customHeight="true" outlineLevel="0" collapsed="false">
      <c r="A216" s="44" t="str">
        <f aca="false">IF(CARGA_DIARIA!A216="","",CARGA_DIARIA!A216)</f>
        <v/>
      </c>
      <c r="B216" s="45" t="str">
        <f aca="false">IF(CARGA_DIARIA!A216="","",CARGA_DIARIA!B216)</f>
        <v/>
      </c>
      <c r="C216" s="46" t="str">
        <f aca="false"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47" t="str">
        <f aca="false"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47" t="str">
        <f aca="false">IF(CARGA_DIARIA!A216="","",IF(CARGA_DIARIA!B216=0,0,(CARGA_DIARIA!X216+CARGA_DIARIA!Y216+CARGA_DIARIA!Z216+CARGA_DIARIA!AA216)/CARGA_DIARIA!B216+CARGA_DIARIA!AB216+CARGA_DIARIA!AC216+CARGA_DIARIA!AD216+CARGA_DIARIA!AE216))</f>
        <v/>
      </c>
      <c r="F216" s="50" t="s">
        <v>146</v>
      </c>
      <c r="G216" s="50" t="s">
        <v>146</v>
      </c>
      <c r="H216" s="49" t="str">
        <f aca="false">IF(CARGA_DIARIA!A216="","",C216-D216-E216)</f>
        <v/>
      </c>
    </row>
    <row r="217" customFormat="false" ht="15.75" hidden="false" customHeight="true" outlineLevel="0" collapsed="false">
      <c r="A217" s="44" t="str">
        <f aca="false">IF(CARGA_DIARIA!A217="","",CARGA_DIARIA!A217)</f>
        <v/>
      </c>
      <c r="B217" s="45" t="str">
        <f aca="false">IF(CARGA_DIARIA!A217="","",CARGA_DIARIA!B217)</f>
        <v/>
      </c>
      <c r="C217" s="46" t="str">
        <f aca="false"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47" t="str">
        <f aca="false"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47" t="str">
        <f aca="false">IF(CARGA_DIARIA!A217="","",IF(CARGA_DIARIA!B217=0,0,(CARGA_DIARIA!X217+CARGA_DIARIA!Y217+CARGA_DIARIA!Z217+CARGA_DIARIA!AA217)/CARGA_DIARIA!B217+CARGA_DIARIA!AB217+CARGA_DIARIA!AC217+CARGA_DIARIA!AD217+CARGA_DIARIA!AE217))</f>
        <v/>
      </c>
      <c r="F217" s="50" t="s">
        <v>146</v>
      </c>
      <c r="G217" s="50" t="s">
        <v>146</v>
      </c>
      <c r="H217" s="49" t="str">
        <f aca="false">IF(CARGA_DIARIA!A217="","",C217-D217-E217)</f>
        <v/>
      </c>
    </row>
    <row r="218" customFormat="false" ht="15.75" hidden="false" customHeight="true" outlineLevel="0" collapsed="false">
      <c r="A218" s="44" t="str">
        <f aca="false">IF(CARGA_DIARIA!A218="","",CARGA_DIARIA!A218)</f>
        <v/>
      </c>
      <c r="B218" s="45" t="str">
        <f aca="false">IF(CARGA_DIARIA!A218="","",CARGA_DIARIA!B218)</f>
        <v/>
      </c>
      <c r="C218" s="46" t="str">
        <f aca="false"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47" t="str">
        <f aca="false"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47" t="str">
        <f aca="false">IF(CARGA_DIARIA!A218="","",IF(CARGA_DIARIA!B218=0,0,(CARGA_DIARIA!X218+CARGA_DIARIA!Y218+CARGA_DIARIA!Z218+CARGA_DIARIA!AA218)/CARGA_DIARIA!B218+CARGA_DIARIA!AB218+CARGA_DIARIA!AC218+CARGA_DIARIA!AD218+CARGA_DIARIA!AE218))</f>
        <v/>
      </c>
      <c r="F218" s="50" t="s">
        <v>146</v>
      </c>
      <c r="G218" s="50" t="s">
        <v>146</v>
      </c>
      <c r="H218" s="49" t="str">
        <f aca="false">IF(CARGA_DIARIA!A218="","",C218-D218-E218)</f>
        <v/>
      </c>
    </row>
    <row r="219" customFormat="false" ht="15.75" hidden="false" customHeight="true" outlineLevel="0" collapsed="false">
      <c r="A219" s="44" t="str">
        <f aca="false">IF(CARGA_DIARIA!A219="","",CARGA_DIARIA!A219)</f>
        <v/>
      </c>
      <c r="B219" s="45" t="str">
        <f aca="false">IF(CARGA_DIARIA!A219="","",CARGA_DIARIA!B219)</f>
        <v/>
      </c>
      <c r="C219" s="46" t="str">
        <f aca="false"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47" t="str">
        <f aca="false"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47" t="str">
        <f aca="false">IF(CARGA_DIARIA!A219="","",IF(CARGA_DIARIA!B219=0,0,(CARGA_DIARIA!X219+CARGA_DIARIA!Y219+CARGA_DIARIA!Z219+CARGA_DIARIA!AA219)/CARGA_DIARIA!B219+CARGA_DIARIA!AB219+CARGA_DIARIA!AC219+CARGA_DIARIA!AD219+CARGA_DIARIA!AE219))</f>
        <v/>
      </c>
      <c r="F219" s="50" t="s">
        <v>146</v>
      </c>
      <c r="G219" s="50" t="s">
        <v>146</v>
      </c>
      <c r="H219" s="49" t="str">
        <f aca="false">IF(CARGA_DIARIA!A219="","",C219-D219-E219)</f>
        <v/>
      </c>
    </row>
    <row r="220" customFormat="false" ht="15.75" hidden="false" customHeight="true" outlineLevel="0" collapsed="false">
      <c r="A220" s="44" t="str">
        <f aca="false">IF(CARGA_DIARIA!A220="","",CARGA_DIARIA!A220)</f>
        <v/>
      </c>
      <c r="B220" s="45" t="str">
        <f aca="false">IF(CARGA_DIARIA!A220="","",CARGA_DIARIA!B220)</f>
        <v/>
      </c>
      <c r="C220" s="46" t="str">
        <f aca="false"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47" t="str">
        <f aca="false"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47" t="str">
        <f aca="false">IF(CARGA_DIARIA!A220="","",IF(CARGA_DIARIA!B220=0,0,(CARGA_DIARIA!X220+CARGA_DIARIA!Y220+CARGA_DIARIA!Z220+CARGA_DIARIA!AA220)/CARGA_DIARIA!B220+CARGA_DIARIA!AB220+CARGA_DIARIA!AC220+CARGA_DIARIA!AD220+CARGA_DIARIA!AE220))</f>
        <v/>
      </c>
      <c r="F220" s="50" t="s">
        <v>146</v>
      </c>
      <c r="G220" s="50" t="s">
        <v>146</v>
      </c>
      <c r="H220" s="49" t="str">
        <f aca="false">IF(CARGA_DIARIA!A220="","",C220-D220-E220)</f>
        <v/>
      </c>
    </row>
    <row r="221" customFormat="false" ht="15.75" hidden="false" customHeight="true" outlineLevel="0" collapsed="false">
      <c r="A221" s="44" t="str">
        <f aca="false">IF(CARGA_DIARIA!A221="","",CARGA_DIARIA!A221)</f>
        <v/>
      </c>
      <c r="B221" s="45" t="str">
        <f aca="false">IF(CARGA_DIARIA!A221="","",CARGA_DIARIA!B221)</f>
        <v/>
      </c>
      <c r="C221" s="46" t="str">
        <f aca="false"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47" t="str">
        <f aca="false"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47" t="str">
        <f aca="false">IF(CARGA_DIARIA!A221="","",IF(CARGA_DIARIA!B221=0,0,(CARGA_DIARIA!X221+CARGA_DIARIA!Y221+CARGA_DIARIA!Z221+CARGA_DIARIA!AA221)/CARGA_DIARIA!B221+CARGA_DIARIA!AB221+CARGA_DIARIA!AC221+CARGA_DIARIA!AD221+CARGA_DIARIA!AE221))</f>
        <v/>
      </c>
      <c r="F221" s="50" t="s">
        <v>146</v>
      </c>
      <c r="G221" s="50" t="s">
        <v>146</v>
      </c>
      <c r="H221" s="49" t="str">
        <f aca="false">IF(CARGA_DIARIA!A221="","",C221-D221-E221)</f>
        <v/>
      </c>
    </row>
    <row r="222" customFormat="false" ht="15.75" hidden="false" customHeight="true" outlineLevel="0" collapsed="false">
      <c r="A222" s="44" t="str">
        <f aca="false">IF(CARGA_DIARIA!A222="","",CARGA_DIARIA!A222)</f>
        <v/>
      </c>
      <c r="B222" s="45" t="str">
        <f aca="false">IF(CARGA_DIARIA!A222="","",CARGA_DIARIA!B222)</f>
        <v/>
      </c>
      <c r="C222" s="46" t="str">
        <f aca="false"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47" t="str">
        <f aca="false"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47" t="str">
        <f aca="false">IF(CARGA_DIARIA!A222="","",IF(CARGA_DIARIA!B222=0,0,(CARGA_DIARIA!X222+CARGA_DIARIA!Y222+CARGA_DIARIA!Z222+CARGA_DIARIA!AA222)/CARGA_DIARIA!B222+CARGA_DIARIA!AB222+CARGA_DIARIA!AC222+CARGA_DIARIA!AD222+CARGA_DIARIA!AE222))</f>
        <v/>
      </c>
      <c r="F222" s="50" t="s">
        <v>146</v>
      </c>
      <c r="G222" s="50" t="s">
        <v>146</v>
      </c>
      <c r="H222" s="49" t="str">
        <f aca="false">IF(CARGA_DIARIA!A222="","",C222-D222-E222)</f>
        <v/>
      </c>
    </row>
    <row r="223" customFormat="false" ht="15.75" hidden="false" customHeight="true" outlineLevel="0" collapsed="false">
      <c r="A223" s="44" t="str">
        <f aca="false">IF(CARGA_DIARIA!A223="","",CARGA_DIARIA!A223)</f>
        <v/>
      </c>
      <c r="B223" s="45" t="str">
        <f aca="false">IF(CARGA_DIARIA!A223="","",CARGA_DIARIA!B223)</f>
        <v/>
      </c>
      <c r="C223" s="46" t="str">
        <f aca="false"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47" t="str">
        <f aca="false"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47" t="str">
        <f aca="false">IF(CARGA_DIARIA!A223="","",IF(CARGA_DIARIA!B223=0,0,(CARGA_DIARIA!X223+CARGA_DIARIA!Y223+CARGA_DIARIA!Z223+CARGA_DIARIA!AA223)/CARGA_DIARIA!B223+CARGA_DIARIA!AB223+CARGA_DIARIA!AC223+CARGA_DIARIA!AD223+CARGA_DIARIA!AE223))</f>
        <v/>
      </c>
      <c r="F223" s="50" t="s">
        <v>146</v>
      </c>
      <c r="G223" s="50" t="s">
        <v>146</v>
      </c>
      <c r="H223" s="49" t="str">
        <f aca="false">IF(CARGA_DIARIA!A223="","",C223-D223-E223)</f>
        <v/>
      </c>
    </row>
    <row r="224" customFormat="false" ht="15.75" hidden="false" customHeight="true" outlineLevel="0" collapsed="false">
      <c r="A224" s="44" t="str">
        <f aca="false">IF(CARGA_DIARIA!A224="","",CARGA_DIARIA!A224)</f>
        <v/>
      </c>
      <c r="B224" s="45" t="str">
        <f aca="false">IF(CARGA_DIARIA!A224="","",CARGA_DIARIA!B224)</f>
        <v/>
      </c>
      <c r="C224" s="46" t="str">
        <f aca="false"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47" t="str">
        <f aca="false"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47" t="str">
        <f aca="false">IF(CARGA_DIARIA!A224="","",IF(CARGA_DIARIA!B224=0,0,(CARGA_DIARIA!X224+CARGA_DIARIA!Y224+CARGA_DIARIA!Z224+CARGA_DIARIA!AA224)/CARGA_DIARIA!B224+CARGA_DIARIA!AB224+CARGA_DIARIA!AC224+CARGA_DIARIA!AD224+CARGA_DIARIA!AE224))</f>
        <v/>
      </c>
      <c r="F224" s="50" t="s">
        <v>146</v>
      </c>
      <c r="G224" s="50" t="s">
        <v>146</v>
      </c>
      <c r="H224" s="49" t="str">
        <f aca="false">IF(CARGA_DIARIA!A224="","",C224-D224-E224)</f>
        <v/>
      </c>
    </row>
    <row r="225" customFormat="false" ht="15.75" hidden="false" customHeight="true" outlineLevel="0" collapsed="false">
      <c r="A225" s="44" t="str">
        <f aca="false">IF(CARGA_DIARIA!A225="","",CARGA_DIARIA!A225)</f>
        <v/>
      </c>
      <c r="B225" s="45" t="str">
        <f aca="false">IF(CARGA_DIARIA!A225="","",CARGA_DIARIA!B225)</f>
        <v/>
      </c>
      <c r="C225" s="46" t="str">
        <f aca="false"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47" t="str">
        <f aca="false"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47" t="str">
        <f aca="false">IF(CARGA_DIARIA!A225="","",IF(CARGA_DIARIA!B225=0,0,(CARGA_DIARIA!X225+CARGA_DIARIA!Y225+CARGA_DIARIA!Z225+CARGA_DIARIA!AA225)/CARGA_DIARIA!B225+CARGA_DIARIA!AB225+CARGA_DIARIA!AC225+CARGA_DIARIA!AD225+CARGA_DIARIA!AE225))</f>
        <v/>
      </c>
      <c r="F225" s="50" t="s">
        <v>146</v>
      </c>
      <c r="G225" s="50" t="s">
        <v>146</v>
      </c>
      <c r="H225" s="49" t="str">
        <f aca="false">IF(CARGA_DIARIA!A225="","",C225-D225-E225)</f>
        <v/>
      </c>
    </row>
    <row r="226" customFormat="false" ht="15.75" hidden="false" customHeight="true" outlineLevel="0" collapsed="false">
      <c r="A226" s="44" t="str">
        <f aca="false">IF(CARGA_DIARIA!A226="","",CARGA_DIARIA!A226)</f>
        <v/>
      </c>
      <c r="B226" s="45" t="str">
        <f aca="false">IF(CARGA_DIARIA!A226="","",CARGA_DIARIA!B226)</f>
        <v/>
      </c>
      <c r="C226" s="46" t="str">
        <f aca="false"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47" t="str">
        <f aca="false"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47" t="str">
        <f aca="false">IF(CARGA_DIARIA!A226="","",IF(CARGA_DIARIA!B226=0,0,(CARGA_DIARIA!X226+CARGA_DIARIA!Y226+CARGA_DIARIA!Z226+CARGA_DIARIA!AA226)/CARGA_DIARIA!B226+CARGA_DIARIA!AB226+CARGA_DIARIA!AC226+CARGA_DIARIA!AD226+CARGA_DIARIA!AE226))</f>
        <v/>
      </c>
      <c r="F226" s="50" t="s">
        <v>146</v>
      </c>
      <c r="G226" s="50" t="s">
        <v>146</v>
      </c>
      <c r="H226" s="49" t="str">
        <f aca="false">IF(CARGA_DIARIA!A226="","",C226-D226-E226)</f>
        <v/>
      </c>
    </row>
    <row r="227" customFormat="false" ht="15.75" hidden="false" customHeight="true" outlineLevel="0" collapsed="false">
      <c r="A227" s="44" t="str">
        <f aca="false">IF(CARGA_DIARIA!A227="","",CARGA_DIARIA!A227)</f>
        <v/>
      </c>
      <c r="B227" s="45" t="str">
        <f aca="false">IF(CARGA_DIARIA!A227="","",CARGA_DIARIA!B227)</f>
        <v/>
      </c>
      <c r="C227" s="46" t="str">
        <f aca="false"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47" t="str">
        <f aca="false"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47" t="str">
        <f aca="false">IF(CARGA_DIARIA!A227="","",IF(CARGA_DIARIA!B227=0,0,(CARGA_DIARIA!X227+CARGA_DIARIA!Y227+CARGA_DIARIA!Z227+CARGA_DIARIA!AA227)/CARGA_DIARIA!B227+CARGA_DIARIA!AB227+CARGA_DIARIA!AC227+CARGA_DIARIA!AD227+CARGA_DIARIA!AE227))</f>
        <v/>
      </c>
      <c r="F227" s="50" t="s">
        <v>146</v>
      </c>
      <c r="G227" s="50" t="s">
        <v>146</v>
      </c>
      <c r="H227" s="49" t="str">
        <f aca="false">IF(CARGA_DIARIA!A227="","",C227-D227-E227)</f>
        <v/>
      </c>
    </row>
    <row r="228" customFormat="false" ht="15.75" hidden="false" customHeight="true" outlineLevel="0" collapsed="false">
      <c r="A228" s="44" t="str">
        <f aca="false">IF(CARGA_DIARIA!A228="","",CARGA_DIARIA!A228)</f>
        <v/>
      </c>
      <c r="B228" s="45" t="str">
        <f aca="false">IF(CARGA_DIARIA!A228="","",CARGA_DIARIA!B228)</f>
        <v/>
      </c>
      <c r="C228" s="46" t="str">
        <f aca="false"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47" t="str">
        <f aca="false"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47" t="str">
        <f aca="false">IF(CARGA_DIARIA!A228="","",IF(CARGA_DIARIA!B228=0,0,(CARGA_DIARIA!X228+CARGA_DIARIA!Y228+CARGA_DIARIA!Z228+CARGA_DIARIA!AA228)/CARGA_DIARIA!B228+CARGA_DIARIA!AB228+CARGA_DIARIA!AC228+CARGA_DIARIA!AD228+CARGA_DIARIA!AE228))</f>
        <v/>
      </c>
      <c r="F228" s="50" t="s">
        <v>146</v>
      </c>
      <c r="G228" s="50" t="s">
        <v>146</v>
      </c>
      <c r="H228" s="49" t="str">
        <f aca="false">IF(CARGA_DIARIA!A228="","",C228-D228-E228)</f>
        <v/>
      </c>
    </row>
    <row r="229" customFormat="false" ht="15.75" hidden="false" customHeight="true" outlineLevel="0" collapsed="false">
      <c r="A229" s="44" t="str">
        <f aca="false">IF(CARGA_DIARIA!A229="","",CARGA_DIARIA!A229)</f>
        <v/>
      </c>
      <c r="B229" s="45" t="str">
        <f aca="false">IF(CARGA_DIARIA!A229="","",CARGA_DIARIA!B229)</f>
        <v/>
      </c>
      <c r="C229" s="46" t="str">
        <f aca="false"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47" t="str">
        <f aca="false"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47" t="str">
        <f aca="false">IF(CARGA_DIARIA!A229="","",IF(CARGA_DIARIA!B229=0,0,(CARGA_DIARIA!X229+CARGA_DIARIA!Y229+CARGA_DIARIA!Z229+CARGA_DIARIA!AA229)/CARGA_DIARIA!B229+CARGA_DIARIA!AB229+CARGA_DIARIA!AC229+CARGA_DIARIA!AD229+CARGA_DIARIA!AE229))</f>
        <v/>
      </c>
      <c r="F229" s="50" t="s">
        <v>146</v>
      </c>
      <c r="G229" s="50" t="s">
        <v>146</v>
      </c>
      <c r="H229" s="49" t="str">
        <f aca="false">IF(CARGA_DIARIA!A229="","",C229-D229-E229)</f>
        <v/>
      </c>
    </row>
    <row r="230" customFormat="false" ht="15.75" hidden="false" customHeight="true" outlineLevel="0" collapsed="false">
      <c r="A230" s="44" t="str">
        <f aca="false">IF(CARGA_DIARIA!A230="","",CARGA_DIARIA!A230)</f>
        <v/>
      </c>
      <c r="B230" s="45" t="str">
        <f aca="false">IF(CARGA_DIARIA!A230="","",CARGA_DIARIA!B230)</f>
        <v/>
      </c>
      <c r="C230" s="46" t="str">
        <f aca="false"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47" t="str">
        <f aca="false"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47" t="str">
        <f aca="false">IF(CARGA_DIARIA!A230="","",IF(CARGA_DIARIA!B230=0,0,(CARGA_DIARIA!X230+CARGA_DIARIA!Y230+CARGA_DIARIA!Z230+CARGA_DIARIA!AA230)/CARGA_DIARIA!B230+CARGA_DIARIA!AB230+CARGA_DIARIA!AC230+CARGA_DIARIA!AD230+CARGA_DIARIA!AE230))</f>
        <v/>
      </c>
      <c r="F230" s="50" t="s">
        <v>146</v>
      </c>
      <c r="G230" s="50" t="s">
        <v>146</v>
      </c>
      <c r="H230" s="49" t="str">
        <f aca="false">IF(CARGA_DIARIA!A230="","",C230-D230-E230)</f>
        <v/>
      </c>
    </row>
    <row r="231" customFormat="false" ht="15.75" hidden="false" customHeight="true" outlineLevel="0" collapsed="false">
      <c r="A231" s="44" t="str">
        <f aca="false">IF(CARGA_DIARIA!A231="","",CARGA_DIARIA!A231)</f>
        <v/>
      </c>
      <c r="B231" s="45" t="str">
        <f aca="false">IF(CARGA_DIARIA!A231="","",CARGA_DIARIA!B231)</f>
        <v/>
      </c>
      <c r="C231" s="46" t="str">
        <f aca="false"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47" t="str">
        <f aca="false"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47" t="str">
        <f aca="false">IF(CARGA_DIARIA!A231="","",IF(CARGA_DIARIA!B231=0,0,(CARGA_DIARIA!X231+CARGA_DIARIA!Y231+CARGA_DIARIA!Z231+CARGA_DIARIA!AA231)/CARGA_DIARIA!B231+CARGA_DIARIA!AB231+CARGA_DIARIA!AC231+CARGA_DIARIA!AD231+CARGA_DIARIA!AE231))</f>
        <v/>
      </c>
      <c r="F231" s="50" t="s">
        <v>146</v>
      </c>
      <c r="G231" s="50" t="s">
        <v>146</v>
      </c>
      <c r="H231" s="49" t="str">
        <f aca="false">IF(CARGA_DIARIA!A231="","",C231-D231-E231)</f>
        <v/>
      </c>
    </row>
    <row r="232" customFormat="false" ht="15.75" hidden="false" customHeight="true" outlineLevel="0" collapsed="false">
      <c r="A232" s="44" t="str">
        <f aca="false">IF(CARGA_DIARIA!A232="","",CARGA_DIARIA!A232)</f>
        <v/>
      </c>
      <c r="B232" s="45" t="str">
        <f aca="false">IF(CARGA_DIARIA!A232="","",CARGA_DIARIA!B232)</f>
        <v/>
      </c>
      <c r="C232" s="46" t="str">
        <f aca="false"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47" t="str">
        <f aca="false"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47" t="str">
        <f aca="false">IF(CARGA_DIARIA!A232="","",IF(CARGA_DIARIA!B232=0,0,(CARGA_DIARIA!X232+CARGA_DIARIA!Y232+CARGA_DIARIA!Z232+CARGA_DIARIA!AA232)/CARGA_DIARIA!B232+CARGA_DIARIA!AB232+CARGA_DIARIA!AC232+CARGA_DIARIA!AD232+CARGA_DIARIA!AE232))</f>
        <v/>
      </c>
      <c r="F232" s="50" t="s">
        <v>146</v>
      </c>
      <c r="G232" s="50" t="s">
        <v>146</v>
      </c>
      <c r="H232" s="49" t="str">
        <f aca="false">IF(CARGA_DIARIA!A232="","",C232-D232-E232)</f>
        <v/>
      </c>
    </row>
    <row r="233" customFormat="false" ht="15.75" hidden="false" customHeight="true" outlineLevel="0" collapsed="false">
      <c r="A233" s="44" t="str">
        <f aca="false">IF(CARGA_DIARIA!A233="","",CARGA_DIARIA!A233)</f>
        <v/>
      </c>
      <c r="B233" s="45" t="str">
        <f aca="false">IF(CARGA_DIARIA!A233="","",CARGA_DIARIA!B233)</f>
        <v/>
      </c>
      <c r="C233" s="46" t="str">
        <f aca="false"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47" t="str">
        <f aca="false"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47" t="str">
        <f aca="false">IF(CARGA_DIARIA!A233="","",IF(CARGA_DIARIA!B233=0,0,(CARGA_DIARIA!X233+CARGA_DIARIA!Y233+CARGA_DIARIA!Z233+CARGA_DIARIA!AA233)/CARGA_DIARIA!B233+CARGA_DIARIA!AB233+CARGA_DIARIA!AC233+CARGA_DIARIA!AD233+CARGA_DIARIA!AE233))</f>
        <v/>
      </c>
      <c r="F233" s="50" t="s">
        <v>146</v>
      </c>
      <c r="G233" s="50" t="s">
        <v>146</v>
      </c>
      <c r="H233" s="49" t="str">
        <f aca="false">IF(CARGA_DIARIA!A233="","",C233-D233-E233)</f>
        <v/>
      </c>
    </row>
    <row r="234" customFormat="false" ht="15.75" hidden="false" customHeight="true" outlineLevel="0" collapsed="false">
      <c r="A234" s="44" t="str">
        <f aca="false">IF(CARGA_DIARIA!A234="","",CARGA_DIARIA!A234)</f>
        <v/>
      </c>
      <c r="B234" s="45" t="str">
        <f aca="false">IF(CARGA_DIARIA!A234="","",CARGA_DIARIA!B234)</f>
        <v/>
      </c>
      <c r="C234" s="46" t="str">
        <f aca="false"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47" t="str">
        <f aca="false"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47" t="str">
        <f aca="false">IF(CARGA_DIARIA!A234="","",IF(CARGA_DIARIA!B234=0,0,(CARGA_DIARIA!X234+CARGA_DIARIA!Y234+CARGA_DIARIA!Z234+CARGA_DIARIA!AA234)/CARGA_DIARIA!B234+CARGA_DIARIA!AB234+CARGA_DIARIA!AC234+CARGA_DIARIA!AD234+CARGA_DIARIA!AE234))</f>
        <v/>
      </c>
      <c r="F234" s="50" t="s">
        <v>146</v>
      </c>
      <c r="G234" s="50" t="s">
        <v>146</v>
      </c>
      <c r="H234" s="49" t="str">
        <f aca="false">IF(CARGA_DIARIA!A234="","",C234-D234-E234)</f>
        <v/>
      </c>
    </row>
    <row r="235" customFormat="false" ht="15.75" hidden="false" customHeight="true" outlineLevel="0" collapsed="false">
      <c r="A235" s="44" t="str">
        <f aca="false">IF(CARGA_DIARIA!A235="","",CARGA_DIARIA!A235)</f>
        <v/>
      </c>
      <c r="B235" s="45" t="str">
        <f aca="false">IF(CARGA_DIARIA!A235="","",CARGA_DIARIA!B235)</f>
        <v/>
      </c>
      <c r="C235" s="46" t="str">
        <f aca="false"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47" t="str">
        <f aca="false"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47" t="str">
        <f aca="false">IF(CARGA_DIARIA!A235="","",IF(CARGA_DIARIA!B235=0,0,(CARGA_DIARIA!X235+CARGA_DIARIA!Y235+CARGA_DIARIA!Z235+CARGA_DIARIA!AA235)/CARGA_DIARIA!B235+CARGA_DIARIA!AB235+CARGA_DIARIA!AC235+CARGA_DIARIA!AD235+CARGA_DIARIA!AE235))</f>
        <v/>
      </c>
      <c r="F235" s="50" t="s">
        <v>146</v>
      </c>
      <c r="G235" s="50" t="s">
        <v>146</v>
      </c>
      <c r="H235" s="49" t="str">
        <f aca="false">IF(CARGA_DIARIA!A235="","",C235-D235-E235)</f>
        <v/>
      </c>
    </row>
    <row r="236" customFormat="false" ht="15.75" hidden="false" customHeight="true" outlineLevel="0" collapsed="false">
      <c r="A236" s="44" t="str">
        <f aca="false">IF(CARGA_DIARIA!A236="","",CARGA_DIARIA!A236)</f>
        <v/>
      </c>
      <c r="B236" s="45" t="str">
        <f aca="false">IF(CARGA_DIARIA!A236="","",CARGA_DIARIA!B236)</f>
        <v/>
      </c>
      <c r="C236" s="46" t="str">
        <f aca="false"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47" t="str">
        <f aca="false"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47" t="str">
        <f aca="false">IF(CARGA_DIARIA!A236="","",IF(CARGA_DIARIA!B236=0,0,(CARGA_DIARIA!X236+CARGA_DIARIA!Y236+CARGA_DIARIA!Z236+CARGA_DIARIA!AA236)/CARGA_DIARIA!B236+CARGA_DIARIA!AB236+CARGA_DIARIA!AC236+CARGA_DIARIA!AD236+CARGA_DIARIA!AE236))</f>
        <v/>
      </c>
      <c r="F236" s="50" t="s">
        <v>146</v>
      </c>
      <c r="G236" s="50" t="s">
        <v>146</v>
      </c>
      <c r="H236" s="49" t="str">
        <f aca="false">IF(CARGA_DIARIA!A236="","",C236-D236-E236)</f>
        <v/>
      </c>
    </row>
    <row r="237" customFormat="false" ht="15.75" hidden="false" customHeight="true" outlineLevel="0" collapsed="false">
      <c r="A237" s="44" t="str">
        <f aca="false">IF(CARGA_DIARIA!A237="","",CARGA_DIARIA!A237)</f>
        <v/>
      </c>
      <c r="B237" s="45" t="str">
        <f aca="false">IF(CARGA_DIARIA!A237="","",CARGA_DIARIA!B237)</f>
        <v/>
      </c>
      <c r="C237" s="46" t="str">
        <f aca="false"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47" t="str">
        <f aca="false"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47" t="str">
        <f aca="false">IF(CARGA_DIARIA!A237="","",IF(CARGA_DIARIA!B237=0,0,(CARGA_DIARIA!X237+CARGA_DIARIA!Y237+CARGA_DIARIA!Z237+CARGA_DIARIA!AA237)/CARGA_DIARIA!B237+CARGA_DIARIA!AB237+CARGA_DIARIA!AC237+CARGA_DIARIA!AD237+CARGA_DIARIA!AE237))</f>
        <v/>
      </c>
      <c r="F237" s="50" t="s">
        <v>146</v>
      </c>
      <c r="G237" s="50" t="s">
        <v>146</v>
      </c>
      <c r="H237" s="49" t="str">
        <f aca="false">IF(CARGA_DIARIA!A237="","",C237-D237-E237)</f>
        <v/>
      </c>
    </row>
    <row r="238" customFormat="false" ht="15.75" hidden="false" customHeight="true" outlineLevel="0" collapsed="false">
      <c r="A238" s="44" t="str">
        <f aca="false">IF(CARGA_DIARIA!A238="","",CARGA_DIARIA!A238)</f>
        <v/>
      </c>
      <c r="B238" s="45" t="str">
        <f aca="false">IF(CARGA_DIARIA!A238="","",CARGA_DIARIA!B238)</f>
        <v/>
      </c>
      <c r="C238" s="46" t="str">
        <f aca="false"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47" t="str">
        <f aca="false"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47" t="str">
        <f aca="false">IF(CARGA_DIARIA!A238="","",IF(CARGA_DIARIA!B238=0,0,(CARGA_DIARIA!X238+CARGA_DIARIA!Y238+CARGA_DIARIA!Z238+CARGA_DIARIA!AA238)/CARGA_DIARIA!B238+CARGA_DIARIA!AB238+CARGA_DIARIA!AC238+CARGA_DIARIA!AD238+CARGA_DIARIA!AE238))</f>
        <v/>
      </c>
      <c r="F238" s="50" t="s">
        <v>146</v>
      </c>
      <c r="G238" s="50" t="s">
        <v>146</v>
      </c>
      <c r="H238" s="49" t="str">
        <f aca="false">IF(CARGA_DIARIA!A238="","",C238-D238-E238)</f>
        <v/>
      </c>
    </row>
    <row r="239" customFormat="false" ht="15.75" hidden="false" customHeight="true" outlineLevel="0" collapsed="false">
      <c r="A239" s="44" t="str">
        <f aca="false">IF(CARGA_DIARIA!A239="","",CARGA_DIARIA!A239)</f>
        <v/>
      </c>
      <c r="B239" s="45" t="str">
        <f aca="false">IF(CARGA_DIARIA!A239="","",CARGA_DIARIA!B239)</f>
        <v/>
      </c>
      <c r="C239" s="46" t="str">
        <f aca="false"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47" t="str">
        <f aca="false"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47" t="str">
        <f aca="false">IF(CARGA_DIARIA!A239="","",IF(CARGA_DIARIA!B239=0,0,(CARGA_DIARIA!X239+CARGA_DIARIA!Y239+CARGA_DIARIA!Z239+CARGA_DIARIA!AA239)/CARGA_DIARIA!B239+CARGA_DIARIA!AB239+CARGA_DIARIA!AC239+CARGA_DIARIA!AD239+CARGA_DIARIA!AE239))</f>
        <v/>
      </c>
      <c r="F239" s="50" t="s">
        <v>146</v>
      </c>
      <c r="G239" s="50" t="s">
        <v>146</v>
      </c>
      <c r="H239" s="49" t="str">
        <f aca="false">IF(CARGA_DIARIA!A239="","",C239-D239-E239)</f>
        <v/>
      </c>
    </row>
    <row r="240" customFormat="false" ht="15.75" hidden="false" customHeight="true" outlineLevel="0" collapsed="false">
      <c r="A240" s="44" t="str">
        <f aca="false">IF(CARGA_DIARIA!A240="","",CARGA_DIARIA!A240)</f>
        <v/>
      </c>
      <c r="B240" s="45" t="str">
        <f aca="false">IF(CARGA_DIARIA!A240="","",CARGA_DIARIA!B240)</f>
        <v/>
      </c>
      <c r="C240" s="46" t="str">
        <f aca="false"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47" t="str">
        <f aca="false"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47" t="str">
        <f aca="false">IF(CARGA_DIARIA!A240="","",IF(CARGA_DIARIA!B240=0,0,(CARGA_DIARIA!X240+CARGA_DIARIA!Y240+CARGA_DIARIA!Z240+CARGA_DIARIA!AA240)/CARGA_DIARIA!B240+CARGA_DIARIA!AB240+CARGA_DIARIA!AC240+CARGA_DIARIA!AD240+CARGA_DIARIA!AE240))</f>
        <v/>
      </c>
      <c r="F240" s="50" t="s">
        <v>146</v>
      </c>
      <c r="G240" s="50" t="s">
        <v>146</v>
      </c>
      <c r="H240" s="49" t="str">
        <f aca="false">IF(CARGA_DIARIA!A240="","",C240-D240-E240)</f>
        <v/>
      </c>
    </row>
    <row r="241" customFormat="false" ht="15.75" hidden="false" customHeight="true" outlineLevel="0" collapsed="false">
      <c r="A241" s="44" t="str">
        <f aca="false">IF(CARGA_DIARIA!A241="","",CARGA_DIARIA!A241)</f>
        <v/>
      </c>
      <c r="B241" s="45" t="str">
        <f aca="false">IF(CARGA_DIARIA!A241="","",CARGA_DIARIA!B241)</f>
        <v/>
      </c>
      <c r="C241" s="46" t="str">
        <f aca="false"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47" t="str">
        <f aca="false"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47" t="str">
        <f aca="false">IF(CARGA_DIARIA!A241="","",IF(CARGA_DIARIA!B241=0,0,(CARGA_DIARIA!X241+CARGA_DIARIA!Y241+CARGA_DIARIA!Z241+CARGA_DIARIA!AA241)/CARGA_DIARIA!B241+CARGA_DIARIA!AB241+CARGA_DIARIA!AC241+CARGA_DIARIA!AD241+CARGA_DIARIA!AE241))</f>
        <v/>
      </c>
      <c r="F241" s="50" t="s">
        <v>146</v>
      </c>
      <c r="G241" s="50" t="s">
        <v>146</v>
      </c>
      <c r="H241" s="49" t="str">
        <f aca="false">IF(CARGA_DIARIA!A241="","",C241-D241-E241)</f>
        <v/>
      </c>
    </row>
    <row r="242" customFormat="false" ht="15.75" hidden="false" customHeight="true" outlineLevel="0" collapsed="false">
      <c r="A242" s="44" t="str">
        <f aca="false">IF(CARGA_DIARIA!A242="","",CARGA_DIARIA!A242)</f>
        <v/>
      </c>
      <c r="B242" s="45" t="str">
        <f aca="false">IF(CARGA_DIARIA!A242="","",CARGA_DIARIA!B242)</f>
        <v/>
      </c>
      <c r="C242" s="46" t="str">
        <f aca="false"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47" t="str">
        <f aca="false"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47" t="str">
        <f aca="false">IF(CARGA_DIARIA!A242="","",IF(CARGA_DIARIA!B242=0,0,(CARGA_DIARIA!X242+CARGA_DIARIA!Y242+CARGA_DIARIA!Z242+CARGA_DIARIA!AA242)/CARGA_DIARIA!B242+CARGA_DIARIA!AB242+CARGA_DIARIA!AC242+CARGA_DIARIA!AD242+CARGA_DIARIA!AE242))</f>
        <v/>
      </c>
      <c r="F242" s="50" t="s">
        <v>146</v>
      </c>
      <c r="G242" s="50" t="s">
        <v>146</v>
      </c>
      <c r="H242" s="49" t="str">
        <f aca="false">IF(CARGA_DIARIA!A242="","",C242-D242-E242)</f>
        <v/>
      </c>
    </row>
    <row r="243" customFormat="false" ht="15.75" hidden="false" customHeight="true" outlineLevel="0" collapsed="false">
      <c r="A243" s="44" t="str">
        <f aca="false">IF(CARGA_DIARIA!A243="","",CARGA_DIARIA!A243)</f>
        <v/>
      </c>
      <c r="B243" s="45" t="str">
        <f aca="false">IF(CARGA_DIARIA!A243="","",CARGA_DIARIA!B243)</f>
        <v/>
      </c>
      <c r="C243" s="46" t="str">
        <f aca="false"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47" t="str">
        <f aca="false"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47" t="str">
        <f aca="false">IF(CARGA_DIARIA!A243="","",IF(CARGA_DIARIA!B243=0,0,(CARGA_DIARIA!X243+CARGA_DIARIA!Y243+CARGA_DIARIA!Z243+CARGA_DIARIA!AA243)/CARGA_DIARIA!B243+CARGA_DIARIA!AB243+CARGA_DIARIA!AC243+CARGA_DIARIA!AD243+CARGA_DIARIA!AE243))</f>
        <v/>
      </c>
      <c r="F243" s="50" t="s">
        <v>146</v>
      </c>
      <c r="G243" s="50" t="s">
        <v>146</v>
      </c>
      <c r="H243" s="49" t="str">
        <f aca="false">IF(CARGA_DIARIA!A243="","",C243-D243-E243)</f>
        <v/>
      </c>
    </row>
    <row r="244" customFormat="false" ht="15.75" hidden="false" customHeight="true" outlineLevel="0" collapsed="false">
      <c r="A244" s="44" t="str">
        <f aca="false">IF(CARGA_DIARIA!A244="","",CARGA_DIARIA!A244)</f>
        <v/>
      </c>
      <c r="B244" s="45" t="str">
        <f aca="false">IF(CARGA_DIARIA!A244="","",CARGA_DIARIA!B244)</f>
        <v/>
      </c>
      <c r="C244" s="46" t="str">
        <f aca="false"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47" t="str">
        <f aca="false"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47" t="str">
        <f aca="false">IF(CARGA_DIARIA!A244="","",IF(CARGA_DIARIA!B244=0,0,(CARGA_DIARIA!X244+CARGA_DIARIA!Y244+CARGA_DIARIA!Z244+CARGA_DIARIA!AA244)/CARGA_DIARIA!B244+CARGA_DIARIA!AB244+CARGA_DIARIA!AC244+CARGA_DIARIA!AD244+CARGA_DIARIA!AE244))</f>
        <v/>
      </c>
      <c r="F244" s="50" t="s">
        <v>146</v>
      </c>
      <c r="G244" s="50" t="s">
        <v>146</v>
      </c>
      <c r="H244" s="49" t="str">
        <f aca="false">IF(CARGA_DIARIA!A244="","",C244-D244-E244)</f>
        <v/>
      </c>
    </row>
    <row r="245" customFormat="false" ht="15.75" hidden="false" customHeight="true" outlineLevel="0" collapsed="false">
      <c r="A245" s="44" t="str">
        <f aca="false">IF(CARGA_DIARIA!A245="","",CARGA_DIARIA!A245)</f>
        <v/>
      </c>
      <c r="B245" s="45" t="str">
        <f aca="false">IF(CARGA_DIARIA!A245="","",CARGA_DIARIA!B245)</f>
        <v/>
      </c>
      <c r="C245" s="46" t="str">
        <f aca="false"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47" t="str">
        <f aca="false"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47" t="str">
        <f aca="false">IF(CARGA_DIARIA!A245="","",IF(CARGA_DIARIA!B245=0,0,(CARGA_DIARIA!X245+CARGA_DIARIA!Y245+CARGA_DIARIA!Z245+CARGA_DIARIA!AA245)/CARGA_DIARIA!B245+CARGA_DIARIA!AB245+CARGA_DIARIA!AC245+CARGA_DIARIA!AD245+CARGA_DIARIA!AE245))</f>
        <v/>
      </c>
      <c r="F245" s="50" t="s">
        <v>146</v>
      </c>
      <c r="G245" s="50" t="s">
        <v>146</v>
      </c>
      <c r="H245" s="49" t="str">
        <f aca="false">IF(CARGA_DIARIA!A245="","",C245-D245-E245)</f>
        <v/>
      </c>
    </row>
    <row r="246" customFormat="false" ht="15.75" hidden="false" customHeight="true" outlineLevel="0" collapsed="false">
      <c r="A246" s="44" t="str">
        <f aca="false">IF(CARGA_DIARIA!A246="","",CARGA_DIARIA!A246)</f>
        <v/>
      </c>
      <c r="B246" s="45" t="str">
        <f aca="false">IF(CARGA_DIARIA!A246="","",CARGA_DIARIA!B246)</f>
        <v/>
      </c>
      <c r="C246" s="46" t="str">
        <f aca="false"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47" t="str">
        <f aca="false"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47" t="str">
        <f aca="false">IF(CARGA_DIARIA!A246="","",IF(CARGA_DIARIA!B246=0,0,(CARGA_DIARIA!X246+CARGA_DIARIA!Y246+CARGA_DIARIA!Z246+CARGA_DIARIA!AA246)/CARGA_DIARIA!B246+CARGA_DIARIA!AB246+CARGA_DIARIA!AC246+CARGA_DIARIA!AD246+CARGA_DIARIA!AE246))</f>
        <v/>
      </c>
      <c r="F246" s="50" t="s">
        <v>146</v>
      </c>
      <c r="G246" s="50" t="s">
        <v>146</v>
      </c>
      <c r="H246" s="49" t="str">
        <f aca="false">IF(CARGA_DIARIA!A246="","",C246-D246-E246)</f>
        <v/>
      </c>
    </row>
    <row r="247" customFormat="false" ht="15.75" hidden="false" customHeight="true" outlineLevel="0" collapsed="false">
      <c r="A247" s="44" t="str">
        <f aca="false">IF(CARGA_DIARIA!A247="","",CARGA_DIARIA!A247)</f>
        <v/>
      </c>
      <c r="B247" s="45" t="str">
        <f aca="false">IF(CARGA_DIARIA!A247="","",CARGA_DIARIA!B247)</f>
        <v/>
      </c>
      <c r="C247" s="46" t="str">
        <f aca="false"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47" t="str">
        <f aca="false"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47" t="str">
        <f aca="false">IF(CARGA_DIARIA!A247="","",IF(CARGA_DIARIA!B247=0,0,(CARGA_DIARIA!X247+CARGA_DIARIA!Y247+CARGA_DIARIA!Z247+CARGA_DIARIA!AA247)/CARGA_DIARIA!B247+CARGA_DIARIA!AB247+CARGA_DIARIA!AC247+CARGA_DIARIA!AD247+CARGA_DIARIA!AE247))</f>
        <v/>
      </c>
      <c r="F247" s="50" t="s">
        <v>146</v>
      </c>
      <c r="G247" s="50" t="s">
        <v>146</v>
      </c>
      <c r="H247" s="49" t="str">
        <f aca="false">IF(CARGA_DIARIA!A247="","",C247-D247-E247)</f>
        <v/>
      </c>
    </row>
    <row r="248" customFormat="false" ht="15.75" hidden="false" customHeight="true" outlineLevel="0" collapsed="false">
      <c r="A248" s="44" t="str">
        <f aca="false">IF(CARGA_DIARIA!A248="","",CARGA_DIARIA!A248)</f>
        <v/>
      </c>
      <c r="B248" s="45" t="str">
        <f aca="false">IF(CARGA_DIARIA!A248="","",CARGA_DIARIA!B248)</f>
        <v/>
      </c>
      <c r="C248" s="46" t="str">
        <f aca="false"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47" t="str">
        <f aca="false"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47" t="str">
        <f aca="false">IF(CARGA_DIARIA!A248="","",IF(CARGA_DIARIA!B248=0,0,(CARGA_DIARIA!X248+CARGA_DIARIA!Y248+CARGA_DIARIA!Z248+CARGA_DIARIA!AA248)/CARGA_DIARIA!B248+CARGA_DIARIA!AB248+CARGA_DIARIA!AC248+CARGA_DIARIA!AD248+CARGA_DIARIA!AE248))</f>
        <v/>
      </c>
      <c r="F248" s="50" t="s">
        <v>146</v>
      </c>
      <c r="G248" s="50" t="s">
        <v>146</v>
      </c>
      <c r="H248" s="49" t="str">
        <f aca="false">IF(CARGA_DIARIA!A248="","",C248-D248-E248)</f>
        <v/>
      </c>
    </row>
    <row r="249" customFormat="false" ht="15.75" hidden="false" customHeight="true" outlineLevel="0" collapsed="false">
      <c r="A249" s="44" t="str">
        <f aca="false">IF(CARGA_DIARIA!A249="","",CARGA_DIARIA!A249)</f>
        <v/>
      </c>
      <c r="B249" s="45" t="str">
        <f aca="false">IF(CARGA_DIARIA!A249="","",CARGA_DIARIA!B249)</f>
        <v/>
      </c>
      <c r="C249" s="46" t="str">
        <f aca="false"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47" t="str">
        <f aca="false"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47" t="str">
        <f aca="false">IF(CARGA_DIARIA!A249="","",IF(CARGA_DIARIA!B249=0,0,(CARGA_DIARIA!X249+CARGA_DIARIA!Y249+CARGA_DIARIA!Z249+CARGA_DIARIA!AA249)/CARGA_DIARIA!B249+CARGA_DIARIA!AB249+CARGA_DIARIA!AC249+CARGA_DIARIA!AD249+CARGA_DIARIA!AE249))</f>
        <v/>
      </c>
      <c r="F249" s="50" t="s">
        <v>146</v>
      </c>
      <c r="G249" s="50" t="s">
        <v>146</v>
      </c>
      <c r="H249" s="49" t="str">
        <f aca="false">IF(CARGA_DIARIA!A249="","",C249-D249-E249)</f>
        <v/>
      </c>
    </row>
    <row r="250" customFormat="false" ht="15.75" hidden="false" customHeight="true" outlineLevel="0" collapsed="false">
      <c r="A250" s="44" t="str">
        <f aca="false">IF(CARGA_DIARIA!A250="","",CARGA_DIARIA!A250)</f>
        <v/>
      </c>
      <c r="B250" s="45" t="str">
        <f aca="false">IF(CARGA_DIARIA!A250="","",CARGA_DIARIA!B250)</f>
        <v/>
      </c>
      <c r="C250" s="46" t="str">
        <f aca="false"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47" t="str">
        <f aca="false"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47" t="str">
        <f aca="false">IF(CARGA_DIARIA!A250="","",IF(CARGA_DIARIA!B250=0,0,(CARGA_DIARIA!X250+CARGA_DIARIA!Y250+CARGA_DIARIA!Z250+CARGA_DIARIA!AA250)/CARGA_DIARIA!B250+CARGA_DIARIA!AB250+CARGA_DIARIA!AC250+CARGA_DIARIA!AD250+CARGA_DIARIA!AE250))</f>
        <v/>
      </c>
      <c r="F250" s="50" t="s">
        <v>146</v>
      </c>
      <c r="G250" s="50" t="s">
        <v>146</v>
      </c>
      <c r="H250" s="49" t="str">
        <f aca="false">IF(CARGA_DIARIA!A250="","",C250-D250-E250)</f>
        <v/>
      </c>
    </row>
    <row r="251" customFormat="false" ht="15.75" hidden="false" customHeight="true" outlineLevel="0" collapsed="false">
      <c r="A251" s="44" t="str">
        <f aca="false">IF(CARGA_DIARIA!A251="","",CARGA_DIARIA!A251)</f>
        <v/>
      </c>
      <c r="B251" s="45" t="str">
        <f aca="false">IF(CARGA_DIARIA!A251="","",CARGA_DIARIA!B251)</f>
        <v/>
      </c>
      <c r="C251" s="46" t="str">
        <f aca="false"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47" t="str">
        <f aca="false"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47" t="str">
        <f aca="false">IF(CARGA_DIARIA!A251="","",IF(CARGA_DIARIA!B251=0,0,(CARGA_DIARIA!X251+CARGA_DIARIA!Y251+CARGA_DIARIA!Z251+CARGA_DIARIA!AA251)/CARGA_DIARIA!B251+CARGA_DIARIA!AB251+CARGA_DIARIA!AC251+CARGA_DIARIA!AD251+CARGA_DIARIA!AE251))</f>
        <v/>
      </c>
      <c r="F251" s="50" t="s">
        <v>146</v>
      </c>
      <c r="G251" s="50" t="s">
        <v>146</v>
      </c>
      <c r="H251" s="49" t="str">
        <f aca="false">IF(CARGA_DIARIA!A251="","",C251-D251-E251)</f>
        <v/>
      </c>
    </row>
    <row r="252" customFormat="false" ht="15.75" hidden="false" customHeight="true" outlineLevel="0" collapsed="false">
      <c r="A252" s="44" t="str">
        <f aca="false">IF(CARGA_DIARIA!A252="","",CARGA_DIARIA!A252)</f>
        <v/>
      </c>
      <c r="B252" s="45" t="str">
        <f aca="false">IF(CARGA_DIARIA!A252="","",CARGA_DIARIA!B252)</f>
        <v/>
      </c>
      <c r="C252" s="46" t="str">
        <f aca="false"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47" t="str">
        <f aca="false"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47" t="str">
        <f aca="false">IF(CARGA_DIARIA!A252="","",IF(CARGA_DIARIA!B252=0,0,(CARGA_DIARIA!X252+CARGA_DIARIA!Y252+CARGA_DIARIA!Z252+CARGA_DIARIA!AA252)/CARGA_DIARIA!B252+CARGA_DIARIA!AB252+CARGA_DIARIA!AC252+CARGA_DIARIA!AD252+CARGA_DIARIA!AE252))</f>
        <v/>
      </c>
      <c r="F252" s="50" t="s">
        <v>146</v>
      </c>
      <c r="G252" s="50" t="s">
        <v>146</v>
      </c>
      <c r="H252" s="49" t="str">
        <f aca="false">IF(CARGA_DIARIA!A252="","",C252-D252-E252)</f>
        <v/>
      </c>
    </row>
    <row r="253" customFormat="false" ht="15.75" hidden="false" customHeight="true" outlineLevel="0" collapsed="false">
      <c r="A253" s="44" t="str">
        <f aca="false">IF(CARGA_DIARIA!A253="","",CARGA_DIARIA!A253)</f>
        <v/>
      </c>
      <c r="B253" s="45" t="str">
        <f aca="false">IF(CARGA_DIARIA!A253="","",CARGA_DIARIA!B253)</f>
        <v/>
      </c>
      <c r="C253" s="46" t="str">
        <f aca="false"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47" t="str">
        <f aca="false"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47" t="str">
        <f aca="false">IF(CARGA_DIARIA!A253="","",IF(CARGA_DIARIA!B253=0,0,(CARGA_DIARIA!X253+CARGA_DIARIA!Y253+CARGA_DIARIA!Z253+CARGA_DIARIA!AA253)/CARGA_DIARIA!B253+CARGA_DIARIA!AB253+CARGA_DIARIA!AC253+CARGA_DIARIA!AD253+CARGA_DIARIA!AE253))</f>
        <v/>
      </c>
      <c r="F253" s="50" t="s">
        <v>146</v>
      </c>
      <c r="G253" s="50" t="s">
        <v>146</v>
      </c>
      <c r="H253" s="49" t="str">
        <f aca="false">IF(CARGA_DIARIA!A253="","",C253-D253-E253)</f>
        <v/>
      </c>
    </row>
    <row r="254" customFormat="false" ht="15.75" hidden="false" customHeight="true" outlineLevel="0" collapsed="false">
      <c r="A254" s="44" t="str">
        <f aca="false">IF(CARGA_DIARIA!A254="","",CARGA_DIARIA!A254)</f>
        <v/>
      </c>
      <c r="B254" s="45" t="str">
        <f aca="false">IF(CARGA_DIARIA!A254="","",CARGA_DIARIA!B254)</f>
        <v/>
      </c>
      <c r="C254" s="46" t="str">
        <f aca="false"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47" t="str">
        <f aca="false"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47" t="str">
        <f aca="false">IF(CARGA_DIARIA!A254="","",IF(CARGA_DIARIA!B254=0,0,(CARGA_DIARIA!X254+CARGA_DIARIA!Y254+CARGA_DIARIA!Z254+CARGA_DIARIA!AA254)/CARGA_DIARIA!B254+CARGA_DIARIA!AB254+CARGA_DIARIA!AC254+CARGA_DIARIA!AD254+CARGA_DIARIA!AE254))</f>
        <v/>
      </c>
      <c r="F254" s="50" t="s">
        <v>146</v>
      </c>
      <c r="G254" s="50" t="s">
        <v>146</v>
      </c>
      <c r="H254" s="49" t="str">
        <f aca="false">IF(CARGA_DIARIA!A254="","",C254-D254-E254)</f>
        <v/>
      </c>
    </row>
    <row r="255" customFormat="false" ht="15.75" hidden="false" customHeight="true" outlineLevel="0" collapsed="false">
      <c r="A255" s="44" t="str">
        <f aca="false">IF(CARGA_DIARIA!A255="","",CARGA_DIARIA!A255)</f>
        <v/>
      </c>
      <c r="B255" s="45" t="str">
        <f aca="false">IF(CARGA_DIARIA!A255="","",CARGA_DIARIA!B255)</f>
        <v/>
      </c>
      <c r="C255" s="46" t="str">
        <f aca="false"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47" t="str">
        <f aca="false"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47" t="str">
        <f aca="false">IF(CARGA_DIARIA!A255="","",IF(CARGA_DIARIA!B255=0,0,(CARGA_DIARIA!X255+CARGA_DIARIA!Y255+CARGA_DIARIA!Z255+CARGA_DIARIA!AA255)/CARGA_DIARIA!B255+CARGA_DIARIA!AB255+CARGA_DIARIA!AC255+CARGA_DIARIA!AD255+CARGA_DIARIA!AE255))</f>
        <v/>
      </c>
      <c r="F255" s="50" t="s">
        <v>146</v>
      </c>
      <c r="G255" s="50" t="s">
        <v>146</v>
      </c>
      <c r="H255" s="49" t="str">
        <f aca="false">IF(CARGA_DIARIA!A255="","",C255-D255-E255)</f>
        <v/>
      </c>
    </row>
    <row r="256" customFormat="false" ht="15.75" hidden="false" customHeight="true" outlineLevel="0" collapsed="false">
      <c r="A256" s="44" t="str">
        <f aca="false">IF(CARGA_DIARIA!A256="","",CARGA_DIARIA!A256)</f>
        <v/>
      </c>
      <c r="B256" s="45" t="str">
        <f aca="false">IF(CARGA_DIARIA!A256="","",CARGA_DIARIA!B256)</f>
        <v/>
      </c>
      <c r="C256" s="46" t="str">
        <f aca="false"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47" t="str">
        <f aca="false"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47" t="str">
        <f aca="false">IF(CARGA_DIARIA!A256="","",IF(CARGA_DIARIA!B256=0,0,(CARGA_DIARIA!X256+CARGA_DIARIA!Y256+CARGA_DIARIA!Z256+CARGA_DIARIA!AA256)/CARGA_DIARIA!B256+CARGA_DIARIA!AB256+CARGA_DIARIA!AC256+CARGA_DIARIA!AD256+CARGA_DIARIA!AE256))</f>
        <v/>
      </c>
      <c r="F256" s="50" t="s">
        <v>146</v>
      </c>
      <c r="G256" s="50" t="s">
        <v>146</v>
      </c>
      <c r="H256" s="49" t="str">
        <f aca="false">IF(CARGA_DIARIA!A256="","",C256-D256-E256)</f>
        <v/>
      </c>
    </row>
    <row r="257" customFormat="false" ht="15.75" hidden="false" customHeight="true" outlineLevel="0" collapsed="false">
      <c r="A257" s="44" t="str">
        <f aca="false">IF(CARGA_DIARIA!A257="","",CARGA_DIARIA!A257)</f>
        <v/>
      </c>
      <c r="B257" s="45" t="str">
        <f aca="false">IF(CARGA_DIARIA!A257="","",CARGA_DIARIA!B257)</f>
        <v/>
      </c>
      <c r="C257" s="46" t="str">
        <f aca="false"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47" t="str">
        <f aca="false"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47" t="str">
        <f aca="false">IF(CARGA_DIARIA!A257="","",IF(CARGA_DIARIA!B257=0,0,(CARGA_DIARIA!X257+CARGA_DIARIA!Y257+CARGA_DIARIA!Z257+CARGA_DIARIA!AA257)/CARGA_DIARIA!B257+CARGA_DIARIA!AB257+CARGA_DIARIA!AC257+CARGA_DIARIA!AD257+CARGA_DIARIA!AE257))</f>
        <v/>
      </c>
      <c r="F257" s="50" t="s">
        <v>146</v>
      </c>
      <c r="G257" s="50" t="s">
        <v>146</v>
      </c>
      <c r="H257" s="49" t="str">
        <f aca="false">IF(CARGA_DIARIA!A257="","",C257-D257-E257)</f>
        <v/>
      </c>
    </row>
    <row r="258" customFormat="false" ht="15.75" hidden="false" customHeight="true" outlineLevel="0" collapsed="false">
      <c r="A258" s="44" t="str">
        <f aca="false">IF(CARGA_DIARIA!A258="","",CARGA_DIARIA!A258)</f>
        <v/>
      </c>
      <c r="B258" s="45" t="str">
        <f aca="false">IF(CARGA_DIARIA!A258="","",CARGA_DIARIA!B258)</f>
        <v/>
      </c>
      <c r="C258" s="46" t="str">
        <f aca="false"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47" t="str">
        <f aca="false"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47" t="str">
        <f aca="false">IF(CARGA_DIARIA!A258="","",IF(CARGA_DIARIA!B258=0,0,(CARGA_DIARIA!X258+CARGA_DIARIA!Y258+CARGA_DIARIA!Z258+CARGA_DIARIA!AA258)/CARGA_DIARIA!B258+CARGA_DIARIA!AB258+CARGA_DIARIA!AC258+CARGA_DIARIA!AD258+CARGA_DIARIA!AE258))</f>
        <v/>
      </c>
      <c r="F258" s="50" t="s">
        <v>146</v>
      </c>
      <c r="G258" s="50" t="s">
        <v>146</v>
      </c>
      <c r="H258" s="49" t="str">
        <f aca="false">IF(CARGA_DIARIA!A258="","",C258-D258-E258)</f>
        <v/>
      </c>
    </row>
    <row r="259" customFormat="false" ht="15.75" hidden="false" customHeight="true" outlineLevel="0" collapsed="false">
      <c r="A259" s="44" t="str">
        <f aca="false">IF(CARGA_DIARIA!A259="","",CARGA_DIARIA!A259)</f>
        <v/>
      </c>
      <c r="B259" s="45" t="str">
        <f aca="false">IF(CARGA_DIARIA!A259="","",CARGA_DIARIA!B259)</f>
        <v/>
      </c>
      <c r="C259" s="46" t="str">
        <f aca="false"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47" t="str">
        <f aca="false"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47" t="str">
        <f aca="false">IF(CARGA_DIARIA!A259="","",IF(CARGA_DIARIA!B259=0,0,(CARGA_DIARIA!X259+CARGA_DIARIA!Y259+CARGA_DIARIA!Z259+CARGA_DIARIA!AA259)/CARGA_DIARIA!B259+CARGA_DIARIA!AB259+CARGA_DIARIA!AC259+CARGA_DIARIA!AD259+CARGA_DIARIA!AE259))</f>
        <v/>
      </c>
      <c r="F259" s="50" t="s">
        <v>146</v>
      </c>
      <c r="G259" s="50" t="s">
        <v>146</v>
      </c>
      <c r="H259" s="49" t="str">
        <f aca="false">IF(CARGA_DIARIA!A259="","",C259-D259-E259)</f>
        <v/>
      </c>
    </row>
    <row r="260" customFormat="false" ht="15.75" hidden="false" customHeight="true" outlineLevel="0" collapsed="false">
      <c r="A260" s="44" t="str">
        <f aca="false">IF(CARGA_DIARIA!A260="","",CARGA_DIARIA!A260)</f>
        <v/>
      </c>
      <c r="B260" s="45" t="str">
        <f aca="false">IF(CARGA_DIARIA!A260="","",CARGA_DIARIA!B260)</f>
        <v/>
      </c>
      <c r="C260" s="46" t="str">
        <f aca="false"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47" t="str">
        <f aca="false"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47" t="str">
        <f aca="false">IF(CARGA_DIARIA!A260="","",IF(CARGA_DIARIA!B260=0,0,(CARGA_DIARIA!X260+CARGA_DIARIA!Y260+CARGA_DIARIA!Z260+CARGA_DIARIA!AA260)/CARGA_DIARIA!B260+CARGA_DIARIA!AB260+CARGA_DIARIA!AC260+CARGA_DIARIA!AD260+CARGA_DIARIA!AE260))</f>
        <v/>
      </c>
      <c r="F260" s="50" t="s">
        <v>146</v>
      </c>
      <c r="G260" s="50" t="s">
        <v>146</v>
      </c>
      <c r="H260" s="49" t="str">
        <f aca="false">IF(CARGA_DIARIA!A260="","",C260-D260-E260)</f>
        <v/>
      </c>
    </row>
    <row r="261" customFormat="false" ht="15.75" hidden="false" customHeight="true" outlineLevel="0" collapsed="false">
      <c r="A261" s="44" t="str">
        <f aca="false">IF(CARGA_DIARIA!A261="","",CARGA_DIARIA!A261)</f>
        <v/>
      </c>
      <c r="B261" s="45" t="str">
        <f aca="false">IF(CARGA_DIARIA!A261="","",CARGA_DIARIA!B261)</f>
        <v/>
      </c>
      <c r="C261" s="46" t="str">
        <f aca="false"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47" t="str">
        <f aca="false"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47" t="str">
        <f aca="false">IF(CARGA_DIARIA!A261="","",IF(CARGA_DIARIA!B261=0,0,(CARGA_DIARIA!X261+CARGA_DIARIA!Y261+CARGA_DIARIA!Z261+CARGA_DIARIA!AA261)/CARGA_DIARIA!B261+CARGA_DIARIA!AB261+CARGA_DIARIA!AC261+CARGA_DIARIA!AD261+CARGA_DIARIA!AE261))</f>
        <v/>
      </c>
      <c r="F261" s="50" t="s">
        <v>146</v>
      </c>
      <c r="G261" s="50" t="s">
        <v>146</v>
      </c>
      <c r="H261" s="49" t="str">
        <f aca="false">IF(CARGA_DIARIA!A261="","",C261-D261-E261)</f>
        <v/>
      </c>
    </row>
    <row r="262" customFormat="false" ht="15.75" hidden="false" customHeight="true" outlineLevel="0" collapsed="false">
      <c r="A262" s="44" t="str">
        <f aca="false">IF(CARGA_DIARIA!A262="","",CARGA_DIARIA!A262)</f>
        <v/>
      </c>
      <c r="B262" s="45" t="str">
        <f aca="false">IF(CARGA_DIARIA!A262="","",CARGA_DIARIA!B262)</f>
        <v/>
      </c>
      <c r="C262" s="46" t="str">
        <f aca="false"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47" t="str">
        <f aca="false"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47" t="str">
        <f aca="false">IF(CARGA_DIARIA!A262="","",IF(CARGA_DIARIA!B262=0,0,(CARGA_DIARIA!X262+CARGA_DIARIA!Y262+CARGA_DIARIA!Z262+CARGA_DIARIA!AA262)/CARGA_DIARIA!B262+CARGA_DIARIA!AB262+CARGA_DIARIA!AC262+CARGA_DIARIA!AD262+CARGA_DIARIA!AE262))</f>
        <v/>
      </c>
      <c r="F262" s="50" t="s">
        <v>146</v>
      </c>
      <c r="G262" s="50" t="s">
        <v>146</v>
      </c>
      <c r="H262" s="49" t="str">
        <f aca="false">IF(CARGA_DIARIA!A262="","",C262-D262-E262)</f>
        <v/>
      </c>
    </row>
    <row r="263" customFormat="false" ht="15.75" hidden="false" customHeight="true" outlineLevel="0" collapsed="false">
      <c r="A263" s="44" t="str">
        <f aca="false">IF(CARGA_DIARIA!A263="","",CARGA_DIARIA!A263)</f>
        <v/>
      </c>
      <c r="B263" s="45" t="str">
        <f aca="false">IF(CARGA_DIARIA!A263="","",CARGA_DIARIA!B263)</f>
        <v/>
      </c>
      <c r="C263" s="46" t="str">
        <f aca="false"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47" t="str">
        <f aca="false"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47" t="str">
        <f aca="false">IF(CARGA_DIARIA!A263="","",IF(CARGA_DIARIA!B263=0,0,(CARGA_DIARIA!X263+CARGA_DIARIA!Y263+CARGA_DIARIA!Z263+CARGA_DIARIA!AA263)/CARGA_DIARIA!B263+CARGA_DIARIA!AB263+CARGA_DIARIA!AC263+CARGA_DIARIA!AD263+CARGA_DIARIA!AE263))</f>
        <v/>
      </c>
      <c r="F263" s="50" t="s">
        <v>146</v>
      </c>
      <c r="G263" s="50" t="s">
        <v>146</v>
      </c>
      <c r="H263" s="49" t="str">
        <f aca="false">IF(CARGA_DIARIA!A263="","",C263-D263-E263)</f>
        <v/>
      </c>
    </row>
    <row r="264" customFormat="false" ht="15.75" hidden="false" customHeight="true" outlineLevel="0" collapsed="false">
      <c r="A264" s="44" t="str">
        <f aca="false">IF(CARGA_DIARIA!A264="","",CARGA_DIARIA!A264)</f>
        <v/>
      </c>
      <c r="B264" s="45" t="str">
        <f aca="false">IF(CARGA_DIARIA!A264="","",CARGA_DIARIA!B264)</f>
        <v/>
      </c>
      <c r="C264" s="46" t="str">
        <f aca="false"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47" t="str">
        <f aca="false"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47" t="str">
        <f aca="false">IF(CARGA_DIARIA!A264="","",IF(CARGA_DIARIA!B264=0,0,(CARGA_DIARIA!X264+CARGA_DIARIA!Y264+CARGA_DIARIA!Z264+CARGA_DIARIA!AA264)/CARGA_DIARIA!B264+CARGA_DIARIA!AB264+CARGA_DIARIA!AC264+CARGA_DIARIA!AD264+CARGA_DIARIA!AE264))</f>
        <v/>
      </c>
      <c r="F264" s="50" t="s">
        <v>146</v>
      </c>
      <c r="G264" s="50" t="s">
        <v>146</v>
      </c>
      <c r="H264" s="49" t="str">
        <f aca="false">IF(CARGA_DIARIA!A264="","",C264-D264-E264)</f>
        <v/>
      </c>
    </row>
    <row r="265" customFormat="false" ht="15.75" hidden="false" customHeight="true" outlineLevel="0" collapsed="false">
      <c r="A265" s="44" t="str">
        <f aca="false">IF(CARGA_DIARIA!A265="","",CARGA_DIARIA!A265)</f>
        <v/>
      </c>
      <c r="B265" s="45" t="str">
        <f aca="false">IF(CARGA_DIARIA!A265="","",CARGA_DIARIA!B265)</f>
        <v/>
      </c>
      <c r="C265" s="46" t="str">
        <f aca="false"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47" t="str">
        <f aca="false"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47" t="str">
        <f aca="false">IF(CARGA_DIARIA!A265="","",IF(CARGA_DIARIA!B265=0,0,(CARGA_DIARIA!X265+CARGA_DIARIA!Y265+CARGA_DIARIA!Z265+CARGA_DIARIA!AA265)/CARGA_DIARIA!B265+CARGA_DIARIA!AB265+CARGA_DIARIA!AC265+CARGA_DIARIA!AD265+CARGA_DIARIA!AE265))</f>
        <v/>
      </c>
      <c r="F265" s="50" t="s">
        <v>146</v>
      </c>
      <c r="G265" s="50" t="s">
        <v>146</v>
      </c>
      <c r="H265" s="49" t="str">
        <f aca="false">IF(CARGA_DIARIA!A265="","",C265-D265-E265)</f>
        <v/>
      </c>
    </row>
    <row r="266" customFormat="false" ht="15.75" hidden="false" customHeight="true" outlineLevel="0" collapsed="false">
      <c r="A266" s="44" t="str">
        <f aca="false">IF(CARGA_DIARIA!A266="","",CARGA_DIARIA!A266)</f>
        <v/>
      </c>
      <c r="B266" s="45" t="str">
        <f aca="false">IF(CARGA_DIARIA!A266="","",CARGA_DIARIA!B266)</f>
        <v/>
      </c>
      <c r="C266" s="46" t="str">
        <f aca="false"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47" t="str">
        <f aca="false"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47" t="str">
        <f aca="false">IF(CARGA_DIARIA!A266="","",IF(CARGA_DIARIA!B266=0,0,(CARGA_DIARIA!X266+CARGA_DIARIA!Y266+CARGA_DIARIA!Z266+CARGA_DIARIA!AA266)/CARGA_DIARIA!B266+CARGA_DIARIA!AB266+CARGA_DIARIA!AC266+CARGA_DIARIA!AD266+CARGA_DIARIA!AE266))</f>
        <v/>
      </c>
      <c r="F266" s="50" t="s">
        <v>146</v>
      </c>
      <c r="G266" s="50" t="s">
        <v>146</v>
      </c>
      <c r="H266" s="49" t="str">
        <f aca="false">IF(CARGA_DIARIA!A266="","",C266-D266-E266)</f>
        <v/>
      </c>
    </row>
    <row r="267" customFormat="false" ht="15.75" hidden="false" customHeight="true" outlineLevel="0" collapsed="false">
      <c r="A267" s="44" t="str">
        <f aca="false">IF(CARGA_DIARIA!A267="","",CARGA_DIARIA!A267)</f>
        <v/>
      </c>
      <c r="B267" s="45" t="str">
        <f aca="false">IF(CARGA_DIARIA!A267="","",CARGA_DIARIA!B267)</f>
        <v/>
      </c>
      <c r="C267" s="46" t="str">
        <f aca="false"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47" t="str">
        <f aca="false"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47" t="str">
        <f aca="false">IF(CARGA_DIARIA!A267="","",IF(CARGA_DIARIA!B267=0,0,(CARGA_DIARIA!X267+CARGA_DIARIA!Y267+CARGA_DIARIA!Z267+CARGA_DIARIA!AA267)/CARGA_DIARIA!B267+CARGA_DIARIA!AB267+CARGA_DIARIA!AC267+CARGA_DIARIA!AD267+CARGA_DIARIA!AE267))</f>
        <v/>
      </c>
      <c r="F267" s="50" t="s">
        <v>146</v>
      </c>
      <c r="G267" s="50" t="s">
        <v>146</v>
      </c>
      <c r="H267" s="49" t="str">
        <f aca="false">IF(CARGA_DIARIA!A267="","",C267-D267-E267)</f>
        <v/>
      </c>
    </row>
    <row r="268" customFormat="false" ht="15.75" hidden="false" customHeight="true" outlineLevel="0" collapsed="false">
      <c r="A268" s="44" t="str">
        <f aca="false">IF(CARGA_DIARIA!A268="","",CARGA_DIARIA!A268)</f>
        <v/>
      </c>
      <c r="B268" s="45" t="str">
        <f aca="false">IF(CARGA_DIARIA!A268="","",CARGA_DIARIA!B268)</f>
        <v/>
      </c>
      <c r="C268" s="46" t="str">
        <f aca="false"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47" t="str">
        <f aca="false"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47" t="str">
        <f aca="false">IF(CARGA_DIARIA!A268="","",IF(CARGA_DIARIA!B268=0,0,(CARGA_DIARIA!X268+CARGA_DIARIA!Y268+CARGA_DIARIA!Z268+CARGA_DIARIA!AA268)/CARGA_DIARIA!B268+CARGA_DIARIA!AB268+CARGA_DIARIA!AC268+CARGA_DIARIA!AD268+CARGA_DIARIA!AE268))</f>
        <v/>
      </c>
      <c r="F268" s="50" t="s">
        <v>146</v>
      </c>
      <c r="G268" s="50" t="s">
        <v>146</v>
      </c>
      <c r="H268" s="49" t="str">
        <f aca="false">IF(CARGA_DIARIA!A268="","",C268-D268-E268)</f>
        <v/>
      </c>
    </row>
    <row r="269" customFormat="false" ht="15.75" hidden="false" customHeight="true" outlineLevel="0" collapsed="false">
      <c r="A269" s="44" t="str">
        <f aca="false">IF(CARGA_DIARIA!A269="","",CARGA_DIARIA!A269)</f>
        <v/>
      </c>
      <c r="B269" s="45" t="str">
        <f aca="false">IF(CARGA_DIARIA!A269="","",CARGA_DIARIA!B269)</f>
        <v/>
      </c>
      <c r="C269" s="46" t="str">
        <f aca="false"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47" t="str">
        <f aca="false"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47" t="str">
        <f aca="false">IF(CARGA_DIARIA!A269="","",IF(CARGA_DIARIA!B269=0,0,(CARGA_DIARIA!X269+CARGA_DIARIA!Y269+CARGA_DIARIA!Z269+CARGA_DIARIA!AA269)/CARGA_DIARIA!B269+CARGA_DIARIA!AB269+CARGA_DIARIA!AC269+CARGA_DIARIA!AD269+CARGA_DIARIA!AE269))</f>
        <v/>
      </c>
      <c r="F269" s="50" t="s">
        <v>146</v>
      </c>
      <c r="G269" s="50" t="s">
        <v>146</v>
      </c>
      <c r="H269" s="49" t="str">
        <f aca="false">IF(CARGA_DIARIA!A269="","",C269-D269-E269)</f>
        <v/>
      </c>
    </row>
    <row r="270" customFormat="false" ht="15.75" hidden="false" customHeight="true" outlineLevel="0" collapsed="false">
      <c r="A270" s="44" t="str">
        <f aca="false">IF(CARGA_DIARIA!A270="","",CARGA_DIARIA!A270)</f>
        <v/>
      </c>
      <c r="B270" s="45" t="str">
        <f aca="false">IF(CARGA_DIARIA!A270="","",CARGA_DIARIA!B270)</f>
        <v/>
      </c>
      <c r="C270" s="46" t="str">
        <f aca="false"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47" t="str">
        <f aca="false"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47" t="str">
        <f aca="false">IF(CARGA_DIARIA!A270="","",IF(CARGA_DIARIA!B270=0,0,(CARGA_DIARIA!X270+CARGA_DIARIA!Y270+CARGA_DIARIA!Z270+CARGA_DIARIA!AA270)/CARGA_DIARIA!B270+CARGA_DIARIA!AB270+CARGA_DIARIA!AC270+CARGA_DIARIA!AD270+CARGA_DIARIA!AE270))</f>
        <v/>
      </c>
      <c r="F270" s="50" t="s">
        <v>146</v>
      </c>
      <c r="G270" s="50" t="s">
        <v>146</v>
      </c>
      <c r="H270" s="49" t="str">
        <f aca="false">IF(CARGA_DIARIA!A270="","",C270-D270-E270)</f>
        <v/>
      </c>
    </row>
    <row r="271" customFormat="false" ht="15.75" hidden="false" customHeight="true" outlineLevel="0" collapsed="false">
      <c r="A271" s="44" t="str">
        <f aca="false">IF(CARGA_DIARIA!A271="","",CARGA_DIARIA!A271)</f>
        <v/>
      </c>
      <c r="B271" s="45" t="str">
        <f aca="false">IF(CARGA_DIARIA!A271="","",CARGA_DIARIA!B271)</f>
        <v/>
      </c>
      <c r="C271" s="46" t="str">
        <f aca="false"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47" t="str">
        <f aca="false"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47" t="str">
        <f aca="false">IF(CARGA_DIARIA!A271="","",IF(CARGA_DIARIA!B271=0,0,(CARGA_DIARIA!X271+CARGA_DIARIA!Y271+CARGA_DIARIA!Z271+CARGA_DIARIA!AA271)/CARGA_DIARIA!B271+CARGA_DIARIA!AB271+CARGA_DIARIA!AC271+CARGA_DIARIA!AD271+CARGA_DIARIA!AE271))</f>
        <v/>
      </c>
      <c r="F271" s="50" t="s">
        <v>146</v>
      </c>
      <c r="G271" s="50" t="s">
        <v>146</v>
      </c>
      <c r="H271" s="49" t="str">
        <f aca="false">IF(CARGA_DIARIA!A271="","",C271-D271-E271)</f>
        <v/>
      </c>
    </row>
    <row r="272" customFormat="false" ht="15.75" hidden="false" customHeight="true" outlineLevel="0" collapsed="false">
      <c r="A272" s="44" t="str">
        <f aca="false">IF(CARGA_DIARIA!A272="","",CARGA_DIARIA!A272)</f>
        <v/>
      </c>
      <c r="B272" s="45" t="str">
        <f aca="false">IF(CARGA_DIARIA!A272="","",CARGA_DIARIA!B272)</f>
        <v/>
      </c>
      <c r="C272" s="46" t="str">
        <f aca="false"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47" t="str">
        <f aca="false"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47" t="str">
        <f aca="false">IF(CARGA_DIARIA!A272="","",IF(CARGA_DIARIA!B272=0,0,(CARGA_DIARIA!X272+CARGA_DIARIA!Y272+CARGA_DIARIA!Z272+CARGA_DIARIA!AA272)/CARGA_DIARIA!B272+CARGA_DIARIA!AB272+CARGA_DIARIA!AC272+CARGA_DIARIA!AD272+CARGA_DIARIA!AE272))</f>
        <v/>
      </c>
      <c r="F272" s="50" t="s">
        <v>146</v>
      </c>
      <c r="G272" s="50" t="s">
        <v>146</v>
      </c>
      <c r="H272" s="49" t="str">
        <f aca="false">IF(CARGA_DIARIA!A272="","",C272-D272-E272)</f>
        <v/>
      </c>
    </row>
    <row r="273" customFormat="false" ht="15.75" hidden="false" customHeight="true" outlineLevel="0" collapsed="false">
      <c r="A273" s="44" t="str">
        <f aca="false">IF(CARGA_DIARIA!A273="","",CARGA_DIARIA!A273)</f>
        <v/>
      </c>
      <c r="B273" s="45" t="str">
        <f aca="false">IF(CARGA_DIARIA!A273="","",CARGA_DIARIA!B273)</f>
        <v/>
      </c>
      <c r="C273" s="46" t="str">
        <f aca="false"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47" t="str">
        <f aca="false"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47" t="str">
        <f aca="false">IF(CARGA_DIARIA!A273="","",IF(CARGA_DIARIA!B273=0,0,(CARGA_DIARIA!X273+CARGA_DIARIA!Y273+CARGA_DIARIA!Z273+CARGA_DIARIA!AA273)/CARGA_DIARIA!B273+CARGA_DIARIA!AB273+CARGA_DIARIA!AC273+CARGA_DIARIA!AD273+CARGA_DIARIA!AE273))</f>
        <v/>
      </c>
      <c r="F273" s="50" t="s">
        <v>146</v>
      </c>
      <c r="G273" s="50" t="s">
        <v>146</v>
      </c>
      <c r="H273" s="49" t="str">
        <f aca="false">IF(CARGA_DIARIA!A273="","",C273-D273-E273)</f>
        <v/>
      </c>
    </row>
    <row r="274" customFormat="false" ht="15.75" hidden="false" customHeight="true" outlineLevel="0" collapsed="false">
      <c r="A274" s="44" t="str">
        <f aca="false">IF(CARGA_DIARIA!A274="","",CARGA_DIARIA!A274)</f>
        <v/>
      </c>
      <c r="B274" s="45" t="str">
        <f aca="false">IF(CARGA_DIARIA!A274="","",CARGA_DIARIA!B274)</f>
        <v/>
      </c>
      <c r="C274" s="46" t="str">
        <f aca="false"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47" t="str">
        <f aca="false"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47" t="str">
        <f aca="false">IF(CARGA_DIARIA!A274="","",IF(CARGA_DIARIA!B274=0,0,(CARGA_DIARIA!X274+CARGA_DIARIA!Y274+CARGA_DIARIA!Z274+CARGA_DIARIA!AA274)/CARGA_DIARIA!B274+CARGA_DIARIA!AB274+CARGA_DIARIA!AC274+CARGA_DIARIA!AD274+CARGA_DIARIA!AE274))</f>
        <v/>
      </c>
      <c r="F274" s="50" t="s">
        <v>146</v>
      </c>
      <c r="G274" s="50" t="s">
        <v>146</v>
      </c>
      <c r="H274" s="49" t="str">
        <f aca="false">IF(CARGA_DIARIA!A274="","",C274-D274-E274)</f>
        <v/>
      </c>
    </row>
    <row r="275" customFormat="false" ht="15.75" hidden="false" customHeight="true" outlineLevel="0" collapsed="false">
      <c r="A275" s="44" t="str">
        <f aca="false">IF(CARGA_DIARIA!A275="","",CARGA_DIARIA!A275)</f>
        <v/>
      </c>
      <c r="B275" s="45" t="str">
        <f aca="false">IF(CARGA_DIARIA!A275="","",CARGA_DIARIA!B275)</f>
        <v/>
      </c>
      <c r="C275" s="46" t="str">
        <f aca="false"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47" t="str">
        <f aca="false"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47" t="str">
        <f aca="false">IF(CARGA_DIARIA!A275="","",IF(CARGA_DIARIA!B275=0,0,(CARGA_DIARIA!X275+CARGA_DIARIA!Y275+CARGA_DIARIA!Z275+CARGA_DIARIA!AA275)/CARGA_DIARIA!B275+CARGA_DIARIA!AB275+CARGA_DIARIA!AC275+CARGA_DIARIA!AD275+CARGA_DIARIA!AE275))</f>
        <v/>
      </c>
      <c r="F275" s="50" t="s">
        <v>146</v>
      </c>
      <c r="G275" s="50" t="s">
        <v>146</v>
      </c>
      <c r="H275" s="49" t="str">
        <f aca="false">IF(CARGA_DIARIA!A275="","",C275-D275-E275)</f>
        <v/>
      </c>
    </row>
    <row r="276" customFormat="false" ht="15.75" hidden="false" customHeight="true" outlineLevel="0" collapsed="false">
      <c r="A276" s="44" t="str">
        <f aca="false">IF(CARGA_DIARIA!A276="","",CARGA_DIARIA!A276)</f>
        <v/>
      </c>
      <c r="B276" s="45" t="str">
        <f aca="false">IF(CARGA_DIARIA!A276="","",CARGA_DIARIA!B276)</f>
        <v/>
      </c>
      <c r="C276" s="46" t="str">
        <f aca="false"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47" t="str">
        <f aca="false"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47" t="str">
        <f aca="false">IF(CARGA_DIARIA!A276="","",IF(CARGA_DIARIA!B276=0,0,(CARGA_DIARIA!X276+CARGA_DIARIA!Y276+CARGA_DIARIA!Z276+CARGA_DIARIA!AA276)/CARGA_DIARIA!B276+CARGA_DIARIA!AB276+CARGA_DIARIA!AC276+CARGA_DIARIA!AD276+CARGA_DIARIA!AE276))</f>
        <v/>
      </c>
      <c r="F276" s="50" t="s">
        <v>146</v>
      </c>
      <c r="G276" s="50" t="s">
        <v>146</v>
      </c>
      <c r="H276" s="49" t="str">
        <f aca="false">IF(CARGA_DIARIA!A276="","",C276-D276-E276)</f>
        <v/>
      </c>
    </row>
    <row r="277" customFormat="false" ht="15.75" hidden="false" customHeight="true" outlineLevel="0" collapsed="false">
      <c r="A277" s="44" t="str">
        <f aca="false">IF(CARGA_DIARIA!A277="","",CARGA_DIARIA!A277)</f>
        <v/>
      </c>
      <c r="B277" s="45" t="str">
        <f aca="false">IF(CARGA_DIARIA!A277="","",CARGA_DIARIA!B277)</f>
        <v/>
      </c>
      <c r="C277" s="46" t="str">
        <f aca="false"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47" t="str">
        <f aca="false"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47" t="str">
        <f aca="false">IF(CARGA_DIARIA!A277="","",IF(CARGA_DIARIA!B277=0,0,(CARGA_DIARIA!X277+CARGA_DIARIA!Y277+CARGA_DIARIA!Z277+CARGA_DIARIA!AA277)/CARGA_DIARIA!B277+CARGA_DIARIA!AB277+CARGA_DIARIA!AC277+CARGA_DIARIA!AD277+CARGA_DIARIA!AE277))</f>
        <v/>
      </c>
      <c r="F277" s="50" t="s">
        <v>146</v>
      </c>
      <c r="G277" s="50" t="s">
        <v>146</v>
      </c>
      <c r="H277" s="49" t="str">
        <f aca="false">IF(CARGA_DIARIA!A277="","",C277-D277-E277)</f>
        <v/>
      </c>
    </row>
    <row r="278" customFormat="false" ht="15.75" hidden="false" customHeight="true" outlineLevel="0" collapsed="false">
      <c r="A278" s="44" t="str">
        <f aca="false">IF(CARGA_DIARIA!A278="","",CARGA_DIARIA!A278)</f>
        <v/>
      </c>
      <c r="B278" s="45" t="str">
        <f aca="false">IF(CARGA_DIARIA!A278="","",CARGA_DIARIA!B278)</f>
        <v/>
      </c>
      <c r="C278" s="46" t="str">
        <f aca="false"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47" t="str">
        <f aca="false"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47" t="str">
        <f aca="false">IF(CARGA_DIARIA!A278="","",IF(CARGA_DIARIA!B278=0,0,(CARGA_DIARIA!X278+CARGA_DIARIA!Y278+CARGA_DIARIA!Z278+CARGA_DIARIA!AA278)/CARGA_DIARIA!B278+CARGA_DIARIA!AB278+CARGA_DIARIA!AC278+CARGA_DIARIA!AD278+CARGA_DIARIA!AE278))</f>
        <v/>
      </c>
      <c r="F278" s="50" t="s">
        <v>146</v>
      </c>
      <c r="G278" s="50" t="s">
        <v>146</v>
      </c>
      <c r="H278" s="49" t="str">
        <f aca="false">IF(CARGA_DIARIA!A278="","",C278-D278-E278)</f>
        <v/>
      </c>
    </row>
    <row r="279" customFormat="false" ht="15.75" hidden="false" customHeight="true" outlineLevel="0" collapsed="false">
      <c r="A279" s="44" t="str">
        <f aca="false">IF(CARGA_DIARIA!A279="","",CARGA_DIARIA!A279)</f>
        <v/>
      </c>
      <c r="B279" s="45" t="str">
        <f aca="false">IF(CARGA_DIARIA!A279="","",CARGA_DIARIA!B279)</f>
        <v/>
      </c>
      <c r="C279" s="46" t="str">
        <f aca="false"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47" t="str">
        <f aca="false"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47" t="str">
        <f aca="false">IF(CARGA_DIARIA!A279="","",IF(CARGA_DIARIA!B279=0,0,(CARGA_DIARIA!X279+CARGA_DIARIA!Y279+CARGA_DIARIA!Z279+CARGA_DIARIA!AA279)/CARGA_DIARIA!B279+CARGA_DIARIA!AB279+CARGA_DIARIA!AC279+CARGA_DIARIA!AD279+CARGA_DIARIA!AE279))</f>
        <v/>
      </c>
      <c r="F279" s="50" t="s">
        <v>146</v>
      </c>
      <c r="G279" s="50" t="s">
        <v>146</v>
      </c>
      <c r="H279" s="49" t="str">
        <f aca="false">IF(CARGA_DIARIA!A279="","",C279-D279-E279)</f>
        <v/>
      </c>
    </row>
    <row r="280" customFormat="false" ht="15.75" hidden="false" customHeight="true" outlineLevel="0" collapsed="false">
      <c r="A280" s="44" t="str">
        <f aca="false">IF(CARGA_DIARIA!A280="","",CARGA_DIARIA!A280)</f>
        <v/>
      </c>
      <c r="B280" s="45" t="str">
        <f aca="false">IF(CARGA_DIARIA!A280="","",CARGA_DIARIA!B280)</f>
        <v/>
      </c>
      <c r="C280" s="46" t="str">
        <f aca="false"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47" t="str">
        <f aca="false"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47" t="str">
        <f aca="false">IF(CARGA_DIARIA!A280="","",IF(CARGA_DIARIA!B280=0,0,(CARGA_DIARIA!X280+CARGA_DIARIA!Y280+CARGA_DIARIA!Z280+CARGA_DIARIA!AA280)/CARGA_DIARIA!B280+CARGA_DIARIA!AB280+CARGA_DIARIA!AC280+CARGA_DIARIA!AD280+CARGA_DIARIA!AE280))</f>
        <v/>
      </c>
      <c r="F280" s="50" t="s">
        <v>146</v>
      </c>
      <c r="G280" s="50" t="s">
        <v>146</v>
      </c>
      <c r="H280" s="49" t="str">
        <f aca="false">IF(CARGA_DIARIA!A280="","",C280-D280-E280)</f>
        <v/>
      </c>
    </row>
    <row r="281" customFormat="false" ht="15.75" hidden="false" customHeight="true" outlineLevel="0" collapsed="false">
      <c r="A281" s="44" t="str">
        <f aca="false">IF(CARGA_DIARIA!A281="","",CARGA_DIARIA!A281)</f>
        <v/>
      </c>
      <c r="B281" s="45" t="str">
        <f aca="false">IF(CARGA_DIARIA!A281="","",CARGA_DIARIA!B281)</f>
        <v/>
      </c>
      <c r="C281" s="46" t="str">
        <f aca="false"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47" t="str">
        <f aca="false"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47" t="str">
        <f aca="false">IF(CARGA_DIARIA!A281="","",IF(CARGA_DIARIA!B281=0,0,(CARGA_DIARIA!X281+CARGA_DIARIA!Y281+CARGA_DIARIA!Z281+CARGA_DIARIA!AA281)/CARGA_DIARIA!B281+CARGA_DIARIA!AB281+CARGA_DIARIA!AC281+CARGA_DIARIA!AD281+CARGA_DIARIA!AE281))</f>
        <v/>
      </c>
      <c r="F281" s="50" t="s">
        <v>146</v>
      </c>
      <c r="G281" s="50" t="s">
        <v>146</v>
      </c>
      <c r="H281" s="49" t="str">
        <f aca="false">IF(CARGA_DIARIA!A281="","",C281-D281-E281)</f>
        <v/>
      </c>
    </row>
    <row r="282" customFormat="false" ht="15.75" hidden="false" customHeight="true" outlineLevel="0" collapsed="false">
      <c r="A282" s="44" t="str">
        <f aca="false">IF(CARGA_DIARIA!A282="","",CARGA_DIARIA!A282)</f>
        <v/>
      </c>
      <c r="B282" s="45" t="str">
        <f aca="false">IF(CARGA_DIARIA!A282="","",CARGA_DIARIA!B282)</f>
        <v/>
      </c>
      <c r="C282" s="46" t="str">
        <f aca="false"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47" t="str">
        <f aca="false"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47" t="str">
        <f aca="false">IF(CARGA_DIARIA!A282="","",IF(CARGA_DIARIA!B282=0,0,(CARGA_DIARIA!X282+CARGA_DIARIA!Y282+CARGA_DIARIA!Z282+CARGA_DIARIA!AA282)/CARGA_DIARIA!B282+CARGA_DIARIA!AB282+CARGA_DIARIA!AC282+CARGA_DIARIA!AD282+CARGA_DIARIA!AE282))</f>
        <v/>
      </c>
      <c r="F282" s="50" t="s">
        <v>146</v>
      </c>
      <c r="G282" s="50" t="s">
        <v>146</v>
      </c>
      <c r="H282" s="49" t="str">
        <f aca="false">IF(CARGA_DIARIA!A282="","",C282-D282-E282)</f>
        <v/>
      </c>
    </row>
    <row r="283" customFormat="false" ht="15.75" hidden="false" customHeight="true" outlineLevel="0" collapsed="false">
      <c r="A283" s="44" t="str">
        <f aca="false">IF(CARGA_DIARIA!A283="","",CARGA_DIARIA!A283)</f>
        <v/>
      </c>
      <c r="B283" s="45" t="str">
        <f aca="false">IF(CARGA_DIARIA!A283="","",CARGA_DIARIA!B283)</f>
        <v/>
      </c>
      <c r="C283" s="46" t="str">
        <f aca="false"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47" t="str">
        <f aca="false"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47" t="str">
        <f aca="false">IF(CARGA_DIARIA!A283="","",IF(CARGA_DIARIA!B283=0,0,(CARGA_DIARIA!X283+CARGA_DIARIA!Y283+CARGA_DIARIA!Z283+CARGA_DIARIA!AA283)/CARGA_DIARIA!B283+CARGA_DIARIA!AB283+CARGA_DIARIA!AC283+CARGA_DIARIA!AD283+CARGA_DIARIA!AE283))</f>
        <v/>
      </c>
      <c r="F283" s="50" t="s">
        <v>146</v>
      </c>
      <c r="G283" s="50" t="s">
        <v>146</v>
      </c>
      <c r="H283" s="49" t="str">
        <f aca="false">IF(CARGA_DIARIA!A283="","",C283-D283-E283)</f>
        <v/>
      </c>
    </row>
    <row r="284" customFormat="false" ht="15.75" hidden="false" customHeight="true" outlineLevel="0" collapsed="false">
      <c r="A284" s="44" t="str">
        <f aca="false">IF(CARGA_DIARIA!A284="","",CARGA_DIARIA!A284)</f>
        <v/>
      </c>
      <c r="B284" s="45" t="str">
        <f aca="false">IF(CARGA_DIARIA!A284="","",CARGA_DIARIA!B284)</f>
        <v/>
      </c>
      <c r="C284" s="46" t="str">
        <f aca="false"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47" t="str">
        <f aca="false"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47" t="str">
        <f aca="false">IF(CARGA_DIARIA!A284="","",IF(CARGA_DIARIA!B284=0,0,(CARGA_DIARIA!X284+CARGA_DIARIA!Y284+CARGA_DIARIA!Z284+CARGA_DIARIA!AA284)/CARGA_DIARIA!B284+CARGA_DIARIA!AB284+CARGA_DIARIA!AC284+CARGA_DIARIA!AD284+CARGA_DIARIA!AE284))</f>
        <v/>
      </c>
      <c r="F284" s="50" t="s">
        <v>146</v>
      </c>
      <c r="G284" s="50" t="s">
        <v>146</v>
      </c>
      <c r="H284" s="49" t="str">
        <f aca="false">IF(CARGA_DIARIA!A284="","",C284-D284-E284)</f>
        <v/>
      </c>
    </row>
    <row r="285" customFormat="false" ht="15.75" hidden="false" customHeight="true" outlineLevel="0" collapsed="false">
      <c r="A285" s="44" t="str">
        <f aca="false">IF(CARGA_DIARIA!A285="","",CARGA_DIARIA!A285)</f>
        <v/>
      </c>
      <c r="B285" s="45" t="str">
        <f aca="false">IF(CARGA_DIARIA!A285="","",CARGA_DIARIA!B285)</f>
        <v/>
      </c>
      <c r="C285" s="46" t="str">
        <f aca="false"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47" t="str">
        <f aca="false"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47" t="str">
        <f aca="false">IF(CARGA_DIARIA!A285="","",IF(CARGA_DIARIA!B285=0,0,(CARGA_DIARIA!X285+CARGA_DIARIA!Y285+CARGA_DIARIA!Z285+CARGA_DIARIA!AA285)/CARGA_DIARIA!B285+CARGA_DIARIA!AB285+CARGA_DIARIA!AC285+CARGA_DIARIA!AD285+CARGA_DIARIA!AE285))</f>
        <v/>
      </c>
      <c r="F285" s="50" t="s">
        <v>146</v>
      </c>
      <c r="G285" s="50" t="s">
        <v>146</v>
      </c>
      <c r="H285" s="49" t="str">
        <f aca="false">IF(CARGA_DIARIA!A285="","",C285-D285-E285)</f>
        <v/>
      </c>
    </row>
    <row r="286" customFormat="false" ht="15.75" hidden="false" customHeight="true" outlineLevel="0" collapsed="false">
      <c r="A286" s="44" t="str">
        <f aca="false">IF(CARGA_DIARIA!A286="","",CARGA_DIARIA!A286)</f>
        <v/>
      </c>
      <c r="B286" s="45" t="str">
        <f aca="false">IF(CARGA_DIARIA!A286="","",CARGA_DIARIA!B286)</f>
        <v/>
      </c>
      <c r="C286" s="46" t="str">
        <f aca="false"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47" t="str">
        <f aca="false"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47" t="str">
        <f aca="false">IF(CARGA_DIARIA!A286="","",IF(CARGA_DIARIA!B286=0,0,(CARGA_DIARIA!X286+CARGA_DIARIA!Y286+CARGA_DIARIA!Z286+CARGA_DIARIA!AA286)/CARGA_DIARIA!B286+CARGA_DIARIA!AB286+CARGA_DIARIA!AC286+CARGA_DIARIA!AD286+CARGA_DIARIA!AE286))</f>
        <v/>
      </c>
      <c r="F286" s="50" t="s">
        <v>146</v>
      </c>
      <c r="G286" s="50" t="s">
        <v>146</v>
      </c>
      <c r="H286" s="49" t="str">
        <f aca="false">IF(CARGA_DIARIA!A286="","",C286-D286-E286)</f>
        <v/>
      </c>
    </row>
    <row r="287" customFormat="false" ht="15.75" hidden="false" customHeight="true" outlineLevel="0" collapsed="false">
      <c r="A287" s="44" t="str">
        <f aca="false">IF(CARGA_DIARIA!A287="","",CARGA_DIARIA!A287)</f>
        <v/>
      </c>
      <c r="B287" s="45" t="str">
        <f aca="false">IF(CARGA_DIARIA!A287="","",CARGA_DIARIA!B287)</f>
        <v/>
      </c>
      <c r="C287" s="46" t="str">
        <f aca="false"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47" t="str">
        <f aca="false"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47" t="str">
        <f aca="false">IF(CARGA_DIARIA!A287="","",IF(CARGA_DIARIA!B287=0,0,(CARGA_DIARIA!X287+CARGA_DIARIA!Y287+CARGA_DIARIA!Z287+CARGA_DIARIA!AA287)/CARGA_DIARIA!B287+CARGA_DIARIA!AB287+CARGA_DIARIA!AC287+CARGA_DIARIA!AD287+CARGA_DIARIA!AE287))</f>
        <v/>
      </c>
      <c r="F287" s="50" t="s">
        <v>146</v>
      </c>
      <c r="G287" s="50" t="s">
        <v>146</v>
      </c>
      <c r="H287" s="49" t="str">
        <f aca="false">IF(CARGA_DIARIA!A287="","",C287-D287-E287)</f>
        <v/>
      </c>
    </row>
    <row r="288" customFormat="false" ht="15.75" hidden="false" customHeight="true" outlineLevel="0" collapsed="false">
      <c r="A288" s="44" t="str">
        <f aca="false">IF(CARGA_DIARIA!A288="","",CARGA_DIARIA!A288)</f>
        <v/>
      </c>
      <c r="B288" s="45" t="str">
        <f aca="false">IF(CARGA_DIARIA!A288="","",CARGA_DIARIA!B288)</f>
        <v/>
      </c>
      <c r="C288" s="46" t="str">
        <f aca="false"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47" t="str">
        <f aca="false"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47" t="str">
        <f aca="false">IF(CARGA_DIARIA!A288="","",IF(CARGA_DIARIA!B288=0,0,(CARGA_DIARIA!X288+CARGA_DIARIA!Y288+CARGA_DIARIA!Z288+CARGA_DIARIA!AA288)/CARGA_DIARIA!B288+CARGA_DIARIA!AB288+CARGA_DIARIA!AC288+CARGA_DIARIA!AD288+CARGA_DIARIA!AE288))</f>
        <v/>
      </c>
      <c r="F288" s="50" t="s">
        <v>146</v>
      </c>
      <c r="G288" s="50" t="s">
        <v>146</v>
      </c>
      <c r="H288" s="49" t="str">
        <f aca="false">IF(CARGA_DIARIA!A288="","",C288-D288-E288)</f>
        <v/>
      </c>
    </row>
    <row r="289" customFormat="false" ht="15.75" hidden="false" customHeight="true" outlineLevel="0" collapsed="false">
      <c r="A289" s="44" t="str">
        <f aca="false">IF(CARGA_DIARIA!A289="","",CARGA_DIARIA!A289)</f>
        <v/>
      </c>
      <c r="B289" s="45" t="str">
        <f aca="false">IF(CARGA_DIARIA!A289="","",CARGA_DIARIA!B289)</f>
        <v/>
      </c>
      <c r="C289" s="46" t="str">
        <f aca="false"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47" t="str">
        <f aca="false"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47" t="str">
        <f aca="false">IF(CARGA_DIARIA!A289="","",IF(CARGA_DIARIA!B289=0,0,(CARGA_DIARIA!X289+CARGA_DIARIA!Y289+CARGA_DIARIA!Z289+CARGA_DIARIA!AA289)/CARGA_DIARIA!B289+CARGA_DIARIA!AB289+CARGA_DIARIA!AC289+CARGA_DIARIA!AD289+CARGA_DIARIA!AE289))</f>
        <v/>
      </c>
      <c r="F289" s="50" t="s">
        <v>146</v>
      </c>
      <c r="G289" s="50" t="s">
        <v>146</v>
      </c>
      <c r="H289" s="49" t="str">
        <f aca="false">IF(CARGA_DIARIA!A289="","",C289-D289-E289)</f>
        <v/>
      </c>
    </row>
    <row r="290" customFormat="false" ht="15.75" hidden="false" customHeight="true" outlineLevel="0" collapsed="false">
      <c r="A290" s="44" t="str">
        <f aca="false">IF(CARGA_DIARIA!A290="","",CARGA_DIARIA!A290)</f>
        <v/>
      </c>
      <c r="B290" s="45" t="str">
        <f aca="false">IF(CARGA_DIARIA!A290="","",CARGA_DIARIA!B290)</f>
        <v/>
      </c>
      <c r="C290" s="46" t="str">
        <f aca="false"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47" t="str">
        <f aca="false"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47" t="str">
        <f aca="false">IF(CARGA_DIARIA!A290="","",IF(CARGA_DIARIA!B290=0,0,(CARGA_DIARIA!X290+CARGA_DIARIA!Y290+CARGA_DIARIA!Z290+CARGA_DIARIA!AA290)/CARGA_DIARIA!B290+CARGA_DIARIA!AB290+CARGA_DIARIA!AC290+CARGA_DIARIA!AD290+CARGA_DIARIA!AE290))</f>
        <v/>
      </c>
      <c r="F290" s="50" t="s">
        <v>146</v>
      </c>
      <c r="G290" s="50" t="s">
        <v>146</v>
      </c>
      <c r="H290" s="49" t="str">
        <f aca="false">IF(CARGA_DIARIA!A290="","",C290-D290-E290)</f>
        <v/>
      </c>
    </row>
    <row r="291" customFormat="false" ht="15.75" hidden="false" customHeight="true" outlineLevel="0" collapsed="false">
      <c r="A291" s="44" t="str">
        <f aca="false">IF(CARGA_DIARIA!A291="","",CARGA_DIARIA!A291)</f>
        <v/>
      </c>
      <c r="B291" s="45" t="str">
        <f aca="false">IF(CARGA_DIARIA!A291="","",CARGA_DIARIA!B291)</f>
        <v/>
      </c>
      <c r="C291" s="46" t="str">
        <f aca="false"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47" t="str">
        <f aca="false"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47" t="str">
        <f aca="false">IF(CARGA_DIARIA!A291="","",IF(CARGA_DIARIA!B291=0,0,(CARGA_DIARIA!X291+CARGA_DIARIA!Y291+CARGA_DIARIA!Z291+CARGA_DIARIA!AA291)/CARGA_DIARIA!B291+CARGA_DIARIA!AB291+CARGA_DIARIA!AC291+CARGA_DIARIA!AD291+CARGA_DIARIA!AE291))</f>
        <v/>
      </c>
      <c r="F291" s="50" t="s">
        <v>146</v>
      </c>
      <c r="G291" s="50" t="s">
        <v>146</v>
      </c>
      <c r="H291" s="49" t="str">
        <f aca="false">IF(CARGA_DIARIA!A291="","",C291-D291-E291)</f>
        <v/>
      </c>
    </row>
    <row r="292" customFormat="false" ht="15.75" hidden="false" customHeight="true" outlineLevel="0" collapsed="false">
      <c r="A292" s="44" t="str">
        <f aca="false">IF(CARGA_DIARIA!A292="","",CARGA_DIARIA!A292)</f>
        <v/>
      </c>
      <c r="B292" s="45" t="str">
        <f aca="false">IF(CARGA_DIARIA!A292="","",CARGA_DIARIA!B292)</f>
        <v/>
      </c>
      <c r="C292" s="46" t="str">
        <f aca="false"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47" t="str">
        <f aca="false"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47" t="str">
        <f aca="false">IF(CARGA_DIARIA!A292="","",IF(CARGA_DIARIA!B292=0,0,(CARGA_DIARIA!X292+CARGA_DIARIA!Y292+CARGA_DIARIA!Z292+CARGA_DIARIA!AA292)/CARGA_DIARIA!B292+CARGA_DIARIA!AB292+CARGA_DIARIA!AC292+CARGA_DIARIA!AD292+CARGA_DIARIA!AE292))</f>
        <v/>
      </c>
      <c r="F292" s="50" t="s">
        <v>146</v>
      </c>
      <c r="G292" s="50" t="s">
        <v>146</v>
      </c>
      <c r="H292" s="49" t="str">
        <f aca="false">IF(CARGA_DIARIA!A292="","",C292-D292-E292)</f>
        <v/>
      </c>
    </row>
    <row r="293" customFormat="false" ht="15.75" hidden="false" customHeight="true" outlineLevel="0" collapsed="false">
      <c r="A293" s="44" t="str">
        <f aca="false">IF(CARGA_DIARIA!A293="","",CARGA_DIARIA!A293)</f>
        <v/>
      </c>
      <c r="B293" s="45" t="str">
        <f aca="false">IF(CARGA_DIARIA!A293="","",CARGA_DIARIA!B293)</f>
        <v/>
      </c>
      <c r="C293" s="46" t="str">
        <f aca="false"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47" t="str">
        <f aca="false"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47" t="str">
        <f aca="false">IF(CARGA_DIARIA!A293="","",IF(CARGA_DIARIA!B293=0,0,(CARGA_DIARIA!X293+CARGA_DIARIA!Y293+CARGA_DIARIA!Z293+CARGA_DIARIA!AA293)/CARGA_DIARIA!B293+CARGA_DIARIA!AB293+CARGA_DIARIA!AC293+CARGA_DIARIA!AD293+CARGA_DIARIA!AE293))</f>
        <v/>
      </c>
      <c r="F293" s="50" t="s">
        <v>146</v>
      </c>
      <c r="G293" s="50" t="s">
        <v>146</v>
      </c>
      <c r="H293" s="49" t="str">
        <f aca="false">IF(CARGA_DIARIA!A293="","",C293-D293-E293)</f>
        <v/>
      </c>
    </row>
    <row r="294" customFormat="false" ht="15.75" hidden="false" customHeight="true" outlineLevel="0" collapsed="false">
      <c r="A294" s="44" t="str">
        <f aca="false">IF(CARGA_DIARIA!A294="","",CARGA_DIARIA!A294)</f>
        <v/>
      </c>
      <c r="B294" s="45" t="str">
        <f aca="false">IF(CARGA_DIARIA!A294="","",CARGA_DIARIA!B294)</f>
        <v/>
      </c>
      <c r="C294" s="46" t="str">
        <f aca="false"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47" t="str">
        <f aca="false"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47" t="str">
        <f aca="false">IF(CARGA_DIARIA!A294="","",IF(CARGA_DIARIA!B294=0,0,(CARGA_DIARIA!X294+CARGA_DIARIA!Y294+CARGA_DIARIA!Z294+CARGA_DIARIA!AA294)/CARGA_DIARIA!B294+CARGA_DIARIA!AB294+CARGA_DIARIA!AC294+CARGA_DIARIA!AD294+CARGA_DIARIA!AE294))</f>
        <v/>
      </c>
      <c r="F294" s="50" t="s">
        <v>146</v>
      </c>
      <c r="G294" s="50" t="s">
        <v>146</v>
      </c>
      <c r="H294" s="49" t="str">
        <f aca="false">IF(CARGA_DIARIA!A294="","",C294-D294-E294)</f>
        <v/>
      </c>
    </row>
    <row r="295" customFormat="false" ht="15.75" hidden="false" customHeight="true" outlineLevel="0" collapsed="false">
      <c r="A295" s="44" t="str">
        <f aca="false">IF(CARGA_DIARIA!A295="","",CARGA_DIARIA!A295)</f>
        <v/>
      </c>
      <c r="B295" s="45" t="str">
        <f aca="false">IF(CARGA_DIARIA!A295="","",CARGA_DIARIA!B295)</f>
        <v/>
      </c>
      <c r="C295" s="46" t="str">
        <f aca="false"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47" t="str">
        <f aca="false"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47" t="str">
        <f aca="false">IF(CARGA_DIARIA!A295="","",IF(CARGA_DIARIA!B295=0,0,(CARGA_DIARIA!X295+CARGA_DIARIA!Y295+CARGA_DIARIA!Z295+CARGA_DIARIA!AA295)/CARGA_DIARIA!B295+CARGA_DIARIA!AB295+CARGA_DIARIA!AC295+CARGA_DIARIA!AD295+CARGA_DIARIA!AE295))</f>
        <v/>
      </c>
      <c r="F295" s="50" t="s">
        <v>146</v>
      </c>
      <c r="G295" s="50" t="s">
        <v>146</v>
      </c>
      <c r="H295" s="49" t="str">
        <f aca="false">IF(CARGA_DIARIA!A295="","",C295-D295-E295)</f>
        <v/>
      </c>
    </row>
    <row r="296" customFormat="false" ht="15.75" hidden="false" customHeight="true" outlineLevel="0" collapsed="false">
      <c r="A296" s="44" t="str">
        <f aca="false">IF(CARGA_DIARIA!A296="","",CARGA_DIARIA!A296)</f>
        <v/>
      </c>
      <c r="B296" s="45" t="str">
        <f aca="false">IF(CARGA_DIARIA!A296="","",CARGA_DIARIA!B296)</f>
        <v/>
      </c>
      <c r="C296" s="46" t="str">
        <f aca="false"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47" t="str">
        <f aca="false"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47" t="str">
        <f aca="false">IF(CARGA_DIARIA!A296="","",IF(CARGA_DIARIA!B296=0,0,(CARGA_DIARIA!X296+CARGA_DIARIA!Y296+CARGA_DIARIA!Z296+CARGA_DIARIA!AA296)/CARGA_DIARIA!B296+CARGA_DIARIA!AB296+CARGA_DIARIA!AC296+CARGA_DIARIA!AD296+CARGA_DIARIA!AE296))</f>
        <v/>
      </c>
      <c r="F296" s="50" t="s">
        <v>146</v>
      </c>
      <c r="G296" s="50" t="s">
        <v>146</v>
      </c>
      <c r="H296" s="49" t="str">
        <f aca="false">IF(CARGA_DIARIA!A296="","",C296-D296-E296)</f>
        <v/>
      </c>
    </row>
    <row r="297" customFormat="false" ht="15.75" hidden="false" customHeight="true" outlineLevel="0" collapsed="false">
      <c r="A297" s="44" t="str">
        <f aca="false">IF(CARGA_DIARIA!A297="","",CARGA_DIARIA!A297)</f>
        <v/>
      </c>
      <c r="B297" s="45" t="str">
        <f aca="false">IF(CARGA_DIARIA!A297="","",CARGA_DIARIA!B297)</f>
        <v/>
      </c>
      <c r="C297" s="46" t="str">
        <f aca="false"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47" t="str">
        <f aca="false"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47" t="str">
        <f aca="false">IF(CARGA_DIARIA!A297="","",IF(CARGA_DIARIA!B297=0,0,(CARGA_DIARIA!X297+CARGA_DIARIA!Y297+CARGA_DIARIA!Z297+CARGA_DIARIA!AA297)/CARGA_DIARIA!B297+CARGA_DIARIA!AB297+CARGA_DIARIA!AC297+CARGA_DIARIA!AD297+CARGA_DIARIA!AE297))</f>
        <v/>
      </c>
      <c r="F297" s="50" t="s">
        <v>146</v>
      </c>
      <c r="G297" s="50" t="s">
        <v>146</v>
      </c>
      <c r="H297" s="49" t="str">
        <f aca="false">IF(CARGA_DIARIA!A297="","",C297-D297-E297)</f>
        <v/>
      </c>
    </row>
    <row r="298" customFormat="false" ht="15.75" hidden="false" customHeight="true" outlineLevel="0" collapsed="false">
      <c r="A298" s="44" t="str">
        <f aca="false">IF(CARGA_DIARIA!A298="","",CARGA_DIARIA!A298)</f>
        <v/>
      </c>
      <c r="B298" s="45" t="str">
        <f aca="false">IF(CARGA_DIARIA!A298="","",CARGA_DIARIA!B298)</f>
        <v/>
      </c>
      <c r="C298" s="46" t="str">
        <f aca="false"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47" t="str">
        <f aca="false"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47" t="str">
        <f aca="false">IF(CARGA_DIARIA!A298="","",IF(CARGA_DIARIA!B298=0,0,(CARGA_DIARIA!X298+CARGA_DIARIA!Y298+CARGA_DIARIA!Z298+CARGA_DIARIA!AA298)/CARGA_DIARIA!B298+CARGA_DIARIA!AB298+CARGA_DIARIA!AC298+CARGA_DIARIA!AD298+CARGA_DIARIA!AE298))</f>
        <v/>
      </c>
      <c r="F298" s="50" t="s">
        <v>146</v>
      </c>
      <c r="G298" s="50" t="s">
        <v>146</v>
      </c>
      <c r="H298" s="49" t="str">
        <f aca="false">IF(CARGA_DIARIA!A298="","",C298-D298-E298)</f>
        <v/>
      </c>
    </row>
    <row r="299" customFormat="false" ht="15.75" hidden="false" customHeight="true" outlineLevel="0" collapsed="false">
      <c r="A299" s="44" t="str">
        <f aca="false">IF(CARGA_DIARIA!A299="","",CARGA_DIARIA!A299)</f>
        <v/>
      </c>
      <c r="B299" s="45" t="str">
        <f aca="false">IF(CARGA_DIARIA!A299="","",CARGA_DIARIA!B299)</f>
        <v/>
      </c>
      <c r="C299" s="46" t="str">
        <f aca="false"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47" t="str">
        <f aca="false"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47" t="str">
        <f aca="false">IF(CARGA_DIARIA!A299="","",IF(CARGA_DIARIA!B299=0,0,(CARGA_DIARIA!X299+CARGA_DIARIA!Y299+CARGA_DIARIA!Z299+CARGA_DIARIA!AA299)/CARGA_DIARIA!B299+CARGA_DIARIA!AB299+CARGA_DIARIA!AC299+CARGA_DIARIA!AD299+CARGA_DIARIA!AE299))</f>
        <v/>
      </c>
      <c r="F299" s="50" t="s">
        <v>146</v>
      </c>
      <c r="G299" s="50" t="s">
        <v>146</v>
      </c>
      <c r="H299" s="49" t="str">
        <f aca="false">IF(CARGA_DIARIA!A299="","",C299-D299-E299)</f>
        <v/>
      </c>
    </row>
    <row r="300" customFormat="false" ht="15.75" hidden="false" customHeight="true" outlineLevel="0" collapsed="false">
      <c r="A300" s="44" t="str">
        <f aca="false">IF(CARGA_DIARIA!A300="","",CARGA_DIARIA!A300)</f>
        <v/>
      </c>
      <c r="B300" s="45" t="str">
        <f aca="false">IF(CARGA_DIARIA!A300="","",CARGA_DIARIA!B300)</f>
        <v/>
      </c>
      <c r="C300" s="46" t="str">
        <f aca="false"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47" t="str">
        <f aca="false"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47" t="str">
        <f aca="false">IF(CARGA_DIARIA!A300="","",IF(CARGA_DIARIA!B300=0,0,(CARGA_DIARIA!X300+CARGA_DIARIA!Y300+CARGA_DIARIA!Z300+CARGA_DIARIA!AA300)/CARGA_DIARIA!B300+CARGA_DIARIA!AB300+CARGA_DIARIA!AC300+CARGA_DIARIA!AD300+CARGA_DIARIA!AE300))</f>
        <v/>
      </c>
      <c r="F300" s="50" t="s">
        <v>146</v>
      </c>
      <c r="G300" s="50" t="s">
        <v>146</v>
      </c>
      <c r="H300" s="49" t="str">
        <f aca="false">IF(CARGA_DIARIA!A300="","",C300-D300-E300)</f>
        <v/>
      </c>
    </row>
    <row r="301" customFormat="false" ht="15.75" hidden="false" customHeight="true" outlineLevel="0" collapsed="false">
      <c r="A301" s="44" t="str">
        <f aca="false">IF(CARGA_DIARIA!A301="","",CARGA_DIARIA!A301)</f>
        <v/>
      </c>
      <c r="B301" s="45" t="str">
        <f aca="false">IF(CARGA_DIARIA!A301="","",CARGA_DIARIA!B301)</f>
        <v/>
      </c>
      <c r="C301" s="46" t="str">
        <f aca="false"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47" t="str">
        <f aca="false"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47" t="str">
        <f aca="false">IF(CARGA_DIARIA!A301="","",IF(CARGA_DIARIA!B301=0,0,(CARGA_DIARIA!X301+CARGA_DIARIA!Y301+CARGA_DIARIA!Z301+CARGA_DIARIA!AA301)/CARGA_DIARIA!B301+CARGA_DIARIA!AB301+CARGA_DIARIA!AC301+CARGA_DIARIA!AD301+CARGA_DIARIA!AE301))</f>
        <v/>
      </c>
      <c r="F301" s="50" t="s">
        <v>146</v>
      </c>
      <c r="G301" s="50" t="s">
        <v>146</v>
      </c>
      <c r="H301" s="49" t="str">
        <f aca="false">IF(CARGA_DIARIA!A301="","",C301-D301-E301)</f>
        <v/>
      </c>
    </row>
    <row r="302" customFormat="false" ht="15.75" hidden="false" customHeight="true" outlineLevel="0" collapsed="false">
      <c r="A302" s="44" t="str">
        <f aca="false">IF(CARGA_DIARIA!A302="","",CARGA_DIARIA!A302)</f>
        <v/>
      </c>
      <c r="B302" s="45" t="str">
        <f aca="false">IF(CARGA_DIARIA!A302="","",CARGA_DIARIA!B302)</f>
        <v/>
      </c>
      <c r="C302" s="46" t="str">
        <f aca="false"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47" t="str">
        <f aca="false"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47" t="str">
        <f aca="false">IF(CARGA_DIARIA!A302="","",IF(CARGA_DIARIA!B302=0,0,(CARGA_DIARIA!X302+CARGA_DIARIA!Y302+CARGA_DIARIA!Z302+CARGA_DIARIA!AA302)/CARGA_DIARIA!B302+CARGA_DIARIA!AB302+CARGA_DIARIA!AC302+CARGA_DIARIA!AD302+CARGA_DIARIA!AE302))</f>
        <v/>
      </c>
      <c r="F302" s="50" t="s">
        <v>146</v>
      </c>
      <c r="G302" s="50" t="s">
        <v>146</v>
      </c>
      <c r="H302" s="49" t="str">
        <f aca="false">IF(CARGA_DIARIA!A302="","",C302-D302-E302)</f>
        <v/>
      </c>
    </row>
    <row r="303" customFormat="false" ht="15.75" hidden="false" customHeight="true" outlineLevel="0" collapsed="false">
      <c r="A303" s="44" t="str">
        <f aca="false">IF(CARGA_DIARIA!A303="","",CARGA_DIARIA!A303)</f>
        <v/>
      </c>
      <c r="B303" s="45" t="str">
        <f aca="false">IF(CARGA_DIARIA!A303="","",CARGA_DIARIA!B303)</f>
        <v/>
      </c>
      <c r="C303" s="46" t="str">
        <f aca="false"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47" t="str">
        <f aca="false"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47" t="str">
        <f aca="false">IF(CARGA_DIARIA!A303="","",IF(CARGA_DIARIA!B303=0,0,(CARGA_DIARIA!X303+CARGA_DIARIA!Y303+CARGA_DIARIA!Z303+CARGA_DIARIA!AA303)/CARGA_DIARIA!B303+CARGA_DIARIA!AB303+CARGA_DIARIA!AC303+CARGA_DIARIA!AD303+CARGA_DIARIA!AE303))</f>
        <v/>
      </c>
      <c r="F303" s="50" t="s">
        <v>146</v>
      </c>
      <c r="G303" s="50" t="s">
        <v>146</v>
      </c>
      <c r="H303" s="49" t="str">
        <f aca="false">IF(CARGA_DIARIA!A303="","",C303-D303-E303)</f>
        <v/>
      </c>
    </row>
    <row r="304" customFormat="false" ht="15.75" hidden="false" customHeight="true" outlineLevel="0" collapsed="false">
      <c r="A304" s="44" t="str">
        <f aca="false">IF(CARGA_DIARIA!A304="","",CARGA_DIARIA!A304)</f>
        <v/>
      </c>
      <c r="B304" s="45" t="str">
        <f aca="false">IF(CARGA_DIARIA!A304="","",CARGA_DIARIA!B304)</f>
        <v/>
      </c>
      <c r="C304" s="46" t="str">
        <f aca="false"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47" t="str">
        <f aca="false"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47" t="str">
        <f aca="false">IF(CARGA_DIARIA!A304="","",IF(CARGA_DIARIA!B304=0,0,(CARGA_DIARIA!X304+CARGA_DIARIA!Y304+CARGA_DIARIA!Z304+CARGA_DIARIA!AA304)/CARGA_DIARIA!B304+CARGA_DIARIA!AB304+CARGA_DIARIA!AC304+CARGA_DIARIA!AD304+CARGA_DIARIA!AE304))</f>
        <v/>
      </c>
      <c r="F304" s="50" t="s">
        <v>146</v>
      </c>
      <c r="G304" s="50" t="s">
        <v>146</v>
      </c>
      <c r="H304" s="49" t="str">
        <f aca="false">IF(CARGA_DIARIA!A304="","",C304-D304-E304)</f>
        <v/>
      </c>
    </row>
    <row r="305" customFormat="false" ht="15.75" hidden="false" customHeight="true" outlineLevel="0" collapsed="false">
      <c r="A305" s="44" t="str">
        <f aca="false">IF(CARGA_DIARIA!A305="","",CARGA_DIARIA!A305)</f>
        <v/>
      </c>
      <c r="B305" s="45" t="str">
        <f aca="false">IF(CARGA_DIARIA!A305="","",CARGA_DIARIA!B305)</f>
        <v/>
      </c>
      <c r="C305" s="46" t="str">
        <f aca="false"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47" t="str">
        <f aca="false"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47" t="str">
        <f aca="false">IF(CARGA_DIARIA!A305="","",IF(CARGA_DIARIA!B305=0,0,(CARGA_DIARIA!X305+CARGA_DIARIA!Y305+CARGA_DIARIA!Z305+CARGA_DIARIA!AA305)/CARGA_DIARIA!B305+CARGA_DIARIA!AB305+CARGA_DIARIA!AC305+CARGA_DIARIA!AD305+CARGA_DIARIA!AE305))</f>
        <v/>
      </c>
      <c r="F305" s="50" t="s">
        <v>146</v>
      </c>
      <c r="G305" s="50" t="s">
        <v>146</v>
      </c>
      <c r="H305" s="49" t="str">
        <f aca="false">IF(CARGA_DIARIA!A305="","",C305-D305-E305)</f>
        <v/>
      </c>
    </row>
    <row r="306" customFormat="false" ht="15.75" hidden="false" customHeight="true" outlineLevel="0" collapsed="false">
      <c r="A306" s="44" t="str">
        <f aca="false">IF(CARGA_DIARIA!A306="","",CARGA_DIARIA!A306)</f>
        <v/>
      </c>
      <c r="B306" s="45" t="str">
        <f aca="false">IF(CARGA_DIARIA!A306="","",CARGA_DIARIA!B306)</f>
        <v/>
      </c>
      <c r="C306" s="46" t="str">
        <f aca="false"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47" t="str">
        <f aca="false"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47" t="str">
        <f aca="false">IF(CARGA_DIARIA!A306="","",IF(CARGA_DIARIA!B306=0,0,(CARGA_DIARIA!X306+CARGA_DIARIA!Y306+CARGA_DIARIA!Z306+CARGA_DIARIA!AA306)/CARGA_DIARIA!B306+CARGA_DIARIA!AB306+CARGA_DIARIA!AC306+CARGA_DIARIA!AD306+CARGA_DIARIA!AE306))</f>
        <v/>
      </c>
      <c r="F306" s="50" t="s">
        <v>146</v>
      </c>
      <c r="G306" s="50" t="s">
        <v>146</v>
      </c>
      <c r="H306" s="49" t="str">
        <f aca="false">IF(CARGA_DIARIA!A306="","",C306-D306-E306)</f>
        <v/>
      </c>
    </row>
    <row r="307" customFormat="false" ht="15.75" hidden="false" customHeight="true" outlineLevel="0" collapsed="false">
      <c r="A307" s="44" t="str">
        <f aca="false">IF(CARGA_DIARIA!A307="","",CARGA_DIARIA!A307)</f>
        <v/>
      </c>
      <c r="B307" s="45" t="str">
        <f aca="false">IF(CARGA_DIARIA!A307="","",CARGA_DIARIA!B307)</f>
        <v/>
      </c>
      <c r="C307" s="46" t="str">
        <f aca="false"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47" t="str">
        <f aca="false"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47" t="str">
        <f aca="false">IF(CARGA_DIARIA!A307="","",IF(CARGA_DIARIA!B307=0,0,(CARGA_DIARIA!X307+CARGA_DIARIA!Y307+CARGA_DIARIA!Z307+CARGA_DIARIA!AA307)/CARGA_DIARIA!B307+CARGA_DIARIA!AB307+CARGA_DIARIA!AC307+CARGA_DIARIA!AD307+CARGA_DIARIA!AE307))</f>
        <v/>
      </c>
      <c r="F307" s="50" t="s">
        <v>146</v>
      </c>
      <c r="G307" s="50" t="s">
        <v>146</v>
      </c>
      <c r="H307" s="49" t="str">
        <f aca="false">IF(CARGA_DIARIA!A307="","",C307-D307-E307)</f>
        <v/>
      </c>
    </row>
    <row r="308" customFormat="false" ht="15.75" hidden="false" customHeight="true" outlineLevel="0" collapsed="false">
      <c r="A308" s="44" t="str">
        <f aca="false">IF(CARGA_DIARIA!A308="","",CARGA_DIARIA!A308)</f>
        <v/>
      </c>
      <c r="B308" s="45" t="str">
        <f aca="false">IF(CARGA_DIARIA!A308="","",CARGA_DIARIA!B308)</f>
        <v/>
      </c>
      <c r="C308" s="46" t="str">
        <f aca="false"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47" t="str">
        <f aca="false"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47" t="str">
        <f aca="false">IF(CARGA_DIARIA!A308="","",IF(CARGA_DIARIA!B308=0,0,(CARGA_DIARIA!X308+CARGA_DIARIA!Y308+CARGA_DIARIA!Z308+CARGA_DIARIA!AA308)/CARGA_DIARIA!B308+CARGA_DIARIA!AB308+CARGA_DIARIA!AC308+CARGA_DIARIA!AD308+CARGA_DIARIA!AE308))</f>
        <v/>
      </c>
      <c r="F308" s="50" t="s">
        <v>146</v>
      </c>
      <c r="G308" s="50" t="s">
        <v>146</v>
      </c>
      <c r="H308" s="49" t="str">
        <f aca="false">IF(CARGA_DIARIA!A308="","",C308-D308-E308)</f>
        <v/>
      </c>
    </row>
    <row r="309" customFormat="false" ht="15.75" hidden="false" customHeight="true" outlineLevel="0" collapsed="false">
      <c r="A309" s="44" t="str">
        <f aca="false">IF(CARGA_DIARIA!A309="","",CARGA_DIARIA!A309)</f>
        <v/>
      </c>
      <c r="B309" s="45" t="str">
        <f aca="false">IF(CARGA_DIARIA!A309="","",CARGA_DIARIA!B309)</f>
        <v/>
      </c>
      <c r="C309" s="46" t="str">
        <f aca="false"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47" t="str">
        <f aca="false"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47" t="str">
        <f aca="false">IF(CARGA_DIARIA!A309="","",IF(CARGA_DIARIA!B309=0,0,(CARGA_DIARIA!X309+CARGA_DIARIA!Y309+CARGA_DIARIA!Z309+CARGA_DIARIA!AA309)/CARGA_DIARIA!B309+CARGA_DIARIA!AB309+CARGA_DIARIA!AC309+CARGA_DIARIA!AD309+CARGA_DIARIA!AE309))</f>
        <v/>
      </c>
      <c r="F309" s="50" t="s">
        <v>146</v>
      </c>
      <c r="G309" s="50" t="s">
        <v>146</v>
      </c>
      <c r="H309" s="49" t="str">
        <f aca="false">IF(CARGA_DIARIA!A309="","",C309-D309-E309)</f>
        <v/>
      </c>
    </row>
    <row r="310" customFormat="false" ht="15.75" hidden="false" customHeight="true" outlineLevel="0" collapsed="false">
      <c r="A310" s="44" t="str">
        <f aca="false">IF(CARGA_DIARIA!A310="","",CARGA_DIARIA!A310)</f>
        <v/>
      </c>
      <c r="B310" s="45" t="str">
        <f aca="false">IF(CARGA_DIARIA!A310="","",CARGA_DIARIA!B310)</f>
        <v/>
      </c>
      <c r="C310" s="46" t="str">
        <f aca="false"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47" t="str">
        <f aca="false"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47" t="str">
        <f aca="false">IF(CARGA_DIARIA!A310="","",IF(CARGA_DIARIA!B310=0,0,(CARGA_DIARIA!X310+CARGA_DIARIA!Y310+CARGA_DIARIA!Z310+CARGA_DIARIA!AA310)/CARGA_DIARIA!B310+CARGA_DIARIA!AB310+CARGA_DIARIA!AC310+CARGA_DIARIA!AD310+CARGA_DIARIA!AE310))</f>
        <v/>
      </c>
      <c r="F310" s="50" t="s">
        <v>146</v>
      </c>
      <c r="G310" s="50" t="s">
        <v>146</v>
      </c>
      <c r="H310" s="49" t="str">
        <f aca="false">IF(CARGA_DIARIA!A310="","",C310-D310-E310)</f>
        <v/>
      </c>
    </row>
    <row r="311" customFormat="false" ht="15.75" hidden="false" customHeight="true" outlineLevel="0" collapsed="false">
      <c r="A311" s="44" t="str">
        <f aca="false">IF(CARGA_DIARIA!A311="","",CARGA_DIARIA!A311)</f>
        <v/>
      </c>
      <c r="B311" s="45" t="str">
        <f aca="false">IF(CARGA_DIARIA!A311="","",CARGA_DIARIA!B311)</f>
        <v/>
      </c>
      <c r="C311" s="46" t="str">
        <f aca="false"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47" t="str">
        <f aca="false"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47" t="str">
        <f aca="false">IF(CARGA_DIARIA!A311="","",IF(CARGA_DIARIA!B311=0,0,(CARGA_DIARIA!X311+CARGA_DIARIA!Y311+CARGA_DIARIA!Z311+CARGA_DIARIA!AA311)/CARGA_DIARIA!B311+CARGA_DIARIA!AB311+CARGA_DIARIA!AC311+CARGA_DIARIA!AD311+CARGA_DIARIA!AE311))</f>
        <v/>
      </c>
      <c r="F311" s="50" t="s">
        <v>146</v>
      </c>
      <c r="G311" s="50" t="s">
        <v>146</v>
      </c>
      <c r="H311" s="49" t="str">
        <f aca="false">IF(CARGA_DIARIA!A311="","",C311-D311-E311)</f>
        <v/>
      </c>
    </row>
    <row r="312" customFormat="false" ht="15.75" hidden="false" customHeight="true" outlineLevel="0" collapsed="false">
      <c r="A312" s="44" t="str">
        <f aca="false">IF(CARGA_DIARIA!A312="","",CARGA_DIARIA!A312)</f>
        <v/>
      </c>
      <c r="B312" s="45" t="str">
        <f aca="false">IF(CARGA_DIARIA!A312="","",CARGA_DIARIA!B312)</f>
        <v/>
      </c>
      <c r="C312" s="46" t="str">
        <f aca="false"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47" t="str">
        <f aca="false"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47" t="str">
        <f aca="false">IF(CARGA_DIARIA!A312="","",IF(CARGA_DIARIA!B312=0,0,(CARGA_DIARIA!X312+CARGA_DIARIA!Y312+CARGA_DIARIA!Z312+CARGA_DIARIA!AA312)/CARGA_DIARIA!B312+CARGA_DIARIA!AB312+CARGA_DIARIA!AC312+CARGA_DIARIA!AD312+CARGA_DIARIA!AE312))</f>
        <v/>
      </c>
      <c r="F312" s="50" t="s">
        <v>146</v>
      </c>
      <c r="G312" s="50" t="s">
        <v>146</v>
      </c>
      <c r="H312" s="49" t="str">
        <f aca="false">IF(CARGA_DIARIA!A312="","",C312-D312-E312)</f>
        <v/>
      </c>
    </row>
    <row r="313" customFormat="false" ht="15.75" hidden="false" customHeight="true" outlineLevel="0" collapsed="false">
      <c r="A313" s="44" t="str">
        <f aca="false">IF(CARGA_DIARIA!A313="","",CARGA_DIARIA!A313)</f>
        <v/>
      </c>
      <c r="B313" s="45" t="str">
        <f aca="false">IF(CARGA_DIARIA!A313="","",CARGA_DIARIA!B313)</f>
        <v/>
      </c>
      <c r="C313" s="46" t="str">
        <f aca="false"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47" t="str">
        <f aca="false"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47" t="str">
        <f aca="false">IF(CARGA_DIARIA!A313="","",IF(CARGA_DIARIA!B313=0,0,(CARGA_DIARIA!X313+CARGA_DIARIA!Y313+CARGA_DIARIA!Z313+CARGA_DIARIA!AA313)/CARGA_DIARIA!B313+CARGA_DIARIA!AB313+CARGA_DIARIA!AC313+CARGA_DIARIA!AD313+CARGA_DIARIA!AE313))</f>
        <v/>
      </c>
      <c r="F313" s="50" t="s">
        <v>146</v>
      </c>
      <c r="G313" s="50" t="s">
        <v>146</v>
      </c>
      <c r="H313" s="49" t="str">
        <f aca="false">IF(CARGA_DIARIA!A313="","",C313-D313-E313)</f>
        <v/>
      </c>
    </row>
    <row r="314" customFormat="false" ht="15.75" hidden="false" customHeight="true" outlineLevel="0" collapsed="false">
      <c r="A314" s="44" t="str">
        <f aca="false">IF(CARGA_DIARIA!A314="","",CARGA_DIARIA!A314)</f>
        <v/>
      </c>
      <c r="B314" s="45" t="str">
        <f aca="false">IF(CARGA_DIARIA!A314="","",CARGA_DIARIA!B314)</f>
        <v/>
      </c>
      <c r="C314" s="46" t="str">
        <f aca="false"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47" t="str">
        <f aca="false"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47" t="str">
        <f aca="false">IF(CARGA_DIARIA!A314="","",IF(CARGA_DIARIA!B314=0,0,(CARGA_DIARIA!X314+CARGA_DIARIA!Y314+CARGA_DIARIA!Z314+CARGA_DIARIA!AA314)/CARGA_DIARIA!B314+CARGA_DIARIA!AB314+CARGA_DIARIA!AC314+CARGA_DIARIA!AD314+CARGA_DIARIA!AE314))</f>
        <v/>
      </c>
      <c r="F314" s="50" t="s">
        <v>146</v>
      </c>
      <c r="G314" s="50" t="s">
        <v>146</v>
      </c>
      <c r="H314" s="49" t="str">
        <f aca="false">IF(CARGA_DIARIA!A314="","",C314-D314-E314)</f>
        <v/>
      </c>
    </row>
    <row r="315" customFormat="false" ht="15.75" hidden="false" customHeight="true" outlineLevel="0" collapsed="false">
      <c r="A315" s="44" t="str">
        <f aca="false">IF(CARGA_DIARIA!A315="","",CARGA_DIARIA!A315)</f>
        <v/>
      </c>
      <c r="B315" s="45" t="str">
        <f aca="false">IF(CARGA_DIARIA!A315="","",CARGA_DIARIA!B315)</f>
        <v/>
      </c>
      <c r="C315" s="46" t="str">
        <f aca="false"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47" t="str">
        <f aca="false"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47" t="str">
        <f aca="false">IF(CARGA_DIARIA!A315="","",IF(CARGA_DIARIA!B315=0,0,(CARGA_DIARIA!X315+CARGA_DIARIA!Y315+CARGA_DIARIA!Z315+CARGA_DIARIA!AA315)/CARGA_DIARIA!B315+CARGA_DIARIA!AB315+CARGA_DIARIA!AC315+CARGA_DIARIA!AD315+CARGA_DIARIA!AE315))</f>
        <v/>
      </c>
      <c r="F315" s="50" t="s">
        <v>146</v>
      </c>
      <c r="G315" s="50" t="s">
        <v>146</v>
      </c>
      <c r="H315" s="49" t="str">
        <f aca="false">IF(CARGA_DIARIA!A315="","",C315-D315-E315)</f>
        <v/>
      </c>
    </row>
    <row r="316" customFormat="false" ht="15.75" hidden="false" customHeight="true" outlineLevel="0" collapsed="false">
      <c r="A316" s="44" t="str">
        <f aca="false">IF(CARGA_DIARIA!A316="","",CARGA_DIARIA!A316)</f>
        <v/>
      </c>
      <c r="B316" s="45" t="str">
        <f aca="false">IF(CARGA_DIARIA!A316="","",CARGA_DIARIA!B316)</f>
        <v/>
      </c>
      <c r="C316" s="46" t="str">
        <f aca="false"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47" t="str">
        <f aca="false"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47" t="str">
        <f aca="false">IF(CARGA_DIARIA!A316="","",IF(CARGA_DIARIA!B316=0,0,(CARGA_DIARIA!X316+CARGA_DIARIA!Y316+CARGA_DIARIA!Z316+CARGA_DIARIA!AA316)/CARGA_DIARIA!B316+CARGA_DIARIA!AB316+CARGA_DIARIA!AC316+CARGA_DIARIA!AD316+CARGA_DIARIA!AE316))</f>
        <v/>
      </c>
      <c r="F316" s="50" t="s">
        <v>146</v>
      </c>
      <c r="G316" s="50" t="s">
        <v>146</v>
      </c>
      <c r="H316" s="49" t="str">
        <f aca="false">IF(CARGA_DIARIA!A316="","",C316-D316-E316)</f>
        <v/>
      </c>
    </row>
    <row r="317" customFormat="false" ht="15.75" hidden="false" customHeight="true" outlineLevel="0" collapsed="false">
      <c r="A317" s="44" t="str">
        <f aca="false">IF(CARGA_DIARIA!A317="","",CARGA_DIARIA!A317)</f>
        <v/>
      </c>
      <c r="B317" s="45" t="str">
        <f aca="false">IF(CARGA_DIARIA!A317="","",CARGA_DIARIA!B317)</f>
        <v/>
      </c>
      <c r="C317" s="46" t="str">
        <f aca="false"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47" t="str">
        <f aca="false"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47" t="str">
        <f aca="false">IF(CARGA_DIARIA!A317="","",IF(CARGA_DIARIA!B317=0,0,(CARGA_DIARIA!X317+CARGA_DIARIA!Y317+CARGA_DIARIA!Z317+CARGA_DIARIA!AA317)/CARGA_DIARIA!B317+CARGA_DIARIA!AB317+CARGA_DIARIA!AC317+CARGA_DIARIA!AD317+CARGA_DIARIA!AE317))</f>
        <v/>
      </c>
      <c r="F317" s="50" t="s">
        <v>146</v>
      </c>
      <c r="G317" s="50" t="s">
        <v>146</v>
      </c>
      <c r="H317" s="49" t="str">
        <f aca="false">IF(CARGA_DIARIA!A317="","",C317-D317-E317)</f>
        <v/>
      </c>
    </row>
    <row r="318" customFormat="false" ht="15.75" hidden="false" customHeight="true" outlineLevel="0" collapsed="false">
      <c r="A318" s="44" t="str">
        <f aca="false">IF(CARGA_DIARIA!A318="","",CARGA_DIARIA!A318)</f>
        <v/>
      </c>
      <c r="B318" s="45" t="str">
        <f aca="false">IF(CARGA_DIARIA!A318="","",CARGA_DIARIA!B318)</f>
        <v/>
      </c>
      <c r="C318" s="46" t="str">
        <f aca="false"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47" t="str">
        <f aca="false"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47" t="str">
        <f aca="false">IF(CARGA_DIARIA!A318="","",IF(CARGA_DIARIA!B318=0,0,(CARGA_DIARIA!X318+CARGA_DIARIA!Y318+CARGA_DIARIA!Z318+CARGA_DIARIA!AA318)/CARGA_DIARIA!B318+CARGA_DIARIA!AB318+CARGA_DIARIA!AC318+CARGA_DIARIA!AD318+CARGA_DIARIA!AE318))</f>
        <v/>
      </c>
      <c r="F318" s="50" t="s">
        <v>146</v>
      </c>
      <c r="G318" s="50" t="s">
        <v>146</v>
      </c>
      <c r="H318" s="49" t="str">
        <f aca="false">IF(CARGA_DIARIA!A318="","",C318-D318-E318)</f>
        <v/>
      </c>
    </row>
    <row r="319" customFormat="false" ht="15.75" hidden="false" customHeight="true" outlineLevel="0" collapsed="false">
      <c r="A319" s="44" t="str">
        <f aca="false">IF(CARGA_DIARIA!A319="","",CARGA_DIARIA!A319)</f>
        <v/>
      </c>
      <c r="B319" s="45" t="str">
        <f aca="false">IF(CARGA_DIARIA!A319="","",CARGA_DIARIA!B319)</f>
        <v/>
      </c>
      <c r="C319" s="46" t="str">
        <f aca="false"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47" t="str">
        <f aca="false"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47" t="str">
        <f aca="false">IF(CARGA_DIARIA!A319="","",IF(CARGA_DIARIA!B319=0,0,(CARGA_DIARIA!X319+CARGA_DIARIA!Y319+CARGA_DIARIA!Z319+CARGA_DIARIA!AA319)/CARGA_DIARIA!B319+CARGA_DIARIA!AB319+CARGA_DIARIA!AC319+CARGA_DIARIA!AD319+CARGA_DIARIA!AE319))</f>
        <v/>
      </c>
      <c r="F319" s="50" t="s">
        <v>146</v>
      </c>
      <c r="G319" s="50" t="s">
        <v>146</v>
      </c>
      <c r="H319" s="49" t="str">
        <f aca="false">IF(CARGA_DIARIA!A319="","",C319-D319-E319)</f>
        <v/>
      </c>
    </row>
    <row r="320" customFormat="false" ht="15.75" hidden="false" customHeight="true" outlineLevel="0" collapsed="false">
      <c r="A320" s="44" t="str">
        <f aca="false">IF(CARGA_DIARIA!A320="","",CARGA_DIARIA!A320)</f>
        <v/>
      </c>
      <c r="B320" s="45" t="str">
        <f aca="false">IF(CARGA_DIARIA!A320="","",CARGA_DIARIA!B320)</f>
        <v/>
      </c>
      <c r="C320" s="46" t="str">
        <f aca="false"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47" t="str">
        <f aca="false"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47" t="str">
        <f aca="false">IF(CARGA_DIARIA!A320="","",IF(CARGA_DIARIA!B320=0,0,(CARGA_DIARIA!X320+CARGA_DIARIA!Y320+CARGA_DIARIA!Z320+CARGA_DIARIA!AA320)/CARGA_DIARIA!B320+CARGA_DIARIA!AB320+CARGA_DIARIA!AC320+CARGA_DIARIA!AD320+CARGA_DIARIA!AE320))</f>
        <v/>
      </c>
      <c r="F320" s="50" t="s">
        <v>146</v>
      </c>
      <c r="G320" s="50" t="s">
        <v>146</v>
      </c>
      <c r="H320" s="49" t="str">
        <f aca="false">IF(CARGA_DIARIA!A320="","",C320-D320-E320)</f>
        <v/>
      </c>
    </row>
    <row r="321" customFormat="false" ht="15.75" hidden="false" customHeight="true" outlineLevel="0" collapsed="false">
      <c r="A321" s="44" t="str">
        <f aca="false">IF(CARGA_DIARIA!A321="","",CARGA_DIARIA!A321)</f>
        <v/>
      </c>
      <c r="B321" s="45" t="str">
        <f aca="false">IF(CARGA_DIARIA!A321="","",CARGA_DIARIA!B321)</f>
        <v/>
      </c>
      <c r="C321" s="46" t="str">
        <f aca="false"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47" t="str">
        <f aca="false"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47" t="str">
        <f aca="false">IF(CARGA_DIARIA!A321="","",IF(CARGA_DIARIA!B321=0,0,(CARGA_DIARIA!X321+CARGA_DIARIA!Y321+CARGA_DIARIA!Z321+CARGA_DIARIA!AA321)/CARGA_DIARIA!B321+CARGA_DIARIA!AB321+CARGA_DIARIA!AC321+CARGA_DIARIA!AD321+CARGA_DIARIA!AE321))</f>
        <v/>
      </c>
      <c r="F321" s="50" t="s">
        <v>146</v>
      </c>
      <c r="G321" s="50" t="s">
        <v>146</v>
      </c>
      <c r="H321" s="49" t="str">
        <f aca="false">IF(CARGA_DIARIA!A321="","",C321-D321-E321)</f>
        <v/>
      </c>
    </row>
    <row r="322" customFormat="false" ht="15.75" hidden="false" customHeight="true" outlineLevel="0" collapsed="false">
      <c r="A322" s="44" t="str">
        <f aca="false">IF(CARGA_DIARIA!A322="","",CARGA_DIARIA!A322)</f>
        <v/>
      </c>
      <c r="B322" s="45" t="str">
        <f aca="false">IF(CARGA_DIARIA!A322="","",CARGA_DIARIA!B322)</f>
        <v/>
      </c>
      <c r="C322" s="46" t="str">
        <f aca="false"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47" t="str">
        <f aca="false"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47" t="str">
        <f aca="false">IF(CARGA_DIARIA!A322="","",IF(CARGA_DIARIA!B322=0,0,(CARGA_DIARIA!X322+CARGA_DIARIA!Y322+CARGA_DIARIA!Z322+CARGA_DIARIA!AA322)/CARGA_DIARIA!B322+CARGA_DIARIA!AB322+CARGA_DIARIA!AC322+CARGA_DIARIA!AD322+CARGA_DIARIA!AE322))</f>
        <v/>
      </c>
      <c r="F322" s="50" t="s">
        <v>146</v>
      </c>
      <c r="G322" s="50" t="s">
        <v>146</v>
      </c>
      <c r="H322" s="49" t="str">
        <f aca="false">IF(CARGA_DIARIA!A322="","",C322-D322-E322)</f>
        <v/>
      </c>
    </row>
    <row r="323" customFormat="false" ht="15.75" hidden="false" customHeight="true" outlineLevel="0" collapsed="false">
      <c r="A323" s="44" t="str">
        <f aca="false">IF(CARGA_DIARIA!A323="","",CARGA_DIARIA!A323)</f>
        <v/>
      </c>
      <c r="B323" s="45" t="str">
        <f aca="false">IF(CARGA_DIARIA!A323="","",CARGA_DIARIA!B323)</f>
        <v/>
      </c>
      <c r="C323" s="46" t="str">
        <f aca="false"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47" t="str">
        <f aca="false"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47" t="str">
        <f aca="false">IF(CARGA_DIARIA!A323="","",IF(CARGA_DIARIA!B323=0,0,(CARGA_DIARIA!X323+CARGA_DIARIA!Y323+CARGA_DIARIA!Z323+CARGA_DIARIA!AA323)/CARGA_DIARIA!B323+CARGA_DIARIA!AB323+CARGA_DIARIA!AC323+CARGA_DIARIA!AD323+CARGA_DIARIA!AE323))</f>
        <v/>
      </c>
      <c r="F323" s="50" t="s">
        <v>146</v>
      </c>
      <c r="G323" s="50" t="s">
        <v>146</v>
      </c>
      <c r="H323" s="49" t="str">
        <f aca="false">IF(CARGA_DIARIA!A323="","",C323-D323-E323)</f>
        <v/>
      </c>
    </row>
    <row r="324" customFormat="false" ht="15.75" hidden="false" customHeight="true" outlineLevel="0" collapsed="false">
      <c r="A324" s="44" t="str">
        <f aca="false">IF(CARGA_DIARIA!A324="","",CARGA_DIARIA!A324)</f>
        <v/>
      </c>
      <c r="B324" s="45" t="str">
        <f aca="false">IF(CARGA_DIARIA!A324="","",CARGA_DIARIA!B324)</f>
        <v/>
      </c>
      <c r="C324" s="46" t="str">
        <f aca="false"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47" t="str">
        <f aca="false"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47" t="str">
        <f aca="false">IF(CARGA_DIARIA!A324="","",IF(CARGA_DIARIA!B324=0,0,(CARGA_DIARIA!X324+CARGA_DIARIA!Y324+CARGA_DIARIA!Z324+CARGA_DIARIA!AA324)/CARGA_DIARIA!B324+CARGA_DIARIA!AB324+CARGA_DIARIA!AC324+CARGA_DIARIA!AD324+CARGA_DIARIA!AE324))</f>
        <v/>
      </c>
      <c r="F324" s="50" t="s">
        <v>146</v>
      </c>
      <c r="G324" s="50" t="s">
        <v>146</v>
      </c>
      <c r="H324" s="49" t="str">
        <f aca="false">IF(CARGA_DIARIA!A324="","",C324-D324-E324)</f>
        <v/>
      </c>
    </row>
    <row r="325" customFormat="false" ht="15.75" hidden="false" customHeight="true" outlineLevel="0" collapsed="false">
      <c r="A325" s="44" t="str">
        <f aca="false">IF(CARGA_DIARIA!A325="","",CARGA_DIARIA!A325)</f>
        <v/>
      </c>
      <c r="B325" s="45" t="str">
        <f aca="false">IF(CARGA_DIARIA!A325="","",CARGA_DIARIA!B325)</f>
        <v/>
      </c>
      <c r="C325" s="46" t="str">
        <f aca="false"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47" t="str">
        <f aca="false"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47" t="str">
        <f aca="false">IF(CARGA_DIARIA!A325="","",IF(CARGA_DIARIA!B325=0,0,(CARGA_DIARIA!X325+CARGA_DIARIA!Y325+CARGA_DIARIA!Z325+CARGA_DIARIA!AA325)/CARGA_DIARIA!B325+CARGA_DIARIA!AB325+CARGA_DIARIA!AC325+CARGA_DIARIA!AD325+CARGA_DIARIA!AE325))</f>
        <v/>
      </c>
      <c r="F325" s="50" t="s">
        <v>146</v>
      </c>
      <c r="G325" s="50" t="s">
        <v>146</v>
      </c>
      <c r="H325" s="49" t="str">
        <f aca="false">IF(CARGA_DIARIA!A325="","",C325-D325-E325)</f>
        <v/>
      </c>
    </row>
    <row r="326" customFormat="false" ht="15.75" hidden="false" customHeight="true" outlineLevel="0" collapsed="false">
      <c r="A326" s="44" t="str">
        <f aca="false">IF(CARGA_DIARIA!A326="","",CARGA_DIARIA!A326)</f>
        <v/>
      </c>
      <c r="B326" s="45" t="str">
        <f aca="false">IF(CARGA_DIARIA!A326="","",CARGA_DIARIA!B326)</f>
        <v/>
      </c>
      <c r="C326" s="46" t="str">
        <f aca="false"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47" t="str">
        <f aca="false"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47" t="str">
        <f aca="false">IF(CARGA_DIARIA!A326="","",IF(CARGA_DIARIA!B326=0,0,(CARGA_DIARIA!X326+CARGA_DIARIA!Y326+CARGA_DIARIA!Z326+CARGA_DIARIA!AA326)/CARGA_DIARIA!B326+CARGA_DIARIA!AB326+CARGA_DIARIA!AC326+CARGA_DIARIA!AD326+CARGA_DIARIA!AE326))</f>
        <v/>
      </c>
      <c r="F326" s="50" t="s">
        <v>146</v>
      </c>
      <c r="G326" s="50" t="s">
        <v>146</v>
      </c>
      <c r="H326" s="49" t="str">
        <f aca="false">IF(CARGA_DIARIA!A326="","",C326-D326-E326)</f>
        <v/>
      </c>
    </row>
    <row r="327" customFormat="false" ht="15.75" hidden="false" customHeight="true" outlineLevel="0" collapsed="false">
      <c r="A327" s="44" t="str">
        <f aca="false">IF(CARGA_DIARIA!A327="","",CARGA_DIARIA!A327)</f>
        <v/>
      </c>
      <c r="B327" s="45" t="str">
        <f aca="false">IF(CARGA_DIARIA!A327="","",CARGA_DIARIA!B327)</f>
        <v/>
      </c>
      <c r="C327" s="46" t="str">
        <f aca="false"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47" t="str">
        <f aca="false"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47" t="str">
        <f aca="false">IF(CARGA_DIARIA!A327="","",IF(CARGA_DIARIA!B327=0,0,(CARGA_DIARIA!X327+CARGA_DIARIA!Y327+CARGA_DIARIA!Z327+CARGA_DIARIA!AA327)/CARGA_DIARIA!B327+CARGA_DIARIA!AB327+CARGA_DIARIA!AC327+CARGA_DIARIA!AD327+CARGA_DIARIA!AE327))</f>
        <v/>
      </c>
      <c r="F327" s="50" t="s">
        <v>146</v>
      </c>
      <c r="G327" s="50" t="s">
        <v>146</v>
      </c>
      <c r="H327" s="49" t="str">
        <f aca="false">IF(CARGA_DIARIA!A327="","",C327-D327-E327)</f>
        <v/>
      </c>
    </row>
    <row r="328" customFormat="false" ht="15.75" hidden="false" customHeight="true" outlineLevel="0" collapsed="false">
      <c r="A328" s="44" t="str">
        <f aca="false">IF(CARGA_DIARIA!A328="","",CARGA_DIARIA!A328)</f>
        <v/>
      </c>
      <c r="B328" s="45" t="str">
        <f aca="false">IF(CARGA_DIARIA!A328="","",CARGA_DIARIA!B328)</f>
        <v/>
      </c>
      <c r="C328" s="46" t="str">
        <f aca="false"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47" t="str">
        <f aca="false"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47" t="str">
        <f aca="false">IF(CARGA_DIARIA!A328="","",IF(CARGA_DIARIA!B328=0,0,(CARGA_DIARIA!X328+CARGA_DIARIA!Y328+CARGA_DIARIA!Z328+CARGA_DIARIA!AA328)/CARGA_DIARIA!B328+CARGA_DIARIA!AB328+CARGA_DIARIA!AC328+CARGA_DIARIA!AD328+CARGA_DIARIA!AE328))</f>
        <v/>
      </c>
      <c r="F328" s="50" t="s">
        <v>146</v>
      </c>
      <c r="G328" s="50" t="s">
        <v>146</v>
      </c>
      <c r="H328" s="49" t="str">
        <f aca="false">IF(CARGA_DIARIA!A328="","",C328-D328-E328)</f>
        <v/>
      </c>
    </row>
    <row r="329" customFormat="false" ht="15.75" hidden="false" customHeight="true" outlineLevel="0" collapsed="false">
      <c r="A329" s="44" t="str">
        <f aca="false">IF(CARGA_DIARIA!A329="","",CARGA_DIARIA!A329)</f>
        <v/>
      </c>
      <c r="B329" s="45" t="str">
        <f aca="false">IF(CARGA_DIARIA!A329="","",CARGA_DIARIA!B329)</f>
        <v/>
      </c>
      <c r="C329" s="46" t="str">
        <f aca="false"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47" t="str">
        <f aca="false"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47" t="str">
        <f aca="false">IF(CARGA_DIARIA!A329="","",IF(CARGA_DIARIA!B329=0,0,(CARGA_DIARIA!X329+CARGA_DIARIA!Y329+CARGA_DIARIA!Z329+CARGA_DIARIA!AA329)/CARGA_DIARIA!B329+CARGA_DIARIA!AB329+CARGA_DIARIA!AC329+CARGA_DIARIA!AD329+CARGA_DIARIA!AE329))</f>
        <v/>
      </c>
      <c r="F329" s="50" t="s">
        <v>146</v>
      </c>
      <c r="G329" s="50" t="s">
        <v>146</v>
      </c>
      <c r="H329" s="49" t="str">
        <f aca="false">IF(CARGA_DIARIA!A329="","",C329-D329-E329)</f>
        <v/>
      </c>
    </row>
    <row r="330" customFormat="false" ht="15.75" hidden="false" customHeight="true" outlineLevel="0" collapsed="false">
      <c r="A330" s="44" t="str">
        <f aca="false">IF(CARGA_DIARIA!A330="","",CARGA_DIARIA!A330)</f>
        <v/>
      </c>
      <c r="B330" s="45" t="str">
        <f aca="false">IF(CARGA_DIARIA!A330="","",CARGA_DIARIA!B330)</f>
        <v/>
      </c>
      <c r="C330" s="46" t="str">
        <f aca="false"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47" t="str">
        <f aca="false"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47" t="str">
        <f aca="false">IF(CARGA_DIARIA!A330="","",IF(CARGA_DIARIA!B330=0,0,(CARGA_DIARIA!X330+CARGA_DIARIA!Y330+CARGA_DIARIA!Z330+CARGA_DIARIA!AA330)/CARGA_DIARIA!B330+CARGA_DIARIA!AB330+CARGA_DIARIA!AC330+CARGA_DIARIA!AD330+CARGA_DIARIA!AE330))</f>
        <v/>
      </c>
      <c r="F330" s="50" t="s">
        <v>146</v>
      </c>
      <c r="G330" s="50" t="s">
        <v>146</v>
      </c>
      <c r="H330" s="49" t="str">
        <f aca="false">IF(CARGA_DIARIA!A330="","",C330-D330-E330)</f>
        <v/>
      </c>
    </row>
    <row r="331" customFormat="false" ht="15.75" hidden="false" customHeight="true" outlineLevel="0" collapsed="false">
      <c r="A331" s="44" t="str">
        <f aca="false">IF(CARGA_DIARIA!A331="","",CARGA_DIARIA!A331)</f>
        <v/>
      </c>
      <c r="B331" s="45" t="str">
        <f aca="false">IF(CARGA_DIARIA!A331="","",CARGA_DIARIA!B331)</f>
        <v/>
      </c>
      <c r="C331" s="46" t="str">
        <f aca="false"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47" t="str">
        <f aca="false"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47" t="str">
        <f aca="false">IF(CARGA_DIARIA!A331="","",IF(CARGA_DIARIA!B331=0,0,(CARGA_DIARIA!X331+CARGA_DIARIA!Y331+CARGA_DIARIA!Z331+CARGA_DIARIA!AA331)/CARGA_DIARIA!B331+CARGA_DIARIA!AB331+CARGA_DIARIA!AC331+CARGA_DIARIA!AD331+CARGA_DIARIA!AE331))</f>
        <v/>
      </c>
      <c r="F331" s="50" t="s">
        <v>146</v>
      </c>
      <c r="G331" s="50" t="s">
        <v>146</v>
      </c>
      <c r="H331" s="49" t="str">
        <f aca="false">IF(CARGA_DIARIA!A331="","",C331-D331-E331)</f>
        <v/>
      </c>
    </row>
    <row r="332" customFormat="false" ht="15.75" hidden="false" customHeight="true" outlineLevel="0" collapsed="false">
      <c r="A332" s="44" t="str">
        <f aca="false">IF(CARGA_DIARIA!A332="","",CARGA_DIARIA!A332)</f>
        <v/>
      </c>
      <c r="B332" s="45" t="str">
        <f aca="false">IF(CARGA_DIARIA!A332="","",CARGA_DIARIA!B332)</f>
        <v/>
      </c>
      <c r="C332" s="46" t="str">
        <f aca="false"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47" t="str">
        <f aca="false"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47" t="str">
        <f aca="false">IF(CARGA_DIARIA!A332="","",IF(CARGA_DIARIA!B332=0,0,(CARGA_DIARIA!X332+CARGA_DIARIA!Y332+CARGA_DIARIA!Z332+CARGA_DIARIA!AA332)/CARGA_DIARIA!B332+CARGA_DIARIA!AB332+CARGA_DIARIA!AC332+CARGA_DIARIA!AD332+CARGA_DIARIA!AE332))</f>
        <v/>
      </c>
      <c r="F332" s="50" t="s">
        <v>146</v>
      </c>
      <c r="G332" s="50" t="s">
        <v>146</v>
      </c>
      <c r="H332" s="49" t="str">
        <f aca="false">IF(CARGA_DIARIA!A332="","",C332-D332-E332)</f>
        <v/>
      </c>
    </row>
    <row r="333" customFormat="false" ht="15.75" hidden="false" customHeight="true" outlineLevel="0" collapsed="false">
      <c r="A333" s="44" t="str">
        <f aca="false">IF(CARGA_DIARIA!A333="","",CARGA_DIARIA!A333)</f>
        <v/>
      </c>
      <c r="B333" s="45" t="str">
        <f aca="false">IF(CARGA_DIARIA!A333="","",CARGA_DIARIA!B333)</f>
        <v/>
      </c>
      <c r="C333" s="46" t="str">
        <f aca="false"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47" t="str">
        <f aca="false"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47" t="str">
        <f aca="false">IF(CARGA_DIARIA!A333="","",IF(CARGA_DIARIA!B333=0,0,(CARGA_DIARIA!X333+CARGA_DIARIA!Y333+CARGA_DIARIA!Z333+CARGA_DIARIA!AA333)/CARGA_DIARIA!B333+CARGA_DIARIA!AB333+CARGA_DIARIA!AC333+CARGA_DIARIA!AD333+CARGA_DIARIA!AE333))</f>
        <v/>
      </c>
      <c r="F333" s="50" t="s">
        <v>146</v>
      </c>
      <c r="G333" s="50" t="s">
        <v>146</v>
      </c>
      <c r="H333" s="49" t="str">
        <f aca="false">IF(CARGA_DIARIA!A333="","",C333-D333-E333)</f>
        <v/>
      </c>
    </row>
    <row r="334" customFormat="false" ht="15.75" hidden="false" customHeight="true" outlineLevel="0" collapsed="false">
      <c r="A334" s="44" t="str">
        <f aca="false">IF(CARGA_DIARIA!A334="","",CARGA_DIARIA!A334)</f>
        <v/>
      </c>
      <c r="B334" s="45" t="str">
        <f aca="false">IF(CARGA_DIARIA!A334="","",CARGA_DIARIA!B334)</f>
        <v/>
      </c>
      <c r="C334" s="46" t="str">
        <f aca="false"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47" t="str">
        <f aca="false"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47" t="str">
        <f aca="false">IF(CARGA_DIARIA!A334="","",IF(CARGA_DIARIA!B334=0,0,(CARGA_DIARIA!X334+CARGA_DIARIA!Y334+CARGA_DIARIA!Z334+CARGA_DIARIA!AA334)/CARGA_DIARIA!B334+CARGA_DIARIA!AB334+CARGA_DIARIA!AC334+CARGA_DIARIA!AD334+CARGA_DIARIA!AE334))</f>
        <v/>
      </c>
      <c r="F334" s="50" t="s">
        <v>146</v>
      </c>
      <c r="G334" s="50" t="s">
        <v>146</v>
      </c>
      <c r="H334" s="49" t="str">
        <f aca="false">IF(CARGA_DIARIA!A334="","",C334-D334-E334)</f>
        <v/>
      </c>
    </row>
    <row r="335" customFormat="false" ht="15.75" hidden="false" customHeight="true" outlineLevel="0" collapsed="false">
      <c r="A335" s="44" t="str">
        <f aca="false">IF(CARGA_DIARIA!A335="","",CARGA_DIARIA!A335)</f>
        <v/>
      </c>
      <c r="B335" s="45" t="str">
        <f aca="false">IF(CARGA_DIARIA!A335="","",CARGA_DIARIA!B335)</f>
        <v/>
      </c>
      <c r="C335" s="46" t="str">
        <f aca="false"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47" t="str">
        <f aca="false"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47" t="str">
        <f aca="false">IF(CARGA_DIARIA!A335="","",IF(CARGA_DIARIA!B335=0,0,(CARGA_DIARIA!X335+CARGA_DIARIA!Y335+CARGA_DIARIA!Z335+CARGA_DIARIA!AA335)/CARGA_DIARIA!B335+CARGA_DIARIA!AB335+CARGA_DIARIA!AC335+CARGA_DIARIA!AD335+CARGA_DIARIA!AE335))</f>
        <v/>
      </c>
      <c r="F335" s="50" t="s">
        <v>146</v>
      </c>
      <c r="G335" s="50" t="s">
        <v>146</v>
      </c>
      <c r="H335" s="49" t="str">
        <f aca="false">IF(CARGA_DIARIA!A335="","",C335-D335-E335)</f>
        <v/>
      </c>
    </row>
    <row r="336" customFormat="false" ht="15.75" hidden="false" customHeight="true" outlineLevel="0" collapsed="false">
      <c r="A336" s="44" t="str">
        <f aca="false">IF(CARGA_DIARIA!A336="","",CARGA_DIARIA!A336)</f>
        <v/>
      </c>
      <c r="B336" s="45" t="str">
        <f aca="false">IF(CARGA_DIARIA!A336="","",CARGA_DIARIA!B336)</f>
        <v/>
      </c>
      <c r="C336" s="46" t="str">
        <f aca="false"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47" t="str">
        <f aca="false"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47" t="str">
        <f aca="false">IF(CARGA_DIARIA!A336="","",IF(CARGA_DIARIA!B336=0,0,(CARGA_DIARIA!X336+CARGA_DIARIA!Y336+CARGA_DIARIA!Z336+CARGA_DIARIA!AA336)/CARGA_DIARIA!B336+CARGA_DIARIA!AB336+CARGA_DIARIA!AC336+CARGA_DIARIA!AD336+CARGA_DIARIA!AE336))</f>
        <v/>
      </c>
      <c r="F336" s="50" t="s">
        <v>146</v>
      </c>
      <c r="G336" s="50" t="s">
        <v>146</v>
      </c>
      <c r="H336" s="49" t="str">
        <f aca="false">IF(CARGA_DIARIA!A336="","",C336-D336-E336)</f>
        <v/>
      </c>
    </row>
    <row r="337" customFormat="false" ht="15.75" hidden="false" customHeight="true" outlineLevel="0" collapsed="false">
      <c r="A337" s="44" t="str">
        <f aca="false">IF(CARGA_DIARIA!A337="","",CARGA_DIARIA!A337)</f>
        <v/>
      </c>
      <c r="B337" s="45" t="str">
        <f aca="false">IF(CARGA_DIARIA!A337="","",CARGA_DIARIA!B337)</f>
        <v/>
      </c>
      <c r="C337" s="46" t="str">
        <f aca="false"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47" t="str">
        <f aca="false"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47" t="str">
        <f aca="false">IF(CARGA_DIARIA!A337="","",IF(CARGA_DIARIA!B337=0,0,(CARGA_DIARIA!X337+CARGA_DIARIA!Y337+CARGA_DIARIA!Z337+CARGA_DIARIA!AA337)/CARGA_DIARIA!B337+CARGA_DIARIA!AB337+CARGA_DIARIA!AC337+CARGA_DIARIA!AD337+CARGA_DIARIA!AE337))</f>
        <v/>
      </c>
      <c r="F337" s="50" t="s">
        <v>146</v>
      </c>
      <c r="G337" s="50" t="s">
        <v>146</v>
      </c>
      <c r="H337" s="49" t="str">
        <f aca="false">IF(CARGA_DIARIA!A337="","",C337-D337-E337)</f>
        <v/>
      </c>
    </row>
    <row r="338" customFormat="false" ht="15.75" hidden="false" customHeight="true" outlineLevel="0" collapsed="false">
      <c r="A338" s="44" t="str">
        <f aca="false">IF(CARGA_DIARIA!A338="","",CARGA_DIARIA!A338)</f>
        <v/>
      </c>
      <c r="B338" s="45" t="str">
        <f aca="false">IF(CARGA_DIARIA!A338="","",CARGA_DIARIA!B338)</f>
        <v/>
      </c>
      <c r="C338" s="46" t="str">
        <f aca="false"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47" t="str">
        <f aca="false"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47" t="str">
        <f aca="false">IF(CARGA_DIARIA!A338="","",IF(CARGA_DIARIA!B338=0,0,(CARGA_DIARIA!X338+CARGA_DIARIA!Y338+CARGA_DIARIA!Z338+CARGA_DIARIA!AA338)/CARGA_DIARIA!B338+CARGA_DIARIA!AB338+CARGA_DIARIA!AC338+CARGA_DIARIA!AD338+CARGA_DIARIA!AE338))</f>
        <v/>
      </c>
      <c r="F338" s="50" t="s">
        <v>146</v>
      </c>
      <c r="G338" s="50" t="s">
        <v>146</v>
      </c>
      <c r="H338" s="49" t="str">
        <f aca="false">IF(CARGA_DIARIA!A338="","",C338-D338-E338)</f>
        <v/>
      </c>
    </row>
    <row r="339" customFormat="false" ht="15.75" hidden="false" customHeight="true" outlineLevel="0" collapsed="false">
      <c r="A339" s="44" t="str">
        <f aca="false">IF(CARGA_DIARIA!A339="","",CARGA_DIARIA!A339)</f>
        <v/>
      </c>
      <c r="B339" s="45" t="str">
        <f aca="false">IF(CARGA_DIARIA!A339="","",CARGA_DIARIA!B339)</f>
        <v/>
      </c>
      <c r="C339" s="46" t="str">
        <f aca="false"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47" t="str">
        <f aca="false"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47" t="str">
        <f aca="false">IF(CARGA_DIARIA!A339="","",IF(CARGA_DIARIA!B339=0,0,(CARGA_DIARIA!X339+CARGA_DIARIA!Y339+CARGA_DIARIA!Z339+CARGA_DIARIA!AA339)/CARGA_DIARIA!B339+CARGA_DIARIA!AB339+CARGA_DIARIA!AC339+CARGA_DIARIA!AD339+CARGA_DIARIA!AE339))</f>
        <v/>
      </c>
      <c r="F339" s="50" t="s">
        <v>146</v>
      </c>
      <c r="G339" s="50" t="s">
        <v>146</v>
      </c>
      <c r="H339" s="49" t="str">
        <f aca="false">IF(CARGA_DIARIA!A339="","",C339-D339-E339)</f>
        <v/>
      </c>
    </row>
    <row r="340" customFormat="false" ht="15.75" hidden="false" customHeight="true" outlineLevel="0" collapsed="false">
      <c r="A340" s="44" t="str">
        <f aca="false">IF(CARGA_DIARIA!A340="","",CARGA_DIARIA!A340)</f>
        <v/>
      </c>
      <c r="B340" s="45" t="str">
        <f aca="false">IF(CARGA_DIARIA!A340="","",CARGA_DIARIA!B340)</f>
        <v/>
      </c>
      <c r="C340" s="46" t="str">
        <f aca="false"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47" t="str">
        <f aca="false"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47" t="str">
        <f aca="false">IF(CARGA_DIARIA!A340="","",IF(CARGA_DIARIA!B340=0,0,(CARGA_DIARIA!X340+CARGA_DIARIA!Y340+CARGA_DIARIA!Z340+CARGA_DIARIA!AA340)/CARGA_DIARIA!B340+CARGA_DIARIA!AB340+CARGA_DIARIA!AC340+CARGA_DIARIA!AD340+CARGA_DIARIA!AE340))</f>
        <v/>
      </c>
      <c r="F340" s="50" t="s">
        <v>146</v>
      </c>
      <c r="G340" s="50" t="s">
        <v>146</v>
      </c>
      <c r="H340" s="49" t="str">
        <f aca="false">IF(CARGA_DIARIA!A340="","",C340-D340-E340)</f>
        <v/>
      </c>
    </row>
    <row r="341" customFormat="false" ht="15.75" hidden="false" customHeight="true" outlineLevel="0" collapsed="false">
      <c r="A341" s="44" t="str">
        <f aca="false">IF(CARGA_DIARIA!A341="","",CARGA_DIARIA!A341)</f>
        <v/>
      </c>
      <c r="B341" s="45" t="str">
        <f aca="false">IF(CARGA_DIARIA!A341="","",CARGA_DIARIA!B341)</f>
        <v/>
      </c>
      <c r="C341" s="46" t="str">
        <f aca="false"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47" t="str">
        <f aca="false"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47" t="str">
        <f aca="false">IF(CARGA_DIARIA!A341="","",IF(CARGA_DIARIA!B341=0,0,(CARGA_DIARIA!X341+CARGA_DIARIA!Y341+CARGA_DIARIA!Z341+CARGA_DIARIA!AA341)/CARGA_DIARIA!B341+CARGA_DIARIA!AB341+CARGA_DIARIA!AC341+CARGA_DIARIA!AD341+CARGA_DIARIA!AE341))</f>
        <v/>
      </c>
      <c r="F341" s="50" t="s">
        <v>146</v>
      </c>
      <c r="G341" s="50" t="s">
        <v>146</v>
      </c>
      <c r="H341" s="49" t="str">
        <f aca="false">IF(CARGA_DIARIA!A341="","",C341-D341-E341)</f>
        <v/>
      </c>
    </row>
    <row r="342" customFormat="false" ht="15.75" hidden="false" customHeight="true" outlineLevel="0" collapsed="false">
      <c r="A342" s="44" t="str">
        <f aca="false">IF(CARGA_DIARIA!A342="","",CARGA_DIARIA!A342)</f>
        <v/>
      </c>
      <c r="B342" s="45" t="str">
        <f aca="false">IF(CARGA_DIARIA!A342="","",CARGA_DIARIA!B342)</f>
        <v/>
      </c>
      <c r="C342" s="46" t="str">
        <f aca="false"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47" t="str">
        <f aca="false"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47" t="str">
        <f aca="false">IF(CARGA_DIARIA!A342="","",IF(CARGA_DIARIA!B342=0,0,(CARGA_DIARIA!X342+CARGA_DIARIA!Y342+CARGA_DIARIA!Z342+CARGA_DIARIA!AA342)/CARGA_DIARIA!B342+CARGA_DIARIA!AB342+CARGA_DIARIA!AC342+CARGA_DIARIA!AD342+CARGA_DIARIA!AE342))</f>
        <v/>
      </c>
      <c r="F342" s="50" t="s">
        <v>146</v>
      </c>
      <c r="G342" s="50" t="s">
        <v>146</v>
      </c>
      <c r="H342" s="49" t="str">
        <f aca="false">IF(CARGA_DIARIA!A342="","",C342-D342-E342)</f>
        <v/>
      </c>
    </row>
    <row r="343" customFormat="false" ht="15.75" hidden="false" customHeight="true" outlineLevel="0" collapsed="false">
      <c r="A343" s="44" t="str">
        <f aca="false">IF(CARGA_DIARIA!A343="","",CARGA_DIARIA!A343)</f>
        <v/>
      </c>
      <c r="B343" s="45" t="str">
        <f aca="false">IF(CARGA_DIARIA!A343="","",CARGA_DIARIA!B343)</f>
        <v/>
      </c>
      <c r="C343" s="46" t="str">
        <f aca="false"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47" t="str">
        <f aca="false"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47" t="str">
        <f aca="false">IF(CARGA_DIARIA!A343="","",IF(CARGA_DIARIA!B343=0,0,(CARGA_DIARIA!X343+CARGA_DIARIA!Y343+CARGA_DIARIA!Z343+CARGA_DIARIA!AA343)/CARGA_DIARIA!B343+CARGA_DIARIA!AB343+CARGA_DIARIA!AC343+CARGA_DIARIA!AD343+CARGA_DIARIA!AE343))</f>
        <v/>
      </c>
      <c r="F343" s="50" t="s">
        <v>146</v>
      </c>
      <c r="G343" s="50" t="s">
        <v>146</v>
      </c>
      <c r="H343" s="49" t="str">
        <f aca="false">IF(CARGA_DIARIA!A343="","",C343-D343-E343)</f>
        <v/>
      </c>
    </row>
    <row r="344" customFormat="false" ht="15.75" hidden="false" customHeight="true" outlineLevel="0" collapsed="false">
      <c r="A344" s="44" t="str">
        <f aca="false">IF(CARGA_DIARIA!A344="","",CARGA_DIARIA!A344)</f>
        <v/>
      </c>
      <c r="B344" s="45" t="str">
        <f aca="false">IF(CARGA_DIARIA!A344="","",CARGA_DIARIA!B344)</f>
        <v/>
      </c>
      <c r="C344" s="46" t="str">
        <f aca="false"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47" t="str">
        <f aca="false"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47" t="str">
        <f aca="false">IF(CARGA_DIARIA!A344="","",IF(CARGA_DIARIA!B344=0,0,(CARGA_DIARIA!X344+CARGA_DIARIA!Y344+CARGA_DIARIA!Z344+CARGA_DIARIA!AA344)/CARGA_DIARIA!B344+CARGA_DIARIA!AB344+CARGA_DIARIA!AC344+CARGA_DIARIA!AD344+CARGA_DIARIA!AE344))</f>
        <v/>
      </c>
      <c r="F344" s="50" t="s">
        <v>146</v>
      </c>
      <c r="G344" s="50" t="s">
        <v>146</v>
      </c>
      <c r="H344" s="49" t="str">
        <f aca="false">IF(CARGA_DIARIA!A344="","",C344-D344-E344)</f>
        <v/>
      </c>
    </row>
    <row r="345" customFormat="false" ht="15.75" hidden="false" customHeight="true" outlineLevel="0" collapsed="false">
      <c r="A345" s="44" t="str">
        <f aca="false">IF(CARGA_DIARIA!A345="","",CARGA_DIARIA!A345)</f>
        <v/>
      </c>
      <c r="B345" s="45" t="str">
        <f aca="false">IF(CARGA_DIARIA!A345="","",CARGA_DIARIA!B345)</f>
        <v/>
      </c>
      <c r="C345" s="46" t="str">
        <f aca="false"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47" t="str">
        <f aca="false"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47" t="str">
        <f aca="false">IF(CARGA_DIARIA!A345="","",IF(CARGA_DIARIA!B345=0,0,(CARGA_DIARIA!X345+CARGA_DIARIA!Y345+CARGA_DIARIA!Z345+CARGA_DIARIA!AA345)/CARGA_DIARIA!B345+CARGA_DIARIA!AB345+CARGA_DIARIA!AC345+CARGA_DIARIA!AD345+CARGA_DIARIA!AE345))</f>
        <v/>
      </c>
      <c r="F345" s="50" t="s">
        <v>146</v>
      </c>
      <c r="G345" s="50" t="s">
        <v>146</v>
      </c>
      <c r="H345" s="49" t="str">
        <f aca="false">IF(CARGA_DIARIA!A345="","",C345-D345-E345)</f>
        <v/>
      </c>
    </row>
    <row r="346" customFormat="false" ht="15.75" hidden="false" customHeight="true" outlineLevel="0" collapsed="false">
      <c r="A346" s="44" t="str">
        <f aca="false">IF(CARGA_DIARIA!A346="","",CARGA_DIARIA!A346)</f>
        <v/>
      </c>
      <c r="B346" s="45" t="str">
        <f aca="false">IF(CARGA_DIARIA!A346="","",CARGA_DIARIA!B346)</f>
        <v/>
      </c>
      <c r="C346" s="46" t="str">
        <f aca="false"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47" t="str">
        <f aca="false"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47" t="str">
        <f aca="false">IF(CARGA_DIARIA!A346="","",IF(CARGA_DIARIA!B346=0,0,(CARGA_DIARIA!X346+CARGA_DIARIA!Y346+CARGA_DIARIA!Z346+CARGA_DIARIA!AA346)/CARGA_DIARIA!B346+CARGA_DIARIA!AB346+CARGA_DIARIA!AC346+CARGA_DIARIA!AD346+CARGA_DIARIA!AE346))</f>
        <v/>
      </c>
      <c r="F346" s="50" t="s">
        <v>146</v>
      </c>
      <c r="G346" s="50" t="s">
        <v>146</v>
      </c>
      <c r="H346" s="49" t="str">
        <f aca="false">IF(CARGA_DIARIA!A346="","",C346-D346-E346)</f>
        <v/>
      </c>
    </row>
    <row r="347" customFormat="false" ht="15.75" hidden="false" customHeight="true" outlineLevel="0" collapsed="false">
      <c r="A347" s="44" t="str">
        <f aca="false">IF(CARGA_DIARIA!A347="","",CARGA_DIARIA!A347)</f>
        <v/>
      </c>
      <c r="B347" s="45" t="str">
        <f aca="false">IF(CARGA_DIARIA!A347="","",CARGA_DIARIA!B347)</f>
        <v/>
      </c>
      <c r="C347" s="46" t="str">
        <f aca="false"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47" t="str">
        <f aca="false"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47" t="str">
        <f aca="false">IF(CARGA_DIARIA!A347="","",IF(CARGA_DIARIA!B347=0,0,(CARGA_DIARIA!X347+CARGA_DIARIA!Y347+CARGA_DIARIA!Z347+CARGA_DIARIA!AA347)/CARGA_DIARIA!B347+CARGA_DIARIA!AB347+CARGA_DIARIA!AC347+CARGA_DIARIA!AD347+CARGA_DIARIA!AE347))</f>
        <v/>
      </c>
      <c r="F347" s="50" t="s">
        <v>146</v>
      </c>
      <c r="G347" s="50" t="s">
        <v>146</v>
      </c>
      <c r="H347" s="49" t="str">
        <f aca="false">IF(CARGA_DIARIA!A347="","",C347-D347-E347)</f>
        <v/>
      </c>
    </row>
    <row r="348" customFormat="false" ht="15.75" hidden="false" customHeight="true" outlineLevel="0" collapsed="false">
      <c r="A348" s="44" t="str">
        <f aca="false">IF(CARGA_DIARIA!A348="","",CARGA_DIARIA!A348)</f>
        <v/>
      </c>
      <c r="B348" s="45" t="str">
        <f aca="false">IF(CARGA_DIARIA!A348="","",CARGA_DIARIA!B348)</f>
        <v/>
      </c>
      <c r="C348" s="46" t="str">
        <f aca="false"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47" t="str">
        <f aca="false"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47" t="str">
        <f aca="false">IF(CARGA_DIARIA!A348="","",IF(CARGA_DIARIA!B348=0,0,(CARGA_DIARIA!X348+CARGA_DIARIA!Y348+CARGA_DIARIA!Z348+CARGA_DIARIA!AA348)/CARGA_DIARIA!B348+CARGA_DIARIA!AB348+CARGA_DIARIA!AC348+CARGA_DIARIA!AD348+CARGA_DIARIA!AE348))</f>
        <v/>
      </c>
      <c r="F348" s="50" t="s">
        <v>146</v>
      </c>
      <c r="G348" s="50" t="s">
        <v>146</v>
      </c>
      <c r="H348" s="49" t="str">
        <f aca="false">IF(CARGA_DIARIA!A348="","",C348-D348-E348)</f>
        <v/>
      </c>
    </row>
    <row r="349" customFormat="false" ht="15.75" hidden="false" customHeight="true" outlineLevel="0" collapsed="false">
      <c r="A349" s="44" t="str">
        <f aca="false">IF(CARGA_DIARIA!A349="","",CARGA_DIARIA!A349)</f>
        <v/>
      </c>
      <c r="B349" s="45" t="str">
        <f aca="false">IF(CARGA_DIARIA!A349="","",CARGA_DIARIA!B349)</f>
        <v/>
      </c>
      <c r="C349" s="46" t="str">
        <f aca="false"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47" t="str">
        <f aca="false"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47" t="str">
        <f aca="false">IF(CARGA_DIARIA!A349="","",IF(CARGA_DIARIA!B349=0,0,(CARGA_DIARIA!X349+CARGA_DIARIA!Y349+CARGA_DIARIA!Z349+CARGA_DIARIA!AA349)/CARGA_DIARIA!B349+CARGA_DIARIA!AB349+CARGA_DIARIA!AC349+CARGA_DIARIA!AD349+CARGA_DIARIA!AE349))</f>
        <v/>
      </c>
      <c r="F349" s="50" t="s">
        <v>146</v>
      </c>
      <c r="G349" s="50" t="s">
        <v>146</v>
      </c>
      <c r="H349" s="49" t="str">
        <f aca="false">IF(CARGA_DIARIA!A349="","",C349-D349-E349)</f>
        <v/>
      </c>
    </row>
    <row r="350" customFormat="false" ht="15.75" hidden="false" customHeight="true" outlineLevel="0" collapsed="false">
      <c r="A350" s="44" t="str">
        <f aca="false">IF(CARGA_DIARIA!A350="","",CARGA_DIARIA!A350)</f>
        <v/>
      </c>
      <c r="B350" s="45" t="str">
        <f aca="false">IF(CARGA_DIARIA!A350="","",CARGA_DIARIA!B350)</f>
        <v/>
      </c>
      <c r="C350" s="46" t="str">
        <f aca="false"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47" t="str">
        <f aca="false"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47" t="str">
        <f aca="false">IF(CARGA_DIARIA!A350="","",IF(CARGA_DIARIA!B350=0,0,(CARGA_DIARIA!X350+CARGA_DIARIA!Y350+CARGA_DIARIA!Z350+CARGA_DIARIA!AA350)/CARGA_DIARIA!B350+CARGA_DIARIA!AB350+CARGA_DIARIA!AC350+CARGA_DIARIA!AD350+CARGA_DIARIA!AE350))</f>
        <v/>
      </c>
      <c r="F350" s="50" t="s">
        <v>146</v>
      </c>
      <c r="G350" s="50" t="s">
        <v>146</v>
      </c>
      <c r="H350" s="49" t="str">
        <f aca="false">IF(CARGA_DIARIA!A350="","",C350-D350-E350)</f>
        <v/>
      </c>
    </row>
    <row r="351" customFormat="false" ht="15.75" hidden="false" customHeight="true" outlineLevel="0" collapsed="false">
      <c r="A351" s="44" t="str">
        <f aca="false">IF(CARGA_DIARIA!A351="","",CARGA_DIARIA!A351)</f>
        <v/>
      </c>
      <c r="B351" s="45" t="str">
        <f aca="false">IF(CARGA_DIARIA!A351="","",CARGA_DIARIA!B351)</f>
        <v/>
      </c>
      <c r="C351" s="46" t="str">
        <f aca="false"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47" t="str">
        <f aca="false"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47" t="str">
        <f aca="false">IF(CARGA_DIARIA!A351="","",IF(CARGA_DIARIA!B351=0,0,(CARGA_DIARIA!X351+CARGA_DIARIA!Y351+CARGA_DIARIA!Z351+CARGA_DIARIA!AA351)/CARGA_DIARIA!B351+CARGA_DIARIA!AB351+CARGA_DIARIA!AC351+CARGA_DIARIA!AD351+CARGA_DIARIA!AE351))</f>
        <v/>
      </c>
      <c r="F351" s="50" t="s">
        <v>146</v>
      </c>
      <c r="G351" s="50" t="s">
        <v>146</v>
      </c>
      <c r="H351" s="49" t="str">
        <f aca="false">IF(CARGA_DIARIA!A351="","",C351-D351-E351)</f>
        <v/>
      </c>
    </row>
    <row r="352" customFormat="false" ht="15.75" hidden="false" customHeight="true" outlineLevel="0" collapsed="false">
      <c r="A352" s="44" t="str">
        <f aca="false">IF(CARGA_DIARIA!A352="","",CARGA_DIARIA!A352)</f>
        <v/>
      </c>
      <c r="B352" s="45" t="str">
        <f aca="false">IF(CARGA_DIARIA!A352="","",CARGA_DIARIA!B352)</f>
        <v/>
      </c>
      <c r="C352" s="46" t="str">
        <f aca="false"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47" t="str">
        <f aca="false"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47" t="str">
        <f aca="false">IF(CARGA_DIARIA!A352="","",IF(CARGA_DIARIA!B352=0,0,(CARGA_DIARIA!X352+CARGA_DIARIA!Y352+CARGA_DIARIA!Z352+CARGA_DIARIA!AA352)/CARGA_DIARIA!B352+CARGA_DIARIA!AB352+CARGA_DIARIA!AC352+CARGA_DIARIA!AD352+CARGA_DIARIA!AE352))</f>
        <v/>
      </c>
      <c r="F352" s="50" t="s">
        <v>146</v>
      </c>
      <c r="G352" s="50" t="s">
        <v>146</v>
      </c>
      <c r="H352" s="49" t="str">
        <f aca="false">IF(CARGA_DIARIA!A352="","",C352-D352-E352)</f>
        <v/>
      </c>
    </row>
    <row r="353" customFormat="false" ht="15.75" hidden="false" customHeight="true" outlineLevel="0" collapsed="false">
      <c r="A353" s="44" t="str">
        <f aca="false">IF(CARGA_DIARIA!A353="","",CARGA_DIARIA!A353)</f>
        <v/>
      </c>
      <c r="B353" s="45" t="str">
        <f aca="false">IF(CARGA_DIARIA!A353="","",CARGA_DIARIA!B353)</f>
        <v/>
      </c>
      <c r="C353" s="46" t="str">
        <f aca="false"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47" t="str">
        <f aca="false"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47" t="str">
        <f aca="false">IF(CARGA_DIARIA!A353="","",IF(CARGA_DIARIA!B353=0,0,(CARGA_DIARIA!X353+CARGA_DIARIA!Y353+CARGA_DIARIA!Z353+CARGA_DIARIA!AA353)/CARGA_DIARIA!B353+CARGA_DIARIA!AB353+CARGA_DIARIA!AC353+CARGA_DIARIA!AD353+CARGA_DIARIA!AE353))</f>
        <v/>
      </c>
      <c r="F353" s="50" t="s">
        <v>146</v>
      </c>
      <c r="G353" s="50" t="s">
        <v>146</v>
      </c>
      <c r="H353" s="49" t="str">
        <f aca="false">IF(CARGA_DIARIA!A353="","",C353-D353-E353)</f>
        <v/>
      </c>
    </row>
    <row r="354" customFormat="false" ht="15.75" hidden="false" customHeight="true" outlineLevel="0" collapsed="false">
      <c r="A354" s="44" t="str">
        <f aca="false">IF(CARGA_DIARIA!A354="","",CARGA_DIARIA!A354)</f>
        <v/>
      </c>
      <c r="B354" s="45" t="str">
        <f aca="false">IF(CARGA_DIARIA!A354="","",CARGA_DIARIA!B354)</f>
        <v/>
      </c>
      <c r="C354" s="46" t="str">
        <f aca="false"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47" t="str">
        <f aca="false"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47" t="str">
        <f aca="false">IF(CARGA_DIARIA!A354="","",IF(CARGA_DIARIA!B354=0,0,(CARGA_DIARIA!X354+CARGA_DIARIA!Y354+CARGA_DIARIA!Z354+CARGA_DIARIA!AA354)/CARGA_DIARIA!B354+CARGA_DIARIA!AB354+CARGA_DIARIA!AC354+CARGA_DIARIA!AD354+CARGA_DIARIA!AE354))</f>
        <v/>
      </c>
      <c r="F354" s="50" t="s">
        <v>146</v>
      </c>
      <c r="G354" s="50" t="s">
        <v>146</v>
      </c>
      <c r="H354" s="49" t="str">
        <f aca="false">IF(CARGA_DIARIA!A354="","",C354-D354-E354)</f>
        <v/>
      </c>
    </row>
    <row r="355" customFormat="false" ht="15.75" hidden="false" customHeight="true" outlineLevel="0" collapsed="false">
      <c r="A355" s="44" t="str">
        <f aca="false">IF(CARGA_DIARIA!A355="","",CARGA_DIARIA!A355)</f>
        <v/>
      </c>
      <c r="B355" s="45" t="str">
        <f aca="false">IF(CARGA_DIARIA!A355="","",CARGA_DIARIA!B355)</f>
        <v/>
      </c>
      <c r="C355" s="46" t="str">
        <f aca="false"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47" t="str">
        <f aca="false"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47" t="str">
        <f aca="false">IF(CARGA_DIARIA!A355="","",IF(CARGA_DIARIA!B355=0,0,(CARGA_DIARIA!X355+CARGA_DIARIA!Y355+CARGA_DIARIA!Z355+CARGA_DIARIA!AA355)/CARGA_DIARIA!B355+CARGA_DIARIA!AB355+CARGA_DIARIA!AC355+CARGA_DIARIA!AD355+CARGA_DIARIA!AE355))</f>
        <v/>
      </c>
      <c r="F355" s="50" t="s">
        <v>146</v>
      </c>
      <c r="G355" s="50" t="s">
        <v>146</v>
      </c>
      <c r="H355" s="49" t="str">
        <f aca="false">IF(CARGA_DIARIA!A355="","",C355-D355-E355)</f>
        <v/>
      </c>
    </row>
    <row r="356" customFormat="false" ht="15.75" hidden="false" customHeight="true" outlineLevel="0" collapsed="false">
      <c r="A356" s="44" t="str">
        <f aca="false">IF(CARGA_DIARIA!A356="","",CARGA_DIARIA!A356)</f>
        <v/>
      </c>
      <c r="B356" s="45" t="str">
        <f aca="false">IF(CARGA_DIARIA!A356="","",CARGA_DIARIA!B356)</f>
        <v/>
      </c>
      <c r="C356" s="46" t="str">
        <f aca="false"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47" t="str">
        <f aca="false"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47" t="str">
        <f aca="false">IF(CARGA_DIARIA!A356="","",IF(CARGA_DIARIA!B356=0,0,(CARGA_DIARIA!X356+CARGA_DIARIA!Y356+CARGA_DIARIA!Z356+CARGA_DIARIA!AA356)/CARGA_DIARIA!B356+CARGA_DIARIA!AB356+CARGA_DIARIA!AC356+CARGA_DIARIA!AD356+CARGA_DIARIA!AE356))</f>
        <v/>
      </c>
      <c r="F356" s="50" t="s">
        <v>146</v>
      </c>
      <c r="G356" s="50" t="s">
        <v>146</v>
      </c>
      <c r="H356" s="49" t="str">
        <f aca="false">IF(CARGA_DIARIA!A356="","",C356-D356-E356)</f>
        <v/>
      </c>
    </row>
    <row r="357" customFormat="false" ht="15.75" hidden="false" customHeight="true" outlineLevel="0" collapsed="false">
      <c r="A357" s="44" t="str">
        <f aca="false">IF(CARGA_DIARIA!A357="","",CARGA_DIARIA!A357)</f>
        <v/>
      </c>
      <c r="B357" s="45" t="str">
        <f aca="false">IF(CARGA_DIARIA!A357="","",CARGA_DIARIA!B357)</f>
        <v/>
      </c>
      <c r="C357" s="46" t="str">
        <f aca="false"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47" t="str">
        <f aca="false"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47" t="str">
        <f aca="false">IF(CARGA_DIARIA!A357="","",IF(CARGA_DIARIA!B357=0,0,(CARGA_DIARIA!X357+CARGA_DIARIA!Y357+CARGA_DIARIA!Z357+CARGA_DIARIA!AA357)/CARGA_DIARIA!B357+CARGA_DIARIA!AB357+CARGA_DIARIA!AC357+CARGA_DIARIA!AD357+CARGA_DIARIA!AE357))</f>
        <v/>
      </c>
      <c r="F357" s="50" t="s">
        <v>146</v>
      </c>
      <c r="G357" s="50" t="s">
        <v>146</v>
      </c>
      <c r="H357" s="49" t="str">
        <f aca="false">IF(CARGA_DIARIA!A357="","",C357-D357-E357)</f>
        <v/>
      </c>
    </row>
    <row r="358" customFormat="false" ht="15.75" hidden="false" customHeight="true" outlineLevel="0" collapsed="false">
      <c r="A358" s="44" t="str">
        <f aca="false">IF(CARGA_DIARIA!A358="","",CARGA_DIARIA!A358)</f>
        <v/>
      </c>
      <c r="B358" s="45" t="str">
        <f aca="false">IF(CARGA_DIARIA!A358="","",CARGA_DIARIA!B358)</f>
        <v/>
      </c>
      <c r="C358" s="46" t="str">
        <f aca="false"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47" t="str">
        <f aca="false"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47" t="str">
        <f aca="false">IF(CARGA_DIARIA!A358="","",IF(CARGA_DIARIA!B358=0,0,(CARGA_DIARIA!X358+CARGA_DIARIA!Y358+CARGA_DIARIA!Z358+CARGA_DIARIA!AA358)/CARGA_DIARIA!B358+CARGA_DIARIA!AB358+CARGA_DIARIA!AC358+CARGA_DIARIA!AD358+CARGA_DIARIA!AE358))</f>
        <v/>
      </c>
      <c r="F358" s="50" t="s">
        <v>146</v>
      </c>
      <c r="G358" s="50" t="s">
        <v>146</v>
      </c>
      <c r="H358" s="49" t="str">
        <f aca="false">IF(CARGA_DIARIA!A358="","",C358-D358-E358)</f>
        <v/>
      </c>
    </row>
    <row r="359" customFormat="false" ht="15.75" hidden="false" customHeight="true" outlineLevel="0" collapsed="false">
      <c r="A359" s="44" t="str">
        <f aca="false">IF(CARGA_DIARIA!A359="","",CARGA_DIARIA!A359)</f>
        <v/>
      </c>
      <c r="B359" s="45" t="str">
        <f aca="false">IF(CARGA_DIARIA!A359="","",CARGA_DIARIA!B359)</f>
        <v/>
      </c>
      <c r="C359" s="46" t="str">
        <f aca="false"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47" t="str">
        <f aca="false"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47" t="str">
        <f aca="false">IF(CARGA_DIARIA!A359="","",IF(CARGA_DIARIA!B359=0,0,(CARGA_DIARIA!X359+CARGA_DIARIA!Y359+CARGA_DIARIA!Z359+CARGA_DIARIA!AA359)/CARGA_DIARIA!B359+CARGA_DIARIA!AB359+CARGA_DIARIA!AC359+CARGA_DIARIA!AD359+CARGA_DIARIA!AE359))</f>
        <v/>
      </c>
      <c r="F359" s="50" t="s">
        <v>146</v>
      </c>
      <c r="G359" s="50" t="s">
        <v>146</v>
      </c>
      <c r="H359" s="49" t="str">
        <f aca="false">IF(CARGA_DIARIA!A359="","",C359-D359-E359)</f>
        <v/>
      </c>
    </row>
    <row r="360" customFormat="false" ht="15.75" hidden="false" customHeight="true" outlineLevel="0" collapsed="false">
      <c r="A360" s="44" t="str">
        <f aca="false">IF(CARGA_DIARIA!A360="","",CARGA_DIARIA!A360)</f>
        <v/>
      </c>
      <c r="B360" s="45" t="str">
        <f aca="false">IF(CARGA_DIARIA!A360="","",CARGA_DIARIA!B360)</f>
        <v/>
      </c>
      <c r="C360" s="46" t="str">
        <f aca="false"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47" t="str">
        <f aca="false"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47" t="str">
        <f aca="false">IF(CARGA_DIARIA!A360="","",IF(CARGA_DIARIA!B360=0,0,(CARGA_DIARIA!X360+CARGA_DIARIA!Y360+CARGA_DIARIA!Z360+CARGA_DIARIA!AA360)/CARGA_DIARIA!B360+CARGA_DIARIA!AB360+CARGA_DIARIA!AC360+CARGA_DIARIA!AD360+CARGA_DIARIA!AE360))</f>
        <v/>
      </c>
      <c r="F360" s="50" t="s">
        <v>146</v>
      </c>
      <c r="G360" s="50" t="s">
        <v>146</v>
      </c>
      <c r="H360" s="49" t="str">
        <f aca="false">IF(CARGA_DIARIA!A360="","",C360-D360-E360)</f>
        <v/>
      </c>
    </row>
    <row r="361" customFormat="false" ht="15.75" hidden="false" customHeight="true" outlineLevel="0" collapsed="false">
      <c r="A361" s="44" t="str">
        <f aca="false">IF(CARGA_DIARIA!A361="","",CARGA_DIARIA!A361)</f>
        <v/>
      </c>
      <c r="B361" s="45" t="str">
        <f aca="false">IF(CARGA_DIARIA!A361="","",CARGA_DIARIA!B361)</f>
        <v/>
      </c>
      <c r="C361" s="46" t="str">
        <f aca="false"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47" t="str">
        <f aca="false"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47" t="str">
        <f aca="false">IF(CARGA_DIARIA!A361="","",IF(CARGA_DIARIA!B361=0,0,(CARGA_DIARIA!X361+CARGA_DIARIA!Y361+CARGA_DIARIA!Z361+CARGA_DIARIA!AA361)/CARGA_DIARIA!B361+CARGA_DIARIA!AB361+CARGA_DIARIA!AC361+CARGA_DIARIA!AD361+CARGA_DIARIA!AE361))</f>
        <v/>
      </c>
      <c r="F361" s="50" t="s">
        <v>146</v>
      </c>
      <c r="G361" s="50" t="s">
        <v>146</v>
      </c>
      <c r="H361" s="49" t="str">
        <f aca="false">IF(CARGA_DIARIA!A361="","",C361-D361-E361)</f>
        <v/>
      </c>
    </row>
    <row r="362" customFormat="false" ht="15.75" hidden="false" customHeight="true" outlineLevel="0" collapsed="false">
      <c r="A362" s="44" t="str">
        <f aca="false">IF(CARGA_DIARIA!A362="","",CARGA_DIARIA!A362)</f>
        <v/>
      </c>
      <c r="B362" s="45" t="str">
        <f aca="false">IF(CARGA_DIARIA!A362="","",CARGA_DIARIA!B362)</f>
        <v/>
      </c>
      <c r="C362" s="46" t="str">
        <f aca="false"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47" t="str">
        <f aca="false"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47" t="str">
        <f aca="false">IF(CARGA_DIARIA!A362="","",IF(CARGA_DIARIA!B362=0,0,(CARGA_DIARIA!X362+CARGA_DIARIA!Y362+CARGA_DIARIA!Z362+CARGA_DIARIA!AA362)/CARGA_DIARIA!B362+CARGA_DIARIA!AB362+CARGA_DIARIA!AC362+CARGA_DIARIA!AD362+CARGA_DIARIA!AE362))</f>
        <v/>
      </c>
      <c r="F362" s="50" t="s">
        <v>146</v>
      </c>
      <c r="G362" s="50" t="s">
        <v>146</v>
      </c>
      <c r="H362" s="49" t="str">
        <f aca="false">IF(CARGA_DIARIA!A362="","",C362-D362-E362)</f>
        <v/>
      </c>
    </row>
    <row r="363" customFormat="false" ht="15.75" hidden="false" customHeight="true" outlineLevel="0" collapsed="false">
      <c r="A363" s="44" t="str">
        <f aca="false">IF(CARGA_DIARIA!A363="","",CARGA_DIARIA!A363)</f>
        <v/>
      </c>
      <c r="B363" s="45" t="str">
        <f aca="false">IF(CARGA_DIARIA!A363="","",CARGA_DIARIA!B363)</f>
        <v/>
      </c>
      <c r="C363" s="46" t="str">
        <f aca="false"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47" t="str">
        <f aca="false"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47" t="str">
        <f aca="false">IF(CARGA_DIARIA!A363="","",IF(CARGA_DIARIA!B363=0,0,(CARGA_DIARIA!X363+CARGA_DIARIA!Y363+CARGA_DIARIA!Z363+CARGA_DIARIA!AA363)/CARGA_DIARIA!B363+CARGA_DIARIA!AB363+CARGA_DIARIA!AC363+CARGA_DIARIA!AD363+CARGA_DIARIA!AE363))</f>
        <v/>
      </c>
      <c r="F363" s="50" t="s">
        <v>146</v>
      </c>
      <c r="G363" s="50" t="s">
        <v>146</v>
      </c>
      <c r="H363" s="49" t="str">
        <f aca="false">IF(CARGA_DIARIA!A363="","",C363-D363-E363)</f>
        <v/>
      </c>
    </row>
    <row r="364" customFormat="false" ht="15.75" hidden="false" customHeight="true" outlineLevel="0" collapsed="false">
      <c r="A364" s="44" t="str">
        <f aca="false">IF(CARGA_DIARIA!A364="","",CARGA_DIARIA!A364)</f>
        <v/>
      </c>
      <c r="B364" s="45" t="str">
        <f aca="false">IF(CARGA_DIARIA!A364="","",CARGA_DIARIA!B364)</f>
        <v/>
      </c>
      <c r="C364" s="46" t="str">
        <f aca="false"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47" t="str">
        <f aca="false"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47" t="str">
        <f aca="false">IF(CARGA_DIARIA!A364="","",IF(CARGA_DIARIA!B364=0,0,(CARGA_DIARIA!X364+CARGA_DIARIA!Y364+CARGA_DIARIA!Z364+CARGA_DIARIA!AA364)/CARGA_DIARIA!B364+CARGA_DIARIA!AB364+CARGA_DIARIA!AC364+CARGA_DIARIA!AD364+CARGA_DIARIA!AE364))</f>
        <v/>
      </c>
      <c r="F364" s="50" t="s">
        <v>146</v>
      </c>
      <c r="G364" s="50" t="s">
        <v>146</v>
      </c>
      <c r="H364" s="49" t="str">
        <f aca="false">IF(CARGA_DIARIA!A364="","",C364-D364-E364)</f>
        <v/>
      </c>
    </row>
    <row r="365" customFormat="false" ht="15.75" hidden="false" customHeight="true" outlineLevel="0" collapsed="false">
      <c r="A365" s="44" t="str">
        <f aca="false">IF(CARGA_DIARIA!A365="","",CARGA_DIARIA!A365)</f>
        <v/>
      </c>
      <c r="B365" s="45" t="str">
        <f aca="false">IF(CARGA_DIARIA!A365="","",CARGA_DIARIA!B365)</f>
        <v/>
      </c>
      <c r="C365" s="46" t="str">
        <f aca="false"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47" t="str">
        <f aca="false"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47" t="str">
        <f aca="false">IF(CARGA_DIARIA!A365="","",IF(CARGA_DIARIA!B365=0,0,(CARGA_DIARIA!X365+CARGA_DIARIA!Y365+CARGA_DIARIA!Z365+CARGA_DIARIA!AA365)/CARGA_DIARIA!B365+CARGA_DIARIA!AB365+CARGA_DIARIA!AC365+CARGA_DIARIA!AD365+CARGA_DIARIA!AE365))</f>
        <v/>
      </c>
      <c r="F365" s="50" t="s">
        <v>146</v>
      </c>
      <c r="G365" s="50" t="s">
        <v>146</v>
      </c>
      <c r="H365" s="49" t="str">
        <f aca="false">IF(CARGA_DIARIA!A365="","",C365-D365-E365)</f>
        <v/>
      </c>
    </row>
    <row r="366" customFormat="false" ht="15.75" hidden="false" customHeight="true" outlineLevel="0" collapsed="false">
      <c r="A366" s="44" t="str">
        <f aca="false">IF(CARGA_DIARIA!A366="","",CARGA_DIARIA!A366)</f>
        <v/>
      </c>
      <c r="B366" s="45" t="str">
        <f aca="false">IF(CARGA_DIARIA!A366="","",CARGA_DIARIA!B366)</f>
        <v/>
      </c>
      <c r="C366" s="46" t="str">
        <f aca="false"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47" t="str">
        <f aca="false"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47" t="str">
        <f aca="false">IF(CARGA_DIARIA!A366="","",IF(CARGA_DIARIA!B366=0,0,(CARGA_DIARIA!X366+CARGA_DIARIA!Y366+CARGA_DIARIA!Z366+CARGA_DIARIA!AA366)/CARGA_DIARIA!B366+CARGA_DIARIA!AB366+CARGA_DIARIA!AC366+CARGA_DIARIA!AD366+CARGA_DIARIA!AE366))</f>
        <v/>
      </c>
      <c r="F366" s="50" t="s">
        <v>146</v>
      </c>
      <c r="G366" s="50" t="s">
        <v>146</v>
      </c>
      <c r="H366" s="49" t="str">
        <f aca="false">IF(CARGA_DIARIA!A366="","",C366-D366-E366)</f>
        <v/>
      </c>
    </row>
    <row r="367" customFormat="false" ht="15.75" hidden="false" customHeight="true" outlineLevel="0" collapsed="false">
      <c r="A367" s="44" t="str">
        <f aca="false">IF(CARGA_DIARIA!A367="","",CARGA_DIARIA!A367)</f>
        <v/>
      </c>
      <c r="B367" s="45" t="str">
        <f aca="false">IF(CARGA_DIARIA!A367="","",CARGA_DIARIA!B367)</f>
        <v/>
      </c>
      <c r="C367" s="46" t="str">
        <f aca="false"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47" t="str">
        <f aca="false"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47" t="str">
        <f aca="false">IF(CARGA_DIARIA!A367="","",IF(CARGA_DIARIA!B367=0,0,(CARGA_DIARIA!X367+CARGA_DIARIA!Y367+CARGA_DIARIA!Z367+CARGA_DIARIA!AA367)/CARGA_DIARIA!B367+CARGA_DIARIA!AB367+CARGA_DIARIA!AC367+CARGA_DIARIA!AD367+CARGA_DIARIA!AE367))</f>
        <v/>
      </c>
      <c r="F367" s="50" t="s">
        <v>146</v>
      </c>
      <c r="G367" s="50" t="s">
        <v>146</v>
      </c>
      <c r="H367" s="49" t="str">
        <f aca="false">IF(CARGA_DIARIA!A367="","",C367-D367-E367)</f>
        <v/>
      </c>
    </row>
    <row r="368" customFormat="false" ht="15.75" hidden="false" customHeight="true" outlineLevel="0" collapsed="false">
      <c r="A368" s="44" t="str">
        <f aca="false">IF(CARGA_DIARIA!A368="","",CARGA_DIARIA!A368)</f>
        <v/>
      </c>
      <c r="B368" s="45" t="str">
        <f aca="false">IF(CARGA_DIARIA!A368="","",CARGA_DIARIA!B368)</f>
        <v/>
      </c>
      <c r="C368" s="46" t="str">
        <f aca="false"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47" t="str">
        <f aca="false"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47" t="str">
        <f aca="false">IF(CARGA_DIARIA!A368="","",IF(CARGA_DIARIA!B368=0,0,(CARGA_DIARIA!X368+CARGA_DIARIA!Y368+CARGA_DIARIA!Z368+CARGA_DIARIA!AA368)/CARGA_DIARIA!B368+CARGA_DIARIA!AB368+CARGA_DIARIA!AC368+CARGA_DIARIA!AD368+CARGA_DIARIA!AE368))</f>
        <v/>
      </c>
      <c r="F368" s="50" t="s">
        <v>146</v>
      </c>
      <c r="G368" s="50" t="s">
        <v>146</v>
      </c>
      <c r="H368" s="49" t="str">
        <f aca="false">IF(CARGA_DIARIA!A368="","",C368-D368-E368)</f>
        <v/>
      </c>
    </row>
    <row r="369" customFormat="false" ht="15.75" hidden="false" customHeight="true" outlineLevel="0" collapsed="false">
      <c r="A369" s="44" t="str">
        <f aca="false">IF(CARGA_DIARIA!A369="","",CARGA_DIARIA!A369)</f>
        <v/>
      </c>
      <c r="B369" s="45" t="str">
        <f aca="false">IF(CARGA_DIARIA!A369="","",CARGA_DIARIA!B369)</f>
        <v/>
      </c>
      <c r="C369" s="46" t="str">
        <f aca="false"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47" t="str">
        <f aca="false"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47" t="str">
        <f aca="false">IF(CARGA_DIARIA!A369="","",IF(CARGA_DIARIA!B369=0,0,(CARGA_DIARIA!X369+CARGA_DIARIA!Y369+CARGA_DIARIA!Z369+CARGA_DIARIA!AA369)/CARGA_DIARIA!B369+CARGA_DIARIA!AB369+CARGA_DIARIA!AC369+CARGA_DIARIA!AD369+CARGA_DIARIA!AE369))</f>
        <v/>
      </c>
      <c r="F369" s="50" t="s">
        <v>146</v>
      </c>
      <c r="G369" s="50" t="s">
        <v>146</v>
      </c>
      <c r="H369" s="49" t="str">
        <f aca="false">IF(CARGA_DIARIA!A369="","",C369-D369-E369)</f>
        <v/>
      </c>
    </row>
    <row r="370" customFormat="false" ht="15.75" hidden="false" customHeight="true" outlineLevel="0" collapsed="false">
      <c r="A370" s="44" t="str">
        <f aca="false">IF(CARGA_DIARIA!A370="","",CARGA_DIARIA!A370)</f>
        <v/>
      </c>
      <c r="B370" s="45" t="str">
        <f aca="false">IF(CARGA_DIARIA!A370="","",CARGA_DIARIA!B370)</f>
        <v/>
      </c>
      <c r="C370" s="46" t="str">
        <f aca="false"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47" t="str">
        <f aca="false"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47" t="str">
        <f aca="false">IF(CARGA_DIARIA!A370="","",IF(CARGA_DIARIA!B370=0,0,(CARGA_DIARIA!X370+CARGA_DIARIA!Y370+CARGA_DIARIA!Z370+CARGA_DIARIA!AA370)/CARGA_DIARIA!B370+CARGA_DIARIA!AB370+CARGA_DIARIA!AC370+CARGA_DIARIA!AD370+CARGA_DIARIA!AE370))</f>
        <v/>
      </c>
      <c r="F370" s="50" t="s">
        <v>146</v>
      </c>
      <c r="G370" s="50" t="s">
        <v>146</v>
      </c>
      <c r="H370" s="49" t="str">
        <f aca="false">IF(CARGA_DIARIA!A370="","",C370-D370-E370)</f>
        <v/>
      </c>
    </row>
    <row r="371" customFormat="false" ht="15.75" hidden="false" customHeight="true" outlineLevel="0" collapsed="false">
      <c r="A371" s="44" t="str">
        <f aca="false">IF(CARGA_DIARIA!A371="","",CARGA_DIARIA!A371)</f>
        <v/>
      </c>
      <c r="B371" s="45" t="str">
        <f aca="false">IF(CARGA_DIARIA!A371="","",CARGA_DIARIA!B371)</f>
        <v/>
      </c>
      <c r="C371" s="46" t="str">
        <f aca="false"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47" t="str">
        <f aca="false"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47" t="str">
        <f aca="false">IF(CARGA_DIARIA!A371="","",IF(CARGA_DIARIA!B371=0,0,(CARGA_DIARIA!X371+CARGA_DIARIA!Y371+CARGA_DIARIA!Z371+CARGA_DIARIA!AA371)/CARGA_DIARIA!B371+CARGA_DIARIA!AB371+CARGA_DIARIA!AC371+CARGA_DIARIA!AD371+CARGA_DIARIA!AE371))</f>
        <v/>
      </c>
      <c r="F371" s="50" t="s">
        <v>146</v>
      </c>
      <c r="G371" s="50" t="s">
        <v>146</v>
      </c>
      <c r="H371" s="49" t="str">
        <f aca="false">IF(CARGA_DIARIA!A371="","",C371-D371-E371)</f>
        <v/>
      </c>
    </row>
    <row r="372" customFormat="false" ht="15.75" hidden="false" customHeight="true" outlineLevel="0" collapsed="false">
      <c r="A372" s="44" t="str">
        <f aca="false">IF(CARGA_DIARIA!A372="","",CARGA_DIARIA!A372)</f>
        <v/>
      </c>
      <c r="B372" s="45" t="str">
        <f aca="false">IF(CARGA_DIARIA!A372="","",CARGA_DIARIA!B372)</f>
        <v/>
      </c>
      <c r="C372" s="46" t="str">
        <f aca="false"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47" t="str">
        <f aca="false"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47" t="str">
        <f aca="false">IF(CARGA_DIARIA!A372="","",IF(CARGA_DIARIA!B372=0,0,(CARGA_DIARIA!X372+CARGA_DIARIA!Y372+CARGA_DIARIA!Z372+CARGA_DIARIA!AA372)/CARGA_DIARIA!B372+CARGA_DIARIA!AB372+CARGA_DIARIA!AC372+CARGA_DIARIA!AD372+CARGA_DIARIA!AE372))</f>
        <v/>
      </c>
      <c r="F372" s="50" t="s">
        <v>146</v>
      </c>
      <c r="G372" s="50" t="s">
        <v>146</v>
      </c>
      <c r="H372" s="49" t="str">
        <f aca="false">IF(CARGA_DIARIA!A372="","",C372-D372-E372)</f>
        <v/>
      </c>
    </row>
    <row r="373" customFormat="false" ht="15.75" hidden="false" customHeight="true" outlineLevel="0" collapsed="false">
      <c r="A373" s="44" t="str">
        <f aca="false">IF(CARGA_DIARIA!A373="","",CARGA_DIARIA!A373)</f>
        <v/>
      </c>
      <c r="B373" s="45" t="str">
        <f aca="false">IF(CARGA_DIARIA!A373="","",CARGA_DIARIA!B373)</f>
        <v/>
      </c>
      <c r="C373" s="46" t="str">
        <f aca="false"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47" t="str">
        <f aca="false"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47" t="str">
        <f aca="false">IF(CARGA_DIARIA!A373="","",IF(CARGA_DIARIA!B373=0,0,(CARGA_DIARIA!X373+CARGA_DIARIA!Y373+CARGA_DIARIA!Z373+CARGA_DIARIA!AA373)/CARGA_DIARIA!B373+CARGA_DIARIA!AB373+CARGA_DIARIA!AC373+CARGA_DIARIA!AD373+CARGA_DIARIA!AE373))</f>
        <v/>
      </c>
      <c r="F373" s="50" t="s">
        <v>146</v>
      </c>
      <c r="G373" s="50" t="s">
        <v>146</v>
      </c>
      <c r="H373" s="49" t="str">
        <f aca="false">IF(CARGA_DIARIA!A373="","",C373-D373-E373)</f>
        <v/>
      </c>
    </row>
    <row r="374" customFormat="false" ht="15.75" hidden="false" customHeight="true" outlineLevel="0" collapsed="false">
      <c r="A374" s="44" t="str">
        <f aca="false">IF(CARGA_DIARIA!A374="","",CARGA_DIARIA!A374)</f>
        <v/>
      </c>
      <c r="B374" s="45" t="str">
        <f aca="false">IF(CARGA_DIARIA!A374="","",CARGA_DIARIA!B374)</f>
        <v/>
      </c>
      <c r="C374" s="46" t="str">
        <f aca="false"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47" t="str">
        <f aca="false"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47" t="str">
        <f aca="false">IF(CARGA_DIARIA!A374="","",IF(CARGA_DIARIA!B374=0,0,(CARGA_DIARIA!X374+CARGA_DIARIA!Y374+CARGA_DIARIA!Z374+CARGA_DIARIA!AA374)/CARGA_DIARIA!B374+CARGA_DIARIA!AB374+CARGA_DIARIA!AC374+CARGA_DIARIA!AD374+CARGA_DIARIA!AE374))</f>
        <v/>
      </c>
      <c r="F374" s="50" t="s">
        <v>146</v>
      </c>
      <c r="G374" s="50" t="s">
        <v>146</v>
      </c>
      <c r="H374" s="49" t="str">
        <f aca="false">IF(CARGA_DIARIA!A374="","",C374-D374-E374)</f>
        <v/>
      </c>
    </row>
    <row r="375" customFormat="false" ht="15.75" hidden="false" customHeight="true" outlineLevel="0" collapsed="false">
      <c r="A375" s="44" t="str">
        <f aca="false">IF(CARGA_DIARIA!A375="","",CARGA_DIARIA!A375)</f>
        <v/>
      </c>
      <c r="B375" s="45" t="str">
        <f aca="false">IF(CARGA_DIARIA!A375="","",CARGA_DIARIA!B375)</f>
        <v/>
      </c>
      <c r="C375" s="46" t="str">
        <f aca="false"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47" t="str">
        <f aca="false"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47" t="str">
        <f aca="false">IF(CARGA_DIARIA!A375="","",IF(CARGA_DIARIA!B375=0,0,(CARGA_DIARIA!X375+CARGA_DIARIA!Y375+CARGA_DIARIA!Z375+CARGA_DIARIA!AA375)/CARGA_DIARIA!B375+CARGA_DIARIA!AB375+CARGA_DIARIA!AC375+CARGA_DIARIA!AD375+CARGA_DIARIA!AE375))</f>
        <v/>
      </c>
      <c r="F375" s="50" t="s">
        <v>146</v>
      </c>
      <c r="G375" s="50" t="s">
        <v>146</v>
      </c>
      <c r="H375" s="49" t="str">
        <f aca="false">IF(CARGA_DIARIA!A375="","",C375-D375-E375)</f>
        <v/>
      </c>
    </row>
    <row r="376" customFormat="false" ht="15.75" hidden="false" customHeight="true" outlineLevel="0" collapsed="false">
      <c r="A376" s="44" t="str">
        <f aca="false">IF(CARGA_DIARIA!A376="","",CARGA_DIARIA!A376)</f>
        <v/>
      </c>
      <c r="B376" s="45" t="str">
        <f aca="false">IF(CARGA_DIARIA!A376="","",CARGA_DIARIA!B376)</f>
        <v/>
      </c>
      <c r="C376" s="46" t="str">
        <f aca="false"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47" t="str">
        <f aca="false"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47" t="str">
        <f aca="false">IF(CARGA_DIARIA!A376="","",IF(CARGA_DIARIA!B376=0,0,(CARGA_DIARIA!X376+CARGA_DIARIA!Y376+CARGA_DIARIA!Z376+CARGA_DIARIA!AA376)/CARGA_DIARIA!B376+CARGA_DIARIA!AB376+CARGA_DIARIA!AC376+CARGA_DIARIA!AD376+CARGA_DIARIA!AE376))</f>
        <v/>
      </c>
      <c r="F376" s="50" t="s">
        <v>146</v>
      </c>
      <c r="G376" s="50" t="s">
        <v>146</v>
      </c>
      <c r="H376" s="49" t="str">
        <f aca="false">IF(CARGA_DIARIA!A376="","",C376-D376-E376)</f>
        <v/>
      </c>
    </row>
    <row r="377" customFormat="false" ht="15.75" hidden="false" customHeight="true" outlineLevel="0" collapsed="false">
      <c r="A377" s="44" t="str">
        <f aca="false">IF(CARGA_DIARIA!A377="","",CARGA_DIARIA!A377)</f>
        <v/>
      </c>
      <c r="B377" s="45" t="str">
        <f aca="false">IF(CARGA_DIARIA!A377="","",CARGA_DIARIA!B377)</f>
        <v/>
      </c>
      <c r="C377" s="46" t="str">
        <f aca="false"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47" t="str">
        <f aca="false"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47" t="str">
        <f aca="false">IF(CARGA_DIARIA!A377="","",IF(CARGA_DIARIA!B377=0,0,(CARGA_DIARIA!X377+CARGA_DIARIA!Y377+CARGA_DIARIA!Z377+CARGA_DIARIA!AA377)/CARGA_DIARIA!B377+CARGA_DIARIA!AB377+CARGA_DIARIA!AC377+CARGA_DIARIA!AD377+CARGA_DIARIA!AE377))</f>
        <v/>
      </c>
      <c r="F377" s="50" t="s">
        <v>146</v>
      </c>
      <c r="G377" s="50" t="s">
        <v>146</v>
      </c>
      <c r="H377" s="49" t="str">
        <f aca="false">IF(CARGA_DIARIA!A377="","",C377-D377-E377)</f>
        <v/>
      </c>
    </row>
    <row r="378" customFormat="false" ht="15.75" hidden="false" customHeight="true" outlineLevel="0" collapsed="false">
      <c r="A378" s="44" t="str">
        <f aca="false">IF(CARGA_DIARIA!A378="","",CARGA_DIARIA!A378)</f>
        <v/>
      </c>
      <c r="B378" s="45" t="str">
        <f aca="false">IF(CARGA_DIARIA!A378="","",CARGA_DIARIA!B378)</f>
        <v/>
      </c>
      <c r="C378" s="46" t="str">
        <f aca="false"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47" t="str">
        <f aca="false"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47" t="str">
        <f aca="false">IF(CARGA_DIARIA!A378="","",IF(CARGA_DIARIA!B378=0,0,(CARGA_DIARIA!X378+CARGA_DIARIA!Y378+CARGA_DIARIA!Z378+CARGA_DIARIA!AA378)/CARGA_DIARIA!B378+CARGA_DIARIA!AB378+CARGA_DIARIA!AC378+CARGA_DIARIA!AD378+CARGA_DIARIA!AE378))</f>
        <v/>
      </c>
      <c r="F378" s="50" t="s">
        <v>146</v>
      </c>
      <c r="G378" s="50" t="s">
        <v>146</v>
      </c>
      <c r="H378" s="49" t="str">
        <f aca="false">IF(CARGA_DIARIA!A378="","",C378-D378-E378)</f>
        <v/>
      </c>
    </row>
    <row r="379" customFormat="false" ht="15.75" hidden="false" customHeight="true" outlineLevel="0" collapsed="false">
      <c r="A379" s="44" t="str">
        <f aca="false">IF(CARGA_DIARIA!A379="","",CARGA_DIARIA!A379)</f>
        <v/>
      </c>
      <c r="B379" s="45" t="str">
        <f aca="false">IF(CARGA_DIARIA!A379="","",CARGA_DIARIA!B379)</f>
        <v/>
      </c>
      <c r="C379" s="46" t="str">
        <f aca="false"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47" t="str">
        <f aca="false"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47" t="str">
        <f aca="false">IF(CARGA_DIARIA!A379="","",IF(CARGA_DIARIA!B379=0,0,(CARGA_DIARIA!X379+CARGA_DIARIA!Y379+CARGA_DIARIA!Z379+CARGA_DIARIA!AA379)/CARGA_DIARIA!B379+CARGA_DIARIA!AB379+CARGA_DIARIA!AC379+CARGA_DIARIA!AD379+CARGA_DIARIA!AE379))</f>
        <v/>
      </c>
      <c r="F379" s="50" t="s">
        <v>146</v>
      </c>
      <c r="G379" s="50" t="s">
        <v>146</v>
      </c>
      <c r="H379" s="49" t="str">
        <f aca="false">IF(CARGA_DIARIA!A379="","",C379-D379-E379)</f>
        <v/>
      </c>
    </row>
    <row r="380" customFormat="false" ht="15.75" hidden="false" customHeight="true" outlineLevel="0" collapsed="false">
      <c r="A380" s="44" t="str">
        <f aca="false">IF(CARGA_DIARIA!A380="","",CARGA_DIARIA!A380)</f>
        <v/>
      </c>
      <c r="B380" s="45" t="str">
        <f aca="false">IF(CARGA_DIARIA!A380="","",CARGA_DIARIA!B380)</f>
        <v/>
      </c>
      <c r="C380" s="46" t="str">
        <f aca="false"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47" t="str">
        <f aca="false"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47" t="str">
        <f aca="false">IF(CARGA_DIARIA!A380="","",IF(CARGA_DIARIA!B380=0,0,(CARGA_DIARIA!X380+CARGA_DIARIA!Y380+CARGA_DIARIA!Z380+CARGA_DIARIA!AA380)/CARGA_DIARIA!B380+CARGA_DIARIA!AB380+CARGA_DIARIA!AC380+CARGA_DIARIA!AD380+CARGA_DIARIA!AE380))</f>
        <v/>
      </c>
      <c r="F380" s="50" t="s">
        <v>146</v>
      </c>
      <c r="G380" s="50" t="s">
        <v>146</v>
      </c>
      <c r="H380" s="49" t="str">
        <f aca="false">IF(CARGA_DIARIA!A380="","",C380-D380-E380)</f>
        <v/>
      </c>
    </row>
    <row r="381" customFormat="false" ht="15.75" hidden="false" customHeight="true" outlineLevel="0" collapsed="false">
      <c r="A381" s="44" t="str">
        <f aca="false">IF(CARGA_DIARIA!A381="","",CARGA_DIARIA!A381)</f>
        <v/>
      </c>
      <c r="B381" s="45" t="str">
        <f aca="false">IF(CARGA_DIARIA!A381="","",CARGA_DIARIA!B381)</f>
        <v/>
      </c>
      <c r="C381" s="46" t="str">
        <f aca="false"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47" t="str">
        <f aca="false"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47" t="str">
        <f aca="false">IF(CARGA_DIARIA!A381="","",IF(CARGA_DIARIA!B381=0,0,(CARGA_DIARIA!X381+CARGA_DIARIA!Y381+CARGA_DIARIA!Z381+CARGA_DIARIA!AA381)/CARGA_DIARIA!B381+CARGA_DIARIA!AB381+CARGA_DIARIA!AC381+CARGA_DIARIA!AD381+CARGA_DIARIA!AE381))</f>
        <v/>
      </c>
      <c r="F381" s="50" t="s">
        <v>146</v>
      </c>
      <c r="G381" s="50" t="s">
        <v>146</v>
      </c>
      <c r="H381" s="49" t="str">
        <f aca="false">IF(CARGA_DIARIA!A381="","",C381-D381-E381)</f>
        <v/>
      </c>
    </row>
    <row r="382" customFormat="false" ht="15.75" hidden="false" customHeight="true" outlineLevel="0" collapsed="false">
      <c r="A382" s="44" t="str">
        <f aca="false">IF(CARGA_DIARIA!A382="","",CARGA_DIARIA!A382)</f>
        <v/>
      </c>
      <c r="B382" s="45" t="str">
        <f aca="false">IF(CARGA_DIARIA!A382="","",CARGA_DIARIA!B382)</f>
        <v/>
      </c>
      <c r="C382" s="46" t="str">
        <f aca="false"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47" t="str">
        <f aca="false"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47" t="str">
        <f aca="false">IF(CARGA_DIARIA!A382="","",IF(CARGA_DIARIA!B382=0,0,(CARGA_DIARIA!X382+CARGA_DIARIA!Y382+CARGA_DIARIA!Z382+CARGA_DIARIA!AA382)/CARGA_DIARIA!B382+CARGA_DIARIA!AB382+CARGA_DIARIA!AC382+CARGA_DIARIA!AD382+CARGA_DIARIA!AE382))</f>
        <v/>
      </c>
      <c r="F382" s="50" t="s">
        <v>146</v>
      </c>
      <c r="G382" s="50" t="s">
        <v>146</v>
      </c>
      <c r="H382" s="49" t="str">
        <f aca="false">IF(CARGA_DIARIA!A382="","",C382-D382-E382)</f>
        <v/>
      </c>
    </row>
    <row r="383" customFormat="false" ht="15.75" hidden="false" customHeight="true" outlineLevel="0" collapsed="false">
      <c r="A383" s="44" t="str">
        <f aca="false">IF(CARGA_DIARIA!A383="","",CARGA_DIARIA!A383)</f>
        <v/>
      </c>
      <c r="B383" s="45" t="str">
        <f aca="false">IF(CARGA_DIARIA!A383="","",CARGA_DIARIA!B383)</f>
        <v/>
      </c>
      <c r="C383" s="46" t="str">
        <f aca="false"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47" t="str">
        <f aca="false"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47" t="str">
        <f aca="false">IF(CARGA_DIARIA!A383="","",IF(CARGA_DIARIA!B383=0,0,(CARGA_DIARIA!X383+CARGA_DIARIA!Y383+CARGA_DIARIA!Z383+CARGA_DIARIA!AA383)/CARGA_DIARIA!B383+CARGA_DIARIA!AB383+CARGA_DIARIA!AC383+CARGA_DIARIA!AD383+CARGA_DIARIA!AE383))</f>
        <v/>
      </c>
      <c r="F383" s="50" t="s">
        <v>146</v>
      </c>
      <c r="G383" s="50" t="s">
        <v>146</v>
      </c>
      <c r="H383" s="49" t="str">
        <f aca="false">IF(CARGA_DIARIA!A383="","",C383-D383-E383)</f>
        <v/>
      </c>
    </row>
    <row r="384" customFormat="false" ht="15.75" hidden="false" customHeight="true" outlineLevel="0" collapsed="false">
      <c r="A384" s="44" t="str">
        <f aca="false">IF(CARGA_DIARIA!A384="","",CARGA_DIARIA!A384)</f>
        <v/>
      </c>
      <c r="B384" s="45" t="str">
        <f aca="false">IF(CARGA_DIARIA!A384="","",CARGA_DIARIA!B384)</f>
        <v/>
      </c>
      <c r="C384" s="46" t="str">
        <f aca="false"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47" t="str">
        <f aca="false"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47" t="str">
        <f aca="false">IF(CARGA_DIARIA!A384="","",IF(CARGA_DIARIA!B384=0,0,(CARGA_DIARIA!X384+CARGA_DIARIA!Y384+CARGA_DIARIA!Z384+CARGA_DIARIA!AA384)/CARGA_DIARIA!B384+CARGA_DIARIA!AB384+CARGA_DIARIA!AC384+CARGA_DIARIA!AD384+CARGA_DIARIA!AE384))</f>
        <v/>
      </c>
      <c r="F384" s="50" t="s">
        <v>146</v>
      </c>
      <c r="G384" s="50" t="s">
        <v>146</v>
      </c>
      <c r="H384" s="49" t="str">
        <f aca="false">IF(CARGA_DIARIA!A384="","",C384-D384-E384)</f>
        <v/>
      </c>
    </row>
    <row r="385" customFormat="false" ht="15.75" hidden="false" customHeight="true" outlineLevel="0" collapsed="false">
      <c r="A385" s="44" t="str">
        <f aca="false">IF(CARGA_DIARIA!A385="","",CARGA_DIARIA!A385)</f>
        <v/>
      </c>
      <c r="B385" s="45" t="str">
        <f aca="false">IF(CARGA_DIARIA!A385="","",CARGA_DIARIA!B385)</f>
        <v/>
      </c>
      <c r="C385" s="46" t="str">
        <f aca="false"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47" t="str">
        <f aca="false"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47" t="str">
        <f aca="false">IF(CARGA_DIARIA!A385="","",IF(CARGA_DIARIA!B385=0,0,(CARGA_DIARIA!X385+CARGA_DIARIA!Y385+CARGA_DIARIA!Z385+CARGA_DIARIA!AA385)/CARGA_DIARIA!B385+CARGA_DIARIA!AB385+CARGA_DIARIA!AC385+CARGA_DIARIA!AD385+CARGA_DIARIA!AE385))</f>
        <v/>
      </c>
      <c r="F385" s="50" t="s">
        <v>146</v>
      </c>
      <c r="G385" s="50" t="s">
        <v>146</v>
      </c>
      <c r="H385" s="49" t="str">
        <f aca="false">IF(CARGA_DIARIA!A385="","",C385-D385-E385)</f>
        <v/>
      </c>
    </row>
    <row r="386" customFormat="false" ht="15.75" hidden="false" customHeight="true" outlineLevel="0" collapsed="false">
      <c r="A386" s="44" t="str">
        <f aca="false">IF(CARGA_DIARIA!A386="","",CARGA_DIARIA!A386)</f>
        <v/>
      </c>
      <c r="B386" s="45" t="str">
        <f aca="false">IF(CARGA_DIARIA!A386="","",CARGA_DIARIA!B386)</f>
        <v/>
      </c>
      <c r="C386" s="46" t="str">
        <f aca="false"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47" t="str">
        <f aca="false"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47" t="str">
        <f aca="false">IF(CARGA_DIARIA!A386="","",IF(CARGA_DIARIA!B386=0,0,(CARGA_DIARIA!X386+CARGA_DIARIA!Y386+CARGA_DIARIA!Z386+CARGA_DIARIA!AA386)/CARGA_DIARIA!B386+CARGA_DIARIA!AB386+CARGA_DIARIA!AC386+CARGA_DIARIA!AD386+CARGA_DIARIA!AE386))</f>
        <v/>
      </c>
      <c r="F386" s="50" t="s">
        <v>146</v>
      </c>
      <c r="G386" s="50" t="s">
        <v>146</v>
      </c>
      <c r="H386" s="49" t="str">
        <f aca="false">IF(CARGA_DIARIA!A386="","",C386-D386-E386)</f>
        <v/>
      </c>
    </row>
    <row r="387" customFormat="false" ht="15.75" hidden="false" customHeight="true" outlineLevel="0" collapsed="false">
      <c r="A387" s="44" t="str">
        <f aca="false">IF(CARGA_DIARIA!A387="","",CARGA_DIARIA!A387)</f>
        <v/>
      </c>
      <c r="B387" s="45" t="str">
        <f aca="false">IF(CARGA_DIARIA!A387="","",CARGA_DIARIA!B387)</f>
        <v/>
      </c>
      <c r="C387" s="46" t="str">
        <f aca="false"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47" t="str">
        <f aca="false"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47" t="str">
        <f aca="false">IF(CARGA_DIARIA!A387="","",IF(CARGA_DIARIA!B387=0,0,(CARGA_DIARIA!X387+CARGA_DIARIA!Y387+CARGA_DIARIA!Z387+CARGA_DIARIA!AA387)/CARGA_DIARIA!B387+CARGA_DIARIA!AB387+CARGA_DIARIA!AC387+CARGA_DIARIA!AD387+CARGA_DIARIA!AE387))</f>
        <v/>
      </c>
      <c r="F387" s="50" t="s">
        <v>146</v>
      </c>
      <c r="G387" s="50" t="s">
        <v>146</v>
      </c>
      <c r="H387" s="49" t="str">
        <f aca="false">IF(CARGA_DIARIA!A387="","",C387-D387-E387)</f>
        <v/>
      </c>
    </row>
    <row r="388" customFormat="false" ht="15.75" hidden="false" customHeight="true" outlineLevel="0" collapsed="false">
      <c r="A388" s="44" t="str">
        <f aca="false">IF(CARGA_DIARIA!A388="","",CARGA_DIARIA!A388)</f>
        <v/>
      </c>
      <c r="B388" s="45" t="str">
        <f aca="false">IF(CARGA_DIARIA!A388="","",CARGA_DIARIA!B388)</f>
        <v/>
      </c>
      <c r="C388" s="46" t="str">
        <f aca="false"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47" t="str">
        <f aca="false"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47" t="str">
        <f aca="false">IF(CARGA_DIARIA!A388="","",IF(CARGA_DIARIA!B388=0,0,(CARGA_DIARIA!X388+CARGA_DIARIA!Y388+CARGA_DIARIA!Z388+CARGA_DIARIA!AA388)/CARGA_DIARIA!B388+CARGA_DIARIA!AB388+CARGA_DIARIA!AC388+CARGA_DIARIA!AD388+CARGA_DIARIA!AE388))</f>
        <v/>
      </c>
      <c r="F388" s="50" t="s">
        <v>146</v>
      </c>
      <c r="G388" s="50" t="s">
        <v>146</v>
      </c>
      <c r="H388" s="49" t="str">
        <f aca="false">IF(CARGA_DIARIA!A388="","",C388-D388-E388)</f>
        <v/>
      </c>
    </row>
    <row r="389" customFormat="false" ht="15.75" hidden="false" customHeight="true" outlineLevel="0" collapsed="false">
      <c r="A389" s="44" t="str">
        <f aca="false">IF(CARGA_DIARIA!A389="","",CARGA_DIARIA!A389)</f>
        <v/>
      </c>
      <c r="B389" s="45" t="str">
        <f aca="false">IF(CARGA_DIARIA!A389="","",CARGA_DIARIA!B389)</f>
        <v/>
      </c>
      <c r="C389" s="46" t="str">
        <f aca="false"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47" t="str">
        <f aca="false"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47" t="str">
        <f aca="false">IF(CARGA_DIARIA!A389="","",IF(CARGA_DIARIA!B389=0,0,(CARGA_DIARIA!X389+CARGA_DIARIA!Y389+CARGA_DIARIA!Z389+CARGA_DIARIA!AA389)/CARGA_DIARIA!B389+CARGA_DIARIA!AB389+CARGA_DIARIA!AC389+CARGA_DIARIA!AD389+CARGA_DIARIA!AE389))</f>
        <v/>
      </c>
      <c r="F389" s="50" t="s">
        <v>146</v>
      </c>
      <c r="G389" s="50" t="s">
        <v>146</v>
      </c>
      <c r="H389" s="49" t="str">
        <f aca="false">IF(CARGA_DIARIA!A389="","",C389-D389-E389)</f>
        <v/>
      </c>
    </row>
    <row r="390" customFormat="false" ht="15.75" hidden="false" customHeight="true" outlineLevel="0" collapsed="false">
      <c r="A390" s="44" t="str">
        <f aca="false">IF(CARGA_DIARIA!A390="","",CARGA_DIARIA!A390)</f>
        <v/>
      </c>
      <c r="B390" s="45" t="str">
        <f aca="false">IF(CARGA_DIARIA!A390="","",CARGA_DIARIA!B390)</f>
        <v/>
      </c>
      <c r="C390" s="46" t="str">
        <f aca="false"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47" t="str">
        <f aca="false"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47" t="str">
        <f aca="false">IF(CARGA_DIARIA!A390="","",IF(CARGA_DIARIA!B390=0,0,(CARGA_DIARIA!X390+CARGA_DIARIA!Y390+CARGA_DIARIA!Z390+CARGA_DIARIA!AA390)/CARGA_DIARIA!B390+CARGA_DIARIA!AB390+CARGA_DIARIA!AC390+CARGA_DIARIA!AD390+CARGA_DIARIA!AE390))</f>
        <v/>
      </c>
      <c r="F390" s="50" t="s">
        <v>146</v>
      </c>
      <c r="G390" s="50" t="s">
        <v>146</v>
      </c>
      <c r="H390" s="49" t="str">
        <f aca="false">IF(CARGA_DIARIA!A390="","",C390-D390-E390)</f>
        <v/>
      </c>
    </row>
    <row r="391" customFormat="false" ht="15.75" hidden="false" customHeight="true" outlineLevel="0" collapsed="false">
      <c r="A391" s="44" t="str">
        <f aca="false">IF(CARGA_DIARIA!A391="","",CARGA_DIARIA!A391)</f>
        <v/>
      </c>
      <c r="B391" s="45" t="str">
        <f aca="false">IF(CARGA_DIARIA!A391="","",CARGA_DIARIA!B391)</f>
        <v/>
      </c>
      <c r="C391" s="46" t="str">
        <f aca="false"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47" t="str">
        <f aca="false"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47" t="str">
        <f aca="false">IF(CARGA_DIARIA!A391="","",IF(CARGA_DIARIA!B391=0,0,(CARGA_DIARIA!X391+CARGA_DIARIA!Y391+CARGA_DIARIA!Z391+CARGA_DIARIA!AA391)/CARGA_DIARIA!B391+CARGA_DIARIA!AB391+CARGA_DIARIA!AC391+CARGA_DIARIA!AD391+CARGA_DIARIA!AE391))</f>
        <v/>
      </c>
      <c r="F391" s="50" t="s">
        <v>146</v>
      </c>
      <c r="G391" s="50" t="s">
        <v>146</v>
      </c>
      <c r="H391" s="49" t="str">
        <f aca="false">IF(CARGA_DIARIA!A391="","",C391-D391-E391)</f>
        <v/>
      </c>
    </row>
    <row r="392" customFormat="false" ht="15.75" hidden="false" customHeight="true" outlineLevel="0" collapsed="false">
      <c r="A392" s="44" t="str">
        <f aca="false">IF(CARGA_DIARIA!A392="","",CARGA_DIARIA!A392)</f>
        <v/>
      </c>
      <c r="B392" s="45" t="str">
        <f aca="false">IF(CARGA_DIARIA!A392="","",CARGA_DIARIA!B392)</f>
        <v/>
      </c>
      <c r="C392" s="46" t="str">
        <f aca="false"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47" t="str">
        <f aca="false"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47" t="str">
        <f aca="false">IF(CARGA_DIARIA!A392="","",IF(CARGA_DIARIA!B392=0,0,(CARGA_DIARIA!X392+CARGA_DIARIA!Y392+CARGA_DIARIA!Z392+CARGA_DIARIA!AA392)/CARGA_DIARIA!B392+CARGA_DIARIA!AB392+CARGA_DIARIA!AC392+CARGA_DIARIA!AD392+CARGA_DIARIA!AE392))</f>
        <v/>
      </c>
      <c r="F392" s="50" t="s">
        <v>146</v>
      </c>
      <c r="G392" s="50" t="s">
        <v>146</v>
      </c>
      <c r="H392" s="49" t="str">
        <f aca="false">IF(CARGA_DIARIA!A392="","",C392-D392-E392)</f>
        <v/>
      </c>
    </row>
    <row r="393" customFormat="false" ht="15.75" hidden="false" customHeight="true" outlineLevel="0" collapsed="false">
      <c r="A393" s="44" t="str">
        <f aca="false">IF(CARGA_DIARIA!A393="","",CARGA_DIARIA!A393)</f>
        <v/>
      </c>
      <c r="B393" s="45" t="str">
        <f aca="false">IF(CARGA_DIARIA!A393="","",CARGA_DIARIA!B393)</f>
        <v/>
      </c>
      <c r="C393" s="46" t="str">
        <f aca="false"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47" t="str">
        <f aca="false"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47" t="str">
        <f aca="false">IF(CARGA_DIARIA!A393="","",IF(CARGA_DIARIA!B393=0,0,(CARGA_DIARIA!X393+CARGA_DIARIA!Y393+CARGA_DIARIA!Z393+CARGA_DIARIA!AA393)/CARGA_DIARIA!B393+CARGA_DIARIA!AB393+CARGA_DIARIA!AC393+CARGA_DIARIA!AD393+CARGA_DIARIA!AE393))</f>
        <v/>
      </c>
      <c r="F393" s="50" t="s">
        <v>146</v>
      </c>
      <c r="G393" s="50" t="s">
        <v>146</v>
      </c>
      <c r="H393" s="49" t="str">
        <f aca="false">IF(CARGA_DIARIA!A393="","",C393-D393-E393)</f>
        <v/>
      </c>
    </row>
    <row r="394" customFormat="false" ht="15.75" hidden="false" customHeight="true" outlineLevel="0" collapsed="false">
      <c r="A394" s="44" t="str">
        <f aca="false">IF(CARGA_DIARIA!A394="","",CARGA_DIARIA!A394)</f>
        <v/>
      </c>
      <c r="B394" s="45" t="str">
        <f aca="false">IF(CARGA_DIARIA!A394="","",CARGA_DIARIA!B394)</f>
        <v/>
      </c>
      <c r="C394" s="46" t="str">
        <f aca="false"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47" t="str">
        <f aca="false"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47" t="str">
        <f aca="false">IF(CARGA_DIARIA!A394="","",IF(CARGA_DIARIA!B394=0,0,(CARGA_DIARIA!X394+CARGA_DIARIA!Y394+CARGA_DIARIA!Z394+CARGA_DIARIA!AA394)/CARGA_DIARIA!B394+CARGA_DIARIA!AB394+CARGA_DIARIA!AC394+CARGA_DIARIA!AD394+CARGA_DIARIA!AE394))</f>
        <v/>
      </c>
      <c r="F394" s="50" t="s">
        <v>146</v>
      </c>
      <c r="G394" s="50" t="s">
        <v>146</v>
      </c>
      <c r="H394" s="49" t="str">
        <f aca="false">IF(CARGA_DIARIA!A394="","",C394-D394-E394)</f>
        <v/>
      </c>
    </row>
    <row r="395" customFormat="false" ht="15.75" hidden="false" customHeight="true" outlineLevel="0" collapsed="false">
      <c r="A395" s="44" t="str">
        <f aca="false">IF(CARGA_DIARIA!A395="","",CARGA_DIARIA!A395)</f>
        <v/>
      </c>
      <c r="B395" s="45" t="str">
        <f aca="false">IF(CARGA_DIARIA!A395="","",CARGA_DIARIA!B395)</f>
        <v/>
      </c>
      <c r="C395" s="46" t="str">
        <f aca="false"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47" t="str">
        <f aca="false"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47" t="str">
        <f aca="false">IF(CARGA_DIARIA!A395="","",IF(CARGA_DIARIA!B395=0,0,(CARGA_DIARIA!X395+CARGA_DIARIA!Y395+CARGA_DIARIA!Z395+CARGA_DIARIA!AA395)/CARGA_DIARIA!B395+CARGA_DIARIA!AB395+CARGA_DIARIA!AC395+CARGA_DIARIA!AD395+CARGA_DIARIA!AE395))</f>
        <v/>
      </c>
      <c r="F395" s="50" t="s">
        <v>146</v>
      </c>
      <c r="G395" s="50" t="s">
        <v>146</v>
      </c>
      <c r="H395" s="49" t="str">
        <f aca="false">IF(CARGA_DIARIA!A395="","",C395-D395-E395)</f>
        <v/>
      </c>
    </row>
    <row r="396" customFormat="false" ht="15.75" hidden="false" customHeight="true" outlineLevel="0" collapsed="false">
      <c r="A396" s="44" t="str">
        <f aca="false">IF(CARGA_DIARIA!A396="","",CARGA_DIARIA!A396)</f>
        <v/>
      </c>
      <c r="B396" s="45" t="str">
        <f aca="false">IF(CARGA_DIARIA!A396="","",CARGA_DIARIA!B396)</f>
        <v/>
      </c>
      <c r="C396" s="46" t="str">
        <f aca="false"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47" t="str">
        <f aca="false"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47" t="str">
        <f aca="false">IF(CARGA_DIARIA!A396="","",IF(CARGA_DIARIA!B396=0,0,(CARGA_DIARIA!X396+CARGA_DIARIA!Y396+CARGA_DIARIA!Z396+CARGA_DIARIA!AA396)/CARGA_DIARIA!B396+CARGA_DIARIA!AB396+CARGA_DIARIA!AC396+CARGA_DIARIA!AD396+CARGA_DIARIA!AE396))</f>
        <v/>
      </c>
      <c r="F396" s="50" t="s">
        <v>146</v>
      </c>
      <c r="G396" s="50" t="s">
        <v>146</v>
      </c>
      <c r="H396" s="49" t="str">
        <f aca="false">IF(CARGA_DIARIA!A396="","",C396-D396-E396)</f>
        <v/>
      </c>
    </row>
    <row r="397" customFormat="false" ht="15.75" hidden="false" customHeight="true" outlineLevel="0" collapsed="false">
      <c r="A397" s="44" t="str">
        <f aca="false">IF(CARGA_DIARIA!A397="","",CARGA_DIARIA!A397)</f>
        <v/>
      </c>
      <c r="B397" s="45" t="str">
        <f aca="false">IF(CARGA_DIARIA!A397="","",CARGA_DIARIA!B397)</f>
        <v/>
      </c>
      <c r="C397" s="46" t="str">
        <f aca="false"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47" t="str">
        <f aca="false"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47" t="str">
        <f aca="false">IF(CARGA_DIARIA!A397="","",IF(CARGA_DIARIA!B397=0,0,(CARGA_DIARIA!X397+CARGA_DIARIA!Y397+CARGA_DIARIA!Z397+CARGA_DIARIA!AA397)/CARGA_DIARIA!B397+CARGA_DIARIA!AB397+CARGA_DIARIA!AC397+CARGA_DIARIA!AD397+CARGA_DIARIA!AE397))</f>
        <v/>
      </c>
      <c r="F397" s="50" t="s">
        <v>146</v>
      </c>
      <c r="G397" s="50" t="s">
        <v>146</v>
      </c>
      <c r="H397" s="49" t="str">
        <f aca="false">IF(CARGA_DIARIA!A397="","",C397-D397-E397)</f>
        <v/>
      </c>
    </row>
    <row r="398" customFormat="false" ht="15.75" hidden="false" customHeight="true" outlineLevel="0" collapsed="false">
      <c r="A398" s="44" t="str">
        <f aca="false">IF(CARGA_DIARIA!A398="","",CARGA_DIARIA!A398)</f>
        <v/>
      </c>
      <c r="B398" s="45" t="str">
        <f aca="false">IF(CARGA_DIARIA!A398="","",CARGA_DIARIA!B398)</f>
        <v/>
      </c>
      <c r="C398" s="46" t="str">
        <f aca="false"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47" t="str">
        <f aca="false"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47" t="str">
        <f aca="false">IF(CARGA_DIARIA!A398="","",IF(CARGA_DIARIA!B398=0,0,(CARGA_DIARIA!X398+CARGA_DIARIA!Y398+CARGA_DIARIA!Z398+CARGA_DIARIA!AA398)/CARGA_DIARIA!B398+CARGA_DIARIA!AB398+CARGA_DIARIA!AC398+CARGA_DIARIA!AD398+CARGA_DIARIA!AE398))</f>
        <v/>
      </c>
      <c r="F398" s="50" t="s">
        <v>146</v>
      </c>
      <c r="G398" s="50" t="s">
        <v>146</v>
      </c>
      <c r="H398" s="49" t="str">
        <f aca="false">IF(CARGA_DIARIA!A398="","",C398-D398-E398)</f>
        <v/>
      </c>
    </row>
    <row r="399" customFormat="false" ht="15.75" hidden="false" customHeight="true" outlineLevel="0" collapsed="false">
      <c r="A399" s="44" t="str">
        <f aca="false">IF(CARGA_DIARIA!A399="","",CARGA_DIARIA!A399)</f>
        <v/>
      </c>
      <c r="B399" s="45" t="str">
        <f aca="false">IF(CARGA_DIARIA!A399="","",CARGA_DIARIA!B399)</f>
        <v/>
      </c>
      <c r="C399" s="46" t="str">
        <f aca="false"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47" t="str">
        <f aca="false"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47" t="str">
        <f aca="false">IF(CARGA_DIARIA!A399="","",IF(CARGA_DIARIA!B399=0,0,(CARGA_DIARIA!X399+CARGA_DIARIA!Y399+CARGA_DIARIA!Z399+CARGA_DIARIA!AA399)/CARGA_DIARIA!B399+CARGA_DIARIA!AB399+CARGA_DIARIA!AC399+CARGA_DIARIA!AD399+CARGA_DIARIA!AE399))</f>
        <v/>
      </c>
      <c r="F399" s="50" t="s">
        <v>146</v>
      </c>
      <c r="G399" s="50" t="s">
        <v>146</v>
      </c>
      <c r="H399" s="49" t="str">
        <f aca="false">IF(CARGA_DIARIA!A399="","",C399-D399-E399)</f>
        <v/>
      </c>
    </row>
    <row r="400" customFormat="false" ht="15.75" hidden="false" customHeight="true" outlineLevel="0" collapsed="false">
      <c r="A400" s="44" t="str">
        <f aca="false">IF(CARGA_DIARIA!A400="","",CARGA_DIARIA!A400)</f>
        <v/>
      </c>
      <c r="B400" s="45" t="str">
        <f aca="false">IF(CARGA_DIARIA!A400="","",CARGA_DIARIA!B400)</f>
        <v/>
      </c>
      <c r="C400" s="46" t="str">
        <f aca="false"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47" t="str">
        <f aca="false"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47" t="str">
        <f aca="false">IF(CARGA_DIARIA!A400="","",IF(CARGA_DIARIA!B400=0,0,(CARGA_DIARIA!X400+CARGA_DIARIA!Y400+CARGA_DIARIA!Z400+CARGA_DIARIA!AA400)/CARGA_DIARIA!B400+CARGA_DIARIA!AB400+CARGA_DIARIA!AC400+CARGA_DIARIA!AD400+CARGA_DIARIA!AE400))</f>
        <v/>
      </c>
      <c r="F400" s="50" t="s">
        <v>146</v>
      </c>
      <c r="G400" s="50" t="s">
        <v>146</v>
      </c>
      <c r="H400" s="49" t="str">
        <f aca="false">IF(CARGA_DIARIA!A400="","",C400-D400-E400)</f>
        <v/>
      </c>
    </row>
    <row r="401" customFormat="false" ht="15.75" hidden="false" customHeight="true" outlineLevel="0" collapsed="false">
      <c r="A401" s="44" t="str">
        <f aca="false">IF(CARGA_DIARIA!A401="","",CARGA_DIARIA!A401)</f>
        <v/>
      </c>
      <c r="B401" s="45" t="str">
        <f aca="false">IF(CARGA_DIARIA!A401="","",CARGA_DIARIA!B401)</f>
        <v/>
      </c>
      <c r="C401" s="46" t="str">
        <f aca="false"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47" t="str">
        <f aca="false"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47" t="str">
        <f aca="false">IF(CARGA_DIARIA!A401="","",IF(CARGA_DIARIA!B401=0,0,(CARGA_DIARIA!X401+CARGA_DIARIA!Y401+CARGA_DIARIA!Z401+CARGA_DIARIA!AA401)/CARGA_DIARIA!B401+CARGA_DIARIA!AB401+CARGA_DIARIA!AC401+CARGA_DIARIA!AD401+CARGA_DIARIA!AE401))</f>
        <v/>
      </c>
      <c r="F401" s="50" t="s">
        <v>146</v>
      </c>
      <c r="G401" s="50" t="s">
        <v>146</v>
      </c>
      <c r="H401" s="49" t="str">
        <f aca="false">IF(CARGA_DIARIA!A401="","",C401-D401-E401)</f>
        <v/>
      </c>
    </row>
    <row r="402" customFormat="false" ht="15.75" hidden="false" customHeight="true" outlineLevel="0" collapsed="false">
      <c r="A402" s="44" t="str">
        <f aca="false">IF(CARGA_DIARIA!A402="","",CARGA_DIARIA!A402)</f>
        <v/>
      </c>
      <c r="B402" s="45" t="str">
        <f aca="false">IF(CARGA_DIARIA!A402="","",CARGA_DIARIA!B402)</f>
        <v/>
      </c>
      <c r="C402" s="46" t="str">
        <f aca="false"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47" t="str">
        <f aca="false"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47" t="str">
        <f aca="false">IF(CARGA_DIARIA!A402="","",IF(CARGA_DIARIA!B402=0,0,(CARGA_DIARIA!X402+CARGA_DIARIA!Y402+CARGA_DIARIA!Z402+CARGA_DIARIA!AA402)/CARGA_DIARIA!B402+CARGA_DIARIA!AB402+CARGA_DIARIA!AC402+CARGA_DIARIA!AD402+CARGA_DIARIA!AE402))</f>
        <v/>
      </c>
      <c r="F402" s="50" t="s">
        <v>146</v>
      </c>
      <c r="G402" s="50" t="s">
        <v>146</v>
      </c>
      <c r="H402" s="49" t="str">
        <f aca="false">IF(CARGA_DIARIA!A402="","",C402-D402-E402)</f>
        <v/>
      </c>
    </row>
    <row r="403" customFormat="false" ht="15.75" hidden="false" customHeight="true" outlineLevel="0" collapsed="false">
      <c r="A403" s="44" t="str">
        <f aca="false">IF(CARGA_DIARIA!A403="","",CARGA_DIARIA!A403)</f>
        <v/>
      </c>
      <c r="B403" s="45" t="str">
        <f aca="false">IF(CARGA_DIARIA!A403="","",CARGA_DIARIA!B403)</f>
        <v/>
      </c>
      <c r="C403" s="46" t="str">
        <f aca="false"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47" t="str">
        <f aca="false"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47" t="str">
        <f aca="false">IF(CARGA_DIARIA!A403="","",IF(CARGA_DIARIA!B403=0,0,(CARGA_DIARIA!X403+CARGA_DIARIA!Y403+CARGA_DIARIA!Z403+CARGA_DIARIA!AA403)/CARGA_DIARIA!B403+CARGA_DIARIA!AB403+CARGA_DIARIA!AC403+CARGA_DIARIA!AD403+CARGA_DIARIA!AE403))</f>
        <v/>
      </c>
      <c r="F403" s="50" t="s">
        <v>146</v>
      </c>
      <c r="G403" s="50" t="s">
        <v>146</v>
      </c>
      <c r="H403" s="49" t="str">
        <f aca="false">IF(CARGA_DIARIA!A403="","",C403-D403-E403)</f>
        <v/>
      </c>
    </row>
    <row r="404" customFormat="false" ht="15.75" hidden="false" customHeight="true" outlineLevel="0" collapsed="false">
      <c r="A404" s="44" t="str">
        <f aca="false">IF(CARGA_DIARIA!A404="","",CARGA_DIARIA!A404)</f>
        <v/>
      </c>
      <c r="B404" s="45" t="str">
        <f aca="false">IF(CARGA_DIARIA!A404="","",CARGA_DIARIA!B404)</f>
        <v/>
      </c>
      <c r="C404" s="46" t="str">
        <f aca="false"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47" t="str">
        <f aca="false"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47" t="str">
        <f aca="false">IF(CARGA_DIARIA!A404="","",IF(CARGA_DIARIA!B404=0,0,(CARGA_DIARIA!X404+CARGA_DIARIA!Y404+CARGA_DIARIA!Z404+CARGA_DIARIA!AA404)/CARGA_DIARIA!B404+CARGA_DIARIA!AB404+CARGA_DIARIA!AC404+CARGA_DIARIA!AD404+CARGA_DIARIA!AE404))</f>
        <v/>
      </c>
      <c r="F404" s="50" t="s">
        <v>146</v>
      </c>
      <c r="G404" s="50" t="s">
        <v>146</v>
      </c>
      <c r="H404" s="49" t="str">
        <f aca="false">IF(CARGA_DIARIA!A404="","",C404-D404-E404)</f>
        <v/>
      </c>
    </row>
    <row r="405" customFormat="false" ht="15.75" hidden="false" customHeight="true" outlineLevel="0" collapsed="false">
      <c r="A405" s="44" t="str">
        <f aca="false">IF(CARGA_DIARIA!A405="","",CARGA_DIARIA!A405)</f>
        <v/>
      </c>
      <c r="B405" s="45" t="str">
        <f aca="false">IF(CARGA_DIARIA!A405="","",CARGA_DIARIA!B405)</f>
        <v/>
      </c>
      <c r="C405" s="46" t="str">
        <f aca="false"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47" t="str">
        <f aca="false"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47" t="str">
        <f aca="false">IF(CARGA_DIARIA!A405="","",IF(CARGA_DIARIA!B405=0,0,(CARGA_DIARIA!X405+CARGA_DIARIA!Y405+CARGA_DIARIA!Z405+CARGA_DIARIA!AA405)/CARGA_DIARIA!B405+CARGA_DIARIA!AB405+CARGA_DIARIA!AC405+CARGA_DIARIA!AD405+CARGA_DIARIA!AE405))</f>
        <v/>
      </c>
      <c r="F405" s="50" t="s">
        <v>146</v>
      </c>
      <c r="G405" s="50" t="s">
        <v>146</v>
      </c>
      <c r="H405" s="49" t="str">
        <f aca="false">IF(CARGA_DIARIA!A405="","",C405-D405-E405)</f>
        <v/>
      </c>
    </row>
    <row r="406" customFormat="false" ht="15.75" hidden="false" customHeight="true" outlineLevel="0" collapsed="false">
      <c r="A406" s="44" t="str">
        <f aca="false">IF(CARGA_DIARIA!A406="","",CARGA_DIARIA!A406)</f>
        <v/>
      </c>
      <c r="B406" s="45" t="str">
        <f aca="false">IF(CARGA_DIARIA!A406="","",CARGA_DIARIA!B406)</f>
        <v/>
      </c>
      <c r="C406" s="46" t="str">
        <f aca="false"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47" t="str">
        <f aca="false"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47" t="str">
        <f aca="false">IF(CARGA_DIARIA!A406="","",IF(CARGA_DIARIA!B406=0,0,(CARGA_DIARIA!X406+CARGA_DIARIA!Y406+CARGA_DIARIA!Z406+CARGA_DIARIA!AA406)/CARGA_DIARIA!B406+CARGA_DIARIA!AB406+CARGA_DIARIA!AC406+CARGA_DIARIA!AD406+CARGA_DIARIA!AE406))</f>
        <v/>
      </c>
      <c r="F406" s="50" t="s">
        <v>146</v>
      </c>
      <c r="G406" s="50" t="s">
        <v>146</v>
      </c>
      <c r="H406" s="49" t="str">
        <f aca="false">IF(CARGA_DIARIA!A406="","",C406-D406-E406)</f>
        <v/>
      </c>
    </row>
    <row r="407" customFormat="false" ht="15.75" hidden="false" customHeight="true" outlineLevel="0" collapsed="false">
      <c r="A407" s="44" t="str">
        <f aca="false">IF(CARGA_DIARIA!A407="","",CARGA_DIARIA!A407)</f>
        <v/>
      </c>
      <c r="B407" s="45" t="str">
        <f aca="false">IF(CARGA_DIARIA!A407="","",CARGA_DIARIA!B407)</f>
        <v/>
      </c>
      <c r="C407" s="46" t="str">
        <f aca="false"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47" t="str">
        <f aca="false"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47" t="str">
        <f aca="false">IF(CARGA_DIARIA!A407="","",IF(CARGA_DIARIA!B407=0,0,(CARGA_DIARIA!X407+CARGA_DIARIA!Y407+CARGA_DIARIA!Z407+CARGA_DIARIA!AA407)/CARGA_DIARIA!B407+CARGA_DIARIA!AB407+CARGA_DIARIA!AC407+CARGA_DIARIA!AD407+CARGA_DIARIA!AE407))</f>
        <v/>
      </c>
      <c r="F407" s="50" t="s">
        <v>146</v>
      </c>
      <c r="G407" s="50" t="s">
        <v>146</v>
      </c>
      <c r="H407" s="49" t="str">
        <f aca="false">IF(CARGA_DIARIA!A407="","",C407-D407-E407)</f>
        <v/>
      </c>
    </row>
    <row r="408" customFormat="false" ht="15.75" hidden="false" customHeight="true" outlineLevel="0" collapsed="false">
      <c r="A408" s="44" t="str">
        <f aca="false">IF(CARGA_DIARIA!A408="","",CARGA_DIARIA!A408)</f>
        <v/>
      </c>
      <c r="B408" s="45" t="str">
        <f aca="false">IF(CARGA_DIARIA!A408="","",CARGA_DIARIA!B408)</f>
        <v/>
      </c>
      <c r="C408" s="46" t="str">
        <f aca="false"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47" t="str">
        <f aca="false"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47" t="str">
        <f aca="false">IF(CARGA_DIARIA!A408="","",IF(CARGA_DIARIA!B408=0,0,(CARGA_DIARIA!X408+CARGA_DIARIA!Y408+CARGA_DIARIA!Z408+CARGA_DIARIA!AA408)/CARGA_DIARIA!B408+CARGA_DIARIA!AB408+CARGA_DIARIA!AC408+CARGA_DIARIA!AD408+CARGA_DIARIA!AE408))</f>
        <v/>
      </c>
      <c r="F408" s="50" t="s">
        <v>146</v>
      </c>
      <c r="G408" s="50" t="s">
        <v>146</v>
      </c>
      <c r="H408" s="49" t="str">
        <f aca="false">IF(CARGA_DIARIA!A408="","",C408-D408-E408)</f>
        <v/>
      </c>
    </row>
    <row r="409" customFormat="false" ht="15.75" hidden="false" customHeight="true" outlineLevel="0" collapsed="false">
      <c r="A409" s="44" t="str">
        <f aca="false">IF(CARGA_DIARIA!A409="","",CARGA_DIARIA!A409)</f>
        <v/>
      </c>
      <c r="B409" s="45" t="str">
        <f aca="false">IF(CARGA_DIARIA!A409="","",CARGA_DIARIA!B409)</f>
        <v/>
      </c>
      <c r="C409" s="46" t="str">
        <f aca="false"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47" t="str">
        <f aca="false"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47" t="str">
        <f aca="false">IF(CARGA_DIARIA!A409="","",IF(CARGA_DIARIA!B409=0,0,(CARGA_DIARIA!X409+CARGA_DIARIA!Y409+CARGA_DIARIA!Z409+CARGA_DIARIA!AA409)/CARGA_DIARIA!B409+CARGA_DIARIA!AB409+CARGA_DIARIA!AC409+CARGA_DIARIA!AD409+CARGA_DIARIA!AE409))</f>
        <v/>
      </c>
      <c r="F409" s="50" t="s">
        <v>146</v>
      </c>
      <c r="G409" s="50" t="s">
        <v>146</v>
      </c>
      <c r="H409" s="49" t="str">
        <f aca="false">IF(CARGA_DIARIA!A409="","",C409-D409-E409)</f>
        <v/>
      </c>
    </row>
    <row r="410" customFormat="false" ht="15.75" hidden="false" customHeight="true" outlineLevel="0" collapsed="false">
      <c r="A410" s="44" t="str">
        <f aca="false">IF(CARGA_DIARIA!A410="","",CARGA_DIARIA!A410)</f>
        <v/>
      </c>
      <c r="B410" s="45" t="str">
        <f aca="false">IF(CARGA_DIARIA!A410="","",CARGA_DIARIA!B410)</f>
        <v/>
      </c>
      <c r="C410" s="46" t="str">
        <f aca="false"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47" t="str">
        <f aca="false"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47" t="str">
        <f aca="false">IF(CARGA_DIARIA!A410="","",IF(CARGA_DIARIA!B410=0,0,(CARGA_DIARIA!X410+CARGA_DIARIA!Y410+CARGA_DIARIA!Z410+CARGA_DIARIA!AA410)/CARGA_DIARIA!B410+CARGA_DIARIA!AB410+CARGA_DIARIA!AC410+CARGA_DIARIA!AD410+CARGA_DIARIA!AE410))</f>
        <v/>
      </c>
      <c r="F410" s="50" t="s">
        <v>146</v>
      </c>
      <c r="G410" s="50" t="s">
        <v>146</v>
      </c>
      <c r="H410" s="49" t="str">
        <f aca="false">IF(CARGA_DIARIA!A410="","",C410-D410-E410)</f>
        <v/>
      </c>
    </row>
    <row r="411" customFormat="false" ht="15.75" hidden="false" customHeight="true" outlineLevel="0" collapsed="false">
      <c r="A411" s="44" t="str">
        <f aca="false">IF(CARGA_DIARIA!A411="","",CARGA_DIARIA!A411)</f>
        <v/>
      </c>
      <c r="B411" s="45" t="str">
        <f aca="false">IF(CARGA_DIARIA!A411="","",CARGA_DIARIA!B411)</f>
        <v/>
      </c>
      <c r="C411" s="46" t="str">
        <f aca="false"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47" t="str">
        <f aca="false"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47" t="str">
        <f aca="false">IF(CARGA_DIARIA!A411="","",IF(CARGA_DIARIA!B411=0,0,(CARGA_DIARIA!X411+CARGA_DIARIA!Y411+CARGA_DIARIA!Z411+CARGA_DIARIA!AA411)/CARGA_DIARIA!B411+CARGA_DIARIA!AB411+CARGA_DIARIA!AC411+CARGA_DIARIA!AD411+CARGA_DIARIA!AE411))</f>
        <v/>
      </c>
      <c r="F411" s="50" t="s">
        <v>146</v>
      </c>
      <c r="G411" s="50" t="s">
        <v>146</v>
      </c>
      <c r="H411" s="49" t="str">
        <f aca="false">IF(CARGA_DIARIA!A411="","",C411-D411-E411)</f>
        <v/>
      </c>
    </row>
    <row r="412" customFormat="false" ht="15.75" hidden="false" customHeight="true" outlineLevel="0" collapsed="false">
      <c r="A412" s="44" t="str">
        <f aca="false">IF(CARGA_DIARIA!A412="","",CARGA_DIARIA!A412)</f>
        <v/>
      </c>
      <c r="B412" s="45" t="str">
        <f aca="false">IF(CARGA_DIARIA!A412="","",CARGA_DIARIA!B412)</f>
        <v/>
      </c>
      <c r="C412" s="46" t="str">
        <f aca="false"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47" t="str">
        <f aca="false"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47" t="str">
        <f aca="false">IF(CARGA_DIARIA!A412="","",IF(CARGA_DIARIA!B412=0,0,(CARGA_DIARIA!X412+CARGA_DIARIA!Y412+CARGA_DIARIA!Z412+CARGA_DIARIA!AA412)/CARGA_DIARIA!B412+CARGA_DIARIA!AB412+CARGA_DIARIA!AC412+CARGA_DIARIA!AD412+CARGA_DIARIA!AE412))</f>
        <v/>
      </c>
      <c r="F412" s="50" t="s">
        <v>146</v>
      </c>
      <c r="G412" s="50" t="s">
        <v>146</v>
      </c>
      <c r="H412" s="49" t="str">
        <f aca="false">IF(CARGA_DIARIA!A412="","",C412-D412-E412)</f>
        <v/>
      </c>
    </row>
    <row r="413" customFormat="false" ht="15.75" hidden="false" customHeight="true" outlineLevel="0" collapsed="false">
      <c r="A413" s="44" t="str">
        <f aca="false">IF(CARGA_DIARIA!A413="","",CARGA_DIARIA!A413)</f>
        <v/>
      </c>
      <c r="B413" s="45" t="str">
        <f aca="false">IF(CARGA_DIARIA!A413="","",CARGA_DIARIA!B413)</f>
        <v/>
      </c>
      <c r="C413" s="46" t="str">
        <f aca="false"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47" t="str">
        <f aca="false"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47" t="str">
        <f aca="false">IF(CARGA_DIARIA!A413="","",IF(CARGA_DIARIA!B413=0,0,(CARGA_DIARIA!X413+CARGA_DIARIA!Y413+CARGA_DIARIA!Z413+CARGA_DIARIA!AA413)/CARGA_DIARIA!B413+CARGA_DIARIA!AB413+CARGA_DIARIA!AC413+CARGA_DIARIA!AD413+CARGA_DIARIA!AE413))</f>
        <v/>
      </c>
      <c r="F413" s="50" t="s">
        <v>146</v>
      </c>
      <c r="G413" s="50" t="s">
        <v>146</v>
      </c>
      <c r="H413" s="49" t="str">
        <f aca="false">IF(CARGA_DIARIA!A413="","",C413-D413-E413)</f>
        <v/>
      </c>
    </row>
    <row r="414" customFormat="false" ht="15.75" hidden="false" customHeight="true" outlineLevel="0" collapsed="false">
      <c r="A414" s="44" t="str">
        <f aca="false">IF(CARGA_DIARIA!A414="","",CARGA_DIARIA!A414)</f>
        <v/>
      </c>
      <c r="B414" s="45" t="str">
        <f aca="false">IF(CARGA_DIARIA!A414="","",CARGA_DIARIA!B414)</f>
        <v/>
      </c>
      <c r="C414" s="46" t="str">
        <f aca="false"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47" t="str">
        <f aca="false"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47" t="str">
        <f aca="false">IF(CARGA_DIARIA!A414="","",IF(CARGA_DIARIA!B414=0,0,(CARGA_DIARIA!X414+CARGA_DIARIA!Y414+CARGA_DIARIA!Z414+CARGA_DIARIA!AA414)/CARGA_DIARIA!B414+CARGA_DIARIA!AB414+CARGA_DIARIA!AC414+CARGA_DIARIA!AD414+CARGA_DIARIA!AE414))</f>
        <v/>
      </c>
      <c r="F414" s="50" t="s">
        <v>146</v>
      </c>
      <c r="G414" s="50" t="s">
        <v>146</v>
      </c>
      <c r="H414" s="49" t="str">
        <f aca="false">IF(CARGA_DIARIA!A414="","",C414-D414-E414)</f>
        <v/>
      </c>
    </row>
    <row r="415" customFormat="false" ht="15.75" hidden="false" customHeight="true" outlineLevel="0" collapsed="false">
      <c r="A415" s="44" t="str">
        <f aca="false">IF(CARGA_DIARIA!A415="","",CARGA_DIARIA!A415)</f>
        <v/>
      </c>
      <c r="B415" s="45" t="str">
        <f aca="false">IF(CARGA_DIARIA!A415="","",CARGA_DIARIA!B415)</f>
        <v/>
      </c>
      <c r="C415" s="46" t="str">
        <f aca="false"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47" t="str">
        <f aca="false"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47" t="str">
        <f aca="false">IF(CARGA_DIARIA!A415="","",IF(CARGA_DIARIA!B415=0,0,(CARGA_DIARIA!X415+CARGA_DIARIA!Y415+CARGA_DIARIA!Z415+CARGA_DIARIA!AA415)/CARGA_DIARIA!B415+CARGA_DIARIA!AB415+CARGA_DIARIA!AC415+CARGA_DIARIA!AD415+CARGA_DIARIA!AE415))</f>
        <v/>
      </c>
      <c r="F415" s="50" t="s">
        <v>146</v>
      </c>
      <c r="G415" s="50" t="s">
        <v>146</v>
      </c>
      <c r="H415" s="49" t="str">
        <f aca="false">IF(CARGA_DIARIA!A415="","",C415-D415-E415)</f>
        <v/>
      </c>
    </row>
    <row r="416" customFormat="false" ht="15.75" hidden="false" customHeight="true" outlineLevel="0" collapsed="false">
      <c r="A416" s="44" t="str">
        <f aca="false">IF(CARGA_DIARIA!A416="","",CARGA_DIARIA!A416)</f>
        <v/>
      </c>
      <c r="B416" s="45" t="str">
        <f aca="false">IF(CARGA_DIARIA!A416="","",CARGA_DIARIA!B416)</f>
        <v/>
      </c>
      <c r="C416" s="46" t="str">
        <f aca="false"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47" t="str">
        <f aca="false"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47" t="str">
        <f aca="false">IF(CARGA_DIARIA!A416="","",IF(CARGA_DIARIA!B416=0,0,(CARGA_DIARIA!X416+CARGA_DIARIA!Y416+CARGA_DIARIA!Z416+CARGA_DIARIA!AA416)/CARGA_DIARIA!B416+CARGA_DIARIA!AB416+CARGA_DIARIA!AC416+CARGA_DIARIA!AD416+CARGA_DIARIA!AE416))</f>
        <v/>
      </c>
      <c r="F416" s="50" t="s">
        <v>146</v>
      </c>
      <c r="G416" s="50" t="s">
        <v>146</v>
      </c>
      <c r="H416" s="49" t="str">
        <f aca="false">IF(CARGA_DIARIA!A416="","",C416-D416-E416)</f>
        <v/>
      </c>
    </row>
    <row r="417" customFormat="false" ht="15.75" hidden="false" customHeight="true" outlineLevel="0" collapsed="false">
      <c r="A417" s="44" t="str">
        <f aca="false">IF(CARGA_DIARIA!A417="","",CARGA_DIARIA!A417)</f>
        <v/>
      </c>
      <c r="B417" s="45" t="str">
        <f aca="false">IF(CARGA_DIARIA!A417="","",CARGA_DIARIA!B417)</f>
        <v/>
      </c>
      <c r="C417" s="46" t="str">
        <f aca="false"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47" t="str">
        <f aca="false"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47" t="str">
        <f aca="false">IF(CARGA_DIARIA!A417="","",IF(CARGA_DIARIA!B417=0,0,(CARGA_DIARIA!X417+CARGA_DIARIA!Y417+CARGA_DIARIA!Z417+CARGA_DIARIA!AA417)/CARGA_DIARIA!B417+CARGA_DIARIA!AB417+CARGA_DIARIA!AC417+CARGA_DIARIA!AD417+CARGA_DIARIA!AE417))</f>
        <v/>
      </c>
      <c r="F417" s="50" t="s">
        <v>146</v>
      </c>
      <c r="G417" s="50" t="s">
        <v>146</v>
      </c>
      <c r="H417" s="49" t="str">
        <f aca="false">IF(CARGA_DIARIA!A417="","",C417-D417-E417)</f>
        <v/>
      </c>
    </row>
    <row r="418" customFormat="false" ht="15.75" hidden="false" customHeight="true" outlineLevel="0" collapsed="false">
      <c r="A418" s="44" t="str">
        <f aca="false">IF(CARGA_DIARIA!A418="","",CARGA_DIARIA!A418)</f>
        <v/>
      </c>
      <c r="B418" s="45" t="str">
        <f aca="false">IF(CARGA_DIARIA!A418="","",CARGA_DIARIA!B418)</f>
        <v/>
      </c>
      <c r="C418" s="46" t="str">
        <f aca="false"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47" t="str">
        <f aca="false"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47" t="str">
        <f aca="false">IF(CARGA_DIARIA!A418="","",IF(CARGA_DIARIA!B418=0,0,(CARGA_DIARIA!X418+CARGA_DIARIA!Y418+CARGA_DIARIA!Z418+CARGA_DIARIA!AA418)/CARGA_DIARIA!B418+CARGA_DIARIA!AB418+CARGA_DIARIA!AC418+CARGA_DIARIA!AD418+CARGA_DIARIA!AE418))</f>
        <v/>
      </c>
      <c r="F418" s="50" t="s">
        <v>146</v>
      </c>
      <c r="G418" s="50" t="s">
        <v>146</v>
      </c>
      <c r="H418" s="49" t="str">
        <f aca="false">IF(CARGA_DIARIA!A418="","",C418-D418-E418)</f>
        <v/>
      </c>
    </row>
    <row r="419" customFormat="false" ht="15.75" hidden="false" customHeight="true" outlineLevel="0" collapsed="false">
      <c r="A419" s="44" t="str">
        <f aca="false">IF(CARGA_DIARIA!A419="","",CARGA_DIARIA!A419)</f>
        <v/>
      </c>
      <c r="B419" s="45" t="str">
        <f aca="false">IF(CARGA_DIARIA!A419="","",CARGA_DIARIA!B419)</f>
        <v/>
      </c>
      <c r="C419" s="46" t="str">
        <f aca="false"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47" t="str">
        <f aca="false"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47" t="str">
        <f aca="false">IF(CARGA_DIARIA!A419="","",IF(CARGA_DIARIA!B419=0,0,(CARGA_DIARIA!X419+CARGA_DIARIA!Y419+CARGA_DIARIA!Z419+CARGA_DIARIA!AA419)/CARGA_DIARIA!B419+CARGA_DIARIA!AB419+CARGA_DIARIA!AC419+CARGA_DIARIA!AD419+CARGA_DIARIA!AE419))</f>
        <v/>
      </c>
      <c r="F419" s="50" t="s">
        <v>146</v>
      </c>
      <c r="G419" s="50" t="s">
        <v>146</v>
      </c>
      <c r="H419" s="49" t="str">
        <f aca="false">IF(CARGA_DIARIA!A419="","",C419-D419-E419)</f>
        <v/>
      </c>
    </row>
    <row r="420" customFormat="false" ht="15.75" hidden="false" customHeight="true" outlineLevel="0" collapsed="false">
      <c r="A420" s="44" t="str">
        <f aca="false">IF(CARGA_DIARIA!A420="","",CARGA_DIARIA!A420)</f>
        <v/>
      </c>
      <c r="B420" s="45" t="str">
        <f aca="false">IF(CARGA_DIARIA!A420="","",CARGA_DIARIA!B420)</f>
        <v/>
      </c>
      <c r="C420" s="46" t="str">
        <f aca="false"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47" t="str">
        <f aca="false"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47" t="str">
        <f aca="false">IF(CARGA_DIARIA!A420="","",IF(CARGA_DIARIA!B420=0,0,(CARGA_DIARIA!X420+CARGA_DIARIA!Y420+CARGA_DIARIA!Z420+CARGA_DIARIA!AA420)/CARGA_DIARIA!B420+CARGA_DIARIA!AB420+CARGA_DIARIA!AC420+CARGA_DIARIA!AD420+CARGA_DIARIA!AE420))</f>
        <v/>
      </c>
      <c r="F420" s="50" t="s">
        <v>146</v>
      </c>
      <c r="G420" s="50" t="s">
        <v>146</v>
      </c>
      <c r="H420" s="49" t="str">
        <f aca="false">IF(CARGA_DIARIA!A420="","",C420-D420-E420)</f>
        <v/>
      </c>
    </row>
    <row r="421" customFormat="false" ht="15.75" hidden="false" customHeight="true" outlineLevel="0" collapsed="false">
      <c r="A421" s="44" t="str">
        <f aca="false">IF(CARGA_DIARIA!A421="","",CARGA_DIARIA!A421)</f>
        <v/>
      </c>
      <c r="B421" s="45" t="str">
        <f aca="false">IF(CARGA_DIARIA!A421="","",CARGA_DIARIA!B421)</f>
        <v/>
      </c>
      <c r="C421" s="46" t="str">
        <f aca="false"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47" t="str">
        <f aca="false"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47" t="str">
        <f aca="false">IF(CARGA_DIARIA!A421="","",IF(CARGA_DIARIA!B421=0,0,(CARGA_DIARIA!X421+CARGA_DIARIA!Y421+CARGA_DIARIA!Z421+CARGA_DIARIA!AA421)/CARGA_DIARIA!B421+CARGA_DIARIA!AB421+CARGA_DIARIA!AC421+CARGA_DIARIA!AD421+CARGA_DIARIA!AE421))</f>
        <v/>
      </c>
      <c r="F421" s="50" t="s">
        <v>146</v>
      </c>
      <c r="G421" s="50" t="s">
        <v>146</v>
      </c>
      <c r="H421" s="49" t="str">
        <f aca="false">IF(CARGA_DIARIA!A421="","",C421-D421-E421)</f>
        <v/>
      </c>
    </row>
    <row r="422" customFormat="false" ht="15.75" hidden="false" customHeight="true" outlineLevel="0" collapsed="false">
      <c r="A422" s="44" t="str">
        <f aca="false">IF(CARGA_DIARIA!A422="","",CARGA_DIARIA!A422)</f>
        <v/>
      </c>
      <c r="B422" s="45" t="str">
        <f aca="false">IF(CARGA_DIARIA!A422="","",CARGA_DIARIA!B422)</f>
        <v/>
      </c>
      <c r="C422" s="46" t="str">
        <f aca="false"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47" t="str">
        <f aca="false"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47" t="str">
        <f aca="false">IF(CARGA_DIARIA!A422="","",IF(CARGA_DIARIA!B422=0,0,(CARGA_DIARIA!X422+CARGA_DIARIA!Y422+CARGA_DIARIA!Z422+CARGA_DIARIA!AA422)/CARGA_DIARIA!B422+CARGA_DIARIA!AB422+CARGA_DIARIA!AC422+CARGA_DIARIA!AD422+CARGA_DIARIA!AE422))</f>
        <v/>
      </c>
      <c r="F422" s="50" t="s">
        <v>146</v>
      </c>
      <c r="G422" s="50" t="s">
        <v>146</v>
      </c>
      <c r="H422" s="49" t="str">
        <f aca="false">IF(CARGA_DIARIA!A422="","",C422-D422-E422)</f>
        <v/>
      </c>
    </row>
    <row r="423" customFormat="false" ht="15.75" hidden="false" customHeight="true" outlineLevel="0" collapsed="false">
      <c r="A423" s="44" t="str">
        <f aca="false">IF(CARGA_DIARIA!A423="","",CARGA_DIARIA!A423)</f>
        <v/>
      </c>
      <c r="B423" s="45" t="str">
        <f aca="false">IF(CARGA_DIARIA!A423="","",CARGA_DIARIA!B423)</f>
        <v/>
      </c>
      <c r="C423" s="46" t="str">
        <f aca="false"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47" t="str">
        <f aca="false"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47" t="str">
        <f aca="false">IF(CARGA_DIARIA!A423="","",IF(CARGA_DIARIA!B423=0,0,(CARGA_DIARIA!X423+CARGA_DIARIA!Y423+CARGA_DIARIA!Z423+CARGA_DIARIA!AA423)/CARGA_DIARIA!B423+CARGA_DIARIA!AB423+CARGA_DIARIA!AC423+CARGA_DIARIA!AD423+CARGA_DIARIA!AE423))</f>
        <v/>
      </c>
      <c r="F423" s="50" t="s">
        <v>146</v>
      </c>
      <c r="G423" s="50" t="s">
        <v>146</v>
      </c>
      <c r="H423" s="49" t="str">
        <f aca="false">IF(CARGA_DIARIA!A423="","",C423-D423-E423)</f>
        <v/>
      </c>
    </row>
    <row r="424" customFormat="false" ht="15.75" hidden="false" customHeight="true" outlineLevel="0" collapsed="false">
      <c r="A424" s="44" t="str">
        <f aca="false">IF(CARGA_DIARIA!A424="","",CARGA_DIARIA!A424)</f>
        <v/>
      </c>
      <c r="B424" s="45" t="str">
        <f aca="false">IF(CARGA_DIARIA!A424="","",CARGA_DIARIA!B424)</f>
        <v/>
      </c>
      <c r="C424" s="46" t="str">
        <f aca="false"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47" t="str">
        <f aca="false"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47" t="str">
        <f aca="false">IF(CARGA_DIARIA!A424="","",IF(CARGA_DIARIA!B424=0,0,(CARGA_DIARIA!X424+CARGA_DIARIA!Y424+CARGA_DIARIA!Z424+CARGA_DIARIA!AA424)/CARGA_DIARIA!B424+CARGA_DIARIA!AB424+CARGA_DIARIA!AC424+CARGA_DIARIA!AD424+CARGA_DIARIA!AE424))</f>
        <v/>
      </c>
      <c r="F424" s="50" t="s">
        <v>146</v>
      </c>
      <c r="G424" s="50" t="s">
        <v>146</v>
      </c>
      <c r="H424" s="49" t="str">
        <f aca="false">IF(CARGA_DIARIA!A424="","",C424-D424-E424)</f>
        <v/>
      </c>
    </row>
    <row r="425" customFormat="false" ht="15.75" hidden="false" customHeight="true" outlineLevel="0" collapsed="false">
      <c r="A425" s="44" t="str">
        <f aca="false">IF(CARGA_DIARIA!A425="","",CARGA_DIARIA!A425)</f>
        <v/>
      </c>
      <c r="B425" s="45" t="str">
        <f aca="false">IF(CARGA_DIARIA!A425="","",CARGA_DIARIA!B425)</f>
        <v/>
      </c>
      <c r="C425" s="46" t="str">
        <f aca="false"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47" t="str">
        <f aca="false"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47" t="str">
        <f aca="false">IF(CARGA_DIARIA!A425="","",IF(CARGA_DIARIA!B425=0,0,(CARGA_DIARIA!X425+CARGA_DIARIA!Y425+CARGA_DIARIA!Z425+CARGA_DIARIA!AA425)/CARGA_DIARIA!B425+CARGA_DIARIA!AB425+CARGA_DIARIA!AC425+CARGA_DIARIA!AD425+CARGA_DIARIA!AE425))</f>
        <v/>
      </c>
      <c r="F425" s="50" t="s">
        <v>146</v>
      </c>
      <c r="G425" s="50" t="s">
        <v>146</v>
      </c>
      <c r="H425" s="49" t="str">
        <f aca="false">IF(CARGA_DIARIA!A425="","",C425-D425-E425)</f>
        <v/>
      </c>
    </row>
    <row r="426" customFormat="false" ht="15.75" hidden="false" customHeight="true" outlineLevel="0" collapsed="false">
      <c r="A426" s="44" t="str">
        <f aca="false">IF(CARGA_DIARIA!A426="","",CARGA_DIARIA!A426)</f>
        <v/>
      </c>
      <c r="B426" s="45" t="str">
        <f aca="false">IF(CARGA_DIARIA!A426="","",CARGA_DIARIA!B426)</f>
        <v/>
      </c>
      <c r="C426" s="46" t="str">
        <f aca="false"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47" t="str">
        <f aca="false"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47" t="str">
        <f aca="false">IF(CARGA_DIARIA!A426="","",IF(CARGA_DIARIA!B426=0,0,(CARGA_DIARIA!X426+CARGA_DIARIA!Y426+CARGA_DIARIA!Z426+CARGA_DIARIA!AA426)/CARGA_DIARIA!B426+CARGA_DIARIA!AB426+CARGA_DIARIA!AC426+CARGA_DIARIA!AD426+CARGA_DIARIA!AE426))</f>
        <v/>
      </c>
      <c r="F426" s="50" t="s">
        <v>146</v>
      </c>
      <c r="G426" s="50" t="s">
        <v>146</v>
      </c>
      <c r="H426" s="49" t="str">
        <f aca="false">IF(CARGA_DIARIA!A426="","",C426-D426-E426)</f>
        <v/>
      </c>
    </row>
    <row r="427" customFormat="false" ht="15.75" hidden="false" customHeight="true" outlineLevel="0" collapsed="false">
      <c r="A427" s="44" t="str">
        <f aca="false">IF(CARGA_DIARIA!A427="","",CARGA_DIARIA!A427)</f>
        <v/>
      </c>
      <c r="B427" s="45" t="str">
        <f aca="false">IF(CARGA_DIARIA!A427="","",CARGA_DIARIA!B427)</f>
        <v/>
      </c>
      <c r="C427" s="46" t="str">
        <f aca="false"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47" t="str">
        <f aca="false"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47" t="str">
        <f aca="false">IF(CARGA_DIARIA!A427="","",IF(CARGA_DIARIA!B427=0,0,(CARGA_DIARIA!X427+CARGA_DIARIA!Y427+CARGA_DIARIA!Z427+CARGA_DIARIA!AA427)/CARGA_DIARIA!B427+CARGA_DIARIA!AB427+CARGA_DIARIA!AC427+CARGA_DIARIA!AD427+CARGA_DIARIA!AE427))</f>
        <v/>
      </c>
      <c r="F427" s="50" t="s">
        <v>146</v>
      </c>
      <c r="G427" s="50" t="s">
        <v>146</v>
      </c>
      <c r="H427" s="49" t="str">
        <f aca="false">IF(CARGA_DIARIA!A427="","",C427-D427-E427)</f>
        <v/>
      </c>
    </row>
    <row r="428" customFormat="false" ht="15.75" hidden="false" customHeight="true" outlineLevel="0" collapsed="false">
      <c r="A428" s="44" t="str">
        <f aca="false">IF(CARGA_DIARIA!A428="","",CARGA_DIARIA!A428)</f>
        <v/>
      </c>
      <c r="B428" s="45" t="str">
        <f aca="false">IF(CARGA_DIARIA!A428="","",CARGA_DIARIA!B428)</f>
        <v/>
      </c>
      <c r="C428" s="46" t="str">
        <f aca="false"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47" t="str">
        <f aca="false"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47" t="str">
        <f aca="false">IF(CARGA_DIARIA!A428="","",IF(CARGA_DIARIA!B428=0,0,(CARGA_DIARIA!X428+CARGA_DIARIA!Y428+CARGA_DIARIA!Z428+CARGA_DIARIA!AA428)/CARGA_DIARIA!B428+CARGA_DIARIA!AB428+CARGA_DIARIA!AC428+CARGA_DIARIA!AD428+CARGA_DIARIA!AE428))</f>
        <v/>
      </c>
      <c r="F428" s="50" t="s">
        <v>146</v>
      </c>
      <c r="G428" s="50" t="s">
        <v>146</v>
      </c>
      <c r="H428" s="49" t="str">
        <f aca="false">IF(CARGA_DIARIA!A428="","",C428-D428-E428)</f>
        <v/>
      </c>
    </row>
    <row r="429" customFormat="false" ht="15.75" hidden="false" customHeight="true" outlineLevel="0" collapsed="false">
      <c r="A429" s="44" t="str">
        <f aca="false">IF(CARGA_DIARIA!A429="","",CARGA_DIARIA!A429)</f>
        <v/>
      </c>
      <c r="B429" s="45" t="str">
        <f aca="false">IF(CARGA_DIARIA!A429="","",CARGA_DIARIA!B429)</f>
        <v/>
      </c>
      <c r="C429" s="46" t="str">
        <f aca="false"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47" t="str">
        <f aca="false"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47" t="str">
        <f aca="false">IF(CARGA_DIARIA!A429="","",IF(CARGA_DIARIA!B429=0,0,(CARGA_DIARIA!X429+CARGA_DIARIA!Y429+CARGA_DIARIA!Z429+CARGA_DIARIA!AA429)/CARGA_DIARIA!B429+CARGA_DIARIA!AB429+CARGA_DIARIA!AC429+CARGA_DIARIA!AD429+CARGA_DIARIA!AE429))</f>
        <v/>
      </c>
      <c r="F429" s="50" t="s">
        <v>146</v>
      </c>
      <c r="G429" s="50" t="s">
        <v>146</v>
      </c>
      <c r="H429" s="49" t="str">
        <f aca="false">IF(CARGA_DIARIA!A429="","",C429-D429-E429)</f>
        <v/>
      </c>
    </row>
    <row r="430" customFormat="false" ht="15.75" hidden="false" customHeight="true" outlineLevel="0" collapsed="false">
      <c r="A430" s="44" t="str">
        <f aca="false">IF(CARGA_DIARIA!A430="","",CARGA_DIARIA!A430)</f>
        <v/>
      </c>
      <c r="B430" s="45" t="str">
        <f aca="false">IF(CARGA_DIARIA!A430="","",CARGA_DIARIA!B430)</f>
        <v/>
      </c>
      <c r="C430" s="46" t="str">
        <f aca="false"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47" t="str">
        <f aca="false"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47" t="str">
        <f aca="false">IF(CARGA_DIARIA!A430="","",IF(CARGA_DIARIA!B430=0,0,(CARGA_DIARIA!X430+CARGA_DIARIA!Y430+CARGA_DIARIA!Z430+CARGA_DIARIA!AA430)/CARGA_DIARIA!B430+CARGA_DIARIA!AB430+CARGA_DIARIA!AC430+CARGA_DIARIA!AD430+CARGA_DIARIA!AE430))</f>
        <v/>
      </c>
      <c r="F430" s="50" t="s">
        <v>146</v>
      </c>
      <c r="G430" s="50" t="s">
        <v>146</v>
      </c>
      <c r="H430" s="49" t="str">
        <f aca="false">IF(CARGA_DIARIA!A430="","",C430-D430-E430)</f>
        <v/>
      </c>
    </row>
    <row r="431" customFormat="false" ht="15.75" hidden="false" customHeight="true" outlineLevel="0" collapsed="false">
      <c r="A431" s="44" t="str">
        <f aca="false">IF(CARGA_DIARIA!A431="","",CARGA_DIARIA!A431)</f>
        <v/>
      </c>
      <c r="B431" s="45" t="str">
        <f aca="false">IF(CARGA_DIARIA!A431="","",CARGA_DIARIA!B431)</f>
        <v/>
      </c>
      <c r="C431" s="46" t="str">
        <f aca="false"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47" t="str">
        <f aca="false"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47" t="str">
        <f aca="false">IF(CARGA_DIARIA!A431="","",IF(CARGA_DIARIA!B431=0,0,(CARGA_DIARIA!X431+CARGA_DIARIA!Y431+CARGA_DIARIA!Z431+CARGA_DIARIA!AA431)/CARGA_DIARIA!B431+CARGA_DIARIA!AB431+CARGA_DIARIA!AC431+CARGA_DIARIA!AD431+CARGA_DIARIA!AE431))</f>
        <v/>
      </c>
      <c r="F431" s="50" t="s">
        <v>146</v>
      </c>
      <c r="G431" s="50" t="s">
        <v>146</v>
      </c>
      <c r="H431" s="49" t="str">
        <f aca="false">IF(CARGA_DIARIA!A431="","",C431-D431-E431)</f>
        <v/>
      </c>
    </row>
    <row r="432" customFormat="false" ht="15.75" hidden="false" customHeight="true" outlineLevel="0" collapsed="false">
      <c r="A432" s="44" t="str">
        <f aca="false">IF(CARGA_DIARIA!A432="","",CARGA_DIARIA!A432)</f>
        <v/>
      </c>
      <c r="B432" s="45" t="str">
        <f aca="false">IF(CARGA_DIARIA!A432="","",CARGA_DIARIA!B432)</f>
        <v/>
      </c>
      <c r="C432" s="46" t="str">
        <f aca="false"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47" t="str">
        <f aca="false"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47" t="str">
        <f aca="false">IF(CARGA_DIARIA!A432="","",IF(CARGA_DIARIA!B432=0,0,(CARGA_DIARIA!X432+CARGA_DIARIA!Y432+CARGA_DIARIA!Z432+CARGA_DIARIA!AA432)/CARGA_DIARIA!B432+CARGA_DIARIA!AB432+CARGA_DIARIA!AC432+CARGA_DIARIA!AD432+CARGA_DIARIA!AE432))</f>
        <v/>
      </c>
      <c r="F432" s="50" t="s">
        <v>146</v>
      </c>
      <c r="G432" s="50" t="s">
        <v>146</v>
      </c>
      <c r="H432" s="49" t="str">
        <f aca="false">IF(CARGA_DIARIA!A432="","",C432-D432-E432)</f>
        <v/>
      </c>
    </row>
    <row r="433" customFormat="false" ht="15.75" hidden="false" customHeight="true" outlineLevel="0" collapsed="false">
      <c r="A433" s="44" t="str">
        <f aca="false">IF(CARGA_DIARIA!A433="","",CARGA_DIARIA!A433)</f>
        <v/>
      </c>
      <c r="B433" s="45" t="str">
        <f aca="false">IF(CARGA_DIARIA!A433="","",CARGA_DIARIA!B433)</f>
        <v/>
      </c>
      <c r="C433" s="46" t="str">
        <f aca="false"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47" t="str">
        <f aca="false"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47" t="str">
        <f aca="false">IF(CARGA_DIARIA!A433="","",IF(CARGA_DIARIA!B433=0,0,(CARGA_DIARIA!X433+CARGA_DIARIA!Y433+CARGA_DIARIA!Z433+CARGA_DIARIA!AA433)/CARGA_DIARIA!B433+CARGA_DIARIA!AB433+CARGA_DIARIA!AC433+CARGA_DIARIA!AD433+CARGA_DIARIA!AE433))</f>
        <v/>
      </c>
      <c r="F433" s="50" t="s">
        <v>146</v>
      </c>
      <c r="G433" s="50" t="s">
        <v>146</v>
      </c>
      <c r="H433" s="49" t="str">
        <f aca="false">IF(CARGA_DIARIA!A433="","",C433-D433-E433)</f>
        <v/>
      </c>
    </row>
    <row r="434" customFormat="false" ht="15.75" hidden="false" customHeight="true" outlineLevel="0" collapsed="false">
      <c r="A434" s="44" t="str">
        <f aca="false">IF(CARGA_DIARIA!A434="","",CARGA_DIARIA!A434)</f>
        <v/>
      </c>
      <c r="B434" s="45" t="str">
        <f aca="false">IF(CARGA_DIARIA!A434="","",CARGA_DIARIA!B434)</f>
        <v/>
      </c>
      <c r="C434" s="46" t="str">
        <f aca="false"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47" t="str">
        <f aca="false"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47" t="str">
        <f aca="false">IF(CARGA_DIARIA!A434="","",IF(CARGA_DIARIA!B434=0,0,(CARGA_DIARIA!X434+CARGA_DIARIA!Y434+CARGA_DIARIA!Z434+CARGA_DIARIA!AA434)/CARGA_DIARIA!B434+CARGA_DIARIA!AB434+CARGA_DIARIA!AC434+CARGA_DIARIA!AD434+CARGA_DIARIA!AE434))</f>
        <v/>
      </c>
      <c r="F434" s="50" t="s">
        <v>146</v>
      </c>
      <c r="G434" s="50" t="s">
        <v>146</v>
      </c>
      <c r="H434" s="49" t="str">
        <f aca="false">IF(CARGA_DIARIA!A434="","",C434-D434-E434)</f>
        <v/>
      </c>
    </row>
    <row r="435" customFormat="false" ht="15.75" hidden="false" customHeight="true" outlineLevel="0" collapsed="false">
      <c r="A435" s="44" t="str">
        <f aca="false">IF(CARGA_DIARIA!A435="","",CARGA_DIARIA!A435)</f>
        <v/>
      </c>
      <c r="B435" s="45" t="str">
        <f aca="false">IF(CARGA_DIARIA!A435="","",CARGA_DIARIA!B435)</f>
        <v/>
      </c>
      <c r="C435" s="46" t="str">
        <f aca="false"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47" t="str">
        <f aca="false"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47" t="str">
        <f aca="false">IF(CARGA_DIARIA!A435="","",IF(CARGA_DIARIA!B435=0,0,(CARGA_DIARIA!X435+CARGA_DIARIA!Y435+CARGA_DIARIA!Z435+CARGA_DIARIA!AA435)/CARGA_DIARIA!B435+CARGA_DIARIA!AB435+CARGA_DIARIA!AC435+CARGA_DIARIA!AD435+CARGA_DIARIA!AE435))</f>
        <v/>
      </c>
      <c r="F435" s="50" t="s">
        <v>146</v>
      </c>
      <c r="G435" s="50" t="s">
        <v>146</v>
      </c>
      <c r="H435" s="49" t="str">
        <f aca="false">IF(CARGA_DIARIA!A435="","",C435-D435-E435)</f>
        <v/>
      </c>
    </row>
    <row r="436" customFormat="false" ht="15.75" hidden="false" customHeight="true" outlineLevel="0" collapsed="false">
      <c r="A436" s="44" t="str">
        <f aca="false">IF(CARGA_DIARIA!A436="","",CARGA_DIARIA!A436)</f>
        <v/>
      </c>
      <c r="B436" s="45" t="str">
        <f aca="false">IF(CARGA_DIARIA!A436="","",CARGA_DIARIA!B436)</f>
        <v/>
      </c>
      <c r="C436" s="46" t="str">
        <f aca="false"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47" t="str">
        <f aca="false"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47" t="str">
        <f aca="false">IF(CARGA_DIARIA!A436="","",IF(CARGA_DIARIA!B436=0,0,(CARGA_DIARIA!X436+CARGA_DIARIA!Y436+CARGA_DIARIA!Z436+CARGA_DIARIA!AA436)/CARGA_DIARIA!B436+CARGA_DIARIA!AB436+CARGA_DIARIA!AC436+CARGA_DIARIA!AD436+CARGA_DIARIA!AE436))</f>
        <v/>
      </c>
      <c r="F436" s="50" t="s">
        <v>146</v>
      </c>
      <c r="G436" s="50" t="s">
        <v>146</v>
      </c>
      <c r="H436" s="49" t="str">
        <f aca="false">IF(CARGA_DIARIA!A436="","",C436-D436-E436)</f>
        <v/>
      </c>
    </row>
    <row r="437" customFormat="false" ht="15.75" hidden="false" customHeight="true" outlineLevel="0" collapsed="false">
      <c r="A437" s="44" t="str">
        <f aca="false">IF(CARGA_DIARIA!A437="","",CARGA_DIARIA!A437)</f>
        <v/>
      </c>
      <c r="B437" s="45" t="str">
        <f aca="false">IF(CARGA_DIARIA!A437="","",CARGA_DIARIA!B437)</f>
        <v/>
      </c>
      <c r="C437" s="46" t="str">
        <f aca="false"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47" t="str">
        <f aca="false"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47" t="str">
        <f aca="false">IF(CARGA_DIARIA!A437="","",IF(CARGA_DIARIA!B437=0,0,(CARGA_DIARIA!X437+CARGA_DIARIA!Y437+CARGA_DIARIA!Z437+CARGA_DIARIA!AA437)/CARGA_DIARIA!B437+CARGA_DIARIA!AB437+CARGA_DIARIA!AC437+CARGA_DIARIA!AD437+CARGA_DIARIA!AE437))</f>
        <v/>
      </c>
      <c r="F437" s="50" t="s">
        <v>146</v>
      </c>
      <c r="G437" s="50" t="s">
        <v>146</v>
      </c>
      <c r="H437" s="49" t="str">
        <f aca="false">IF(CARGA_DIARIA!A437="","",C437-D437-E437)</f>
        <v/>
      </c>
    </row>
    <row r="438" customFormat="false" ht="15.75" hidden="false" customHeight="true" outlineLevel="0" collapsed="false">
      <c r="A438" s="44" t="str">
        <f aca="false">IF(CARGA_DIARIA!A438="","",CARGA_DIARIA!A438)</f>
        <v/>
      </c>
      <c r="B438" s="45" t="str">
        <f aca="false">IF(CARGA_DIARIA!A438="","",CARGA_DIARIA!B438)</f>
        <v/>
      </c>
      <c r="C438" s="46" t="str">
        <f aca="false"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47" t="str">
        <f aca="false"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47" t="str">
        <f aca="false">IF(CARGA_DIARIA!A438="","",IF(CARGA_DIARIA!B438=0,0,(CARGA_DIARIA!X438+CARGA_DIARIA!Y438+CARGA_DIARIA!Z438+CARGA_DIARIA!AA438)/CARGA_DIARIA!B438+CARGA_DIARIA!AB438+CARGA_DIARIA!AC438+CARGA_DIARIA!AD438+CARGA_DIARIA!AE438))</f>
        <v/>
      </c>
      <c r="F438" s="50" t="s">
        <v>146</v>
      </c>
      <c r="G438" s="50" t="s">
        <v>146</v>
      </c>
      <c r="H438" s="49" t="str">
        <f aca="false">IF(CARGA_DIARIA!A438="","",C438-D438-E438)</f>
        <v/>
      </c>
    </row>
    <row r="439" customFormat="false" ht="15.75" hidden="false" customHeight="true" outlineLevel="0" collapsed="false">
      <c r="A439" s="44" t="str">
        <f aca="false">IF(CARGA_DIARIA!A439="","",CARGA_DIARIA!A439)</f>
        <v/>
      </c>
      <c r="B439" s="45" t="str">
        <f aca="false">IF(CARGA_DIARIA!A439="","",CARGA_DIARIA!B439)</f>
        <v/>
      </c>
      <c r="C439" s="46" t="str">
        <f aca="false"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47" t="str">
        <f aca="false"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47" t="str">
        <f aca="false">IF(CARGA_DIARIA!A439="","",IF(CARGA_DIARIA!B439=0,0,(CARGA_DIARIA!X439+CARGA_DIARIA!Y439+CARGA_DIARIA!Z439+CARGA_DIARIA!AA439)/CARGA_DIARIA!B439+CARGA_DIARIA!AB439+CARGA_DIARIA!AC439+CARGA_DIARIA!AD439+CARGA_DIARIA!AE439))</f>
        <v/>
      </c>
      <c r="F439" s="50" t="s">
        <v>146</v>
      </c>
      <c r="G439" s="50" t="s">
        <v>146</v>
      </c>
      <c r="H439" s="49" t="str">
        <f aca="false">IF(CARGA_DIARIA!A439="","",C439-D439-E439)</f>
        <v/>
      </c>
    </row>
    <row r="440" customFormat="false" ht="15.75" hidden="false" customHeight="true" outlineLevel="0" collapsed="false">
      <c r="A440" s="44" t="str">
        <f aca="false">IF(CARGA_DIARIA!A440="","",CARGA_DIARIA!A440)</f>
        <v/>
      </c>
      <c r="B440" s="45" t="str">
        <f aca="false">IF(CARGA_DIARIA!A440="","",CARGA_DIARIA!B440)</f>
        <v/>
      </c>
      <c r="C440" s="46" t="str">
        <f aca="false"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47" t="str">
        <f aca="false"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47" t="str">
        <f aca="false">IF(CARGA_DIARIA!A440="","",IF(CARGA_DIARIA!B440=0,0,(CARGA_DIARIA!X440+CARGA_DIARIA!Y440+CARGA_DIARIA!Z440+CARGA_DIARIA!AA440)/CARGA_DIARIA!B440+CARGA_DIARIA!AB440+CARGA_DIARIA!AC440+CARGA_DIARIA!AD440+CARGA_DIARIA!AE440))</f>
        <v/>
      </c>
      <c r="F440" s="50" t="s">
        <v>146</v>
      </c>
      <c r="G440" s="50" t="s">
        <v>146</v>
      </c>
      <c r="H440" s="49" t="str">
        <f aca="false">IF(CARGA_DIARIA!A440="","",C440-D440-E440)</f>
        <v/>
      </c>
    </row>
    <row r="441" customFormat="false" ht="15.75" hidden="false" customHeight="true" outlineLevel="0" collapsed="false">
      <c r="A441" s="44" t="str">
        <f aca="false">IF(CARGA_DIARIA!A441="","",CARGA_DIARIA!A441)</f>
        <v/>
      </c>
      <c r="B441" s="45" t="str">
        <f aca="false">IF(CARGA_DIARIA!A441="","",CARGA_DIARIA!B441)</f>
        <v/>
      </c>
      <c r="C441" s="46" t="str">
        <f aca="false"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47" t="str">
        <f aca="false"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47" t="str">
        <f aca="false">IF(CARGA_DIARIA!A441="","",IF(CARGA_DIARIA!B441=0,0,(CARGA_DIARIA!X441+CARGA_DIARIA!Y441+CARGA_DIARIA!Z441+CARGA_DIARIA!AA441)/CARGA_DIARIA!B441+CARGA_DIARIA!AB441+CARGA_DIARIA!AC441+CARGA_DIARIA!AD441+CARGA_DIARIA!AE441))</f>
        <v/>
      </c>
      <c r="F441" s="50" t="s">
        <v>146</v>
      </c>
      <c r="G441" s="50" t="s">
        <v>146</v>
      </c>
      <c r="H441" s="49" t="str">
        <f aca="false">IF(CARGA_DIARIA!A441="","",C441-D441-E441)</f>
        <v/>
      </c>
    </row>
    <row r="442" customFormat="false" ht="15.75" hidden="false" customHeight="true" outlineLevel="0" collapsed="false">
      <c r="A442" s="44" t="str">
        <f aca="false">IF(CARGA_DIARIA!A442="","",CARGA_DIARIA!A442)</f>
        <v/>
      </c>
      <c r="B442" s="45" t="str">
        <f aca="false">IF(CARGA_DIARIA!A442="","",CARGA_DIARIA!B442)</f>
        <v/>
      </c>
      <c r="C442" s="46" t="str">
        <f aca="false"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47" t="str">
        <f aca="false"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47" t="str">
        <f aca="false">IF(CARGA_DIARIA!A442="","",IF(CARGA_DIARIA!B442=0,0,(CARGA_DIARIA!X442+CARGA_DIARIA!Y442+CARGA_DIARIA!Z442+CARGA_DIARIA!AA442)/CARGA_DIARIA!B442+CARGA_DIARIA!AB442+CARGA_DIARIA!AC442+CARGA_DIARIA!AD442+CARGA_DIARIA!AE442))</f>
        <v/>
      </c>
      <c r="F442" s="50" t="s">
        <v>146</v>
      </c>
      <c r="G442" s="50" t="s">
        <v>146</v>
      </c>
      <c r="H442" s="49" t="str">
        <f aca="false">IF(CARGA_DIARIA!A442="","",C442-D442-E442)</f>
        <v/>
      </c>
    </row>
    <row r="443" customFormat="false" ht="15.75" hidden="false" customHeight="true" outlineLevel="0" collapsed="false">
      <c r="A443" s="44" t="str">
        <f aca="false">IF(CARGA_DIARIA!A443="","",CARGA_DIARIA!A443)</f>
        <v/>
      </c>
      <c r="B443" s="45" t="str">
        <f aca="false">IF(CARGA_DIARIA!A443="","",CARGA_DIARIA!B443)</f>
        <v/>
      </c>
      <c r="C443" s="46" t="str">
        <f aca="false"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47" t="str">
        <f aca="false"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47" t="str">
        <f aca="false">IF(CARGA_DIARIA!A443="","",IF(CARGA_DIARIA!B443=0,0,(CARGA_DIARIA!X443+CARGA_DIARIA!Y443+CARGA_DIARIA!Z443+CARGA_DIARIA!AA443)/CARGA_DIARIA!B443+CARGA_DIARIA!AB443+CARGA_DIARIA!AC443+CARGA_DIARIA!AD443+CARGA_DIARIA!AE443))</f>
        <v/>
      </c>
      <c r="F443" s="50" t="s">
        <v>146</v>
      </c>
      <c r="G443" s="50" t="s">
        <v>146</v>
      </c>
      <c r="H443" s="49" t="str">
        <f aca="false">IF(CARGA_DIARIA!A443="","",C443-D443-E443)</f>
        <v/>
      </c>
    </row>
    <row r="444" customFormat="false" ht="15.75" hidden="false" customHeight="true" outlineLevel="0" collapsed="false">
      <c r="A444" s="44" t="str">
        <f aca="false">IF(CARGA_DIARIA!A444="","",CARGA_DIARIA!A444)</f>
        <v/>
      </c>
      <c r="B444" s="45" t="str">
        <f aca="false">IF(CARGA_DIARIA!A444="","",CARGA_DIARIA!B444)</f>
        <v/>
      </c>
      <c r="C444" s="46" t="str">
        <f aca="false"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47" t="str">
        <f aca="false"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47" t="str">
        <f aca="false">IF(CARGA_DIARIA!A444="","",IF(CARGA_DIARIA!B444=0,0,(CARGA_DIARIA!X444+CARGA_DIARIA!Y444+CARGA_DIARIA!Z444+CARGA_DIARIA!AA444)/CARGA_DIARIA!B444+CARGA_DIARIA!AB444+CARGA_DIARIA!AC444+CARGA_DIARIA!AD444+CARGA_DIARIA!AE444))</f>
        <v/>
      </c>
      <c r="F444" s="50" t="s">
        <v>146</v>
      </c>
      <c r="G444" s="50" t="s">
        <v>146</v>
      </c>
      <c r="H444" s="49" t="str">
        <f aca="false">IF(CARGA_DIARIA!A444="","",C444-D444-E444)</f>
        <v/>
      </c>
    </row>
    <row r="445" customFormat="false" ht="15.75" hidden="false" customHeight="true" outlineLevel="0" collapsed="false">
      <c r="A445" s="44" t="str">
        <f aca="false">IF(CARGA_DIARIA!A445="","",CARGA_DIARIA!A445)</f>
        <v/>
      </c>
      <c r="B445" s="45" t="str">
        <f aca="false">IF(CARGA_DIARIA!A445="","",CARGA_DIARIA!B445)</f>
        <v/>
      </c>
      <c r="C445" s="46" t="str">
        <f aca="false"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47" t="str">
        <f aca="false"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47" t="str">
        <f aca="false">IF(CARGA_DIARIA!A445="","",IF(CARGA_DIARIA!B445=0,0,(CARGA_DIARIA!X445+CARGA_DIARIA!Y445+CARGA_DIARIA!Z445+CARGA_DIARIA!AA445)/CARGA_DIARIA!B445+CARGA_DIARIA!AB445+CARGA_DIARIA!AC445+CARGA_DIARIA!AD445+CARGA_DIARIA!AE445))</f>
        <v/>
      </c>
      <c r="F445" s="50" t="s">
        <v>146</v>
      </c>
      <c r="G445" s="50" t="s">
        <v>146</v>
      </c>
      <c r="H445" s="49" t="str">
        <f aca="false">IF(CARGA_DIARIA!A445="","",C445-D445-E445)</f>
        <v/>
      </c>
    </row>
    <row r="446" customFormat="false" ht="15.75" hidden="false" customHeight="true" outlineLevel="0" collapsed="false">
      <c r="A446" s="44" t="str">
        <f aca="false">IF(CARGA_DIARIA!A446="","",CARGA_DIARIA!A446)</f>
        <v/>
      </c>
      <c r="B446" s="45" t="str">
        <f aca="false">IF(CARGA_DIARIA!A446="","",CARGA_DIARIA!B446)</f>
        <v/>
      </c>
      <c r="C446" s="46" t="str">
        <f aca="false"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47" t="str">
        <f aca="false"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47" t="str">
        <f aca="false">IF(CARGA_DIARIA!A446="","",IF(CARGA_DIARIA!B446=0,0,(CARGA_DIARIA!X446+CARGA_DIARIA!Y446+CARGA_DIARIA!Z446+CARGA_DIARIA!AA446)/CARGA_DIARIA!B446+CARGA_DIARIA!AB446+CARGA_DIARIA!AC446+CARGA_DIARIA!AD446+CARGA_DIARIA!AE446))</f>
        <v/>
      </c>
      <c r="F446" s="50" t="s">
        <v>146</v>
      </c>
      <c r="G446" s="50" t="s">
        <v>146</v>
      </c>
      <c r="H446" s="49" t="str">
        <f aca="false">IF(CARGA_DIARIA!A446="","",C446-D446-E446)</f>
        <v/>
      </c>
    </row>
    <row r="447" customFormat="false" ht="15.75" hidden="false" customHeight="true" outlineLevel="0" collapsed="false">
      <c r="A447" s="44" t="str">
        <f aca="false">IF(CARGA_DIARIA!A447="","",CARGA_DIARIA!A447)</f>
        <v/>
      </c>
      <c r="B447" s="45" t="str">
        <f aca="false">IF(CARGA_DIARIA!A447="","",CARGA_DIARIA!B447)</f>
        <v/>
      </c>
      <c r="C447" s="46" t="str">
        <f aca="false"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47" t="str">
        <f aca="false"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47" t="str">
        <f aca="false">IF(CARGA_DIARIA!A447="","",IF(CARGA_DIARIA!B447=0,0,(CARGA_DIARIA!X447+CARGA_DIARIA!Y447+CARGA_DIARIA!Z447+CARGA_DIARIA!AA447)/CARGA_DIARIA!B447+CARGA_DIARIA!AB447+CARGA_DIARIA!AC447+CARGA_DIARIA!AD447+CARGA_DIARIA!AE447))</f>
        <v/>
      </c>
      <c r="F447" s="50" t="s">
        <v>146</v>
      </c>
      <c r="G447" s="50" t="s">
        <v>146</v>
      </c>
      <c r="H447" s="49" t="str">
        <f aca="false">IF(CARGA_DIARIA!A447="","",C447-D447-E447)</f>
        <v/>
      </c>
    </row>
    <row r="448" customFormat="false" ht="15.75" hidden="false" customHeight="true" outlineLevel="0" collapsed="false">
      <c r="A448" s="44" t="str">
        <f aca="false">IF(CARGA_DIARIA!A448="","",CARGA_DIARIA!A448)</f>
        <v/>
      </c>
      <c r="B448" s="45" t="str">
        <f aca="false">IF(CARGA_DIARIA!A448="","",CARGA_DIARIA!B448)</f>
        <v/>
      </c>
      <c r="C448" s="46" t="str">
        <f aca="false"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47" t="str">
        <f aca="false"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47" t="str">
        <f aca="false">IF(CARGA_DIARIA!A448="","",IF(CARGA_DIARIA!B448=0,0,(CARGA_DIARIA!X448+CARGA_DIARIA!Y448+CARGA_DIARIA!Z448+CARGA_DIARIA!AA448)/CARGA_DIARIA!B448+CARGA_DIARIA!AB448+CARGA_DIARIA!AC448+CARGA_DIARIA!AD448+CARGA_DIARIA!AE448))</f>
        <v/>
      </c>
      <c r="F448" s="50" t="s">
        <v>146</v>
      </c>
      <c r="G448" s="50" t="s">
        <v>146</v>
      </c>
      <c r="H448" s="49" t="str">
        <f aca="false">IF(CARGA_DIARIA!A448="","",C448-D448-E448)</f>
        <v/>
      </c>
    </row>
    <row r="449" customFormat="false" ht="15.75" hidden="false" customHeight="true" outlineLevel="0" collapsed="false">
      <c r="A449" s="44" t="str">
        <f aca="false">IF(CARGA_DIARIA!A449="","",CARGA_DIARIA!A449)</f>
        <v/>
      </c>
      <c r="B449" s="45" t="str">
        <f aca="false">IF(CARGA_DIARIA!A449="","",CARGA_DIARIA!B449)</f>
        <v/>
      </c>
      <c r="C449" s="46" t="str">
        <f aca="false"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47" t="str">
        <f aca="false"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47" t="str">
        <f aca="false">IF(CARGA_DIARIA!A449="","",IF(CARGA_DIARIA!B449=0,0,(CARGA_DIARIA!X449+CARGA_DIARIA!Y449+CARGA_DIARIA!Z449+CARGA_DIARIA!AA449)/CARGA_DIARIA!B449+CARGA_DIARIA!AB449+CARGA_DIARIA!AC449+CARGA_DIARIA!AD449+CARGA_DIARIA!AE449))</f>
        <v/>
      </c>
      <c r="F449" s="50" t="s">
        <v>146</v>
      </c>
      <c r="G449" s="50" t="s">
        <v>146</v>
      </c>
      <c r="H449" s="49" t="str">
        <f aca="false">IF(CARGA_DIARIA!A449="","",C449-D449-E449)</f>
        <v/>
      </c>
    </row>
    <row r="450" customFormat="false" ht="15.75" hidden="false" customHeight="true" outlineLevel="0" collapsed="false">
      <c r="A450" s="44" t="str">
        <f aca="false">IF(CARGA_DIARIA!A450="","",CARGA_DIARIA!A450)</f>
        <v/>
      </c>
      <c r="B450" s="45" t="str">
        <f aca="false">IF(CARGA_DIARIA!A450="","",CARGA_DIARIA!B450)</f>
        <v/>
      </c>
      <c r="C450" s="46" t="str">
        <f aca="false"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47" t="str">
        <f aca="false"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47" t="str">
        <f aca="false">IF(CARGA_DIARIA!A450="","",IF(CARGA_DIARIA!B450=0,0,(CARGA_DIARIA!X450+CARGA_DIARIA!Y450+CARGA_DIARIA!Z450+CARGA_DIARIA!AA450)/CARGA_DIARIA!B450+CARGA_DIARIA!AB450+CARGA_DIARIA!AC450+CARGA_DIARIA!AD450+CARGA_DIARIA!AE450))</f>
        <v/>
      </c>
      <c r="F450" s="50" t="s">
        <v>146</v>
      </c>
      <c r="G450" s="50" t="s">
        <v>146</v>
      </c>
      <c r="H450" s="49" t="str">
        <f aca="false">IF(CARGA_DIARIA!A450="","",C450-D450-E450)</f>
        <v/>
      </c>
    </row>
    <row r="451" customFormat="false" ht="15.75" hidden="false" customHeight="true" outlineLevel="0" collapsed="false">
      <c r="A451" s="44" t="str">
        <f aca="false">IF(CARGA_DIARIA!A451="","",CARGA_DIARIA!A451)</f>
        <v/>
      </c>
      <c r="B451" s="45" t="str">
        <f aca="false">IF(CARGA_DIARIA!A451="","",CARGA_DIARIA!B451)</f>
        <v/>
      </c>
      <c r="C451" s="46" t="str">
        <f aca="false"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47" t="str">
        <f aca="false"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47" t="str">
        <f aca="false">IF(CARGA_DIARIA!A451="","",IF(CARGA_DIARIA!B451=0,0,(CARGA_DIARIA!X451+CARGA_DIARIA!Y451+CARGA_DIARIA!Z451+CARGA_DIARIA!AA451)/CARGA_DIARIA!B451+CARGA_DIARIA!AB451+CARGA_DIARIA!AC451+CARGA_DIARIA!AD451+CARGA_DIARIA!AE451))</f>
        <v/>
      </c>
      <c r="F451" s="50" t="s">
        <v>146</v>
      </c>
      <c r="G451" s="50" t="s">
        <v>146</v>
      </c>
      <c r="H451" s="49" t="str">
        <f aca="false">IF(CARGA_DIARIA!A451="","",C451-D451-E451)</f>
        <v/>
      </c>
    </row>
    <row r="452" customFormat="false" ht="15.75" hidden="false" customHeight="true" outlineLevel="0" collapsed="false">
      <c r="A452" s="44" t="str">
        <f aca="false">IF(CARGA_DIARIA!A452="","",CARGA_DIARIA!A452)</f>
        <v/>
      </c>
      <c r="B452" s="45" t="str">
        <f aca="false">IF(CARGA_DIARIA!A452="","",CARGA_DIARIA!B452)</f>
        <v/>
      </c>
      <c r="C452" s="46" t="str">
        <f aca="false"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47" t="str">
        <f aca="false"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47" t="str">
        <f aca="false">IF(CARGA_DIARIA!A452="","",IF(CARGA_DIARIA!B452=0,0,(CARGA_DIARIA!X452+CARGA_DIARIA!Y452+CARGA_DIARIA!Z452+CARGA_DIARIA!AA452)/CARGA_DIARIA!B452+CARGA_DIARIA!AB452+CARGA_DIARIA!AC452+CARGA_DIARIA!AD452+CARGA_DIARIA!AE452))</f>
        <v/>
      </c>
      <c r="F452" s="50" t="s">
        <v>146</v>
      </c>
      <c r="G452" s="50" t="s">
        <v>146</v>
      </c>
      <c r="H452" s="49" t="str">
        <f aca="false">IF(CARGA_DIARIA!A452="","",C452-D452-E452)</f>
        <v/>
      </c>
    </row>
    <row r="453" customFormat="false" ht="15.75" hidden="false" customHeight="true" outlineLevel="0" collapsed="false">
      <c r="A453" s="44" t="str">
        <f aca="false">IF(CARGA_DIARIA!A453="","",CARGA_DIARIA!A453)</f>
        <v/>
      </c>
      <c r="B453" s="45" t="str">
        <f aca="false">IF(CARGA_DIARIA!A453="","",CARGA_DIARIA!B453)</f>
        <v/>
      </c>
      <c r="C453" s="46" t="str">
        <f aca="false"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47" t="str">
        <f aca="false"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47" t="str">
        <f aca="false">IF(CARGA_DIARIA!A453="","",IF(CARGA_DIARIA!B453=0,0,(CARGA_DIARIA!X453+CARGA_DIARIA!Y453+CARGA_DIARIA!Z453+CARGA_DIARIA!AA453)/CARGA_DIARIA!B453+CARGA_DIARIA!AB453+CARGA_DIARIA!AC453+CARGA_DIARIA!AD453+CARGA_DIARIA!AE453))</f>
        <v/>
      </c>
      <c r="F453" s="50" t="s">
        <v>146</v>
      </c>
      <c r="G453" s="50" t="s">
        <v>146</v>
      </c>
      <c r="H453" s="49" t="str">
        <f aca="false">IF(CARGA_DIARIA!A453="","",C453-D453-E453)</f>
        <v/>
      </c>
    </row>
    <row r="454" customFormat="false" ht="15.75" hidden="false" customHeight="true" outlineLevel="0" collapsed="false">
      <c r="A454" s="44" t="str">
        <f aca="false">IF(CARGA_DIARIA!A454="","",CARGA_DIARIA!A454)</f>
        <v/>
      </c>
      <c r="B454" s="45" t="str">
        <f aca="false">IF(CARGA_DIARIA!A454="","",CARGA_DIARIA!B454)</f>
        <v/>
      </c>
      <c r="C454" s="46" t="str">
        <f aca="false"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47" t="str">
        <f aca="false"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47" t="str">
        <f aca="false">IF(CARGA_DIARIA!A454="","",IF(CARGA_DIARIA!B454=0,0,(CARGA_DIARIA!X454+CARGA_DIARIA!Y454+CARGA_DIARIA!Z454+CARGA_DIARIA!AA454)/CARGA_DIARIA!B454+CARGA_DIARIA!AB454+CARGA_DIARIA!AC454+CARGA_DIARIA!AD454+CARGA_DIARIA!AE454))</f>
        <v/>
      </c>
      <c r="F454" s="50" t="s">
        <v>146</v>
      </c>
      <c r="G454" s="50" t="s">
        <v>146</v>
      </c>
      <c r="H454" s="49" t="str">
        <f aca="false">IF(CARGA_DIARIA!A454="","",C454-D454-E454)</f>
        <v/>
      </c>
    </row>
    <row r="455" customFormat="false" ht="15.75" hidden="false" customHeight="true" outlineLevel="0" collapsed="false">
      <c r="A455" s="44" t="str">
        <f aca="false">IF(CARGA_DIARIA!A455="","",CARGA_DIARIA!A455)</f>
        <v/>
      </c>
      <c r="B455" s="45" t="str">
        <f aca="false">IF(CARGA_DIARIA!A455="","",CARGA_DIARIA!B455)</f>
        <v/>
      </c>
      <c r="C455" s="46" t="str">
        <f aca="false"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47" t="str">
        <f aca="false"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47" t="str">
        <f aca="false">IF(CARGA_DIARIA!A455="","",IF(CARGA_DIARIA!B455=0,0,(CARGA_DIARIA!X455+CARGA_DIARIA!Y455+CARGA_DIARIA!Z455+CARGA_DIARIA!AA455)/CARGA_DIARIA!B455+CARGA_DIARIA!AB455+CARGA_DIARIA!AC455+CARGA_DIARIA!AD455+CARGA_DIARIA!AE455))</f>
        <v/>
      </c>
      <c r="F455" s="50" t="s">
        <v>146</v>
      </c>
      <c r="G455" s="50" t="s">
        <v>146</v>
      </c>
      <c r="H455" s="49" t="str">
        <f aca="false">IF(CARGA_DIARIA!A455="","",C455-D455-E455)</f>
        <v/>
      </c>
    </row>
    <row r="456" customFormat="false" ht="15.75" hidden="false" customHeight="true" outlineLevel="0" collapsed="false">
      <c r="A456" s="44" t="str">
        <f aca="false">IF(CARGA_DIARIA!A456="","",CARGA_DIARIA!A456)</f>
        <v/>
      </c>
      <c r="B456" s="45" t="str">
        <f aca="false">IF(CARGA_DIARIA!A456="","",CARGA_DIARIA!B456)</f>
        <v/>
      </c>
      <c r="C456" s="46" t="str">
        <f aca="false"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47" t="str">
        <f aca="false"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47" t="str">
        <f aca="false">IF(CARGA_DIARIA!A456="","",IF(CARGA_DIARIA!B456=0,0,(CARGA_DIARIA!X456+CARGA_DIARIA!Y456+CARGA_DIARIA!Z456+CARGA_DIARIA!AA456)/CARGA_DIARIA!B456+CARGA_DIARIA!AB456+CARGA_DIARIA!AC456+CARGA_DIARIA!AD456+CARGA_DIARIA!AE456))</f>
        <v/>
      </c>
      <c r="F456" s="50" t="s">
        <v>146</v>
      </c>
      <c r="G456" s="50" t="s">
        <v>146</v>
      </c>
      <c r="H456" s="49" t="str">
        <f aca="false">IF(CARGA_DIARIA!A456="","",C456-D456-E456)</f>
        <v/>
      </c>
    </row>
    <row r="457" customFormat="false" ht="15.75" hidden="false" customHeight="true" outlineLevel="0" collapsed="false">
      <c r="A457" s="44" t="str">
        <f aca="false">IF(CARGA_DIARIA!A457="","",CARGA_DIARIA!A457)</f>
        <v/>
      </c>
      <c r="B457" s="45" t="str">
        <f aca="false">IF(CARGA_DIARIA!A457="","",CARGA_DIARIA!B457)</f>
        <v/>
      </c>
      <c r="C457" s="46" t="str">
        <f aca="false"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47" t="str">
        <f aca="false"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47" t="str">
        <f aca="false">IF(CARGA_DIARIA!A457="","",IF(CARGA_DIARIA!B457=0,0,(CARGA_DIARIA!X457+CARGA_DIARIA!Y457+CARGA_DIARIA!Z457+CARGA_DIARIA!AA457)/CARGA_DIARIA!B457+CARGA_DIARIA!AB457+CARGA_DIARIA!AC457+CARGA_DIARIA!AD457+CARGA_DIARIA!AE457))</f>
        <v/>
      </c>
      <c r="F457" s="50" t="s">
        <v>146</v>
      </c>
      <c r="G457" s="50" t="s">
        <v>146</v>
      </c>
      <c r="H457" s="49" t="str">
        <f aca="false">IF(CARGA_DIARIA!A457="","",C457-D457-E457)</f>
        <v/>
      </c>
    </row>
    <row r="458" customFormat="false" ht="15.75" hidden="false" customHeight="true" outlineLevel="0" collapsed="false">
      <c r="A458" s="44" t="str">
        <f aca="false">IF(CARGA_DIARIA!A458="","",CARGA_DIARIA!A458)</f>
        <v/>
      </c>
      <c r="B458" s="45" t="str">
        <f aca="false">IF(CARGA_DIARIA!A458="","",CARGA_DIARIA!B458)</f>
        <v/>
      </c>
      <c r="C458" s="46" t="str">
        <f aca="false"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47" t="str">
        <f aca="false"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47" t="str">
        <f aca="false">IF(CARGA_DIARIA!A458="","",IF(CARGA_DIARIA!B458=0,0,(CARGA_DIARIA!X458+CARGA_DIARIA!Y458+CARGA_DIARIA!Z458+CARGA_DIARIA!AA458)/CARGA_DIARIA!B458+CARGA_DIARIA!AB458+CARGA_DIARIA!AC458+CARGA_DIARIA!AD458+CARGA_DIARIA!AE458))</f>
        <v/>
      </c>
      <c r="F458" s="50" t="s">
        <v>146</v>
      </c>
      <c r="G458" s="50" t="s">
        <v>146</v>
      </c>
      <c r="H458" s="49" t="str">
        <f aca="false">IF(CARGA_DIARIA!A458="","",C458-D458-E458)</f>
        <v/>
      </c>
    </row>
    <row r="459" customFormat="false" ht="15.75" hidden="false" customHeight="true" outlineLevel="0" collapsed="false">
      <c r="A459" s="44" t="str">
        <f aca="false">IF(CARGA_DIARIA!A459="","",CARGA_DIARIA!A459)</f>
        <v/>
      </c>
      <c r="B459" s="45" t="str">
        <f aca="false">IF(CARGA_DIARIA!A459="","",CARGA_DIARIA!B459)</f>
        <v/>
      </c>
      <c r="C459" s="46" t="str">
        <f aca="false"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47" t="str">
        <f aca="false"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47" t="str">
        <f aca="false">IF(CARGA_DIARIA!A459="","",IF(CARGA_DIARIA!B459=0,0,(CARGA_DIARIA!X459+CARGA_DIARIA!Y459+CARGA_DIARIA!Z459+CARGA_DIARIA!AA459)/CARGA_DIARIA!B459+CARGA_DIARIA!AB459+CARGA_DIARIA!AC459+CARGA_DIARIA!AD459+CARGA_DIARIA!AE459))</f>
        <v/>
      </c>
      <c r="F459" s="50" t="s">
        <v>146</v>
      </c>
      <c r="G459" s="50" t="s">
        <v>146</v>
      </c>
      <c r="H459" s="49" t="str">
        <f aca="false">IF(CARGA_DIARIA!A459="","",C459-D459-E459)</f>
        <v/>
      </c>
    </row>
    <row r="460" customFormat="false" ht="15.75" hidden="false" customHeight="true" outlineLevel="0" collapsed="false">
      <c r="A460" s="44" t="str">
        <f aca="false">IF(CARGA_DIARIA!A460="","",CARGA_DIARIA!A460)</f>
        <v/>
      </c>
      <c r="B460" s="45" t="str">
        <f aca="false">IF(CARGA_DIARIA!A460="","",CARGA_DIARIA!B460)</f>
        <v/>
      </c>
      <c r="C460" s="46" t="str">
        <f aca="false"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47" t="str">
        <f aca="false"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47" t="str">
        <f aca="false">IF(CARGA_DIARIA!A460="","",IF(CARGA_DIARIA!B460=0,0,(CARGA_DIARIA!X460+CARGA_DIARIA!Y460+CARGA_DIARIA!Z460+CARGA_DIARIA!AA460)/CARGA_DIARIA!B460+CARGA_DIARIA!AB460+CARGA_DIARIA!AC460+CARGA_DIARIA!AD460+CARGA_DIARIA!AE460))</f>
        <v/>
      </c>
      <c r="F460" s="50" t="s">
        <v>146</v>
      </c>
      <c r="G460" s="50" t="s">
        <v>146</v>
      </c>
      <c r="H460" s="49" t="str">
        <f aca="false">IF(CARGA_DIARIA!A460="","",C460-D460-E460)</f>
        <v/>
      </c>
    </row>
    <row r="461" customFormat="false" ht="15.75" hidden="false" customHeight="true" outlineLevel="0" collapsed="false">
      <c r="A461" s="44" t="str">
        <f aca="false">IF(CARGA_DIARIA!A461="","",CARGA_DIARIA!A461)</f>
        <v/>
      </c>
      <c r="B461" s="45" t="str">
        <f aca="false">IF(CARGA_DIARIA!A461="","",CARGA_DIARIA!B461)</f>
        <v/>
      </c>
      <c r="C461" s="46" t="str">
        <f aca="false"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47" t="str">
        <f aca="false"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47" t="str">
        <f aca="false">IF(CARGA_DIARIA!A461="","",IF(CARGA_DIARIA!B461=0,0,(CARGA_DIARIA!X461+CARGA_DIARIA!Y461+CARGA_DIARIA!Z461+CARGA_DIARIA!AA461)/CARGA_DIARIA!B461+CARGA_DIARIA!AB461+CARGA_DIARIA!AC461+CARGA_DIARIA!AD461+CARGA_DIARIA!AE461))</f>
        <v/>
      </c>
      <c r="F461" s="50" t="s">
        <v>146</v>
      </c>
      <c r="G461" s="50" t="s">
        <v>146</v>
      </c>
      <c r="H461" s="49" t="str">
        <f aca="false">IF(CARGA_DIARIA!A461="","",C461-D461-E461)</f>
        <v/>
      </c>
    </row>
    <row r="462" customFormat="false" ht="15.75" hidden="false" customHeight="true" outlineLevel="0" collapsed="false">
      <c r="A462" s="44" t="str">
        <f aca="false">IF(CARGA_DIARIA!A462="","",CARGA_DIARIA!A462)</f>
        <v/>
      </c>
      <c r="B462" s="45" t="str">
        <f aca="false">IF(CARGA_DIARIA!A462="","",CARGA_DIARIA!B462)</f>
        <v/>
      </c>
      <c r="C462" s="46" t="str">
        <f aca="false"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47" t="str">
        <f aca="false"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47" t="str">
        <f aca="false">IF(CARGA_DIARIA!A462="","",IF(CARGA_DIARIA!B462=0,0,(CARGA_DIARIA!X462+CARGA_DIARIA!Y462+CARGA_DIARIA!Z462+CARGA_DIARIA!AA462)/CARGA_DIARIA!B462+CARGA_DIARIA!AB462+CARGA_DIARIA!AC462+CARGA_DIARIA!AD462+CARGA_DIARIA!AE462))</f>
        <v/>
      </c>
      <c r="F462" s="50" t="s">
        <v>146</v>
      </c>
      <c r="G462" s="50" t="s">
        <v>146</v>
      </c>
      <c r="H462" s="49" t="str">
        <f aca="false">IF(CARGA_DIARIA!A462="","",C462-D462-E462)</f>
        <v/>
      </c>
    </row>
    <row r="463" customFormat="false" ht="15.75" hidden="false" customHeight="true" outlineLevel="0" collapsed="false">
      <c r="A463" s="44" t="str">
        <f aca="false">IF(CARGA_DIARIA!A463="","",CARGA_DIARIA!A463)</f>
        <v/>
      </c>
      <c r="B463" s="45" t="str">
        <f aca="false">IF(CARGA_DIARIA!A463="","",CARGA_DIARIA!B463)</f>
        <v/>
      </c>
      <c r="C463" s="46" t="str">
        <f aca="false"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47" t="str">
        <f aca="false"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47" t="str">
        <f aca="false">IF(CARGA_DIARIA!A463="","",IF(CARGA_DIARIA!B463=0,0,(CARGA_DIARIA!X463+CARGA_DIARIA!Y463+CARGA_DIARIA!Z463+CARGA_DIARIA!AA463)/CARGA_DIARIA!B463+CARGA_DIARIA!AB463+CARGA_DIARIA!AC463+CARGA_DIARIA!AD463+CARGA_DIARIA!AE463))</f>
        <v/>
      </c>
      <c r="F463" s="50" t="s">
        <v>146</v>
      </c>
      <c r="G463" s="50" t="s">
        <v>146</v>
      </c>
      <c r="H463" s="49" t="str">
        <f aca="false">IF(CARGA_DIARIA!A463="","",C463-D463-E463)</f>
        <v/>
      </c>
    </row>
    <row r="464" customFormat="false" ht="15.75" hidden="false" customHeight="true" outlineLevel="0" collapsed="false">
      <c r="A464" s="44" t="str">
        <f aca="false">IF(CARGA_DIARIA!A464="","",CARGA_DIARIA!A464)</f>
        <v/>
      </c>
      <c r="B464" s="45" t="str">
        <f aca="false">IF(CARGA_DIARIA!A464="","",CARGA_DIARIA!B464)</f>
        <v/>
      </c>
      <c r="C464" s="46" t="str">
        <f aca="false"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47" t="str">
        <f aca="false"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47" t="str">
        <f aca="false">IF(CARGA_DIARIA!A464="","",IF(CARGA_DIARIA!B464=0,0,(CARGA_DIARIA!X464+CARGA_DIARIA!Y464+CARGA_DIARIA!Z464+CARGA_DIARIA!AA464)/CARGA_DIARIA!B464+CARGA_DIARIA!AB464+CARGA_DIARIA!AC464+CARGA_DIARIA!AD464+CARGA_DIARIA!AE464))</f>
        <v/>
      </c>
      <c r="F464" s="50" t="s">
        <v>146</v>
      </c>
      <c r="G464" s="50" t="s">
        <v>146</v>
      </c>
      <c r="H464" s="49" t="str">
        <f aca="false">IF(CARGA_DIARIA!A464="","",C464-D464-E464)</f>
        <v/>
      </c>
    </row>
    <row r="465" customFormat="false" ht="15.75" hidden="false" customHeight="true" outlineLevel="0" collapsed="false">
      <c r="A465" s="44" t="str">
        <f aca="false">IF(CARGA_DIARIA!A465="","",CARGA_DIARIA!A465)</f>
        <v/>
      </c>
      <c r="B465" s="45" t="str">
        <f aca="false">IF(CARGA_DIARIA!A465="","",CARGA_DIARIA!B465)</f>
        <v/>
      </c>
      <c r="C465" s="46" t="str">
        <f aca="false"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47" t="str">
        <f aca="false"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47" t="str">
        <f aca="false">IF(CARGA_DIARIA!A465="","",IF(CARGA_DIARIA!B465=0,0,(CARGA_DIARIA!X465+CARGA_DIARIA!Y465+CARGA_DIARIA!Z465+CARGA_DIARIA!AA465)/CARGA_DIARIA!B465+CARGA_DIARIA!AB465+CARGA_DIARIA!AC465+CARGA_DIARIA!AD465+CARGA_DIARIA!AE465))</f>
        <v/>
      </c>
      <c r="F465" s="50" t="s">
        <v>146</v>
      </c>
      <c r="G465" s="50" t="s">
        <v>146</v>
      </c>
      <c r="H465" s="49" t="str">
        <f aca="false">IF(CARGA_DIARIA!A465="","",C465-D465-E465)</f>
        <v/>
      </c>
    </row>
    <row r="466" customFormat="false" ht="15.75" hidden="false" customHeight="true" outlineLevel="0" collapsed="false">
      <c r="A466" s="44" t="str">
        <f aca="false">IF(CARGA_DIARIA!A466="","",CARGA_DIARIA!A466)</f>
        <v/>
      </c>
      <c r="B466" s="45" t="str">
        <f aca="false">IF(CARGA_DIARIA!A466="","",CARGA_DIARIA!B466)</f>
        <v/>
      </c>
      <c r="C466" s="46" t="str">
        <f aca="false"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47" t="str">
        <f aca="false"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47" t="str">
        <f aca="false">IF(CARGA_DIARIA!A466="","",IF(CARGA_DIARIA!B466=0,0,(CARGA_DIARIA!X466+CARGA_DIARIA!Y466+CARGA_DIARIA!Z466+CARGA_DIARIA!AA466)/CARGA_DIARIA!B466+CARGA_DIARIA!AB466+CARGA_DIARIA!AC466+CARGA_DIARIA!AD466+CARGA_DIARIA!AE466))</f>
        <v/>
      </c>
      <c r="F466" s="50" t="s">
        <v>146</v>
      </c>
      <c r="G466" s="50" t="s">
        <v>146</v>
      </c>
      <c r="H466" s="49" t="str">
        <f aca="false">IF(CARGA_DIARIA!A466="","",C466-D466-E466)</f>
        <v/>
      </c>
    </row>
    <row r="467" customFormat="false" ht="15.75" hidden="false" customHeight="true" outlineLevel="0" collapsed="false">
      <c r="A467" s="44" t="str">
        <f aca="false">IF(CARGA_DIARIA!A467="","",CARGA_DIARIA!A467)</f>
        <v/>
      </c>
      <c r="B467" s="45" t="str">
        <f aca="false">IF(CARGA_DIARIA!A467="","",CARGA_DIARIA!B467)</f>
        <v/>
      </c>
      <c r="C467" s="46" t="str">
        <f aca="false"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47" t="str">
        <f aca="false"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47" t="str">
        <f aca="false">IF(CARGA_DIARIA!A467="","",IF(CARGA_DIARIA!B467=0,0,(CARGA_DIARIA!X467+CARGA_DIARIA!Y467+CARGA_DIARIA!Z467+CARGA_DIARIA!AA467)/CARGA_DIARIA!B467+CARGA_DIARIA!AB467+CARGA_DIARIA!AC467+CARGA_DIARIA!AD467+CARGA_DIARIA!AE467))</f>
        <v/>
      </c>
      <c r="F467" s="50" t="s">
        <v>146</v>
      </c>
      <c r="G467" s="50" t="s">
        <v>146</v>
      </c>
      <c r="H467" s="49" t="str">
        <f aca="false">IF(CARGA_DIARIA!A467="","",C467-D467-E467)</f>
        <v/>
      </c>
    </row>
    <row r="468" customFormat="false" ht="15.75" hidden="false" customHeight="true" outlineLevel="0" collapsed="false">
      <c r="A468" s="44" t="str">
        <f aca="false">IF(CARGA_DIARIA!A468="","",CARGA_DIARIA!A468)</f>
        <v/>
      </c>
      <c r="B468" s="45" t="str">
        <f aca="false">IF(CARGA_DIARIA!A468="","",CARGA_DIARIA!B468)</f>
        <v/>
      </c>
      <c r="C468" s="46" t="str">
        <f aca="false"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47" t="str">
        <f aca="false"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47" t="str">
        <f aca="false">IF(CARGA_DIARIA!A468="","",IF(CARGA_DIARIA!B468=0,0,(CARGA_DIARIA!X468+CARGA_DIARIA!Y468+CARGA_DIARIA!Z468+CARGA_DIARIA!AA468)/CARGA_DIARIA!B468+CARGA_DIARIA!AB468+CARGA_DIARIA!AC468+CARGA_DIARIA!AD468+CARGA_DIARIA!AE468))</f>
        <v/>
      </c>
      <c r="F468" s="50" t="s">
        <v>146</v>
      </c>
      <c r="G468" s="50" t="s">
        <v>146</v>
      </c>
      <c r="H468" s="49" t="str">
        <f aca="false">IF(CARGA_DIARIA!A468="","",C468-D468-E468)</f>
        <v/>
      </c>
    </row>
    <row r="469" customFormat="false" ht="15.75" hidden="false" customHeight="true" outlineLevel="0" collapsed="false">
      <c r="A469" s="44" t="str">
        <f aca="false">IF(CARGA_DIARIA!A469="","",CARGA_DIARIA!A469)</f>
        <v/>
      </c>
      <c r="B469" s="45" t="str">
        <f aca="false">IF(CARGA_DIARIA!A469="","",CARGA_DIARIA!B469)</f>
        <v/>
      </c>
      <c r="C469" s="46" t="str">
        <f aca="false"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47" t="str">
        <f aca="false"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47" t="str">
        <f aca="false">IF(CARGA_DIARIA!A469="","",IF(CARGA_DIARIA!B469=0,0,(CARGA_DIARIA!X469+CARGA_DIARIA!Y469+CARGA_DIARIA!Z469+CARGA_DIARIA!AA469)/CARGA_DIARIA!B469+CARGA_DIARIA!AB469+CARGA_DIARIA!AC469+CARGA_DIARIA!AD469+CARGA_DIARIA!AE469))</f>
        <v/>
      </c>
      <c r="F469" s="50" t="s">
        <v>146</v>
      </c>
      <c r="G469" s="50" t="s">
        <v>146</v>
      </c>
      <c r="H469" s="49" t="str">
        <f aca="false">IF(CARGA_DIARIA!A469="","",C469-D469-E469)</f>
        <v/>
      </c>
    </row>
    <row r="470" customFormat="false" ht="15.75" hidden="false" customHeight="true" outlineLevel="0" collapsed="false">
      <c r="A470" s="44" t="str">
        <f aca="false">IF(CARGA_DIARIA!A470="","",CARGA_DIARIA!A470)</f>
        <v/>
      </c>
      <c r="B470" s="45" t="str">
        <f aca="false">IF(CARGA_DIARIA!A470="","",CARGA_DIARIA!B470)</f>
        <v/>
      </c>
      <c r="C470" s="46" t="str">
        <f aca="false"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47" t="str">
        <f aca="false"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47" t="str">
        <f aca="false">IF(CARGA_DIARIA!A470="","",IF(CARGA_DIARIA!B470=0,0,(CARGA_DIARIA!X470+CARGA_DIARIA!Y470+CARGA_DIARIA!Z470+CARGA_DIARIA!AA470)/CARGA_DIARIA!B470+CARGA_DIARIA!AB470+CARGA_DIARIA!AC470+CARGA_DIARIA!AD470+CARGA_DIARIA!AE470))</f>
        <v/>
      </c>
      <c r="F470" s="50" t="s">
        <v>146</v>
      </c>
      <c r="G470" s="50" t="s">
        <v>146</v>
      </c>
      <c r="H470" s="49" t="str">
        <f aca="false">IF(CARGA_DIARIA!A470="","",C470-D470-E470)</f>
        <v/>
      </c>
    </row>
    <row r="471" customFormat="false" ht="15.75" hidden="false" customHeight="true" outlineLevel="0" collapsed="false">
      <c r="A471" s="44" t="str">
        <f aca="false">IF(CARGA_DIARIA!A471="","",CARGA_DIARIA!A471)</f>
        <v/>
      </c>
      <c r="B471" s="45" t="str">
        <f aca="false">IF(CARGA_DIARIA!A471="","",CARGA_DIARIA!B471)</f>
        <v/>
      </c>
      <c r="C471" s="46" t="str">
        <f aca="false"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47" t="str">
        <f aca="false"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47" t="str">
        <f aca="false">IF(CARGA_DIARIA!A471="","",IF(CARGA_DIARIA!B471=0,0,(CARGA_DIARIA!X471+CARGA_DIARIA!Y471+CARGA_DIARIA!Z471+CARGA_DIARIA!AA471)/CARGA_DIARIA!B471+CARGA_DIARIA!AB471+CARGA_DIARIA!AC471+CARGA_DIARIA!AD471+CARGA_DIARIA!AE471))</f>
        <v/>
      </c>
      <c r="F471" s="50" t="s">
        <v>146</v>
      </c>
      <c r="G471" s="50" t="s">
        <v>146</v>
      </c>
      <c r="H471" s="49" t="str">
        <f aca="false">IF(CARGA_DIARIA!A471="","",C471-D471-E471)</f>
        <v/>
      </c>
    </row>
    <row r="472" customFormat="false" ht="15.75" hidden="false" customHeight="true" outlineLevel="0" collapsed="false">
      <c r="A472" s="44" t="str">
        <f aca="false">IF(CARGA_DIARIA!A472="","",CARGA_DIARIA!A472)</f>
        <v/>
      </c>
      <c r="B472" s="45" t="str">
        <f aca="false">IF(CARGA_DIARIA!A472="","",CARGA_DIARIA!B472)</f>
        <v/>
      </c>
      <c r="C472" s="46" t="str">
        <f aca="false"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47" t="str">
        <f aca="false"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47" t="str">
        <f aca="false">IF(CARGA_DIARIA!A472="","",IF(CARGA_DIARIA!B472=0,0,(CARGA_DIARIA!X472+CARGA_DIARIA!Y472+CARGA_DIARIA!Z472+CARGA_DIARIA!AA472)/CARGA_DIARIA!B472+CARGA_DIARIA!AB472+CARGA_DIARIA!AC472+CARGA_DIARIA!AD472+CARGA_DIARIA!AE472))</f>
        <v/>
      </c>
      <c r="F472" s="50" t="s">
        <v>146</v>
      </c>
      <c r="G472" s="50" t="s">
        <v>146</v>
      </c>
      <c r="H472" s="49" t="str">
        <f aca="false">IF(CARGA_DIARIA!A472="","",C472-D472-E472)</f>
        <v/>
      </c>
    </row>
    <row r="473" customFormat="false" ht="15.75" hidden="false" customHeight="true" outlineLevel="0" collapsed="false">
      <c r="A473" s="44" t="str">
        <f aca="false">IF(CARGA_DIARIA!A473="","",CARGA_DIARIA!A473)</f>
        <v/>
      </c>
      <c r="B473" s="45" t="str">
        <f aca="false">IF(CARGA_DIARIA!A473="","",CARGA_DIARIA!B473)</f>
        <v/>
      </c>
      <c r="C473" s="46" t="str">
        <f aca="false"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47" t="str">
        <f aca="false"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47" t="str">
        <f aca="false">IF(CARGA_DIARIA!A473="","",IF(CARGA_DIARIA!B473=0,0,(CARGA_DIARIA!X473+CARGA_DIARIA!Y473+CARGA_DIARIA!Z473+CARGA_DIARIA!AA473)/CARGA_DIARIA!B473+CARGA_DIARIA!AB473+CARGA_DIARIA!AC473+CARGA_DIARIA!AD473+CARGA_DIARIA!AE473))</f>
        <v/>
      </c>
      <c r="F473" s="50" t="s">
        <v>146</v>
      </c>
      <c r="G473" s="50" t="s">
        <v>146</v>
      </c>
      <c r="H473" s="49" t="str">
        <f aca="false">IF(CARGA_DIARIA!A473="","",C473-D473-E473)</f>
        <v/>
      </c>
    </row>
    <row r="474" customFormat="false" ht="15.75" hidden="false" customHeight="true" outlineLevel="0" collapsed="false">
      <c r="A474" s="44" t="str">
        <f aca="false">IF(CARGA_DIARIA!A474="","",CARGA_DIARIA!A474)</f>
        <v/>
      </c>
      <c r="B474" s="45" t="str">
        <f aca="false">IF(CARGA_DIARIA!A474="","",CARGA_DIARIA!B474)</f>
        <v/>
      </c>
      <c r="C474" s="46" t="str">
        <f aca="false"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47" t="str">
        <f aca="false"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47" t="str">
        <f aca="false">IF(CARGA_DIARIA!A474="","",IF(CARGA_DIARIA!B474=0,0,(CARGA_DIARIA!X474+CARGA_DIARIA!Y474+CARGA_DIARIA!Z474+CARGA_DIARIA!AA474)/CARGA_DIARIA!B474+CARGA_DIARIA!AB474+CARGA_DIARIA!AC474+CARGA_DIARIA!AD474+CARGA_DIARIA!AE474))</f>
        <v/>
      </c>
      <c r="F474" s="50" t="s">
        <v>146</v>
      </c>
      <c r="G474" s="50" t="s">
        <v>146</v>
      </c>
      <c r="H474" s="49" t="str">
        <f aca="false">IF(CARGA_DIARIA!A474="","",C474-D474-E474)</f>
        <v/>
      </c>
    </row>
    <row r="475" customFormat="false" ht="15.75" hidden="false" customHeight="true" outlineLevel="0" collapsed="false">
      <c r="A475" s="44" t="str">
        <f aca="false">IF(CARGA_DIARIA!A475="","",CARGA_DIARIA!A475)</f>
        <v/>
      </c>
      <c r="B475" s="45" t="str">
        <f aca="false">IF(CARGA_DIARIA!A475="","",CARGA_DIARIA!B475)</f>
        <v/>
      </c>
      <c r="C475" s="46" t="str">
        <f aca="false"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47" t="str">
        <f aca="false"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47" t="str">
        <f aca="false">IF(CARGA_DIARIA!A475="","",IF(CARGA_DIARIA!B475=0,0,(CARGA_DIARIA!X475+CARGA_DIARIA!Y475+CARGA_DIARIA!Z475+CARGA_DIARIA!AA475)/CARGA_DIARIA!B475+CARGA_DIARIA!AB475+CARGA_DIARIA!AC475+CARGA_DIARIA!AD475+CARGA_DIARIA!AE475))</f>
        <v/>
      </c>
      <c r="F475" s="50" t="s">
        <v>146</v>
      </c>
      <c r="G475" s="50" t="s">
        <v>146</v>
      </c>
      <c r="H475" s="49" t="str">
        <f aca="false">IF(CARGA_DIARIA!A475="","",C475-D475-E475)</f>
        <v/>
      </c>
    </row>
    <row r="476" customFormat="false" ht="15.75" hidden="false" customHeight="true" outlineLevel="0" collapsed="false">
      <c r="A476" s="44" t="str">
        <f aca="false">IF(CARGA_DIARIA!A476="","",CARGA_DIARIA!A476)</f>
        <v/>
      </c>
      <c r="B476" s="45" t="str">
        <f aca="false">IF(CARGA_DIARIA!A476="","",CARGA_DIARIA!B476)</f>
        <v/>
      </c>
      <c r="C476" s="46" t="str">
        <f aca="false"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47" t="str">
        <f aca="false"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47" t="str">
        <f aca="false">IF(CARGA_DIARIA!A476="","",IF(CARGA_DIARIA!B476=0,0,(CARGA_DIARIA!X476+CARGA_DIARIA!Y476+CARGA_DIARIA!Z476+CARGA_DIARIA!AA476)/CARGA_DIARIA!B476+CARGA_DIARIA!AB476+CARGA_DIARIA!AC476+CARGA_DIARIA!AD476+CARGA_DIARIA!AE476))</f>
        <v/>
      </c>
      <c r="F476" s="50" t="s">
        <v>146</v>
      </c>
      <c r="G476" s="50" t="s">
        <v>146</v>
      </c>
      <c r="H476" s="49" t="str">
        <f aca="false">IF(CARGA_DIARIA!A476="","",C476-D476-E476)</f>
        <v/>
      </c>
    </row>
    <row r="477" customFormat="false" ht="15.75" hidden="false" customHeight="true" outlineLevel="0" collapsed="false">
      <c r="A477" s="44" t="str">
        <f aca="false">IF(CARGA_DIARIA!A477="","",CARGA_DIARIA!A477)</f>
        <v/>
      </c>
      <c r="B477" s="45" t="str">
        <f aca="false">IF(CARGA_DIARIA!A477="","",CARGA_DIARIA!B477)</f>
        <v/>
      </c>
      <c r="C477" s="46" t="str">
        <f aca="false"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47" t="str">
        <f aca="false"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47" t="str">
        <f aca="false">IF(CARGA_DIARIA!A477="","",IF(CARGA_DIARIA!B477=0,0,(CARGA_DIARIA!X477+CARGA_DIARIA!Y477+CARGA_DIARIA!Z477+CARGA_DIARIA!AA477)/CARGA_DIARIA!B477+CARGA_DIARIA!AB477+CARGA_DIARIA!AC477+CARGA_DIARIA!AD477+CARGA_DIARIA!AE477))</f>
        <v/>
      </c>
      <c r="F477" s="50" t="s">
        <v>146</v>
      </c>
      <c r="G477" s="50" t="s">
        <v>146</v>
      </c>
      <c r="H477" s="49" t="str">
        <f aca="false">IF(CARGA_DIARIA!A477="","",C477-D477-E477)</f>
        <v/>
      </c>
    </row>
    <row r="478" customFormat="false" ht="15.75" hidden="false" customHeight="true" outlineLevel="0" collapsed="false">
      <c r="A478" s="44" t="str">
        <f aca="false">IF(CARGA_DIARIA!A478="","",CARGA_DIARIA!A478)</f>
        <v/>
      </c>
      <c r="B478" s="45" t="str">
        <f aca="false">IF(CARGA_DIARIA!A478="","",CARGA_DIARIA!B478)</f>
        <v/>
      </c>
      <c r="C478" s="46" t="str">
        <f aca="false"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47" t="str">
        <f aca="false"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47" t="str">
        <f aca="false">IF(CARGA_DIARIA!A478="","",IF(CARGA_DIARIA!B478=0,0,(CARGA_DIARIA!X478+CARGA_DIARIA!Y478+CARGA_DIARIA!Z478+CARGA_DIARIA!AA478)/CARGA_DIARIA!B478+CARGA_DIARIA!AB478+CARGA_DIARIA!AC478+CARGA_DIARIA!AD478+CARGA_DIARIA!AE478))</f>
        <v/>
      </c>
      <c r="F478" s="50" t="s">
        <v>146</v>
      </c>
      <c r="G478" s="50" t="s">
        <v>146</v>
      </c>
      <c r="H478" s="49" t="str">
        <f aca="false">IF(CARGA_DIARIA!A478="","",C478-D478-E478)</f>
        <v/>
      </c>
    </row>
    <row r="479" customFormat="false" ht="15.75" hidden="false" customHeight="true" outlineLevel="0" collapsed="false">
      <c r="A479" s="44" t="str">
        <f aca="false">IF(CARGA_DIARIA!A479="","",CARGA_DIARIA!A479)</f>
        <v/>
      </c>
      <c r="B479" s="45" t="str">
        <f aca="false">IF(CARGA_DIARIA!A479="","",CARGA_DIARIA!B479)</f>
        <v/>
      </c>
      <c r="C479" s="46" t="str">
        <f aca="false"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47" t="str">
        <f aca="false"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47" t="str">
        <f aca="false">IF(CARGA_DIARIA!A479="","",IF(CARGA_DIARIA!B479=0,0,(CARGA_DIARIA!X479+CARGA_DIARIA!Y479+CARGA_DIARIA!Z479+CARGA_DIARIA!AA479)/CARGA_DIARIA!B479+CARGA_DIARIA!AB479+CARGA_DIARIA!AC479+CARGA_DIARIA!AD479+CARGA_DIARIA!AE479))</f>
        <v/>
      </c>
      <c r="F479" s="50" t="s">
        <v>146</v>
      </c>
      <c r="G479" s="50" t="s">
        <v>146</v>
      </c>
      <c r="H479" s="49" t="str">
        <f aca="false">IF(CARGA_DIARIA!A479="","",C479-D479-E479)</f>
        <v/>
      </c>
    </row>
    <row r="480" customFormat="false" ht="15.75" hidden="false" customHeight="true" outlineLevel="0" collapsed="false">
      <c r="A480" s="44" t="str">
        <f aca="false">IF(CARGA_DIARIA!A480="","",CARGA_DIARIA!A480)</f>
        <v/>
      </c>
      <c r="B480" s="45" t="str">
        <f aca="false">IF(CARGA_DIARIA!A480="","",CARGA_DIARIA!B480)</f>
        <v/>
      </c>
      <c r="C480" s="46" t="str">
        <f aca="false"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47" t="str">
        <f aca="false"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47" t="str">
        <f aca="false">IF(CARGA_DIARIA!A480="","",IF(CARGA_DIARIA!B480=0,0,(CARGA_DIARIA!X480+CARGA_DIARIA!Y480+CARGA_DIARIA!Z480+CARGA_DIARIA!AA480)/CARGA_DIARIA!B480+CARGA_DIARIA!AB480+CARGA_DIARIA!AC480+CARGA_DIARIA!AD480+CARGA_DIARIA!AE480))</f>
        <v/>
      </c>
      <c r="F480" s="50" t="s">
        <v>146</v>
      </c>
      <c r="G480" s="50" t="s">
        <v>146</v>
      </c>
      <c r="H480" s="49" t="str">
        <f aca="false">IF(CARGA_DIARIA!A480="","",C480-D480-E480)</f>
        <v/>
      </c>
    </row>
    <row r="481" customFormat="false" ht="15.75" hidden="false" customHeight="true" outlineLevel="0" collapsed="false">
      <c r="A481" s="44" t="str">
        <f aca="false">IF(CARGA_DIARIA!A481="","",CARGA_DIARIA!A481)</f>
        <v/>
      </c>
      <c r="B481" s="45" t="str">
        <f aca="false">IF(CARGA_DIARIA!A481="","",CARGA_DIARIA!B481)</f>
        <v/>
      </c>
      <c r="C481" s="46" t="str">
        <f aca="false"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47" t="str">
        <f aca="false"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47" t="str">
        <f aca="false">IF(CARGA_DIARIA!A481="","",IF(CARGA_DIARIA!B481=0,0,(CARGA_DIARIA!X481+CARGA_DIARIA!Y481+CARGA_DIARIA!Z481+CARGA_DIARIA!AA481)/CARGA_DIARIA!B481+CARGA_DIARIA!AB481+CARGA_DIARIA!AC481+CARGA_DIARIA!AD481+CARGA_DIARIA!AE481))</f>
        <v/>
      </c>
      <c r="F481" s="50" t="s">
        <v>146</v>
      </c>
      <c r="G481" s="50" t="s">
        <v>146</v>
      </c>
      <c r="H481" s="49" t="str">
        <f aca="false">IF(CARGA_DIARIA!A481="","",C481-D481-E481)</f>
        <v/>
      </c>
    </row>
    <row r="482" customFormat="false" ht="15.75" hidden="false" customHeight="true" outlineLevel="0" collapsed="false">
      <c r="A482" s="44" t="str">
        <f aca="false">IF(CARGA_DIARIA!A482="","",CARGA_DIARIA!A482)</f>
        <v/>
      </c>
      <c r="B482" s="45" t="str">
        <f aca="false">IF(CARGA_DIARIA!A482="","",CARGA_DIARIA!B482)</f>
        <v/>
      </c>
      <c r="C482" s="46" t="str">
        <f aca="false"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47" t="str">
        <f aca="false"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47" t="str">
        <f aca="false">IF(CARGA_DIARIA!A482="","",IF(CARGA_DIARIA!B482=0,0,(CARGA_DIARIA!X482+CARGA_DIARIA!Y482+CARGA_DIARIA!Z482+CARGA_DIARIA!AA482)/CARGA_DIARIA!B482+CARGA_DIARIA!AB482+CARGA_DIARIA!AC482+CARGA_DIARIA!AD482+CARGA_DIARIA!AE482))</f>
        <v/>
      </c>
      <c r="F482" s="50" t="s">
        <v>146</v>
      </c>
      <c r="G482" s="50" t="s">
        <v>146</v>
      </c>
      <c r="H482" s="49" t="str">
        <f aca="false">IF(CARGA_DIARIA!A482="","",C482-D482-E482)</f>
        <v/>
      </c>
    </row>
    <row r="483" customFormat="false" ht="15.75" hidden="false" customHeight="true" outlineLevel="0" collapsed="false">
      <c r="A483" s="44" t="str">
        <f aca="false">IF(CARGA_DIARIA!A483="","",CARGA_DIARIA!A483)</f>
        <v/>
      </c>
      <c r="B483" s="45" t="str">
        <f aca="false">IF(CARGA_DIARIA!A483="","",CARGA_DIARIA!B483)</f>
        <v/>
      </c>
      <c r="C483" s="46" t="str">
        <f aca="false"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47" t="str">
        <f aca="false"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47" t="str">
        <f aca="false">IF(CARGA_DIARIA!A483="","",IF(CARGA_DIARIA!B483=0,0,(CARGA_DIARIA!X483+CARGA_DIARIA!Y483+CARGA_DIARIA!Z483+CARGA_DIARIA!AA483)/CARGA_DIARIA!B483+CARGA_DIARIA!AB483+CARGA_DIARIA!AC483+CARGA_DIARIA!AD483+CARGA_DIARIA!AE483))</f>
        <v/>
      </c>
      <c r="F483" s="50" t="s">
        <v>146</v>
      </c>
      <c r="G483" s="50" t="s">
        <v>146</v>
      </c>
      <c r="H483" s="49" t="str">
        <f aca="false">IF(CARGA_DIARIA!A483="","",C483-D483-E483)</f>
        <v/>
      </c>
    </row>
    <row r="484" customFormat="false" ht="15.75" hidden="false" customHeight="true" outlineLevel="0" collapsed="false">
      <c r="A484" s="44" t="str">
        <f aca="false">IF(CARGA_DIARIA!A484="","",CARGA_DIARIA!A484)</f>
        <v/>
      </c>
      <c r="B484" s="45" t="str">
        <f aca="false">IF(CARGA_DIARIA!A484="","",CARGA_DIARIA!B484)</f>
        <v/>
      </c>
      <c r="C484" s="46" t="str">
        <f aca="false"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47" t="str">
        <f aca="false"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47" t="str">
        <f aca="false">IF(CARGA_DIARIA!A484="","",IF(CARGA_DIARIA!B484=0,0,(CARGA_DIARIA!X484+CARGA_DIARIA!Y484+CARGA_DIARIA!Z484+CARGA_DIARIA!AA484)/CARGA_DIARIA!B484+CARGA_DIARIA!AB484+CARGA_DIARIA!AC484+CARGA_DIARIA!AD484+CARGA_DIARIA!AE484))</f>
        <v/>
      </c>
      <c r="F484" s="50" t="s">
        <v>146</v>
      </c>
      <c r="G484" s="50" t="s">
        <v>146</v>
      </c>
      <c r="H484" s="49" t="str">
        <f aca="false">IF(CARGA_DIARIA!A484="","",C484-D484-E484)</f>
        <v/>
      </c>
    </row>
    <row r="485" customFormat="false" ht="15.75" hidden="false" customHeight="true" outlineLevel="0" collapsed="false">
      <c r="A485" s="44" t="str">
        <f aca="false">IF(CARGA_DIARIA!A485="","",CARGA_DIARIA!A485)</f>
        <v/>
      </c>
      <c r="B485" s="45" t="str">
        <f aca="false">IF(CARGA_DIARIA!A485="","",CARGA_DIARIA!B485)</f>
        <v/>
      </c>
      <c r="C485" s="46" t="str">
        <f aca="false"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47" t="str">
        <f aca="false"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47" t="str">
        <f aca="false">IF(CARGA_DIARIA!A485="","",IF(CARGA_DIARIA!B485=0,0,(CARGA_DIARIA!X485+CARGA_DIARIA!Y485+CARGA_DIARIA!Z485+CARGA_DIARIA!AA485)/CARGA_DIARIA!B485+CARGA_DIARIA!AB485+CARGA_DIARIA!AC485+CARGA_DIARIA!AD485+CARGA_DIARIA!AE485))</f>
        <v/>
      </c>
      <c r="F485" s="50" t="s">
        <v>146</v>
      </c>
      <c r="G485" s="50" t="s">
        <v>146</v>
      </c>
      <c r="H485" s="49" t="str">
        <f aca="false">IF(CARGA_DIARIA!A485="","",C485-D485-E485)</f>
        <v/>
      </c>
    </row>
    <row r="486" customFormat="false" ht="15.75" hidden="false" customHeight="true" outlineLevel="0" collapsed="false">
      <c r="A486" s="44" t="str">
        <f aca="false">IF(CARGA_DIARIA!A486="","",CARGA_DIARIA!A486)</f>
        <v/>
      </c>
      <c r="B486" s="45" t="str">
        <f aca="false">IF(CARGA_DIARIA!A486="","",CARGA_DIARIA!B486)</f>
        <v/>
      </c>
      <c r="C486" s="46" t="str">
        <f aca="false"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47" t="str">
        <f aca="false"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47" t="str">
        <f aca="false">IF(CARGA_DIARIA!A486="","",IF(CARGA_DIARIA!B486=0,0,(CARGA_DIARIA!X486+CARGA_DIARIA!Y486+CARGA_DIARIA!Z486+CARGA_DIARIA!AA486)/CARGA_DIARIA!B486+CARGA_DIARIA!AB486+CARGA_DIARIA!AC486+CARGA_DIARIA!AD486+CARGA_DIARIA!AE486))</f>
        <v/>
      </c>
      <c r="F486" s="50" t="s">
        <v>146</v>
      </c>
      <c r="G486" s="50" t="s">
        <v>146</v>
      </c>
      <c r="H486" s="49" t="str">
        <f aca="false">IF(CARGA_DIARIA!A486="","",C486-D486-E486)</f>
        <v/>
      </c>
    </row>
    <row r="487" customFormat="false" ht="15.75" hidden="false" customHeight="true" outlineLevel="0" collapsed="false">
      <c r="A487" s="44" t="str">
        <f aca="false">IF(CARGA_DIARIA!A487="","",CARGA_DIARIA!A487)</f>
        <v/>
      </c>
      <c r="B487" s="45" t="str">
        <f aca="false">IF(CARGA_DIARIA!A487="","",CARGA_DIARIA!B487)</f>
        <v/>
      </c>
      <c r="C487" s="46" t="str">
        <f aca="false"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47" t="str">
        <f aca="false"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47" t="str">
        <f aca="false">IF(CARGA_DIARIA!A487="","",IF(CARGA_DIARIA!B487=0,0,(CARGA_DIARIA!X487+CARGA_DIARIA!Y487+CARGA_DIARIA!Z487+CARGA_DIARIA!AA487)/CARGA_DIARIA!B487+CARGA_DIARIA!AB487+CARGA_DIARIA!AC487+CARGA_DIARIA!AD487+CARGA_DIARIA!AE487))</f>
        <v/>
      </c>
      <c r="F487" s="50" t="s">
        <v>146</v>
      </c>
      <c r="G487" s="50" t="s">
        <v>146</v>
      </c>
      <c r="H487" s="49" t="str">
        <f aca="false">IF(CARGA_DIARIA!A487="","",C487-D487-E487)</f>
        <v/>
      </c>
    </row>
    <row r="488" customFormat="false" ht="15.75" hidden="false" customHeight="true" outlineLevel="0" collapsed="false">
      <c r="A488" s="44" t="str">
        <f aca="false">IF(CARGA_DIARIA!A488="","",CARGA_DIARIA!A488)</f>
        <v/>
      </c>
      <c r="B488" s="45" t="str">
        <f aca="false">IF(CARGA_DIARIA!A488="","",CARGA_DIARIA!B488)</f>
        <v/>
      </c>
      <c r="C488" s="46" t="str">
        <f aca="false"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47" t="str">
        <f aca="false"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47" t="str">
        <f aca="false">IF(CARGA_DIARIA!A488="","",IF(CARGA_DIARIA!B488=0,0,(CARGA_DIARIA!X488+CARGA_DIARIA!Y488+CARGA_DIARIA!Z488+CARGA_DIARIA!AA488)/CARGA_DIARIA!B488+CARGA_DIARIA!AB488+CARGA_DIARIA!AC488+CARGA_DIARIA!AD488+CARGA_DIARIA!AE488))</f>
        <v/>
      </c>
      <c r="F488" s="50" t="s">
        <v>146</v>
      </c>
      <c r="G488" s="50" t="s">
        <v>146</v>
      </c>
      <c r="H488" s="49" t="str">
        <f aca="false">IF(CARGA_DIARIA!A488="","",C488-D488-E488)</f>
        <v/>
      </c>
    </row>
    <row r="489" customFormat="false" ht="15.75" hidden="false" customHeight="true" outlineLevel="0" collapsed="false">
      <c r="A489" s="44" t="str">
        <f aca="false">IF(CARGA_DIARIA!A489="","",CARGA_DIARIA!A489)</f>
        <v/>
      </c>
      <c r="B489" s="45" t="str">
        <f aca="false">IF(CARGA_DIARIA!A489="","",CARGA_DIARIA!B489)</f>
        <v/>
      </c>
      <c r="C489" s="46" t="str">
        <f aca="false"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47" t="str">
        <f aca="false"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47" t="str">
        <f aca="false">IF(CARGA_DIARIA!A489="","",IF(CARGA_DIARIA!B489=0,0,(CARGA_DIARIA!X489+CARGA_DIARIA!Y489+CARGA_DIARIA!Z489+CARGA_DIARIA!AA489)/CARGA_DIARIA!B489+CARGA_DIARIA!AB489+CARGA_DIARIA!AC489+CARGA_DIARIA!AD489+CARGA_DIARIA!AE489))</f>
        <v/>
      </c>
      <c r="F489" s="50" t="s">
        <v>146</v>
      </c>
      <c r="G489" s="50" t="s">
        <v>146</v>
      </c>
      <c r="H489" s="49" t="str">
        <f aca="false">IF(CARGA_DIARIA!A489="","",C489-D489-E489)</f>
        <v/>
      </c>
    </row>
    <row r="490" customFormat="false" ht="15.75" hidden="false" customHeight="true" outlineLevel="0" collapsed="false">
      <c r="A490" s="44" t="str">
        <f aca="false">IF(CARGA_DIARIA!A490="","",CARGA_DIARIA!A490)</f>
        <v/>
      </c>
      <c r="B490" s="45" t="str">
        <f aca="false">IF(CARGA_DIARIA!A490="","",CARGA_DIARIA!B490)</f>
        <v/>
      </c>
      <c r="C490" s="46" t="str">
        <f aca="false"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47" t="str">
        <f aca="false"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47" t="str">
        <f aca="false">IF(CARGA_DIARIA!A490="","",IF(CARGA_DIARIA!B490=0,0,(CARGA_DIARIA!X490+CARGA_DIARIA!Y490+CARGA_DIARIA!Z490+CARGA_DIARIA!AA490)/CARGA_DIARIA!B490+CARGA_DIARIA!AB490+CARGA_DIARIA!AC490+CARGA_DIARIA!AD490+CARGA_DIARIA!AE490))</f>
        <v/>
      </c>
      <c r="F490" s="50" t="s">
        <v>146</v>
      </c>
      <c r="G490" s="50" t="s">
        <v>146</v>
      </c>
      <c r="H490" s="49" t="str">
        <f aca="false">IF(CARGA_DIARIA!A490="","",C490-D490-E490)</f>
        <v/>
      </c>
    </row>
    <row r="491" customFormat="false" ht="15.75" hidden="false" customHeight="true" outlineLevel="0" collapsed="false">
      <c r="A491" s="44" t="str">
        <f aca="false">IF(CARGA_DIARIA!A491="","",CARGA_DIARIA!A491)</f>
        <v/>
      </c>
      <c r="B491" s="45" t="str">
        <f aca="false">IF(CARGA_DIARIA!A491="","",CARGA_DIARIA!B491)</f>
        <v/>
      </c>
      <c r="C491" s="46" t="str">
        <f aca="false"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47" t="str">
        <f aca="false"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47" t="str">
        <f aca="false">IF(CARGA_DIARIA!A491="","",IF(CARGA_DIARIA!B491=0,0,(CARGA_DIARIA!X491+CARGA_DIARIA!Y491+CARGA_DIARIA!Z491+CARGA_DIARIA!AA491)/CARGA_DIARIA!B491+CARGA_DIARIA!AB491+CARGA_DIARIA!AC491+CARGA_DIARIA!AD491+CARGA_DIARIA!AE491))</f>
        <v/>
      </c>
      <c r="F491" s="50" t="s">
        <v>146</v>
      </c>
      <c r="G491" s="50" t="s">
        <v>146</v>
      </c>
      <c r="H491" s="49" t="str">
        <f aca="false">IF(CARGA_DIARIA!A491="","",C491-D491-E491)</f>
        <v/>
      </c>
    </row>
    <row r="492" customFormat="false" ht="15.75" hidden="false" customHeight="true" outlineLevel="0" collapsed="false">
      <c r="A492" s="44" t="str">
        <f aca="false">IF(CARGA_DIARIA!A492="","",CARGA_DIARIA!A492)</f>
        <v/>
      </c>
      <c r="B492" s="45" t="str">
        <f aca="false">IF(CARGA_DIARIA!A492="","",CARGA_DIARIA!B492)</f>
        <v/>
      </c>
      <c r="C492" s="46" t="str">
        <f aca="false"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47" t="str">
        <f aca="false"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47" t="str">
        <f aca="false">IF(CARGA_DIARIA!A492="","",IF(CARGA_DIARIA!B492=0,0,(CARGA_DIARIA!X492+CARGA_DIARIA!Y492+CARGA_DIARIA!Z492+CARGA_DIARIA!AA492)/CARGA_DIARIA!B492+CARGA_DIARIA!AB492+CARGA_DIARIA!AC492+CARGA_DIARIA!AD492+CARGA_DIARIA!AE492))</f>
        <v/>
      </c>
      <c r="F492" s="50" t="s">
        <v>146</v>
      </c>
      <c r="G492" s="50" t="s">
        <v>146</v>
      </c>
      <c r="H492" s="49" t="str">
        <f aca="false">IF(CARGA_DIARIA!A492="","",C492-D492-E492)</f>
        <v/>
      </c>
    </row>
    <row r="493" customFormat="false" ht="15.75" hidden="false" customHeight="true" outlineLevel="0" collapsed="false">
      <c r="A493" s="44" t="str">
        <f aca="false">IF(CARGA_DIARIA!A493="","",CARGA_DIARIA!A493)</f>
        <v/>
      </c>
      <c r="B493" s="45" t="str">
        <f aca="false">IF(CARGA_DIARIA!A493="","",CARGA_DIARIA!B493)</f>
        <v/>
      </c>
      <c r="C493" s="46" t="str">
        <f aca="false"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47" t="str">
        <f aca="false"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47" t="str">
        <f aca="false">IF(CARGA_DIARIA!A493="","",IF(CARGA_DIARIA!B493=0,0,(CARGA_DIARIA!X493+CARGA_DIARIA!Y493+CARGA_DIARIA!Z493+CARGA_DIARIA!AA493)/CARGA_DIARIA!B493+CARGA_DIARIA!AB493+CARGA_DIARIA!AC493+CARGA_DIARIA!AD493+CARGA_DIARIA!AE493))</f>
        <v/>
      </c>
      <c r="F493" s="50" t="s">
        <v>146</v>
      </c>
      <c r="G493" s="50" t="s">
        <v>146</v>
      </c>
      <c r="H493" s="49" t="str">
        <f aca="false">IF(CARGA_DIARIA!A493="","",C493-D493-E493)</f>
        <v/>
      </c>
    </row>
    <row r="494" customFormat="false" ht="15.75" hidden="false" customHeight="true" outlineLevel="0" collapsed="false">
      <c r="A494" s="44" t="str">
        <f aca="false">IF(CARGA_DIARIA!A494="","",CARGA_DIARIA!A494)</f>
        <v/>
      </c>
      <c r="B494" s="45" t="str">
        <f aca="false">IF(CARGA_DIARIA!A494="","",CARGA_DIARIA!B494)</f>
        <v/>
      </c>
      <c r="C494" s="46" t="str">
        <f aca="false"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47" t="str">
        <f aca="false"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47" t="str">
        <f aca="false">IF(CARGA_DIARIA!A494="","",IF(CARGA_DIARIA!B494=0,0,(CARGA_DIARIA!X494+CARGA_DIARIA!Y494+CARGA_DIARIA!Z494+CARGA_DIARIA!AA494)/CARGA_DIARIA!B494+CARGA_DIARIA!AB494+CARGA_DIARIA!AC494+CARGA_DIARIA!AD494+CARGA_DIARIA!AE494))</f>
        <v/>
      </c>
      <c r="F494" s="50" t="s">
        <v>146</v>
      </c>
      <c r="G494" s="50" t="s">
        <v>146</v>
      </c>
      <c r="H494" s="49" t="str">
        <f aca="false">IF(CARGA_DIARIA!A494="","",C494-D494-E494)</f>
        <v/>
      </c>
    </row>
    <row r="495" customFormat="false" ht="15.75" hidden="false" customHeight="true" outlineLevel="0" collapsed="false">
      <c r="A495" s="44" t="str">
        <f aca="false">IF(CARGA_DIARIA!A495="","",CARGA_DIARIA!A495)</f>
        <v/>
      </c>
      <c r="B495" s="45" t="str">
        <f aca="false">IF(CARGA_DIARIA!A495="","",CARGA_DIARIA!B495)</f>
        <v/>
      </c>
      <c r="C495" s="46" t="str">
        <f aca="false"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47" t="str">
        <f aca="false"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47" t="str">
        <f aca="false">IF(CARGA_DIARIA!A495="","",IF(CARGA_DIARIA!B495=0,0,(CARGA_DIARIA!X495+CARGA_DIARIA!Y495+CARGA_DIARIA!Z495+CARGA_DIARIA!AA495)/CARGA_DIARIA!B495+CARGA_DIARIA!AB495+CARGA_DIARIA!AC495+CARGA_DIARIA!AD495+CARGA_DIARIA!AE495))</f>
        <v/>
      </c>
      <c r="F495" s="50" t="s">
        <v>146</v>
      </c>
      <c r="G495" s="50" t="s">
        <v>146</v>
      </c>
      <c r="H495" s="49" t="str">
        <f aca="false">IF(CARGA_DIARIA!A495="","",C495-D495-E495)</f>
        <v/>
      </c>
    </row>
    <row r="496" customFormat="false" ht="15.75" hidden="false" customHeight="true" outlineLevel="0" collapsed="false">
      <c r="A496" s="44" t="str">
        <f aca="false">IF(CARGA_DIARIA!A496="","",CARGA_DIARIA!A496)</f>
        <v/>
      </c>
      <c r="B496" s="45" t="str">
        <f aca="false">IF(CARGA_DIARIA!A496="","",CARGA_DIARIA!B496)</f>
        <v/>
      </c>
      <c r="C496" s="46" t="str">
        <f aca="false"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47" t="str">
        <f aca="false"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47" t="str">
        <f aca="false">IF(CARGA_DIARIA!A496="","",IF(CARGA_DIARIA!B496=0,0,(CARGA_DIARIA!X496+CARGA_DIARIA!Y496+CARGA_DIARIA!Z496+CARGA_DIARIA!AA496)/CARGA_DIARIA!B496+CARGA_DIARIA!AB496+CARGA_DIARIA!AC496+CARGA_DIARIA!AD496+CARGA_DIARIA!AE496))</f>
        <v/>
      </c>
      <c r="F496" s="50" t="s">
        <v>146</v>
      </c>
      <c r="G496" s="50" t="s">
        <v>146</v>
      </c>
      <c r="H496" s="49" t="str">
        <f aca="false">IF(CARGA_DIARIA!A496="","",C496-D496-E496)</f>
        <v/>
      </c>
    </row>
    <row r="497" customFormat="false" ht="15.75" hidden="false" customHeight="true" outlineLevel="0" collapsed="false">
      <c r="A497" s="44" t="str">
        <f aca="false">IF(CARGA_DIARIA!A497="","",CARGA_DIARIA!A497)</f>
        <v/>
      </c>
      <c r="B497" s="45" t="str">
        <f aca="false">IF(CARGA_DIARIA!A497="","",CARGA_DIARIA!B497)</f>
        <v/>
      </c>
      <c r="C497" s="46" t="str">
        <f aca="false"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47" t="str">
        <f aca="false"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47" t="str">
        <f aca="false">IF(CARGA_DIARIA!A497="","",IF(CARGA_DIARIA!B497=0,0,(CARGA_DIARIA!X497+CARGA_DIARIA!Y497+CARGA_DIARIA!Z497+CARGA_DIARIA!AA497)/CARGA_DIARIA!B497+CARGA_DIARIA!AB497+CARGA_DIARIA!AC497+CARGA_DIARIA!AD497+CARGA_DIARIA!AE497))</f>
        <v/>
      </c>
      <c r="F497" s="50" t="s">
        <v>146</v>
      </c>
      <c r="G497" s="50" t="s">
        <v>146</v>
      </c>
      <c r="H497" s="49" t="str">
        <f aca="false">IF(CARGA_DIARIA!A497="","",C497-D497-E497)</f>
        <v/>
      </c>
    </row>
    <row r="498" customFormat="false" ht="15.75" hidden="false" customHeight="true" outlineLevel="0" collapsed="false">
      <c r="A498" s="44" t="str">
        <f aca="false">IF(CARGA_DIARIA!A498="","",CARGA_DIARIA!A498)</f>
        <v/>
      </c>
      <c r="B498" s="45" t="str">
        <f aca="false">IF(CARGA_DIARIA!A498="","",CARGA_DIARIA!B498)</f>
        <v/>
      </c>
      <c r="C498" s="46" t="str">
        <f aca="false"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47" t="str">
        <f aca="false"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47" t="str">
        <f aca="false">IF(CARGA_DIARIA!A498="","",IF(CARGA_DIARIA!B498=0,0,(CARGA_DIARIA!X498+CARGA_DIARIA!Y498+CARGA_DIARIA!Z498+CARGA_DIARIA!AA498)/CARGA_DIARIA!B498+CARGA_DIARIA!AB498+CARGA_DIARIA!AC498+CARGA_DIARIA!AD498+CARGA_DIARIA!AE498))</f>
        <v/>
      </c>
      <c r="F498" s="50" t="s">
        <v>146</v>
      </c>
      <c r="G498" s="50" t="s">
        <v>146</v>
      </c>
      <c r="H498" s="49" t="str">
        <f aca="false">IF(CARGA_DIARIA!A498="","",C498-D498-E498)</f>
        <v/>
      </c>
    </row>
    <row r="499" customFormat="false" ht="15.75" hidden="false" customHeight="true" outlineLevel="0" collapsed="false">
      <c r="A499" s="44" t="str">
        <f aca="false">IF(CARGA_DIARIA!A499="","",CARGA_DIARIA!A499)</f>
        <v/>
      </c>
      <c r="B499" s="45" t="str">
        <f aca="false">IF(CARGA_DIARIA!A499="","",CARGA_DIARIA!B499)</f>
        <v/>
      </c>
      <c r="C499" s="46" t="str">
        <f aca="false"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47" t="str">
        <f aca="false"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47" t="str">
        <f aca="false">IF(CARGA_DIARIA!A499="","",IF(CARGA_DIARIA!B499=0,0,(CARGA_DIARIA!X499+CARGA_DIARIA!Y499+CARGA_DIARIA!Z499+CARGA_DIARIA!AA499)/CARGA_DIARIA!B499+CARGA_DIARIA!AB499+CARGA_DIARIA!AC499+CARGA_DIARIA!AD499+CARGA_DIARIA!AE499))</f>
        <v/>
      </c>
      <c r="F499" s="50" t="s">
        <v>146</v>
      </c>
      <c r="G499" s="50" t="s">
        <v>146</v>
      </c>
      <c r="H499" s="49" t="str">
        <f aca="false">IF(CARGA_DIARIA!A499="","",C499-D499-E499)</f>
        <v/>
      </c>
    </row>
    <row r="500" customFormat="false" ht="15.75" hidden="false" customHeight="true" outlineLevel="0" collapsed="false">
      <c r="A500" s="44" t="str">
        <f aca="false">IF(CARGA_DIARIA!A500="","",CARGA_DIARIA!A500)</f>
        <v/>
      </c>
      <c r="B500" s="45" t="str">
        <f aca="false">IF(CARGA_DIARIA!A500="","",CARGA_DIARIA!B500)</f>
        <v/>
      </c>
      <c r="C500" s="46" t="str">
        <f aca="false"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47" t="str">
        <f aca="false"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47" t="str">
        <f aca="false">IF(CARGA_DIARIA!A500="","",IF(CARGA_DIARIA!B500=0,0,(CARGA_DIARIA!X500+CARGA_DIARIA!Y500+CARGA_DIARIA!Z500+CARGA_DIARIA!AA500)/CARGA_DIARIA!B500+CARGA_DIARIA!AB500+CARGA_DIARIA!AC500+CARGA_DIARIA!AD500+CARGA_DIARIA!AE500))</f>
        <v/>
      </c>
      <c r="F500" s="50" t="s">
        <v>146</v>
      </c>
      <c r="G500" s="50" t="s">
        <v>146</v>
      </c>
      <c r="H500" s="49" t="str">
        <f aca="false">IF(CARGA_DIARIA!A500="","",C500-D500-E500)</f>
        <v/>
      </c>
    </row>
    <row r="501" customFormat="false" ht="15.75" hidden="false" customHeight="true" outlineLevel="0" collapsed="false">
      <c r="A501" s="44" t="str">
        <f aca="false">IF(CARGA_DIARIA!A501="","",CARGA_DIARIA!A501)</f>
        <v/>
      </c>
      <c r="B501" s="45" t="str">
        <f aca="false">IF(CARGA_DIARIA!A501="","",CARGA_DIARIA!B501)</f>
        <v/>
      </c>
      <c r="C501" s="46" t="str">
        <f aca="false"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47" t="str">
        <f aca="false"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47" t="str">
        <f aca="false">IF(CARGA_DIARIA!A501="","",IF(CARGA_DIARIA!B501=0,0,(CARGA_DIARIA!X501+CARGA_DIARIA!Y501+CARGA_DIARIA!Z501+CARGA_DIARIA!AA501)/CARGA_DIARIA!B501+CARGA_DIARIA!AB501+CARGA_DIARIA!AC501+CARGA_DIARIA!AD501+CARGA_DIARIA!AE501))</f>
        <v/>
      </c>
      <c r="F501" s="50" t="s">
        <v>146</v>
      </c>
      <c r="G501" s="50" t="s">
        <v>146</v>
      </c>
      <c r="H501" s="49" t="str">
        <f aca="false">IF(CARGA_DIARIA!A501="","",C501-D501-E501)</f>
        <v/>
      </c>
    </row>
    <row r="502" customFormat="false" ht="15.75" hidden="false" customHeight="true" outlineLevel="0" collapsed="false">
      <c r="A502" s="44" t="str">
        <f aca="false">IF(CARGA_DIARIA!A502="","",CARGA_DIARIA!A502)</f>
        <v/>
      </c>
      <c r="B502" s="45" t="str">
        <f aca="false">IF(CARGA_DIARIA!A502="","",CARGA_DIARIA!B502)</f>
        <v/>
      </c>
      <c r="C502" s="46" t="str">
        <f aca="false"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47" t="str">
        <f aca="false"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47" t="str">
        <f aca="false">IF(CARGA_DIARIA!A502="","",IF(CARGA_DIARIA!B502=0,0,(CARGA_DIARIA!X502+CARGA_DIARIA!Y502+CARGA_DIARIA!Z502+CARGA_DIARIA!AA502)/CARGA_DIARIA!B502+CARGA_DIARIA!AB502+CARGA_DIARIA!AC502+CARGA_DIARIA!AD502+CARGA_DIARIA!AE502))</f>
        <v/>
      </c>
      <c r="F502" s="50" t="s">
        <v>146</v>
      </c>
      <c r="G502" s="50" t="s">
        <v>146</v>
      </c>
      <c r="H502" s="49" t="str">
        <f aca="false">IF(CARGA_DIARIA!A502="","",C502-D502-E502)</f>
        <v/>
      </c>
    </row>
    <row r="503" customFormat="false" ht="15.7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4"/>
  </cols>
  <sheetData>
    <row r="1" customFormat="false" ht="27.75" hidden="false" customHeight="true" outlineLevel="0" collapsed="false">
      <c r="A1" s="8" t="s">
        <v>147</v>
      </c>
      <c r="B1" s="8"/>
      <c r="C1" s="8"/>
      <c r="D1" s="8"/>
      <c r="E1" s="8"/>
      <c r="F1" s="8"/>
      <c r="G1" s="8"/>
    </row>
    <row r="2" customFormat="false" ht="15.75" hidden="false" customHeight="true" outlineLevel="0" collapsed="false">
      <c r="A2" s="51" t="s">
        <v>148</v>
      </c>
      <c r="B2" s="51"/>
      <c r="C2" s="51"/>
      <c r="D2" s="51"/>
      <c r="E2" s="51"/>
      <c r="F2" s="51"/>
      <c r="G2" s="51"/>
    </row>
    <row r="3" customFormat="false" ht="30" hidden="false" customHeight="true" outlineLevel="0" collapsed="false">
      <c r="A3" s="28" t="s">
        <v>149</v>
      </c>
      <c r="B3" s="28" t="s">
        <v>150</v>
      </c>
      <c r="C3" s="28" t="s">
        <v>125</v>
      </c>
      <c r="D3" s="28" t="s">
        <v>151</v>
      </c>
      <c r="E3" s="28" t="s">
        <v>152</v>
      </c>
      <c r="F3" s="28" t="s">
        <v>153</v>
      </c>
      <c r="G3" s="28" t="s">
        <v>154</v>
      </c>
    </row>
    <row r="4" customFormat="false" ht="15.75" hidden="false" customHeight="true" outlineLevel="0" collapsed="false">
      <c r="A4" s="37" t="s">
        <v>155</v>
      </c>
      <c r="B4" s="52" t="s">
        <v>156</v>
      </c>
      <c r="C4" s="24" t="n">
        <v>65000000</v>
      </c>
      <c r="D4" s="21" t="n">
        <v>46127</v>
      </c>
      <c r="E4" s="21" t="n">
        <v>46150</v>
      </c>
      <c r="F4" s="53" t="n">
        <f aca="false">IF(E4="","",E4+2)</f>
        <v>46152</v>
      </c>
      <c r="G4" s="37"/>
    </row>
    <row r="5" customFormat="false" ht="15.75" hidden="false" customHeight="true" outlineLevel="0" collapsed="false">
      <c r="A5" s="37" t="s">
        <v>157</v>
      </c>
      <c r="B5" s="52" t="s">
        <v>158</v>
      </c>
      <c r="C5" s="24" t="n">
        <v>42000000</v>
      </c>
      <c r="D5" s="21" t="n">
        <v>46132</v>
      </c>
      <c r="E5" s="21" t="n">
        <v>46152</v>
      </c>
      <c r="F5" s="53" t="n">
        <f aca="false">IF(E5="","",E5+2)</f>
        <v>46154</v>
      </c>
      <c r="G5" s="37"/>
    </row>
    <row r="6" customFormat="false" ht="15.75" hidden="false" customHeight="true" outlineLevel="0" collapsed="false">
      <c r="A6" s="37" t="s">
        <v>159</v>
      </c>
      <c r="B6" s="52" t="s">
        <v>160</v>
      </c>
      <c r="C6" s="24" t="n">
        <v>87000000</v>
      </c>
      <c r="D6" s="21" t="n">
        <v>46134</v>
      </c>
      <c r="E6" s="21" t="n">
        <v>46154</v>
      </c>
      <c r="F6" s="53" t="n">
        <f aca="false">IF(E6="","",E6+2)</f>
        <v>46156</v>
      </c>
      <c r="G6" s="37" t="s">
        <v>161</v>
      </c>
    </row>
    <row r="7" customFormat="false" ht="15.75" hidden="false" customHeight="true" outlineLevel="0" collapsed="false">
      <c r="A7" s="37" t="s">
        <v>162</v>
      </c>
      <c r="B7" s="52" t="s">
        <v>163</v>
      </c>
      <c r="C7" s="24" t="n">
        <v>145000000</v>
      </c>
      <c r="D7" s="21" t="n">
        <v>46137</v>
      </c>
      <c r="E7" s="21" t="n">
        <v>46157</v>
      </c>
      <c r="F7" s="53" t="n">
        <f aca="false">IF(E7="","",E7+2)</f>
        <v>46159</v>
      </c>
      <c r="G7" s="37"/>
    </row>
    <row r="8" customFormat="false" ht="15.75" hidden="false" customHeight="true" outlineLevel="0" collapsed="false">
      <c r="A8" s="37" t="s">
        <v>164</v>
      </c>
      <c r="B8" s="52" t="s">
        <v>165</v>
      </c>
      <c r="C8" s="24" t="n">
        <v>33500000</v>
      </c>
      <c r="D8" s="21" t="n">
        <v>46140</v>
      </c>
      <c r="E8" s="21" t="n">
        <v>46160</v>
      </c>
      <c r="F8" s="53" t="n">
        <f aca="false">IF(E8="","",E8+2)</f>
        <v>46162</v>
      </c>
      <c r="G8" s="37"/>
    </row>
    <row r="9" customFormat="false" ht="18" hidden="false" customHeight="true" outlineLevel="0" collapsed="false">
      <c r="A9" s="54" t="s">
        <v>166</v>
      </c>
      <c r="B9" s="55"/>
      <c r="C9" s="56" t="n">
        <f aca="false">SUM(C4:C8)</f>
        <v>372500000</v>
      </c>
      <c r="D9" s="55"/>
      <c r="E9" s="55"/>
      <c r="F9" s="55"/>
      <c r="G9" s="55"/>
    </row>
    <row r="10" customFormat="false" ht="15.75" hidden="false" customHeight="true" outlineLevel="0" collapsed="false">
      <c r="A10" s="57"/>
      <c r="B10" s="57"/>
      <c r="C10" s="58"/>
      <c r="D10" s="59"/>
      <c r="E10" s="59"/>
      <c r="F10" s="60" t="str">
        <f aca="false">IF(E10="","",E10+2)</f>
        <v/>
      </c>
      <c r="G10" s="57"/>
    </row>
    <row r="11" customFormat="false" ht="15.75" hidden="false" customHeight="true" outlineLevel="0" collapsed="false">
      <c r="A11" s="57"/>
      <c r="B11" s="57"/>
      <c r="C11" s="58"/>
      <c r="D11" s="59"/>
      <c r="E11" s="59"/>
      <c r="F11" s="60" t="str">
        <f aca="false">IF(E11="","",E11+2)</f>
        <v/>
      </c>
      <c r="G11" s="57"/>
    </row>
    <row r="12" customFormat="false" ht="15.75" hidden="false" customHeight="true" outlineLevel="0" collapsed="false">
      <c r="A12" s="57"/>
      <c r="B12" s="57"/>
      <c r="C12" s="58"/>
      <c r="D12" s="59"/>
      <c r="E12" s="59"/>
      <c r="F12" s="60" t="str">
        <f aca="false">IF(E12="","",E12+2)</f>
        <v/>
      </c>
      <c r="G12" s="57"/>
    </row>
    <row r="13" customFormat="false" ht="15.75" hidden="false" customHeight="true" outlineLevel="0" collapsed="false">
      <c r="A13" s="57"/>
      <c r="B13" s="57"/>
      <c r="C13" s="58"/>
      <c r="D13" s="59"/>
      <c r="E13" s="59"/>
      <c r="F13" s="60" t="str">
        <f aca="false">IF(E13="","",E13+2)</f>
        <v/>
      </c>
      <c r="G13" s="57"/>
    </row>
    <row r="14" customFormat="false" ht="15.75" hidden="false" customHeight="true" outlineLevel="0" collapsed="false">
      <c r="A14" s="57"/>
      <c r="B14" s="57"/>
      <c r="C14" s="58"/>
      <c r="D14" s="59"/>
      <c r="E14" s="59"/>
      <c r="F14" s="60" t="str">
        <f aca="false">IF(E14="","",E14+2)</f>
        <v/>
      </c>
      <c r="G14" s="57"/>
    </row>
    <row r="16" customFormat="false" ht="15" hidden="false" customHeight="true" outlineLevel="0" collapsed="false">
      <c r="A16" s="61" t="s">
        <v>167</v>
      </c>
      <c r="B16" s="61"/>
      <c r="C16" s="61"/>
      <c r="D16" s="61"/>
      <c r="E16" s="61"/>
      <c r="F16" s="61"/>
      <c r="G16" s="61"/>
    </row>
  </sheetData>
  <mergeCells count="3">
    <mergeCell ref="A1:G1"/>
    <mergeCell ref="A2:G2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6" min="6" style="0" width="28"/>
  </cols>
  <sheetData>
    <row r="1" customFormat="false" ht="27.75" hidden="false" customHeight="true" outlineLevel="0" collapsed="false">
      <c r="A1" s="8" t="s">
        <v>168</v>
      </c>
      <c r="B1" s="8"/>
      <c r="C1" s="8"/>
      <c r="D1" s="8"/>
      <c r="E1" s="8"/>
      <c r="F1" s="8"/>
    </row>
    <row r="2" customFormat="false" ht="15.75" hidden="false" customHeight="true" outlineLevel="0" collapsed="false">
      <c r="A2" s="51" t="s">
        <v>169</v>
      </c>
      <c r="B2" s="51"/>
      <c r="C2" s="51"/>
      <c r="D2" s="51"/>
      <c r="E2" s="51"/>
      <c r="F2" s="51"/>
    </row>
    <row r="3" customFormat="false" ht="19.5" hidden="false" customHeight="true" outlineLevel="0" collapsed="false">
      <c r="A3" s="54" t="s">
        <v>170</v>
      </c>
      <c r="B3" s="62" t="n">
        <v>46153</v>
      </c>
      <c r="C3" s="54" t="s">
        <v>171</v>
      </c>
      <c r="D3" s="63" t="n">
        <v>1197</v>
      </c>
      <c r="E3" s="64"/>
      <c r="F3" s="64"/>
    </row>
    <row r="4" customFormat="false" ht="24" hidden="false" customHeight="true" outlineLevel="0" collapsed="false">
      <c r="A4" s="28" t="s">
        <v>172</v>
      </c>
      <c r="B4" s="28" t="s">
        <v>173</v>
      </c>
      <c r="C4" s="28" t="s">
        <v>174</v>
      </c>
      <c r="D4" s="28" t="s">
        <v>175</v>
      </c>
      <c r="E4" s="28" t="s">
        <v>176</v>
      </c>
      <c r="F4" s="28" t="s">
        <v>154</v>
      </c>
    </row>
    <row r="5" customFormat="false" ht="15.75" hidden="false" customHeight="true" outlineLevel="0" collapsed="false">
      <c r="A5" s="65" t="s">
        <v>157</v>
      </c>
      <c r="B5" s="52" t="s">
        <v>177</v>
      </c>
      <c r="C5" s="66" t="n">
        <v>87000000</v>
      </c>
      <c r="D5" s="67" t="n">
        <f aca="false">IFERROR(C5/$D$3,0)</f>
        <v>72681.7042606516</v>
      </c>
      <c r="E5" s="68" t="n">
        <f aca="false">IFERROR(C5/SUM($C$5:$C$15),0)</f>
        <v>0.0931477516059957</v>
      </c>
      <c r="F5" s="69"/>
    </row>
    <row r="6" customFormat="false" ht="15.75" hidden="false" customHeight="true" outlineLevel="0" collapsed="false">
      <c r="A6" s="65" t="s">
        <v>155</v>
      </c>
      <c r="B6" s="52" t="s">
        <v>178</v>
      </c>
      <c r="C6" s="66" t="n">
        <v>145000000</v>
      </c>
      <c r="D6" s="67" t="n">
        <f aca="false">IFERROR(C6/$D$3,0)</f>
        <v>121136.173767753</v>
      </c>
      <c r="E6" s="68" t="n">
        <f aca="false">IFERROR(C6/SUM($C$5:$C$15),0)</f>
        <v>0.15524625267666</v>
      </c>
      <c r="F6" s="69"/>
    </row>
    <row r="7" customFormat="false" ht="15.75" hidden="false" customHeight="true" outlineLevel="0" collapsed="false">
      <c r="A7" s="65" t="s">
        <v>179</v>
      </c>
      <c r="B7" s="52" t="s">
        <v>180</v>
      </c>
      <c r="C7" s="66" t="n">
        <v>63000000</v>
      </c>
      <c r="D7" s="67" t="n">
        <f aca="false">IFERROR(C7/$D$3,0)</f>
        <v>52631.5789473684</v>
      </c>
      <c r="E7" s="68" t="n">
        <f aca="false">IFERROR(C7/SUM($C$5:$C$15),0)</f>
        <v>0.0674518201284797</v>
      </c>
      <c r="F7" s="69"/>
    </row>
    <row r="8" customFormat="false" ht="15.75" hidden="false" customHeight="true" outlineLevel="0" collapsed="false">
      <c r="A8" s="65" t="s">
        <v>181</v>
      </c>
      <c r="B8" s="52" t="s">
        <v>182</v>
      </c>
      <c r="C8" s="66" t="n">
        <v>198000000</v>
      </c>
      <c r="D8" s="67" t="n">
        <f aca="false">IFERROR(C8/$D$3,0)</f>
        <v>165413.533834586</v>
      </c>
      <c r="E8" s="68" t="n">
        <f aca="false">IFERROR(C8/SUM($C$5:$C$15),0)</f>
        <v>0.211991434689507</v>
      </c>
      <c r="F8" s="70" t="s">
        <v>183</v>
      </c>
    </row>
    <row r="9" customFormat="false" ht="15.75" hidden="false" customHeight="true" outlineLevel="0" collapsed="false">
      <c r="A9" s="65" t="s">
        <v>184</v>
      </c>
      <c r="B9" s="52" t="s">
        <v>185</v>
      </c>
      <c r="C9" s="66" t="n">
        <v>41500000</v>
      </c>
      <c r="D9" s="67" t="n">
        <f aca="false">IFERROR(C9/$D$3,0)</f>
        <v>34670.0083542189</v>
      </c>
      <c r="E9" s="68" t="n">
        <f aca="false">IFERROR(C9/SUM($C$5:$C$15),0)</f>
        <v>0.0444325481798715</v>
      </c>
      <c r="F9" s="69"/>
    </row>
    <row r="10" customFormat="false" ht="15.75" hidden="false" customHeight="true" outlineLevel="0" collapsed="false">
      <c r="A10" s="65" t="s">
        <v>186</v>
      </c>
      <c r="B10" s="52" t="s">
        <v>187</v>
      </c>
      <c r="C10" s="66" t="n">
        <v>112000000</v>
      </c>
      <c r="D10" s="67" t="n">
        <f aca="false">IFERROR(C10/$D$3,0)</f>
        <v>93567.2514619883</v>
      </c>
      <c r="E10" s="68" t="n">
        <f aca="false">IFERROR(C10/SUM($C$5:$C$15),0)</f>
        <v>0.119914346895075</v>
      </c>
      <c r="F10" s="69"/>
    </row>
    <row r="11" customFormat="false" ht="15.75" hidden="false" customHeight="true" outlineLevel="0" collapsed="false">
      <c r="A11" s="65" t="s">
        <v>188</v>
      </c>
      <c r="B11" s="52" t="s">
        <v>189</v>
      </c>
      <c r="C11" s="66" t="n">
        <v>78000000</v>
      </c>
      <c r="D11" s="67" t="n">
        <f aca="false">IFERROR(C11/$D$3,0)</f>
        <v>65162.9072681704</v>
      </c>
      <c r="E11" s="68" t="n">
        <f aca="false">IFERROR(C11/SUM($C$5:$C$15),0)</f>
        <v>0.0835117773019272</v>
      </c>
      <c r="F11" s="70" t="s">
        <v>190</v>
      </c>
    </row>
    <row r="12" customFormat="false" ht="15.75" hidden="false" customHeight="true" outlineLevel="0" collapsed="false">
      <c r="A12" s="65" t="s">
        <v>191</v>
      </c>
      <c r="B12" s="52" t="s">
        <v>192</v>
      </c>
      <c r="C12" s="66" t="n">
        <v>34000000</v>
      </c>
      <c r="D12" s="67" t="n">
        <f aca="false">IFERROR(C12/$D$3,0)</f>
        <v>28404.3441938179</v>
      </c>
      <c r="E12" s="68" t="n">
        <f aca="false">IFERROR(C12/SUM($C$5:$C$15),0)</f>
        <v>0.0364025695931478</v>
      </c>
      <c r="F12" s="69"/>
    </row>
    <row r="13" customFormat="false" ht="15.75" hidden="false" customHeight="true" outlineLevel="0" collapsed="false">
      <c r="A13" s="65" t="s">
        <v>193</v>
      </c>
      <c r="B13" s="52" t="s">
        <v>194</v>
      </c>
      <c r="C13" s="66" t="n">
        <v>95000000</v>
      </c>
      <c r="D13" s="67" t="n">
        <f aca="false">IFERROR(C13/$D$3,0)</f>
        <v>79365.0793650794</v>
      </c>
      <c r="E13" s="68" t="n">
        <f aca="false">IFERROR(C13/SUM($C$5:$C$15),0)</f>
        <v>0.101713062098501</v>
      </c>
      <c r="F13" s="69"/>
    </row>
    <row r="14" customFormat="false" ht="15.75" hidden="false" customHeight="true" outlineLevel="0" collapsed="false">
      <c r="A14" s="65" t="s">
        <v>195</v>
      </c>
      <c r="B14" s="52" t="s">
        <v>196</v>
      </c>
      <c r="C14" s="66" t="n">
        <v>52000000</v>
      </c>
      <c r="D14" s="67" t="n">
        <f aca="false">IFERROR(C14/$D$3,0)</f>
        <v>43441.9381787803</v>
      </c>
      <c r="E14" s="68" t="n">
        <f aca="false">IFERROR(C14/SUM($C$5:$C$15),0)</f>
        <v>0.0556745182012848</v>
      </c>
      <c r="F14" s="69"/>
    </row>
    <row r="15" customFormat="false" ht="15.75" hidden="false" customHeight="true" outlineLevel="0" collapsed="false">
      <c r="A15" s="65" t="s">
        <v>197</v>
      </c>
      <c r="B15" s="52" t="s">
        <v>146</v>
      </c>
      <c r="C15" s="66" t="n">
        <v>28500000</v>
      </c>
      <c r="D15" s="67" t="n">
        <f aca="false">IFERROR(C15/$D$3,0)</f>
        <v>23809.5238095238</v>
      </c>
      <c r="E15" s="68" t="n">
        <f aca="false">IFERROR(C15/SUM($C$5:$C$15),0)</f>
        <v>0.0305139186295503</v>
      </c>
      <c r="F15" s="70" t="s">
        <v>198</v>
      </c>
    </row>
    <row r="16" customFormat="false" ht="18" hidden="false" customHeight="true" outlineLevel="0" collapsed="false">
      <c r="A16" s="54" t="s">
        <v>199</v>
      </c>
      <c r="B16" s="64"/>
      <c r="C16" s="71" t="n">
        <f aca="false">SUM(C5:C15)</f>
        <v>934000000</v>
      </c>
      <c r="D16" s="71" t="n">
        <f aca="false">IFERROR(C16/$D$3,0)</f>
        <v>780284.043441938</v>
      </c>
      <c r="E16" s="72" t="n">
        <v>1</v>
      </c>
      <c r="F16" s="64"/>
    </row>
    <row r="18" customFormat="false" ht="15" hidden="false" customHeight="false" outlineLevel="0" collapsed="false">
      <c r="A18" s="61" t="s">
        <v>200</v>
      </c>
      <c r="B18" s="61"/>
      <c r="C18" s="61"/>
      <c r="D18" s="61"/>
      <c r="E18" s="61"/>
      <c r="F18" s="61"/>
    </row>
  </sheetData>
  <mergeCells count="3">
    <mergeCell ref="A1:F1"/>
    <mergeCell ref="A2:F2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2026-05-06T18:33:43Z</dcterms:created>
  <dc:creator>openpyxl</dc:creator>
  <dc:description/>
  <dc:language>en-US</dc:language>
  <cp:lastModifiedBy/>
  <dcterms:modified xsi:type="dcterms:W3CDTF">2026-05-11T12:38:45Z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