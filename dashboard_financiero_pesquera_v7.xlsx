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colas\Desktop\prueba\"/>
    </mc:Choice>
  </mc:AlternateContent>
  <xr:revisionPtr revIDLastSave="0" documentId="13_ncr:1_{5851D4DC-48A5-4DD5-AFFC-29BD85FEDA8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2" i="7" l="1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H89" i="6"/>
  <c r="E89" i="6"/>
  <c r="D89" i="6"/>
  <c r="C89" i="6"/>
  <c r="B89" i="6"/>
  <c r="A89" i="6"/>
  <c r="E88" i="6"/>
  <c r="D88" i="6"/>
  <c r="C88" i="6"/>
  <c r="H88" i="6" s="1"/>
  <c r="B88" i="6"/>
  <c r="A88" i="6"/>
  <c r="H87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2" i="6" l="1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<sst xmlns="http://schemas.openxmlformats.org/spreadsheetml/2006/main" count="1900" uniqueCount="720">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</sst>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file:///M:\CONTABLE\EMPRESAS\Pedro%20Moscuzza%20e%20Hijos%20S.A\Nicolas\2026\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</sheetNames>
    <sheetDataSet>
      <sheetData sheetId="0">
        <row r="10">
          <cell r="CJ10">
            <v>837432835</v>
          </cell>
          <cell r="CK10">
            <v>850726335</v>
          </cell>
        </row>
        <row r="13">
          <cell r="CJ13">
            <v>78949000</v>
          </cell>
          <cell r="CK13">
            <v>55135000</v>
          </cell>
        </row>
        <row r="14">
          <cell r="CJ14">
            <v>5783000</v>
          </cell>
          <cell r="CK14">
            <v>6687413</v>
          </cell>
        </row>
        <row r="15">
          <cell r="CJ15">
            <v>2000000</v>
          </cell>
          <cell r="CK15">
            <v>2000000</v>
          </cell>
        </row>
        <row r="16">
          <cell r="CJ16">
            <v>45656000</v>
          </cell>
          <cell r="CK16">
            <v>35083000</v>
          </cell>
        </row>
        <row r="22">
          <cell r="CJ22">
            <v>1740123570</v>
          </cell>
          <cell r="CK22">
            <v>1726830070</v>
          </cell>
        </row>
        <row r="24">
          <cell r="CJ24">
            <v>3160401274.7999997</v>
          </cell>
          <cell r="CK24">
            <v>2936149372.3200002</v>
          </cell>
        </row>
        <row r="25">
          <cell r="CJ25">
            <v>404494398</v>
          </cell>
          <cell r="CK25">
            <v>385519968</v>
          </cell>
        </row>
        <row r="29">
          <cell r="CJ29">
            <v>8574762042</v>
          </cell>
          <cell r="CK29">
            <v>8569053168</v>
          </cell>
        </row>
        <row r="31">
          <cell r="CJ31">
            <v>140297925.61000001</v>
          </cell>
          <cell r="CK31">
            <v>170372226</v>
          </cell>
        </row>
        <row r="43">
          <cell r="CJ43">
            <v>458483114</v>
          </cell>
          <cell r="CK43">
            <v>661233493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  <cell r="CK50">
            <v>9401592</v>
          </cell>
        </row>
        <row r="51">
          <cell r="CJ51">
            <v>6873443</v>
          </cell>
          <cell r="CK51">
            <v>10840885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</row>
        <row r="101">
          <cell r="CJ101">
            <v>990744710</v>
          </cell>
          <cell r="CK101">
            <v>771360669</v>
          </cell>
        </row>
        <row r="102">
          <cell r="CJ102">
            <v>6063777655</v>
          </cell>
          <cell r="CK102">
            <v>5851473775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zoomScaleNormal="100" workbookViewId="0">
      <pane xSplit="2" ySplit="2" topLeftCell="U76" activePane="bottomRight" state="frozen"/>
      <selection pane="topRight" activeCell="C1" sqref="C1"/>
      <selection pane="bottomLeft" activeCell="A3" sqref="A3"/>
      <selection pane="bottomRight" activeCell="AD89" sqref="AD8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customHeight="1" x14ac:dyDescent="0.25">
      <c r="A2" s="5" t="s">
        <v>55</v>
      </c>
      <c r="B2" s="5" t="s">
        <v>56</v>
      </c>
      <c r="C2" s="69" t="s">
        <v>57</v>
      </c>
      <c r="D2" s="69"/>
      <c r="E2" s="69"/>
      <c r="F2" s="69"/>
      <c r="G2" s="69"/>
      <c r="H2" s="69"/>
      <c r="I2" s="69"/>
      <c r="J2" s="70" t="s">
        <v>58</v>
      </c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1" t="s">
        <v>59</v>
      </c>
      <c r="X2" s="71"/>
      <c r="Y2" s="71"/>
      <c r="Z2" s="71"/>
      <c r="AA2" s="71"/>
      <c r="AB2" s="71"/>
      <c r="AC2" s="71"/>
      <c r="AD2" s="71"/>
      <c r="AE2" s="71"/>
      <c r="AF2" s="1"/>
      <c r="AG2" s="72"/>
      <c r="AH2" s="72"/>
      <c r="AI2" s="72"/>
      <c r="AJ2" s="7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/>
      <c r="B89" s="17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8"/>
      <c r="AB89" s="18"/>
      <c r="AC89" s="18"/>
      <c r="AD89" s="18"/>
      <c r="AE89" s="18"/>
      <c r="AF89" s="15"/>
      <c r="AG89" s="15"/>
      <c r="AH89" s="15"/>
      <c r="AI89" s="15"/>
      <c r="AJ89" s="15"/>
      <c r="AK89" s="16"/>
    </row>
    <row r="90" spans="1:37" ht="15.75" customHeight="1" x14ac:dyDescent="0.25">
      <c r="A90" s="13"/>
      <c r="B90" s="17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8"/>
      <c r="AB90" s="18"/>
      <c r="AC90" s="18"/>
      <c r="AD90" s="18"/>
      <c r="AE90" s="18"/>
      <c r="AF90" s="15"/>
      <c r="AG90" s="15"/>
      <c r="AH90" s="15"/>
      <c r="AI90" s="15"/>
      <c r="AJ90" s="15"/>
      <c r="AK90" s="16"/>
    </row>
    <row r="91" spans="1:37" ht="15.75" customHeight="1" x14ac:dyDescent="0.25">
      <c r="A91" s="13"/>
      <c r="B91" s="17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8"/>
      <c r="AB91" s="18"/>
      <c r="AC91" s="18"/>
      <c r="AD91" s="18"/>
      <c r="AE91" s="18"/>
      <c r="AF91" s="15"/>
      <c r="AG91" s="15"/>
      <c r="AH91" s="15"/>
      <c r="AI91" s="15"/>
      <c r="AJ91" s="15"/>
      <c r="AK91" s="16"/>
    </row>
    <row r="92" spans="1:37" ht="15.75" customHeight="1" x14ac:dyDescent="0.25">
      <c r="A92" s="13"/>
      <c r="B92" s="17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8"/>
      <c r="AB92" s="18"/>
      <c r="AC92" s="18"/>
      <c r="AD92" s="18"/>
      <c r="AE92" s="18"/>
      <c r="AF92" s="15"/>
      <c r="AG92" s="15"/>
      <c r="AH92" s="15"/>
      <c r="AI92" s="15"/>
      <c r="AJ92" s="15"/>
      <c r="AK92" s="16"/>
    </row>
    <row r="93" spans="1:37" ht="15.75" customHeight="1" x14ac:dyDescent="0.25">
      <c r="A93" s="13"/>
      <c r="B93" s="17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8"/>
      <c r="AB93" s="18"/>
      <c r="AC93" s="18"/>
      <c r="AD93" s="18"/>
      <c r="AE93" s="18"/>
      <c r="AF93" s="15"/>
      <c r="AG93" s="15"/>
      <c r="AH93" s="15"/>
      <c r="AI93" s="15"/>
      <c r="AJ93" s="15"/>
      <c r="AK93" s="16"/>
    </row>
    <row r="94" spans="1:37" ht="15.75" customHeight="1" x14ac:dyDescent="0.25">
      <c r="A94" s="13"/>
      <c r="B94" s="17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8"/>
      <c r="AB94" s="18"/>
      <c r="AC94" s="18"/>
      <c r="AD94" s="18"/>
      <c r="AE94" s="18"/>
      <c r="AF94" s="15"/>
      <c r="AG94" s="15"/>
      <c r="AH94" s="15"/>
      <c r="AI94" s="15"/>
      <c r="AJ94" s="15"/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0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15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26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36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6" t="s">
        <v>122</v>
      </c>
      <c r="B2" s="76"/>
      <c r="C2" s="76"/>
      <c r="D2" s="76"/>
      <c r="E2" s="76"/>
      <c r="F2" s="76"/>
      <c r="G2" s="76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8" activePane="bottomRight" state="frozen"/>
      <selection pane="topRight" activeCell="B1" sqref="B1"/>
      <selection pane="bottomLeft" activeCell="A4" sqref="A4"/>
      <selection pane="bottomRight" sqref="A1:H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77" t="s">
        <v>139</v>
      </c>
      <c r="B2" s="77"/>
      <c r="C2" s="77"/>
      <c r="D2" s="77"/>
      <c r="E2" s="77"/>
      <c r="F2" s="77"/>
      <c r="G2" s="77"/>
      <c r="H2" s="77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 t="str">
        <f>IF(CARGA_DIARIA!A89="","",CARGA_DIARIA!A89)</f>
        <v/>
      </c>
      <c r="B89" s="34" t="str">
        <f>IF(CARGA_DIARIA!A89="","",CARGA_DIARIA!B89)</f>
        <v/>
      </c>
      <c r="C89" s="35" t="str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/>
      </c>
      <c r="D89" s="36" t="str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36" t="str">
        <f>IF(CARGA_DIARIA!A89="","",IF(CARGA_DIARIA!B89=0,0,(CARGA_DIARIA!X89+CARGA_DIARIA!Y89+CARGA_DIARIA!Z89+CARGA_DIARIA!AA89)/CARGA_DIARIA!B89+CARGA_DIARIA!AB89+CARGA_DIARIA!AC89+CARGA_DIARIA!AD89+CARGA_DIARIA!AE89))</f>
        <v/>
      </c>
      <c r="F89" s="39" t="s">
        <v>146</v>
      </c>
      <c r="G89" s="39" t="s">
        <v>146</v>
      </c>
      <c r="H89" s="38" t="str">
        <f>IF(CARGA_DIARIA!A89="","",C89-D89-E89)</f>
        <v/>
      </c>
    </row>
    <row r="90" spans="1:8" ht="15.75" customHeight="1" x14ac:dyDescent="0.25">
      <c r="A90" s="33" t="str">
        <f>IF(CARGA_DIARIA!A90="","",CARGA_DIARIA!A90)</f>
        <v/>
      </c>
      <c r="B90" s="34" t="str">
        <f>IF(CARGA_DIARIA!A90="","",CARGA_DIARIA!B90)</f>
        <v/>
      </c>
      <c r="C90" s="35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36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36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39" t="s">
        <v>146</v>
      </c>
      <c r="G90" s="39" t="s">
        <v>146</v>
      </c>
      <c r="H90" s="38" t="str">
        <f>IF(CARGA_DIARIA!A90="","",C90-D90-E90)</f>
        <v/>
      </c>
    </row>
    <row r="91" spans="1:8" ht="15.75" customHeight="1" x14ac:dyDescent="0.25">
      <c r="A91" s="33" t="str">
        <f>IF(CARGA_DIARIA!A91="","",CARGA_DIARIA!A91)</f>
        <v/>
      </c>
      <c r="B91" s="34" t="str">
        <f>IF(CARGA_DIARIA!A91="","",CARGA_DIARIA!B91)</f>
        <v/>
      </c>
      <c r="C91" s="35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6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6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9" t="s">
        <v>146</v>
      </c>
      <c r="G91" s="39" t="s">
        <v>146</v>
      </c>
      <c r="H91" s="38" t="str">
        <f>IF(CARGA_DIARIA!A91="","",C91-D91-E91)</f>
        <v/>
      </c>
    </row>
    <row r="92" spans="1:8" ht="15.75" customHeight="1" x14ac:dyDescent="0.25">
      <c r="A92" s="33" t="str">
        <f>IF(CARGA_DIARIA!A92="","",CARGA_DIARIA!A92)</f>
        <v/>
      </c>
      <c r="B92" s="34" t="str">
        <f>IF(CARGA_DIARIA!A92="","",CARGA_DIARIA!B92)</f>
        <v/>
      </c>
      <c r="C92" s="35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6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6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9" t="s">
        <v>146</v>
      </c>
      <c r="G92" s="39" t="s">
        <v>146</v>
      </c>
      <c r="H92" s="38" t="str">
        <f>IF(CARGA_DIARIA!A92="","",C92-D92-E92)</f>
        <v/>
      </c>
    </row>
    <row r="93" spans="1:8" ht="15.75" customHeight="1" x14ac:dyDescent="0.25">
      <c r="A93" s="33" t="str">
        <f>IF(CARGA_DIARIA!A93="","",CARGA_DIARIA!A93)</f>
        <v/>
      </c>
      <c r="B93" s="34" t="str">
        <f>IF(CARGA_DIARIA!A93="","",CARGA_DIARIA!B93)</f>
        <v/>
      </c>
      <c r="C93" s="35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6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6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9" t="s">
        <v>146</v>
      </c>
      <c r="G93" s="39" t="s">
        <v>146</v>
      </c>
      <c r="H93" s="38" t="str">
        <f>IF(CARGA_DIARIA!A93="","",C93-D93-E93)</f>
        <v/>
      </c>
    </row>
    <row r="94" spans="1:8" ht="15.75" customHeight="1" x14ac:dyDescent="0.25">
      <c r="A94" s="33" t="str">
        <f>IF(CARGA_DIARIA!A94="","",CARGA_DIARIA!A94)</f>
        <v/>
      </c>
      <c r="B94" s="34" t="str">
        <f>IF(CARGA_DIARIA!A94="","",CARGA_DIARIA!B94)</f>
        <v/>
      </c>
      <c r="C94" s="35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6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6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9" t="s">
        <v>146</v>
      </c>
      <c r="G94" s="39" t="s">
        <v>146</v>
      </c>
      <c r="H94" s="38" t="str">
        <f>IF(CARGA_DIARIA!A94="","",C94-D94-E94)</f>
        <v/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148</v>
      </c>
      <c r="B2" s="78"/>
      <c r="C2" s="78"/>
      <c r="D2" s="78"/>
      <c r="E2" s="78"/>
      <c r="F2" s="78"/>
      <c r="G2" s="78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13">
        <v>46127</v>
      </c>
      <c r="E4" s="67">
        <v>46127</v>
      </c>
      <c r="F4" s="40">
        <f>IF(E4="","",E4+2)</f>
        <v>46129</v>
      </c>
      <c r="G4" s="27"/>
    </row>
    <row r="5" spans="1:7" ht="15.75" customHeight="1" x14ac:dyDescent="0.25">
      <c r="A5" t="s">
        <v>701</v>
      </c>
      <c r="B5">
        <v>13111470</v>
      </c>
      <c r="C5">
        <v>3224950</v>
      </c>
      <c r="D5" s="13">
        <v>46127</v>
      </c>
      <c r="E5" s="67">
        <v>46132</v>
      </c>
      <c r="F5" s="40">
        <f t="shared" ref="F5:F68" si="0">IF(E5="","",E5+2)</f>
        <v>46134</v>
      </c>
      <c r="G5" s="27"/>
    </row>
    <row r="6" spans="1:7" ht="15.75" customHeight="1" x14ac:dyDescent="0.25">
      <c r="A6" t="s">
        <v>702</v>
      </c>
      <c r="B6">
        <v>78055914</v>
      </c>
      <c r="C6">
        <v>1130000</v>
      </c>
      <c r="D6" s="13">
        <v>46127</v>
      </c>
      <c r="E6" s="67">
        <v>46146</v>
      </c>
      <c r="F6" s="40">
        <f t="shared" si="0"/>
        <v>46148</v>
      </c>
      <c r="G6" s="27"/>
    </row>
    <row r="7" spans="1:7" ht="15.75" customHeight="1" x14ac:dyDescent="0.25">
      <c r="A7" t="s">
        <v>701</v>
      </c>
      <c r="B7">
        <v>12924495</v>
      </c>
      <c r="C7">
        <v>4981600</v>
      </c>
      <c r="D7" s="13">
        <v>46127</v>
      </c>
      <c r="E7" s="67">
        <v>46147</v>
      </c>
      <c r="F7" s="40">
        <f t="shared" si="0"/>
        <v>46149</v>
      </c>
      <c r="G7" s="27"/>
    </row>
    <row r="8" spans="1:7" ht="15.75" customHeight="1" x14ac:dyDescent="0.25">
      <c r="A8" t="s">
        <v>700</v>
      </c>
      <c r="B8">
        <v>65636545</v>
      </c>
      <c r="C8">
        <v>2800000</v>
      </c>
      <c r="D8" s="13">
        <v>46127</v>
      </c>
      <c r="E8" s="67">
        <v>46149</v>
      </c>
      <c r="F8" s="40">
        <f t="shared" si="0"/>
        <v>46151</v>
      </c>
      <c r="G8" s="27"/>
    </row>
    <row r="9" spans="1:7" ht="15.75" customHeight="1" x14ac:dyDescent="0.25">
      <c r="A9" t="s">
        <v>703</v>
      </c>
      <c r="B9">
        <v>61747693</v>
      </c>
      <c r="C9">
        <v>7588800</v>
      </c>
      <c r="D9" s="13">
        <v>46127</v>
      </c>
      <c r="E9" s="67">
        <v>46150</v>
      </c>
      <c r="F9" s="40">
        <f t="shared" si="0"/>
        <v>46152</v>
      </c>
      <c r="G9" s="27"/>
    </row>
    <row r="10" spans="1:7" ht="15.75" customHeight="1" x14ac:dyDescent="0.25">
      <c r="A10" t="s">
        <v>704</v>
      </c>
      <c r="B10">
        <v>5235</v>
      </c>
      <c r="C10">
        <v>585630</v>
      </c>
      <c r="D10" s="13">
        <v>46127</v>
      </c>
      <c r="E10" s="67">
        <v>46150</v>
      </c>
      <c r="F10" s="40">
        <f t="shared" si="0"/>
        <v>46152</v>
      </c>
      <c r="G10" s="27"/>
    </row>
    <row r="11" spans="1:7" ht="15.75" customHeight="1" x14ac:dyDescent="0.25">
      <c r="A11" t="s">
        <v>702</v>
      </c>
      <c r="B11">
        <v>78055918</v>
      </c>
      <c r="C11">
        <v>900000</v>
      </c>
      <c r="D11" s="13">
        <v>46127</v>
      </c>
      <c r="E11" s="67">
        <v>46150</v>
      </c>
      <c r="F11" s="40">
        <f t="shared" si="0"/>
        <v>46152</v>
      </c>
      <c r="G11" s="27"/>
    </row>
    <row r="12" spans="1:7" ht="15.75" customHeight="1" x14ac:dyDescent="0.25">
      <c r="A12" t="s">
        <v>701</v>
      </c>
      <c r="B12">
        <v>12924512</v>
      </c>
      <c r="C12">
        <v>10000000</v>
      </c>
      <c r="D12" s="13">
        <v>46127</v>
      </c>
      <c r="E12" s="67">
        <v>46153</v>
      </c>
      <c r="F12" s="40">
        <f t="shared" si="0"/>
        <v>46155</v>
      </c>
      <c r="G12" s="27"/>
    </row>
    <row r="13" spans="1:7" ht="15.75" customHeight="1" x14ac:dyDescent="0.25">
      <c r="A13" t="s">
        <v>705</v>
      </c>
      <c r="B13">
        <v>6972</v>
      </c>
      <c r="C13">
        <v>17428000</v>
      </c>
      <c r="D13" s="13">
        <v>46127</v>
      </c>
      <c r="E13" s="67">
        <v>46153</v>
      </c>
      <c r="F13" s="40">
        <f t="shared" si="0"/>
        <v>46155</v>
      </c>
      <c r="G13" s="27"/>
    </row>
    <row r="14" spans="1:7" ht="15.75" customHeight="1" x14ac:dyDescent="0.25">
      <c r="A14" t="s">
        <v>702</v>
      </c>
      <c r="B14">
        <v>78055919</v>
      </c>
      <c r="C14">
        <v>1080000</v>
      </c>
      <c r="D14" s="13">
        <v>46127</v>
      </c>
      <c r="E14" s="67">
        <v>46153</v>
      </c>
      <c r="F14" s="40">
        <f t="shared" si="0"/>
        <v>46155</v>
      </c>
      <c r="G14" s="27"/>
    </row>
    <row r="15" spans="1:7" ht="15.75" customHeight="1" x14ac:dyDescent="0.25">
      <c r="A15" t="s">
        <v>701</v>
      </c>
      <c r="B15">
        <v>12924513</v>
      </c>
      <c r="C15">
        <v>10000000</v>
      </c>
      <c r="D15" s="13">
        <v>46127</v>
      </c>
      <c r="E15" s="67">
        <v>46154</v>
      </c>
      <c r="F15" s="40">
        <f t="shared" si="0"/>
        <v>46156</v>
      </c>
      <c r="G15" s="27"/>
    </row>
    <row r="16" spans="1:7" ht="15.75" customHeight="1" x14ac:dyDescent="0.25">
      <c r="A16" t="s">
        <v>701</v>
      </c>
      <c r="B16">
        <v>12924514</v>
      </c>
      <c r="C16">
        <v>10000000</v>
      </c>
      <c r="D16" s="13">
        <v>46127</v>
      </c>
      <c r="E16" s="67">
        <v>46155</v>
      </c>
      <c r="F16" s="40">
        <f t="shared" si="0"/>
        <v>46157</v>
      </c>
      <c r="G16" s="27"/>
    </row>
    <row r="17" spans="1:7" ht="15.75" customHeight="1" x14ac:dyDescent="0.25">
      <c r="A17" t="s">
        <v>706</v>
      </c>
      <c r="B17">
        <v>13378006</v>
      </c>
      <c r="C17">
        <v>3100000</v>
      </c>
      <c r="D17" s="13">
        <v>46127</v>
      </c>
      <c r="E17" s="67">
        <v>46156</v>
      </c>
      <c r="F17" s="40">
        <f t="shared" si="0"/>
        <v>46158</v>
      </c>
      <c r="G17" s="27"/>
    </row>
    <row r="18" spans="1:7" ht="15.75" customHeight="1" x14ac:dyDescent="0.25">
      <c r="A18" t="s">
        <v>706</v>
      </c>
      <c r="B18">
        <v>13378021</v>
      </c>
      <c r="C18">
        <v>2200000</v>
      </c>
      <c r="D18" s="13">
        <v>46127</v>
      </c>
      <c r="E18" s="67">
        <v>46156</v>
      </c>
      <c r="F18" s="40">
        <f t="shared" si="0"/>
        <v>46158</v>
      </c>
      <c r="G18" s="27"/>
    </row>
    <row r="19" spans="1:7" ht="15.75" customHeight="1" x14ac:dyDescent="0.25">
      <c r="A19" t="s">
        <v>702</v>
      </c>
      <c r="B19">
        <v>78055865</v>
      </c>
      <c r="C19">
        <v>1325000</v>
      </c>
      <c r="D19" s="13">
        <v>46127</v>
      </c>
      <c r="E19" s="67">
        <v>46156</v>
      </c>
      <c r="F19" s="40">
        <f t="shared" si="0"/>
        <v>46158</v>
      </c>
      <c r="G19" s="27"/>
    </row>
    <row r="20" spans="1:7" ht="15.75" customHeight="1" x14ac:dyDescent="0.25">
      <c r="A20" t="s">
        <v>701</v>
      </c>
      <c r="B20">
        <v>12924515</v>
      </c>
      <c r="C20">
        <v>10000000</v>
      </c>
      <c r="D20" s="13">
        <v>46127</v>
      </c>
      <c r="E20" s="67">
        <v>46156</v>
      </c>
      <c r="F20" s="40">
        <f t="shared" si="0"/>
        <v>46158</v>
      </c>
      <c r="G20" s="27"/>
    </row>
    <row r="21" spans="1:7" ht="15.75" customHeight="1" x14ac:dyDescent="0.25">
      <c r="A21" t="s">
        <v>704</v>
      </c>
      <c r="B21">
        <v>4959</v>
      </c>
      <c r="C21">
        <v>3118540</v>
      </c>
      <c r="D21" s="13">
        <v>46127</v>
      </c>
      <c r="E21" s="67">
        <v>46156</v>
      </c>
      <c r="F21" s="40">
        <f t="shared" si="0"/>
        <v>46158</v>
      </c>
      <c r="G21" s="27"/>
    </row>
    <row r="22" spans="1:7" ht="15.75" customHeight="1" x14ac:dyDescent="0.25">
      <c r="A22" t="s">
        <v>702</v>
      </c>
      <c r="B22">
        <v>78055890</v>
      </c>
      <c r="C22">
        <v>890000</v>
      </c>
      <c r="D22" s="13">
        <v>46127</v>
      </c>
      <c r="E22" s="67">
        <v>46156</v>
      </c>
      <c r="F22" s="40">
        <f t="shared" si="0"/>
        <v>46158</v>
      </c>
      <c r="G22" s="27"/>
    </row>
    <row r="23" spans="1:7" ht="15.75" customHeight="1" x14ac:dyDescent="0.25">
      <c r="A23" t="s">
        <v>702</v>
      </c>
      <c r="B23">
        <v>8055882</v>
      </c>
      <c r="C23">
        <v>500000</v>
      </c>
      <c r="D23" s="13">
        <v>46127</v>
      </c>
      <c r="E23" s="67">
        <v>46156</v>
      </c>
      <c r="F23" s="40">
        <f t="shared" si="0"/>
        <v>46158</v>
      </c>
      <c r="G23" s="27"/>
    </row>
    <row r="24" spans="1:7" ht="15.75" customHeight="1" x14ac:dyDescent="0.25">
      <c r="A24" t="s">
        <v>706</v>
      </c>
      <c r="B24">
        <v>13378022</v>
      </c>
      <c r="C24">
        <v>2200000</v>
      </c>
      <c r="D24" s="13">
        <v>46127</v>
      </c>
      <c r="E24" s="67">
        <v>46157</v>
      </c>
      <c r="F24" s="40">
        <f t="shared" si="0"/>
        <v>46159</v>
      </c>
      <c r="G24" s="27"/>
    </row>
    <row r="25" spans="1:7" ht="15.75" customHeight="1" x14ac:dyDescent="0.25">
      <c r="A25" t="s">
        <v>702</v>
      </c>
      <c r="B25">
        <v>78055866</v>
      </c>
      <c r="C25">
        <v>1325000</v>
      </c>
      <c r="D25" s="13">
        <v>46127</v>
      </c>
      <c r="E25" s="67">
        <v>46157</v>
      </c>
      <c r="F25" s="40">
        <f t="shared" si="0"/>
        <v>46159</v>
      </c>
      <c r="G25" s="27"/>
    </row>
    <row r="26" spans="1:7" ht="15.75" customHeight="1" x14ac:dyDescent="0.25">
      <c r="A26" t="s">
        <v>705</v>
      </c>
      <c r="B26">
        <v>6769</v>
      </c>
      <c r="C26">
        <v>17049600</v>
      </c>
      <c r="D26" s="13">
        <v>46127</v>
      </c>
      <c r="E26" s="67">
        <v>46157</v>
      </c>
      <c r="F26" s="40">
        <f t="shared" si="0"/>
        <v>46159</v>
      </c>
      <c r="G26" s="27"/>
    </row>
    <row r="27" spans="1:7" ht="15.75" customHeight="1" x14ac:dyDescent="0.25">
      <c r="A27" t="s">
        <v>701</v>
      </c>
      <c r="B27">
        <v>12924516</v>
      </c>
      <c r="C27">
        <v>10000000</v>
      </c>
      <c r="D27" s="13">
        <v>46127</v>
      </c>
      <c r="E27" s="67">
        <v>46157</v>
      </c>
      <c r="F27" s="40">
        <f t="shared" si="0"/>
        <v>46159</v>
      </c>
      <c r="G27" s="27"/>
    </row>
    <row r="28" spans="1:7" ht="15.75" customHeight="1" x14ac:dyDescent="0.25">
      <c r="A28" t="s">
        <v>707</v>
      </c>
      <c r="B28">
        <v>29117288</v>
      </c>
      <c r="C28">
        <v>10000000</v>
      </c>
      <c r="D28" s="13">
        <v>46127</v>
      </c>
      <c r="E28" s="67">
        <v>46157</v>
      </c>
      <c r="F28" s="40">
        <f t="shared" si="0"/>
        <v>46159</v>
      </c>
      <c r="G28" s="27"/>
    </row>
    <row r="29" spans="1:7" ht="15.75" customHeight="1" x14ac:dyDescent="0.25">
      <c r="A29" t="s">
        <v>708</v>
      </c>
      <c r="B29">
        <v>4540</v>
      </c>
      <c r="C29">
        <v>891750</v>
      </c>
      <c r="D29" s="13">
        <v>46127</v>
      </c>
      <c r="E29" s="67">
        <v>46157</v>
      </c>
      <c r="F29" s="40">
        <f t="shared" si="0"/>
        <v>46159</v>
      </c>
      <c r="G29" s="27"/>
    </row>
    <row r="30" spans="1:7" ht="15.75" customHeight="1" x14ac:dyDescent="0.25">
      <c r="A30" t="s">
        <v>708</v>
      </c>
      <c r="B30">
        <v>4574</v>
      </c>
      <c r="C30">
        <v>1300000</v>
      </c>
      <c r="D30" s="13">
        <v>46127</v>
      </c>
      <c r="E30" s="67">
        <v>46157</v>
      </c>
      <c r="F30" s="40">
        <f t="shared" si="0"/>
        <v>46159</v>
      </c>
      <c r="G30" s="27"/>
    </row>
    <row r="31" spans="1:7" ht="15.75" customHeight="1" x14ac:dyDescent="0.25">
      <c r="A31" t="s">
        <v>707</v>
      </c>
      <c r="B31">
        <v>3360</v>
      </c>
      <c r="C31">
        <v>2190000</v>
      </c>
      <c r="D31" s="13">
        <v>46127</v>
      </c>
      <c r="E31" s="67">
        <v>46157</v>
      </c>
      <c r="F31" s="40">
        <f t="shared" si="0"/>
        <v>46159</v>
      </c>
      <c r="G31" s="27"/>
    </row>
    <row r="32" spans="1:7" ht="15.75" customHeight="1" x14ac:dyDescent="0.25">
      <c r="A32" t="s">
        <v>702</v>
      </c>
      <c r="B32">
        <v>78055883</v>
      </c>
      <c r="C32">
        <v>500000</v>
      </c>
      <c r="D32" s="13">
        <v>46127</v>
      </c>
      <c r="E32" s="67">
        <v>46157</v>
      </c>
      <c r="F32" s="40">
        <f t="shared" si="0"/>
        <v>46159</v>
      </c>
      <c r="G32" s="27"/>
    </row>
    <row r="33" spans="1:7" ht="15.75" customHeight="1" x14ac:dyDescent="0.25">
      <c r="A33" t="s">
        <v>702</v>
      </c>
      <c r="B33">
        <v>78055891</v>
      </c>
      <c r="C33">
        <v>890000</v>
      </c>
      <c r="D33" s="13">
        <v>46127</v>
      </c>
      <c r="E33" s="67">
        <v>46157</v>
      </c>
      <c r="F33" s="40">
        <f t="shared" si="0"/>
        <v>46159</v>
      </c>
      <c r="G33" s="27"/>
    </row>
    <row r="34" spans="1:7" ht="15.75" customHeight="1" x14ac:dyDescent="0.25">
      <c r="A34" t="s">
        <v>709</v>
      </c>
      <c r="B34">
        <v>122</v>
      </c>
      <c r="C34">
        <v>3000261.82</v>
      </c>
      <c r="D34" s="13">
        <v>46127</v>
      </c>
      <c r="E34" s="67">
        <v>46157</v>
      </c>
      <c r="F34" s="40">
        <f t="shared" si="0"/>
        <v>46159</v>
      </c>
      <c r="G34" s="27"/>
    </row>
    <row r="35" spans="1:7" ht="15.75" customHeight="1" x14ac:dyDescent="0.25">
      <c r="A35" t="s">
        <v>709</v>
      </c>
      <c r="B35">
        <v>123</v>
      </c>
      <c r="C35">
        <v>3870000</v>
      </c>
      <c r="D35" s="13">
        <v>46127</v>
      </c>
      <c r="E35" s="67">
        <v>46157</v>
      </c>
      <c r="F35" s="40">
        <f t="shared" si="0"/>
        <v>46159</v>
      </c>
      <c r="G35" s="27"/>
    </row>
    <row r="36" spans="1:7" ht="15.75" customHeight="1" x14ac:dyDescent="0.25">
      <c r="A36" t="s">
        <v>709</v>
      </c>
      <c r="B36">
        <v>124</v>
      </c>
      <c r="C36">
        <v>4000000</v>
      </c>
      <c r="D36" s="13">
        <v>46127</v>
      </c>
      <c r="E36" s="67">
        <v>46157</v>
      </c>
      <c r="F36" s="40">
        <f t="shared" si="0"/>
        <v>46159</v>
      </c>
      <c r="G36" s="27"/>
    </row>
    <row r="37" spans="1:7" ht="15.75" customHeight="1" x14ac:dyDescent="0.25">
      <c r="A37" t="s">
        <v>710</v>
      </c>
      <c r="B37">
        <v>66486728</v>
      </c>
      <c r="C37">
        <v>4528200</v>
      </c>
      <c r="D37" s="13">
        <v>46127</v>
      </c>
      <c r="E37" s="67">
        <v>46157</v>
      </c>
      <c r="F37" s="40">
        <f t="shared" si="0"/>
        <v>46159</v>
      </c>
      <c r="G37" s="27"/>
    </row>
    <row r="38" spans="1:7" ht="15.75" customHeight="1" x14ac:dyDescent="0.25">
      <c r="A38" t="s">
        <v>703</v>
      </c>
      <c r="B38">
        <v>61747694</v>
      </c>
      <c r="C38">
        <v>7365600</v>
      </c>
      <c r="D38" s="13">
        <v>46127</v>
      </c>
      <c r="E38" s="67">
        <v>46157</v>
      </c>
      <c r="F38" s="40">
        <f t="shared" si="0"/>
        <v>46159</v>
      </c>
      <c r="G38" s="27"/>
    </row>
    <row r="39" spans="1:7" ht="15.75" customHeight="1" x14ac:dyDescent="0.25">
      <c r="A39" t="s">
        <v>708</v>
      </c>
      <c r="B39">
        <v>4628</v>
      </c>
      <c r="C39">
        <v>1300000</v>
      </c>
      <c r="D39" s="13">
        <v>46127</v>
      </c>
      <c r="E39" s="67">
        <v>46157</v>
      </c>
      <c r="F39" s="40">
        <f t="shared" si="0"/>
        <v>46159</v>
      </c>
      <c r="G39" s="27"/>
    </row>
    <row r="40" spans="1:7" ht="15.75" customHeight="1" x14ac:dyDescent="0.25">
      <c r="A40" t="s">
        <v>711</v>
      </c>
      <c r="B40">
        <v>3436586</v>
      </c>
      <c r="C40">
        <v>1800000</v>
      </c>
      <c r="D40" s="13">
        <v>46127</v>
      </c>
      <c r="E40" s="67">
        <v>46160</v>
      </c>
      <c r="F40" s="40">
        <f t="shared" si="0"/>
        <v>46162</v>
      </c>
      <c r="G40" s="27"/>
    </row>
    <row r="41" spans="1:7" ht="15.75" customHeight="1" x14ac:dyDescent="0.25">
      <c r="A41" t="s">
        <v>711</v>
      </c>
      <c r="B41">
        <v>3436587</v>
      </c>
      <c r="C41">
        <v>1850000</v>
      </c>
      <c r="D41" s="13">
        <v>46127</v>
      </c>
      <c r="E41" s="67">
        <v>46160</v>
      </c>
      <c r="F41" s="40">
        <f t="shared" si="0"/>
        <v>46162</v>
      </c>
      <c r="G41" s="27"/>
    </row>
    <row r="42" spans="1:7" ht="15.75" customHeight="1" x14ac:dyDescent="0.25">
      <c r="A42" t="s">
        <v>702</v>
      </c>
      <c r="B42">
        <v>78055867</v>
      </c>
      <c r="C42">
        <v>1324500</v>
      </c>
      <c r="D42" s="13">
        <v>46127</v>
      </c>
      <c r="E42" s="67">
        <v>46160</v>
      </c>
      <c r="F42" s="40">
        <f t="shared" si="0"/>
        <v>46162</v>
      </c>
      <c r="G42" s="27"/>
    </row>
    <row r="43" spans="1:7" ht="15.75" customHeight="1" x14ac:dyDescent="0.25">
      <c r="A43" t="s">
        <v>712</v>
      </c>
      <c r="B43">
        <v>9487743</v>
      </c>
      <c r="C43">
        <v>12220447.59</v>
      </c>
      <c r="D43" s="13">
        <v>46127</v>
      </c>
      <c r="E43" s="67">
        <v>46160</v>
      </c>
      <c r="F43" s="40">
        <f t="shared" si="0"/>
        <v>46162</v>
      </c>
      <c r="G43" s="27"/>
    </row>
    <row r="44" spans="1:7" ht="15.75" customHeight="1" x14ac:dyDescent="0.25">
      <c r="A44" t="s">
        <v>701</v>
      </c>
      <c r="B44">
        <v>12924517</v>
      </c>
      <c r="C44">
        <v>7374980</v>
      </c>
      <c r="D44" s="13">
        <v>46127</v>
      </c>
      <c r="E44" s="67">
        <v>46160</v>
      </c>
      <c r="F44" s="40">
        <f t="shared" si="0"/>
        <v>46162</v>
      </c>
      <c r="G44" s="27"/>
    </row>
    <row r="45" spans="1:7" ht="15.75" customHeight="1" x14ac:dyDescent="0.25">
      <c r="A45" t="s">
        <v>708</v>
      </c>
      <c r="B45">
        <v>4575</v>
      </c>
      <c r="C45">
        <v>1300000</v>
      </c>
      <c r="D45" s="13">
        <v>46127</v>
      </c>
      <c r="E45" s="67">
        <v>46160</v>
      </c>
      <c r="F45" s="40">
        <f t="shared" si="0"/>
        <v>46162</v>
      </c>
      <c r="G45" s="27"/>
    </row>
    <row r="46" spans="1:7" ht="15.75" customHeight="1" x14ac:dyDescent="0.25">
      <c r="A46" t="s">
        <v>713</v>
      </c>
      <c r="B46">
        <v>674</v>
      </c>
      <c r="C46">
        <v>4500000</v>
      </c>
      <c r="D46" s="13">
        <v>46127</v>
      </c>
      <c r="E46" s="67">
        <v>46160</v>
      </c>
      <c r="F46" s="40">
        <f t="shared" si="0"/>
        <v>46162</v>
      </c>
      <c r="G46" s="27"/>
    </row>
    <row r="47" spans="1:7" ht="15.75" customHeight="1" x14ac:dyDescent="0.25">
      <c r="A47" t="s">
        <v>713</v>
      </c>
      <c r="B47">
        <v>675</v>
      </c>
      <c r="C47">
        <v>4500000</v>
      </c>
      <c r="D47" s="13">
        <v>46127</v>
      </c>
      <c r="E47" s="67">
        <v>46160</v>
      </c>
      <c r="F47" s="40">
        <f t="shared" si="0"/>
        <v>46162</v>
      </c>
      <c r="G47" s="27"/>
    </row>
    <row r="48" spans="1:7" ht="15.75" customHeight="1" x14ac:dyDescent="0.25">
      <c r="A48" t="s">
        <v>713</v>
      </c>
      <c r="B48">
        <v>676</v>
      </c>
      <c r="C48">
        <v>3724600</v>
      </c>
      <c r="D48" s="13">
        <v>46127</v>
      </c>
      <c r="E48" s="67">
        <v>46160</v>
      </c>
      <c r="F48" s="40">
        <f t="shared" si="0"/>
        <v>46162</v>
      </c>
      <c r="G48" s="27"/>
    </row>
    <row r="49" spans="1:7" ht="15.75" customHeight="1" x14ac:dyDescent="0.25">
      <c r="A49" t="s">
        <v>713</v>
      </c>
      <c r="B49">
        <v>677</v>
      </c>
      <c r="C49">
        <v>4500000</v>
      </c>
      <c r="D49" s="13">
        <v>46127</v>
      </c>
      <c r="E49" s="67">
        <v>46160</v>
      </c>
      <c r="F49" s="40">
        <f t="shared" si="0"/>
        <v>46162</v>
      </c>
      <c r="G49" s="27"/>
    </row>
    <row r="50" spans="1:7" ht="15.75" customHeight="1" x14ac:dyDescent="0.25">
      <c r="A50" t="s">
        <v>714</v>
      </c>
      <c r="B50">
        <v>66288756</v>
      </c>
      <c r="C50">
        <v>10766250</v>
      </c>
      <c r="D50" s="13">
        <v>46127</v>
      </c>
      <c r="E50" s="67">
        <v>46160</v>
      </c>
      <c r="F50" s="40">
        <f t="shared" si="0"/>
        <v>46162</v>
      </c>
      <c r="G50" s="27"/>
    </row>
    <row r="51" spans="1:7" ht="15.75" customHeight="1" x14ac:dyDescent="0.25">
      <c r="A51" t="s">
        <v>714</v>
      </c>
      <c r="B51">
        <v>66288779</v>
      </c>
      <c r="C51">
        <v>9000000</v>
      </c>
      <c r="D51" s="13">
        <v>46127</v>
      </c>
      <c r="E51" s="67">
        <v>46160</v>
      </c>
      <c r="F51" s="40">
        <f t="shared" si="0"/>
        <v>46162</v>
      </c>
      <c r="G51" s="27"/>
    </row>
    <row r="52" spans="1:7" ht="15.75" customHeight="1" x14ac:dyDescent="0.25">
      <c r="A52" t="s">
        <v>715</v>
      </c>
      <c r="B52">
        <v>29133200</v>
      </c>
      <c r="C52">
        <v>9455600</v>
      </c>
      <c r="D52" s="13">
        <v>46127</v>
      </c>
      <c r="E52" s="67">
        <v>46160</v>
      </c>
      <c r="F52" s="40">
        <f t="shared" si="0"/>
        <v>46162</v>
      </c>
      <c r="G52" s="27"/>
    </row>
    <row r="53" spans="1:7" ht="15.75" customHeight="1" x14ac:dyDescent="0.25">
      <c r="A53" t="s">
        <v>704</v>
      </c>
      <c r="B53">
        <v>4960</v>
      </c>
      <c r="C53">
        <v>1864135</v>
      </c>
      <c r="D53" s="13">
        <v>46127</v>
      </c>
      <c r="E53" s="67">
        <v>46160</v>
      </c>
      <c r="F53" s="40">
        <f t="shared" si="0"/>
        <v>46162</v>
      </c>
      <c r="G53" s="27"/>
    </row>
    <row r="54" spans="1:7" ht="15.75" customHeight="1" x14ac:dyDescent="0.25">
      <c r="A54" t="s">
        <v>702</v>
      </c>
      <c r="B54">
        <v>78055884</v>
      </c>
      <c r="C54">
        <v>500000</v>
      </c>
      <c r="D54" s="13">
        <v>46127</v>
      </c>
      <c r="E54" s="67">
        <v>46160</v>
      </c>
      <c r="F54" s="40">
        <f t="shared" si="0"/>
        <v>46162</v>
      </c>
      <c r="G54" s="27"/>
    </row>
    <row r="55" spans="1:7" ht="15.75" customHeight="1" x14ac:dyDescent="0.25">
      <c r="A55" t="s">
        <v>702</v>
      </c>
      <c r="B55">
        <v>78055892</v>
      </c>
      <c r="C55">
        <v>890000</v>
      </c>
      <c r="D55" s="13">
        <v>46127</v>
      </c>
      <c r="E55" s="67">
        <v>46160</v>
      </c>
      <c r="F55" s="40">
        <f t="shared" si="0"/>
        <v>46162</v>
      </c>
      <c r="G55" s="27"/>
    </row>
    <row r="56" spans="1:7" ht="15.75" customHeight="1" x14ac:dyDescent="0.25">
      <c r="A56" t="s">
        <v>709</v>
      </c>
      <c r="B56">
        <v>125</v>
      </c>
      <c r="C56">
        <v>3000314.05</v>
      </c>
      <c r="D56" s="13">
        <v>46127</v>
      </c>
      <c r="E56" s="67">
        <v>46160</v>
      </c>
      <c r="F56" s="40">
        <f t="shared" si="0"/>
        <v>46162</v>
      </c>
      <c r="G56" s="27"/>
    </row>
    <row r="57" spans="1:7" ht="15.75" customHeight="1" x14ac:dyDescent="0.25">
      <c r="A57" t="s">
        <v>709</v>
      </c>
      <c r="B57">
        <v>126</v>
      </c>
      <c r="C57">
        <v>3500000</v>
      </c>
      <c r="D57" s="13">
        <v>46127</v>
      </c>
      <c r="E57" s="67">
        <v>46160</v>
      </c>
      <c r="F57" s="40">
        <f t="shared" si="0"/>
        <v>46162</v>
      </c>
      <c r="G57" s="27"/>
    </row>
    <row r="58" spans="1:7" ht="15.75" customHeight="1" x14ac:dyDescent="0.25">
      <c r="A58" t="s">
        <v>709</v>
      </c>
      <c r="B58">
        <v>127</v>
      </c>
      <c r="C58">
        <v>3024000</v>
      </c>
      <c r="D58" s="13">
        <v>46127</v>
      </c>
      <c r="E58" s="67">
        <v>46160</v>
      </c>
      <c r="F58" s="40">
        <f t="shared" si="0"/>
        <v>46162</v>
      </c>
      <c r="G58" s="27"/>
    </row>
    <row r="59" spans="1:7" ht="15.75" customHeight="1" x14ac:dyDescent="0.25">
      <c r="A59" t="s">
        <v>709</v>
      </c>
      <c r="B59">
        <v>128</v>
      </c>
      <c r="C59">
        <v>2000000</v>
      </c>
      <c r="D59" s="13">
        <v>46127</v>
      </c>
      <c r="E59" s="67">
        <v>46160</v>
      </c>
      <c r="F59" s="40">
        <f t="shared" si="0"/>
        <v>46162</v>
      </c>
      <c r="G59" s="27"/>
    </row>
    <row r="60" spans="1:7" ht="15.75" customHeight="1" x14ac:dyDescent="0.25">
      <c r="A60" t="s">
        <v>714</v>
      </c>
      <c r="B60">
        <v>66612046</v>
      </c>
      <c r="C60">
        <v>13057192.01</v>
      </c>
      <c r="D60" s="13">
        <v>46127</v>
      </c>
      <c r="E60" s="67">
        <v>46160</v>
      </c>
      <c r="F60" s="40">
        <f t="shared" si="0"/>
        <v>46162</v>
      </c>
      <c r="G60" s="27"/>
    </row>
    <row r="61" spans="1:7" ht="15.75" customHeight="1" x14ac:dyDescent="0.25">
      <c r="A61" t="s">
        <v>702</v>
      </c>
      <c r="B61">
        <v>78055898</v>
      </c>
      <c r="C61">
        <v>960000</v>
      </c>
      <c r="D61" s="13">
        <v>46127</v>
      </c>
      <c r="E61" s="67">
        <v>46160</v>
      </c>
      <c r="F61" s="40">
        <f t="shared" si="0"/>
        <v>46162</v>
      </c>
      <c r="G61" s="27"/>
    </row>
    <row r="62" spans="1:7" ht="15.75" customHeight="1" x14ac:dyDescent="0.25">
      <c r="A62" t="s">
        <v>716</v>
      </c>
      <c r="B62">
        <v>90018038</v>
      </c>
      <c r="C62">
        <v>9684400</v>
      </c>
      <c r="D62" s="13">
        <v>46127</v>
      </c>
      <c r="E62" s="67">
        <v>46160</v>
      </c>
      <c r="F62" s="40">
        <f t="shared" si="0"/>
        <v>46162</v>
      </c>
      <c r="G62" s="27"/>
    </row>
    <row r="63" spans="1:7" ht="15.75" customHeight="1" x14ac:dyDescent="0.25">
      <c r="A63" t="s">
        <v>708</v>
      </c>
      <c r="B63">
        <v>4629</v>
      </c>
      <c r="C63">
        <v>1300000</v>
      </c>
      <c r="D63" s="13">
        <v>46127</v>
      </c>
      <c r="E63" s="67">
        <v>46160</v>
      </c>
      <c r="F63" s="40">
        <f t="shared" si="0"/>
        <v>46162</v>
      </c>
      <c r="G63" s="27"/>
    </row>
    <row r="64" spans="1:7" ht="15.75" customHeight="1" x14ac:dyDescent="0.25">
      <c r="A64" t="s">
        <v>715</v>
      </c>
      <c r="B64">
        <v>29057186</v>
      </c>
      <c r="C64">
        <v>30901040</v>
      </c>
      <c r="D64" s="13">
        <v>46127</v>
      </c>
      <c r="E64" s="67">
        <v>46161</v>
      </c>
      <c r="F64" s="40">
        <f t="shared" si="0"/>
        <v>46163</v>
      </c>
      <c r="G64" s="27"/>
    </row>
    <row r="65" spans="1:7" ht="15.75" customHeight="1" x14ac:dyDescent="0.25">
      <c r="A65" t="s">
        <v>707</v>
      </c>
      <c r="B65">
        <v>29117287</v>
      </c>
      <c r="C65">
        <v>10216372.48</v>
      </c>
      <c r="D65" s="13">
        <v>46127</v>
      </c>
      <c r="E65" s="67">
        <v>46161</v>
      </c>
      <c r="F65" s="40">
        <f t="shared" si="0"/>
        <v>46163</v>
      </c>
      <c r="G65" s="27"/>
    </row>
    <row r="66" spans="1:7" ht="15.75" customHeight="1" x14ac:dyDescent="0.25">
      <c r="A66" t="s">
        <v>717</v>
      </c>
      <c r="B66">
        <v>9583076</v>
      </c>
      <c r="C66">
        <v>11530750</v>
      </c>
      <c r="D66" s="13">
        <v>46127</v>
      </c>
      <c r="E66" s="67">
        <v>46161</v>
      </c>
      <c r="F66" s="40">
        <f t="shared" si="0"/>
        <v>46163</v>
      </c>
      <c r="G66" s="27"/>
    </row>
    <row r="67" spans="1:7" ht="15.75" customHeight="1" x14ac:dyDescent="0.25">
      <c r="A67" t="s">
        <v>708</v>
      </c>
      <c r="B67">
        <v>4576</v>
      </c>
      <c r="C67">
        <v>949750</v>
      </c>
      <c r="D67" s="13">
        <v>46127</v>
      </c>
      <c r="E67" s="67">
        <v>46161</v>
      </c>
      <c r="F67" s="40">
        <f t="shared" si="0"/>
        <v>46163</v>
      </c>
      <c r="G67" s="27"/>
    </row>
    <row r="68" spans="1:7" ht="15.75" customHeight="1" x14ac:dyDescent="0.25">
      <c r="A68" t="s">
        <v>702</v>
      </c>
      <c r="B68">
        <v>78055885</v>
      </c>
      <c r="C68">
        <v>500000</v>
      </c>
      <c r="D68" s="13">
        <v>46127</v>
      </c>
      <c r="E68" s="67">
        <v>46161</v>
      </c>
      <c r="F68" s="40">
        <f t="shared" si="0"/>
        <v>46163</v>
      </c>
      <c r="G68" s="27"/>
    </row>
    <row r="69" spans="1:7" ht="15.75" customHeight="1" x14ac:dyDescent="0.25">
      <c r="A69" t="s">
        <v>702</v>
      </c>
      <c r="B69">
        <v>78055893</v>
      </c>
      <c r="C69">
        <v>890000</v>
      </c>
      <c r="D69" s="13">
        <v>46127</v>
      </c>
      <c r="E69" s="67">
        <v>46161</v>
      </c>
      <c r="F69" s="40">
        <f t="shared" ref="F69:F132" si="1">IF(E69="","",E69+2)</f>
        <v>46163</v>
      </c>
      <c r="G69" s="27"/>
    </row>
    <row r="70" spans="1:7" ht="15.75" customHeight="1" x14ac:dyDescent="0.25">
      <c r="A70" t="s">
        <v>702</v>
      </c>
      <c r="B70">
        <v>78055899</v>
      </c>
      <c r="C70">
        <v>960000</v>
      </c>
      <c r="D70" s="13">
        <v>46127</v>
      </c>
      <c r="E70" s="67">
        <v>46161</v>
      </c>
      <c r="F70" s="40">
        <f t="shared" si="1"/>
        <v>46163</v>
      </c>
      <c r="G70" s="27"/>
    </row>
    <row r="71" spans="1:7" ht="15.75" customHeight="1" x14ac:dyDescent="0.25">
      <c r="A71" t="s">
        <v>708</v>
      </c>
      <c r="B71">
        <v>4630</v>
      </c>
      <c r="C71">
        <v>1300000</v>
      </c>
      <c r="D71" s="13">
        <v>46127</v>
      </c>
      <c r="E71" s="67">
        <v>46161</v>
      </c>
      <c r="F71" s="40">
        <f t="shared" si="1"/>
        <v>46163</v>
      </c>
      <c r="G71" s="27"/>
    </row>
    <row r="72" spans="1:7" ht="15.75" customHeight="1" x14ac:dyDescent="0.25">
      <c r="A72" t="s">
        <v>718</v>
      </c>
      <c r="B72">
        <v>1368</v>
      </c>
      <c r="C72">
        <v>26000000</v>
      </c>
      <c r="D72" s="13">
        <v>46127</v>
      </c>
      <c r="E72" s="67">
        <v>46162</v>
      </c>
      <c r="F72" s="40">
        <f t="shared" si="1"/>
        <v>46164</v>
      </c>
      <c r="G72" s="27"/>
    </row>
    <row r="73" spans="1:7" ht="15.75" customHeight="1" x14ac:dyDescent="0.25">
      <c r="A73" t="s">
        <v>710</v>
      </c>
      <c r="B73">
        <v>66486598</v>
      </c>
      <c r="C73">
        <v>5000000</v>
      </c>
      <c r="D73" s="13">
        <v>46127</v>
      </c>
      <c r="E73" s="67">
        <v>46162</v>
      </c>
      <c r="F73" s="40">
        <f t="shared" si="1"/>
        <v>46164</v>
      </c>
      <c r="G73" s="27"/>
    </row>
    <row r="74" spans="1:7" ht="15.75" customHeight="1" x14ac:dyDescent="0.25">
      <c r="A74" t="s">
        <v>708</v>
      </c>
      <c r="B74">
        <v>4631</v>
      </c>
      <c r="C74">
        <v>1300000</v>
      </c>
      <c r="D74" s="13">
        <v>46127</v>
      </c>
      <c r="E74" s="67">
        <v>46162</v>
      </c>
      <c r="F74" s="40">
        <f t="shared" si="1"/>
        <v>46164</v>
      </c>
      <c r="G74" s="27"/>
    </row>
    <row r="75" spans="1:7" ht="15.75" customHeight="1" x14ac:dyDescent="0.25">
      <c r="A75" t="s">
        <v>717</v>
      </c>
      <c r="B75">
        <v>1</v>
      </c>
      <c r="C75">
        <v>14034570</v>
      </c>
      <c r="D75" s="13">
        <v>46127</v>
      </c>
      <c r="E75" s="67">
        <v>46163</v>
      </c>
      <c r="F75" s="40">
        <f t="shared" si="1"/>
        <v>46165</v>
      </c>
      <c r="G75" s="27"/>
    </row>
    <row r="76" spans="1:7" ht="15.75" customHeight="1" x14ac:dyDescent="0.25">
      <c r="A76" t="s">
        <v>706</v>
      </c>
      <c r="B76">
        <v>13378069</v>
      </c>
      <c r="C76">
        <v>2465900</v>
      </c>
      <c r="D76" s="13">
        <v>46127</v>
      </c>
      <c r="E76" s="67">
        <v>46163</v>
      </c>
      <c r="F76" s="40">
        <f t="shared" si="1"/>
        <v>46165</v>
      </c>
      <c r="G76" s="27"/>
    </row>
    <row r="77" spans="1:7" ht="15.75" customHeight="1" x14ac:dyDescent="0.25">
      <c r="A77" t="s">
        <v>702</v>
      </c>
      <c r="B77">
        <v>78055886</v>
      </c>
      <c r="C77">
        <v>500000</v>
      </c>
      <c r="D77" s="13">
        <v>46127</v>
      </c>
      <c r="E77" s="67">
        <v>46163</v>
      </c>
      <c r="F77" s="40">
        <f t="shared" si="1"/>
        <v>46165</v>
      </c>
      <c r="G77" s="27"/>
    </row>
    <row r="78" spans="1:7" ht="15.75" customHeight="1" x14ac:dyDescent="0.25">
      <c r="A78" t="s">
        <v>702</v>
      </c>
      <c r="B78">
        <v>78055894</v>
      </c>
      <c r="C78">
        <v>890000</v>
      </c>
      <c r="D78" s="13">
        <v>46127</v>
      </c>
      <c r="E78" s="67">
        <v>46163</v>
      </c>
      <c r="F78" s="40">
        <f t="shared" si="1"/>
        <v>46165</v>
      </c>
      <c r="G78" s="27"/>
    </row>
    <row r="79" spans="1:7" ht="15.75" customHeight="1" x14ac:dyDescent="0.25">
      <c r="A79" t="s">
        <v>702</v>
      </c>
      <c r="B79">
        <v>78055900</v>
      </c>
      <c r="C79">
        <v>960000</v>
      </c>
      <c r="D79" s="13">
        <v>46127</v>
      </c>
      <c r="E79" s="67">
        <v>46163</v>
      </c>
      <c r="F79" s="40">
        <f t="shared" si="1"/>
        <v>46165</v>
      </c>
      <c r="G79" s="27"/>
    </row>
    <row r="80" spans="1:7" ht="15.75" customHeight="1" x14ac:dyDescent="0.25">
      <c r="A80" t="s">
        <v>706</v>
      </c>
      <c r="B80">
        <v>13378070</v>
      </c>
      <c r="C80">
        <v>2500000</v>
      </c>
      <c r="D80" s="13">
        <v>46127</v>
      </c>
      <c r="E80" s="67">
        <v>46164</v>
      </c>
      <c r="F80" s="40">
        <f t="shared" si="1"/>
        <v>46166</v>
      </c>
      <c r="G80" s="27"/>
    </row>
    <row r="81" spans="1:7" ht="15.75" customHeight="1" x14ac:dyDescent="0.25">
      <c r="A81" t="s">
        <v>704</v>
      </c>
      <c r="B81">
        <v>5214</v>
      </c>
      <c r="C81">
        <v>1373700</v>
      </c>
      <c r="D81" s="13">
        <v>46127</v>
      </c>
      <c r="E81" s="67">
        <v>46164</v>
      </c>
      <c r="F81" s="40">
        <f t="shared" si="1"/>
        <v>46166</v>
      </c>
      <c r="G81" s="27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13">
        <v>46127</v>
      </c>
      <c r="E82" s="67">
        <v>46164</v>
      </c>
      <c r="F82" s="40">
        <f t="shared" si="1"/>
        <v>46166</v>
      </c>
      <c r="G82" s="27"/>
    </row>
    <row r="83" spans="1:7" ht="15.75" customHeight="1" x14ac:dyDescent="0.25">
      <c r="A83" t="s">
        <v>702</v>
      </c>
      <c r="B83">
        <v>78055895</v>
      </c>
      <c r="C83">
        <v>890000</v>
      </c>
      <c r="D83" s="13">
        <v>46127</v>
      </c>
      <c r="E83" s="67">
        <v>46164</v>
      </c>
      <c r="F83" s="40">
        <f t="shared" si="1"/>
        <v>46166</v>
      </c>
      <c r="G83" s="27"/>
    </row>
    <row r="84" spans="1:7" ht="15.75" customHeight="1" x14ac:dyDescent="0.25">
      <c r="A84" t="s">
        <v>702</v>
      </c>
      <c r="B84">
        <v>78055896</v>
      </c>
      <c r="C84">
        <v>890000</v>
      </c>
      <c r="D84" s="13">
        <v>46127</v>
      </c>
      <c r="E84" s="67">
        <v>46164</v>
      </c>
      <c r="F84" s="40">
        <f t="shared" si="1"/>
        <v>46166</v>
      </c>
      <c r="G84" s="27"/>
    </row>
    <row r="85" spans="1:7" ht="15.75" customHeight="1" x14ac:dyDescent="0.25">
      <c r="A85" t="s">
        <v>702</v>
      </c>
      <c r="B85">
        <v>8055887</v>
      </c>
      <c r="C85">
        <v>525400</v>
      </c>
      <c r="D85" s="13">
        <v>46127</v>
      </c>
      <c r="E85" s="67">
        <v>46164</v>
      </c>
      <c r="F85" s="40">
        <f t="shared" si="1"/>
        <v>46166</v>
      </c>
      <c r="G85" s="27"/>
    </row>
    <row r="86" spans="1:7" ht="15.75" customHeight="1" x14ac:dyDescent="0.25">
      <c r="A86" t="s">
        <v>718</v>
      </c>
      <c r="B86">
        <v>1369</v>
      </c>
      <c r="C86">
        <v>26348155</v>
      </c>
      <c r="D86" s="13">
        <v>46127</v>
      </c>
      <c r="E86" s="67">
        <v>46164</v>
      </c>
      <c r="F86" s="40">
        <f t="shared" si="1"/>
        <v>46166</v>
      </c>
      <c r="G86" s="27"/>
    </row>
    <row r="87" spans="1:7" ht="15.75" customHeight="1" x14ac:dyDescent="0.25">
      <c r="A87" t="s">
        <v>719</v>
      </c>
      <c r="B87">
        <v>6800188</v>
      </c>
      <c r="C87">
        <v>16576560</v>
      </c>
      <c r="D87" s="13">
        <v>46127</v>
      </c>
      <c r="E87" s="67">
        <v>46164</v>
      </c>
      <c r="F87" s="40">
        <f t="shared" si="1"/>
        <v>46166</v>
      </c>
      <c r="G87" s="27"/>
    </row>
    <row r="88" spans="1:7" ht="15.75" customHeight="1" x14ac:dyDescent="0.25">
      <c r="A88" t="s">
        <v>702</v>
      </c>
      <c r="B88">
        <v>78055901</v>
      </c>
      <c r="C88">
        <v>960000</v>
      </c>
      <c r="D88" s="13">
        <v>46127</v>
      </c>
      <c r="E88" s="67">
        <v>46164</v>
      </c>
      <c r="F88" s="40">
        <f t="shared" si="1"/>
        <v>46166</v>
      </c>
      <c r="G88" s="27"/>
    </row>
    <row r="89" spans="1:7" ht="15.75" customHeight="1" x14ac:dyDescent="0.25">
      <c r="A89" t="s">
        <v>716</v>
      </c>
      <c r="B89">
        <v>90018039</v>
      </c>
      <c r="C89">
        <v>9640400</v>
      </c>
      <c r="D89" s="13">
        <v>46127</v>
      </c>
      <c r="E89" s="67">
        <v>46164</v>
      </c>
      <c r="F89" s="40">
        <f t="shared" si="1"/>
        <v>46166</v>
      </c>
      <c r="G89" s="27"/>
    </row>
    <row r="90" spans="1:7" ht="15.75" customHeight="1" x14ac:dyDescent="0.25">
      <c r="A90" t="s">
        <v>708</v>
      </c>
      <c r="B90">
        <v>4715</v>
      </c>
      <c r="C90">
        <v>1300000</v>
      </c>
      <c r="D90" s="13">
        <v>46127</v>
      </c>
      <c r="E90" s="67">
        <v>46164</v>
      </c>
      <c r="F90" s="40">
        <f t="shared" si="1"/>
        <v>46166</v>
      </c>
      <c r="G90" s="27"/>
    </row>
    <row r="91" spans="1:7" ht="15.75" customHeight="1" x14ac:dyDescent="0.25">
      <c r="A91" t="s">
        <v>708</v>
      </c>
      <c r="B91">
        <v>4632</v>
      </c>
      <c r="C91">
        <v>1300000</v>
      </c>
      <c r="D91" s="13">
        <v>46127</v>
      </c>
      <c r="E91" s="67">
        <v>46164</v>
      </c>
      <c r="F91" s="40">
        <f t="shared" si="1"/>
        <v>46166</v>
      </c>
      <c r="G91" s="27"/>
    </row>
    <row r="92" spans="1:7" ht="15.75" customHeight="1" x14ac:dyDescent="0.25">
      <c r="A92" t="s">
        <v>715</v>
      </c>
      <c r="B92">
        <v>29265627</v>
      </c>
      <c r="C92">
        <v>9884160</v>
      </c>
      <c r="D92" s="13">
        <v>46127</v>
      </c>
      <c r="E92" s="67">
        <v>46164</v>
      </c>
      <c r="F92" s="40">
        <f t="shared" si="1"/>
        <v>46166</v>
      </c>
      <c r="G92" s="27"/>
    </row>
    <row r="93" spans="1:7" ht="15.75" customHeight="1" x14ac:dyDescent="0.25">
      <c r="A93" t="s">
        <v>705</v>
      </c>
      <c r="B93">
        <v>6818</v>
      </c>
      <c r="C93">
        <v>22336160</v>
      </c>
      <c r="D93" s="13">
        <v>46127</v>
      </c>
      <c r="E93" s="67">
        <v>46167</v>
      </c>
      <c r="F93" s="40">
        <f t="shared" si="1"/>
        <v>46169</v>
      </c>
      <c r="G93" s="27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13">
        <v>46127</v>
      </c>
      <c r="E94" s="67">
        <v>46167</v>
      </c>
      <c r="F94" s="40">
        <f t="shared" si="1"/>
        <v>46169</v>
      </c>
      <c r="G94" s="27"/>
    </row>
    <row r="95" spans="1:7" ht="15.75" customHeight="1" x14ac:dyDescent="0.25">
      <c r="A95" t="s">
        <v>706</v>
      </c>
      <c r="B95">
        <v>13378071</v>
      </c>
      <c r="C95">
        <v>2500000</v>
      </c>
      <c r="D95" s="13">
        <v>46127</v>
      </c>
      <c r="E95" s="67">
        <v>46167</v>
      </c>
      <c r="F95" s="40">
        <f t="shared" si="1"/>
        <v>46169</v>
      </c>
      <c r="G95" s="27"/>
    </row>
    <row r="96" spans="1:7" ht="15.75" customHeight="1" x14ac:dyDescent="0.25">
      <c r="A96" t="s">
        <v>706</v>
      </c>
      <c r="B96">
        <v>13378072</v>
      </c>
      <c r="C96">
        <v>2500000</v>
      </c>
      <c r="D96" s="13">
        <v>46127</v>
      </c>
      <c r="E96" s="67">
        <v>46167</v>
      </c>
      <c r="F96" s="40">
        <f t="shared" si="1"/>
        <v>46169</v>
      </c>
      <c r="G96" s="27"/>
    </row>
    <row r="97" spans="1:7" ht="15.75" customHeight="1" x14ac:dyDescent="0.25">
      <c r="A97" t="s">
        <v>706</v>
      </c>
      <c r="B97">
        <v>13378073</v>
      </c>
      <c r="C97">
        <v>2500000</v>
      </c>
      <c r="D97" s="13">
        <v>46127</v>
      </c>
      <c r="E97" s="67">
        <v>46167</v>
      </c>
      <c r="F97" s="40">
        <f t="shared" si="1"/>
        <v>46169</v>
      </c>
      <c r="G97" s="27"/>
    </row>
    <row r="98" spans="1:7" ht="15.75" customHeight="1" x14ac:dyDescent="0.25">
      <c r="A98" t="s">
        <v>714</v>
      </c>
      <c r="B98">
        <v>66612110</v>
      </c>
      <c r="C98">
        <v>14000000</v>
      </c>
      <c r="D98" s="13">
        <v>46127</v>
      </c>
      <c r="E98" s="67">
        <v>46167</v>
      </c>
      <c r="F98" s="40">
        <f t="shared" si="1"/>
        <v>46169</v>
      </c>
      <c r="G98" s="27"/>
    </row>
    <row r="99" spans="1:7" ht="15.75" customHeight="1" x14ac:dyDescent="0.25">
      <c r="A99" t="s">
        <v>710</v>
      </c>
      <c r="B99">
        <v>66487132</v>
      </c>
      <c r="C99">
        <v>4796000</v>
      </c>
      <c r="D99" s="13">
        <v>46127</v>
      </c>
      <c r="E99" s="67">
        <v>46167</v>
      </c>
      <c r="F99" s="40">
        <f t="shared" si="1"/>
        <v>46169</v>
      </c>
      <c r="G99" s="27"/>
    </row>
    <row r="100" spans="1:7" ht="15.75" customHeight="1" x14ac:dyDescent="0.25">
      <c r="A100" t="s">
        <v>702</v>
      </c>
      <c r="B100">
        <v>78055897</v>
      </c>
      <c r="C100">
        <v>907700</v>
      </c>
      <c r="D100" s="13">
        <v>46127</v>
      </c>
      <c r="E100" s="67">
        <v>46168</v>
      </c>
      <c r="F100" s="40">
        <f t="shared" si="1"/>
        <v>46170</v>
      </c>
      <c r="G100" s="27"/>
    </row>
    <row r="101" spans="1:7" ht="15.75" customHeight="1" x14ac:dyDescent="0.25">
      <c r="A101" t="s">
        <v>702</v>
      </c>
      <c r="B101">
        <v>78055902</v>
      </c>
      <c r="C101">
        <v>960000</v>
      </c>
      <c r="D101" s="13">
        <v>46127</v>
      </c>
      <c r="E101" s="67">
        <v>46168</v>
      </c>
      <c r="F101" s="40">
        <f t="shared" si="1"/>
        <v>46170</v>
      </c>
      <c r="G101" s="27"/>
    </row>
    <row r="102" spans="1:7" ht="15.75" customHeight="1" x14ac:dyDescent="0.25">
      <c r="A102" t="s">
        <v>708</v>
      </c>
      <c r="B102">
        <v>4716</v>
      </c>
      <c r="C102">
        <v>1300000</v>
      </c>
      <c r="D102" s="13">
        <v>46127</v>
      </c>
      <c r="E102" s="67">
        <v>46168</v>
      </c>
      <c r="F102" s="40">
        <f t="shared" si="1"/>
        <v>46170</v>
      </c>
      <c r="G102" s="27"/>
    </row>
    <row r="103" spans="1:7" ht="15.75" customHeight="1" x14ac:dyDescent="0.25">
      <c r="A103" t="s">
        <v>708</v>
      </c>
      <c r="B103">
        <v>4633</v>
      </c>
      <c r="C103">
        <v>1162600</v>
      </c>
      <c r="D103" s="13">
        <v>46127</v>
      </c>
      <c r="E103" s="67">
        <v>46168</v>
      </c>
      <c r="F103" s="40">
        <f t="shared" si="1"/>
        <v>46170</v>
      </c>
      <c r="G103" s="27"/>
    </row>
    <row r="104" spans="1:7" ht="15.75" customHeight="1" x14ac:dyDescent="0.25">
      <c r="A104" t="s">
        <v>708</v>
      </c>
      <c r="B104">
        <v>4742</v>
      </c>
      <c r="C104">
        <v>1200000</v>
      </c>
      <c r="D104" s="13">
        <v>46127</v>
      </c>
      <c r="E104" s="67">
        <v>46168</v>
      </c>
      <c r="F104" s="40">
        <f t="shared" si="1"/>
        <v>46170</v>
      </c>
      <c r="G104" s="27"/>
    </row>
    <row r="105" spans="1:7" ht="15.75" customHeight="1" x14ac:dyDescent="0.25">
      <c r="A105" t="s">
        <v>702</v>
      </c>
      <c r="B105">
        <v>78055908</v>
      </c>
      <c r="C105">
        <v>1130000</v>
      </c>
      <c r="D105" s="13">
        <v>46127</v>
      </c>
      <c r="E105" s="67">
        <v>46168</v>
      </c>
      <c r="F105" s="40">
        <f t="shared" si="1"/>
        <v>46170</v>
      </c>
      <c r="G105" s="27"/>
    </row>
    <row r="106" spans="1:7" ht="15.75" customHeight="1" x14ac:dyDescent="0.25">
      <c r="A106" t="s">
        <v>717</v>
      </c>
      <c r="B106">
        <v>16</v>
      </c>
      <c r="C106">
        <v>19042210</v>
      </c>
      <c r="D106" s="13">
        <v>46127</v>
      </c>
      <c r="E106" s="67">
        <v>46169</v>
      </c>
      <c r="F106" s="40">
        <f t="shared" si="1"/>
        <v>46171</v>
      </c>
      <c r="G106" s="27"/>
    </row>
    <row r="107" spans="1:7" ht="15.75" customHeight="1" x14ac:dyDescent="0.25">
      <c r="A107" t="s">
        <v>710</v>
      </c>
      <c r="B107">
        <v>66486893</v>
      </c>
      <c r="C107">
        <v>5000000</v>
      </c>
      <c r="D107" s="13">
        <v>46127</v>
      </c>
      <c r="E107" s="67">
        <v>46169</v>
      </c>
      <c r="F107" s="40">
        <f t="shared" si="1"/>
        <v>46171</v>
      </c>
      <c r="G107" s="27"/>
    </row>
    <row r="108" spans="1:7" ht="15.75" customHeight="1" x14ac:dyDescent="0.25">
      <c r="A108" t="s">
        <v>702</v>
      </c>
      <c r="B108">
        <v>78055903</v>
      </c>
      <c r="C108">
        <v>960000</v>
      </c>
      <c r="D108" s="13">
        <v>46127</v>
      </c>
      <c r="E108" s="67">
        <v>46169</v>
      </c>
      <c r="F108" s="40">
        <f t="shared" si="1"/>
        <v>46171</v>
      </c>
      <c r="G108" s="27"/>
    </row>
    <row r="109" spans="1:7" ht="15.75" customHeight="1" x14ac:dyDescent="0.25">
      <c r="A109" t="s">
        <v>708</v>
      </c>
      <c r="B109">
        <v>4717</v>
      </c>
      <c r="C109">
        <v>1300000</v>
      </c>
      <c r="D109" s="13">
        <v>46127</v>
      </c>
      <c r="E109" s="67">
        <v>46169</v>
      </c>
      <c r="F109" s="40">
        <f t="shared" si="1"/>
        <v>46171</v>
      </c>
      <c r="G109" s="27"/>
    </row>
    <row r="110" spans="1:7" ht="15.75" customHeight="1" x14ac:dyDescent="0.25">
      <c r="A110" t="s">
        <v>708</v>
      </c>
      <c r="B110">
        <v>4743</v>
      </c>
      <c r="C110">
        <v>1200000</v>
      </c>
      <c r="D110" s="13">
        <v>46127</v>
      </c>
      <c r="E110" s="67">
        <v>46169</v>
      </c>
      <c r="F110" s="40">
        <f t="shared" si="1"/>
        <v>46171</v>
      </c>
      <c r="G110" s="27"/>
    </row>
    <row r="111" spans="1:7" ht="15.75" customHeight="1" x14ac:dyDescent="0.25">
      <c r="A111" t="s">
        <v>708</v>
      </c>
      <c r="B111">
        <v>4772</v>
      </c>
      <c r="C111">
        <v>1300000</v>
      </c>
      <c r="D111" s="13">
        <v>46127</v>
      </c>
      <c r="E111" s="67">
        <v>46169</v>
      </c>
      <c r="F111" s="40">
        <f t="shared" si="1"/>
        <v>46171</v>
      </c>
      <c r="G111" s="27"/>
    </row>
    <row r="112" spans="1:7" ht="15.75" customHeight="1" x14ac:dyDescent="0.25">
      <c r="A112" t="s">
        <v>702</v>
      </c>
      <c r="B112">
        <v>78055909</v>
      </c>
      <c r="C112">
        <v>1130000</v>
      </c>
      <c r="D112" s="13">
        <v>46127</v>
      </c>
      <c r="E112" s="67">
        <v>46169</v>
      </c>
      <c r="F112" s="40">
        <f t="shared" si="1"/>
        <v>46171</v>
      </c>
      <c r="G112" s="27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13">
        <v>46127</v>
      </c>
      <c r="E113" s="67">
        <v>46170</v>
      </c>
      <c r="F113" s="40">
        <f t="shared" si="1"/>
        <v>46172</v>
      </c>
      <c r="G113" s="27"/>
    </row>
    <row r="114" spans="1:7" ht="15.75" customHeight="1" x14ac:dyDescent="0.25">
      <c r="A114" t="s">
        <v>702</v>
      </c>
      <c r="B114">
        <v>78055904</v>
      </c>
      <c r="C114">
        <v>960000</v>
      </c>
      <c r="D114" s="13">
        <v>46127</v>
      </c>
      <c r="E114" s="67">
        <v>46170</v>
      </c>
      <c r="F114" s="40">
        <f t="shared" si="1"/>
        <v>46172</v>
      </c>
      <c r="G114" s="27"/>
    </row>
    <row r="115" spans="1:7" ht="15.75" customHeight="1" x14ac:dyDescent="0.25">
      <c r="A115" t="s">
        <v>702</v>
      </c>
      <c r="B115">
        <v>78055910</v>
      </c>
      <c r="C115">
        <v>1130000</v>
      </c>
      <c r="D115" s="13">
        <v>46127</v>
      </c>
      <c r="E115" s="67">
        <v>46170</v>
      </c>
      <c r="F115" s="40">
        <f t="shared" si="1"/>
        <v>46172</v>
      </c>
      <c r="G115" s="27"/>
    </row>
    <row r="116" spans="1:7" ht="15.75" customHeight="1" x14ac:dyDescent="0.25">
      <c r="A116" t="s">
        <v>704</v>
      </c>
      <c r="B116">
        <v>5221</v>
      </c>
      <c r="C116">
        <v>1626750</v>
      </c>
      <c r="D116" s="13">
        <v>46127</v>
      </c>
      <c r="E116" s="67">
        <v>46171</v>
      </c>
      <c r="F116" s="40">
        <f t="shared" si="1"/>
        <v>46173</v>
      </c>
      <c r="G116" s="27"/>
    </row>
    <row r="117" spans="1:7" ht="15.75" customHeight="1" x14ac:dyDescent="0.25">
      <c r="A117" t="s">
        <v>702</v>
      </c>
      <c r="B117">
        <v>78055905</v>
      </c>
      <c r="C117">
        <v>960000</v>
      </c>
      <c r="D117" s="13">
        <v>46127</v>
      </c>
      <c r="E117" s="67">
        <v>46171</v>
      </c>
      <c r="F117" s="40">
        <f t="shared" si="1"/>
        <v>46173</v>
      </c>
      <c r="G117" s="27"/>
    </row>
    <row r="118" spans="1:7" ht="15.75" customHeight="1" x14ac:dyDescent="0.25">
      <c r="A118" t="s">
        <v>708</v>
      </c>
      <c r="B118">
        <v>4718</v>
      </c>
      <c r="C118">
        <v>1300000</v>
      </c>
      <c r="D118" s="13">
        <v>46127</v>
      </c>
      <c r="E118" s="67">
        <v>46171</v>
      </c>
      <c r="F118" s="40">
        <f t="shared" si="1"/>
        <v>46173</v>
      </c>
      <c r="G118" s="27"/>
    </row>
    <row r="119" spans="1:7" ht="15.75" customHeight="1" x14ac:dyDescent="0.25">
      <c r="A119" t="s">
        <v>708</v>
      </c>
      <c r="B119">
        <v>4744</v>
      </c>
      <c r="C119">
        <v>1200000</v>
      </c>
      <c r="D119" s="13">
        <v>46127</v>
      </c>
      <c r="E119" s="67">
        <v>46171</v>
      </c>
      <c r="F119" s="40">
        <f t="shared" si="1"/>
        <v>46173</v>
      </c>
      <c r="G119" s="27"/>
    </row>
    <row r="120" spans="1:7" ht="15.75" customHeight="1" x14ac:dyDescent="0.25">
      <c r="A120" t="s">
        <v>708</v>
      </c>
      <c r="B120">
        <v>4773</v>
      </c>
      <c r="C120">
        <v>1300000</v>
      </c>
      <c r="D120" s="13">
        <v>46127</v>
      </c>
      <c r="E120" s="67">
        <v>46171</v>
      </c>
      <c r="F120" s="40">
        <f t="shared" si="1"/>
        <v>46173</v>
      </c>
      <c r="G120" s="27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13">
        <v>46127</v>
      </c>
      <c r="E121" s="67">
        <v>46171</v>
      </c>
      <c r="F121" s="40">
        <f t="shared" si="1"/>
        <v>46173</v>
      </c>
      <c r="G121" s="27"/>
    </row>
    <row r="122" spans="1:7" ht="15.75" customHeight="1" x14ac:dyDescent="0.25">
      <c r="A122" t="s">
        <v>715</v>
      </c>
      <c r="B122">
        <v>29265630</v>
      </c>
      <c r="C122">
        <v>9197760</v>
      </c>
      <c r="D122" s="13">
        <v>46127</v>
      </c>
      <c r="E122" s="67">
        <v>46171</v>
      </c>
      <c r="F122" s="40">
        <f t="shared" si="1"/>
        <v>46173</v>
      </c>
      <c r="G122" s="27"/>
    </row>
    <row r="123" spans="1:7" ht="15.75" customHeight="1" x14ac:dyDescent="0.25">
      <c r="A123" t="s">
        <v>702</v>
      </c>
      <c r="B123">
        <v>78055911</v>
      </c>
      <c r="C123">
        <v>1130000</v>
      </c>
      <c r="D123" s="13">
        <v>46127</v>
      </c>
      <c r="E123" s="67">
        <v>46171</v>
      </c>
      <c r="F123" s="40">
        <f t="shared" si="1"/>
        <v>46173</v>
      </c>
      <c r="G123" s="27"/>
    </row>
    <row r="124" spans="1:7" ht="15.75" customHeight="1" x14ac:dyDescent="0.25">
      <c r="A124" t="s">
        <v>705</v>
      </c>
      <c r="B124">
        <v>6894</v>
      </c>
      <c r="C124">
        <v>19015040</v>
      </c>
      <c r="D124" s="13">
        <v>46127</v>
      </c>
      <c r="E124" s="67">
        <v>46174</v>
      </c>
      <c r="F124" s="40">
        <f t="shared" si="1"/>
        <v>46176</v>
      </c>
      <c r="G124" s="27"/>
    </row>
    <row r="125" spans="1:7" ht="15.75" customHeight="1" x14ac:dyDescent="0.25">
      <c r="A125" t="s">
        <v>702</v>
      </c>
      <c r="B125">
        <v>78055906</v>
      </c>
      <c r="C125">
        <v>960000</v>
      </c>
      <c r="D125" s="13">
        <v>46127</v>
      </c>
      <c r="E125" s="67">
        <v>46174</v>
      </c>
      <c r="F125" s="40">
        <f t="shared" si="1"/>
        <v>46176</v>
      </c>
      <c r="G125" s="27"/>
    </row>
    <row r="126" spans="1:7" ht="15.75" customHeight="1" x14ac:dyDescent="0.25">
      <c r="A126" t="s">
        <v>717</v>
      </c>
      <c r="B126">
        <v>9845350</v>
      </c>
      <c r="C126">
        <v>10000000</v>
      </c>
      <c r="D126" s="13">
        <v>46127</v>
      </c>
      <c r="E126" s="67">
        <v>46174</v>
      </c>
      <c r="F126" s="40">
        <f t="shared" si="1"/>
        <v>46176</v>
      </c>
      <c r="G126" s="27"/>
    </row>
    <row r="127" spans="1:7" ht="15.75" customHeight="1" x14ac:dyDescent="0.25">
      <c r="A127" t="s">
        <v>717</v>
      </c>
      <c r="B127">
        <v>9845351</v>
      </c>
      <c r="C127">
        <v>12575630</v>
      </c>
      <c r="D127" s="13">
        <v>46127</v>
      </c>
      <c r="E127" s="67">
        <v>46174</v>
      </c>
      <c r="F127" s="40">
        <f t="shared" si="1"/>
        <v>46176</v>
      </c>
      <c r="G127" s="27"/>
    </row>
    <row r="128" spans="1:7" ht="15.75" customHeight="1" x14ac:dyDescent="0.25">
      <c r="A128" t="s">
        <v>708</v>
      </c>
      <c r="B128">
        <v>4782</v>
      </c>
      <c r="C128">
        <v>1300000</v>
      </c>
      <c r="D128" s="13">
        <v>46127</v>
      </c>
      <c r="E128" s="67">
        <v>46174</v>
      </c>
      <c r="F128" s="40">
        <f t="shared" si="1"/>
        <v>46176</v>
      </c>
      <c r="G128" s="27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13">
        <v>46127</v>
      </c>
      <c r="E129" s="67">
        <v>46174</v>
      </c>
      <c r="F129" s="40">
        <f t="shared" si="1"/>
        <v>46176</v>
      </c>
      <c r="G129" s="27"/>
    </row>
    <row r="130" spans="1:7" ht="15.75" customHeight="1" x14ac:dyDescent="0.25">
      <c r="A130" t="s">
        <v>702</v>
      </c>
      <c r="B130">
        <v>78055912</v>
      </c>
      <c r="C130">
        <v>1130000</v>
      </c>
      <c r="D130" s="13">
        <v>46127</v>
      </c>
      <c r="E130" s="67">
        <v>46174</v>
      </c>
      <c r="F130" s="40">
        <f t="shared" si="1"/>
        <v>46176</v>
      </c>
      <c r="G130" s="27"/>
    </row>
    <row r="131" spans="1:7" ht="15.75" customHeight="1" x14ac:dyDescent="0.25">
      <c r="A131" t="s">
        <v>710</v>
      </c>
      <c r="B131">
        <v>66643962</v>
      </c>
      <c r="C131">
        <v>4457800</v>
      </c>
      <c r="D131" s="13">
        <v>46127</v>
      </c>
      <c r="E131" s="67">
        <v>46175</v>
      </c>
      <c r="F131" s="40">
        <f t="shared" si="1"/>
        <v>46177</v>
      </c>
      <c r="G131" s="27"/>
    </row>
    <row r="132" spans="1:7" ht="15.75" customHeight="1" x14ac:dyDescent="0.25">
      <c r="A132" t="s">
        <v>702</v>
      </c>
      <c r="B132">
        <v>78055907</v>
      </c>
      <c r="C132">
        <v>943200</v>
      </c>
      <c r="D132" s="13">
        <v>46127</v>
      </c>
      <c r="E132" s="67">
        <v>46175</v>
      </c>
      <c r="F132" s="40">
        <f t="shared" si="1"/>
        <v>46177</v>
      </c>
      <c r="G132" s="27"/>
    </row>
    <row r="133" spans="1:7" ht="15.75" customHeight="1" x14ac:dyDescent="0.25">
      <c r="A133" t="s">
        <v>708</v>
      </c>
      <c r="B133">
        <v>4783</v>
      </c>
      <c r="C133">
        <v>1300000</v>
      </c>
      <c r="D133" s="13">
        <v>46127</v>
      </c>
      <c r="E133" s="67">
        <v>46175</v>
      </c>
      <c r="F133" s="40">
        <f t="shared" ref="F133:F162" si="2">IF(E133="","",E133+2)</f>
        <v>46177</v>
      </c>
      <c r="G133" s="27"/>
    </row>
    <row r="134" spans="1:7" ht="15.75" customHeight="1" x14ac:dyDescent="0.25">
      <c r="A134" t="s">
        <v>702</v>
      </c>
      <c r="B134">
        <v>78055913</v>
      </c>
      <c r="C134">
        <v>1130000</v>
      </c>
      <c r="D134" s="13">
        <v>46127</v>
      </c>
      <c r="E134" s="67">
        <v>46175</v>
      </c>
      <c r="F134" s="40">
        <f t="shared" si="2"/>
        <v>46177</v>
      </c>
      <c r="G134" s="27"/>
    </row>
    <row r="135" spans="1:7" ht="15.75" customHeight="1" x14ac:dyDescent="0.25">
      <c r="A135" t="s">
        <v>710</v>
      </c>
      <c r="B135">
        <v>66643850</v>
      </c>
      <c r="C135">
        <v>4400000</v>
      </c>
      <c r="D135" s="13">
        <v>46127</v>
      </c>
      <c r="E135" s="67">
        <v>46176</v>
      </c>
      <c r="F135" s="40">
        <f t="shared" si="2"/>
        <v>46178</v>
      </c>
      <c r="G135" s="27"/>
    </row>
    <row r="136" spans="1:7" ht="15.75" customHeight="1" x14ac:dyDescent="0.25">
      <c r="A136" t="s">
        <v>708</v>
      </c>
      <c r="B136">
        <v>4745</v>
      </c>
      <c r="C136">
        <v>1200000</v>
      </c>
      <c r="D136" s="13">
        <v>46127</v>
      </c>
      <c r="E136" s="67">
        <v>46176</v>
      </c>
      <c r="F136" s="40">
        <f t="shared" si="2"/>
        <v>46178</v>
      </c>
      <c r="G136" s="27"/>
    </row>
    <row r="137" spans="1:7" ht="15.75" customHeight="1" x14ac:dyDescent="0.25">
      <c r="A137" t="s">
        <v>708</v>
      </c>
      <c r="B137">
        <v>4784</v>
      </c>
      <c r="C137">
        <v>1300000</v>
      </c>
      <c r="D137" s="13">
        <v>46127</v>
      </c>
      <c r="E137" s="67">
        <v>46176</v>
      </c>
      <c r="F137" s="40">
        <f t="shared" si="2"/>
        <v>46178</v>
      </c>
      <c r="G137" s="27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13">
        <v>46127</v>
      </c>
      <c r="E138" s="67">
        <v>46176</v>
      </c>
      <c r="F138" s="40">
        <f t="shared" si="2"/>
        <v>46178</v>
      </c>
      <c r="G138" s="27"/>
    </row>
    <row r="139" spans="1:7" ht="15.75" customHeight="1" x14ac:dyDescent="0.25">
      <c r="A139" t="s">
        <v>708</v>
      </c>
      <c r="B139">
        <v>4746</v>
      </c>
      <c r="C139">
        <v>1200000</v>
      </c>
      <c r="D139" s="13">
        <v>46127</v>
      </c>
      <c r="E139" s="67">
        <v>46177</v>
      </c>
      <c r="F139" s="40">
        <f t="shared" si="2"/>
        <v>46179</v>
      </c>
      <c r="G139" s="27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13">
        <v>46127</v>
      </c>
      <c r="E140" s="67">
        <v>46177</v>
      </c>
      <c r="F140" s="40">
        <f t="shared" si="2"/>
        <v>46179</v>
      </c>
      <c r="G140" s="27"/>
    </row>
    <row r="141" spans="1:7" ht="15.75" customHeight="1" x14ac:dyDescent="0.25">
      <c r="A141" t="s">
        <v>705</v>
      </c>
      <c r="B141">
        <v>6948</v>
      </c>
      <c r="C141">
        <v>17842880</v>
      </c>
      <c r="D141" s="13">
        <v>46127</v>
      </c>
      <c r="E141" s="67">
        <v>46178</v>
      </c>
      <c r="F141" s="40">
        <f t="shared" si="2"/>
        <v>46180</v>
      </c>
      <c r="G141" s="27"/>
    </row>
    <row r="142" spans="1:7" ht="15.75" customHeight="1" x14ac:dyDescent="0.25">
      <c r="A142" t="s">
        <v>708</v>
      </c>
      <c r="B142">
        <v>4719</v>
      </c>
      <c r="C142">
        <v>1300000</v>
      </c>
      <c r="D142" s="13">
        <v>46127</v>
      </c>
      <c r="E142" s="67">
        <v>46178</v>
      </c>
      <c r="F142" s="40">
        <f t="shared" si="2"/>
        <v>46180</v>
      </c>
      <c r="G142" s="27"/>
    </row>
    <row r="143" spans="1:7" ht="15.75" customHeight="1" x14ac:dyDescent="0.25">
      <c r="A143" t="s">
        <v>708</v>
      </c>
      <c r="B143">
        <v>4747</v>
      </c>
      <c r="C143">
        <v>953100</v>
      </c>
      <c r="D143" s="13">
        <v>46127</v>
      </c>
      <c r="E143" s="67">
        <v>46178</v>
      </c>
      <c r="F143" s="40">
        <f t="shared" si="2"/>
        <v>46180</v>
      </c>
      <c r="G143" s="27"/>
    </row>
    <row r="144" spans="1:7" ht="15.75" customHeight="1" x14ac:dyDescent="0.25">
      <c r="A144" t="s">
        <v>707</v>
      </c>
      <c r="B144">
        <v>29253320</v>
      </c>
      <c r="C144">
        <v>8077630</v>
      </c>
      <c r="D144" s="13">
        <v>46127</v>
      </c>
      <c r="E144" s="67">
        <v>46178</v>
      </c>
      <c r="F144" s="40">
        <f t="shared" si="2"/>
        <v>46180</v>
      </c>
      <c r="G144" s="27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13">
        <v>46127</v>
      </c>
      <c r="E145" s="67">
        <v>46178</v>
      </c>
      <c r="F145" s="40">
        <f t="shared" si="2"/>
        <v>46180</v>
      </c>
      <c r="G145" s="27"/>
    </row>
    <row r="146" spans="1:7" ht="15.75" customHeight="1" x14ac:dyDescent="0.25">
      <c r="A146" t="s">
        <v>702</v>
      </c>
      <c r="B146">
        <v>78055915</v>
      </c>
      <c r="C146">
        <v>1130000</v>
      </c>
      <c r="D146" s="13">
        <v>46127</v>
      </c>
      <c r="E146" s="67">
        <v>46178</v>
      </c>
      <c r="F146" s="40">
        <f t="shared" si="2"/>
        <v>46180</v>
      </c>
      <c r="G146" s="27"/>
    </row>
    <row r="147" spans="1:7" ht="15.75" customHeight="1" x14ac:dyDescent="0.25">
      <c r="A147" t="s">
        <v>708</v>
      </c>
      <c r="B147">
        <v>4720</v>
      </c>
      <c r="C147">
        <v>949750</v>
      </c>
      <c r="D147" s="13">
        <v>46127</v>
      </c>
      <c r="E147" s="67">
        <v>46181</v>
      </c>
      <c r="F147" s="40">
        <f t="shared" si="2"/>
        <v>46183</v>
      </c>
      <c r="G147" s="27"/>
    </row>
    <row r="148" spans="1:7" ht="15.75" customHeight="1" x14ac:dyDescent="0.25">
      <c r="A148" t="s">
        <v>708</v>
      </c>
      <c r="B148">
        <v>4774</v>
      </c>
      <c r="C148">
        <v>1300000</v>
      </c>
      <c r="D148" s="13">
        <v>46127</v>
      </c>
      <c r="E148" s="67">
        <v>46181</v>
      </c>
      <c r="F148" s="40">
        <f t="shared" si="2"/>
        <v>46183</v>
      </c>
      <c r="G148" s="27"/>
    </row>
    <row r="149" spans="1:7" ht="15.75" customHeight="1" x14ac:dyDescent="0.25">
      <c r="A149" t="s">
        <v>708</v>
      </c>
      <c r="B149">
        <v>4785</v>
      </c>
      <c r="C149">
        <v>1300000</v>
      </c>
      <c r="D149" s="13">
        <v>46127</v>
      </c>
      <c r="E149" s="67">
        <v>46181</v>
      </c>
      <c r="F149" s="40">
        <f t="shared" si="2"/>
        <v>46183</v>
      </c>
      <c r="G149" s="27"/>
    </row>
    <row r="150" spans="1:7" ht="15.75" customHeight="1" x14ac:dyDescent="0.25">
      <c r="A150" t="s">
        <v>717</v>
      </c>
      <c r="B150">
        <v>9845354</v>
      </c>
      <c r="C150">
        <v>18288270</v>
      </c>
      <c r="D150" s="13">
        <v>46127</v>
      </c>
      <c r="E150" s="67">
        <v>46181</v>
      </c>
      <c r="F150" s="40">
        <f t="shared" si="2"/>
        <v>46183</v>
      </c>
      <c r="G150" s="27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13">
        <v>46127</v>
      </c>
      <c r="E151" s="67">
        <v>46181</v>
      </c>
      <c r="F151" s="40">
        <f t="shared" si="2"/>
        <v>46183</v>
      </c>
      <c r="G151" s="27"/>
    </row>
    <row r="152" spans="1:7" ht="15.75" customHeight="1" x14ac:dyDescent="0.25">
      <c r="A152" t="s">
        <v>702</v>
      </c>
      <c r="B152">
        <v>78055916</v>
      </c>
      <c r="C152">
        <v>1130000</v>
      </c>
      <c r="D152" s="13">
        <v>46127</v>
      </c>
      <c r="E152" s="67">
        <v>46181</v>
      </c>
      <c r="F152" s="40">
        <f t="shared" si="2"/>
        <v>46183</v>
      </c>
      <c r="G152" s="27"/>
    </row>
    <row r="153" spans="1:7" ht="15.75" customHeight="1" x14ac:dyDescent="0.25">
      <c r="A153" t="s">
        <v>708</v>
      </c>
      <c r="B153">
        <v>4775</v>
      </c>
      <c r="C153">
        <v>1300000</v>
      </c>
      <c r="D153" s="13">
        <v>46127</v>
      </c>
      <c r="E153" s="67">
        <v>46182</v>
      </c>
      <c r="F153" s="40">
        <f t="shared" si="2"/>
        <v>46184</v>
      </c>
      <c r="G153" s="27"/>
    </row>
    <row r="154" spans="1:7" ht="15.75" customHeight="1" x14ac:dyDescent="0.25">
      <c r="A154" t="s">
        <v>708</v>
      </c>
      <c r="B154">
        <v>4786</v>
      </c>
      <c r="C154">
        <v>1300000</v>
      </c>
      <c r="D154" s="13">
        <v>46127</v>
      </c>
      <c r="E154" s="67">
        <v>46182</v>
      </c>
      <c r="F154" s="40">
        <f t="shared" si="2"/>
        <v>46184</v>
      </c>
      <c r="G154" s="27"/>
    </row>
    <row r="155" spans="1:7" ht="15.75" customHeight="1" x14ac:dyDescent="0.25">
      <c r="A155" t="s">
        <v>702</v>
      </c>
      <c r="B155">
        <v>78055917</v>
      </c>
      <c r="C155">
        <v>1143500</v>
      </c>
      <c r="D155" s="13">
        <v>46127</v>
      </c>
      <c r="E155" s="67">
        <v>46182</v>
      </c>
      <c r="F155" s="40">
        <f t="shared" si="2"/>
        <v>46184</v>
      </c>
      <c r="G155" s="27"/>
    </row>
    <row r="156" spans="1:7" ht="15.75" customHeight="1" x14ac:dyDescent="0.25">
      <c r="A156" t="s">
        <v>708</v>
      </c>
      <c r="B156">
        <v>4776</v>
      </c>
      <c r="C156">
        <v>1300000</v>
      </c>
      <c r="D156" s="13">
        <v>46127</v>
      </c>
      <c r="E156" s="67">
        <v>46183</v>
      </c>
      <c r="F156" s="40">
        <f t="shared" si="2"/>
        <v>46185</v>
      </c>
      <c r="G156" s="27"/>
    </row>
    <row r="157" spans="1:7" ht="15.75" customHeight="1" x14ac:dyDescent="0.25">
      <c r="A157" t="s">
        <v>708</v>
      </c>
      <c r="B157">
        <v>4787</v>
      </c>
      <c r="C157">
        <v>1162600</v>
      </c>
      <c r="D157" s="13">
        <v>46127</v>
      </c>
      <c r="E157" s="67">
        <v>46183</v>
      </c>
      <c r="F157" s="40">
        <f t="shared" si="2"/>
        <v>46185</v>
      </c>
      <c r="G157" s="27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13">
        <v>46127</v>
      </c>
      <c r="E158" s="67">
        <v>46185</v>
      </c>
      <c r="F158" s="40">
        <f t="shared" si="2"/>
        <v>46187</v>
      </c>
      <c r="G158" s="27"/>
    </row>
    <row r="159" spans="1:7" ht="15.75" customHeight="1" x14ac:dyDescent="0.25">
      <c r="A159" t="s">
        <v>708</v>
      </c>
      <c r="B159">
        <v>4777</v>
      </c>
      <c r="C159">
        <v>1269025</v>
      </c>
      <c r="D159" s="13">
        <v>46127</v>
      </c>
      <c r="E159" s="67">
        <v>46185</v>
      </c>
      <c r="F159" s="40">
        <f t="shared" si="2"/>
        <v>46187</v>
      </c>
      <c r="G159" s="27"/>
    </row>
    <row r="160" spans="1:7" ht="15.75" customHeight="1" x14ac:dyDescent="0.25">
      <c r="A160" t="s">
        <v>705</v>
      </c>
      <c r="B160">
        <v>6973</v>
      </c>
      <c r="C160">
        <v>43814020</v>
      </c>
      <c r="D160" s="13">
        <v>46127</v>
      </c>
      <c r="E160" s="67">
        <v>46185</v>
      </c>
      <c r="F160" s="40">
        <f t="shared" si="2"/>
        <v>46187</v>
      </c>
      <c r="G160" s="27"/>
    </row>
    <row r="161" spans="1:7" ht="15.75" customHeight="1" x14ac:dyDescent="0.25">
      <c r="A161" t="s">
        <v>712</v>
      </c>
      <c r="B161">
        <v>9487748</v>
      </c>
      <c r="C161">
        <v>9263100</v>
      </c>
      <c r="D161" s="13">
        <v>46127</v>
      </c>
      <c r="E161" s="67">
        <v>46188</v>
      </c>
      <c r="F161" s="40">
        <f t="shared" si="2"/>
        <v>46190</v>
      </c>
      <c r="G161" s="27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13">
        <v>46127</v>
      </c>
      <c r="E162" s="67">
        <v>46223</v>
      </c>
      <c r="F162" s="40">
        <f t="shared" si="2"/>
        <v>46225</v>
      </c>
      <c r="G162" s="27"/>
    </row>
    <row r="163" spans="1:7" ht="18" customHeight="1" x14ac:dyDescent="0.25">
      <c r="A163" s="41" t="s">
        <v>155</v>
      </c>
      <c r="B163" s="42"/>
      <c r="C163" s="43">
        <f>SUM(C4:C162)</f>
        <v>850726335.86000013</v>
      </c>
      <c r="D163" s="42"/>
      <c r="E163" s="42"/>
      <c r="F163" s="42"/>
      <c r="G163" s="42"/>
    </row>
    <row r="164" spans="1:7" ht="15.75" customHeight="1" x14ac:dyDescent="0.25">
      <c r="A164" s="44"/>
      <c r="B164" s="44"/>
      <c r="C164" s="45"/>
      <c r="D164" s="46"/>
      <c r="E164" s="46"/>
      <c r="F164" s="47" t="str">
        <f>IF(E164="","",E164+2)</f>
        <v/>
      </c>
      <c r="G164" s="44"/>
    </row>
    <row r="165" spans="1:7" ht="15.75" customHeight="1" x14ac:dyDescent="0.25">
      <c r="A165" s="44"/>
      <c r="B165" s="44"/>
      <c r="C165" s="45"/>
      <c r="D165" s="46"/>
      <c r="E165" s="46"/>
      <c r="F165" s="47" t="str">
        <f>IF(E165="","",E165+2)</f>
        <v/>
      </c>
      <c r="G165" s="44"/>
    </row>
    <row r="166" spans="1:7" ht="15.75" customHeight="1" x14ac:dyDescent="0.25">
      <c r="A166" s="44"/>
      <c r="B166" s="44"/>
      <c r="C166" s="45"/>
      <c r="D166" s="46"/>
      <c r="E166" s="46"/>
      <c r="F166" s="47" t="str">
        <f>IF(E166="","",E166+2)</f>
        <v/>
      </c>
      <c r="G166" s="44"/>
    </row>
    <row r="167" spans="1:7" ht="15.75" customHeight="1" x14ac:dyDescent="0.25">
      <c r="A167" s="44"/>
      <c r="B167" s="44"/>
      <c r="C167" s="45"/>
      <c r="D167" s="46"/>
      <c r="E167" s="46"/>
      <c r="F167" s="47" t="str">
        <f>IF(E167="","",E167+2)</f>
        <v/>
      </c>
      <c r="G167" s="44"/>
    </row>
    <row r="168" spans="1:7" ht="15.75" customHeight="1" x14ac:dyDescent="0.25">
      <c r="A168" s="44"/>
      <c r="B168" s="44"/>
      <c r="C168" s="45"/>
      <c r="D168" s="46"/>
      <c r="E168" s="46"/>
      <c r="F168" s="47" t="str">
        <f>IF(E168="","",E168+2)</f>
        <v/>
      </c>
      <c r="G168" s="44"/>
    </row>
    <row r="170" spans="1:7" ht="15" customHeight="1" x14ac:dyDescent="0.25">
      <c r="A170" s="79" t="s">
        <v>156</v>
      </c>
      <c r="B170" s="79"/>
      <c r="C170" s="79"/>
      <c r="D170" s="79"/>
      <c r="E170" s="79"/>
      <c r="F170" s="79"/>
      <c r="G170" s="79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78" t="s">
        <v>158</v>
      </c>
      <c r="B2" s="78"/>
      <c r="C2" s="78"/>
      <c r="D2" s="78"/>
      <c r="E2" s="78"/>
      <c r="F2" s="78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24">
        <f t="shared" ref="D5:D265" si="0">IFERROR(C5/$D$3,0)</f>
        <v>1790.7954357142855</v>
      </c>
      <c r="E5" s="50">
        <f t="shared" ref="E5:E68" si="1">IFERROR(C5/SUM($C$5:$C$264),0)</f>
        <v>4.2371864482422777E-4</v>
      </c>
      <c r="F5" s="51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24">
        <f t="shared" si="0"/>
        <v>19136.861321428572</v>
      </c>
      <c r="E6" s="50">
        <f t="shared" si="1"/>
        <v>4.5279571209486807E-3</v>
      </c>
      <c r="F6" s="51"/>
    </row>
    <row r="7" spans="1:6" ht="15.75" customHeight="1" x14ac:dyDescent="0.25">
      <c r="A7" t="s">
        <v>187</v>
      </c>
      <c r="B7" t="s">
        <v>186</v>
      </c>
      <c r="C7">
        <v>1978800.27</v>
      </c>
      <c r="D7" s="24">
        <f t="shared" si="0"/>
        <v>1413.4287642857144</v>
      </c>
      <c r="E7" s="50">
        <f t="shared" si="1"/>
        <v>3.3443022503564011E-4</v>
      </c>
      <c r="F7" s="51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24">
        <f t="shared" si="0"/>
        <v>6459.6323428571422</v>
      </c>
      <c r="E8" s="50">
        <f t="shared" si="1"/>
        <v>1.528408330617874E-3</v>
      </c>
      <c r="F8" s="51"/>
    </row>
    <row r="9" spans="1:6" ht="15.75" customHeight="1" x14ac:dyDescent="0.25">
      <c r="A9" t="s">
        <v>191</v>
      </c>
      <c r="B9" t="s">
        <v>190</v>
      </c>
      <c r="C9">
        <v>4765597.2</v>
      </c>
      <c r="D9" s="24">
        <f t="shared" si="0"/>
        <v>3403.998</v>
      </c>
      <c r="E9" s="50">
        <f t="shared" si="1"/>
        <v>8.0541718544702666E-4</v>
      </c>
      <c r="F9" s="51"/>
    </row>
    <row r="10" spans="1:6" ht="15.75" customHeight="1" x14ac:dyDescent="0.25">
      <c r="A10" t="s">
        <v>193</v>
      </c>
      <c r="B10" t="s">
        <v>192</v>
      </c>
      <c r="C10">
        <v>1.08</v>
      </c>
      <c r="D10" s="24">
        <f t="shared" si="0"/>
        <v>7.7142857142857145E-4</v>
      </c>
      <c r="E10" s="50">
        <f t="shared" si="1"/>
        <v>1.8252708396815175E-10</v>
      </c>
      <c r="F10" s="51"/>
    </row>
    <row r="11" spans="1:6" ht="15.75" customHeight="1" x14ac:dyDescent="0.25">
      <c r="A11" t="s">
        <v>195</v>
      </c>
      <c r="B11" t="s">
        <v>194</v>
      </c>
      <c r="C11">
        <v>534552.59</v>
      </c>
      <c r="D11" s="24">
        <f t="shared" si="0"/>
        <v>381.82327857142855</v>
      </c>
      <c r="E11" s="50">
        <f t="shared" si="1"/>
        <v>9.0342893963262015E-5</v>
      </c>
      <c r="F11" s="51"/>
    </row>
    <row r="12" spans="1:6" ht="15.75" customHeight="1" x14ac:dyDescent="0.25">
      <c r="A12" t="s">
        <v>197</v>
      </c>
      <c r="B12" t="s">
        <v>196</v>
      </c>
      <c r="C12">
        <v>175000</v>
      </c>
      <c r="D12" s="24">
        <f t="shared" si="0"/>
        <v>125</v>
      </c>
      <c r="E12" s="50">
        <f t="shared" si="1"/>
        <v>2.9576147865209771E-5</v>
      </c>
      <c r="F12" s="51"/>
    </row>
    <row r="13" spans="1:6" ht="15.75" customHeight="1" x14ac:dyDescent="0.25">
      <c r="A13" t="s">
        <v>199</v>
      </c>
      <c r="B13" t="s">
        <v>198</v>
      </c>
      <c r="C13">
        <v>2072796</v>
      </c>
      <c r="D13" s="24">
        <f t="shared" si="0"/>
        <v>1480.5685714285714</v>
      </c>
      <c r="E13" s="50">
        <f t="shared" si="1"/>
        <v>3.503161199452306E-4</v>
      </c>
      <c r="F13" s="51"/>
    </row>
    <row r="14" spans="1:6" ht="15.75" customHeight="1" x14ac:dyDescent="0.25">
      <c r="A14" t="s">
        <v>201</v>
      </c>
      <c r="B14" t="s">
        <v>200</v>
      </c>
      <c r="C14">
        <v>6559198.25</v>
      </c>
      <c r="D14" s="24">
        <f t="shared" si="0"/>
        <v>4685.1416071428575</v>
      </c>
      <c r="E14" s="50">
        <f t="shared" si="1"/>
        <v>1.1085475275384295E-3</v>
      </c>
      <c r="F14" s="51"/>
    </row>
    <row r="15" spans="1:6" ht="15.75" customHeight="1" x14ac:dyDescent="0.25">
      <c r="A15" t="s">
        <v>203</v>
      </c>
      <c r="B15" t="s">
        <v>202</v>
      </c>
      <c r="C15">
        <v>560000</v>
      </c>
      <c r="D15" s="24">
        <f t="shared" si="0"/>
        <v>400</v>
      </c>
      <c r="E15" s="50">
        <f t="shared" si="1"/>
        <v>9.4643673168671273E-5</v>
      </c>
      <c r="F15" s="51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24">
        <f t="shared" si="0"/>
        <v>3330.9895071428568</v>
      </c>
      <c r="E16" s="50">
        <f t="shared" si="1"/>
        <v>7.8814270560575485E-4</v>
      </c>
      <c r="F16" s="51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24">
        <f t="shared" si="0"/>
        <v>95.942628571428571</v>
      </c>
      <c r="E17" s="50">
        <f t="shared" si="1"/>
        <v>2.2700906953643768E-5</v>
      </c>
      <c r="F17" s="51"/>
    </row>
    <row r="18" spans="1:6" ht="15.75" customHeight="1" x14ac:dyDescent="0.25">
      <c r="A18" t="s">
        <v>209</v>
      </c>
      <c r="B18" t="s">
        <v>208</v>
      </c>
      <c r="C18">
        <v>1706201.05</v>
      </c>
      <c r="D18" s="24">
        <f t="shared" si="0"/>
        <v>1218.7150357142857</v>
      </c>
      <c r="E18" s="50">
        <f t="shared" si="1"/>
        <v>2.8835916881472096E-4</v>
      </c>
      <c r="F18" s="51"/>
    </row>
    <row r="19" spans="1:6" ht="15.75" customHeight="1" x14ac:dyDescent="0.25">
      <c r="A19" t="s">
        <v>211</v>
      </c>
      <c r="B19" t="s">
        <v>210</v>
      </c>
      <c r="C19">
        <v>1396945.29</v>
      </c>
      <c r="D19" s="24">
        <f t="shared" si="0"/>
        <v>997.81806428571429</v>
      </c>
      <c r="E19" s="50">
        <f t="shared" si="1"/>
        <v>2.3609291689513339E-4</v>
      </c>
      <c r="F19" s="51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24">
        <f t="shared" si="0"/>
        <v>1633.4021642857142</v>
      </c>
      <c r="E20" s="50">
        <f t="shared" si="1"/>
        <v>3.8647795147414354E-4</v>
      </c>
      <c r="F20" s="51"/>
    </row>
    <row r="21" spans="1:6" ht="15.75" customHeight="1" x14ac:dyDescent="0.25">
      <c r="A21" t="s">
        <v>215</v>
      </c>
      <c r="B21" t="s">
        <v>214</v>
      </c>
      <c r="C21">
        <v>3165000</v>
      </c>
      <c r="D21" s="24">
        <f t="shared" si="0"/>
        <v>2260.7142857142858</v>
      </c>
      <c r="E21" s="50">
        <f t="shared" si="1"/>
        <v>5.349057599622224E-4</v>
      </c>
      <c r="F21" s="51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24">
        <f t="shared" si="0"/>
        <v>20049.983542857142</v>
      </c>
      <c r="E22" s="50">
        <f t="shared" si="1"/>
        <v>4.7440102236685228E-3</v>
      </c>
      <c r="F22" s="51"/>
    </row>
    <row r="23" spans="1:6" ht="15.75" customHeight="1" x14ac:dyDescent="0.25">
      <c r="A23" t="s">
        <v>219</v>
      </c>
      <c r="B23" t="s">
        <v>218</v>
      </c>
      <c r="C23">
        <v>3092058.01</v>
      </c>
      <c r="D23" s="24">
        <f t="shared" si="0"/>
        <v>2208.6128642857143</v>
      </c>
      <c r="E23" s="50">
        <f t="shared" si="1"/>
        <v>5.2257808520895014E-4</v>
      </c>
      <c r="F23" s="51"/>
    </row>
    <row r="24" spans="1:6" ht="15.75" customHeight="1" x14ac:dyDescent="0.25">
      <c r="A24" t="s">
        <v>221</v>
      </c>
      <c r="B24" t="s">
        <v>220</v>
      </c>
      <c r="C24">
        <v>1394000.03</v>
      </c>
      <c r="D24" s="24">
        <f t="shared" si="0"/>
        <v>995.71430714285714</v>
      </c>
      <c r="E24" s="50">
        <f t="shared" si="1"/>
        <v>2.3559514863649632E-4</v>
      </c>
      <c r="F24" s="51"/>
    </row>
    <row r="25" spans="1:6" ht="15.75" customHeight="1" x14ac:dyDescent="0.25">
      <c r="A25" t="s">
        <v>223</v>
      </c>
      <c r="B25" t="s">
        <v>222</v>
      </c>
      <c r="C25">
        <v>559955.12</v>
      </c>
      <c r="D25" s="24">
        <f t="shared" si="0"/>
        <v>399.96794285714287</v>
      </c>
      <c r="E25" s="50">
        <f t="shared" si="1"/>
        <v>9.4636088154293035E-5</v>
      </c>
      <c r="F25" s="51"/>
    </row>
    <row r="26" spans="1:6" ht="15.75" customHeight="1" x14ac:dyDescent="0.25">
      <c r="A26" t="s">
        <v>225</v>
      </c>
      <c r="B26" t="s">
        <v>224</v>
      </c>
      <c r="C26">
        <v>4477000</v>
      </c>
      <c r="D26" s="24">
        <f t="shared" si="0"/>
        <v>3197.8571428571427</v>
      </c>
      <c r="E26" s="50">
        <f t="shared" si="1"/>
        <v>7.5664236567168084E-4</v>
      </c>
      <c r="F26" s="51"/>
    </row>
    <row r="27" spans="1:6" ht="15.75" customHeight="1" x14ac:dyDescent="0.25">
      <c r="A27" t="s">
        <v>227</v>
      </c>
      <c r="B27" t="s">
        <v>226</v>
      </c>
      <c r="C27">
        <v>1612628.48</v>
      </c>
      <c r="D27" s="24">
        <f t="shared" si="0"/>
        <v>1151.8774857142857</v>
      </c>
      <c r="E27" s="50">
        <f t="shared" si="1"/>
        <v>2.7254479072073417E-4</v>
      </c>
      <c r="F27" s="51"/>
    </row>
    <row r="28" spans="1:6" ht="15.75" customHeight="1" x14ac:dyDescent="0.25">
      <c r="A28" t="s">
        <v>229</v>
      </c>
      <c r="B28" t="s">
        <v>228</v>
      </c>
      <c r="C28">
        <v>1233477.24</v>
      </c>
      <c r="D28" s="24">
        <f t="shared" si="0"/>
        <v>881.05517142857138</v>
      </c>
      <c r="E28" s="50">
        <f t="shared" si="1"/>
        <v>2.0846574422063338E-4</v>
      </c>
      <c r="F28" s="51"/>
    </row>
    <row r="29" spans="1:6" ht="15.75" customHeight="1" x14ac:dyDescent="0.25">
      <c r="A29" t="s">
        <v>231</v>
      </c>
      <c r="B29" t="s">
        <v>230</v>
      </c>
      <c r="C29">
        <v>4531450</v>
      </c>
      <c r="D29" s="24">
        <f t="shared" si="0"/>
        <v>3236.75</v>
      </c>
      <c r="E29" s="50">
        <f t="shared" si="1"/>
        <v>7.6584477282174183E-4</v>
      </c>
      <c r="F29" s="51"/>
    </row>
    <row r="30" spans="1:6" ht="15.75" customHeight="1" x14ac:dyDescent="0.25">
      <c r="A30" t="s">
        <v>233</v>
      </c>
      <c r="B30" t="s">
        <v>232</v>
      </c>
      <c r="C30">
        <v>1854029.87</v>
      </c>
      <c r="D30" s="24">
        <f t="shared" si="0"/>
        <v>1324.3070500000001</v>
      </c>
      <c r="E30" s="50">
        <f t="shared" si="1"/>
        <v>3.13343209037918E-4</v>
      </c>
      <c r="F30" s="51"/>
    </row>
    <row r="31" spans="1:6" ht="15.75" customHeight="1" x14ac:dyDescent="0.25">
      <c r="A31" t="s">
        <v>235</v>
      </c>
      <c r="B31" t="s">
        <v>234</v>
      </c>
      <c r="C31">
        <v>433400</v>
      </c>
      <c r="D31" s="24">
        <f t="shared" si="0"/>
        <v>309.57142857142856</v>
      </c>
      <c r="E31" s="50">
        <f t="shared" si="1"/>
        <v>7.3247442770182374E-5</v>
      </c>
      <c r="F31" s="51"/>
    </row>
    <row r="32" spans="1:6" ht="15.75" customHeight="1" x14ac:dyDescent="0.25">
      <c r="A32" t="s">
        <v>237</v>
      </c>
      <c r="B32" t="s">
        <v>236</v>
      </c>
      <c r="C32">
        <v>477360</v>
      </c>
      <c r="D32" s="24">
        <f t="shared" si="0"/>
        <v>340.97142857142859</v>
      </c>
      <c r="E32" s="50">
        <f t="shared" si="1"/>
        <v>8.0676971113923066E-5</v>
      </c>
      <c r="F32" s="51"/>
    </row>
    <row r="33" spans="1:6" ht="15.75" customHeight="1" x14ac:dyDescent="0.25">
      <c r="A33" t="s">
        <v>239</v>
      </c>
      <c r="B33" t="s">
        <v>238</v>
      </c>
      <c r="C33">
        <v>3000000</v>
      </c>
      <c r="D33" s="24">
        <f t="shared" si="0"/>
        <v>2142.8571428571427</v>
      </c>
      <c r="E33" s="50">
        <f t="shared" si="1"/>
        <v>5.0701967768931031E-4</v>
      </c>
      <c r="F33" s="51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24">
        <f t="shared" si="0"/>
        <v>24124.59164285714</v>
      </c>
      <c r="E34" s="50">
        <f t="shared" si="1"/>
        <v>5.7080999169355738E-3</v>
      </c>
      <c r="F34" s="51"/>
    </row>
    <row r="35" spans="1:6" ht="15.75" customHeight="1" x14ac:dyDescent="0.25">
      <c r="A35" t="s">
        <v>243</v>
      </c>
      <c r="B35" t="s">
        <v>242</v>
      </c>
      <c r="C35">
        <v>3668831.4</v>
      </c>
      <c r="D35" s="24">
        <f t="shared" si="0"/>
        <v>2620.5938571428569</v>
      </c>
      <c r="E35" s="50">
        <f t="shared" si="1"/>
        <v>6.2005657130814046E-4</v>
      </c>
      <c r="F35" s="51"/>
    </row>
    <row r="36" spans="1:6" ht="15.75" customHeight="1" x14ac:dyDescent="0.25">
      <c r="A36" t="s">
        <v>245</v>
      </c>
      <c r="B36" t="s">
        <v>244</v>
      </c>
      <c r="C36">
        <v>1907010.82</v>
      </c>
      <c r="D36" s="24">
        <f t="shared" si="0"/>
        <v>1362.1505857142859</v>
      </c>
      <c r="E36" s="50">
        <f t="shared" si="1"/>
        <v>3.2229733710214251E-4</v>
      </c>
      <c r="F36" s="51"/>
    </row>
    <row r="37" spans="1:6" ht="15.75" customHeight="1" x14ac:dyDescent="0.25">
      <c r="A37" t="s">
        <v>247</v>
      </c>
      <c r="B37" t="s">
        <v>246</v>
      </c>
      <c r="C37">
        <v>721266.29</v>
      </c>
      <c r="D37" s="24">
        <f t="shared" si="0"/>
        <v>515.19020714285716</v>
      </c>
      <c r="E37" s="50">
        <f t="shared" si="1"/>
        <v>1.2189873396132156E-4</v>
      </c>
      <c r="F37" s="51"/>
    </row>
    <row r="38" spans="1:6" ht="15.75" customHeight="1" x14ac:dyDescent="0.25">
      <c r="A38" t="s">
        <v>249</v>
      </c>
      <c r="B38" t="s">
        <v>248</v>
      </c>
      <c r="C38">
        <v>4835529.37</v>
      </c>
      <c r="D38" s="24">
        <f t="shared" si="0"/>
        <v>3453.9495500000003</v>
      </c>
      <c r="E38" s="50">
        <f t="shared" si="1"/>
        <v>8.1723618087819799E-4</v>
      </c>
      <c r="F38" s="51"/>
    </row>
    <row r="39" spans="1:6" ht="15.75" customHeight="1" x14ac:dyDescent="0.25">
      <c r="A39" t="s">
        <v>251</v>
      </c>
      <c r="B39" t="s">
        <v>250</v>
      </c>
      <c r="C39">
        <v>-0.01</v>
      </c>
      <c r="D39" s="24">
        <f t="shared" si="0"/>
        <v>-7.1428571428571427E-6</v>
      </c>
      <c r="E39" s="50">
        <f t="shared" si="1"/>
        <v>-1.6900655922977012E-12</v>
      </c>
      <c r="F39" s="51"/>
    </row>
    <row r="40" spans="1:6" ht="15.75" customHeight="1" x14ac:dyDescent="0.25">
      <c r="A40" t="s">
        <v>253</v>
      </c>
      <c r="B40" t="s">
        <v>252</v>
      </c>
      <c r="C40">
        <v>778635</v>
      </c>
      <c r="D40" s="24">
        <f t="shared" si="0"/>
        <v>556.16785714285709</v>
      </c>
      <c r="E40" s="50">
        <f t="shared" si="1"/>
        <v>1.3159442224587204E-4</v>
      </c>
      <c r="F40" s="51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24">
        <f t="shared" si="0"/>
        <v>1688.0894999999998</v>
      </c>
      <c r="E41" s="50">
        <f t="shared" si="1"/>
        <v>3.9941747729366423E-4</v>
      </c>
      <c r="F41" s="51"/>
    </row>
    <row r="42" spans="1:6" ht="15.75" customHeight="1" x14ac:dyDescent="0.25">
      <c r="A42" t="s">
        <v>257</v>
      </c>
      <c r="B42" t="s">
        <v>256</v>
      </c>
      <c r="C42">
        <v>10709450.09</v>
      </c>
      <c r="D42" s="24">
        <f t="shared" si="0"/>
        <v>7649.6072071428571</v>
      </c>
      <c r="E42" s="50">
        <f t="shared" si="1"/>
        <v>1.8099673109538519E-3</v>
      </c>
      <c r="F42" s="51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24">
        <f t="shared" si="0"/>
        <v>9223.7574000000004</v>
      </c>
      <c r="E43" s="50">
        <f t="shared" si="1"/>
        <v>2.1824257018817827E-3</v>
      </c>
      <c r="F43" s="51"/>
    </row>
    <row r="44" spans="1:6" ht="15.75" customHeight="1" x14ac:dyDescent="0.25">
      <c r="A44" t="s">
        <v>261</v>
      </c>
      <c r="B44" t="s">
        <v>260</v>
      </c>
      <c r="C44">
        <v>1149177.07</v>
      </c>
      <c r="D44" s="24">
        <f t="shared" si="0"/>
        <v>820.84076428571439</v>
      </c>
      <c r="E44" s="50">
        <f t="shared" si="1"/>
        <v>1.942184625464487E-4</v>
      </c>
      <c r="F44" s="51"/>
    </row>
    <row r="45" spans="1:6" ht="15.75" customHeight="1" x14ac:dyDescent="0.25">
      <c r="A45" t="s">
        <v>263</v>
      </c>
      <c r="B45" t="s">
        <v>262</v>
      </c>
      <c r="C45">
        <v>217</v>
      </c>
      <c r="D45" s="24">
        <f t="shared" si="0"/>
        <v>0.155</v>
      </c>
      <c r="E45" s="50">
        <f t="shared" si="1"/>
        <v>3.6674423352860116E-8</v>
      </c>
      <c r="F45" s="51"/>
    </row>
    <row r="46" spans="1:6" ht="15.75" customHeight="1" x14ac:dyDescent="0.25">
      <c r="A46" t="s">
        <v>265</v>
      </c>
      <c r="B46" t="s">
        <v>264</v>
      </c>
      <c r="C46">
        <v>3201085.01</v>
      </c>
      <c r="D46" s="24">
        <f t="shared" si="0"/>
        <v>2286.4892928571426</v>
      </c>
      <c r="E46" s="50">
        <f t="shared" si="1"/>
        <v>5.4100436334209424E-4</v>
      </c>
      <c r="F46" s="51"/>
    </row>
    <row r="47" spans="1:6" ht="15.75" customHeight="1" x14ac:dyDescent="0.25">
      <c r="A47" t="s">
        <v>267</v>
      </c>
      <c r="B47" t="s">
        <v>266</v>
      </c>
      <c r="C47">
        <v>2715120</v>
      </c>
      <c r="D47" s="24">
        <f t="shared" si="0"/>
        <v>1939.3714285714286</v>
      </c>
      <c r="E47" s="50">
        <f t="shared" si="1"/>
        <v>4.5887308909593343E-4</v>
      </c>
      <c r="F47" s="51"/>
    </row>
    <row r="48" spans="1:6" ht="15.75" customHeight="1" x14ac:dyDescent="0.25">
      <c r="A48" t="s">
        <v>269</v>
      </c>
      <c r="B48" t="s">
        <v>268</v>
      </c>
      <c r="C48">
        <v>13110797</v>
      </c>
      <c r="D48" s="24">
        <f t="shared" si="0"/>
        <v>9364.8549999999996</v>
      </c>
      <c r="E48" s="50">
        <f t="shared" si="1"/>
        <v>2.2158106897299922E-3</v>
      </c>
      <c r="F48" s="51"/>
    </row>
    <row r="49" spans="1:6" ht="15.75" customHeight="1" x14ac:dyDescent="0.25">
      <c r="A49" t="s">
        <v>271</v>
      </c>
      <c r="B49" t="s">
        <v>270</v>
      </c>
      <c r="C49">
        <v>3732608</v>
      </c>
      <c r="D49" s="24">
        <f t="shared" si="0"/>
        <v>2666.1485714285714</v>
      </c>
      <c r="E49" s="50">
        <f t="shared" si="1"/>
        <v>6.3083523503351376E-4</v>
      </c>
      <c r="F49" s="51"/>
    </row>
    <row r="50" spans="1:6" ht="15.75" customHeight="1" x14ac:dyDescent="0.25">
      <c r="A50" t="s">
        <v>273</v>
      </c>
      <c r="B50" t="s">
        <v>272</v>
      </c>
      <c r="C50">
        <v>253827150</v>
      </c>
      <c r="D50" s="24">
        <f t="shared" si="0"/>
        <v>181305.10714285713</v>
      </c>
      <c r="E50" s="50">
        <f t="shared" si="1"/>
        <v>4.2898453260598747E-2</v>
      </c>
      <c r="F50" s="51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24">
        <f t="shared" si="0"/>
        <v>289251.24108571425</v>
      </c>
      <c r="E51" s="50">
        <f t="shared" si="1"/>
        <v>6.8439499812372198E-2</v>
      </c>
      <c r="F51" s="51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24">
        <f t="shared" si="0"/>
        <v>98904.291671428567</v>
      </c>
      <c r="E52" s="50">
        <f t="shared" si="1"/>
        <v>2.3401663639824054E-2</v>
      </c>
      <c r="F52" s="51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24">
        <f t="shared" si="0"/>
        <v>321693.03067857143</v>
      </c>
      <c r="E53" s="50">
        <f t="shared" si="1"/>
        <v>7.6115525140455137E-2</v>
      </c>
      <c r="F53" s="51"/>
    </row>
    <row r="54" spans="1:6" ht="15.75" customHeight="1" x14ac:dyDescent="0.25">
      <c r="A54" t="s">
        <v>279</v>
      </c>
      <c r="B54" t="s">
        <v>278</v>
      </c>
      <c r="C54">
        <v>4157535.95</v>
      </c>
      <c r="D54" s="24">
        <f t="shared" si="0"/>
        <v>2969.668535714286</v>
      </c>
      <c r="E54" s="50">
        <f t="shared" si="1"/>
        <v>7.0265084578357358E-4</v>
      </c>
      <c r="F54" s="51"/>
    </row>
    <row r="55" spans="1:6" ht="15.75" customHeight="1" x14ac:dyDescent="0.25">
      <c r="A55" t="s">
        <v>281</v>
      </c>
      <c r="B55" t="s">
        <v>280</v>
      </c>
      <c r="C55">
        <v>4971931.2</v>
      </c>
      <c r="D55" s="24">
        <f t="shared" si="0"/>
        <v>3551.3794285714289</v>
      </c>
      <c r="E55" s="50">
        <f t="shared" si="1"/>
        <v>8.40288984839142E-4</v>
      </c>
      <c r="F55" s="51"/>
    </row>
    <row r="56" spans="1:6" ht="15.75" customHeight="1" x14ac:dyDescent="0.25">
      <c r="A56" t="s">
        <v>283</v>
      </c>
      <c r="B56" t="s">
        <v>282</v>
      </c>
      <c r="C56">
        <v>25886</v>
      </c>
      <c r="D56" s="24">
        <f t="shared" si="0"/>
        <v>18.489999999999998</v>
      </c>
      <c r="E56" s="50">
        <f t="shared" si="1"/>
        <v>4.3749037922218291E-6</v>
      </c>
      <c r="F56" s="51"/>
    </row>
    <row r="57" spans="1:6" ht="15.75" customHeight="1" x14ac:dyDescent="0.25">
      <c r="A57" t="s">
        <v>285</v>
      </c>
      <c r="B57" t="s">
        <v>284</v>
      </c>
      <c r="C57">
        <v>2431084.48</v>
      </c>
      <c r="D57" s="24">
        <f t="shared" si="0"/>
        <v>1736.4889142857144</v>
      </c>
      <c r="E57" s="50">
        <f t="shared" si="1"/>
        <v>4.1086922316169487E-4</v>
      </c>
      <c r="F57" s="51"/>
    </row>
    <row r="58" spans="1:6" ht="15.75" customHeight="1" x14ac:dyDescent="0.25">
      <c r="A58" t="s">
        <v>287</v>
      </c>
      <c r="B58" t="s">
        <v>286</v>
      </c>
      <c r="C58">
        <v>-204.43</v>
      </c>
      <c r="D58" s="24">
        <f t="shared" si="0"/>
        <v>-0.14602142857142858</v>
      </c>
      <c r="E58" s="50">
        <f t="shared" si="1"/>
        <v>-3.4550010903341909E-8</v>
      </c>
      <c r="F58" s="51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24">
        <f t="shared" si="0"/>
        <v>3333.8611428571426</v>
      </c>
      <c r="E59" s="50">
        <f t="shared" si="1"/>
        <v>7.8882216098576064E-4</v>
      </c>
      <c r="F59" s="51"/>
    </row>
    <row r="60" spans="1:6" ht="15.75" customHeight="1" x14ac:dyDescent="0.25">
      <c r="A60" t="s">
        <v>291</v>
      </c>
      <c r="B60" t="s">
        <v>290</v>
      </c>
      <c r="C60">
        <v>15334966.48</v>
      </c>
      <c r="D60" s="24">
        <f t="shared" si="0"/>
        <v>10953.547485714285</v>
      </c>
      <c r="E60" s="50">
        <f t="shared" si="1"/>
        <v>2.5917099206886596E-3</v>
      </c>
      <c r="F60" s="51"/>
    </row>
    <row r="61" spans="1:6" ht="15.75" customHeight="1" x14ac:dyDescent="0.25">
      <c r="A61" t="s">
        <v>293</v>
      </c>
      <c r="B61" t="s">
        <v>292</v>
      </c>
      <c r="C61">
        <v>-106108.29</v>
      </c>
      <c r="D61" s="24">
        <f t="shared" si="0"/>
        <v>-75.791635714285704</v>
      </c>
      <c r="E61" s="50">
        <f t="shared" si="1"/>
        <v>-1.7932996998654625E-5</v>
      </c>
      <c r="F61" s="51"/>
    </row>
    <row r="62" spans="1:6" ht="15.75" customHeight="1" x14ac:dyDescent="0.25">
      <c r="A62" t="s">
        <v>295</v>
      </c>
      <c r="B62" t="s">
        <v>294</v>
      </c>
      <c r="C62">
        <v>2391716.25</v>
      </c>
      <c r="D62" s="24">
        <f t="shared" si="0"/>
        <v>1708.3687500000001</v>
      </c>
      <c r="E62" s="50">
        <f t="shared" si="1"/>
        <v>4.0421573406642866E-4</v>
      </c>
      <c r="F62" s="51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24">
        <f t="shared" si="0"/>
        <v>6579.0830928571431</v>
      </c>
      <c r="E63" s="50">
        <f t="shared" si="1"/>
        <v>1.5566714749747558E-3</v>
      </c>
      <c r="F63" s="51"/>
    </row>
    <row r="64" spans="1:6" ht="15.75" customHeight="1" x14ac:dyDescent="0.25">
      <c r="A64" t="s">
        <v>299</v>
      </c>
      <c r="B64" t="s">
        <v>298</v>
      </c>
      <c r="C64">
        <v>2743859.76</v>
      </c>
      <c r="D64" s="24">
        <f t="shared" si="0"/>
        <v>1959.8998285714283</v>
      </c>
      <c r="E64" s="50">
        <f t="shared" si="1"/>
        <v>4.6373029704662279E-4</v>
      </c>
      <c r="F64" s="51"/>
    </row>
    <row r="65" spans="1:6" ht="15.75" customHeight="1" x14ac:dyDescent="0.25">
      <c r="A65" t="s">
        <v>301</v>
      </c>
      <c r="B65" t="s">
        <v>300</v>
      </c>
      <c r="C65">
        <v>2710054.36</v>
      </c>
      <c r="D65" s="24">
        <f t="shared" si="0"/>
        <v>1935.7531142857142</v>
      </c>
      <c r="E65" s="50">
        <f t="shared" si="1"/>
        <v>4.5801696270923671E-4</v>
      </c>
      <c r="F65" s="51"/>
    </row>
    <row r="66" spans="1:6" ht="15.75" customHeight="1" x14ac:dyDescent="0.25">
      <c r="A66" t="s">
        <v>303</v>
      </c>
      <c r="B66" t="s">
        <v>302</v>
      </c>
      <c r="C66">
        <v>880173.3</v>
      </c>
      <c r="D66" s="24">
        <f t="shared" si="0"/>
        <v>628.69521428571431</v>
      </c>
      <c r="E66" s="50">
        <f t="shared" si="1"/>
        <v>1.4875506095891224E-4</v>
      </c>
      <c r="F66" s="51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24">
        <f t="shared" si="0"/>
        <v>1816.5412857142856</v>
      </c>
      <c r="E67" s="50">
        <f t="shared" si="1"/>
        <v>4.2981034935635182E-4</v>
      </c>
      <c r="F67" s="51"/>
    </row>
    <row r="68" spans="1:6" ht="15.75" customHeight="1" x14ac:dyDescent="0.25">
      <c r="A68" t="s">
        <v>307</v>
      </c>
      <c r="B68" t="s">
        <v>306</v>
      </c>
      <c r="C68">
        <v>11170000</v>
      </c>
      <c r="D68" s="24">
        <f t="shared" si="0"/>
        <v>7978.5714285714284</v>
      </c>
      <c r="E68" s="50">
        <f t="shared" si="1"/>
        <v>1.8878032665965321E-3</v>
      </c>
      <c r="F68" s="51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24">
        <f t="shared" si="0"/>
        <v>59773.022192857141</v>
      </c>
      <c r="E69" s="50">
        <f t="shared" ref="E69:E132" si="2">IFERROR(C69/SUM($C$5:$C$264),0)</f>
        <v>1.4142845941811264E-2</v>
      </c>
      <c r="F69" s="51"/>
    </row>
    <row r="70" spans="1:6" ht="15.75" customHeight="1" x14ac:dyDescent="0.25">
      <c r="A70" t="s">
        <v>311</v>
      </c>
      <c r="B70" t="s">
        <v>310</v>
      </c>
      <c r="C70">
        <v>2275000</v>
      </c>
      <c r="D70" s="24">
        <f t="shared" si="0"/>
        <v>1625</v>
      </c>
      <c r="E70" s="50">
        <f t="shared" si="2"/>
        <v>3.8448992224772704E-4</v>
      </c>
      <c r="F70" s="51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24">
        <f t="shared" si="0"/>
        <v>6158.3693214285722</v>
      </c>
      <c r="E71" s="50">
        <f t="shared" si="2"/>
        <v>1.457126733273144E-3</v>
      </c>
      <c r="F71" s="51"/>
    </row>
    <row r="72" spans="1:6" ht="15.75" customHeight="1" x14ac:dyDescent="0.25">
      <c r="A72" t="s">
        <v>315</v>
      </c>
      <c r="B72" t="s">
        <v>314</v>
      </c>
      <c r="C72">
        <v>112999.99</v>
      </c>
      <c r="D72" s="24">
        <f t="shared" si="0"/>
        <v>80.714278571428579</v>
      </c>
      <c r="E72" s="50">
        <f t="shared" si="2"/>
        <v>1.9097739502898431E-5</v>
      </c>
      <c r="F72" s="51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24">
        <f t="shared" si="0"/>
        <v>16723.078114285712</v>
      </c>
      <c r="E73" s="50">
        <f t="shared" si="2"/>
        <v>3.9568338485565409E-3</v>
      </c>
      <c r="F73" s="51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24">
        <f t="shared" si="0"/>
        <v>1746.9831785714287</v>
      </c>
      <c r="E74" s="50">
        <f t="shared" si="2"/>
        <v>4.1335226245970194E-4</v>
      </c>
      <c r="F74" s="51"/>
    </row>
    <row r="75" spans="1:6" ht="15.75" customHeight="1" x14ac:dyDescent="0.25">
      <c r="A75" t="s">
        <v>321</v>
      </c>
      <c r="B75" t="s">
        <v>320</v>
      </c>
      <c r="C75">
        <v>169308.72</v>
      </c>
      <c r="D75" s="24">
        <f t="shared" si="0"/>
        <v>120.9348</v>
      </c>
      <c r="E75" s="50">
        <f t="shared" si="2"/>
        <v>2.8614284214796565E-5</v>
      </c>
      <c r="F75" s="51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24">
        <f t="shared" si="0"/>
        <v>85303.664414285726</v>
      </c>
      <c r="E76" s="50">
        <f t="shared" si="2"/>
        <v>2.0183630337289177E-2</v>
      </c>
      <c r="F76" s="51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24">
        <f t="shared" si="0"/>
        <v>4793.5475500000002</v>
      </c>
      <c r="E77" s="50">
        <f t="shared" si="2"/>
        <v>1.1341973691017123E-3</v>
      </c>
      <c r="F77" s="51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24">
        <f t="shared" si="0"/>
        <v>191.91725714285712</v>
      </c>
      <c r="E78" s="50">
        <f t="shared" si="2"/>
        <v>4.5409385401141026E-5</v>
      </c>
      <c r="F78" s="51"/>
    </row>
    <row r="79" spans="1:6" ht="15.75" customHeight="1" x14ac:dyDescent="0.25">
      <c r="A79" t="s">
        <v>329</v>
      </c>
      <c r="B79" t="s">
        <v>328</v>
      </c>
      <c r="C79">
        <v>3080000</v>
      </c>
      <c r="D79" s="24">
        <f t="shared" si="0"/>
        <v>2200</v>
      </c>
      <c r="E79" s="50">
        <f t="shared" si="2"/>
        <v>5.2054020242769201E-4</v>
      </c>
      <c r="F79" s="51"/>
    </row>
    <row r="80" spans="1:6" ht="15.75" customHeight="1" x14ac:dyDescent="0.25">
      <c r="A80" t="s">
        <v>331</v>
      </c>
      <c r="B80" t="s">
        <v>330</v>
      </c>
      <c r="C80">
        <v>21628003.43</v>
      </c>
      <c r="D80" s="24">
        <f t="shared" si="0"/>
        <v>15448.573878571427</v>
      </c>
      <c r="E80" s="50">
        <f t="shared" si="2"/>
        <v>3.6552744427139662E-3</v>
      </c>
      <c r="F80" s="51"/>
    </row>
    <row r="81" spans="1:6" ht="15.75" customHeight="1" x14ac:dyDescent="0.25">
      <c r="A81" t="s">
        <v>333</v>
      </c>
      <c r="B81" t="s">
        <v>332</v>
      </c>
      <c r="C81">
        <v>11288387.76</v>
      </c>
      <c r="D81" s="24">
        <f t="shared" si="0"/>
        <v>8063.1341142857145</v>
      </c>
      <c r="E81" s="50">
        <f t="shared" si="2"/>
        <v>1.907811574569052E-3</v>
      </c>
      <c r="F81" s="51"/>
    </row>
    <row r="82" spans="1:6" ht="15.75" customHeight="1" x14ac:dyDescent="0.25">
      <c r="A82" t="s">
        <v>335</v>
      </c>
      <c r="B82" t="s">
        <v>334</v>
      </c>
      <c r="C82">
        <v>148940</v>
      </c>
      <c r="D82" s="24">
        <f t="shared" si="0"/>
        <v>106.38571428571429</v>
      </c>
      <c r="E82" s="50">
        <f t="shared" si="2"/>
        <v>2.5171836931681961E-5</v>
      </c>
      <c r="F82" s="51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24">
        <f t="shared" si="0"/>
        <v>4363.9504714285713</v>
      </c>
      <c r="E83" s="50">
        <f t="shared" si="2"/>
        <v>1.0325507553553864E-3</v>
      </c>
      <c r="F83" s="51"/>
    </row>
    <row r="84" spans="1:6" ht="15.75" customHeight="1" x14ac:dyDescent="0.25">
      <c r="A84" t="s">
        <v>339</v>
      </c>
      <c r="B84" t="s">
        <v>338</v>
      </c>
      <c r="C84">
        <v>2382427.46</v>
      </c>
      <c r="D84" s="24">
        <f t="shared" si="0"/>
        <v>1701.7338999999999</v>
      </c>
      <c r="E84" s="50">
        <f t="shared" si="2"/>
        <v>4.0264586762912076E-4</v>
      </c>
      <c r="F84" s="51"/>
    </row>
    <row r="85" spans="1:6" ht="15.75" customHeight="1" x14ac:dyDescent="0.25">
      <c r="A85" t="s">
        <v>341</v>
      </c>
      <c r="B85" t="s">
        <v>340</v>
      </c>
      <c r="C85">
        <v>135043.53</v>
      </c>
      <c r="D85" s="24">
        <f t="shared" si="0"/>
        <v>96.459664285714283</v>
      </c>
      <c r="E85" s="50">
        <f t="shared" si="2"/>
        <v>2.2823242351542238E-5</v>
      </c>
      <c r="F85" s="51"/>
    </row>
    <row r="86" spans="1:6" ht="15.75" customHeight="1" x14ac:dyDescent="0.25">
      <c r="A86" t="s">
        <v>343</v>
      </c>
      <c r="B86" t="s">
        <v>342</v>
      </c>
      <c r="C86">
        <v>90750</v>
      </c>
      <c r="D86" s="24">
        <f t="shared" si="0"/>
        <v>64.821428571428569</v>
      </c>
      <c r="E86" s="50">
        <f t="shared" si="2"/>
        <v>1.5337345250101639E-5</v>
      </c>
      <c r="F86" s="51"/>
    </row>
    <row r="87" spans="1:6" ht="15.75" customHeight="1" x14ac:dyDescent="0.25">
      <c r="A87" t="s">
        <v>345</v>
      </c>
      <c r="B87" t="s">
        <v>344</v>
      </c>
      <c r="C87">
        <v>979083.87</v>
      </c>
      <c r="D87" s="24">
        <f t="shared" si="0"/>
        <v>699.34562142857146</v>
      </c>
      <c r="E87" s="50">
        <f t="shared" si="2"/>
        <v>1.6547159606606756E-4</v>
      </c>
      <c r="F87" s="51"/>
    </row>
    <row r="88" spans="1:6" ht="15.75" customHeight="1" x14ac:dyDescent="0.25">
      <c r="A88" t="s">
        <v>347</v>
      </c>
      <c r="B88" t="s">
        <v>346</v>
      </c>
      <c r="C88">
        <v>715981.2</v>
      </c>
      <c r="D88" s="24">
        <f t="shared" si="0"/>
        <v>511.41514285714283</v>
      </c>
      <c r="E88" s="50">
        <f t="shared" si="2"/>
        <v>1.2100551908520188E-4</v>
      </c>
      <c r="F88" s="51"/>
    </row>
    <row r="89" spans="1:6" ht="15.75" customHeight="1" x14ac:dyDescent="0.25">
      <c r="A89" t="s">
        <v>349</v>
      </c>
      <c r="B89" t="s">
        <v>348</v>
      </c>
      <c r="C89">
        <v>290181.01</v>
      </c>
      <c r="D89" s="24">
        <f t="shared" si="0"/>
        <v>207.27215000000001</v>
      </c>
      <c r="E89" s="50">
        <f t="shared" si="2"/>
        <v>4.9042494053919516E-5</v>
      </c>
      <c r="F89" s="51"/>
    </row>
    <row r="90" spans="1:6" ht="15.75" customHeight="1" x14ac:dyDescent="0.25">
      <c r="A90" t="s">
        <v>351</v>
      </c>
      <c r="B90" t="s">
        <v>350</v>
      </c>
      <c r="C90">
        <v>4611894.3</v>
      </c>
      <c r="D90" s="24">
        <f t="shared" si="0"/>
        <v>3294.2102142857143</v>
      </c>
      <c r="E90" s="50">
        <f t="shared" si="2"/>
        <v>7.7944038717438918E-4</v>
      </c>
      <c r="F90" s="51"/>
    </row>
    <row r="91" spans="1:6" ht="15.75" customHeight="1" x14ac:dyDescent="0.25">
      <c r="A91" t="s">
        <v>353</v>
      </c>
      <c r="B91" t="s">
        <v>352</v>
      </c>
      <c r="C91">
        <v>2322602.6</v>
      </c>
      <c r="D91" s="24">
        <f t="shared" si="0"/>
        <v>1659.0018571428573</v>
      </c>
      <c r="E91" s="50">
        <f t="shared" si="2"/>
        <v>3.9253507388411807E-4</v>
      </c>
      <c r="F91" s="51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24">
        <f t="shared" si="0"/>
        <v>62138.504057142862</v>
      </c>
      <c r="E92" s="50">
        <f t="shared" si="2"/>
        <v>1.4702540672935957E-2</v>
      </c>
      <c r="F92" s="51"/>
    </row>
    <row r="93" spans="1:6" ht="15.75" customHeight="1" x14ac:dyDescent="0.25">
      <c r="A93" t="s">
        <v>357</v>
      </c>
      <c r="B93" t="s">
        <v>356</v>
      </c>
      <c r="C93">
        <v>1935493.25</v>
      </c>
      <c r="D93" s="24">
        <f t="shared" si="0"/>
        <v>1382.4951785714286</v>
      </c>
      <c r="E93" s="50">
        <f t="shared" si="2"/>
        <v>3.2711105459494526E-4</v>
      </c>
      <c r="F93" s="51"/>
    </row>
    <row r="94" spans="1:6" ht="15.75" customHeight="1" x14ac:dyDescent="0.25">
      <c r="A94" t="s">
        <v>359</v>
      </c>
      <c r="B94" t="s">
        <v>358</v>
      </c>
      <c r="C94">
        <v>12698434.35</v>
      </c>
      <c r="D94" s="24">
        <f t="shared" si="0"/>
        <v>9070.3102500000005</v>
      </c>
      <c r="E94" s="50">
        <f t="shared" si="2"/>
        <v>2.1461186970986226E-3</v>
      </c>
      <c r="F94" s="51"/>
    </row>
    <row r="95" spans="1:6" ht="15.75" customHeight="1" x14ac:dyDescent="0.25">
      <c r="A95" t="s">
        <v>361</v>
      </c>
      <c r="B95" t="s">
        <v>360</v>
      </c>
      <c r="C95">
        <v>1024284.15</v>
      </c>
      <c r="D95" s="24">
        <f t="shared" si="0"/>
        <v>731.63153571428575</v>
      </c>
      <c r="E95" s="50">
        <f t="shared" si="2"/>
        <v>1.7311073986508974E-4</v>
      </c>
      <c r="F95" s="51"/>
    </row>
    <row r="96" spans="1:6" ht="15.75" customHeight="1" x14ac:dyDescent="0.25">
      <c r="A96" t="s">
        <v>363</v>
      </c>
      <c r="B96" t="s">
        <v>362</v>
      </c>
      <c r="C96">
        <v>780000</v>
      </c>
      <c r="D96" s="24">
        <f t="shared" si="0"/>
        <v>557.14285714285711</v>
      </c>
      <c r="E96" s="50">
        <f t="shared" si="2"/>
        <v>1.318251161992207E-4</v>
      </c>
      <c r="F96" s="51"/>
    </row>
    <row r="97" spans="1:6" ht="15.75" customHeight="1" x14ac:dyDescent="0.25">
      <c r="A97" t="s">
        <v>365</v>
      </c>
      <c r="B97" t="s">
        <v>364</v>
      </c>
      <c r="C97">
        <v>180000</v>
      </c>
      <c r="D97" s="24">
        <f t="shared" si="0"/>
        <v>128.57142857142858</v>
      </c>
      <c r="E97" s="50">
        <f t="shared" si="2"/>
        <v>3.042118066135862E-5</v>
      </c>
      <c r="F97" s="51"/>
    </row>
    <row r="98" spans="1:6" ht="15.75" customHeight="1" x14ac:dyDescent="0.25">
      <c r="A98" t="s">
        <v>367</v>
      </c>
      <c r="B98" t="s">
        <v>366</v>
      </c>
      <c r="C98">
        <v>0.02</v>
      </c>
      <c r="D98" s="24">
        <f t="shared" si="0"/>
        <v>1.4285714285714285E-5</v>
      </c>
      <c r="E98" s="50">
        <f t="shared" si="2"/>
        <v>3.3801311845954025E-12</v>
      </c>
      <c r="F98" s="51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24">
        <f t="shared" si="0"/>
        <v>3863.8497857142856</v>
      </c>
      <c r="E99" s="50">
        <f t="shared" si="2"/>
        <v>9.1422234072995848E-4</v>
      </c>
      <c r="F99" s="51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24">
        <f t="shared" si="0"/>
        <v>9280.7993928571432</v>
      </c>
      <c r="E100" s="50">
        <f t="shared" si="2"/>
        <v>2.1959223612039356E-3</v>
      </c>
      <c r="F100" s="51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24">
        <f t="shared" si="0"/>
        <v>321.1000357142857</v>
      </c>
      <c r="E101" s="50">
        <f t="shared" si="2"/>
        <v>7.5975217086478815E-5</v>
      </c>
      <c r="F101" s="51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24">
        <f t="shared" si="0"/>
        <v>2062.0992857142855</v>
      </c>
      <c r="E102" s="50">
        <f t="shared" si="2"/>
        <v>4.8791162709623334E-4</v>
      </c>
      <c r="F102" s="51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24">
        <f t="shared" si="0"/>
        <v>-2.7888428571428574</v>
      </c>
      <c r="E103" s="50">
        <f t="shared" si="2"/>
        <v>-6.5986582972552983E-7</v>
      </c>
      <c r="F103" s="51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24">
        <f t="shared" si="0"/>
        <v>529.05089285714291</v>
      </c>
      <c r="E104" s="50">
        <f t="shared" si="2"/>
        <v>1.2517829948291287E-4</v>
      </c>
      <c r="F104" s="51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24">
        <f t="shared" si="0"/>
        <v>1234.6685428571429</v>
      </c>
      <c r="E105" s="50">
        <f t="shared" si="2"/>
        <v>2.9213391510452756E-4</v>
      </c>
      <c r="F105" s="51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24">
        <f t="shared" si="0"/>
        <v>1408.1447285714287</v>
      </c>
      <c r="E106" s="50">
        <f t="shared" si="2"/>
        <v>3.3317997366275401E-4</v>
      </c>
      <c r="F106" s="51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24">
        <f t="shared" si="0"/>
        <v>28.833821428571426</v>
      </c>
      <c r="E107" s="50">
        <f t="shared" si="2"/>
        <v>6.8223469287238607E-6</v>
      </c>
      <c r="F107" s="51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24">
        <f t="shared" si="0"/>
        <v>4491.4206071428571</v>
      </c>
      <c r="E108" s="50">
        <f t="shared" si="2"/>
        <v>1.0627113600136591E-3</v>
      </c>
      <c r="F108" s="51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24">
        <f t="shared" si="0"/>
        <v>4642.8571428571431</v>
      </c>
      <c r="E109" s="50">
        <f t="shared" si="2"/>
        <v>1.0985426349935058E-3</v>
      </c>
      <c r="F109" s="51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24">
        <f t="shared" si="0"/>
        <v>27342.40789285714</v>
      </c>
      <c r="E110" s="50">
        <f t="shared" si="2"/>
        <v>6.4694647906401717E-3</v>
      </c>
      <c r="F110" s="51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24">
        <f t="shared" si="0"/>
        <v>267.1608642857143</v>
      </c>
      <c r="E111" s="50">
        <f t="shared" si="2"/>
        <v>6.3212713807292209E-5</v>
      </c>
      <c r="F111" s="51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24">
        <f t="shared" si="0"/>
        <v>1989.4863214285715</v>
      </c>
      <c r="E112" s="50">
        <f t="shared" si="2"/>
        <v>4.7073073294706945E-4</v>
      </c>
      <c r="F112" s="51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24">
        <f t="shared" si="0"/>
        <v>31.501485714285714</v>
      </c>
      <c r="E113" s="50">
        <f t="shared" si="2"/>
        <v>7.4535407956760608E-6</v>
      </c>
      <c r="F113" s="51"/>
    </row>
    <row r="114" spans="1:6" ht="15.75" customHeight="1" x14ac:dyDescent="0.25">
      <c r="A114" t="s">
        <v>399</v>
      </c>
      <c r="B114" t="s">
        <v>398</v>
      </c>
      <c r="C114">
        <v>680000</v>
      </c>
      <c r="D114" s="24">
        <f t="shared" si="0"/>
        <v>485.71428571428572</v>
      </c>
      <c r="E114" s="50">
        <f t="shared" si="2"/>
        <v>1.1492446027624369E-4</v>
      </c>
      <c r="F114" s="51"/>
    </row>
    <row r="115" spans="1:6" ht="15.75" customHeight="1" x14ac:dyDescent="0.25">
      <c r="A115" t="s">
        <v>401</v>
      </c>
      <c r="B115" t="s">
        <v>400</v>
      </c>
      <c r="C115">
        <v>871200</v>
      </c>
      <c r="D115" s="24">
        <f t="shared" si="0"/>
        <v>622.28571428571433</v>
      </c>
      <c r="E115" s="50">
        <f t="shared" si="2"/>
        <v>1.4723851440097573E-4</v>
      </c>
      <c r="F115" s="51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24">
        <f t="shared" si="0"/>
        <v>1633.9875499999998</v>
      </c>
      <c r="E116" s="50">
        <f t="shared" si="2"/>
        <v>3.8661645910969471E-4</v>
      </c>
      <c r="F116" s="51"/>
    </row>
    <row r="117" spans="1:6" ht="15.75" customHeight="1" x14ac:dyDescent="0.25">
      <c r="A117" t="s">
        <v>405</v>
      </c>
      <c r="B117" t="s">
        <v>404</v>
      </c>
      <c r="C117">
        <v>21780</v>
      </c>
      <c r="D117" s="24">
        <f t="shared" si="0"/>
        <v>15.557142857142857</v>
      </c>
      <c r="E117" s="50">
        <f t="shared" si="2"/>
        <v>3.6809628600243932E-6</v>
      </c>
      <c r="F117" s="51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24">
        <f t="shared" si="0"/>
        <v>4283.5341642857147</v>
      </c>
      <c r="E118" s="50">
        <f t="shared" si="2"/>
        <v>1.0135235186287364E-3</v>
      </c>
      <c r="F118" s="51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24">
        <f t="shared" si="0"/>
        <v>166.42484999999999</v>
      </c>
      <c r="E119" s="50">
        <f t="shared" si="2"/>
        <v>3.937764777636285E-5</v>
      </c>
      <c r="F119" s="51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24">
        <f t="shared" si="0"/>
        <v>951.42857142857144</v>
      </c>
      <c r="E120" s="50">
        <f t="shared" si="2"/>
        <v>2.2511673689405381E-4</v>
      </c>
      <c r="F120" s="51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24">
        <f t="shared" si="0"/>
        <v>48199.571435714286</v>
      </c>
      <c r="E121" s="50">
        <f t="shared" si="2"/>
        <v>1.1404461214579416E-2</v>
      </c>
      <c r="F121" s="51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24">
        <f t="shared" si="0"/>
        <v>22.176785714285714</v>
      </c>
      <c r="E122" s="50">
        <f t="shared" si="2"/>
        <v>5.2472311476862881E-6</v>
      </c>
      <c r="F122" s="51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24">
        <f t="shared" si="0"/>
        <v>987.24332142857133</v>
      </c>
      <c r="E123" s="50">
        <f t="shared" si="2"/>
        <v>2.3359083562809796E-4</v>
      </c>
      <c r="F123" s="51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24">
        <f t="shared" si="0"/>
        <v>501.38854999999995</v>
      </c>
      <c r="E124" s="50">
        <f t="shared" si="2"/>
        <v>1.1863313514178497E-4</v>
      </c>
      <c r="F124" s="51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24">
        <f t="shared" si="0"/>
        <v>6631.3085785714284</v>
      </c>
      <c r="E125" s="50">
        <f t="shared" si="2"/>
        <v>1.5690285044773007E-3</v>
      </c>
      <c r="F125" s="51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24">
        <f t="shared" si="0"/>
        <v>5742.6592071428568</v>
      </c>
      <c r="E126" s="50">
        <f t="shared" si="2"/>
        <v>1.3587659027997235E-3</v>
      </c>
      <c r="F126" s="51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24">
        <f t="shared" si="0"/>
        <v>1703.1366214285715</v>
      </c>
      <c r="E127" s="50">
        <f t="shared" si="2"/>
        <v>4.0297776440020177E-4</v>
      </c>
      <c r="F127" s="51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24">
        <f t="shared" si="0"/>
        <v>32.307749999999999</v>
      </c>
      <c r="E128" s="50">
        <f t="shared" si="2"/>
        <v>7.6443103295378476E-6</v>
      </c>
      <c r="F128" s="51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24">
        <f t="shared" si="0"/>
        <v>43232.737464285718</v>
      </c>
      <c r="E129" s="50">
        <f t="shared" si="2"/>
        <v>1.0229262686892067E-2</v>
      </c>
      <c r="F129" s="51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24">
        <f t="shared" si="0"/>
        <v>-184.38278571428572</v>
      </c>
      <c r="E130" s="50">
        <f t="shared" si="2"/>
        <v>-4.3626660272680015E-5</v>
      </c>
      <c r="F130" s="51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24">
        <f t="shared" si="0"/>
        <v>3901.6842857142856</v>
      </c>
      <c r="E131" s="50">
        <f t="shared" si="2"/>
        <v>9.2317433086120868E-4</v>
      </c>
      <c r="F131" s="51"/>
    </row>
    <row r="132" spans="1:6" ht="15.75" customHeight="1" x14ac:dyDescent="0.25">
      <c r="A132" t="s">
        <v>435</v>
      </c>
      <c r="B132" t="s">
        <v>434</v>
      </c>
      <c r="C132">
        <v>359370</v>
      </c>
      <c r="D132" s="24">
        <f t="shared" si="0"/>
        <v>256.69285714285712</v>
      </c>
      <c r="E132" s="50">
        <f t="shared" si="2"/>
        <v>6.073588719040249E-5</v>
      </c>
      <c r="F132" s="51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24">
        <f t="shared" si="0"/>
        <v>124.1737142857143</v>
      </c>
      <c r="E133" s="50">
        <f t="shared" ref="E133:E196" si="3">IFERROR(C133/SUM($C$5:$C$264),0)</f>
        <v>2.9380641077492774E-5</v>
      </c>
      <c r="F133" s="51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24">
        <f t="shared" si="0"/>
        <v>976.18737857142867</v>
      </c>
      <c r="E134" s="50">
        <f t="shared" si="3"/>
        <v>2.3097489802224064E-4</v>
      </c>
      <c r="F134" s="51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24">
        <f t="shared" si="0"/>
        <v>843.8453571428571</v>
      </c>
      <c r="E135" s="50">
        <f t="shared" si="3"/>
        <v>1.9966156046582312E-4</v>
      </c>
      <c r="F135" s="51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24">
        <f t="shared" si="0"/>
        <v>63241.615207142859</v>
      </c>
      <c r="E136" s="50">
        <f t="shared" si="3"/>
        <v>1.496354690080925E-2</v>
      </c>
      <c r="F136" s="51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24">
        <f t="shared" si="0"/>
        <v>4212.0649999999996</v>
      </c>
      <c r="E137" s="50">
        <f t="shared" si="3"/>
        <v>9.9661325806299841E-4</v>
      </c>
      <c r="F137" s="51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24">
        <f t="shared" si="0"/>
        <v>9441.8496642857135</v>
      </c>
      <c r="E138" s="50">
        <f t="shared" si="3"/>
        <v>2.2340283343359642E-3</v>
      </c>
      <c r="F138" s="51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24">
        <f t="shared" si="0"/>
        <v>2881.0654357142857</v>
      </c>
      <c r="E139" s="50">
        <f t="shared" si="3"/>
        <v>6.8168653868824584E-4</v>
      </c>
      <c r="F139" s="51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24">
        <f t="shared" si="0"/>
        <v>753.72519999999997</v>
      </c>
      <c r="E140" s="50">
        <f t="shared" si="3"/>
        <v>1.7833830371947847E-4</v>
      </c>
      <c r="F140" s="51"/>
    </row>
    <row r="141" spans="1:6" ht="15.75" customHeight="1" x14ac:dyDescent="0.25">
      <c r="A141" t="s">
        <v>453</v>
      </c>
      <c r="B141" t="s">
        <v>452</v>
      </c>
      <c r="C141">
        <v>-0.01</v>
      </c>
      <c r="D141" s="24">
        <f t="shared" si="0"/>
        <v>-7.1428571428571427E-6</v>
      </c>
      <c r="E141" s="50">
        <f t="shared" si="3"/>
        <v>-1.6900655922977012E-12</v>
      </c>
      <c r="F141" s="51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24">
        <f t="shared" si="0"/>
        <v>45178.371464285716</v>
      </c>
      <c r="E142" s="50">
        <f t="shared" si="3"/>
        <v>1.0689617557896703E-2</v>
      </c>
      <c r="F142" s="51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24">
        <f t="shared" si="0"/>
        <v>1859.40095</v>
      </c>
      <c r="E143" s="50">
        <f t="shared" si="3"/>
        <v>4.3995133950329218E-4</v>
      </c>
      <c r="F143" s="51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24">
        <f t="shared" si="0"/>
        <v>323.37271428571427</v>
      </c>
      <c r="E144" s="50">
        <f t="shared" si="3"/>
        <v>7.6512953706308142E-5</v>
      </c>
      <c r="F144" s="51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24">
        <f t="shared" si="0"/>
        <v>5613.466678571428</v>
      </c>
      <c r="E145" s="50">
        <f t="shared" si="3"/>
        <v>1.3281977641748522E-3</v>
      </c>
      <c r="F145" s="51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24">
        <f t="shared" si="0"/>
        <v>904.04285714285709</v>
      </c>
      <c r="E146" s="50">
        <f t="shared" si="3"/>
        <v>2.1390484175475084E-4</v>
      </c>
      <c r="F146" s="51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24">
        <f t="shared" si="0"/>
        <v>92030.556114285719</v>
      </c>
      <c r="E147" s="50">
        <f t="shared" si="3"/>
        <v>2.1775274686028797E-2</v>
      </c>
      <c r="F147" s="51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24">
        <f t="shared" si="0"/>
        <v>239.31828571428571</v>
      </c>
      <c r="E148" s="50">
        <f t="shared" si="3"/>
        <v>5.6624904041073866E-5</v>
      </c>
      <c r="F148" s="51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24">
        <f t="shared" si="0"/>
        <v>1273.316</v>
      </c>
      <c r="E149" s="50">
        <f t="shared" si="3"/>
        <v>3.0127825836109953E-4</v>
      </c>
      <c r="F149" s="51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24">
        <f t="shared" si="0"/>
        <v>1189.8928571428571</v>
      </c>
      <c r="E150" s="50">
        <f t="shared" si="3"/>
        <v>2.8153957669291253E-4</v>
      </c>
      <c r="F150" s="51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24">
        <f t="shared" si="0"/>
        <v>1857.1428571428571</v>
      </c>
      <c r="E151" s="50">
        <f t="shared" si="3"/>
        <v>4.394170539974023E-4</v>
      </c>
      <c r="F151" s="51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24">
        <f t="shared" si="0"/>
        <v>1118.5421428571428</v>
      </c>
      <c r="E152" s="50">
        <f t="shared" si="3"/>
        <v>2.6465734248489159E-4</v>
      </c>
      <c r="F152" s="51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24">
        <f t="shared" si="0"/>
        <v>66.740399999999994</v>
      </c>
      <c r="E153" s="50">
        <f t="shared" si="3"/>
        <v>1.5791391511865969E-5</v>
      </c>
      <c r="F153" s="51"/>
    </row>
    <row r="154" spans="1:6" ht="15.75" customHeight="1" x14ac:dyDescent="0.25">
      <c r="A154" t="s">
        <v>479</v>
      </c>
      <c r="B154" t="s">
        <v>478</v>
      </c>
      <c r="C154">
        <v>151250</v>
      </c>
      <c r="D154" s="24">
        <f t="shared" si="0"/>
        <v>108.03571428571429</v>
      </c>
      <c r="E154" s="50">
        <f t="shared" si="3"/>
        <v>2.5562242083502729E-5</v>
      </c>
      <c r="F154" s="51"/>
    </row>
    <row r="155" spans="1:6" ht="15.75" customHeight="1" x14ac:dyDescent="0.25">
      <c r="A155" t="s">
        <v>481</v>
      </c>
      <c r="B155" t="s">
        <v>480</v>
      </c>
      <c r="C155">
        <v>742500</v>
      </c>
      <c r="D155" s="24">
        <f t="shared" si="0"/>
        <v>530.35714285714289</v>
      </c>
      <c r="E155" s="50">
        <f t="shared" si="3"/>
        <v>1.254873702281043E-4</v>
      </c>
      <c r="F155" s="51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24">
        <f t="shared" si="0"/>
        <v>752.85714285714289</v>
      </c>
      <c r="E156" s="50">
        <f t="shared" si="3"/>
        <v>1.7813291342817769E-4</v>
      </c>
      <c r="F156" s="51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24">
        <f t="shared" si="0"/>
        <v>3407.1428571428573</v>
      </c>
      <c r="E157" s="50">
        <f t="shared" si="3"/>
        <v>8.0616128752600345E-4</v>
      </c>
      <c r="F157" s="51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24">
        <f t="shared" si="0"/>
        <v>3995</v>
      </c>
      <c r="E158" s="50">
        <f t="shared" si="3"/>
        <v>9.4525368577210432E-4</v>
      </c>
      <c r="F158" s="51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24">
        <f t="shared" si="0"/>
        <v>2197.8071428571429</v>
      </c>
      <c r="E159" s="50">
        <f t="shared" si="3"/>
        <v>5.200213522908566E-4</v>
      </c>
      <c r="F159" s="51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24">
        <f t="shared" si="0"/>
        <v>2898.9065928571426</v>
      </c>
      <c r="E160" s="50">
        <f t="shared" si="3"/>
        <v>6.8590792030219451E-4</v>
      </c>
      <c r="F160" s="51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24">
        <f t="shared" si="0"/>
        <v>20856.692849999999</v>
      </c>
      <c r="E161" s="50">
        <f t="shared" si="3"/>
        <v>4.9348850536869064E-3</v>
      </c>
      <c r="F161" s="51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24">
        <f t="shared" si="0"/>
        <v>1985.4935714285714</v>
      </c>
      <c r="E162" s="50">
        <f t="shared" si="3"/>
        <v>4.6978601163195894E-4</v>
      </c>
      <c r="F162" s="51"/>
    </row>
    <row r="163" spans="1:6" ht="15.75" customHeight="1" x14ac:dyDescent="0.25">
      <c r="A163" t="s">
        <v>497</v>
      </c>
      <c r="B163" t="s">
        <v>496</v>
      </c>
      <c r="C163">
        <v>386200</v>
      </c>
      <c r="D163" s="24">
        <f t="shared" si="0"/>
        <v>275.85714285714283</v>
      </c>
      <c r="E163" s="50">
        <f t="shared" si="3"/>
        <v>6.5270333174537225E-5</v>
      </c>
      <c r="F163" s="51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24">
        <f t="shared" si="0"/>
        <v>8460.7688714285705</v>
      </c>
      <c r="E164" s="50">
        <f t="shared" si="3"/>
        <v>2.0018956095578834E-3</v>
      </c>
      <c r="F164" s="51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24">
        <f t="shared" si="0"/>
        <v>211273.63779285716</v>
      </c>
      <c r="E165" s="50">
        <f t="shared" si="3"/>
        <v>4.9989282811058515E-2</v>
      </c>
      <c r="F165" s="51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24">
        <f t="shared" si="0"/>
        <v>450.18007142857141</v>
      </c>
      <c r="E166" s="50">
        <f t="shared" si="3"/>
        <v>1.0651673886833699E-4</v>
      </c>
      <c r="F166" s="51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24">
        <f t="shared" si="0"/>
        <v>2621.6378571428572</v>
      </c>
      <c r="E167" s="50">
        <f t="shared" si="3"/>
        <v>6.2030359129511064E-4</v>
      </c>
      <c r="F167" s="51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24">
        <f t="shared" si="0"/>
        <v>25281.469642857144</v>
      </c>
      <c r="E168" s="50">
        <f t="shared" si="3"/>
        <v>5.9818278752556391E-3</v>
      </c>
      <c r="F168" s="51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24">
        <f t="shared" si="0"/>
        <v>8876.6228571428564</v>
      </c>
      <c r="E169" s="50">
        <f t="shared" si="3"/>
        <v>2.1002904813324638E-3</v>
      </c>
      <c r="F169" s="51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24">
        <f t="shared" si="0"/>
        <v>58.956735714285706</v>
      </c>
      <c r="E170" s="50">
        <f t="shared" si="3"/>
        <v>1.3949705065086464E-5</v>
      </c>
      <c r="F170" s="51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24">
        <f t="shared" si="0"/>
        <v>786.5</v>
      </c>
      <c r="E171" s="50">
        <f t="shared" si="3"/>
        <v>1.8609312236789988E-4</v>
      </c>
      <c r="F171" s="51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24">
        <f t="shared" si="0"/>
        <v>69622.681000000011</v>
      </c>
      <c r="E172" s="50">
        <f t="shared" si="3"/>
        <v>1.647336566422665E-2</v>
      </c>
      <c r="F172" s="51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24">
        <f t="shared" si="0"/>
        <v>3968.2347714285711</v>
      </c>
      <c r="E173" s="50">
        <f t="shared" si="3"/>
        <v>9.3892078690910655E-4</v>
      </c>
      <c r="F173" s="51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24">
        <f t="shared" si="0"/>
        <v>17534.285714285714</v>
      </c>
      <c r="E174" s="50">
        <f t="shared" si="3"/>
        <v>4.1487730159723967E-3</v>
      </c>
      <c r="F174" s="51"/>
    </row>
    <row r="175" spans="1:6" ht="15.75" customHeight="1" x14ac:dyDescent="0.25">
      <c r="A175" t="s">
        <v>521</v>
      </c>
      <c r="B175" t="s">
        <v>520</v>
      </c>
      <c r="C175">
        <v>58760</v>
      </c>
      <c r="D175" s="24">
        <f t="shared" si="0"/>
        <v>41.971428571428568</v>
      </c>
      <c r="E175" s="50">
        <f t="shared" si="3"/>
        <v>9.9308254203412926E-6</v>
      </c>
      <c r="F175" s="51"/>
    </row>
    <row r="176" spans="1:6" ht="15.75" customHeight="1" x14ac:dyDescent="0.25">
      <c r="A176" t="s">
        <v>523</v>
      </c>
      <c r="B176" t="s">
        <v>522</v>
      </c>
      <c r="C176">
        <v>0.01</v>
      </c>
      <c r="D176" s="24">
        <f t="shared" si="0"/>
        <v>7.1428571428571427E-6</v>
      </c>
      <c r="E176" s="50">
        <f t="shared" si="3"/>
        <v>1.6900655922977012E-12</v>
      </c>
      <c r="F176" s="51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24">
        <f t="shared" si="0"/>
        <v>21170.755300000001</v>
      </c>
      <c r="E177" s="50">
        <f t="shared" si="3"/>
        <v>5.0091951133677875E-3</v>
      </c>
      <c r="F177" s="51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24">
        <f t="shared" si="0"/>
        <v>40009.417421428574</v>
      </c>
      <c r="E178" s="50">
        <f t="shared" si="3"/>
        <v>9.4665955652565702E-3</v>
      </c>
      <c r="F178" s="51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24">
        <f t="shared" si="0"/>
        <v>2275.1035785714284</v>
      </c>
      <c r="E179" s="50">
        <f t="shared" si="3"/>
        <v>5.3831039878797168E-4</v>
      </c>
      <c r="F179" s="51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24">
        <f t="shared" si="0"/>
        <v>1114.2857142857142</v>
      </c>
      <c r="E180" s="50">
        <f t="shared" si="3"/>
        <v>2.636502323984414E-4</v>
      </c>
      <c r="F180" s="51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24">
        <f t="shared" si="0"/>
        <v>110.09876428571428</v>
      </c>
      <c r="E181" s="50">
        <f t="shared" si="3"/>
        <v>2.6050378658329298E-5</v>
      </c>
      <c r="F181" s="51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24">
        <f t="shared" si="0"/>
        <v>9536.8924785714298</v>
      </c>
      <c r="E182" s="50">
        <f t="shared" si="3"/>
        <v>2.2565163369666838E-3</v>
      </c>
      <c r="F182" s="51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24">
        <f t="shared" si="0"/>
        <v>1614.1980714285712</v>
      </c>
      <c r="E183" s="50">
        <f t="shared" si="3"/>
        <v>3.8193408675446294E-4</v>
      </c>
      <c r="F183" s="51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24">
        <f t="shared" si="0"/>
        <v>3235.7142857142858</v>
      </c>
      <c r="E184" s="50">
        <f t="shared" si="3"/>
        <v>7.6559971331085868E-4</v>
      </c>
      <c r="F184" s="51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24">
        <f t="shared" si="0"/>
        <v>15891.248171428573</v>
      </c>
      <c r="E185" s="50">
        <f t="shared" si="3"/>
        <v>3.7600152454473268E-3</v>
      </c>
      <c r="F185" s="51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24">
        <f t="shared" si="0"/>
        <v>1950.9621428571429</v>
      </c>
      <c r="E186" s="50">
        <f t="shared" si="3"/>
        <v>4.6161555853255491E-4</v>
      </c>
      <c r="F186" s="51"/>
    </row>
    <row r="187" spans="1:6" ht="15.75" customHeight="1" x14ac:dyDescent="0.25">
      <c r="A187" t="s">
        <v>545</v>
      </c>
      <c r="B187" t="s">
        <v>544</v>
      </c>
      <c r="C187">
        <v>916817</v>
      </c>
      <c r="D187" s="24">
        <f t="shared" si="0"/>
        <v>654.86928571428575</v>
      </c>
      <c r="E187" s="50">
        <f t="shared" si="3"/>
        <v>1.5494808661336014E-4</v>
      </c>
      <c r="F187" s="51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24">
        <f t="shared" si="0"/>
        <v>16673.536071428571</v>
      </c>
      <c r="E188" s="50">
        <f t="shared" si="3"/>
        <v>3.9451117462758417E-3</v>
      </c>
      <c r="F188" s="51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24">
        <f t="shared" si="0"/>
        <v>1901.4285714285713</v>
      </c>
      <c r="E189" s="50">
        <f t="shared" si="3"/>
        <v>4.4989546066964806E-4</v>
      </c>
      <c r="F189" s="51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24">
        <f t="shared" si="0"/>
        <v>13290.867028571429</v>
      </c>
      <c r="E190" s="50">
        <f t="shared" si="3"/>
        <v>3.1447411879509581E-3</v>
      </c>
      <c r="F190" s="51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24">
        <f t="shared" si="0"/>
        <v>1371.8571428571429</v>
      </c>
      <c r="E191" s="50">
        <f t="shared" si="3"/>
        <v>3.2459399765669649E-4</v>
      </c>
      <c r="F191" s="51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24">
        <f t="shared" si="0"/>
        <v>32172.148528571426</v>
      </c>
      <c r="E192" s="50">
        <f t="shared" si="3"/>
        <v>7.612225776180156E-3</v>
      </c>
      <c r="F192" s="51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24">
        <f t="shared" si="0"/>
        <v>-1.9273285714285715</v>
      </c>
      <c r="E193" s="50">
        <f t="shared" si="3"/>
        <v>-4.5602363850731958E-7</v>
      </c>
      <c r="F193" s="51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24">
        <f t="shared" si="0"/>
        <v>24094.25</v>
      </c>
      <c r="E194" s="50">
        <f t="shared" si="3"/>
        <v>5.7009208056106441E-3</v>
      </c>
      <c r="F194" s="51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24">
        <f t="shared" si="0"/>
        <v>405.79759999999999</v>
      </c>
      <c r="E195" s="50">
        <f t="shared" si="3"/>
        <v>9.6015438567577987E-5</v>
      </c>
      <c r="F195" s="51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24">
        <f t="shared" si="0"/>
        <v>7630.1095214285715</v>
      </c>
      <c r="E196" s="50">
        <f t="shared" si="3"/>
        <v>1.8053539794681312E-3</v>
      </c>
      <c r="F196" s="51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24">
        <f t="shared" si="0"/>
        <v>46631.071428571428</v>
      </c>
      <c r="E197" s="50">
        <f t="shared" ref="E197:E264" si="4">IFERROR(C197/SUM($C$5:$C$264),0)</f>
        <v>1.1033339709476698E-2</v>
      </c>
      <c r="F197" s="51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24">
        <f t="shared" si="0"/>
        <v>17285.714285714286</v>
      </c>
      <c r="E198" s="50">
        <f t="shared" si="4"/>
        <v>4.0899587333604369E-3</v>
      </c>
      <c r="F198" s="51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24">
        <f t="shared" si="0"/>
        <v>121704.25111428571</v>
      </c>
      <c r="E199" s="50">
        <f t="shared" si="4"/>
        <v>2.8796343414245883E-2</v>
      </c>
      <c r="F199" s="51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24">
        <f t="shared" si="0"/>
        <v>2225.6497214285714</v>
      </c>
      <c r="E200" s="50">
        <f t="shared" si="4"/>
        <v>5.2660916205707494E-4</v>
      </c>
      <c r="F200" s="51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24">
        <f t="shared" si="0"/>
        <v>9394.1515857142858</v>
      </c>
      <c r="E201" s="50">
        <f t="shared" si="4"/>
        <v>2.2227425309382445E-3</v>
      </c>
      <c r="F201" s="51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24">
        <f t="shared" si="0"/>
        <v>1769.4742142857142</v>
      </c>
      <c r="E202" s="50">
        <f t="shared" si="4"/>
        <v>4.1867384804312129E-4</v>
      </c>
      <c r="F202" s="51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24">
        <f t="shared" si="0"/>
        <v>110.79019285714286</v>
      </c>
      <c r="E203" s="50">
        <f t="shared" si="4"/>
        <v>2.6213977007663714E-5</v>
      </c>
      <c r="F203" s="51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24">
        <f t="shared" si="0"/>
        <v>17589.107142857141</v>
      </c>
      <c r="E204" s="50">
        <f t="shared" si="4"/>
        <v>4.1617442693932813E-3</v>
      </c>
      <c r="F204" s="51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24">
        <f t="shared" si="0"/>
        <v>517.1640928571428</v>
      </c>
      <c r="E205" s="50">
        <f t="shared" si="4"/>
        <v>1.2236577344735947E-4</v>
      </c>
      <c r="F205" s="51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24">
        <f t="shared" si="0"/>
        <v>1529.8375714285714</v>
      </c>
      <c r="E206" s="50">
        <f t="shared" si="4"/>
        <v>3.6197361777859876E-4</v>
      </c>
      <c r="F206" s="51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24">
        <f t="shared" si="0"/>
        <v>9800.7061428571433</v>
      </c>
      <c r="E207" s="50">
        <f t="shared" si="4"/>
        <v>2.3189370725169006E-3</v>
      </c>
      <c r="F207" s="51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24">
        <f t="shared" si="0"/>
        <v>3873.034557142857</v>
      </c>
      <c r="E208" s="50">
        <f t="shared" si="4"/>
        <v>9.1639554199299505E-4</v>
      </c>
      <c r="F208" s="51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24">
        <f t="shared" si="0"/>
        <v>9506.7096428571422</v>
      </c>
      <c r="E209" s="50">
        <f t="shared" si="4"/>
        <v>2.2493748008700675E-3</v>
      </c>
      <c r="F209" s="51"/>
    </row>
    <row r="210" spans="1:6" ht="15.75" customHeight="1" x14ac:dyDescent="0.25">
      <c r="A210" t="s">
        <v>591</v>
      </c>
      <c r="B210" t="s">
        <v>590</v>
      </c>
      <c r="C210">
        <v>370986</v>
      </c>
      <c r="D210" s="24">
        <f t="shared" si="0"/>
        <v>264.99</v>
      </c>
      <c r="E210" s="50">
        <f t="shared" si="4"/>
        <v>6.2699067382415501E-5</v>
      </c>
      <c r="F210" s="51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24">
        <f t="shared" si="0"/>
        <v>9619.9286857142852</v>
      </c>
      <c r="E211" s="50">
        <f t="shared" si="4"/>
        <v>2.2761634660916704E-3</v>
      </c>
      <c r="F211" s="51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24">
        <f t="shared" si="0"/>
        <v>2273.0714285714284</v>
      </c>
      <c r="E212" s="50">
        <f t="shared" si="4"/>
        <v>5.3782957343689744E-4</v>
      </c>
      <c r="F212" s="51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24">
        <f t="shared" si="0"/>
        <v>1371.54195</v>
      </c>
      <c r="E213" s="50">
        <f t="shared" si="4"/>
        <v>3.2451942013230514E-4</v>
      </c>
      <c r="F213" s="51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24">
        <f t="shared" si="0"/>
        <v>2563.7243857142857</v>
      </c>
      <c r="E214" s="50">
        <f t="shared" si="4"/>
        <v>6.0660073214023841E-4</v>
      </c>
      <c r="F214" s="51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24">
        <f t="shared" si="0"/>
        <v>12039.5</v>
      </c>
      <c r="E215" s="50">
        <f t="shared" si="4"/>
        <v>2.8486562577855444E-3</v>
      </c>
      <c r="F215" s="51"/>
    </row>
    <row r="216" spans="1:6" ht="15.75" customHeight="1" x14ac:dyDescent="0.25">
      <c r="A216" t="s">
        <v>603</v>
      </c>
      <c r="B216" t="s">
        <v>602</v>
      </c>
      <c r="C216">
        <v>647250</v>
      </c>
      <c r="D216" s="24">
        <f t="shared" si="0"/>
        <v>462.32142857142856</v>
      </c>
      <c r="E216" s="50">
        <f t="shared" si="4"/>
        <v>1.0938949546146871E-4</v>
      </c>
      <c r="F216" s="51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24">
        <f t="shared" si="0"/>
        <v>140.76315714285715</v>
      </c>
      <c r="E217" s="50">
        <f t="shared" si="4"/>
        <v>3.3305855597047218E-5</v>
      </c>
      <c r="F217" s="51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24">
        <f t="shared" si="0"/>
        <v>12638.57</v>
      </c>
      <c r="E218" s="50">
        <f t="shared" si="4"/>
        <v>2.9904017209984339E-3</v>
      </c>
      <c r="F218" s="51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24">
        <f t="shared" si="0"/>
        <v>2560.1996785714286</v>
      </c>
      <c r="E219" s="50">
        <f t="shared" si="4"/>
        <v>6.0576675406312877E-4</v>
      </c>
      <c r="F219" s="51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24">
        <f t="shared" si="0"/>
        <v>1322.2</v>
      </c>
      <c r="E220" s="50">
        <f t="shared" si="4"/>
        <v>3.1284466165904288E-4</v>
      </c>
      <c r="F220" s="51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24">
        <f t="shared" si="0"/>
        <v>24871.848207142859</v>
      </c>
      <c r="E221" s="50">
        <f t="shared" si="4"/>
        <v>5.8849076820440775E-3</v>
      </c>
      <c r="F221" s="51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24">
        <f t="shared" si="0"/>
        <v>767.36428571428576</v>
      </c>
      <c r="E222" s="50">
        <f t="shared" si="4"/>
        <v>1.8156543664613433E-4</v>
      </c>
      <c r="F222" s="51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24">
        <f t="shared" si="0"/>
        <v>10196.410714285714</v>
      </c>
      <c r="E223" s="50">
        <f t="shared" si="4"/>
        <v>2.4125644078409878E-3</v>
      </c>
      <c r="F223" s="51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24">
        <f t="shared" si="0"/>
        <v>908.28571428571433</v>
      </c>
      <c r="E224" s="50">
        <f t="shared" si="4"/>
        <v>2.1490874071657568E-4</v>
      </c>
      <c r="F224" s="51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24">
        <f t="shared" si="0"/>
        <v>661.16477857142854</v>
      </c>
      <c r="E225" s="50">
        <f t="shared" si="4"/>
        <v>1.5643765803437798E-4</v>
      </c>
      <c r="F225" s="51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24">
        <f t="shared" si="0"/>
        <v>15172.535714285714</v>
      </c>
      <c r="E226" s="50">
        <f t="shared" si="4"/>
        <v>3.5899612782071236E-3</v>
      </c>
      <c r="F226" s="51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24">
        <f t="shared" si="0"/>
        <v>2584.7558999999997</v>
      </c>
      <c r="E227" s="50">
        <f t="shared" si="4"/>
        <v>6.1157698155098683E-4</v>
      </c>
      <c r="F227" s="51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24">
        <f t="shared" si="0"/>
        <v>34992.857142857145</v>
      </c>
      <c r="E228" s="50">
        <f t="shared" si="4"/>
        <v>8.2796313366664386E-3</v>
      </c>
      <c r="F228" s="51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24">
        <f t="shared" si="0"/>
        <v>5796.9854357142858</v>
      </c>
      <c r="E229" s="50">
        <f t="shared" si="4"/>
        <v>1.3716199873532258E-3</v>
      </c>
      <c r="F229" s="51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24">
        <f t="shared" si="0"/>
        <v>5738.8571428571431</v>
      </c>
      <c r="E230" s="50">
        <f t="shared" si="4"/>
        <v>1.3578662994756651E-3</v>
      </c>
      <c r="F230" s="51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24">
        <f t="shared" si="0"/>
        <v>26730.628571428573</v>
      </c>
      <c r="E231" s="50">
        <f t="shared" si="4"/>
        <v>6.3247121852685797E-3</v>
      </c>
      <c r="F231" s="51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24">
        <f t="shared" si="0"/>
        <v>18483.005242857143</v>
      </c>
      <c r="E232" s="50">
        <f t="shared" si="4"/>
        <v>4.3732487684495225E-3</v>
      </c>
      <c r="F232" s="51"/>
    </row>
    <row r="233" spans="1:6" ht="15.75" customHeight="1" x14ac:dyDescent="0.25">
      <c r="A233" t="s">
        <v>637</v>
      </c>
      <c r="B233" t="s">
        <v>636</v>
      </c>
      <c r="C233">
        <v>1331</v>
      </c>
      <c r="D233" s="24">
        <f t="shared" si="0"/>
        <v>0.95071428571428573</v>
      </c>
      <c r="E233" s="50">
        <f t="shared" si="4"/>
        <v>2.2494773033482403E-7</v>
      </c>
      <c r="F233" s="51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24">
        <f t="shared" si="0"/>
        <v>1154.4643000000001</v>
      </c>
      <c r="E234" s="50">
        <f t="shared" si="4"/>
        <v>2.7315685473524714E-4</v>
      </c>
      <c r="F234" s="51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24">
        <f t="shared" si="0"/>
        <v>1851.3</v>
      </c>
      <c r="E235" s="50">
        <f t="shared" si="4"/>
        <v>4.3803458034290276E-4</v>
      </c>
      <c r="F235" s="51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24">
        <f t="shared" si="0"/>
        <v>29544.68</v>
      </c>
      <c r="E236" s="50">
        <f t="shared" si="4"/>
        <v>6.9905425944824465E-3</v>
      </c>
      <c r="F236" s="51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24">
        <f t="shared" si="0"/>
        <v>149.43934999999999</v>
      </c>
      <c r="E237" s="50">
        <f t="shared" si="4"/>
        <v>3.5358722499846683E-5</v>
      </c>
      <c r="F237" s="51"/>
    </row>
    <row r="238" spans="1:6" ht="15.75" customHeight="1" x14ac:dyDescent="0.25">
      <c r="A238" t="s">
        <v>647</v>
      </c>
      <c r="B238" t="s">
        <v>646</v>
      </c>
      <c r="C238">
        <v>94650</v>
      </c>
      <c r="D238" s="24">
        <f t="shared" si="0"/>
        <v>67.607142857142861</v>
      </c>
      <c r="E238" s="50">
        <f t="shared" si="4"/>
        <v>1.5996470831097743E-5</v>
      </c>
      <c r="F238" s="51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24">
        <f t="shared" si="0"/>
        <v>90.689499999999995</v>
      </c>
      <c r="E239" s="50">
        <f t="shared" si="4"/>
        <v>2.1457968494575534E-5</v>
      </c>
      <c r="F239" s="51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24">
        <f t="shared" si="0"/>
        <v>1862.411142857143</v>
      </c>
      <c r="E240" s="50">
        <f t="shared" si="4"/>
        <v>4.4066357877565744E-4</v>
      </c>
      <c r="F240" s="51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24">
        <f t="shared" si="0"/>
        <v>18301.849999999999</v>
      </c>
      <c r="E241" s="50">
        <f t="shared" si="4"/>
        <v>4.3303857744551155E-3</v>
      </c>
      <c r="F241" s="51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24">
        <f t="shared" si="0"/>
        <v>1488.2051785714286</v>
      </c>
      <c r="E242" s="50">
        <f t="shared" si="4"/>
        <v>3.5212301132159587E-4</v>
      </c>
      <c r="F242" s="51"/>
    </row>
    <row r="243" spans="1:6" ht="15.75" customHeight="1" x14ac:dyDescent="0.25">
      <c r="A243" t="s">
        <v>657</v>
      </c>
      <c r="B243" t="s">
        <v>656</v>
      </c>
      <c r="C243">
        <v>640000</v>
      </c>
      <c r="D243" s="24">
        <f t="shared" si="0"/>
        <v>457.14285714285717</v>
      </c>
      <c r="E243" s="50">
        <f t="shared" si="4"/>
        <v>1.0816419790705288E-4</v>
      </c>
      <c r="F243" s="51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24">
        <f t="shared" si="0"/>
        <v>1993.9516357142857</v>
      </c>
      <c r="E244" s="50">
        <f t="shared" si="4"/>
        <v>4.7178726731170081E-4</v>
      </c>
      <c r="F244" s="51"/>
    </row>
    <row r="245" spans="1:6" ht="15.75" customHeight="1" x14ac:dyDescent="0.25">
      <c r="A245" t="s">
        <v>661</v>
      </c>
      <c r="B245" t="s">
        <v>660</v>
      </c>
      <c r="C245">
        <v>-0.01</v>
      </c>
      <c r="D245" s="24">
        <f t="shared" si="0"/>
        <v>-7.1428571428571427E-6</v>
      </c>
      <c r="E245" s="50">
        <f t="shared" si="4"/>
        <v>-1.6900655922977012E-12</v>
      </c>
      <c r="F245" s="51"/>
    </row>
    <row r="246" spans="1:6" ht="15.75" customHeight="1" x14ac:dyDescent="0.25">
      <c r="A246" t="s">
        <v>663</v>
      </c>
      <c r="B246" t="s">
        <v>662</v>
      </c>
      <c r="C246">
        <v>300000</v>
      </c>
      <c r="D246" s="24">
        <f t="shared" si="0"/>
        <v>214.28571428571428</v>
      </c>
      <c r="E246" s="50">
        <f t="shared" si="4"/>
        <v>5.0701967768931034E-5</v>
      </c>
      <c r="F246" s="51"/>
    </row>
    <row r="247" spans="1:6" ht="15.75" customHeight="1" x14ac:dyDescent="0.25">
      <c r="A247" t="s">
        <v>665</v>
      </c>
      <c r="B247" t="s">
        <v>664</v>
      </c>
      <c r="C247">
        <v>911493</v>
      </c>
      <c r="D247" s="24">
        <f t="shared" si="0"/>
        <v>651.06642857142856</v>
      </c>
      <c r="E247" s="50">
        <f t="shared" si="4"/>
        <v>1.5404829569202086E-4</v>
      </c>
      <c r="F247" s="51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24">
        <f t="shared" si="0"/>
        <v>6706.8571428571431</v>
      </c>
      <c r="E248" s="50">
        <f t="shared" si="4"/>
        <v>1.5869039885438496E-3</v>
      </c>
      <c r="F248" s="51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24">
        <f t="shared" ref="D249:D264" si="5">IFERROR(C249/$D$3,0)</f>
        <v>9158.2598928571424</v>
      </c>
      <c r="E249" s="50">
        <f t="shared" si="4"/>
        <v>2.1669283902333043E-3</v>
      </c>
      <c r="F249" s="51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24">
        <f t="shared" si="5"/>
        <v>2731.9380000000001</v>
      </c>
      <c r="E250" s="50">
        <f t="shared" si="4"/>
        <v>6.4640161797268367E-4</v>
      </c>
      <c r="F250" s="51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24">
        <f t="shared" si="5"/>
        <v>-256.23753571428568</v>
      </c>
      <c r="E251" s="50">
        <f t="shared" si="4"/>
        <v>-6.0628153959221466E-5</v>
      </c>
      <c r="F251" s="51"/>
    </row>
    <row r="252" spans="1:6" ht="15.75" customHeight="1" x14ac:dyDescent="0.25">
      <c r="A252" t="s">
        <v>675</v>
      </c>
      <c r="B252" t="s">
        <v>674</v>
      </c>
      <c r="C252">
        <v>580000</v>
      </c>
      <c r="D252" s="24">
        <f t="shared" si="5"/>
        <v>414.28571428571428</v>
      </c>
      <c r="E252" s="50">
        <f t="shared" si="4"/>
        <v>9.802380435326667E-5</v>
      </c>
      <c r="F252" s="51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24">
        <f t="shared" si="5"/>
        <v>896.97991428571424</v>
      </c>
      <c r="E253" s="50">
        <f t="shared" si="4"/>
        <v>2.1223368461629975E-4</v>
      </c>
      <c r="F253" s="51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24">
        <f t="shared" si="5"/>
        <v>67140.589792857136</v>
      </c>
      <c r="E254" s="50">
        <f t="shared" si="4"/>
        <v>1.5886080091767493E-2</v>
      </c>
      <c r="F254" s="51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24">
        <f t="shared" si="5"/>
        <v>562.5881571428572</v>
      </c>
      <c r="E255" s="50">
        <f t="shared" si="4"/>
        <v>1.3311352418298413E-4</v>
      </c>
      <c r="F255" s="51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24">
        <f t="shared" si="5"/>
        <v>23725.426285714286</v>
      </c>
      <c r="E256" s="50">
        <f t="shared" si="4"/>
        <v>5.6136537279313633E-3</v>
      </c>
      <c r="F256" s="51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24">
        <f t="shared" si="5"/>
        <v>23000.852285714285</v>
      </c>
      <c r="E257" s="50">
        <f t="shared" si="4"/>
        <v>5.4422128658250706E-3</v>
      </c>
      <c r="F257" s="51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24">
        <f t="shared" si="5"/>
        <v>12810.473257142856</v>
      </c>
      <c r="E258" s="50">
        <f t="shared" si="4"/>
        <v>3.0310756102125804E-3</v>
      </c>
      <c r="F258" s="51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24">
        <f t="shared" si="5"/>
        <v>7444.466678571428</v>
      </c>
      <c r="E259" s="50">
        <f t="shared" si="4"/>
        <v>1.7614291781044449E-3</v>
      </c>
      <c r="F259" s="51"/>
    </row>
    <row r="260" spans="1:6" ht="15.75" customHeight="1" x14ac:dyDescent="0.25">
      <c r="A260" t="s">
        <v>691</v>
      </c>
      <c r="B260" t="s">
        <v>690</v>
      </c>
      <c r="C260">
        <v>144474</v>
      </c>
      <c r="D260" s="24">
        <f t="shared" si="5"/>
        <v>103.19571428571429</v>
      </c>
      <c r="E260" s="50">
        <f t="shared" si="4"/>
        <v>2.4417053638161807E-5</v>
      </c>
      <c r="F260" s="51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24">
        <f t="shared" si="5"/>
        <v>4924.3648785714286</v>
      </c>
      <c r="E261" s="50">
        <f t="shared" si="4"/>
        <v>1.1651499503269947E-3</v>
      </c>
      <c r="F261" s="51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24">
        <f t="shared" si="5"/>
        <v>1060.8</v>
      </c>
      <c r="E262" s="50">
        <f t="shared" si="4"/>
        <v>2.5099502124331619E-4</v>
      </c>
      <c r="F262" s="51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24">
        <f t="shared" si="5"/>
        <v>1201996.0137714285</v>
      </c>
      <c r="E263" s="50">
        <f t="shared" si="4"/>
        <v>0.28440329469357195</v>
      </c>
      <c r="F263" s="51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24">
        <f t="shared" si="5"/>
        <v>1622.549957142857</v>
      </c>
      <c r="E264" s="50">
        <f t="shared" si="4"/>
        <v>3.8391021960917536E-4</v>
      </c>
      <c r="F264" s="51"/>
    </row>
    <row r="265" spans="1:6" ht="18" customHeight="1" x14ac:dyDescent="0.25">
      <c r="A265" s="41" t="s">
        <v>166</v>
      </c>
      <c r="B265" s="42"/>
      <c r="C265" s="43">
        <f>SUM(C5:C264)</f>
        <v>5916930115.3599977</v>
      </c>
      <c r="D265" s="43">
        <f t="shared" si="0"/>
        <v>4226378.6538285697</v>
      </c>
      <c r="E265" s="53">
        <v>1</v>
      </c>
      <c r="F265" s="42"/>
    </row>
    <row r="267" spans="1:6" ht="15" customHeight="1" x14ac:dyDescent="0.25">
      <c r="A267" s="79" t="s">
        <v>167</v>
      </c>
      <c r="B267" s="79"/>
      <c r="C267" s="79"/>
      <c r="D267" s="79"/>
      <c r="E267" s="79"/>
      <c r="F267" s="79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78" t="s">
        <v>169</v>
      </c>
      <c r="B2" s="78"/>
      <c r="C2" s="78"/>
      <c r="D2" s="78"/>
      <c r="E2" s="78"/>
      <c r="F2" s="78"/>
      <c r="G2" s="78"/>
      <c r="H2" s="78"/>
      <c r="I2" s="78"/>
      <c r="J2" s="78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124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140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102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70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21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28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35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98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112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176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-46157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-46157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-46157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-46157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-46157</v>
      </c>
      <c r="J20" s="44"/>
    </row>
    <row r="22" spans="1:10" x14ac:dyDescent="0.25">
      <c r="A22" s="79" t="s">
        <v>180</v>
      </c>
      <c r="B22" s="79"/>
      <c r="C22" s="79"/>
      <c r="D22" s="79"/>
      <c r="E22" s="79"/>
      <c r="F22" s="79"/>
      <c r="G22" s="79"/>
      <c r="H22" s="79"/>
      <c r="I22" s="79"/>
      <c r="J22" s="79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2026-05-15T18:16:13Z</dcterms:modified>
  <dc:language>en-US</dc:language>
</cp:coreProperties>
</file>