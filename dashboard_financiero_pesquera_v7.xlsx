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4EDEAF30-DC90-416D-BF7D-AB0B88BAA2F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89" i="2" l="1"/>
  <c r="AI89" i="2"/>
  <c r="AH89" i="2"/>
  <c r="AG89" i="2"/>
  <c r="Z89" i="2"/>
  <c r="H89" i="2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87" i="6" l="1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<sst xmlns="http://schemas.openxmlformats.org/spreadsheetml/2006/main" count="1900" uniqueCount="720">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</sst>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  <cell r="CK10">
            <v>850726335</v>
          </cell>
        </row>
        <row r="13">
          <cell r="CJ13">
            <v>78949000</v>
          </cell>
          <cell r="CK13">
            <v>55135000</v>
          </cell>
        </row>
        <row r="14">
          <cell r="CJ14">
            <v>5783000</v>
          </cell>
          <cell r="CK14">
            <v>6687413</v>
          </cell>
        </row>
        <row r="15">
          <cell r="CJ15">
            <v>2000000</v>
          </cell>
          <cell r="CK15">
            <v>2000000</v>
          </cell>
        </row>
        <row r="16">
          <cell r="CJ16">
            <v>45656000</v>
          </cell>
          <cell r="CK16">
            <v>35083000</v>
          </cell>
        </row>
        <row r="22">
          <cell r="CJ22">
            <v>1740123570</v>
          </cell>
          <cell r="CK22">
            <v>1726830070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</row>
        <row r="43">
          <cell r="CJ43">
            <v>458483114</v>
          </cell>
          <cell r="CK43">
            <v>661233493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</row>
        <row r="51">
          <cell r="CJ51">
            <v>6873443</v>
          </cell>
          <cell r="CK51">
            <v>10840885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</row>
        <row r="101">
          <cell r="CJ101">
            <v>990744710</v>
          </cell>
          <cell r="CK101">
            <v>771360669</v>
          </cell>
        </row>
        <row r="102">
          <cell r="CJ102">
            <v>6063777655</v>
          </cell>
          <cell r="CK102">
            <v>5851473775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72" activePane="bottomLeft" state="frozen"/>
      <selection activeCell="A3" sqref="A3"/>
      <selection pane="bottomLeft" activeCell="E97" sqref="E97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69" t="s">
        <v>57</v>
      </c>
      <c r="D2" s="69"/>
      <c r="E2" s="69"/>
      <c r="F2" s="69"/>
      <c r="G2" s="69"/>
      <c r="H2" s="69"/>
      <c r="I2" s="69"/>
      <c r="J2" s="70" t="s">
        <v>58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1" t="s">
        <v>59</v>
      </c>
      <c r="X2" s="71"/>
      <c r="Y2" s="71"/>
      <c r="Z2" s="71"/>
      <c r="AA2" s="71"/>
      <c r="AB2" s="71"/>
      <c r="AC2" s="71"/>
      <c r="AD2" s="71"/>
      <c r="AE2" s="71"/>
      <c r="AF2" s="1"/>
      <c r="AG2" s="72"/>
      <c r="AH2" s="72"/>
      <c r="AI2" s="72"/>
      <c r="AJ2" s="7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/>
      <c r="B90" s="17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8"/>
      <c r="AB90" s="18"/>
      <c r="AC90" s="18"/>
      <c r="AD90" s="18"/>
      <c r="AE90" s="18"/>
      <c r="AF90" s="15"/>
      <c r="AG90" s="15"/>
      <c r="AH90" s="15"/>
      <c r="AI90" s="15"/>
      <c r="AJ90" s="15"/>
      <c r="AK90" s="16"/>
    </row>
    <row r="91" spans="1:37" ht="15.75" customHeight="1" x14ac:dyDescent="0.25">
      <c r="A91" s="13"/>
      <c r="B91" s="17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8"/>
      <c r="AB91" s="18"/>
      <c r="AC91" s="18"/>
      <c r="AD91" s="18"/>
      <c r="AE91" s="18"/>
      <c r="AF91" s="15"/>
      <c r="AG91" s="15"/>
      <c r="AH91" s="15"/>
      <c r="AI91" s="15"/>
      <c r="AJ91" s="15"/>
      <c r="AK91" s="16"/>
    </row>
    <row r="92" spans="1:37" ht="15.75" customHeight="1" x14ac:dyDescent="0.25">
      <c r="A92" s="13"/>
      <c r="B92" s="17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8"/>
      <c r="AB92" s="18"/>
      <c r="AC92" s="18"/>
      <c r="AD92" s="18"/>
      <c r="AE92" s="18"/>
      <c r="AF92" s="15"/>
      <c r="AG92" s="15"/>
      <c r="AH92" s="15"/>
      <c r="AI92" s="15"/>
      <c r="AJ92" s="15"/>
      <c r="AK92" s="16"/>
    </row>
    <row r="93" spans="1:37" ht="15.75" customHeight="1" x14ac:dyDescent="0.25">
      <c r="A93" s="13"/>
      <c r="B93" s="17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8"/>
      <c r="AB93" s="18"/>
      <c r="AC93" s="18"/>
      <c r="AD93" s="18"/>
      <c r="AE93" s="18"/>
      <c r="AF93" s="15"/>
      <c r="AG93" s="15"/>
      <c r="AH93" s="15"/>
      <c r="AI93" s="15"/>
      <c r="AJ93" s="15"/>
      <c r="AK93" s="16"/>
    </row>
    <row r="94" spans="1:37" ht="15.75" customHeight="1" x14ac:dyDescent="0.25">
      <c r="A94" s="13"/>
      <c r="B94" s="17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8"/>
      <c r="AB94" s="18"/>
      <c r="AC94" s="18"/>
      <c r="AD94" s="18"/>
      <c r="AE94" s="18"/>
      <c r="AF94" s="15"/>
      <c r="AG94" s="15"/>
      <c r="AH94" s="15"/>
      <c r="AI94" s="15"/>
      <c r="AJ94" s="15"/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12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6" t="s">
        <v>122</v>
      </c>
      <c r="B2" s="76"/>
      <c r="C2" s="76"/>
      <c r="D2" s="76"/>
      <c r="E2" s="76"/>
      <c r="F2" s="76"/>
      <c r="G2" s="76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8" activePane="bottomRight" state="frozen"/>
      <selection pane="topRight" activeCell="B1" sqref="B1"/>
      <selection pane="bottomLeft" activeCell="A4" sqref="A4"/>
      <selection pane="bottomRight" sqref="A1:H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7" t="s">
        <v>139</v>
      </c>
      <c r="B2" s="77"/>
      <c r="C2" s="77"/>
      <c r="D2" s="77"/>
      <c r="E2" s="77"/>
      <c r="F2" s="77"/>
      <c r="G2" s="77"/>
      <c r="H2" s="77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 t="str">
        <f>IF(CARGA_DIARIA!A90="","",CARGA_DIARIA!A90)</f>
        <v/>
      </c>
      <c r="B90" s="34" t="str">
        <f>IF(CARGA_DIARIA!A90="","",CARGA_DIARIA!B90)</f>
        <v/>
      </c>
      <c r="C90" s="35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6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6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9" t="s">
        <v>146</v>
      </c>
      <c r="G90" s="39" t="s">
        <v>146</v>
      </c>
      <c r="H90" s="38" t="str">
        <f>IF(CARGA_DIARIA!A90="","",C90-D90-E90)</f>
        <v/>
      </c>
    </row>
    <row r="91" spans="1:8" ht="15.75" customHeight="1" x14ac:dyDescent="0.25">
      <c r="A91" s="33" t="str">
        <f>IF(CARGA_DIARIA!A91="","",CARGA_DIARIA!A91)</f>
        <v/>
      </c>
      <c r="B91" s="34" t="str">
        <f>IF(CARGA_DIARIA!A91="","",CARGA_DIARIA!B91)</f>
        <v/>
      </c>
      <c r="C91" s="35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6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6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9" t="s">
        <v>146</v>
      </c>
      <c r="G91" s="39" t="s">
        <v>146</v>
      </c>
      <c r="H91" s="38" t="str">
        <f>IF(CARGA_DIARIA!A91="","",C91-D91-E91)</f>
        <v/>
      </c>
    </row>
    <row r="92" spans="1:8" ht="15.75" customHeight="1" x14ac:dyDescent="0.25">
      <c r="A92" s="33" t="str">
        <f>IF(CARGA_DIARIA!A92="","",CARGA_DIARIA!A92)</f>
        <v/>
      </c>
      <c r="B92" s="34" t="str">
        <f>IF(CARGA_DIARIA!A92="","",CARGA_DIARIA!B92)</f>
        <v/>
      </c>
      <c r="C92" s="35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6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6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9" t="s">
        <v>146</v>
      </c>
      <c r="G92" s="39" t="s">
        <v>146</v>
      </c>
      <c r="H92" s="38" t="str">
        <f>IF(CARGA_DIARIA!A92="","",C92-D92-E92)</f>
        <v/>
      </c>
    </row>
    <row r="93" spans="1:8" ht="15.75" customHeight="1" x14ac:dyDescent="0.25">
      <c r="A93" s="33" t="str">
        <f>IF(CARGA_DIARIA!A93="","",CARGA_DIARIA!A93)</f>
        <v/>
      </c>
      <c r="B93" s="34" t="str">
        <f>IF(CARGA_DIARIA!A93="","",CARGA_DIARIA!B93)</f>
        <v/>
      </c>
      <c r="C93" s="35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6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6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9" t="s">
        <v>146</v>
      </c>
      <c r="G93" s="39" t="s">
        <v>146</v>
      </c>
      <c r="H93" s="38" t="str">
        <f>IF(CARGA_DIARIA!A93="","",C93-D93-E93)</f>
        <v/>
      </c>
    </row>
    <row r="94" spans="1:8" ht="15.75" customHeight="1" x14ac:dyDescent="0.25">
      <c r="A94" s="33" t="str">
        <f>IF(CARGA_DIARIA!A94="","",CARGA_DIARIA!A94)</f>
        <v/>
      </c>
      <c r="B94" s="34" t="str">
        <f>IF(CARGA_DIARIA!A94="","",CARGA_DIARIA!B94)</f>
        <v/>
      </c>
      <c r="C94" s="35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6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6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9" t="s">
        <v>146</v>
      </c>
      <c r="G94" s="39" t="s">
        <v>146</v>
      </c>
      <c r="H94" s="38" t="str">
        <f>IF(CARGA_DIARIA!A94="","",C94-D94-E94)</f>
        <v/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121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137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99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67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18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25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32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95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109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173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-46160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-46160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-46160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-46160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-46160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2026-05-18T18:23:43Z</dcterms:modified>
  <dc:language>en-US</dc:language>
</cp:coreProperties>
</file>