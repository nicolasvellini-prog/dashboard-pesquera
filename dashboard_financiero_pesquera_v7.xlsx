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ADD4E510-5B64-4746-BD8A-0454591D980A}" xr6:coauthVersionLast="47" xr6:coauthVersionMax="47" xr10:uidLastSave="{00000000-0000-0000-0000-000000000000}"/>
  <bookViews>
    <workbookView xWindow="-120" yWindow="-120" windowWidth="29040" windowHeight="15720" tabRatio="500" firstSheet="3" activeTab="8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9" l="1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G14" i="9" l="1"/>
  <c r="Z100" i="2"/>
  <c r="Z101" i="2" s="1"/>
  <c r="Z102" i="2" s="1"/>
  <c r="Z103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14" i="9" l="1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3" i="6" l="1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<sst xmlns="http://schemas.openxmlformats.org/spreadsheetml/2006/main" count="3509" uniqueCount="1156">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</sst>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167" fontId="7" fillId="2" borderId="1" xfId="0" applyNumberFormat="1" applyFont="1" applyFill="1" applyBorder="1" applyAlignment="1">
      <alignment horizontal="right" vertical="center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R3" zoomScaleNormal="100" workbookViewId="0">
      <pane ySplit="1" topLeftCell="A85" activePane="bottomLeft" state="frozen"/>
      <selection activeCell="A3" sqref="A3"/>
      <selection pane="bottomLeft" activeCell="AJ104" sqref="AJ10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 t="shared" ref="AB99:AE100" si="7">+AB98</f>
        <v>1028533.4021649999</v>
      </c>
      <c r="AC99" s="65">
        <f t="shared" si="7"/>
        <v>10000000</v>
      </c>
      <c r="AD99" s="65">
        <f t="shared" si="7"/>
        <v>220000</v>
      </c>
      <c r="AE99" s="65">
        <f t="shared" si="7"/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5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>+Z99</f>
        <v>191016771.98655012</v>
      </c>
      <c r="AA100" s="65">
        <f>+'[1]CF Dia V1'!$CW$102</f>
        <v>4472804706</v>
      </c>
      <c r="AB100" s="65">
        <f t="shared" si="7"/>
        <v>1028533.4021649999</v>
      </c>
      <c r="AC100" s="65">
        <f t="shared" si="7"/>
        <v>10000000</v>
      </c>
      <c r="AD100" s="65">
        <f t="shared" si="7"/>
        <v>220000</v>
      </c>
      <c r="AE100" s="65">
        <f t="shared" si="7"/>
        <v>280000</v>
      </c>
      <c r="AF100" s="65">
        <f>+'[1]CF Dia V1'!$CW$97</f>
        <v>12799702.291499998</v>
      </c>
      <c r="AG100" s="65">
        <f>+AG99</f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5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>+Z100</f>
        <v>191016771.98655012</v>
      </c>
      <c r="AA101" s="65">
        <f>+'[1]CF Dia V1'!$CX$102</f>
        <v>4799416274</v>
      </c>
      <c r="AB101" s="65">
        <f t="shared" ref="AB101:AE102" si="8">+AB100</f>
        <v>1028533.4021649999</v>
      </c>
      <c r="AC101" s="65">
        <f t="shared" si="8"/>
        <v>10000000</v>
      </c>
      <c r="AD101" s="65">
        <f t="shared" si="8"/>
        <v>220000</v>
      </c>
      <c r="AE101" s="65">
        <f t="shared" si="8"/>
        <v>280000</v>
      </c>
      <c r="AF101" s="65">
        <f>+'[1]CF Dia V1'!$CX$97</f>
        <v>13832646.739500001</v>
      </c>
      <c r="AG101" s="65">
        <f>+AG100</f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5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>+Z101</f>
        <v>191016771.98655012</v>
      </c>
      <c r="AA102" s="65">
        <f>+'[1]CF Dia V1'!$CY$102</f>
        <v>4744842059</v>
      </c>
      <c r="AB102" s="65">
        <f t="shared" si="8"/>
        <v>1028533.4021649999</v>
      </c>
      <c r="AC102" s="65">
        <f t="shared" si="8"/>
        <v>10000000</v>
      </c>
      <c r="AD102" s="65">
        <f t="shared" si="8"/>
        <v>220000</v>
      </c>
      <c r="AE102" s="65">
        <f t="shared" si="8"/>
        <v>280000</v>
      </c>
      <c r="AF102" s="65">
        <f>+'[1]CF Dia V1'!$CY$97</f>
        <v>14177312.419500001</v>
      </c>
      <c r="AG102" s="65">
        <f>+AG101</f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5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>+Z102</f>
        <v>191016771.98655012</v>
      </c>
      <c r="AA103" s="65">
        <f>+'[1]CF Dia V1'!$CZ$102</f>
        <v>5023890065</v>
      </c>
      <c r="AB103" s="65">
        <v>1202455.9875649996</v>
      </c>
      <c r="AC103" s="65">
        <f>+AC102</f>
        <v>10000000</v>
      </c>
      <c r="AD103" s="65">
        <f>+AD102</f>
        <v>220000</v>
      </c>
      <c r="AE103" s="65">
        <f>+AE102</f>
        <v>280000</v>
      </c>
      <c r="AF103" s="65">
        <f>+'[1]CF Dia V1'!$CZ$97</f>
        <v>15757126.767000001</v>
      </c>
      <c r="AG103" s="65">
        <f>+AG102</f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9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9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9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9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9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9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9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9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9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9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9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9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9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9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9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9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9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9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9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9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9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9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9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9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9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9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9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9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9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9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9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9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9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69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69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69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69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69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69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69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69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69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69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69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69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69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69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69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69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69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69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69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69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69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69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69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69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69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69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69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69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69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69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69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69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69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69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69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69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69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69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69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69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69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69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69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69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69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69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69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69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69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69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69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69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69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69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69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69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69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69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69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69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69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69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69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69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69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69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69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69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69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69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69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69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69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69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69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69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69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69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69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69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69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69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69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69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69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69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69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69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69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69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69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69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69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69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69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69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69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69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69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69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69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69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69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69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69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69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69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69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69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69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69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69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69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69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69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69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69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69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69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69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69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69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69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69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69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69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69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69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69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69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69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69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69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69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69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69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69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69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69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69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69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69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69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69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69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69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69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69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69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69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69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69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69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69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69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69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69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69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69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69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69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69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69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69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69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69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69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69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69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69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69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69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69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69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69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69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69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69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69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69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69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69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69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69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69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69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69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69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81" t="s">
        <v>167</v>
      </c>
      <c r="B268" s="81"/>
      <c r="C268" s="81"/>
      <c r="D268" s="81"/>
      <c r="E268" s="81"/>
      <c r="F268" s="81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tabSelected="1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100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116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78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46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45860</v>
      </c>
      <c r="E9" s="13">
        <v>46185</v>
      </c>
      <c r="F9" s="56">
        <f t="shared" si="0"/>
        <v>325</v>
      </c>
      <c r="G9" s="57">
        <f t="shared" si="1"/>
        <v>28938.35616438356</v>
      </c>
      <c r="H9" s="58">
        <f t="shared" si="2"/>
        <v>1028938.3561643836</v>
      </c>
      <c r="I9" s="59">
        <f t="shared" ca="1" si="3"/>
        <v>4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46192</v>
      </c>
      <c r="F10" s="56">
        <f t="shared" si="0"/>
        <v>332</v>
      </c>
      <c r="G10" s="57">
        <f t="shared" si="1"/>
        <v>29561.643835616436</v>
      </c>
      <c r="H10" s="58">
        <f t="shared" si="2"/>
        <v>1029561.6438356164</v>
      </c>
      <c r="I10" s="59">
        <f t="shared" ca="1" si="3"/>
        <v>11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0.04</v>
      </c>
      <c r="D11" s="13">
        <v>46136</v>
      </c>
      <c r="E11" s="13">
        <v>46255</v>
      </c>
      <c r="F11" s="56">
        <f t="shared" si="0"/>
        <v>119</v>
      </c>
      <c r="G11" s="57">
        <f t="shared" si="1"/>
        <v>13041.095890410959</v>
      </c>
      <c r="H11" s="58">
        <f t="shared" si="2"/>
        <v>1013041.0958904109</v>
      </c>
      <c r="I11" s="59">
        <f t="shared" ca="1" si="3"/>
        <v>74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3.9E-2</v>
      </c>
      <c r="D12" s="13">
        <v>46090</v>
      </c>
      <c r="E12" s="13">
        <v>46269</v>
      </c>
      <c r="F12" s="56">
        <f t="shared" si="0"/>
        <v>179</v>
      </c>
      <c r="G12" s="57">
        <f t="shared" si="1"/>
        <v>19126.027397260274</v>
      </c>
      <c r="H12" s="58">
        <f t="shared" si="2"/>
        <v>1019126.0273972603</v>
      </c>
      <c r="I12" s="59">
        <f t="shared" ca="1" si="3"/>
        <v>88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46153</v>
      </c>
      <c r="E13" s="13">
        <v>46333</v>
      </c>
      <c r="F13" s="56">
        <f t="shared" si="0"/>
        <v>180</v>
      </c>
      <c r="G13" s="57">
        <f t="shared" si="1"/>
        <v>19232.876712328769</v>
      </c>
      <c r="H13" s="58">
        <f t="shared" si="2"/>
        <v>1019232.8767123288</v>
      </c>
      <c r="I13" s="59">
        <f t="shared" ca="1" si="3"/>
        <v>152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3.2300000000000002E-2</v>
      </c>
      <c r="D14" s="13">
        <v>46178</v>
      </c>
      <c r="E14" s="13">
        <v>46358</v>
      </c>
      <c r="F14" s="56">
        <f t="shared" si="0"/>
        <v>180</v>
      </c>
      <c r="G14" s="57">
        <f t="shared" si="1"/>
        <v>15928.767123287671</v>
      </c>
      <c r="H14" s="58">
        <f t="shared" si="2"/>
        <v>1015928.7671232877</v>
      </c>
      <c r="I14" s="59">
        <f t="shared" ca="1" si="3"/>
        <v>177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221009.58904109587</v>
      </c>
      <c r="H15" s="60">
        <f>SUM(H5:H14)</f>
        <v>10221009.589041095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-46181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-46181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-46181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-46181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-46181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2026-06-08T15:19:21Z</dcterms:modified>
  <dc:language>en-US</dc:language>
</cp:coreProperties>
</file>