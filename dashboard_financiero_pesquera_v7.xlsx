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0F7E6CA-0521-4AA6-A9D7-09F6754BBE4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0" i="2" l="1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E318" i="8"/>
  <c r="E319" i="8"/>
  <c r="E320" i="8"/>
  <c r="E321" i="8"/>
  <c r="E322" i="8"/>
  <c r="E323" i="8"/>
  <c r="D324" i="8"/>
  <c r="D318" i="8"/>
  <c r="D319" i="8"/>
  <c r="D320" i="8"/>
  <c r="D321" i="8"/>
  <c r="D322" i="8"/>
  <c r="D323" i="8"/>
  <c r="C32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D162" i="8" s="1"/>
  <c r="C163" i="8"/>
  <c r="D163" i="8" s="1"/>
  <c r="C164" i="8"/>
  <c r="D164" i="8" s="1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D294" i="8" s="1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C319" i="8"/>
  <c r="C320" i="8"/>
  <c r="C321" i="8"/>
  <c r="C322" i="8"/>
  <c r="C323" i="8"/>
  <c r="C5" i="8"/>
  <c r="A320" i="8"/>
  <c r="A321" i="8"/>
  <c r="A322" i="8"/>
  <c r="A323" i="8"/>
  <c r="A318" i="8"/>
  <c r="A319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5" i="8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14" i="8" l="1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0" i="6" l="1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4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<sst xmlns="http://schemas.openxmlformats.org/spreadsheetml/2006/main" count="4268" uniqueCount="1186">
  <si>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</si>
  <si>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</si>
  <si>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</si>
  <si>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</si>
  <si>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</si>
  <si>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</si>
  <si>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</si>
  <si>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</si>
  <si>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</si>
  <si>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</si>
  <si>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</si>
  <si>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</si>
  <si>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</si>
  <si>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</si>
  <si>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</si>
  <si>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</si>
  <si>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</si>
  <si>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</si>
  <si>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</si>
  <si>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</si>
  <si>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</si>
  <si>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</si>
  <si>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</si>
  <si>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</si>
  <si>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</si>
  <si>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</si>
  <si>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</si>
  <si>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</si>
  <si>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</si>
  <si>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</si>
  <si>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</si>
  <si>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</si>
  <si>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</si>
  <si>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</si>
  <si>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</si>
  <si>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</si>
  <si>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</si>
  <si>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</si>
  <si>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</si>
  <si>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</si>
  <si>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</si>
  <si>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</si>
  <si>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</si>
  <si>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</si>
  <si>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</si>
  <si>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</si>
  <si>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</si>
  <si>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</si>
  <si>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</si>
  <si>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</si>
  <si>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</si>
  <si>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</si>
  <si>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</si>
  <si>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</si>
  <si>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</si>
  <si>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</si>
  <si>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</si>
  <si>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</si>
  <si>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</si>
  <si>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</si>
  <si>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</si>
  <si>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</si>
  <si>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</si>
  <si>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</si>
  <si>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</si>
  <si>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</si>
  <si>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</si>
  <si>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</si>
  <si>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</si>
  <si>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</si>
  <si>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</si>
  <si>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</si>
  <si>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</si>
  <si>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</si>
  <si>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</si>
  <si>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</si>
  <si>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</si>
  <si>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</si>
  <si>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</si>
  <si>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</si>
  <si>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</si>
  <si>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</si>
  <si>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</si>
  <si>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</si>
  <si>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</si>
  <si>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</si>
  <si>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</si>
  <si>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</si>
  <si>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</si>
  <si>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</si>
  <si>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</si>
  <si>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</si>
  <si>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</si>
  <si>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</si>
  <si>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</si>
  <si>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</si>
  <si>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</si>
  <si>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</si>
  <si>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</si>
  <si>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</si>
  <si>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</si>
  <si>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</si>
  <si>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</si>
  <si>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</si>
  <si>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</si>
  <si>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</si>
  <si>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</si>
  <si>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</si>
  <si>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</si>
  <si>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</si>
  <si>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</si>
  <si>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</si>
  <si>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</si>
  <si>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</si>
  <si>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</si>
  <si>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</si>
  <si>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</si>
  <si>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</si>
  <si>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</si>
  <si>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</si>
  <si>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</si>
  <si>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</si>
  <si>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</si>
  <si>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</si>
  <si>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</si>
  <si>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</si>
  <si>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</si>
  <si>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</si>
  <si>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</si>
  <si>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</si>
  <si>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</si>
  <si>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</si>
  <si>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</si>
  <si>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</si>
  <si>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</si>
  <si>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</si>
  <si>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</si>
  <si>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</si>
  <si>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</si>
  <si>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</si>
  <si>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</si>
  <si>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</si>
  <si>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</si>
  <si>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</si>
  <si>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</si>
  <si>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</si>
  <si>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</si>
  <si>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</si>
  <si>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</si>
  <si>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</si>
  <si>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</si>
  <si>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</si>
  <si>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</si>
  <si>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</si>
  <si>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</si>
  <si>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</si>
  <si>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</si>
  <si>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</si>
  <si>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</si>
  <si>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</si>
  <si>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</si>
  <si>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</si>
  <si>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</si>
  <si>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</si>
  <si>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</si>
  <si>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</si>
  <si>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</si>
  <si>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</si>
  <si>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</si>
  <si>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</si>
  <si>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</si>
  <si>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</si>
  <si>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</si>
  <si>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</si>
  <si>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</si>
  <si>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</si>
  <si>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</si>
  <si>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</si>
  <si>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</si>
  <si>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</si>
  <si>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</si>
  <si>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</si>
  <si>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</si>
  <si>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</si>
  <si>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</si>
  <si>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</si>
  <si>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</si>
  <si>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</si>
  <si>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</si>
  <si>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</si>
  <si>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</si>
  <si>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</si>
  <si>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</si>
  <si>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</si>
  <si>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</si>
  <si>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</si>
  <si>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</si>
  <si>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</si>
  <si>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</si>
  <si>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</si>
  <si>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</si>
  <si>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</si>
  <si>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</si>
  <si>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</si>
  <si>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</si>
  <si>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</si>
  <si>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</si>
  <si>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</si>
  <si>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</si>
  <si>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</si>
  <si>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</si>
  <si>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</si>
  <si>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</si>
  <si>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</si>
  <si>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</si>
  <si>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</si>
  <si>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</si>
  <si>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</si>
  <si>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</si>
  <si>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</si>
  <si>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</si>
  <si>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</si>
  <si>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</si>
  <si>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</si>
  <si>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</si>
  <si>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</si>
  <si>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</si>
  <si>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</si>
  <si>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</si>
  <si>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</si>
  <si>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</si>
  <si>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</si>
  <si>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</si>
  <si>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</si>
  <si>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</si>
  <si>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</si>
  <si>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</si>
  <si>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</si>
  <si>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</si>
  <si>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</si>
  <si>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</si>
  <si>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</si>
  <si>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</si>
  <si>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</si>
  <si>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</si>
  <si>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</si>
  <si>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</si>
  <si>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</si>
  <si>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</si>
  <si>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</si>
  <si>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</si>
  <si>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</si>
  <si>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</si>
  <si>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</si>
  <si>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</si>
  <si>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</si>
  <si>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</si>
  <si>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</si>
  <si>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</si>
  <si>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</si>
  <si>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</si>
  <si>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</si>
  <si>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</si>
  <si>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</si>
  <si>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</si>
  <si>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</si>
  <si>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</si>
  <si>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</si>
  <si>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</si>
  <si>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</si>
  <si>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</si>
  <si>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</si>
  <si>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</si>
  <si>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</si>
  <si>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</si>
  <si>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</si>
  <si>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</si>
  <si>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</si>
  <si>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</si>
  <si>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</si>
  <si>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</si>
  <si>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</si>
  <si>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</si>
  <si>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</si>
  <si>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</si>
  <si>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</si>
  <si>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</si>
  <si>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</si>
  <si>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</si>
  <si>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</si>
  <si>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</si>
  <si>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</si>
  <si>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</si>
  <si>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</si>
  <si>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</si>
  <si>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</si>
  <si>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</si>
  <si>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</si>
  <si>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</si>
  <si>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</si>
  <si>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</si>
  <si>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</si>
  <si>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</si>
  <si>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</si>
  <si>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</si>
  <si>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</si>
  <si>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</si>
  <si>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</si>
  <si>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</si>
  <si>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</si>
  <si>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</si>
  <si>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</si>
  <si>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</si>
  <si>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</si>
  <si>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</si>
  <si>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</si>
  <si>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</si>
  <si>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</si>
  <si>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</si>
  <si>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</si>
  <si>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</si>
  <si>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</si>
  <si>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</si>
  <si>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</si>
  <si>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</si>
  <si>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</si>
  <si>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</si>
  <si>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</si>
  <si>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</si>
  <si>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</si>
  <si>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</si>
  <si>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</si>
  <si>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</si>
  <si>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</si>
  <si>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</si>
  <si>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</si>
  <si>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</si>
  <si>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</si>
  <si>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</si>
  <si>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</si>
  <si>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</si>
  <si>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</si>
  <si>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</si>
  <si>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</si>
  <si>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</si>
  <si>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</si>
  <si>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</si>
  <si>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</si>
  <si>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</si>
  <si>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</si>
  <si>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</si>
  <si>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</si>
  <si>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</si>
  <si>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</si>
  <si>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</si>
  <si>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</si>
  <si>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</si>
  <si>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</si>
  <si>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</si>
  <si>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</si>
  <si>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</si>
  <si>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</si>
  <si>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</si>
  <si>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</si>
  <si>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</si>
  <si>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</si>
  <si>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</si>
  <si>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</si>
  <si>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</si>
  <si>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</si>
  <si>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</si>
  <si>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</si>
  <si>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</si>
  <si>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</si>
  <si>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</si>
  <si>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</si>
  <si>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</si>
  <si>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</si>
  <si>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</si>
  <si>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</si>
  <si>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</si>
  <si>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</si>
  <si>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</si>
  <si>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</si>
  <si>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</si>
  <si>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</si>
  <si>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</si>
  <si>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</si>
  <si>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</si>
  <si>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</si>
  <si>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</si>
  <si>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</si>
  <si>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</si>
  <si>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</si>
  <si>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</si>
  <si>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</si>
  <si>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</si>
  <si>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</si>
  <si>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</si>
  <si>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</si>
  <si>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</si>
  <si>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</si>
  <si>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</si>
  <si>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</si>
  <si>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</si>
  <si>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</si>
  <si>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</si>
  <si>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</si>
  <si>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</si>
  <si>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</si>
  <si>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</si>
  <si>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</si>
  <si>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</si>
  <si>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</si>
  <si>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</si>
  <si>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</si>
  <si>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</si>
  <si>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</si>
  <si>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</si>
  <si>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</si>
  <si>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</si>
  <si>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</si>
  <si>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</si>
  <si>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</si>
  <si>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</si>
  <si>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</si>
  <si>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</si>
  <si>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</si>
  <si>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</si>
  <si>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</si>
  <si>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</si>
  <si>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</si>
  <si>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</si>
  <si>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</si>
  <si>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</si>
  <si>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</si>
  <si>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</si>
  <si>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</si>
  <si>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</si>
  <si>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</si>
  <si>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</si>
  <si>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</si>
  <si>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</si>
  <si>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</si>
  <si>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</si>
  <si>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</si>
  <si>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</si>
  <si>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</si>
  <si>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</si>
  <si>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</si>
  <si>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</si>
  <si>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</si>
  <si>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</si>
  <si>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</si>
  <si>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</si>
  <si>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</si>
  <si>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</si>
  <si>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</si>
  <si>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</si>
  <si>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</si>
  <si>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</si>
  <si>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</si>
  <si>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</si>
  <si>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</si>
  <si>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</si>
  <si>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</si>
  <si>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</si>
  <si>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</si>
  <si>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</si>
  <si>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</si>
  <si>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</si>
  <si>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</si>
  <si>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</si>
  <si>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</si>
  <si>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</si>
  <si>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</si>
  <si>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</si>
  <si>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</si>
  <si>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</si>
  <si>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</si>
  <si>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</si>
  <si>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</si>
  <si>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</si>
  <si>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</si>
  <si>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</si>
  <si>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</si>
  <si>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</si>
  <si>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</si>
  <si>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</si>
  <si>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</si>
  <si>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</si>
  <si>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</si>
  <si>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</si>
  <si>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</si>
  <si>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</si>
  <si>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</si>
  <si>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</si>
  <si>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</si>
  <si>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</si>
  <si>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</si>
  <si>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</si>
  <si>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</si>
  <si>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</si>
  <si>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</si>
  <si>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</si>
  <si>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</si>
  <si>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</si>
  <si>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</si>
  <si>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</si>
  <si>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</si>
  <si>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</si>
  <si>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</si>
  <si>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</si>
  <si>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</si>
  <si>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</si>
  <si>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</si>
  <si>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</si>
  <si>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</si>
  <si>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</si>
  <si>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</si>
  <si>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</si>
  <si>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</si>
  <si>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</si>
  <si>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</si>
  <si>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</si>
  <si>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</si>
  <si>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</si>
  <si>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</si>
  <si>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</si>
  <si>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</si>
  <si>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</si>
  <si>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</si>
  <si>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</si>
  <si>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</si>
  <si>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</si>
  <si>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</si>
  <si>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</si>
  <si>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</si>
  <si>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</si>
  <si>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</si>
  <si>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</si>
  <si>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</si>
  <si>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</si>
  <si>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</si>
  <si>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</si>
  <si>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</si>
  <si>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</si>
  <si>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</si>
  <si>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</si>
  <si>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</si>
  <si>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</si>
  <si>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</si>
  <si>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</si>
  <si>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</si>
  <si>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</si>
  <si>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</si>
  <si>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</si>
  <si>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</si>
  <si>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</si>
  <si>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</si>
  <si>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</si>
  <si>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</si>
  <si>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</si>
  <si>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</si>
  <si>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</si>
  <si>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</si>
  <si>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</si>
  <si>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</si>
  <si>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</si>
  <si>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</si>
  <si>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</si>
  <si>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</si>
  <si>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</si>
  <si>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</si>
  <si>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</si>
  <si>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</si>
  <si>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</si>
  <si>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</si>
  <si>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</si>
  <si>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</si>
  <si>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</si>
  <si>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</si>
  <si>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</si>
  <si>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</si>
  <si>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</si>
  <si>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</si>
  <si>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</si>
  <si>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</si>
  <si>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</si>
  <si>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</si>
  <si>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</si>
  <si>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</si>
  <si>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</si>
  <si>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</si>
  <si>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</si>
  <si>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</si>
  <si>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</si>
  <si>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</si>
  <si>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</si>
  <si>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</si>
  <si>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</si>
  <si>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</si>
  <si>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</si>
  <si>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</si>
  <si>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</si>
  <si>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</si>
  <si>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</si>
  <si>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</si>
  <si>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</si>
  <si>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</si>
  <si>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</si>
  <si>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</si>
  <si>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</si>
  <si>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</si>
  <si>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</si>
  <si>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</si>
  <si>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</si>
  <si>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</si>
  <si>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</si>
  <si>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</si>
  <si>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</si>
  <si>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</si>
  <si>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</si>
  <si>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</si>
  <si>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</si>
  <si>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</si>
  <si>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</si>
  <si>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</si>
  <si>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</si>
  <si>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</si>
  <si>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</si>
  <si>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</si>
  <si>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</si>
  <si>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</si>
  <si>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</si>
  <si>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</si>
  <si>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</si>
  <si>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</si>
  <si>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</si>
  <si>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</si>
  <si>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</si>
  <si>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</si>
  <si>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</si>
  <si>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</si>
  <si>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</si>
  <si>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</si>
  <si>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</si>
  <si>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</si>
  <si>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</si>
  <si>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</si>
  <si>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</si>
  <si>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</si>
  <si>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</si>
  <si>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</si>
  <si>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</si>
  <si>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</si>
  <si>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</si>
  <si>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</si>
  <si>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</si>
  <si>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</si>
  <si>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</si>
  <si>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</si>
  <si>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</si>
  <si>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</si>
  <si>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</si>
  <si>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</si>
  <si>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</si>
  <si>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</si>
  <si>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</si>
  <si>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</si>
  <si>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</si>
  <si>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</si>
  <si>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</si>
  <si>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</si>
  <si>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</si>
  <si>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</si>
  <si>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</si>
  <si>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</si>
  <si>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</si>
  <si>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</si>
  <si>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</si>
  <si>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</si>
  <si>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</si>
  <si>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</si>
  <si>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</si>
  <si>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</si>
  <si>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</si>
  <si>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</si>
  <si>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</si>
  <si>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</si>
  <si>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</si>
  <si>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</si>
  <si>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</si>
  <si>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</si>
  <si>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</si>
  <si>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</si>
  <si>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</si>
  <si>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</si>
  <si>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</si>
  <si>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</si>
  <si>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</si>
  <si>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</si>
  <si>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</si>
  <si>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</si>
  <si>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</si>
  <si>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</si>
  <si>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</si>
  <si>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</si>
  <si>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</si>
  <si>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</si>
  <si>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</si>
  <si>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</si>
  <si>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</si>
  <si>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</si>
  <si>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</si>
  <si>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</si>
  <si>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</si>
  <si>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</si>
  <si>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</si>
  <si>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</si>
  <si>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</si>
  <si>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</si>
  <si>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</si>
  <si>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</si>
  <si>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</si>
  <si>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</si>
  <si>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</si>
  <si>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</si>
  <si>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</si>
  <si>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</si>
  <si>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</si>
  <si>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</si>
  <si>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</si>
  <si>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</si>
  <si>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</si>
  <si>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</si>
  <si>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</si>
  <si>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</si>
  <si>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</si>
  <si>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</si>
  <si>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</si>
  <si>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</si>
  <si>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</si>
  <si>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</si>
  <si>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</si>
  <si>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</si>
  <si>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</si>
  <si>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</si>
  <si>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</si>
  <si>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</si>
  <si>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</si>
  <si>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</si>
  <si>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</si>
  <si>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</si>
  <si>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</si>
  <si>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</si>
  <si>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</si>
  <si>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</si>
  <si>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</si>
  <si>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</si>
  <si>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</si>
  <si>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</si>
  <si>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</si>
  <si>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</si>
  <si>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</si>
  <si>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</si>
  <si>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</si>
  <si>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</si>
  <si>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</si>
  <si>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</si>
  <si>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</si>
  <si>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</si>
  <si>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</si>
  <si>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</si>
  <si>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</si>
  <si>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</si>
  <si>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</si>
  <si>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</si>
  <si>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</si>
  <si>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</si>
  <si>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</si>
  <si>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</si>
  <si>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</si>
  <si>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</si>
  <si>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</si>
  <si>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</si>
  <si>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</si>
  <si>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</si>
  <si>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</si>
  <si>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</si>
  <si>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</si>
  <si>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</si>
  <si>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</si>
  <si>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</si>
  <si>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</si>
  <si>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</si>
  <si>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</si>
  <si>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</si>
  <si>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</si>
  <si>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</si>
  <si>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</si>
  <si>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</si>
  <si>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</si>
  <si>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</si>
  <si>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</si>
  <si>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</si>
  <si>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</si>
  <si>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</si>
  <si>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</si>
  <si>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</si>
  <si>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</si>
  <si>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</si>
  <si>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</si>
  <si>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</si>
  <si>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</si>
  <si>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</si>
  <si>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</si>
  <si>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</si>
  <si>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</si>
  <si>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</si>
  <si>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</si>
  <si>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</si>
  <si>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</si>
  <si>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</si>
  <si>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</si>
  <si>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</si>
  <si>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</si>
  <si>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</si>
  <si>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</si>
  <si>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</si>
  <si>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</si>
  <si>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</si>
  <si>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</si>
  <si>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</si>
  <si>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</si>
  <si>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</si>
  <si>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</si>
  <si>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</si>
  <si>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</si>
  <si>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</si>
  <si>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</si>
  <si>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</si>
  <si>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</si>
  <si>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</si>
  <si>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</si>
  <si>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</si>
  <si>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</si>
  <si>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</si>
  <si>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</si>
  <si>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</si>
  <si>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</si>
  <si>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</si>
  <si>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</si>
  <si>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</si>
  <si>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</si>
  <si>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</si>
  <si>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</si>
  <si>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</si>
  <si>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</si>
  <si>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</si>
  <si>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</si>
  <si>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</si>
  <si>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</si>
  <si>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</si>
  <si>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</si>
  <si>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</si>
  <si>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</si>
  <si>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</si>
  <si>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</si>
  <si>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</si>
  <si>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</si>
  <si>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</si>
  <si>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</si>
  <si>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</si>
  <si>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</si>
  <si>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</si>
  <si>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</si>
  <si>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</si>
  <si>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</si>
  <si>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</si>
  <si>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</si>
  <si>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</si>
  <si>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</si>
  <si>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</si>
  <si>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</si>
  <si>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</si>
  <si>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</si>
  <si>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</si>
  <si>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</si>
  <si>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</si>
  <si>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</si>
  <si>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</si>
  <si>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</si>
  <si>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</si>
  <si>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</si>
  <si>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</si>
  <si>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</si>
  <si>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</si>
  <si>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</si>
  <si>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</si>
  <si>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</si>
  <si>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</si>
  <si>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</si>
  <si>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</si>
  <si>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</si>
  <si>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</si>
  <si>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</si>
  <si>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</si>
  <si>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</si>
  <si>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</si>
  <si>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</si>
  <si>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</si>
  <si>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</si>
  <si>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</si>
  <si>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</si>
  <si>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</si>
  <si>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</si>
  <si>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</si>
  <si>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</si>
  <si>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</si>
  <si>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</si>
  <si>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</si>
  <si>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</si>
  <si>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</si>
  <si>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</si>
  <si>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</si>
  <si>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</si>
  <si>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</si>
  <si>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</si>
  <si>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</si>
  <si>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</si>
  <si>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</si>
  <si>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</si>
  <si>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</si>
  <si>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</si>
  <si>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</si>
  <si>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</si>
  <si>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</si>
  <si>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</si>
  <si>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</si>
  <si>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</si>
  <si>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</si>
  <si>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</si>
  <si>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</si>
  <si>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</si>
  <si>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</si>
  <si>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</si>
  <si>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</si>
  <si>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</si>
  <si>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</si>
  <si>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</si>
  <si>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</si>
  <si>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</si>
  <si>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</si>
  <si>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</si>
  <si>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</si>
  <si>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</si>
  <si>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</si>
  <si>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</si>
  <si>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</si>
  <si>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</si>
  <si>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</si>
  <si>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</si>
  <si>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</si>
  <si>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</si>
  <si>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</si>
  <si>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</si>
  <si>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</si>
  <si>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</si>
  <si>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</si>
  <si>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</si>
  <si>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</si>
  <si>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</si>
  <si>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</si>
  <si>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</si>
  <si>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</si>
  <si>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</si>
  <si>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</si>
  <si>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</si>
  <si>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</si>
  <si>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</si>
  <si>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</si>
  <si>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</si>
  <si>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</si>
  <si>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</si>
  <si>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</si>
  <si>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</si>
  <si>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</si>
  <si>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</si>
  <si>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</si>
  <si>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</si>
  <si>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</si>
  <si>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</si>
  <si>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</si>
  <si>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</si>
  <si>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</si>
  <si>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</si>
  <si>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</si>
  <si>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</si>
  <si>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</si>
  <si>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</si>
  <si>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</si>
  <si>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</si>
  <si>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</si>
  <si>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</si>
  <si>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</si>
  <si>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</si>
  <si>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</si>
  <si>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</si>
  <si>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</si>
  <si>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</si>
  <si>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</si>
  <si>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</si>
  <si>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</si>
  <si>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</si>
  <si>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</si>
  <si>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</si>
  <si>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</si>
  <si>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</si>
  <si>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</si>
  <si>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</si>
  <si>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</si>
  <si>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</si>
  <si>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</si>
  <si>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</si>
  <si>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</si>
  <si>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</si>
  <si>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</si>
  <si>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</si>
  <si>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</si>
  <si>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</si>
  <si>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</si>
  <si>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</si>
  <si>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</si>
  <si>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</si>
  <si>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</si>
  <si>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</si>
  <si>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</si>
  <si>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</si>
  <si>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</si>
  <si>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</si>
  <si>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</si>
  <si>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</si>
  <si>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</si>
  <si>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</si>
  <si>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</si>
  <si>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</si>
  <si>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</si>
  <si>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</si>
  <si>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</si>
  <si>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</si>
  <si>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</si>
  <si>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</si>
  <si>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</si>
  <si>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</si>
  <si>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</si>
  <si>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</si>
  <si>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</si>
  <si>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</si>
  <si>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</si>
  <si>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</si>
  <si>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</si>
  <si>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</si>
  <si>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</si>
  <si>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</si>
  <si>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</si>
  <si>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</si>
  <si>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</si>
  <si>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</si>
  <si>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</si>
  <si>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</si>
  <si>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</si>
  <si>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</si>
  <si>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</si>
  <si>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</si>
  <si>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</si>
  <si>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</si>
  <si>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</si>
  <si>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</si>
  <si>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</si>
  <si>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</si>
  <si>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</si>
  <si>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</si>
  <si>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</si>
  <si>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</si>
  <si>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</si>
  <si>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</si>
  <si>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</si>
  <si>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</si>
  <si>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</si>
  <si>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</si>
  <si>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</si>
  <si>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</si>
  <si>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</si>
  <si>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</si>
  <si>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</si>
  <si>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</si>
  <si>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</si>
  <si>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</si>
  <si>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</si>
  <si>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</si>
  <si>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</si>
  <si>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</si>
  <si>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</si>
  <si>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</si>
  <si>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</si>
  <si>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</si>
  <si>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</si>
  <si>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</si>
  <si>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</si>
  <si>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</si>
  <si>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</si>
  <si>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</si>
  <si>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</si>
  <si>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</si>
  <si>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</si>
  <si>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</si>
  <si>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</si>
  <si>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</si>
  <si>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</si>
  <si>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</si>
  <si>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</si>
  <si>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</si>
  <si>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</si>
  <si>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</si>
  <si>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</si>
  <si>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</si>
  <si>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</si>
  <si>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</si>
  <si>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</si>
  <si>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</si>
  <si>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</si>
  <si>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</si>
  <si>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</si>
  <si>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</si>
  <si>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</si>
  <si>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</si>
  <si>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</si>
  <si>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</si>
  <si>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</si>
  <si>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</si>
  <si>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</si>
  <si>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</si>
  <si>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</si>
  <si>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</si>
  <si>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</si>
  <si>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</si>
  <si>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</si>
  <si>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</si>
  <si>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</si>
  <si>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</si>
  <si>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</si>
  <si>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</si>
  <si>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</si>
  <si>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00305</t>
  </si>
  <si>
    <t>AIRE S.R.L.</t>
  </si>
  <si>
    <t>EQUIPOS Y REPARAC.DE AIRE Y CALEFACCION</t>
  </si>
  <si>
    <t>PR064</t>
  </si>
  <si>
    <t>03918</t>
  </si>
  <si>
    <t>BUSTAMANTE ALDO RAUL</t>
  </si>
  <si>
    <t>06217</t>
  </si>
  <si>
    <t>CARPINTERIA DAMIANI SRL</t>
  </si>
  <si>
    <t>05510</t>
  </si>
  <si>
    <t>COMERCIAL DEL MAR S.A.</t>
  </si>
  <si>
    <t>05729</t>
  </si>
  <si>
    <t>ENTRETENIMIENTOS Y SERVICIOS SRL</t>
  </si>
  <si>
    <t>07285</t>
  </si>
  <si>
    <t>FIDALGO MARIA VANESA</t>
  </si>
  <si>
    <t>01750</t>
  </si>
  <si>
    <t>FRIOPACK S.A.</t>
  </si>
  <si>
    <t>09094</t>
  </si>
  <si>
    <t>GLARIA ANABELA</t>
  </si>
  <si>
    <t>03004</t>
  </si>
  <si>
    <t>MAERSK LINE ARGENTINA S.A.</t>
  </si>
  <si>
    <t>00436</t>
  </si>
  <si>
    <t>MIATELLO OSCAR ALBERTO</t>
  </si>
  <si>
    <t>08474</t>
  </si>
  <si>
    <t>MRT SA</t>
  </si>
  <si>
    <t>09161</t>
  </si>
  <si>
    <t>NAVARRO CRISTIAN ROBERTO</t>
  </si>
  <si>
    <t>05446</t>
  </si>
  <si>
    <t>PARTES INFORMATICAS . COM   S.A.</t>
  </si>
  <si>
    <t>05990</t>
  </si>
  <si>
    <t>RAMUNDI MARIA CRISTINA</t>
  </si>
  <si>
    <t>05482</t>
  </si>
  <si>
    <t>SERRANO JORGE 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</si>
</sst>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29" activePane="bottomLeft" state="frozen"/>
      <selection activeCell="A3" sqref="A3"/>
      <selection pane="bottomLeft" activeCell="A151" sqref="A151"/>
    </sheetView>
  </sheetViews>
  <sheetFormatPr baseColWidth="10" defaultColWidth="8.7109375" defaultRowHeight="15" x14ac:dyDescent="0.25"/>
  <cols>
    <col min="1" max="1" width="10.42578125" bestFit="1" customWidth="1"/>
    <col min="2" max="2" width="27.5703125" bestFit="1" customWidth="1"/>
    <col min="3" max="3" width="7.140625" bestFit="1" customWidth="1"/>
    <col min="4" max="5" width="15.85546875" bestFit="1" customWidth="1"/>
    <col min="6" max="6" width="15.28515625" bestFit="1" customWidth="1"/>
    <col min="7" max="7" width="14.85546875" bestFit="1" customWidth="1"/>
    <col min="8" max="8" width="15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3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5.855468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>+Z146</f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>+AD146</f>
        <v>245288.76712328769</v>
      </c>
      <c r="AE147" s="63">
        <f>+AE146</f>
        <v>280000</v>
      </c>
      <c r="AF147" s="63">
        <f>+'[1]CF Dia V1'!$ET$97</f>
        <v>33167571.769000001</v>
      </c>
      <c r="AG147" s="63">
        <f>+AG146</f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>+Z147</f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>+AD147</f>
        <v>245288.76712328769</v>
      </c>
      <c r="AE148" s="63">
        <f>+AE147</f>
        <v>280000</v>
      </c>
      <c r="AF148" s="63">
        <f>+'[1]CF Dia V1'!$EU$97</f>
        <v>32207178.398999996</v>
      </c>
      <c r="AG148" s="63">
        <f>+AG147</f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>+Z148</f>
        <v>179326122.93125013</v>
      </c>
      <c r="AA149" s="63">
        <v>6456273353</v>
      </c>
      <c r="AB149" s="63">
        <f>+AB148</f>
        <v>1562000</v>
      </c>
      <c r="AC149" s="63">
        <v>16800000</v>
      </c>
      <c r="AD149" s="63">
        <f>+AD148</f>
        <v>245288.76712328769</v>
      </c>
      <c r="AE149" s="63">
        <f>+AE148</f>
        <v>280000</v>
      </c>
      <c r="AF149" s="63">
        <f>+'[1]CF Dia V1'!$EV$97</f>
        <v>35762061.762999997</v>
      </c>
      <c r="AG149" s="63">
        <f>+AG148</f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>+Z149</f>
        <v>179326122.93125013</v>
      </c>
      <c r="AA150" s="63">
        <v>6755356465</v>
      </c>
      <c r="AB150" s="63">
        <f>+AB149</f>
        <v>1562000</v>
      </c>
      <c r="AC150" s="63">
        <v>16800000</v>
      </c>
      <c r="AD150" s="63">
        <f>+AD149</f>
        <v>245288.76712328769</v>
      </c>
      <c r="AE150" s="63">
        <f>+AE149</f>
        <v>280000</v>
      </c>
      <c r="AF150" s="63">
        <f>+'[1]CF Dia V1'!$EW$97</f>
        <v>34024200.174000002</v>
      </c>
      <c r="AG150" s="63">
        <f>+AG149</f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/>
      <c r="B151" s="63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63"/>
      <c r="AB151" s="63"/>
      <c r="AC151" s="63"/>
      <c r="AD151" s="63"/>
      <c r="AE151" s="63"/>
      <c r="AF151" s="63"/>
      <c r="AG151" s="63"/>
      <c r="AH151" s="14"/>
      <c r="AI151" s="14"/>
      <c r="AJ151" s="14"/>
      <c r="AK151" s="16"/>
    </row>
    <row r="152" spans="1:37" ht="15.75" customHeight="1" x14ac:dyDescent="0.25">
      <c r="A152" s="13"/>
      <c r="B152" s="63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63"/>
      <c r="AB152" s="63"/>
      <c r="AC152" s="63"/>
      <c r="AD152" s="63"/>
      <c r="AE152" s="63"/>
      <c r="AF152" s="63"/>
      <c r="AG152" s="63"/>
      <c r="AH152" s="14"/>
      <c r="AI152" s="14"/>
      <c r="AJ152" s="14"/>
      <c r="AK152" s="16"/>
    </row>
    <row r="153" spans="1:37" ht="15.75" customHeight="1" x14ac:dyDescent="0.25">
      <c r="A153" s="13"/>
      <c r="B153" s="63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63"/>
      <c r="AB153" s="63"/>
      <c r="AC153" s="63"/>
      <c r="AD153" s="63"/>
      <c r="AE153" s="63"/>
      <c r="AF153" s="63"/>
      <c r="AG153" s="63"/>
      <c r="AH153" s="14"/>
      <c r="AI153" s="14"/>
      <c r="AJ153" s="14"/>
      <c r="AK153" s="16"/>
    </row>
    <row r="154" spans="1:37" ht="15.75" customHeight="1" x14ac:dyDescent="0.25">
      <c r="A154" s="13"/>
      <c r="B154" s="63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63"/>
      <c r="AB154" s="63"/>
      <c r="AC154" s="63"/>
      <c r="AD154" s="63"/>
      <c r="AE154" s="63"/>
      <c r="AF154" s="63"/>
      <c r="AG154" s="63"/>
      <c r="AH154" s="14"/>
      <c r="AI154" s="14"/>
      <c r="AJ154" s="14"/>
      <c r="AK154" s="16"/>
    </row>
    <row r="155" spans="1:37" ht="15.75" customHeight="1" x14ac:dyDescent="0.25">
      <c r="A155" s="13"/>
      <c r="B155" s="63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63"/>
      <c r="AB155" s="63"/>
      <c r="AC155" s="63"/>
      <c r="AD155" s="63"/>
      <c r="AE155" s="63"/>
      <c r="AF155" s="63"/>
      <c r="AG155" s="63"/>
      <c r="AH155" s="14"/>
      <c r="AI155" s="14"/>
      <c r="AJ155" s="14"/>
      <c r="AK155" s="16"/>
    </row>
    <row r="156" spans="1:37" ht="15.75" customHeight="1" x14ac:dyDescent="0.25">
      <c r="A156" s="13"/>
      <c r="B156" s="63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63"/>
      <c r="AB156" s="63"/>
      <c r="AC156" s="63"/>
      <c r="AD156" s="63"/>
      <c r="AE156" s="63"/>
      <c r="AF156" s="63"/>
      <c r="AG156" s="63"/>
      <c r="AH156" s="14"/>
      <c r="AI156" s="14"/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-62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992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992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993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994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993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993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993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993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993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995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995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993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996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993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995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995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996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996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996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993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995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995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996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996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997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998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996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996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996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996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999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998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999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72" t="s">
        <v>156</v>
      </c>
      <c r="B65" s="72"/>
      <c r="C65" s="72"/>
      <c r="D65" s="72"/>
      <c r="E65" s="72"/>
      <c r="F65" s="72"/>
      <c r="G65" s="72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1"/>
  <sheetViews>
    <sheetView showGridLines="0" zoomScaleNormal="100" workbookViewId="0">
      <pane ySplit="4" topLeftCell="A5" activePane="bottomLeft" state="frozen"/>
      <selection pane="bottomLeft" activeCell="K317" sqref="K317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+B483</f>
        <v> CLEANING IN PACE S.R.L.</v>
      </c>
      <c r="C5" s="66">
        <f>+K483</f>
        <v>0.01</v>
      </c>
      <c r="D5" s="24">
        <f>+C5/$D$3</f>
        <v>6.7114093959731546E-6</v>
      </c>
      <c r="E5" s="50">
        <f t="shared" ref="E5:E68" si="0">+D5/$D$324</f>
        <v>1.3628544891146381E-12</v>
      </c>
      <c r="F5" s="51"/>
    </row>
    <row r="6" spans="1:6" ht="15.75" customHeight="1" x14ac:dyDescent="0.25">
      <c r="A6" t="str">
        <f t="shared" ref="A6:A69" si="1">+B484</f>
        <v> LA INDUSTRIAL ELECTRICA S A</v>
      </c>
      <c r="C6" s="66">
        <f t="shared" ref="C6:C69" si="2">+K484</f>
        <v>1.08</v>
      </c>
      <c r="D6" s="24">
        <f t="shared" ref="D6:D69" si="3">+C6/$D$3</f>
        <v>7.2483221476510068E-4</v>
      </c>
      <c r="E6" s="50">
        <f t="shared" si="0"/>
        <v>1.4718828482438092E-10</v>
      </c>
      <c r="F6" s="51"/>
    </row>
    <row r="7" spans="1:6" ht="15.75" customHeight="1" x14ac:dyDescent="0.25">
      <c r="A7" t="str">
        <f t="shared" si="1"/>
        <v> MARITIMA OBISPO COMERCIO EXTERIOR SAS</v>
      </c>
      <c r="C7" s="66">
        <f t="shared" si="2"/>
        <v>550000</v>
      </c>
      <c r="D7" s="24">
        <f t="shared" si="3"/>
        <v>369.1275167785235</v>
      </c>
      <c r="E7" s="50">
        <f t="shared" si="0"/>
        <v>7.4956996901305096E-5</v>
      </c>
      <c r="F7" s="51"/>
    </row>
    <row r="8" spans="1:6" ht="15.75" customHeight="1" x14ac:dyDescent="0.25">
      <c r="A8" t="str">
        <f t="shared" si="1"/>
        <v> SALEM ALDO ALBERTO Y AICARDI DERNANDO SEBASTIAN S H</v>
      </c>
      <c r="C8" s="66">
        <f t="shared" si="2"/>
        <v>4923066.5</v>
      </c>
      <c r="D8" s="24">
        <f t="shared" si="3"/>
        <v>3304.071476510067</v>
      </c>
      <c r="E8" s="50">
        <f t="shared" si="0"/>
        <v>6.7094232797348897E-4</v>
      </c>
      <c r="F8" s="51"/>
    </row>
    <row r="9" spans="1:6" ht="15.75" customHeight="1" x14ac:dyDescent="0.25">
      <c r="A9" t="str">
        <f t="shared" si="1"/>
        <v>A LONEIRA S.A.</v>
      </c>
      <c r="C9" s="66">
        <f t="shared" si="2"/>
        <v>2123360</v>
      </c>
      <c r="D9" s="24">
        <f t="shared" si="3"/>
        <v>1425.0738255033557</v>
      </c>
      <c r="E9" s="50">
        <f t="shared" si="0"/>
        <v>2.8938307080064577E-4</v>
      </c>
      <c r="F9" s="51"/>
    </row>
    <row r="10" spans="1:6" ht="15.75" customHeight="1" x14ac:dyDescent="0.25">
      <c r="A10" t="str">
        <f t="shared" si="1"/>
        <v>ABB S.A.U.</v>
      </c>
      <c r="C10" s="66">
        <f t="shared" si="2"/>
        <v>5524901.6399999997</v>
      </c>
      <c r="D10" s="24">
        <f t="shared" si="3"/>
        <v>3707.987677852349</v>
      </c>
      <c r="E10" s="50">
        <f t="shared" si="0"/>
        <v>7.5296370019908257E-4</v>
      </c>
      <c r="F10" s="51"/>
    </row>
    <row r="11" spans="1:6" ht="15.75" customHeight="1" x14ac:dyDescent="0.25">
      <c r="A11" t="str">
        <f t="shared" si="1"/>
        <v>ABETE Y CIA. S.A.</v>
      </c>
      <c r="C11" s="66">
        <f t="shared" si="2"/>
        <v>5232391.2699999996</v>
      </c>
      <c r="D11" s="24">
        <f t="shared" si="3"/>
        <v>3511.6719932885903</v>
      </c>
      <c r="E11" s="50">
        <f t="shared" si="0"/>
        <v>7.1309879311237418E-4</v>
      </c>
      <c r="F11" s="51"/>
    </row>
    <row r="12" spans="1:6" ht="15.75" customHeight="1" x14ac:dyDescent="0.25">
      <c r="A12" t="str">
        <f t="shared" si="1"/>
        <v>ABREU JOSE LUIS</v>
      </c>
      <c r="C12" s="66">
        <f t="shared" si="2"/>
        <v>1451854.8</v>
      </c>
      <c r="D12" s="24">
        <f t="shared" si="3"/>
        <v>974.39919463087256</v>
      </c>
      <c r="E12" s="50">
        <f t="shared" si="0"/>
        <v>1.9786668317226352E-4</v>
      </c>
      <c r="F12" s="51"/>
    </row>
    <row r="13" spans="1:6" ht="15.75" customHeight="1" x14ac:dyDescent="0.25">
      <c r="A13" t="str">
        <f t="shared" si="1"/>
        <v>ACUPRI S. R. L</v>
      </c>
      <c r="C13" s="66">
        <f t="shared" si="2"/>
        <v>6776000</v>
      </c>
      <c r="D13" s="24">
        <f t="shared" si="3"/>
        <v>4547.6510067114095</v>
      </c>
      <c r="E13" s="50">
        <f t="shared" si="0"/>
        <v>9.2347020182407885E-4</v>
      </c>
      <c r="F13" s="51"/>
    </row>
    <row r="14" spans="1:6" ht="15.75" customHeight="1" x14ac:dyDescent="0.25">
      <c r="A14" t="str">
        <f t="shared" si="1"/>
        <v>ADMINISTRACION PORTUARIA DE PUERTO MADRYN</v>
      </c>
      <c r="C14" s="66">
        <f t="shared" si="2"/>
        <v>1550818.6</v>
      </c>
      <c r="D14" s="24">
        <f t="shared" si="3"/>
        <v>1040.8178523489933</v>
      </c>
      <c r="E14" s="50">
        <f t="shared" si="0"/>
        <v>2.1135400908124782E-4</v>
      </c>
      <c r="F14" s="51"/>
    </row>
    <row r="15" spans="1:6" ht="15.75" customHeight="1" x14ac:dyDescent="0.25">
      <c r="A15" t="str">
        <f t="shared" si="1"/>
        <v>ADOLFO FORTIER S A C I F I A</v>
      </c>
      <c r="C15" s="66">
        <f t="shared" si="2"/>
        <v>3403619.89</v>
      </c>
      <c r="D15" s="24">
        <f t="shared" si="3"/>
        <v>2284.3086510067114</v>
      </c>
      <c r="E15" s="50">
        <f t="shared" si="0"/>
        <v>4.6386386463263709E-4</v>
      </c>
      <c r="F15" s="51"/>
    </row>
    <row r="16" spans="1:6" ht="15.75" customHeight="1" x14ac:dyDescent="0.25">
      <c r="A16" t="str">
        <f t="shared" si="1"/>
        <v>AIRE S.R.L.</v>
      </c>
      <c r="C16" s="66">
        <f t="shared" si="2"/>
        <v>96800</v>
      </c>
      <c r="D16" s="24">
        <f t="shared" si="3"/>
        <v>64.966442953020135</v>
      </c>
      <c r="E16" s="50">
        <f t="shared" si="0"/>
        <v>1.3192431454629697E-5</v>
      </c>
      <c r="F16" s="51"/>
    </row>
    <row r="17" spans="1:6" ht="15.75" customHeight="1" x14ac:dyDescent="0.25">
      <c r="A17" t="str">
        <f t="shared" si="1"/>
        <v>ALPAHELI S.R.L.</v>
      </c>
      <c r="C17" s="66">
        <f t="shared" si="2"/>
        <v>1717000</v>
      </c>
      <c r="D17" s="24">
        <f t="shared" si="3"/>
        <v>1152.3489932885907</v>
      </c>
      <c r="E17" s="50">
        <f t="shared" si="0"/>
        <v>2.3400211578098338E-4</v>
      </c>
      <c r="F17" s="51"/>
    </row>
    <row r="18" spans="1:6" ht="15.75" customHeight="1" x14ac:dyDescent="0.25">
      <c r="A18" t="str">
        <f t="shared" si="1"/>
        <v>ALTA DISTRIBUCION SA</v>
      </c>
      <c r="C18" s="66">
        <f t="shared" si="2"/>
        <v>1438621.43</v>
      </c>
      <c r="D18" s="24">
        <f t="shared" si="3"/>
        <v>965.51773825503346</v>
      </c>
      <c r="E18" s="50">
        <f t="shared" si="0"/>
        <v>1.9606316740120199E-4</v>
      </c>
      <c r="F18" s="51"/>
    </row>
    <row r="19" spans="1:6" ht="15.75" customHeight="1" x14ac:dyDescent="0.25">
      <c r="A19" t="str">
        <f t="shared" si="1"/>
        <v>ALTAVILLA S.R.L.</v>
      </c>
      <c r="C19" s="66">
        <f t="shared" si="2"/>
        <v>722218.31</v>
      </c>
      <c r="D19" s="24">
        <f t="shared" si="3"/>
        <v>484.71027516778526</v>
      </c>
      <c r="E19" s="50">
        <f t="shared" si="0"/>
        <v>9.842784659042874E-5</v>
      </c>
      <c r="F19" s="51"/>
    </row>
    <row r="20" spans="1:6" ht="15.75" customHeight="1" x14ac:dyDescent="0.25">
      <c r="A20" t="str">
        <f t="shared" si="1"/>
        <v>ALTIUS ARGENTINA S.A</v>
      </c>
      <c r="C20" s="66">
        <f t="shared" si="2"/>
        <v>1385630.28</v>
      </c>
      <c r="D20" s="24">
        <f t="shared" si="3"/>
        <v>929.95320805369124</v>
      </c>
      <c r="E20" s="50">
        <f t="shared" si="0"/>
        <v>1.8884124473511729E-4</v>
      </c>
      <c r="F20" s="51"/>
    </row>
    <row r="21" spans="1:6" ht="15.75" customHeight="1" x14ac:dyDescent="0.25">
      <c r="A21" t="str">
        <f t="shared" si="1"/>
        <v>AMX ARGENTINA S.A. (CAE)</v>
      </c>
      <c r="C21" s="66">
        <f t="shared" si="2"/>
        <v>3570689.29</v>
      </c>
      <c r="D21" s="24">
        <f t="shared" si="3"/>
        <v>2396.4357651006712</v>
      </c>
      <c r="E21" s="50">
        <f t="shared" si="0"/>
        <v>4.8663299281100601E-4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2271.8120805369126</v>
      </c>
      <c r="E22" s="50">
        <f t="shared" si="0"/>
        <v>4.6132624456530499E-4</v>
      </c>
      <c r="F22" s="51"/>
    </row>
    <row r="23" spans="1:6" ht="15.75" customHeight="1" x14ac:dyDescent="0.25">
      <c r="A23" t="str">
        <f t="shared" si="1"/>
        <v>ARCANGEL SAN MIGUEL S R L</v>
      </c>
      <c r="C23" s="66">
        <f t="shared" si="2"/>
        <v>60016000</v>
      </c>
      <c r="D23" s="24">
        <f t="shared" si="3"/>
        <v>40279.19463087248</v>
      </c>
      <c r="E23" s="50">
        <f t="shared" si="0"/>
        <v>8.1793075018704118E-3</v>
      </c>
      <c r="F23" s="51"/>
    </row>
    <row r="24" spans="1:6" ht="15.75" customHeight="1" x14ac:dyDescent="0.25">
      <c r="A24" t="str">
        <f t="shared" si="1"/>
        <v>ASCENSORES ULTRA S R L</v>
      </c>
      <c r="C24" s="66">
        <f t="shared" si="2"/>
        <v>339104.4</v>
      </c>
      <c r="D24" s="24">
        <f t="shared" si="3"/>
        <v>227.58684563758391</v>
      </c>
      <c r="E24" s="50">
        <f t="shared" si="0"/>
        <v>4.6214995381852593E-5</v>
      </c>
      <c r="F24" s="51"/>
    </row>
    <row r="25" spans="1:6" ht="15.75" customHeight="1" x14ac:dyDescent="0.25">
      <c r="A25" t="str">
        <f t="shared" si="1"/>
        <v>ASSISTANCE FOOD ARGENTINA SA</v>
      </c>
      <c r="C25" s="66">
        <f t="shared" si="2"/>
        <v>367356</v>
      </c>
      <c r="D25" s="24">
        <f t="shared" si="3"/>
        <v>246.54765100671142</v>
      </c>
      <c r="E25" s="50">
        <f t="shared" si="0"/>
        <v>5.0065277370319701E-5</v>
      </c>
      <c r="F25" s="51"/>
    </row>
    <row r="26" spans="1:6" ht="15.75" customHeight="1" x14ac:dyDescent="0.25">
      <c r="A26" t="str">
        <f t="shared" si="1"/>
        <v>ASTILLERO DE ANGELIS S.A.</v>
      </c>
      <c r="C26" s="66">
        <f t="shared" si="2"/>
        <v>3146000</v>
      </c>
      <c r="D26" s="24">
        <f t="shared" si="3"/>
        <v>2111.4093959731545</v>
      </c>
      <c r="E26" s="50">
        <f t="shared" si="0"/>
        <v>4.2875402227546516E-4</v>
      </c>
      <c r="F26" s="51"/>
    </row>
    <row r="27" spans="1:6" ht="15.75" customHeight="1" x14ac:dyDescent="0.25">
      <c r="A27" t="str">
        <f t="shared" si="1"/>
        <v>ASTILLERO NAVAL FEDERICO CONTESSI Y CIA SA.</v>
      </c>
      <c r="C27" s="66">
        <f t="shared" si="2"/>
        <v>16980728.25</v>
      </c>
      <c r="D27" s="24">
        <f t="shared" si="3"/>
        <v>11396.461912751678</v>
      </c>
      <c r="E27" s="50">
        <f t="shared" si="0"/>
        <v>2.3142261723948254E-3</v>
      </c>
      <c r="F27" s="51"/>
    </row>
    <row r="28" spans="1:6" ht="15.75" customHeight="1" x14ac:dyDescent="0.25">
      <c r="A28" t="str">
        <f t="shared" si="1"/>
        <v>ASTRADA LUCA</v>
      </c>
      <c r="C28" s="66">
        <f t="shared" si="2"/>
        <v>126000</v>
      </c>
      <c r="D28" s="24">
        <f t="shared" si="3"/>
        <v>84.56375838926175</v>
      </c>
      <c r="E28" s="50">
        <f t="shared" si="0"/>
        <v>1.717196656284444E-5</v>
      </c>
      <c r="F28" s="51"/>
    </row>
    <row r="29" spans="1:6" ht="15.75" customHeight="1" x14ac:dyDescent="0.25">
      <c r="A29" t="str">
        <f t="shared" si="1"/>
        <v>ATL CARGO S.R.L.</v>
      </c>
      <c r="C29" s="66">
        <f t="shared" si="2"/>
        <v>7201920</v>
      </c>
      <c r="D29" s="24">
        <f t="shared" si="3"/>
        <v>4833.5033557046982</v>
      </c>
      <c r="E29" s="50">
        <f t="shared" si="0"/>
        <v>9.8151690022444944E-4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35975116.960000001</v>
      </c>
      <c r="D30" s="24">
        <f t="shared" si="3"/>
        <v>24144.373798657718</v>
      </c>
      <c r="E30" s="50">
        <f t="shared" si="0"/>
        <v>4.902884964536015E-3</v>
      </c>
      <c r="F30" s="51"/>
    </row>
    <row r="31" spans="1:6" ht="15.75" customHeight="1" x14ac:dyDescent="0.25">
      <c r="A31" t="str">
        <f t="shared" si="1"/>
        <v>AUTOVIA 3 S.A.</v>
      </c>
      <c r="C31" s="66">
        <f t="shared" si="2"/>
        <v>980100</v>
      </c>
      <c r="D31" s="24">
        <f t="shared" si="3"/>
        <v>657.78523489932888</v>
      </c>
      <c r="E31" s="50">
        <f t="shared" si="0"/>
        <v>1.3357336847812567E-4</v>
      </c>
      <c r="F31" s="51"/>
    </row>
    <row r="32" spans="1:6" ht="15.75" customHeight="1" x14ac:dyDescent="0.25">
      <c r="A32" t="str">
        <f t="shared" si="1"/>
        <v>BAGGIARINI ALBERTO MARCELO</v>
      </c>
      <c r="C32" s="66">
        <f t="shared" si="2"/>
        <v>630000</v>
      </c>
      <c r="D32" s="24">
        <f t="shared" si="3"/>
        <v>422.81879194630875</v>
      </c>
      <c r="E32" s="50">
        <f t="shared" si="0"/>
        <v>8.5859832814222199E-5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456.37584563758389</v>
      </c>
      <c r="E33" s="50">
        <f t="shared" si="0"/>
        <v>9.2674106622649878E-5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15000</v>
      </c>
      <c r="D34" s="24">
        <f t="shared" si="3"/>
        <v>10.067114093959731</v>
      </c>
      <c r="E34" s="50">
        <f t="shared" si="0"/>
        <v>2.0442817336719569E-6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1737003.33</v>
      </c>
      <c r="D35" s="24">
        <f t="shared" si="3"/>
        <v>1165.7740469798657</v>
      </c>
      <c r="E35" s="50">
        <f t="shared" si="0"/>
        <v>2.3672827858975751E-4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45.973154362416111</v>
      </c>
      <c r="E36" s="50">
        <f t="shared" si="0"/>
        <v>9.3355532504352712E-6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4477000</v>
      </c>
      <c r="D37" s="24">
        <f t="shared" si="3"/>
        <v>3004.6979865771814</v>
      </c>
      <c r="E37" s="50">
        <f t="shared" si="0"/>
        <v>6.1014995477662347E-4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410879.35</v>
      </c>
      <c r="D38" s="24">
        <f t="shared" si="3"/>
        <v>275.75795302013421</v>
      </c>
      <c r="E38" s="50">
        <f t="shared" si="0"/>
        <v>5.5996876663200452E-5</v>
      </c>
      <c r="F38" s="51"/>
    </row>
    <row r="39" spans="1:6" ht="15.75" customHeight="1" x14ac:dyDescent="0.25">
      <c r="A39" t="str">
        <f t="shared" si="1"/>
        <v>BENGOCHEA JORGE GABRIEL</v>
      </c>
      <c r="C39" s="66">
        <f t="shared" si="2"/>
        <v>186582</v>
      </c>
      <c r="D39" s="24">
        <f t="shared" si="3"/>
        <v>125.22281879194631</v>
      </c>
      <c r="E39" s="50">
        <f t="shared" si="0"/>
        <v>2.5428411628798743E-5</v>
      </c>
      <c r="F39" s="51"/>
    </row>
    <row r="40" spans="1:6" ht="15.75" customHeight="1" x14ac:dyDescent="0.25">
      <c r="A40" t="str">
        <f t="shared" si="1"/>
        <v>BENNETT ANDERSON GONZALEZ Y CIA S AI C</v>
      </c>
      <c r="C40" s="66">
        <f t="shared" si="2"/>
        <v>20157632</v>
      </c>
      <c r="D40" s="24">
        <f t="shared" si="3"/>
        <v>13528.612080536912</v>
      </c>
      <c r="E40" s="50">
        <f t="shared" si="0"/>
        <v>2.747191926112088E-3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4151752</v>
      </c>
      <c r="D41" s="24">
        <f t="shared" si="3"/>
        <v>2786.4107382550337</v>
      </c>
      <c r="E41" s="50">
        <f t="shared" si="0"/>
        <v>5.6582338508906775E-4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1999207.02</v>
      </c>
      <c r="D42" s="24">
        <f t="shared" si="3"/>
        <v>1341.7496778523489</v>
      </c>
      <c r="E42" s="50">
        <f t="shared" si="0"/>
        <v>2.7246282618764977E-4</v>
      </c>
      <c r="F42" s="51"/>
    </row>
    <row r="43" spans="1:6" ht="15.75" customHeight="1" x14ac:dyDescent="0.25">
      <c r="A43" t="str">
        <f t="shared" si="1"/>
        <v>BRAVO MINNUCCI MDQ SOCIEDAD DE RESPONSABILIDAD LIMITADA</v>
      </c>
      <c r="C43" s="66">
        <f t="shared" si="2"/>
        <v>3000000</v>
      </c>
      <c r="D43" s="24">
        <f t="shared" si="3"/>
        <v>2013.4228187919464</v>
      </c>
      <c r="E43" s="50">
        <f t="shared" si="0"/>
        <v>4.0885634673439145E-4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112.91277852348993</v>
      </c>
      <c r="E44" s="50">
        <f t="shared" si="0"/>
        <v>2.2928669376282628E-5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1361250</v>
      </c>
      <c r="D45" s="24">
        <f t="shared" si="3"/>
        <v>913.59060402684565</v>
      </c>
      <c r="E45" s="50">
        <f t="shared" si="0"/>
        <v>1.8551856733073011E-4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8595129.7699999996</v>
      </c>
      <c r="D46" s="24">
        <f t="shared" si="3"/>
        <v>5768.5434697986575</v>
      </c>
      <c r="E46" s="50">
        <f t="shared" si="0"/>
        <v>1.1713911191567367E-3</v>
      </c>
      <c r="F46" s="51"/>
    </row>
    <row r="47" spans="1:6" ht="15.75" customHeight="1" x14ac:dyDescent="0.25">
      <c r="A47" t="str">
        <f t="shared" si="1"/>
        <v>BUSTAMANTE ALDO RAUL</v>
      </c>
      <c r="C47" s="66">
        <f t="shared" si="2"/>
        <v>479711.87</v>
      </c>
      <c r="D47" s="24">
        <f t="shared" si="3"/>
        <v>321.95427516778523</v>
      </c>
      <c r="E47" s="50">
        <f t="shared" si="0"/>
        <v>6.5377747551107761E-5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2633120.9300000002</v>
      </c>
      <c r="D48" s="24">
        <f t="shared" si="3"/>
        <v>1767.1952550335573</v>
      </c>
      <c r="E48" s="50">
        <f t="shared" si="0"/>
        <v>3.5885606798322111E-4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2496828.9500000002</v>
      </c>
      <c r="D49" s="24">
        <f t="shared" si="3"/>
        <v>1675.7241275167787</v>
      </c>
      <c r="E49" s="50">
        <f t="shared" si="0"/>
        <v>3.4028145430588886E-4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6176456.9800000004</v>
      </c>
      <c r="D50" s="24">
        <f t="shared" si="3"/>
        <v>4145.2731409395974</v>
      </c>
      <c r="E50" s="50">
        <f t="shared" si="0"/>
        <v>8.4176121220164407E-4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3915.5153355704697</v>
      </c>
      <c r="E51" s="50">
        <f t="shared" si="0"/>
        <v>7.951053701896341E-4</v>
      </c>
      <c r="F51" s="51"/>
    </row>
    <row r="52" spans="1:6" ht="15.75" customHeight="1" x14ac:dyDescent="0.25">
      <c r="A52" t="str">
        <f t="shared" si="1"/>
        <v>CARGO NET LOGISTIC S A</v>
      </c>
      <c r="C52" s="66">
        <f t="shared" si="2"/>
        <v>-0.01</v>
      </c>
      <c r="D52" s="24">
        <f t="shared" si="3"/>
        <v>-6.7114093959731546E-6</v>
      </c>
      <c r="E52" s="50">
        <f t="shared" si="0"/>
        <v>-1.3628544891146381E-12</v>
      </c>
      <c r="F52" s="51"/>
    </row>
    <row r="53" spans="1:6" ht="15.75" customHeight="1" x14ac:dyDescent="0.25">
      <c r="A53" t="str">
        <f t="shared" si="1"/>
        <v>CARPINTERIA DAMIANI SRL</v>
      </c>
      <c r="C53" s="66">
        <f t="shared" si="2"/>
        <v>2295612</v>
      </c>
      <c r="D53" s="24">
        <f t="shared" si="3"/>
        <v>1540.6791946308724</v>
      </c>
      <c r="E53" s="50">
        <f t="shared" si="0"/>
        <v>3.1285851194654327E-4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70884173.530000001</v>
      </c>
      <c r="D54" s="24">
        <f t="shared" si="3"/>
        <v>47573.270825503358</v>
      </c>
      <c r="E54" s="50">
        <f t="shared" si="0"/>
        <v>9.6604814102541504E-3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13184931.41</v>
      </c>
      <c r="D55" s="24">
        <f t="shared" si="3"/>
        <v>8848.9472550335577</v>
      </c>
      <c r="E55" s="50">
        <f t="shared" si="0"/>
        <v>1.7969142960787097E-3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178708.53</v>
      </c>
      <c r="D56" s="24">
        <f t="shared" si="3"/>
        <v>119.93861073825504</v>
      </c>
      <c r="E56" s="50">
        <f t="shared" si="0"/>
        <v>2.4355372235357799E-5</v>
      </c>
      <c r="F56" s="51"/>
    </row>
    <row r="57" spans="1:6" ht="15.75" customHeight="1" x14ac:dyDescent="0.25">
      <c r="A57" t="str">
        <f t="shared" si="1"/>
        <v>CELTOP S.R.L.</v>
      </c>
      <c r="C57" s="66">
        <f t="shared" si="2"/>
        <v>93840</v>
      </c>
      <c r="D57" s="24">
        <f t="shared" si="3"/>
        <v>62.979865771812079</v>
      </c>
      <c r="E57" s="50">
        <f t="shared" si="0"/>
        <v>1.2789026525851764E-5</v>
      </c>
      <c r="F57" s="51"/>
    </row>
    <row r="58" spans="1:6" ht="15.75" customHeight="1" x14ac:dyDescent="0.25">
      <c r="A58" t="str">
        <f t="shared" si="1"/>
        <v>CENTRO DE ATENCION TECNICA SOCIEDAD DE RESPONSABILIDAD LIMITADA</v>
      </c>
      <c r="C58" s="66">
        <f t="shared" si="2"/>
        <v>5263500</v>
      </c>
      <c r="D58" s="24">
        <f t="shared" si="3"/>
        <v>3532.55033557047</v>
      </c>
      <c r="E58" s="50">
        <f t="shared" si="0"/>
        <v>7.1733846034548979E-4</v>
      </c>
      <c r="F58" s="51"/>
    </row>
    <row r="59" spans="1:6" ht="15.75" customHeight="1" x14ac:dyDescent="0.25">
      <c r="A59" t="str">
        <f t="shared" si="1"/>
        <v>CILENTO MECANIZADOS Y REPUESTOS</v>
      </c>
      <c r="C59" s="66">
        <f t="shared" si="2"/>
        <v>14706376.220000001</v>
      </c>
      <c r="D59" s="24">
        <f t="shared" si="3"/>
        <v>9870.0511543624161</v>
      </c>
      <c r="E59" s="50">
        <f t="shared" si="0"/>
        <v>2.0042650850035761E-3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537218.30000000005</v>
      </c>
      <c r="D60" s="24">
        <f t="shared" si="3"/>
        <v>360.54919463087253</v>
      </c>
      <c r="E60" s="50">
        <f t="shared" si="0"/>
        <v>7.3215037178953448E-5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1658974.98</v>
      </c>
      <c r="D61" s="24">
        <f t="shared" si="3"/>
        <v>1113.4060268456376</v>
      </c>
      <c r="E61" s="50">
        <f t="shared" si="0"/>
        <v>2.2609414988218669E-4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6019325.0499999998</v>
      </c>
      <c r="D62" s="24">
        <f t="shared" si="3"/>
        <v>4039.8154697986574</v>
      </c>
      <c r="E62" s="50">
        <f t="shared" si="0"/>
        <v>8.203464165832693E-4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18697262.100000001</v>
      </c>
      <c r="D63" s="24">
        <f t="shared" si="3"/>
        <v>12548.498053691275</v>
      </c>
      <c r="E63" s="50">
        <f t="shared" si="0"/>
        <v>2.5481647587137987E-3</v>
      </c>
      <c r="F63" s="51"/>
    </row>
    <row r="64" spans="1:6" ht="15.75" customHeight="1" x14ac:dyDescent="0.25">
      <c r="A64" t="str">
        <f t="shared" si="1"/>
        <v>CONSULTORA GESTAM MDP SA</v>
      </c>
      <c r="C64" s="66">
        <f t="shared" si="2"/>
        <v>1868845</v>
      </c>
      <c r="D64" s="24">
        <f t="shared" si="3"/>
        <v>1254.2583892617449</v>
      </c>
      <c r="E64" s="50">
        <f t="shared" si="0"/>
        <v>2.5469637977094457E-4</v>
      </c>
      <c r="F64" s="51"/>
    </row>
    <row r="65" spans="1:6" ht="15.75" customHeight="1" x14ac:dyDescent="0.25">
      <c r="A65" t="str">
        <f t="shared" si="1"/>
        <v>COOP. DE TRABAJO PUCARA LIMITADA</v>
      </c>
      <c r="C65" s="66">
        <f t="shared" si="2"/>
        <v>128018000</v>
      </c>
      <c r="D65" s="24">
        <f t="shared" si="3"/>
        <v>85918.120805369123</v>
      </c>
      <c r="E65" s="50">
        <f t="shared" si="0"/>
        <v>1.7446990598747773E-2</v>
      </c>
      <c r="F65" s="51"/>
    </row>
    <row r="66" spans="1:6" ht="15.75" customHeight="1" x14ac:dyDescent="0.25">
      <c r="A66" t="str">
        <f t="shared" si="1"/>
        <v>COOPERATIVA DE TRABAJO DE ESTIBAJE HIPOCOOP LTDA</v>
      </c>
      <c r="C66" s="66">
        <f t="shared" si="2"/>
        <v>256341834.80000001</v>
      </c>
      <c r="D66" s="24">
        <f t="shared" si="3"/>
        <v>172041.49986577182</v>
      </c>
      <c r="E66" s="50">
        <f t="shared" si="0"/>
        <v>3.4935662030506298E-2</v>
      </c>
      <c r="F66" s="51"/>
    </row>
    <row r="67" spans="1:6" ht="15.75" customHeight="1" x14ac:dyDescent="0.25">
      <c r="A67" t="str">
        <f t="shared" si="1"/>
        <v>COOPERATIVA DE TRABAJO DE ESTIBAJE HIPOCOOP LTDA</v>
      </c>
      <c r="C67" s="66">
        <f t="shared" si="2"/>
        <v>112087271.98999999</v>
      </c>
      <c r="D67" s="24">
        <f t="shared" si="3"/>
        <v>75226.357040268456</v>
      </c>
      <c r="E67" s="50">
        <f t="shared" si="0"/>
        <v>1.5275864180418493E-2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165351246.62</v>
      </c>
      <c r="D68" s="24">
        <f t="shared" si="3"/>
        <v>110973.99102013423</v>
      </c>
      <c r="E68" s="50">
        <f t="shared" si="0"/>
        <v>2.2534968873676862E-2</v>
      </c>
      <c r="F68" s="51"/>
    </row>
    <row r="69" spans="1:6" ht="15.75" customHeight="1" x14ac:dyDescent="0.25">
      <c r="A69" t="str">
        <f t="shared" si="1"/>
        <v>COOPERATIVA DE TRABAJO LOS TRES AMIGOS LIMITADA</v>
      </c>
      <c r="C69" s="66">
        <f t="shared" si="2"/>
        <v>4157535.95</v>
      </c>
      <c r="D69" s="24">
        <f t="shared" si="3"/>
        <v>2790.2925838926176</v>
      </c>
      <c r="E69" s="50">
        <f t="shared" ref="E69:E132" si="4">+D69/$D$324</f>
        <v>5.6661165331129922E-4</v>
      </c>
      <c r="F69" s="51"/>
    </row>
    <row r="70" spans="1:6" ht="15.75" customHeight="1" x14ac:dyDescent="0.25">
      <c r="A70" t="str">
        <f t="shared" ref="A70:A133" si="5">+B548</f>
        <v>COOPERATIVA DE TRABAJO PARA ACTIVIDADES DEL ESTIBAJE LIMITADA</v>
      </c>
      <c r="C70" s="66">
        <f t="shared" ref="C70:C133" si="6">+K548</f>
        <v>157300</v>
      </c>
      <c r="D70" s="24">
        <f t="shared" ref="D70:D133" si="7">+C70/$D$3</f>
        <v>105.57046979865771</v>
      </c>
      <c r="E70" s="50">
        <f t="shared" si="4"/>
        <v>2.1437701113773255E-5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1778.5234899328859</v>
      </c>
      <c r="E71" s="50">
        <f t="shared" si="4"/>
        <v>3.611564396153791E-4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81756533.599999994</v>
      </c>
      <c r="D72" s="24">
        <f t="shared" si="7"/>
        <v>54870.156778523487</v>
      </c>
      <c r="E72" s="50">
        <f t="shared" si="4"/>
        <v>1.1142225883121174E-2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1455605.8</v>
      </c>
      <c r="D73" s="24">
        <f t="shared" si="7"/>
        <v>976.91664429530204</v>
      </c>
      <c r="E73" s="50">
        <f t="shared" si="4"/>
        <v>1.9837788989113042E-4</v>
      </c>
      <c r="F73" s="51"/>
    </row>
    <row r="74" spans="1:6" ht="15.75" customHeight="1" x14ac:dyDescent="0.25">
      <c r="A74" t="str">
        <f t="shared" si="5"/>
        <v>CURCI CLAUDIO OMAR</v>
      </c>
      <c r="C74" s="66">
        <f t="shared" si="6"/>
        <v>1500400</v>
      </c>
      <c r="D74" s="24">
        <f t="shared" si="7"/>
        <v>1006.9798657718121</v>
      </c>
      <c r="E74" s="50">
        <f t="shared" si="4"/>
        <v>2.044826875467603E-4</v>
      </c>
      <c r="F74" s="51"/>
    </row>
    <row r="75" spans="1:6" ht="15.75" customHeight="1" x14ac:dyDescent="0.25">
      <c r="A75" t="str">
        <f t="shared" si="5"/>
        <v>CURITIBA SRL</v>
      </c>
      <c r="C75" s="66">
        <f t="shared" si="6"/>
        <v>-204.43</v>
      </c>
      <c r="D75" s="24">
        <f t="shared" si="7"/>
        <v>-0.13720134228187919</v>
      </c>
      <c r="E75" s="50">
        <f t="shared" si="4"/>
        <v>-2.7860834320970546E-8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137.56644295302013</v>
      </c>
      <c r="E76" s="50">
        <f t="shared" si="4"/>
        <v>2.7934973605178382E-5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23969880.850000001</v>
      </c>
      <c r="D77" s="24">
        <f t="shared" si="7"/>
        <v>16087.168355704698</v>
      </c>
      <c r="E77" s="50">
        <f t="shared" si="4"/>
        <v>3.2667459719965498E-3</v>
      </c>
      <c r="F77" s="51"/>
    </row>
    <row r="78" spans="1:6" ht="15.75" customHeight="1" x14ac:dyDescent="0.25">
      <c r="A78" t="str">
        <f t="shared" si="5"/>
        <v>DAUVERNE LUIS MARIA JULIAN</v>
      </c>
      <c r="C78" s="66">
        <f t="shared" si="6"/>
        <v>412922.6</v>
      </c>
      <c r="D78" s="24">
        <f t="shared" si="7"/>
        <v>277.12926174496641</v>
      </c>
      <c r="E78" s="50">
        <f t="shared" si="4"/>
        <v>5.6275341906688799E-5</v>
      </c>
      <c r="F78" s="51"/>
    </row>
    <row r="79" spans="1:6" ht="15.75" customHeight="1" x14ac:dyDescent="0.25">
      <c r="A79" t="str">
        <f t="shared" si="5"/>
        <v>DELBIAN SEGURIDAD INDUSTRIAL S.R.L.</v>
      </c>
      <c r="C79" s="66">
        <f t="shared" si="6"/>
        <v>6543252.7199999997</v>
      </c>
      <c r="D79" s="24">
        <f t="shared" si="7"/>
        <v>4391.4447785234897</v>
      </c>
      <c r="E79" s="50">
        <f t="shared" si="4"/>
        <v>8.9175013428635663E-4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11591647.58</v>
      </c>
      <c r="D80" s="24">
        <f t="shared" si="7"/>
        <v>7779.6292483221478</v>
      </c>
      <c r="E80" s="50">
        <f t="shared" si="4"/>
        <v>1.5797728940637832E-3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1190296.68</v>
      </c>
      <c r="D81" s="24">
        <f t="shared" si="7"/>
        <v>798.85683221476506</v>
      </c>
      <c r="E81" s="50">
        <f t="shared" si="4"/>
        <v>1.6222011737162498E-4</v>
      </c>
      <c r="F81" s="51"/>
    </row>
    <row r="82" spans="1:6" ht="15.75" customHeight="1" x14ac:dyDescent="0.25">
      <c r="A82" t="str">
        <f t="shared" si="5"/>
        <v>DI MEGLIO JUAN JOSE</v>
      </c>
      <c r="C82" s="66">
        <f t="shared" si="6"/>
        <v>8027165.4100000001</v>
      </c>
      <c r="D82" s="24">
        <f t="shared" si="7"/>
        <v>5387.3593355704697</v>
      </c>
      <c r="E82" s="50">
        <f t="shared" si="4"/>
        <v>1.0939858413884244E-3</v>
      </c>
      <c r="F82" s="51"/>
    </row>
    <row r="83" spans="1:6" ht="15.75" customHeight="1" x14ac:dyDescent="0.25">
      <c r="A83" t="str">
        <f t="shared" si="5"/>
        <v>DI YORIO DIEGO GUILLERMO</v>
      </c>
      <c r="C83" s="66">
        <f t="shared" si="6"/>
        <v>15004000</v>
      </c>
      <c r="D83" s="24">
        <f t="shared" si="7"/>
        <v>10069.79865771812</v>
      </c>
      <c r="E83" s="50">
        <f t="shared" si="4"/>
        <v>2.0448268754676029E-3</v>
      </c>
      <c r="F83" s="51"/>
    </row>
    <row r="84" spans="1:6" ht="15.75" customHeight="1" x14ac:dyDescent="0.25">
      <c r="A84" t="str">
        <f t="shared" si="5"/>
        <v>DISTRIBUCION Y PROFESIONALISMO S.A.</v>
      </c>
      <c r="C84" s="66">
        <f t="shared" si="6"/>
        <v>629975.49</v>
      </c>
      <c r="D84" s="24">
        <f t="shared" si="7"/>
        <v>422.80234228187919</v>
      </c>
      <c r="E84" s="50">
        <f t="shared" si="4"/>
        <v>8.5856492457869377E-5</v>
      </c>
      <c r="F84" s="51"/>
    </row>
    <row r="85" spans="1:6" ht="15.75" customHeight="1" x14ac:dyDescent="0.25">
      <c r="A85" t="str">
        <f t="shared" si="5"/>
        <v>DISTRIBUIDORA ARIES SRL</v>
      </c>
      <c r="C85" s="66">
        <f t="shared" si="6"/>
        <v>185057.4</v>
      </c>
      <c r="D85" s="24">
        <f t="shared" si="7"/>
        <v>124.19959731543624</v>
      </c>
      <c r="E85" s="50">
        <f t="shared" si="4"/>
        <v>2.5220630833388323E-5</v>
      </c>
      <c r="F85" s="51"/>
    </row>
    <row r="86" spans="1:6" ht="15.75" customHeight="1" x14ac:dyDescent="0.25">
      <c r="A86" t="str">
        <f t="shared" si="5"/>
        <v>DISTRIBUIDORA COSIMI SRL</v>
      </c>
      <c r="C86" s="66">
        <f t="shared" si="6"/>
        <v>1318916.76</v>
      </c>
      <c r="D86" s="24">
        <f t="shared" si="7"/>
        <v>885.17903355704698</v>
      </c>
      <c r="E86" s="50">
        <f t="shared" si="4"/>
        <v>1.7974916271345338E-4</v>
      </c>
      <c r="F86" s="51"/>
    </row>
    <row r="87" spans="1:6" ht="15.75" customHeight="1" x14ac:dyDescent="0.25">
      <c r="A87" t="str">
        <f t="shared" si="5"/>
        <v>DISTRIBUIDORA DIKAR SRL</v>
      </c>
      <c r="C87" s="66">
        <f t="shared" si="6"/>
        <v>6994025.3499999996</v>
      </c>
      <c r="D87" s="24">
        <f t="shared" si="7"/>
        <v>4693.9767449664423</v>
      </c>
      <c r="E87" s="50">
        <f t="shared" si="4"/>
        <v>9.5318388452290763E-4</v>
      </c>
      <c r="F87" s="51"/>
    </row>
    <row r="88" spans="1:6" ht="15.75" customHeight="1" x14ac:dyDescent="0.25">
      <c r="A88" t="str">
        <f t="shared" si="5"/>
        <v>DISTRIBUIDORA EL FARO SA</v>
      </c>
      <c r="C88" s="66">
        <f t="shared" si="6"/>
        <v>92220334.879999995</v>
      </c>
      <c r="D88" s="24">
        <f t="shared" si="7"/>
        <v>61892.842201342275</v>
      </c>
      <c r="E88" s="50">
        <f t="shared" si="4"/>
        <v>1.2568289737886323E-2</v>
      </c>
      <c r="F88" s="51"/>
    </row>
    <row r="89" spans="1:6" ht="15.75" customHeight="1" x14ac:dyDescent="0.25">
      <c r="A89" t="str">
        <f t="shared" si="5"/>
        <v>DISTRIBUIDORA LEBENSHON 8061</v>
      </c>
      <c r="C89" s="66">
        <f t="shared" si="6"/>
        <v>8599110</v>
      </c>
      <c r="D89" s="24">
        <f t="shared" si="7"/>
        <v>5771.2147651006708</v>
      </c>
      <c r="E89" s="50">
        <f t="shared" si="4"/>
        <v>1.1719335665890576E-3</v>
      </c>
      <c r="F89" s="51"/>
    </row>
    <row r="90" spans="1:6" ht="15.75" customHeight="1" x14ac:dyDescent="0.25">
      <c r="A90" t="str">
        <f t="shared" si="5"/>
        <v>DISTRIBUIDORA WALLY S. R. L.</v>
      </c>
      <c r="C90" s="66">
        <f t="shared" si="6"/>
        <v>10098400</v>
      </c>
      <c r="D90" s="24">
        <f t="shared" si="7"/>
        <v>6777.4496644295305</v>
      </c>
      <c r="E90" s="50">
        <f t="shared" si="4"/>
        <v>1.3762649772875262E-3</v>
      </c>
      <c r="F90" s="51"/>
    </row>
    <row r="91" spans="1:6" ht="15.75" customHeight="1" x14ac:dyDescent="0.25">
      <c r="A91" t="str">
        <f t="shared" si="5"/>
        <v>DOBLEA REPRESENTACIONES S.R.L.</v>
      </c>
      <c r="C91" s="66">
        <f t="shared" si="6"/>
        <v>2100000</v>
      </c>
      <c r="D91" s="24">
        <f t="shared" si="7"/>
        <v>1409.3959731543623</v>
      </c>
      <c r="E91" s="50">
        <f t="shared" si="4"/>
        <v>2.8619944271407401E-4</v>
      </c>
      <c r="F91" s="51"/>
    </row>
    <row r="92" spans="1:6" ht="15.75" customHeight="1" x14ac:dyDescent="0.25">
      <c r="A92" t="str">
        <f t="shared" si="5"/>
        <v>DOMINGUEZ ROSENDE JOSE DOMINGUEZ ARZONDO ALEJANDRO MARCELO SH</v>
      </c>
      <c r="C92" s="66">
        <f t="shared" si="6"/>
        <v>59013048.520000003</v>
      </c>
      <c r="D92" s="24">
        <f t="shared" si="7"/>
        <v>39606.07283221477</v>
      </c>
      <c r="E92" s="50">
        <f t="shared" si="4"/>
        <v>8.0426198091821961E-3</v>
      </c>
      <c r="F92" s="51"/>
    </row>
    <row r="93" spans="1:6" ht="15.75" customHeight="1" x14ac:dyDescent="0.25">
      <c r="A93" t="str">
        <f t="shared" si="5"/>
        <v>DUARTE MARCELO LUIS RUFINO</v>
      </c>
      <c r="C93" s="66">
        <f t="shared" si="6"/>
        <v>2930000</v>
      </c>
      <c r="D93" s="24">
        <f t="shared" si="7"/>
        <v>1966.4429530201342</v>
      </c>
      <c r="E93" s="50">
        <f t="shared" si="4"/>
        <v>3.9931636531058895E-4</v>
      </c>
      <c r="F93" s="51"/>
    </row>
    <row r="94" spans="1:6" ht="15.75" customHeight="1" x14ac:dyDescent="0.25">
      <c r="A94" t="str">
        <f t="shared" si="5"/>
        <v>DUGAS S.R.L.</v>
      </c>
      <c r="C94" s="66">
        <f t="shared" si="6"/>
        <v>1160637.5900000001</v>
      </c>
      <c r="D94" s="24">
        <f t="shared" si="7"/>
        <v>778.95140268456385</v>
      </c>
      <c r="E94" s="50">
        <f t="shared" si="4"/>
        <v>1.5817801497666951E-4</v>
      </c>
      <c r="F94" s="51"/>
    </row>
    <row r="95" spans="1:6" ht="15.75" customHeight="1" x14ac:dyDescent="0.25">
      <c r="A95" t="str">
        <f t="shared" si="5"/>
        <v>DURAGOM S.R.L.</v>
      </c>
      <c r="C95" s="66">
        <f t="shared" si="6"/>
        <v>91128731.209999993</v>
      </c>
      <c r="D95" s="24">
        <f t="shared" si="7"/>
        <v>61160.222288590601</v>
      </c>
      <c r="E95" s="50">
        <f t="shared" si="4"/>
        <v>1.2419520041686971E-2</v>
      </c>
      <c r="F95" s="51"/>
    </row>
    <row r="96" spans="1:6" ht="15.75" customHeight="1" x14ac:dyDescent="0.25">
      <c r="A96" t="str">
        <f t="shared" si="5"/>
        <v>ECOPETROL SOC DE HECHO DE GARCIA NICOLAS SERGIO Y GARCIA SEBASTIAN ANDRES</v>
      </c>
      <c r="C96" s="66">
        <f t="shared" si="6"/>
        <v>4392303.99</v>
      </c>
      <c r="D96" s="24">
        <f t="shared" si="7"/>
        <v>2947.8550268456379</v>
      </c>
      <c r="E96" s="50">
        <f t="shared" si="4"/>
        <v>5.986071210327637E-4</v>
      </c>
      <c r="F96" s="51"/>
    </row>
    <row r="97" spans="1:6" ht="15.75" customHeight="1" x14ac:dyDescent="0.25">
      <c r="A97" t="str">
        <f t="shared" si="5"/>
        <v>EGUREN JORGE ALBERTO</v>
      </c>
      <c r="C97" s="66">
        <f t="shared" si="6"/>
        <v>3300000</v>
      </c>
      <c r="D97" s="24">
        <f t="shared" si="7"/>
        <v>2214.7651006711408</v>
      </c>
      <c r="E97" s="50">
        <f t="shared" si="4"/>
        <v>4.4974198140783052E-4</v>
      </c>
      <c r="F97" s="51"/>
    </row>
    <row r="98" spans="1:6" ht="15.75" customHeight="1" x14ac:dyDescent="0.25">
      <c r="A98" t="str">
        <f t="shared" si="5"/>
        <v>EL MEJOR CAFE DEL PUERTO S.R.L.</v>
      </c>
      <c r="C98" s="66">
        <f t="shared" si="6"/>
        <v>15524004.76</v>
      </c>
      <c r="D98" s="24">
        <f t="shared" si="7"/>
        <v>10418.795140939597</v>
      </c>
      <c r="E98" s="50">
        <f t="shared" si="4"/>
        <v>2.1156959576203011E-3</v>
      </c>
      <c r="F98" s="51"/>
    </row>
    <row r="99" spans="1:6" ht="15.75" customHeight="1" x14ac:dyDescent="0.25">
      <c r="A99" t="str">
        <f t="shared" si="5"/>
        <v>ELECTRONICA NAVAL S.A.</v>
      </c>
      <c r="C99" s="66">
        <f t="shared" si="6"/>
        <v>16353372.75</v>
      </c>
      <c r="D99" s="24">
        <f t="shared" si="7"/>
        <v>10975.417953020135</v>
      </c>
      <c r="E99" s="50">
        <f t="shared" si="4"/>
        <v>2.2287267464502496E-3</v>
      </c>
      <c r="F99" s="51"/>
    </row>
    <row r="100" spans="1:6" ht="15.75" customHeight="1" x14ac:dyDescent="0.25">
      <c r="A100" t="str">
        <f t="shared" si="5"/>
        <v>EMPRESA DE COMBUSTIBLES ZONA COMUN SA</v>
      </c>
      <c r="C100" s="66">
        <f t="shared" si="6"/>
        <v>26384001.600000001</v>
      </c>
      <c r="D100" s="24">
        <f t="shared" si="7"/>
        <v>17707.383624161073</v>
      </c>
      <c r="E100" s="50">
        <f t="shared" si="4"/>
        <v>3.5957555021367792E-3</v>
      </c>
      <c r="F100" s="51"/>
    </row>
    <row r="101" spans="1:6" ht="15.75" customHeight="1" x14ac:dyDescent="0.25">
      <c r="A101" t="str">
        <f t="shared" si="5"/>
        <v>ENTRETENIMIENTOS Y SERVICIOS SRL</v>
      </c>
      <c r="C101" s="66">
        <f t="shared" si="6"/>
        <v>3884100</v>
      </c>
      <c r="D101" s="24">
        <f t="shared" si="7"/>
        <v>2606.7785234899329</v>
      </c>
      <c r="E101" s="50">
        <f t="shared" si="4"/>
        <v>5.2934631211701657E-4</v>
      </c>
      <c r="F101" s="51"/>
    </row>
    <row r="102" spans="1:6" ht="15.75" customHeight="1" x14ac:dyDescent="0.25">
      <c r="A102" t="str">
        <f t="shared" si="5"/>
        <v>ERRIQUENZ HNOS S.R.L</v>
      </c>
      <c r="C102" s="66">
        <f t="shared" si="6"/>
        <v>13787486.810000001</v>
      </c>
      <c r="D102" s="24">
        <f t="shared" si="7"/>
        <v>9253.3468523489937</v>
      </c>
      <c r="E102" s="50">
        <f t="shared" si="4"/>
        <v>1.8790338292617363E-3</v>
      </c>
      <c r="F102" s="51"/>
    </row>
    <row r="103" spans="1:6" ht="15.75" customHeight="1" x14ac:dyDescent="0.25">
      <c r="A103" t="str">
        <f t="shared" si="5"/>
        <v>ESLABONES S.A.</v>
      </c>
      <c r="C103" s="66">
        <f t="shared" si="6"/>
        <v>541544.67000000004</v>
      </c>
      <c r="D103" s="24">
        <f t="shared" si="7"/>
        <v>363.45279865771818</v>
      </c>
      <c r="E103" s="50">
        <f t="shared" si="4"/>
        <v>7.3804658456560544E-5</v>
      </c>
      <c r="F103" s="51"/>
    </row>
    <row r="104" spans="1:6" ht="15.75" customHeight="1" x14ac:dyDescent="0.25">
      <c r="A104" t="str">
        <f t="shared" si="5"/>
        <v>ESQUIVEL MARCOS ALBERTO</v>
      </c>
      <c r="C104" s="66">
        <f t="shared" si="6"/>
        <v>1415700</v>
      </c>
      <c r="D104" s="24">
        <f t="shared" si="7"/>
        <v>950.13422818791946</v>
      </c>
      <c r="E104" s="50">
        <f t="shared" si="4"/>
        <v>1.9293931002395932E-4</v>
      </c>
      <c r="F104" s="51"/>
    </row>
    <row r="105" spans="1:6" ht="15.75" customHeight="1" x14ac:dyDescent="0.25">
      <c r="A105" t="str">
        <f t="shared" si="5"/>
        <v>EUROPATAGONICA S A</v>
      </c>
      <c r="C105" s="66">
        <f t="shared" si="6"/>
        <v>921769.47</v>
      </c>
      <c r="D105" s="24">
        <f t="shared" si="7"/>
        <v>618.63722818791939</v>
      </c>
      <c r="E105" s="50">
        <f t="shared" si="4"/>
        <v>1.2562376601183206E-4</v>
      </c>
      <c r="F105" s="51"/>
    </row>
    <row r="106" spans="1:6" ht="15.75" customHeight="1" x14ac:dyDescent="0.25">
      <c r="A106" t="str">
        <f t="shared" si="5"/>
        <v>EXACTIAN CONSULTING S.A.</v>
      </c>
      <c r="C106" s="66">
        <f t="shared" si="6"/>
        <v>1551026.4</v>
      </c>
      <c r="D106" s="24">
        <f t="shared" si="7"/>
        <v>1040.9573154362415</v>
      </c>
      <c r="E106" s="50">
        <f t="shared" si="4"/>
        <v>2.1138232919753162E-4</v>
      </c>
      <c r="F106" s="51"/>
    </row>
    <row r="107" spans="1:6" ht="15.75" customHeight="1" x14ac:dyDescent="0.25">
      <c r="A107" t="str">
        <f t="shared" si="5"/>
        <v>EXOLGAN S.A.</v>
      </c>
      <c r="C107" s="66">
        <f t="shared" si="6"/>
        <v>290181.01</v>
      </c>
      <c r="D107" s="24">
        <f t="shared" si="7"/>
        <v>194.752355704698</v>
      </c>
      <c r="E107" s="50">
        <f t="shared" si="4"/>
        <v>3.9547449213431975E-5</v>
      </c>
      <c r="F107" s="51"/>
    </row>
    <row r="108" spans="1:6" ht="15.75" customHeight="1" x14ac:dyDescent="0.25">
      <c r="A108" t="str">
        <f t="shared" si="5"/>
        <v>FABRICA DE CHACINADOS MAR DEL PLATA SRL</v>
      </c>
      <c r="C108" s="66">
        <f t="shared" si="6"/>
        <v>2687273.09</v>
      </c>
      <c r="D108" s="24">
        <f t="shared" si="7"/>
        <v>1803.538986577181</v>
      </c>
      <c r="E108" s="50">
        <f t="shared" si="4"/>
        <v>3.6623621941834648E-4</v>
      </c>
      <c r="F108" s="51"/>
    </row>
    <row r="109" spans="1:6" ht="15.75" customHeight="1" x14ac:dyDescent="0.25">
      <c r="A109" t="str">
        <f t="shared" si="5"/>
        <v>FADECCO S. A.</v>
      </c>
      <c r="C109" s="66">
        <f t="shared" si="6"/>
        <v>106151155.79000001</v>
      </c>
      <c r="D109" s="24">
        <f t="shared" si="7"/>
        <v>71242.386436241621</v>
      </c>
      <c r="E109" s="50">
        <f t="shared" si="4"/>
        <v>1.4466857919310882E-2</v>
      </c>
      <c r="F109" s="51"/>
    </row>
    <row r="110" spans="1:6" ht="15.75" customHeight="1" x14ac:dyDescent="0.25">
      <c r="A110" t="str">
        <f t="shared" si="5"/>
        <v>FAMIQ SRL</v>
      </c>
      <c r="C110" s="66">
        <f t="shared" si="6"/>
        <v>3370097.65</v>
      </c>
      <c r="D110" s="24">
        <f t="shared" si="7"/>
        <v>2261.8105033557044</v>
      </c>
      <c r="E110" s="50">
        <f t="shared" si="4"/>
        <v>4.5929527110571917E-4</v>
      </c>
      <c r="F110" s="51"/>
    </row>
    <row r="111" spans="1:6" ht="15.75" customHeight="1" x14ac:dyDescent="0.25">
      <c r="A111" t="str">
        <f t="shared" si="5"/>
        <v>FARMACIA PORTOLURO SOCIEDAD EN COMANDITA SIMPLE</v>
      </c>
      <c r="C111" s="66">
        <f t="shared" si="6"/>
        <v>2846839.66</v>
      </c>
      <c r="D111" s="24">
        <f t="shared" si="7"/>
        <v>1910.6306442953021</v>
      </c>
      <c r="E111" s="50">
        <f t="shared" si="4"/>
        <v>3.8798282104205903E-4</v>
      </c>
      <c r="F111" s="51"/>
    </row>
    <row r="112" spans="1:6" ht="15.75" customHeight="1" x14ac:dyDescent="0.25">
      <c r="A112" t="str">
        <f t="shared" si="5"/>
        <v>FEADAR S.A.</v>
      </c>
      <c r="C112" s="66">
        <f t="shared" si="6"/>
        <v>145393.60000000001</v>
      </c>
      <c r="D112" s="24">
        <f t="shared" si="7"/>
        <v>97.579597315436246</v>
      </c>
      <c r="E112" s="50">
        <f t="shared" si="4"/>
        <v>1.9815032044853806E-5</v>
      </c>
      <c r="F112" s="51"/>
    </row>
    <row r="113" spans="1:6" ht="15.75" customHeight="1" x14ac:dyDescent="0.25">
      <c r="A113" t="str">
        <f t="shared" si="5"/>
        <v>FEDERICO BRUSCANTINI SRL</v>
      </c>
      <c r="C113" s="66">
        <f t="shared" si="6"/>
        <v>18200</v>
      </c>
      <c r="D113" s="24">
        <f t="shared" si="7"/>
        <v>12.214765100671141</v>
      </c>
      <c r="E113" s="50">
        <f t="shared" si="4"/>
        <v>2.4803951701886415E-6</v>
      </c>
      <c r="F113" s="51"/>
    </row>
    <row r="114" spans="1:6" ht="15.75" customHeight="1" x14ac:dyDescent="0.25">
      <c r="A114" t="str">
        <f t="shared" si="5"/>
        <v>FEIJO NICOLAS EDUARDO</v>
      </c>
      <c r="C114" s="66">
        <f t="shared" si="6"/>
        <v>1560000</v>
      </c>
      <c r="D114" s="24">
        <f t="shared" si="7"/>
        <v>1046.979865771812</v>
      </c>
      <c r="E114" s="50">
        <f t="shared" si="4"/>
        <v>2.1260530030188353E-4</v>
      </c>
      <c r="F114" s="51"/>
    </row>
    <row r="115" spans="1:6" ht="15.75" customHeight="1" x14ac:dyDescent="0.25">
      <c r="A115" t="str">
        <f t="shared" si="5"/>
        <v>FENICIOS GLOBAL S.R.L.</v>
      </c>
      <c r="C115" s="66">
        <f t="shared" si="6"/>
        <v>2571368.9900000002</v>
      </c>
      <c r="D115" s="24">
        <f t="shared" si="7"/>
        <v>1725.7510000000002</v>
      </c>
      <c r="E115" s="50">
        <f t="shared" si="4"/>
        <v>3.5044017711916735E-4</v>
      </c>
      <c r="F115" s="51"/>
    </row>
    <row r="116" spans="1:6" ht="15.75" customHeight="1" x14ac:dyDescent="0.25">
      <c r="A116" t="str">
        <f t="shared" si="5"/>
        <v>FERRARI MARIO JOSE CARMELO</v>
      </c>
      <c r="C116" s="66">
        <f t="shared" si="6"/>
        <v>0.02</v>
      </c>
      <c r="D116" s="24">
        <f t="shared" si="7"/>
        <v>1.3422818791946309E-5</v>
      </c>
      <c r="E116" s="50">
        <f t="shared" si="4"/>
        <v>2.7257089782292763E-12</v>
      </c>
      <c r="F116" s="51"/>
    </row>
    <row r="117" spans="1:6" ht="15.75" customHeight="1" x14ac:dyDescent="0.25">
      <c r="A117" t="str">
        <f t="shared" si="5"/>
        <v>FERRARO MARIANO ANDRES</v>
      </c>
      <c r="C117" s="66">
        <f t="shared" si="6"/>
        <v>5098940</v>
      </c>
      <c r="D117" s="24">
        <f t="shared" si="7"/>
        <v>3422.1073825503354</v>
      </c>
      <c r="E117" s="50">
        <f t="shared" si="4"/>
        <v>6.9491132687261924E-4</v>
      </c>
      <c r="F117" s="51"/>
    </row>
    <row r="118" spans="1:6" ht="15.75" customHeight="1" x14ac:dyDescent="0.25">
      <c r="A118" t="str">
        <f t="shared" si="5"/>
        <v>FERREYRA ALVARO GERMAN</v>
      </c>
      <c r="C118" s="66">
        <f t="shared" si="6"/>
        <v>5037230.01</v>
      </c>
      <c r="D118" s="24">
        <f t="shared" si="7"/>
        <v>3380.6912818791943</v>
      </c>
      <c r="E118" s="50">
        <f t="shared" si="4"/>
        <v>6.8650115318314732E-4</v>
      </c>
      <c r="F118" s="51"/>
    </row>
    <row r="119" spans="1:6" ht="15.75" customHeight="1" x14ac:dyDescent="0.25">
      <c r="A119" t="str">
        <f t="shared" si="5"/>
        <v>FESCAP S.A.</v>
      </c>
      <c r="C119" s="66">
        <f t="shared" si="6"/>
        <v>3222002.58</v>
      </c>
      <c r="D119" s="24">
        <f t="shared" si="7"/>
        <v>2162.4178389261747</v>
      </c>
      <c r="E119" s="50">
        <f t="shared" si="4"/>
        <v>4.3911206800919465E-4</v>
      </c>
      <c r="F119" s="51"/>
    </row>
    <row r="120" spans="1:6" ht="15.75" customHeight="1" x14ac:dyDescent="0.25">
      <c r="A120" t="str">
        <f t="shared" si="5"/>
        <v>FIDALGO MARIA VANESA</v>
      </c>
      <c r="C120" s="66">
        <f t="shared" si="6"/>
        <v>400000</v>
      </c>
      <c r="D120" s="24">
        <f t="shared" si="7"/>
        <v>268.45637583892619</v>
      </c>
      <c r="E120" s="50">
        <f t="shared" si="4"/>
        <v>5.4514179564585525E-5</v>
      </c>
      <c r="F120" s="51"/>
    </row>
    <row r="121" spans="1:6" ht="15.75" customHeight="1" x14ac:dyDescent="0.25">
      <c r="A121" t="str">
        <f t="shared" si="5"/>
        <v>FILIPPI FEDERICO ALEJANDRO</v>
      </c>
      <c r="C121" s="66">
        <f t="shared" si="6"/>
        <v>8403620.2200000007</v>
      </c>
      <c r="D121" s="24">
        <f t="shared" si="7"/>
        <v>5640.0135704697996</v>
      </c>
      <c r="E121" s="50">
        <f t="shared" si="4"/>
        <v>1.1452911541641544E-3</v>
      </c>
      <c r="F121" s="51"/>
    </row>
    <row r="122" spans="1:6" ht="15.75" customHeight="1" x14ac:dyDescent="0.25">
      <c r="A122" t="str">
        <f t="shared" si="5"/>
        <v>FILTROS FILMAR SRL</v>
      </c>
      <c r="C122" s="66">
        <f t="shared" si="6"/>
        <v>6631163</v>
      </c>
      <c r="D122" s="24">
        <f t="shared" si="7"/>
        <v>4450.444966442953</v>
      </c>
      <c r="E122" s="50">
        <f t="shared" si="4"/>
        <v>9.0373102626008911E-4</v>
      </c>
      <c r="F122" s="51"/>
    </row>
    <row r="123" spans="1:6" ht="15.75" customHeight="1" x14ac:dyDescent="0.25">
      <c r="A123" t="str">
        <f t="shared" si="5"/>
        <v>FINNING ARGENTINA SA</v>
      </c>
      <c r="C123" s="66">
        <f t="shared" si="6"/>
        <v>-3904.38</v>
      </c>
      <c r="D123" s="24">
        <f t="shared" si="7"/>
        <v>-2.6203892617449664</v>
      </c>
      <c r="E123" s="50">
        <f t="shared" si="4"/>
        <v>-5.3211018102094102E-7</v>
      </c>
      <c r="F123" s="51"/>
    </row>
    <row r="124" spans="1:6" ht="15.75" customHeight="1" x14ac:dyDescent="0.25">
      <c r="A124" t="str">
        <f t="shared" si="5"/>
        <v>FIREFISH SA</v>
      </c>
      <c r="C124" s="66">
        <f t="shared" si="6"/>
        <v>1720323.79</v>
      </c>
      <c r="D124" s="24">
        <f t="shared" si="7"/>
        <v>1154.5797248322149</v>
      </c>
      <c r="E124" s="50">
        <f t="shared" si="4"/>
        <v>2.3445509999322082E-4</v>
      </c>
      <c r="F124" s="51"/>
    </row>
    <row r="125" spans="1:6" ht="15.75" customHeight="1" x14ac:dyDescent="0.25">
      <c r="A125" t="str">
        <f t="shared" si="5"/>
        <v>FORTIN REPUBLICA SA</v>
      </c>
      <c r="C125" s="66">
        <f t="shared" si="6"/>
        <v>238590.8</v>
      </c>
      <c r="D125" s="24">
        <f t="shared" si="7"/>
        <v>160.12805369127517</v>
      </c>
      <c r="E125" s="50">
        <f t="shared" si="4"/>
        <v>3.251645428414528E-5</v>
      </c>
      <c r="F125" s="51"/>
    </row>
    <row r="126" spans="1:6" ht="15.75" customHeight="1" x14ac:dyDescent="0.25">
      <c r="A126" t="str">
        <f t="shared" si="5"/>
        <v>FRESCOMAR ARGENTINA SA</v>
      </c>
      <c r="C126" s="66">
        <f t="shared" si="6"/>
        <v>40367.35</v>
      </c>
      <c r="D126" s="24">
        <f t="shared" si="7"/>
        <v>27.092181208053692</v>
      </c>
      <c r="E126" s="50">
        <f t="shared" si="4"/>
        <v>5.5014824161161785E-6</v>
      </c>
      <c r="F126" s="51"/>
    </row>
    <row r="127" spans="1:6" ht="15.75" customHeight="1" x14ac:dyDescent="0.25">
      <c r="A127" t="str">
        <f t="shared" si="5"/>
        <v>FRIOPACK S.A.</v>
      </c>
      <c r="C127" s="66">
        <f t="shared" si="6"/>
        <v>7293601.8499999996</v>
      </c>
      <c r="D127" s="24">
        <f t="shared" si="7"/>
        <v>4895.0347986577181</v>
      </c>
      <c r="E127" s="50">
        <f t="shared" si="4"/>
        <v>9.9401180230873284E-4</v>
      </c>
      <c r="F127" s="51"/>
    </row>
    <row r="128" spans="1:6" ht="15.75" customHeight="1" x14ac:dyDescent="0.25">
      <c r="A128" t="str">
        <f t="shared" si="5"/>
        <v>FS TECNICA  INDUSTRIAL SRL</v>
      </c>
      <c r="C128" s="66">
        <f t="shared" si="6"/>
        <v>128077.24</v>
      </c>
      <c r="D128" s="24">
        <f t="shared" si="7"/>
        <v>85.957879194630877</v>
      </c>
      <c r="E128" s="50">
        <f t="shared" si="4"/>
        <v>1.7455064148741289E-5</v>
      </c>
      <c r="F128" s="51"/>
    </row>
    <row r="129" spans="1:6" ht="15.75" customHeight="1" x14ac:dyDescent="0.25">
      <c r="A129" t="str">
        <f t="shared" si="5"/>
        <v>FUNDACION DESFIBRILAR</v>
      </c>
      <c r="C129" s="66">
        <f t="shared" si="6"/>
        <v>405000</v>
      </c>
      <c r="D129" s="24">
        <f t="shared" si="7"/>
        <v>271.81208053691273</v>
      </c>
      <c r="E129" s="50">
        <f t="shared" si="4"/>
        <v>5.519560680914284E-5</v>
      </c>
      <c r="F129" s="51"/>
    </row>
    <row r="130" spans="1:6" ht="15.75" customHeight="1" x14ac:dyDescent="0.25">
      <c r="A130" t="str">
        <f t="shared" si="5"/>
        <v>G4 CONSULTING SA</v>
      </c>
      <c r="C130" s="66">
        <f t="shared" si="6"/>
        <v>6948388.7000000002</v>
      </c>
      <c r="D130" s="24">
        <f t="shared" si="7"/>
        <v>4663.348120805369</v>
      </c>
      <c r="E130" s="50">
        <f t="shared" si="4"/>
        <v>9.4696427319084246E-4</v>
      </c>
      <c r="F130" s="51"/>
    </row>
    <row r="131" spans="1:6" ht="15.75" customHeight="1" x14ac:dyDescent="0.25">
      <c r="A131" t="str">
        <f t="shared" si="5"/>
        <v>GALLARDO ANTONIO SEBASTIAN</v>
      </c>
      <c r="C131" s="66">
        <f t="shared" si="6"/>
        <v>2504700</v>
      </c>
      <c r="D131" s="24">
        <f t="shared" si="7"/>
        <v>1681.0067114093961</v>
      </c>
      <c r="E131" s="50">
        <f t="shared" si="4"/>
        <v>3.4135416388854345E-4</v>
      </c>
      <c r="F131" s="51"/>
    </row>
    <row r="132" spans="1:6" ht="15.75" customHeight="1" x14ac:dyDescent="0.25">
      <c r="A132" t="str">
        <f t="shared" si="5"/>
        <v>GANADERA EL MUDO S.A.</v>
      </c>
      <c r="C132" s="66">
        <f t="shared" si="6"/>
        <v>11366046.439999999</v>
      </c>
      <c r="D132" s="24">
        <f t="shared" si="7"/>
        <v>7628.2190872483216</v>
      </c>
      <c r="E132" s="50">
        <f t="shared" si="4"/>
        <v>1.549026741423945E-3</v>
      </c>
      <c r="F132" s="51"/>
    </row>
    <row r="133" spans="1:6" ht="15.75" customHeight="1" x14ac:dyDescent="0.25">
      <c r="A133" t="str">
        <f t="shared" si="5"/>
        <v>GARCIA ERNESTO HORACIO</v>
      </c>
      <c r="C133" s="66">
        <f t="shared" si="6"/>
        <v>19656000</v>
      </c>
      <c r="D133" s="24">
        <f t="shared" si="7"/>
        <v>13191.946308724831</v>
      </c>
      <c r="E133" s="50">
        <f t="shared" ref="E133:E196" si="8">+D133/$D$324</f>
        <v>2.6788267838037325E-3</v>
      </c>
      <c r="F133" s="51"/>
    </row>
    <row r="134" spans="1:6" ht="15.75" customHeight="1" x14ac:dyDescent="0.25">
      <c r="A134" t="str">
        <f t="shared" ref="A134:A197" si="9">+B612</f>
        <v>GARCIA WALTER CARLOS - CAE</v>
      </c>
      <c r="C134" s="66">
        <f t="shared" ref="C134:C197" si="10">+K612</f>
        <v>36297.58</v>
      </c>
      <c r="D134" s="24">
        <f t="shared" ref="D134:D197" si="11">+C134/$D$3</f>
        <v>24.360791946308726</v>
      </c>
      <c r="E134" s="50">
        <f t="shared" si="8"/>
        <v>4.946831984699771E-6</v>
      </c>
      <c r="F134" s="51"/>
    </row>
    <row r="135" spans="1:6" ht="15.75" customHeight="1" x14ac:dyDescent="0.25">
      <c r="A135" t="str">
        <f t="shared" si="9"/>
        <v>GARMIN</v>
      </c>
      <c r="C135" s="66">
        <f t="shared" si="10"/>
        <v>-387219.15</v>
      </c>
      <c r="D135" s="24">
        <f t="shared" si="11"/>
        <v>-259.87862416107384</v>
      </c>
      <c r="E135" s="50">
        <f t="shared" si="8"/>
        <v>-5.2772335684865446E-5</v>
      </c>
      <c r="F135" s="51"/>
    </row>
    <row r="136" spans="1:6" ht="15.75" customHeight="1" x14ac:dyDescent="0.25">
      <c r="A136" t="str">
        <f t="shared" si="9"/>
        <v>GASPRODUCT SRL</v>
      </c>
      <c r="C136" s="66">
        <f t="shared" si="10"/>
        <v>2708708.42</v>
      </c>
      <c r="D136" s="24">
        <f t="shared" si="11"/>
        <v>1817.9251140939598</v>
      </c>
      <c r="E136" s="50">
        <f t="shared" si="8"/>
        <v>3.6915754298996186E-4</v>
      </c>
      <c r="F136" s="51"/>
    </row>
    <row r="137" spans="1:6" ht="15.75" customHeight="1" x14ac:dyDescent="0.25">
      <c r="A137" t="str">
        <f t="shared" si="9"/>
        <v>GEMIN LUIS ALBERTO</v>
      </c>
      <c r="C137" s="66">
        <f t="shared" si="10"/>
        <v>435600</v>
      </c>
      <c r="D137" s="24">
        <f t="shared" si="11"/>
        <v>292.34899328859058</v>
      </c>
      <c r="E137" s="50">
        <f t="shared" si="8"/>
        <v>5.9365941545833627E-5</v>
      </c>
      <c r="F137" s="51"/>
    </row>
    <row r="138" spans="1:6" ht="15.75" customHeight="1" x14ac:dyDescent="0.25">
      <c r="A138" t="str">
        <f t="shared" si="9"/>
        <v>GERAHARD HNOS SOCIEDAD DE RESPONSABILIDAD LIMITADA EN FORMACION</v>
      </c>
      <c r="C138" s="66">
        <f t="shared" si="10"/>
        <v>39595210</v>
      </c>
      <c r="D138" s="24">
        <f t="shared" si="11"/>
        <v>26573.96644295302</v>
      </c>
      <c r="E138" s="50">
        <f t="shared" si="8"/>
        <v>5.3962509695936814E-3</v>
      </c>
      <c r="F138" s="51"/>
    </row>
    <row r="139" spans="1:6" ht="15.75" customHeight="1" x14ac:dyDescent="0.25">
      <c r="A139" t="str">
        <f t="shared" si="9"/>
        <v>GINIAMO SA</v>
      </c>
      <c r="C139" s="66">
        <f t="shared" si="10"/>
        <v>8081128.5099999998</v>
      </c>
      <c r="D139" s="24">
        <f t="shared" si="11"/>
        <v>5423.5761812080536</v>
      </c>
      <c r="E139" s="50">
        <f t="shared" si="8"/>
        <v>1.1013402266965787E-3</v>
      </c>
      <c r="F139" s="51"/>
    </row>
    <row r="140" spans="1:6" ht="15.75" customHeight="1" x14ac:dyDescent="0.25">
      <c r="A140" t="str">
        <f t="shared" si="9"/>
        <v>GLARIA ANABELA</v>
      </c>
      <c r="C140" s="66">
        <f t="shared" si="10"/>
        <v>665500</v>
      </c>
      <c r="D140" s="24">
        <f t="shared" si="11"/>
        <v>446.6442953020134</v>
      </c>
      <c r="E140" s="50">
        <f t="shared" si="8"/>
        <v>9.0697966250579158E-5</v>
      </c>
      <c r="F140" s="51"/>
    </row>
    <row r="141" spans="1:6" ht="15.75" customHeight="1" x14ac:dyDescent="0.25">
      <c r="A141" t="str">
        <f t="shared" si="9"/>
        <v>GOGNIAT SOLDADURA SA</v>
      </c>
      <c r="C141" s="66">
        <f t="shared" si="10"/>
        <v>4058540.81</v>
      </c>
      <c r="D141" s="24">
        <f t="shared" si="11"/>
        <v>2723.8528926174499</v>
      </c>
      <c r="E141" s="50">
        <f t="shared" si="8"/>
        <v>5.5312005621634597E-4</v>
      </c>
      <c r="F141" s="51"/>
    </row>
    <row r="142" spans="1:6" ht="15.75" customHeight="1" x14ac:dyDescent="0.25">
      <c r="A142" t="str">
        <f t="shared" si="9"/>
        <v>GOMATEX S.R.L.</v>
      </c>
      <c r="C142" s="66">
        <f t="shared" si="10"/>
        <v>687825.6</v>
      </c>
      <c r="D142" s="24">
        <f t="shared" si="11"/>
        <v>461.62791946308721</v>
      </c>
      <c r="E142" s="50">
        <f t="shared" si="8"/>
        <v>9.3740620668796937E-5</v>
      </c>
      <c r="F142" s="51"/>
    </row>
    <row r="143" spans="1:6" ht="15.75" customHeight="1" x14ac:dyDescent="0.25">
      <c r="A143" t="str">
        <f t="shared" si="9"/>
        <v>GRAMAJO PABLO MARTIN</v>
      </c>
      <c r="C143" s="66">
        <f t="shared" si="10"/>
        <v>311500</v>
      </c>
      <c r="D143" s="24">
        <f t="shared" si="11"/>
        <v>209.06040268456377</v>
      </c>
      <c r="E143" s="50">
        <f t="shared" si="8"/>
        <v>4.2452917335920976E-5</v>
      </c>
      <c r="F143" s="51"/>
    </row>
    <row r="144" spans="1:6" ht="15.75" customHeight="1" x14ac:dyDescent="0.25">
      <c r="A144" t="str">
        <f t="shared" si="9"/>
        <v>GRECO GUILLERMINA EDITH</v>
      </c>
      <c r="C144" s="66">
        <f t="shared" si="10"/>
        <v>1003000</v>
      </c>
      <c r="D144" s="24">
        <f t="shared" si="11"/>
        <v>673.15436241610735</v>
      </c>
      <c r="E144" s="50">
        <f t="shared" si="8"/>
        <v>1.366943052581982E-4</v>
      </c>
      <c r="F144" s="51"/>
    </row>
    <row r="145" spans="1:6" ht="15.75" customHeight="1" x14ac:dyDescent="0.25">
      <c r="A145" t="str">
        <f t="shared" si="9"/>
        <v>GRUPO HIGIENE CBA S.A.</v>
      </c>
      <c r="C145" s="66">
        <f t="shared" si="10"/>
        <v>748110.12</v>
      </c>
      <c r="D145" s="24">
        <f t="shared" si="11"/>
        <v>502.08732885906039</v>
      </c>
      <c r="E145" s="50">
        <f t="shared" si="8"/>
        <v>1.0195652353940906E-4</v>
      </c>
      <c r="F145" s="51"/>
    </row>
    <row r="146" spans="1:6" ht="15.75" customHeight="1" x14ac:dyDescent="0.25">
      <c r="A146" t="str">
        <f t="shared" si="9"/>
        <v>GRUPO MELECSUR S.R.L.</v>
      </c>
      <c r="C146" s="66">
        <f t="shared" si="10"/>
        <v>142838.15</v>
      </c>
      <c r="D146" s="24">
        <f t="shared" si="11"/>
        <v>95.864530201342276</v>
      </c>
      <c r="E146" s="50">
        <f t="shared" si="8"/>
        <v>1.9466761394433002E-5</v>
      </c>
      <c r="F146" s="51"/>
    </row>
    <row r="147" spans="1:6" ht="15.75" customHeight="1" x14ac:dyDescent="0.25">
      <c r="A147" t="str">
        <f t="shared" si="9"/>
        <v>GRUPO NUCLEO S.A.</v>
      </c>
      <c r="C147" s="66">
        <f t="shared" si="10"/>
        <v>153672.95999999999</v>
      </c>
      <c r="D147" s="24">
        <f t="shared" si="11"/>
        <v>103.13621476510066</v>
      </c>
      <c r="E147" s="50">
        <f t="shared" si="8"/>
        <v>2.0943388339153419E-5</v>
      </c>
      <c r="F147" s="51"/>
    </row>
    <row r="148" spans="1:6" ht="15.75" customHeight="1" x14ac:dyDescent="0.25">
      <c r="A148" t="str">
        <f t="shared" si="9"/>
        <v>GUANTES FLANDRIA S.A.</v>
      </c>
      <c r="C148" s="66">
        <f t="shared" si="10"/>
        <v>12769328.34</v>
      </c>
      <c r="D148" s="24">
        <f t="shared" si="11"/>
        <v>8570.0190201342284</v>
      </c>
      <c r="E148" s="50">
        <f t="shared" si="8"/>
        <v>1.740273645114777E-3</v>
      </c>
      <c r="F148" s="51"/>
    </row>
    <row r="149" spans="1:6" ht="15.75" customHeight="1" x14ac:dyDescent="0.25">
      <c r="A149" t="str">
        <f t="shared" si="9"/>
        <v>GUEDIKIAN IMPRESORES SA</v>
      </c>
      <c r="C149" s="66">
        <f t="shared" si="10"/>
        <v>426013559.64999998</v>
      </c>
      <c r="D149" s="24">
        <f t="shared" si="11"/>
        <v>285915.14070469799</v>
      </c>
      <c r="E149" s="50">
        <f t="shared" si="8"/>
        <v>5.8059449219270913E-2</v>
      </c>
      <c r="F149" s="51"/>
    </row>
    <row r="150" spans="1:6" ht="15.75" customHeight="1" x14ac:dyDescent="0.25">
      <c r="A150" t="str">
        <f t="shared" si="9"/>
        <v>HANDLER 04 MDP</v>
      </c>
      <c r="C150" s="66">
        <f t="shared" si="10"/>
        <v>8993535.8100000005</v>
      </c>
      <c r="D150" s="24">
        <f t="shared" si="11"/>
        <v>6035.9300738255033</v>
      </c>
      <c r="E150" s="50">
        <f t="shared" si="8"/>
        <v>1.2256880651671752E-3</v>
      </c>
      <c r="F150" s="51"/>
    </row>
    <row r="151" spans="1:6" ht="15.75" customHeight="1" x14ac:dyDescent="0.25">
      <c r="A151" t="str">
        <f t="shared" si="9"/>
        <v>HAUNOLD VIVIANA</v>
      </c>
      <c r="C151" s="66">
        <f t="shared" si="10"/>
        <v>8272466</v>
      </c>
      <c r="D151" s="24">
        <f t="shared" si="11"/>
        <v>5551.9906040268461</v>
      </c>
      <c r="E151" s="50">
        <f t="shared" si="8"/>
        <v>1.1274167424148215E-3</v>
      </c>
      <c r="F151" s="51"/>
    </row>
    <row r="152" spans="1:6" ht="15.75" customHeight="1" x14ac:dyDescent="0.25">
      <c r="A152" t="str">
        <f t="shared" si="9"/>
        <v>HENNING JUAN FEDERICO</v>
      </c>
      <c r="C152" s="66">
        <f t="shared" si="10"/>
        <v>3698100.65</v>
      </c>
      <c r="D152" s="24">
        <f t="shared" si="11"/>
        <v>2481.946744966443</v>
      </c>
      <c r="E152" s="50">
        <f t="shared" si="8"/>
        <v>5.0399730720502613E-4</v>
      </c>
      <c r="F152" s="51"/>
    </row>
    <row r="153" spans="1:6" ht="15.75" customHeight="1" x14ac:dyDescent="0.25">
      <c r="A153" t="str">
        <f t="shared" si="9"/>
        <v>HERNANDEZ CORTES MIGUEL</v>
      </c>
      <c r="C153" s="66">
        <f t="shared" si="10"/>
        <v>4247000</v>
      </c>
      <c r="D153" s="24">
        <f t="shared" si="11"/>
        <v>2850.3355704697988</v>
      </c>
      <c r="E153" s="50">
        <f t="shared" si="8"/>
        <v>5.7880430152698679E-4</v>
      </c>
      <c r="F153" s="51"/>
    </row>
    <row r="154" spans="1:6" ht="15.75" customHeight="1" x14ac:dyDescent="0.25">
      <c r="A154" t="str">
        <f t="shared" si="9"/>
        <v>HIDRAMIC S.R.L.</v>
      </c>
      <c r="C154" s="66">
        <f t="shared" si="10"/>
        <v>6255279.7199999997</v>
      </c>
      <c r="D154" s="24">
        <f t="shared" si="11"/>
        <v>4198.1743087248324</v>
      </c>
      <c r="E154" s="50">
        <f t="shared" si="8"/>
        <v>8.5250360470697569E-4</v>
      </c>
      <c r="F154" s="51"/>
    </row>
    <row r="155" spans="1:6" ht="15.75" customHeight="1" x14ac:dyDescent="0.25">
      <c r="A155" t="str">
        <f t="shared" si="9"/>
        <v>HIDRAULICA MAR DEL PLATA S.A.</v>
      </c>
      <c r="C155" s="66">
        <f t="shared" si="10"/>
        <v>-258135.9</v>
      </c>
      <c r="D155" s="24">
        <f t="shared" si="11"/>
        <v>-173.24557046979865</v>
      </c>
      <c r="E155" s="50">
        <f t="shared" si="8"/>
        <v>-3.518016701166473E-5</v>
      </c>
      <c r="F155" s="51"/>
    </row>
    <row r="156" spans="1:6" ht="15.75" customHeight="1" x14ac:dyDescent="0.25">
      <c r="A156" t="str">
        <f t="shared" si="9"/>
        <v>HIDRAULICA Y NEUMATICA SRL</v>
      </c>
      <c r="C156" s="66">
        <f t="shared" si="10"/>
        <v>14142961.199999999</v>
      </c>
      <c r="D156" s="24">
        <f t="shared" si="11"/>
        <v>9491.9202684563752</v>
      </c>
      <c r="E156" s="50">
        <f t="shared" si="8"/>
        <v>1.9274798160794147E-3</v>
      </c>
      <c r="F156" s="51"/>
    </row>
    <row r="157" spans="1:6" ht="15.75" customHeight="1" x14ac:dyDescent="0.25">
      <c r="A157" t="str">
        <f t="shared" si="9"/>
        <v>HOLMBACK JORGE EDUARDO</v>
      </c>
      <c r="C157" s="66">
        <f t="shared" si="10"/>
        <v>63472</v>
      </c>
      <c r="D157" s="24">
        <f t="shared" si="11"/>
        <v>42.598657718120805</v>
      </c>
      <c r="E157" s="50">
        <f t="shared" si="8"/>
        <v>8.6503100133084307E-6</v>
      </c>
      <c r="F157" s="51"/>
    </row>
    <row r="158" spans="1:6" ht="15.75" customHeight="1" x14ac:dyDescent="0.25">
      <c r="A158" t="str">
        <f t="shared" si="9"/>
        <v>HORNI MIGUEL EDGARDO</v>
      </c>
      <c r="C158" s="66">
        <f t="shared" si="10"/>
        <v>1095627.3799999999</v>
      </c>
      <c r="D158" s="24">
        <f t="shared" si="11"/>
        <v>735.32038926174494</v>
      </c>
      <c r="E158" s="50">
        <f t="shared" si="8"/>
        <v>1.4931806932299093E-4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59421.651872483228</v>
      </c>
      <c r="E159" s="50">
        <f t="shared" si="8"/>
        <v>1.206647668574813E-2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208570.12</v>
      </c>
      <c r="D160" s="24">
        <f t="shared" si="11"/>
        <v>139.97994630872483</v>
      </c>
      <c r="E160" s="50">
        <f t="shared" si="8"/>
        <v>2.8425072433717878E-5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2106.3723422818794</v>
      </c>
      <c r="E161" s="50">
        <f t="shared" si="8"/>
        <v>4.2773117136144038E-4</v>
      </c>
      <c r="F161" s="51"/>
    </row>
    <row r="162" spans="1:6" ht="15.75" customHeight="1" x14ac:dyDescent="0.25">
      <c r="A162" t="str">
        <f t="shared" si="9"/>
        <v>INDUSTRIAS DE PASCALE S.A.</v>
      </c>
      <c r="C162" s="66">
        <f t="shared" si="10"/>
        <v>3345054.85</v>
      </c>
      <c r="D162" s="24">
        <f t="shared" si="11"/>
        <v>2245.0032550335573</v>
      </c>
      <c r="E162" s="50">
        <f t="shared" si="8"/>
        <v>4.5588230186571928E-4</v>
      </c>
      <c r="F162" s="51"/>
    </row>
    <row r="163" spans="1:6" ht="15.75" customHeight="1" x14ac:dyDescent="0.25">
      <c r="A163" t="str">
        <f t="shared" si="9"/>
        <v>INDUSTRIAS FERRI</v>
      </c>
      <c r="C163" s="66">
        <f t="shared" si="10"/>
        <v>5896891</v>
      </c>
      <c r="D163" s="24">
        <f t="shared" si="11"/>
        <v>3957.6449664429529</v>
      </c>
      <c r="E163" s="50">
        <f t="shared" si="8"/>
        <v>8.0366043711697075E-4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84431.97</v>
      </c>
      <c r="D164" s="24">
        <f t="shared" si="11"/>
        <v>56.665751677852349</v>
      </c>
      <c r="E164" s="50">
        <f t="shared" si="8"/>
        <v>1.1506848933929245E-5</v>
      </c>
      <c r="F164" s="51"/>
    </row>
    <row r="165" spans="1:6" ht="15.75" customHeight="1" x14ac:dyDescent="0.25">
      <c r="A165" t="str">
        <f t="shared" si="9"/>
        <v>INTEGRACION DE ALIMENTOS Y SERVICIOS S.A.</v>
      </c>
      <c r="C165" s="66">
        <f t="shared" si="10"/>
        <v>763912.63</v>
      </c>
      <c r="D165" s="24">
        <f t="shared" si="11"/>
        <v>512.69304026845634</v>
      </c>
      <c r="E165" s="50">
        <f t="shared" si="8"/>
        <v>1.0411017570868694E-4</v>
      </c>
      <c r="F165" s="51"/>
    </row>
    <row r="166" spans="1:6" ht="15.75" customHeight="1" x14ac:dyDescent="0.25">
      <c r="A166" t="str">
        <f t="shared" si="9"/>
        <v>INTEGRAL PUERTO SANO S.R.L.</v>
      </c>
      <c r="C166" s="66">
        <f t="shared" si="10"/>
        <v>-0.01</v>
      </c>
      <c r="D166" s="24">
        <f t="shared" si="11"/>
        <v>-6.7114093959731546E-6</v>
      </c>
      <c r="E166" s="50">
        <f t="shared" si="8"/>
        <v>-1.3628544891146381E-12</v>
      </c>
      <c r="F166" s="51"/>
    </row>
    <row r="167" spans="1:6" ht="15.75" customHeight="1" x14ac:dyDescent="0.25">
      <c r="A167" t="str">
        <f t="shared" si="9"/>
        <v>INTERLOG S.A.</v>
      </c>
      <c r="C167" s="66">
        <f t="shared" si="10"/>
        <v>55957353.579999998</v>
      </c>
      <c r="D167" s="24">
        <f t="shared" si="11"/>
        <v>37555.270859060402</v>
      </c>
      <c r="E167" s="50">
        <f t="shared" si="8"/>
        <v>7.6261730525478064E-3</v>
      </c>
      <c r="F167" s="51"/>
    </row>
    <row r="168" spans="1:6" ht="15.75" customHeight="1" x14ac:dyDescent="0.25">
      <c r="A168" t="str">
        <f t="shared" si="9"/>
        <v>ISF SOFT S.A.</v>
      </c>
      <c r="C168" s="66">
        <f t="shared" si="10"/>
        <v>2820004.22</v>
      </c>
      <c r="D168" s="24">
        <f t="shared" si="11"/>
        <v>1892.6202818791949</v>
      </c>
      <c r="E168" s="50">
        <f t="shared" si="8"/>
        <v>3.8432554105492241E-4</v>
      </c>
      <c r="F168" s="51"/>
    </row>
    <row r="169" spans="1:6" ht="15.75" customHeight="1" x14ac:dyDescent="0.25">
      <c r="A169" t="str">
        <f t="shared" si="9"/>
        <v>J KOSTZER LIBRERIA LURO S R L</v>
      </c>
      <c r="C169" s="66">
        <f t="shared" si="10"/>
        <v>88029.32</v>
      </c>
      <c r="D169" s="24">
        <f t="shared" si="11"/>
        <v>59.080080536912753</v>
      </c>
      <c r="E169" s="50">
        <f t="shared" si="8"/>
        <v>1.1997115393570899E-5</v>
      </c>
      <c r="F169" s="51"/>
    </row>
    <row r="170" spans="1:6" ht="15.75" customHeight="1" x14ac:dyDescent="0.25">
      <c r="A170" t="str">
        <f t="shared" si="9"/>
        <v>JAN-MARK SRL</v>
      </c>
      <c r="C170" s="66">
        <f t="shared" si="10"/>
        <v>3014017.32</v>
      </c>
      <c r="D170" s="24">
        <f t="shared" si="11"/>
        <v>2022.8304161073825</v>
      </c>
      <c r="E170" s="50">
        <f t="shared" si="8"/>
        <v>4.1076670348312707E-4</v>
      </c>
      <c r="F170" s="51"/>
    </row>
    <row r="171" spans="1:6" ht="15.75" customHeight="1" x14ac:dyDescent="0.25">
      <c r="A171" t="str">
        <f t="shared" si="9"/>
        <v>JEZAHEL S.A.</v>
      </c>
      <c r="C171" s="66">
        <f t="shared" si="10"/>
        <v>760969</v>
      </c>
      <c r="D171" s="24">
        <f t="shared" si="11"/>
        <v>510.71744966442952</v>
      </c>
      <c r="E171" s="50">
        <f t="shared" si="8"/>
        <v>1.0370900177270771E-4</v>
      </c>
      <c r="F171" s="51"/>
    </row>
    <row r="172" spans="1:6" ht="15.75" customHeight="1" x14ac:dyDescent="0.25">
      <c r="A172" t="str">
        <f t="shared" si="9"/>
        <v>JOSE MOSCUZZA Y CIA SACI</v>
      </c>
      <c r="C172" s="66">
        <f t="shared" si="10"/>
        <v>136553443.47</v>
      </c>
      <c r="D172" s="24">
        <f t="shared" si="11"/>
        <v>91646.606355704702</v>
      </c>
      <c r="E172" s="50">
        <f t="shared" si="8"/>
        <v>1.8610247343715147E-2</v>
      </c>
      <c r="F172" s="51"/>
    </row>
    <row r="173" spans="1:6" ht="15.75" customHeight="1" x14ac:dyDescent="0.25">
      <c r="A173" t="str">
        <f t="shared" si="9"/>
        <v>KIENE DIESEL</v>
      </c>
      <c r="C173" s="66">
        <f t="shared" si="10"/>
        <v>335045.59999999998</v>
      </c>
      <c r="D173" s="24">
        <f t="shared" si="11"/>
        <v>224.8628187919463</v>
      </c>
      <c r="E173" s="50">
        <f t="shared" si="8"/>
        <v>4.5661840001810739E-5</v>
      </c>
      <c r="F173" s="51"/>
    </row>
    <row r="174" spans="1:6" ht="15.75" customHeight="1" x14ac:dyDescent="0.25">
      <c r="A174" t="str">
        <f t="shared" si="9"/>
        <v>KOREA MARINE INDUSTRIAL CO LTD</v>
      </c>
      <c r="C174" s="66">
        <f t="shared" si="10"/>
        <v>1782642.4</v>
      </c>
      <c r="D174" s="24">
        <f t="shared" si="11"/>
        <v>1196.4042953020135</v>
      </c>
      <c r="E174" s="50">
        <f t="shared" si="8"/>
        <v>2.4294821973260924E-4</v>
      </c>
      <c r="F174" s="51"/>
    </row>
    <row r="175" spans="1:6" ht="15.75" customHeight="1" x14ac:dyDescent="0.25">
      <c r="A175" t="str">
        <f t="shared" si="9"/>
        <v>KUHN PALACIOS Y PEREZ S.R.L</v>
      </c>
      <c r="C175" s="66">
        <f t="shared" si="10"/>
        <v>17398550</v>
      </c>
      <c r="D175" s="24">
        <f t="shared" si="11"/>
        <v>11676.879194630872</v>
      </c>
      <c r="E175" s="50">
        <f t="shared" si="8"/>
        <v>2.3711691971585484E-3</v>
      </c>
      <c r="F175" s="51"/>
    </row>
    <row r="176" spans="1:6" ht="15.75" customHeight="1" x14ac:dyDescent="0.25">
      <c r="A176" t="str">
        <f t="shared" si="9"/>
        <v>LA ACADEMIA 2001 SRL</v>
      </c>
      <c r="C176" s="66">
        <f t="shared" si="10"/>
        <v>3400000</v>
      </c>
      <c r="D176" s="24">
        <f t="shared" si="11"/>
        <v>2281.8791946308725</v>
      </c>
      <c r="E176" s="50">
        <f t="shared" si="8"/>
        <v>4.6337052629897695E-4</v>
      </c>
      <c r="F176" s="51"/>
    </row>
    <row r="177" spans="1:6" ht="15.75" customHeight="1" x14ac:dyDescent="0.25">
      <c r="A177" t="str">
        <f t="shared" si="9"/>
        <v>LA CASA DEL FLEXIBLE SRL.</v>
      </c>
      <c r="C177" s="66">
        <f t="shared" si="10"/>
        <v>1921676</v>
      </c>
      <c r="D177" s="24">
        <f t="shared" si="11"/>
        <v>1289.7154362416106</v>
      </c>
      <c r="E177" s="50">
        <f t="shared" si="8"/>
        <v>2.6189647632238612E-4</v>
      </c>
      <c r="F177" s="51"/>
    </row>
    <row r="178" spans="1:6" ht="15.75" customHeight="1" x14ac:dyDescent="0.25">
      <c r="A178" t="str">
        <f t="shared" si="9"/>
        <v>LA NUEVA ASTURIANA S.A.</v>
      </c>
      <c r="C178" s="66">
        <f t="shared" si="10"/>
        <v>3796373.31</v>
      </c>
      <c r="D178" s="24">
        <f t="shared" si="11"/>
        <v>2547.9015503355704</v>
      </c>
      <c r="E178" s="50">
        <f t="shared" si="8"/>
        <v>5.1739044078884971E-4</v>
      </c>
      <c r="F178" s="51"/>
    </row>
    <row r="179" spans="1:6" ht="15.75" customHeight="1" x14ac:dyDescent="0.25">
      <c r="A179" t="str">
        <f t="shared" si="9"/>
        <v>LABORATORIO BIOQUIMICO MAR DEL PLATA  S.A.</v>
      </c>
      <c r="C179" s="66">
        <f t="shared" si="10"/>
        <v>1050883.26</v>
      </c>
      <c r="D179" s="24">
        <f t="shared" si="11"/>
        <v>705.29077852348996</v>
      </c>
      <c r="E179" s="50">
        <f t="shared" si="8"/>
        <v>1.4322009684264255E-4</v>
      </c>
      <c r="F179" s="51"/>
    </row>
    <row r="180" spans="1:6" ht="15.75" customHeight="1" x14ac:dyDescent="0.25">
      <c r="A180" t="str">
        <f t="shared" si="9"/>
        <v>LAKAUT S.A.</v>
      </c>
      <c r="C180" s="66">
        <f t="shared" si="10"/>
        <v>458474.11</v>
      </c>
      <c r="D180" s="24">
        <f t="shared" si="11"/>
        <v>307.70074496644293</v>
      </c>
      <c r="E180" s="50">
        <f t="shared" si="8"/>
        <v>6.2483349895633834E-5</v>
      </c>
      <c r="F180" s="51"/>
    </row>
    <row r="181" spans="1:6" ht="15.75" customHeight="1" x14ac:dyDescent="0.25">
      <c r="A181" t="str">
        <f t="shared" si="9"/>
        <v>LAMAZON GILDO WERFIL</v>
      </c>
      <c r="C181" s="66">
        <f t="shared" si="10"/>
        <v>859100</v>
      </c>
      <c r="D181" s="24">
        <f t="shared" si="11"/>
        <v>576.57718120805373</v>
      </c>
      <c r="E181" s="50">
        <f t="shared" si="8"/>
        <v>1.1708282915983857E-4</v>
      </c>
      <c r="F181" s="51"/>
    </row>
    <row r="182" spans="1:6" ht="15.75" customHeight="1" x14ac:dyDescent="0.25">
      <c r="A182" t="str">
        <f t="shared" si="9"/>
        <v>LLADO EDGARDO NORBERTO</v>
      </c>
      <c r="C182" s="66">
        <f t="shared" si="10"/>
        <v>3180000</v>
      </c>
      <c r="D182" s="24">
        <f t="shared" si="11"/>
        <v>2134.2281879194629</v>
      </c>
      <c r="E182" s="50">
        <f t="shared" si="8"/>
        <v>4.3338772753845491E-4</v>
      </c>
      <c r="F182" s="51"/>
    </row>
    <row r="183" spans="1:6" ht="15.75" customHeight="1" x14ac:dyDescent="0.25">
      <c r="A183" t="str">
        <f t="shared" si="9"/>
        <v>LOAD SRL</v>
      </c>
      <c r="C183" s="66">
        <f t="shared" si="10"/>
        <v>1876212.69</v>
      </c>
      <c r="D183" s="24">
        <f t="shared" si="11"/>
        <v>1259.2031476510067</v>
      </c>
      <c r="E183" s="50">
        <f t="shared" si="8"/>
        <v>2.557004887100351E-4</v>
      </c>
      <c r="F183" s="51"/>
    </row>
    <row r="184" spans="1:6" ht="15.75" customHeight="1" x14ac:dyDescent="0.25">
      <c r="A184" t="str">
        <f t="shared" si="9"/>
        <v>LOGISTICA VIPAMAR SA</v>
      </c>
      <c r="C184" s="66">
        <f t="shared" si="10"/>
        <v>22506000</v>
      </c>
      <c r="D184" s="24">
        <f t="shared" si="11"/>
        <v>15104.697986577181</v>
      </c>
      <c r="E184" s="50">
        <f t="shared" si="8"/>
        <v>3.0672403132014046E-3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87120</v>
      </c>
      <c r="D185" s="24">
        <f t="shared" si="11"/>
        <v>58.469798657718123</v>
      </c>
      <c r="E185" s="50">
        <f t="shared" si="8"/>
        <v>1.1873188309166728E-5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6511000</v>
      </c>
      <c r="D186" s="24">
        <f t="shared" si="11"/>
        <v>4369.7986577181209</v>
      </c>
      <c r="E186" s="50">
        <f t="shared" si="8"/>
        <v>8.8735455786254091E-4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42840</v>
      </c>
      <c r="D187" s="24">
        <f t="shared" si="11"/>
        <v>28.751677852348994</v>
      </c>
      <c r="E187" s="50">
        <f t="shared" si="8"/>
        <v>5.8384686313671095E-6</v>
      </c>
      <c r="F187" s="51"/>
    </row>
    <row r="188" spans="1:6" ht="15.75" customHeight="1" x14ac:dyDescent="0.25">
      <c r="A188" t="str">
        <f t="shared" si="9"/>
        <v>LUMATEC SRL</v>
      </c>
      <c r="C188" s="66">
        <f t="shared" si="10"/>
        <v>374765.85</v>
      </c>
      <c r="D188" s="24">
        <f t="shared" si="11"/>
        <v>251.52070469798656</v>
      </c>
      <c r="E188" s="50">
        <f t="shared" si="8"/>
        <v>5.1075132103936305E-5</v>
      </c>
      <c r="F188" s="51"/>
    </row>
    <row r="189" spans="1:6" ht="15.75" customHeight="1" x14ac:dyDescent="0.25">
      <c r="A189" t="str">
        <f t="shared" si="9"/>
        <v>M D Q QUIMICA GARVEY S A</v>
      </c>
      <c r="C189" s="66">
        <f t="shared" si="10"/>
        <v>5471799.2599999998</v>
      </c>
      <c r="D189" s="24">
        <f t="shared" si="11"/>
        <v>3672.3484966442952</v>
      </c>
      <c r="E189" s="50">
        <f t="shared" si="8"/>
        <v>7.4572661850251542E-4</v>
      </c>
      <c r="F189" s="51"/>
    </row>
    <row r="190" spans="1:6" ht="15.75" customHeight="1" x14ac:dyDescent="0.25">
      <c r="A190" t="str">
        <f t="shared" si="9"/>
        <v>M.F. S.A.</v>
      </c>
      <c r="C190" s="66">
        <f t="shared" si="10"/>
        <v>20675185.300000001</v>
      </c>
      <c r="D190" s="24">
        <f t="shared" si="11"/>
        <v>13875.963288590605</v>
      </c>
      <c r="E190" s="50">
        <f t="shared" si="8"/>
        <v>2.8177269099381977E-3</v>
      </c>
      <c r="F190" s="51"/>
    </row>
    <row r="191" spans="1:6" ht="15.75" customHeight="1" x14ac:dyDescent="0.25">
      <c r="A191" t="str">
        <f t="shared" si="9"/>
        <v>MADERAS MISIONES S. A.</v>
      </c>
      <c r="C191" s="66">
        <f t="shared" si="10"/>
        <v>8799788.1099999994</v>
      </c>
      <c r="D191" s="24">
        <f t="shared" si="11"/>
        <v>5905.8980604026838</v>
      </c>
      <c r="E191" s="50">
        <f t="shared" si="8"/>
        <v>1.1992830728971115E-3</v>
      </c>
      <c r="F191" s="51"/>
    </row>
    <row r="192" spans="1:6" ht="15.75" customHeight="1" x14ac:dyDescent="0.25">
      <c r="A192" t="str">
        <f t="shared" si="9"/>
        <v>MAERSK LINE ARGENTINA S.A.</v>
      </c>
      <c r="C192" s="66">
        <f t="shared" si="10"/>
        <v>79550</v>
      </c>
      <c r="D192" s="24">
        <f t="shared" si="11"/>
        <v>53.38926174496644</v>
      </c>
      <c r="E192" s="50">
        <f t="shared" si="8"/>
        <v>1.0841507460906946E-5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1400000</v>
      </c>
      <c r="D193" s="24">
        <f t="shared" si="11"/>
        <v>939.59731543624162</v>
      </c>
      <c r="E193" s="50">
        <f t="shared" si="8"/>
        <v>1.9079962847604935E-4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145.23489932885906</v>
      </c>
      <c r="E194" s="50">
        <f t="shared" si="8"/>
        <v>2.9492171144440767E-5</v>
      </c>
      <c r="F194" s="51"/>
    </row>
    <row r="195" spans="1:6" ht="15.75" customHeight="1" x14ac:dyDescent="0.25">
      <c r="A195" t="str">
        <f t="shared" si="9"/>
        <v>MANTENIMIENTOS SUDESTE EMPRESA DE SERVICIOS SRL</v>
      </c>
      <c r="C195" s="66">
        <f t="shared" si="10"/>
        <v>24077668.629999999</v>
      </c>
      <c r="D195" s="24">
        <f t="shared" si="11"/>
        <v>16159.509147651006</v>
      </c>
      <c r="E195" s="50">
        <f t="shared" si="8"/>
        <v>3.2814358779810196E-3</v>
      </c>
      <c r="F195" s="51"/>
    </row>
    <row r="196" spans="1:6" ht="15.75" customHeight="1" x14ac:dyDescent="0.25">
      <c r="A196" t="str">
        <f t="shared" si="9"/>
        <v>MAR DEL PLATA PORT MANAGEMENT SRL</v>
      </c>
      <c r="C196" s="66">
        <f t="shared" si="10"/>
        <v>170554696.61000001</v>
      </c>
      <c r="D196" s="24">
        <f t="shared" si="11"/>
        <v>114466.23933557048</v>
      </c>
      <c r="E196" s="50">
        <f t="shared" si="8"/>
        <v>2.3244123391452369E-2</v>
      </c>
      <c r="F196" s="51"/>
    </row>
    <row r="197" spans="1:6" ht="15.75" customHeight="1" x14ac:dyDescent="0.25">
      <c r="A197" t="str">
        <f t="shared" si="9"/>
        <v>MAR DEL PLATA SODA S A</v>
      </c>
      <c r="C197" s="66">
        <f t="shared" si="10"/>
        <v>661314.64</v>
      </c>
      <c r="D197" s="24">
        <f t="shared" si="11"/>
        <v>443.83532885906044</v>
      </c>
      <c r="E197" s="50">
        <f t="shared" ref="E197:E260" si="12">+D197/$D$324</f>
        <v>9.0127562584123086E-5</v>
      </c>
      <c r="F197" s="51"/>
    </row>
    <row r="198" spans="1:6" ht="15.75" customHeight="1" x14ac:dyDescent="0.25">
      <c r="A198" t="str">
        <f t="shared" ref="A198:A261" si="13">+B676</f>
        <v>MARCELO D. RODRIGUEZ CONSULTORES TRIBUTARIOS Y AUDITORES ASOCIADOS S.A.</v>
      </c>
      <c r="C198" s="66">
        <f t="shared" ref="C198:C261" si="14">+K676</f>
        <v>2116290</v>
      </c>
      <c r="D198" s="24">
        <f t="shared" ref="D198:D261" si="15">+C198/$D$3</f>
        <v>1420.3288590604027</v>
      </c>
      <c r="E198" s="50">
        <f t="shared" si="12"/>
        <v>2.8841953267684175E-4</v>
      </c>
      <c r="F198" s="51"/>
    </row>
    <row r="199" spans="1:6" ht="15.75" customHeight="1" x14ac:dyDescent="0.25">
      <c r="A199" t="str">
        <f t="shared" si="13"/>
        <v>MARESAT COMMUNICATIONS LLP</v>
      </c>
      <c r="C199" s="66">
        <f t="shared" si="14"/>
        <v>65690391</v>
      </c>
      <c r="D199" s="24">
        <f t="shared" si="15"/>
        <v>44087.510738255034</v>
      </c>
      <c r="E199" s="50">
        <f t="shared" si="12"/>
        <v>8.9526444266045824E-3</v>
      </c>
      <c r="F199" s="51"/>
    </row>
    <row r="200" spans="1:6" ht="15.75" customHeight="1" x14ac:dyDescent="0.25">
      <c r="A200" t="str">
        <f t="shared" si="13"/>
        <v>MARITIMA GITAN SA</v>
      </c>
      <c r="C200" s="66">
        <f t="shared" si="14"/>
        <v>30696237</v>
      </c>
      <c r="D200" s="24">
        <f t="shared" si="15"/>
        <v>20601.501342281877</v>
      </c>
      <c r="E200" s="50">
        <f t="shared" si="12"/>
        <v>4.183450439437685E-3</v>
      </c>
      <c r="F200" s="51"/>
    </row>
    <row r="201" spans="1:6" ht="15.75" customHeight="1" x14ac:dyDescent="0.25">
      <c r="A201" t="str">
        <f t="shared" si="13"/>
        <v>MARITIMA OBISPO S.A.S.</v>
      </c>
      <c r="C201" s="66">
        <f t="shared" si="14"/>
        <v>1182500</v>
      </c>
      <c r="D201" s="24">
        <f t="shared" si="15"/>
        <v>793.62416107382546</v>
      </c>
      <c r="E201" s="50">
        <f t="shared" si="12"/>
        <v>1.6115754333780594E-4</v>
      </c>
      <c r="F201" s="51"/>
    </row>
    <row r="202" spans="1:6" ht="15.75" customHeight="1" x14ac:dyDescent="0.25">
      <c r="A202" t="str">
        <f t="shared" si="13"/>
        <v>MARTINEZ ROSANA PATRICIA</v>
      </c>
      <c r="C202" s="66">
        <f t="shared" si="14"/>
        <v>3485163</v>
      </c>
      <c r="D202" s="24">
        <f t="shared" si="15"/>
        <v>2339.0355704697986</v>
      </c>
      <c r="E202" s="50">
        <f t="shared" si="12"/>
        <v>4.7497700398462395E-4</v>
      </c>
      <c r="F202" s="51"/>
    </row>
    <row r="203" spans="1:6" ht="15.75" customHeight="1" x14ac:dyDescent="0.25">
      <c r="A203" t="str">
        <f t="shared" si="13"/>
        <v>MASSA LUIS ALEJANDRO</v>
      </c>
      <c r="C203" s="66">
        <f t="shared" si="14"/>
        <v>1942195.2</v>
      </c>
      <c r="D203" s="24">
        <f t="shared" si="15"/>
        <v>1303.4867114093959</v>
      </c>
      <c r="E203" s="50">
        <f t="shared" si="12"/>
        <v>2.6469294470569021E-4</v>
      </c>
      <c r="F203" s="51"/>
    </row>
    <row r="204" spans="1:6" ht="15.75" customHeight="1" x14ac:dyDescent="0.25">
      <c r="A204" t="str">
        <f t="shared" si="13"/>
        <v>MATTINA HNOS S.A.C.I.A.N.</v>
      </c>
      <c r="C204" s="66">
        <f t="shared" si="14"/>
        <v>102195450.58</v>
      </c>
      <c r="D204" s="24">
        <f t="shared" si="15"/>
        <v>68587.55072483221</v>
      </c>
      <c r="E204" s="50">
        <f t="shared" si="12"/>
        <v>1.3927752859004614E-2</v>
      </c>
      <c r="F204" s="51"/>
    </row>
    <row r="205" spans="1:6" ht="15.75" customHeight="1" x14ac:dyDescent="0.25">
      <c r="A205" t="str">
        <f t="shared" si="13"/>
        <v>MAYEKAWA ARGENTINA S.A.</v>
      </c>
      <c r="C205" s="66">
        <f t="shared" si="14"/>
        <v>97686918.5</v>
      </c>
      <c r="D205" s="24">
        <f t="shared" si="15"/>
        <v>65561.690268456383</v>
      </c>
      <c r="E205" s="50">
        <f t="shared" si="12"/>
        <v>1.331330554055008E-2</v>
      </c>
      <c r="F205" s="51"/>
    </row>
    <row r="206" spans="1:6" ht="15.75" customHeight="1" x14ac:dyDescent="0.25">
      <c r="A206" t="str">
        <f t="shared" si="13"/>
        <v>MEDINA LEONEL JESUS</v>
      </c>
      <c r="C206" s="66">
        <f t="shared" si="14"/>
        <v>5150000</v>
      </c>
      <c r="D206" s="24">
        <f t="shared" si="15"/>
        <v>3456.3758389261743</v>
      </c>
      <c r="E206" s="50">
        <f t="shared" si="12"/>
        <v>7.0187006189403856E-4</v>
      </c>
      <c r="F206" s="51"/>
    </row>
    <row r="207" spans="1:6" ht="15.75" customHeight="1" x14ac:dyDescent="0.25">
      <c r="A207" t="str">
        <f t="shared" si="13"/>
        <v>MEDITERRANEAN SHIPPING COMPANY S A</v>
      </c>
      <c r="C207" s="66">
        <f t="shared" si="14"/>
        <v>58760</v>
      </c>
      <c r="D207" s="24">
        <f t="shared" si="15"/>
        <v>39.436241610738257</v>
      </c>
      <c r="E207" s="50">
        <f t="shared" si="12"/>
        <v>8.0081329780376138E-6</v>
      </c>
      <c r="F207" s="51"/>
    </row>
    <row r="208" spans="1:6" ht="15.75" customHeight="1" x14ac:dyDescent="0.25">
      <c r="A208" t="str">
        <f t="shared" si="13"/>
        <v>METALGEN FORJA SRL</v>
      </c>
      <c r="C208" s="66">
        <f t="shared" si="14"/>
        <v>0.01</v>
      </c>
      <c r="D208" s="24">
        <f t="shared" si="15"/>
        <v>6.7114093959731546E-6</v>
      </c>
      <c r="E208" s="50">
        <f t="shared" si="12"/>
        <v>1.3628544891146381E-12</v>
      </c>
      <c r="F208" s="51"/>
    </row>
    <row r="209" spans="1:6" ht="15.75" customHeight="1" x14ac:dyDescent="0.25">
      <c r="A209" t="str">
        <f t="shared" si="13"/>
        <v>MEYER SACIF</v>
      </c>
      <c r="C209" s="66">
        <f t="shared" si="14"/>
        <v>6460366.6600000001</v>
      </c>
      <c r="D209" s="24">
        <f t="shared" si="15"/>
        <v>4335.8165503355704</v>
      </c>
      <c r="E209" s="50">
        <f t="shared" si="12"/>
        <v>8.8045397039075409E-4</v>
      </c>
      <c r="F209" s="51"/>
    </row>
    <row r="210" spans="1:6" ht="15.75" customHeight="1" x14ac:dyDescent="0.25">
      <c r="A210" t="str">
        <f t="shared" si="13"/>
        <v>MIATELLO OSCAR ALBERTO</v>
      </c>
      <c r="C210" s="66">
        <f t="shared" si="14"/>
        <v>393216.12</v>
      </c>
      <c r="D210" s="24">
        <f t="shared" si="15"/>
        <v>263.90343624161073</v>
      </c>
      <c r="E210" s="50">
        <f t="shared" si="12"/>
        <v>5.3589635433424023E-5</v>
      </c>
      <c r="F210" s="51"/>
    </row>
    <row r="211" spans="1:6" ht="15.75" customHeight="1" x14ac:dyDescent="0.25">
      <c r="A211" t="str">
        <f t="shared" si="13"/>
        <v>MICCIO´S SOCIEDAD ANONIMA</v>
      </c>
      <c r="C211" s="66">
        <f t="shared" si="14"/>
        <v>24741167.370000001</v>
      </c>
      <c r="D211" s="24">
        <f t="shared" si="15"/>
        <v>16604.810315436243</v>
      </c>
      <c r="E211" s="50">
        <f t="shared" si="12"/>
        <v>3.3718611016141107E-3</v>
      </c>
      <c r="F211" s="51"/>
    </row>
    <row r="212" spans="1:6" ht="15.75" customHeight="1" x14ac:dyDescent="0.25">
      <c r="A212" t="str">
        <f t="shared" si="13"/>
        <v>MOENS PABLO ENRIQUE</v>
      </c>
      <c r="C212" s="66">
        <f t="shared" si="14"/>
        <v>833250.81</v>
      </c>
      <c r="D212" s="24">
        <f t="shared" si="15"/>
        <v>559.22873154362424</v>
      </c>
      <c r="E212" s="50">
        <f t="shared" si="12"/>
        <v>1.1355996069669085E-4</v>
      </c>
      <c r="F212" s="51"/>
    </row>
    <row r="213" spans="1:6" ht="15.75" customHeight="1" x14ac:dyDescent="0.25">
      <c r="A213" t="str">
        <f t="shared" si="13"/>
        <v>MONITOREO Y VIGILANCIA MEDINILLA S.A</v>
      </c>
      <c r="C213" s="66">
        <f t="shared" si="14"/>
        <v>126647269.98</v>
      </c>
      <c r="D213" s="24">
        <f t="shared" si="15"/>
        <v>84998.167771812077</v>
      </c>
      <c r="E213" s="50">
        <f t="shared" si="12"/>
        <v>1.7260180042635655E-2</v>
      </c>
      <c r="F213" s="51"/>
    </row>
    <row r="214" spans="1:6" ht="15.75" customHeight="1" x14ac:dyDescent="0.25">
      <c r="A214" t="str">
        <f t="shared" si="13"/>
        <v>MONTERO S.A.</v>
      </c>
      <c r="C214" s="66">
        <f t="shared" si="14"/>
        <v>19272355.149999999</v>
      </c>
      <c r="D214" s="24">
        <f t="shared" si="15"/>
        <v>12934.466543624159</v>
      </c>
      <c r="E214" s="50">
        <f t="shared" si="12"/>
        <v>2.6265415731989111E-3</v>
      </c>
      <c r="F214" s="51"/>
    </row>
    <row r="215" spans="1:6" ht="15.75" customHeight="1" x14ac:dyDescent="0.25">
      <c r="A215" t="str">
        <f t="shared" si="13"/>
        <v>MOREIRA ROLANDO RAMON</v>
      </c>
      <c r="C215" s="66">
        <f t="shared" si="14"/>
        <v>460000.26</v>
      </c>
      <c r="D215" s="24">
        <f t="shared" si="15"/>
        <v>308.72500671140938</v>
      </c>
      <c r="E215" s="50">
        <f t="shared" si="12"/>
        <v>6.2691341933490067E-5</v>
      </c>
      <c r="F215" s="51"/>
    </row>
    <row r="216" spans="1:6" ht="15.75" customHeight="1" x14ac:dyDescent="0.25">
      <c r="A216" t="str">
        <f t="shared" si="13"/>
        <v>MOTORES ELECTRICOS MAR DEL PLATA S.R.L.</v>
      </c>
      <c r="C216" s="66">
        <f t="shared" si="14"/>
        <v>2493577.81</v>
      </c>
      <c r="D216" s="24">
        <f t="shared" si="15"/>
        <v>1673.5421543624161</v>
      </c>
      <c r="E216" s="50">
        <f t="shared" si="12"/>
        <v>3.3983837123151479E-4</v>
      </c>
      <c r="F216" s="51"/>
    </row>
    <row r="217" spans="1:6" ht="15.75" customHeight="1" x14ac:dyDescent="0.25">
      <c r="A217" t="str">
        <f t="shared" si="13"/>
        <v>MRT SA</v>
      </c>
      <c r="C217" s="66">
        <f t="shared" si="14"/>
        <v>4232504.9800000004</v>
      </c>
      <c r="D217" s="24">
        <f t="shared" si="15"/>
        <v>2840.6073691275169</v>
      </c>
      <c r="E217" s="50">
        <f t="shared" si="12"/>
        <v>5.7682884121930617E-4</v>
      </c>
      <c r="F217" s="51"/>
    </row>
    <row r="218" spans="1:6" ht="15.75" customHeight="1" x14ac:dyDescent="0.25">
      <c r="A218" t="str">
        <f t="shared" si="13"/>
        <v>N.M.A. NAUTIC TECH ENGINEERING SUPPORT SLU</v>
      </c>
      <c r="C218" s="66">
        <f t="shared" si="14"/>
        <v>13351649.470000001</v>
      </c>
      <c r="D218" s="24">
        <f t="shared" si="15"/>
        <v>8960.8385704697994</v>
      </c>
      <c r="E218" s="50">
        <f t="shared" si="12"/>
        <v>1.819635541727458E-3</v>
      </c>
      <c r="F218" s="51"/>
    </row>
    <row r="219" spans="1:6" ht="15.75" customHeight="1" x14ac:dyDescent="0.25">
      <c r="A219" t="str">
        <f t="shared" si="13"/>
        <v>NAUTIQ SERVICE S.A.</v>
      </c>
      <c r="C219" s="66">
        <f t="shared" si="14"/>
        <v>2672760.4</v>
      </c>
      <c r="D219" s="24">
        <f t="shared" si="15"/>
        <v>1793.7989261744965</v>
      </c>
      <c r="E219" s="50">
        <f t="shared" si="12"/>
        <v>3.6425835094678352E-4</v>
      </c>
      <c r="F219" s="51"/>
    </row>
    <row r="220" spans="1:6" ht="15.75" customHeight="1" x14ac:dyDescent="0.25">
      <c r="A220" t="str">
        <f t="shared" si="13"/>
        <v>NAVAL STAR SA</v>
      </c>
      <c r="C220" s="66">
        <f t="shared" si="14"/>
        <v>2551641.2999999998</v>
      </c>
      <c r="D220" s="24">
        <f t="shared" si="15"/>
        <v>1712.5109395973152</v>
      </c>
      <c r="E220" s="50">
        <f t="shared" si="12"/>
        <v>3.4775158003153104E-4</v>
      </c>
      <c r="F220" s="51"/>
    </row>
    <row r="221" spans="1:6" ht="15.75" customHeight="1" x14ac:dyDescent="0.25">
      <c r="A221" t="str">
        <f t="shared" si="13"/>
        <v>NAVARRO CRISTIAN ROBERTO</v>
      </c>
      <c r="C221" s="66">
        <f t="shared" si="14"/>
        <v>300000</v>
      </c>
      <c r="D221" s="24">
        <f t="shared" si="15"/>
        <v>201.34228187919464</v>
      </c>
      <c r="E221" s="50">
        <f t="shared" si="12"/>
        <v>4.0885634673439149E-5</v>
      </c>
      <c r="F221" s="51"/>
    </row>
    <row r="222" spans="1:6" ht="15.75" customHeight="1" x14ac:dyDescent="0.25">
      <c r="A222" t="str">
        <f t="shared" si="13"/>
        <v>NICLAU DESPACHANTES DE ADUANA S.A.</v>
      </c>
      <c r="C222" s="66">
        <f t="shared" si="14"/>
        <v>58400827.310000002</v>
      </c>
      <c r="D222" s="24">
        <f t="shared" si="15"/>
        <v>39195.186114093958</v>
      </c>
      <c r="E222" s="50">
        <f t="shared" si="12"/>
        <v>7.959182966744225E-3</v>
      </c>
      <c r="F222" s="51"/>
    </row>
    <row r="223" spans="1:6" ht="15.75" customHeight="1" x14ac:dyDescent="0.25">
      <c r="A223" t="str">
        <f t="shared" si="13"/>
        <v>NORIOC SERVICIO DE ASISTENCIA TECNICA S.A.</v>
      </c>
      <c r="C223" s="66">
        <f t="shared" si="14"/>
        <v>2905452</v>
      </c>
      <c r="D223" s="24">
        <f t="shared" si="15"/>
        <v>1949.9677852348993</v>
      </c>
      <c r="E223" s="50">
        <f t="shared" si="12"/>
        <v>3.9597083011071036E-4</v>
      </c>
      <c r="F223" s="51"/>
    </row>
    <row r="224" spans="1:6" ht="15.75" customHeight="1" x14ac:dyDescent="0.25">
      <c r="A224" t="str">
        <f t="shared" si="13"/>
        <v>NSM FOODS &amp; LOG S.R.L</v>
      </c>
      <c r="C224" s="66">
        <f t="shared" si="14"/>
        <v>108013508.54000001</v>
      </c>
      <c r="D224" s="24">
        <f t="shared" si="15"/>
        <v>72492.287610738262</v>
      </c>
      <c r="E224" s="50">
        <f t="shared" si="12"/>
        <v>1.4720669499876131E-2</v>
      </c>
      <c r="F224" s="51"/>
    </row>
    <row r="225" spans="1:6" ht="15.75" customHeight="1" x14ac:dyDescent="0.25">
      <c r="A225" t="str">
        <f t="shared" si="13"/>
        <v>NUEVA EDISON FARMACEUTICA SCS</v>
      </c>
      <c r="C225" s="66">
        <f t="shared" si="14"/>
        <v>23920770.219999999</v>
      </c>
      <c r="D225" s="24">
        <f t="shared" si="15"/>
        <v>16054.208201342281</v>
      </c>
      <c r="E225" s="50">
        <f t="shared" si="12"/>
        <v>3.2600529077406746E-3</v>
      </c>
      <c r="F225" s="51"/>
    </row>
    <row r="226" spans="1:6" ht="15.75" customHeight="1" x14ac:dyDescent="0.25">
      <c r="A226" t="str">
        <f t="shared" si="13"/>
        <v>NUÑEZ JORGE DANIEL</v>
      </c>
      <c r="C226" s="66">
        <f t="shared" si="14"/>
        <v>2178300</v>
      </c>
      <c r="D226" s="24">
        <f t="shared" si="15"/>
        <v>1461.9463087248323</v>
      </c>
      <c r="E226" s="50">
        <f t="shared" si="12"/>
        <v>2.9687059336384164E-4</v>
      </c>
      <c r="F226" s="51"/>
    </row>
    <row r="227" spans="1:6" ht="15.75" customHeight="1" x14ac:dyDescent="0.25">
      <c r="A227" t="str">
        <f t="shared" si="13"/>
        <v>O.A.C.I. S.A.</v>
      </c>
      <c r="C227" s="66">
        <f t="shared" si="14"/>
        <v>36568835.829999998</v>
      </c>
      <c r="D227" s="24">
        <f t="shared" si="15"/>
        <v>24542.842838926172</v>
      </c>
      <c r="E227" s="50">
        <f t="shared" si="12"/>
        <v>4.9838002072611718E-3</v>
      </c>
      <c r="F227" s="51"/>
    </row>
    <row r="228" spans="1:6" ht="15.75" customHeight="1" x14ac:dyDescent="0.25">
      <c r="A228" t="str">
        <f t="shared" si="13"/>
        <v>OCA LOG S.A</v>
      </c>
      <c r="C228" s="66">
        <f t="shared" si="14"/>
        <v>396543.96</v>
      </c>
      <c r="D228" s="24">
        <f t="shared" si="15"/>
        <v>266.13688590604028</v>
      </c>
      <c r="E228" s="50">
        <f t="shared" si="12"/>
        <v>5.4043171601729548E-5</v>
      </c>
      <c r="F228" s="51"/>
    </row>
    <row r="229" spans="1:6" ht="15.75" customHeight="1" x14ac:dyDescent="0.25">
      <c r="A229" t="str">
        <f t="shared" si="13"/>
        <v>OMINT SOCIEDAD ANONIMA DE SERVICIOS</v>
      </c>
      <c r="C229" s="66">
        <f t="shared" si="14"/>
        <v>-2698.26</v>
      </c>
      <c r="D229" s="24">
        <f t="shared" si="15"/>
        <v>-1.8109127516778525</v>
      </c>
      <c r="E229" s="50">
        <f t="shared" si="12"/>
        <v>-3.6773357537984639E-7</v>
      </c>
      <c r="F229" s="51"/>
    </row>
    <row r="230" spans="1:6" ht="15.75" customHeight="1" x14ac:dyDescent="0.25">
      <c r="A230" t="str">
        <f t="shared" si="13"/>
        <v>ORREGO GUSTAVO JAVIER</v>
      </c>
      <c r="C230" s="66">
        <f t="shared" si="14"/>
        <v>1346995</v>
      </c>
      <c r="D230" s="24">
        <f t="shared" si="15"/>
        <v>904.02348993288592</v>
      </c>
      <c r="E230" s="50">
        <f t="shared" si="12"/>
        <v>1.835758182564972E-4</v>
      </c>
      <c r="F230" s="51"/>
    </row>
    <row r="231" spans="1:6" ht="15.75" customHeight="1" x14ac:dyDescent="0.25">
      <c r="A231" t="str">
        <f t="shared" si="13"/>
        <v>OTI INTERNACIONAL S.A.</v>
      </c>
      <c r="C231" s="66">
        <f t="shared" si="14"/>
        <v>49941717.859999999</v>
      </c>
      <c r="D231" s="24">
        <f t="shared" si="15"/>
        <v>33517.931449664429</v>
      </c>
      <c r="E231" s="50">
        <f t="shared" si="12"/>
        <v>6.8063294379597699E-3</v>
      </c>
      <c r="F231" s="51"/>
    </row>
    <row r="232" spans="1:6" ht="15.75" customHeight="1" x14ac:dyDescent="0.25">
      <c r="A232" t="str">
        <f t="shared" si="13"/>
        <v>OVERRUKA S.R.L.</v>
      </c>
      <c r="C232" s="66">
        <f t="shared" si="14"/>
        <v>24470437.420000002</v>
      </c>
      <c r="D232" s="24">
        <f t="shared" si="15"/>
        <v>16423.112362416108</v>
      </c>
      <c r="E232" s="50">
        <f t="shared" si="12"/>
        <v>3.3349645488445824E-3</v>
      </c>
      <c r="F232" s="51"/>
    </row>
    <row r="233" spans="1:6" ht="15.75" customHeight="1" x14ac:dyDescent="0.25">
      <c r="A233" t="str">
        <f t="shared" si="13"/>
        <v>PACKAGING Y SERVICIOS S.A.</v>
      </c>
      <c r="C233" s="66">
        <f t="shared" si="14"/>
        <v>16552800</v>
      </c>
      <c r="D233" s="24">
        <f t="shared" si="15"/>
        <v>11109.261744966443</v>
      </c>
      <c r="E233" s="50">
        <f t="shared" si="12"/>
        <v>2.2559057787416782E-3</v>
      </c>
      <c r="F233" s="51"/>
    </row>
    <row r="234" spans="1:6" ht="15.75" customHeight="1" x14ac:dyDescent="0.25">
      <c r="A234" t="str">
        <f t="shared" si="13"/>
        <v>PAMPA Y NOVILLO SA</v>
      </c>
      <c r="C234" s="66">
        <f t="shared" si="14"/>
        <v>11953535.369999999</v>
      </c>
      <c r="D234" s="24">
        <f t="shared" si="15"/>
        <v>8022.5069597315432</v>
      </c>
      <c r="E234" s="50">
        <f t="shared" si="12"/>
        <v>1.6290929339795107E-3</v>
      </c>
      <c r="F234" s="51"/>
    </row>
    <row r="235" spans="1:6" ht="15.75" customHeight="1" x14ac:dyDescent="0.25">
      <c r="A235" t="str">
        <f t="shared" si="13"/>
        <v>PARTES INFORMATICAS . COM   S.A.</v>
      </c>
      <c r="C235" s="66">
        <f t="shared" si="14"/>
        <v>679999.99</v>
      </c>
      <c r="D235" s="24">
        <f t="shared" si="15"/>
        <v>456.37583221476507</v>
      </c>
      <c r="E235" s="50">
        <f t="shared" si="12"/>
        <v>9.2674103896940897E-5</v>
      </c>
      <c r="F235" s="51"/>
    </row>
    <row r="236" spans="1:6" ht="15.75" customHeight="1" x14ac:dyDescent="0.25">
      <c r="A236" t="str">
        <f t="shared" si="13"/>
        <v>PATAGONIA ESTIBAJES S. A.</v>
      </c>
      <c r="C236" s="66">
        <f t="shared" si="14"/>
        <v>60970055.700000003</v>
      </c>
      <c r="D236" s="24">
        <f t="shared" si="15"/>
        <v>40919.500469798659</v>
      </c>
      <c r="E236" s="50">
        <f t="shared" si="12"/>
        <v>8.3093314112314531E-3</v>
      </c>
      <c r="F236" s="51"/>
    </row>
    <row r="237" spans="1:6" ht="15.75" customHeight="1" x14ac:dyDescent="0.25">
      <c r="A237" t="str">
        <f t="shared" si="13"/>
        <v>PATUTO ADRIAN ALEJANDRO</v>
      </c>
      <c r="C237" s="66">
        <f t="shared" si="14"/>
        <v>4031508.25</v>
      </c>
      <c r="D237" s="24">
        <f t="shared" si="15"/>
        <v>2705.710234899329</v>
      </c>
      <c r="E237" s="50">
        <f t="shared" si="12"/>
        <v>5.494359116415199E-4</v>
      </c>
      <c r="F237" s="51"/>
    </row>
    <row r="238" spans="1:6" ht="15.75" customHeight="1" x14ac:dyDescent="0.25">
      <c r="A238" t="str">
        <f t="shared" si="13"/>
        <v>PEREZ RIVERA E HIJOS SRL</v>
      </c>
      <c r="C238" s="66">
        <f t="shared" si="14"/>
        <v>5798992.7699999996</v>
      </c>
      <c r="D238" s="24">
        <f t="shared" si="15"/>
        <v>3891.9414563758387</v>
      </c>
      <c r="E238" s="50">
        <f t="shared" si="12"/>
        <v>7.9031833289378299E-4</v>
      </c>
      <c r="F238" s="51"/>
    </row>
    <row r="239" spans="1:6" ht="15.75" customHeight="1" x14ac:dyDescent="0.25">
      <c r="A239" t="str">
        <f t="shared" si="13"/>
        <v>PESCE GRACIELA MARGARITA</v>
      </c>
      <c r="C239" s="66">
        <f t="shared" si="14"/>
        <v>10312503.5</v>
      </c>
      <c r="D239" s="24">
        <f t="shared" si="15"/>
        <v>6921.1432885906042</v>
      </c>
      <c r="E239" s="50">
        <f t="shared" si="12"/>
        <v>1.4054441688985417E-3</v>
      </c>
      <c r="F239" s="51"/>
    </row>
    <row r="240" spans="1:6" ht="15.75" customHeight="1" x14ac:dyDescent="0.25">
      <c r="A240" t="str">
        <f t="shared" si="13"/>
        <v>PESQUERA SAN CAYETANO S.A.</v>
      </c>
      <c r="C240" s="66">
        <f t="shared" si="14"/>
        <v>368771413.98000002</v>
      </c>
      <c r="D240" s="24">
        <f t="shared" si="15"/>
        <v>247497.5932751678</v>
      </c>
      <c r="E240" s="50">
        <f t="shared" si="12"/>
        <v>5.0258177699979568E-2</v>
      </c>
      <c r="F240" s="51"/>
    </row>
    <row r="241" spans="1:6" ht="15.75" customHeight="1" x14ac:dyDescent="0.25">
      <c r="A241" t="str">
        <f t="shared" si="13"/>
        <v>PINTURERIA PLATERO JFJ S.A</v>
      </c>
      <c r="C241" s="66">
        <f t="shared" si="14"/>
        <v>74373558.530000001</v>
      </c>
      <c r="D241" s="24">
        <f t="shared" si="15"/>
        <v>49915.139953020138</v>
      </c>
      <c r="E241" s="50">
        <f t="shared" si="12"/>
        <v>1.0136033811404078E-2</v>
      </c>
      <c r="F241" s="51"/>
    </row>
    <row r="242" spans="1:6" ht="15.75" customHeight="1" x14ac:dyDescent="0.25">
      <c r="A242" t="str">
        <f t="shared" si="13"/>
        <v>PLUMIER S.R.L.</v>
      </c>
      <c r="C242" s="66">
        <f t="shared" si="14"/>
        <v>2886550.6</v>
      </c>
      <c r="D242" s="24">
        <f t="shared" si="15"/>
        <v>1937.2822818791947</v>
      </c>
      <c r="E242" s="50">
        <f t="shared" si="12"/>
        <v>3.9339484432665523E-4</v>
      </c>
      <c r="F242" s="51"/>
    </row>
    <row r="243" spans="1:6" ht="15.75" customHeight="1" x14ac:dyDescent="0.25">
      <c r="A243" t="str">
        <f t="shared" si="13"/>
        <v>PLUS TEL SRL</v>
      </c>
      <c r="C243" s="66">
        <f t="shared" si="14"/>
        <v>140000</v>
      </c>
      <c r="D243" s="24">
        <f t="shared" si="15"/>
        <v>93.959731543624159</v>
      </c>
      <c r="E243" s="50">
        <f t="shared" si="12"/>
        <v>1.9079962847604935E-5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144058500</v>
      </c>
      <c r="D244" s="24">
        <f t="shared" si="15"/>
        <v>96683.557046979869</v>
      </c>
      <c r="E244" s="50">
        <f t="shared" si="12"/>
        <v>1.9633077342012112E-2</v>
      </c>
      <c r="F244" s="51"/>
    </row>
    <row r="245" spans="1:6" ht="15.75" customHeight="1" x14ac:dyDescent="0.25">
      <c r="A245" t="str">
        <f t="shared" si="13"/>
        <v>PRESTIGIO SA</v>
      </c>
      <c r="C245" s="66">
        <f t="shared" si="14"/>
        <v>1378886.46</v>
      </c>
      <c r="D245" s="24">
        <f t="shared" si="15"/>
        <v>925.4271543624161</v>
      </c>
      <c r="E245" s="50">
        <f t="shared" si="12"/>
        <v>1.8792216019903918E-4</v>
      </c>
      <c r="F245" s="51"/>
    </row>
    <row r="246" spans="1:6" ht="15.75" customHeight="1" x14ac:dyDescent="0.25">
      <c r="A246" t="str">
        <f t="shared" si="13"/>
        <v>PUNTO TECNICO S.R.L.</v>
      </c>
      <c r="C246" s="66">
        <f t="shared" si="14"/>
        <v>16000000</v>
      </c>
      <c r="D246" s="24">
        <f t="shared" si="15"/>
        <v>10738.255033557047</v>
      </c>
      <c r="E246" s="50">
        <f t="shared" si="12"/>
        <v>2.180567182583421E-3</v>
      </c>
      <c r="F246" s="51"/>
    </row>
    <row r="247" spans="1:6" ht="15.75" customHeight="1" x14ac:dyDescent="0.25">
      <c r="A247" t="str">
        <f t="shared" si="13"/>
        <v>QUIMICA INDUSTRIAL KUBO SA</v>
      </c>
      <c r="C247" s="66">
        <f t="shared" si="14"/>
        <v>377140.43</v>
      </c>
      <c r="D247" s="24">
        <f t="shared" si="15"/>
        <v>253.11438255033556</v>
      </c>
      <c r="E247" s="50">
        <f t="shared" si="12"/>
        <v>5.1398752805212493E-5</v>
      </c>
      <c r="F247" s="51"/>
    </row>
    <row r="248" spans="1:6" ht="15.75" customHeight="1" x14ac:dyDescent="0.25">
      <c r="A248" t="str">
        <f t="shared" si="13"/>
        <v>QUINCI JUAN FRANCISCO</v>
      </c>
      <c r="C248" s="66">
        <f t="shared" si="14"/>
        <v>104060</v>
      </c>
      <c r="D248" s="24">
        <f t="shared" si="15"/>
        <v>69.838926174496649</v>
      </c>
      <c r="E248" s="50">
        <f t="shared" si="12"/>
        <v>1.4181863813726925E-5</v>
      </c>
      <c r="F248" s="51"/>
    </row>
    <row r="249" spans="1:6" ht="15.75" customHeight="1" x14ac:dyDescent="0.25">
      <c r="A249" t="str">
        <f t="shared" si="13"/>
        <v>RAMUNDI MARIA CRISTINA</v>
      </c>
      <c r="C249" s="66">
        <f t="shared" si="14"/>
        <v>250000</v>
      </c>
      <c r="D249" s="24">
        <f t="shared" si="15"/>
        <v>167.78523489932886</v>
      </c>
      <c r="E249" s="50">
        <f t="shared" si="12"/>
        <v>3.4071362227865954E-5</v>
      </c>
      <c r="F249" s="51"/>
    </row>
    <row r="250" spans="1:6" ht="15.75" customHeight="1" x14ac:dyDescent="0.25">
      <c r="A250" t="str">
        <f t="shared" si="13"/>
        <v>REGINALD LEE S.A.</v>
      </c>
      <c r="C250" s="66">
        <f t="shared" si="14"/>
        <v>2934245.39</v>
      </c>
      <c r="D250" s="24">
        <f t="shared" si="15"/>
        <v>1969.2922080536914</v>
      </c>
      <c r="E250" s="50">
        <f t="shared" si="12"/>
        <v>3.9989495019254322E-4</v>
      </c>
      <c r="F250" s="51"/>
    </row>
    <row r="251" spans="1:6" ht="15.75" customHeight="1" x14ac:dyDescent="0.25">
      <c r="A251" t="str">
        <f t="shared" si="13"/>
        <v>REMOLCADORES MAR DEL PLATA S.A. UNION TRANSITORIA</v>
      </c>
      <c r="C251" s="66">
        <f t="shared" si="14"/>
        <v>18232461.5</v>
      </c>
      <c r="D251" s="24">
        <f t="shared" si="15"/>
        <v>12236.551342281879</v>
      </c>
      <c r="E251" s="50">
        <f t="shared" si="12"/>
        <v>2.4848192002884808E-3</v>
      </c>
      <c r="F251" s="51"/>
    </row>
    <row r="252" spans="1:6" ht="15.75" customHeight="1" x14ac:dyDescent="0.25">
      <c r="A252" t="str">
        <f t="shared" si="13"/>
        <v>REPARACIONES DON MARCOS SRL</v>
      </c>
      <c r="C252" s="66">
        <f t="shared" si="14"/>
        <v>3440000</v>
      </c>
      <c r="D252" s="24">
        <f t="shared" si="15"/>
        <v>2308.7248322147652</v>
      </c>
      <c r="E252" s="50">
        <f t="shared" si="12"/>
        <v>4.6882194425543552E-4</v>
      </c>
      <c r="F252" s="51"/>
    </row>
    <row r="253" spans="1:6" ht="15.75" customHeight="1" x14ac:dyDescent="0.25">
      <c r="A253" t="str">
        <f t="shared" si="13"/>
        <v>RESISTENCIAS MDP S.R.L.</v>
      </c>
      <c r="C253" s="66">
        <f t="shared" si="14"/>
        <v>3458142.73</v>
      </c>
      <c r="D253" s="24">
        <f t="shared" si="15"/>
        <v>2320.9011610738253</v>
      </c>
      <c r="E253" s="50">
        <f t="shared" si="12"/>
        <v>4.7129453435796497E-4</v>
      </c>
      <c r="F253" s="51"/>
    </row>
    <row r="254" spans="1:6" ht="15.75" customHeight="1" x14ac:dyDescent="0.25">
      <c r="A254" t="str">
        <f t="shared" si="13"/>
        <v>RICARTE PAMELA GISELE</v>
      </c>
      <c r="C254" s="66">
        <f t="shared" si="14"/>
        <v>11651893.5</v>
      </c>
      <c r="D254" s="24">
        <f t="shared" si="15"/>
        <v>7820.0627516778522</v>
      </c>
      <c r="E254" s="50">
        <f t="shared" si="12"/>
        <v>1.5879835363160671E-3</v>
      </c>
      <c r="F254" s="51"/>
    </row>
    <row r="255" spans="1:6" ht="15.75" customHeight="1" x14ac:dyDescent="0.25">
      <c r="A255" t="str">
        <f t="shared" si="13"/>
        <v>RODINIA S.A.</v>
      </c>
      <c r="C255" s="66">
        <f t="shared" si="14"/>
        <v>6964433.2999999998</v>
      </c>
      <c r="D255" s="24">
        <f t="shared" si="15"/>
        <v>4674.1163087248324</v>
      </c>
      <c r="E255" s="50">
        <f t="shared" si="12"/>
        <v>9.4915091870444732E-4</v>
      </c>
      <c r="F255" s="51"/>
    </row>
    <row r="256" spans="1:6" ht="15.75" customHeight="1" x14ac:dyDescent="0.25">
      <c r="A256" t="str">
        <f t="shared" si="13"/>
        <v>RODRIGUEZ ALEJANDRO DANIEL</v>
      </c>
      <c r="C256" s="66">
        <f t="shared" si="14"/>
        <v>5484287.3600000003</v>
      </c>
      <c r="D256" s="24">
        <f t="shared" si="15"/>
        <v>3680.7297718120808</v>
      </c>
      <c r="E256" s="50">
        <f t="shared" si="12"/>
        <v>7.4742856481706677E-4</v>
      </c>
      <c r="F256" s="51"/>
    </row>
    <row r="257" spans="1:6" ht="15.75" customHeight="1" x14ac:dyDescent="0.25">
      <c r="A257" t="str">
        <f t="shared" si="13"/>
        <v>ROTH SRL</v>
      </c>
      <c r="C257" s="66">
        <f t="shared" si="14"/>
        <v>3896322.07</v>
      </c>
      <c r="D257" s="24">
        <f t="shared" si="15"/>
        <v>2614.9812550335569</v>
      </c>
      <c r="E257" s="50">
        <f t="shared" si="12"/>
        <v>5.3101200241359393E-4</v>
      </c>
      <c r="F257" s="51"/>
    </row>
    <row r="258" spans="1:6" ht="15.75" customHeight="1" x14ac:dyDescent="0.25">
      <c r="A258" t="str">
        <f t="shared" si="13"/>
        <v>RULEMANES PUERTO S A - (CAE)</v>
      </c>
      <c r="C258" s="66">
        <f t="shared" si="14"/>
        <v>223018.68</v>
      </c>
      <c r="D258" s="24">
        <f t="shared" si="15"/>
        <v>149.67696644295302</v>
      </c>
      <c r="E258" s="50">
        <f t="shared" si="12"/>
        <v>3.0394200919442095E-5</v>
      </c>
      <c r="F258" s="51"/>
    </row>
    <row r="259" spans="1:6" ht="15.75" customHeight="1" x14ac:dyDescent="0.25">
      <c r="A259" t="str">
        <f t="shared" si="13"/>
        <v>SALAS OSCAR LISANDRO</v>
      </c>
      <c r="C259" s="66">
        <f t="shared" si="14"/>
        <v>1101950</v>
      </c>
      <c r="D259" s="24">
        <f t="shared" si="15"/>
        <v>739.56375838926169</v>
      </c>
      <c r="E259" s="50">
        <f t="shared" si="12"/>
        <v>1.5017975042798753E-4</v>
      </c>
      <c r="F259" s="51"/>
    </row>
    <row r="260" spans="1:6" ht="15.75" customHeight="1" x14ac:dyDescent="0.25">
      <c r="A260" t="str">
        <f t="shared" si="13"/>
        <v>SALVADOR MALVICA S.R.L.</v>
      </c>
      <c r="C260" s="66">
        <f t="shared" si="14"/>
        <v>3743317.23</v>
      </c>
      <c r="D260" s="24">
        <f t="shared" si="15"/>
        <v>2512.2934429530201</v>
      </c>
      <c r="E260" s="50">
        <f t="shared" si="12"/>
        <v>5.1015966910856721E-4</v>
      </c>
      <c r="F260" s="51"/>
    </row>
    <row r="261" spans="1:6" ht="15.75" customHeight="1" x14ac:dyDescent="0.25">
      <c r="A261" t="str">
        <f t="shared" si="13"/>
        <v>SAMLOG S.R.L.</v>
      </c>
      <c r="C261" s="66">
        <f t="shared" si="14"/>
        <v>6711121.7999999998</v>
      </c>
      <c r="D261" s="24">
        <f t="shared" si="15"/>
        <v>4504.1085906040271</v>
      </c>
      <c r="E261" s="50">
        <f t="shared" ref="E261:E324" si="16">+D261/$D$324</f>
        <v>9.1462824721251111E-4</v>
      </c>
      <c r="F261" s="51"/>
    </row>
    <row r="262" spans="1:6" ht="15.75" customHeight="1" x14ac:dyDescent="0.25">
      <c r="A262" t="str">
        <f t="shared" ref="A262:A293" si="17">+B740</f>
        <v>SAMULAK PAULO ARMANDO</v>
      </c>
      <c r="C262" s="66">
        <f t="shared" ref="C262:C323" si="18">+K740</f>
        <v>8239140</v>
      </c>
      <c r="D262" s="24">
        <f t="shared" ref="D262:D323" si="19">+C262/$D$3</f>
        <v>5529.6241610738252</v>
      </c>
      <c r="E262" s="50">
        <f t="shared" si="16"/>
        <v>1.1228748935443978E-3</v>
      </c>
      <c r="F262" s="51"/>
    </row>
    <row r="263" spans="1:6" ht="15.75" customHeight="1" x14ac:dyDescent="0.25">
      <c r="A263" t="str">
        <f t="shared" si="17"/>
        <v>SAN MARCOS E. S.A.</v>
      </c>
      <c r="C263" s="66">
        <f t="shared" si="18"/>
        <v>1309000</v>
      </c>
      <c r="D263" s="24">
        <f t="shared" si="19"/>
        <v>878.52348993288592</v>
      </c>
      <c r="E263" s="50">
        <f t="shared" si="16"/>
        <v>1.7839765262510614E-4</v>
      </c>
      <c r="F263" s="51"/>
    </row>
    <row r="264" spans="1:6" ht="15.75" customHeight="1" x14ac:dyDescent="0.25">
      <c r="A264" t="str">
        <f t="shared" si="17"/>
        <v>SANKO ELECTRONICA S.R.L.</v>
      </c>
      <c r="C264" s="66">
        <f t="shared" si="18"/>
        <v>13515139</v>
      </c>
      <c r="D264" s="24">
        <f t="shared" si="19"/>
        <v>9070.5630872483216</v>
      </c>
      <c r="E264" s="50">
        <f t="shared" si="16"/>
        <v>1.8419167857158319E-3</v>
      </c>
      <c r="F264" s="51"/>
    </row>
    <row r="265" spans="1:6" ht="15.75" customHeight="1" x14ac:dyDescent="0.25">
      <c r="A265" t="str">
        <f t="shared" si="17"/>
        <v>SAVE SRL</v>
      </c>
      <c r="C265" s="66">
        <f t="shared" si="18"/>
        <v>3832164</v>
      </c>
      <c r="D265" s="24">
        <f t="shared" si="19"/>
        <v>2571.9221476510065</v>
      </c>
      <c r="E265" s="50">
        <f t="shared" si="16"/>
        <v>5.2226819104235077E-4</v>
      </c>
      <c r="F265" s="51"/>
    </row>
    <row r="266" spans="1:6" ht="15.75" customHeight="1" x14ac:dyDescent="0.25">
      <c r="A266" t="str">
        <f t="shared" si="17"/>
        <v>SCANIA ARGENTINA SAU</v>
      </c>
      <c r="C266" s="66">
        <f t="shared" si="18"/>
        <v>5488941</v>
      </c>
      <c r="D266" s="24">
        <f t="shared" si="19"/>
        <v>3683.8530201342282</v>
      </c>
      <c r="E266" s="50">
        <f t="shared" si="16"/>
        <v>7.4806278823353906E-4</v>
      </c>
      <c r="F266" s="51"/>
    </row>
    <row r="267" spans="1:6" ht="15.75" customHeight="1" x14ac:dyDescent="0.25">
      <c r="A267" t="str">
        <f t="shared" si="17"/>
        <v>SEA FOOD MEDIA GROUP LTD</v>
      </c>
      <c r="C267" s="66">
        <f t="shared" si="18"/>
        <v>1074310</v>
      </c>
      <c r="D267" s="24">
        <f t="shared" si="19"/>
        <v>721.01342281879192</v>
      </c>
      <c r="E267" s="50">
        <f t="shared" si="16"/>
        <v>1.4641282062007469E-4</v>
      </c>
      <c r="F267" s="51"/>
    </row>
    <row r="268" spans="1:6" ht="15.75" customHeight="1" x14ac:dyDescent="0.25">
      <c r="A268" t="str">
        <f t="shared" si="17"/>
        <v>SELEC ELECTRICIDAD Y ELECTRONICA S.R.L</v>
      </c>
      <c r="C268" s="66">
        <f t="shared" si="18"/>
        <v>358644</v>
      </c>
      <c r="D268" s="24">
        <f t="shared" si="19"/>
        <v>240.70067114093959</v>
      </c>
      <c r="E268" s="50">
        <f t="shared" si="16"/>
        <v>4.8877958539403022E-5</v>
      </c>
      <c r="F268" s="51"/>
    </row>
    <row r="269" spans="1:6" ht="15.75" customHeight="1" x14ac:dyDescent="0.25">
      <c r="A269" t="str">
        <f t="shared" si="17"/>
        <v>SER AMBIENT SRL</v>
      </c>
      <c r="C269" s="66">
        <f t="shared" si="18"/>
        <v>824722.02</v>
      </c>
      <c r="D269" s="24">
        <f t="shared" si="19"/>
        <v>553.50471140939601</v>
      </c>
      <c r="E269" s="50">
        <f t="shared" si="16"/>
        <v>1.1239761072286924E-4</v>
      </c>
      <c r="F269" s="51"/>
    </row>
    <row r="270" spans="1:6" ht="15.75" customHeight="1" x14ac:dyDescent="0.25">
      <c r="A270" t="str">
        <f t="shared" si="17"/>
        <v>SERRANO JORGE ALBERTO</v>
      </c>
      <c r="C270" s="66">
        <f t="shared" si="18"/>
        <v>799180.80000000005</v>
      </c>
      <c r="D270" s="24">
        <f t="shared" si="19"/>
        <v>536.36295302013423</v>
      </c>
      <c r="E270" s="50">
        <f t="shared" si="16"/>
        <v>1.0891671408942278E-4</v>
      </c>
      <c r="F270" s="51"/>
    </row>
    <row r="271" spans="1:6" ht="15.75" customHeight="1" x14ac:dyDescent="0.25">
      <c r="A271" t="str">
        <f t="shared" si="17"/>
        <v>SERRANO LEONARDO DAVID</v>
      </c>
      <c r="C271" s="66">
        <f t="shared" si="18"/>
        <v>26133900</v>
      </c>
      <c r="D271" s="24">
        <f t="shared" si="19"/>
        <v>17539.530201342281</v>
      </c>
      <c r="E271" s="50">
        <f t="shared" si="16"/>
        <v>3.5616702933073036E-3</v>
      </c>
      <c r="F271" s="51"/>
    </row>
    <row r="272" spans="1:6" ht="15.75" customHeight="1" x14ac:dyDescent="0.25">
      <c r="A272" t="str">
        <f t="shared" si="17"/>
        <v>SERVICIOS PORTUARIOS INTEGRADOS S.A.</v>
      </c>
      <c r="C272" s="66">
        <f t="shared" si="18"/>
        <v>-496150500</v>
      </c>
      <c r="D272" s="24">
        <f t="shared" si="19"/>
        <v>-332986.91275167785</v>
      </c>
      <c r="E272" s="50">
        <f t="shared" si="16"/>
        <v>-6.7618093620147229E-2</v>
      </c>
      <c r="F272" s="51"/>
    </row>
    <row r="273" spans="1:6" ht="15.75" customHeight="1" x14ac:dyDescent="0.25">
      <c r="A273" t="str">
        <f t="shared" si="17"/>
        <v>SEYCO S.A.C.I.F.</v>
      </c>
      <c r="C273" s="66">
        <f t="shared" si="18"/>
        <v>3465379.02</v>
      </c>
      <c r="D273" s="24">
        <f t="shared" si="19"/>
        <v>2325.7577315436242</v>
      </c>
      <c r="E273" s="50">
        <f t="shared" si="16"/>
        <v>4.7228073538906854E-4</v>
      </c>
      <c r="F273" s="51"/>
    </row>
    <row r="274" spans="1:6" ht="15.75" customHeight="1" x14ac:dyDescent="0.25">
      <c r="A274" t="str">
        <f t="shared" si="17"/>
        <v>SGD SAN GREGORIO DISTRIBUCIONES S.A.</v>
      </c>
      <c r="C274" s="66">
        <f t="shared" si="18"/>
        <v>2395826.5499999998</v>
      </c>
      <c r="D274" s="24">
        <f t="shared" si="19"/>
        <v>1607.9372818791944</v>
      </c>
      <c r="E274" s="50">
        <f t="shared" si="16"/>
        <v>3.2651629688075354E-4</v>
      </c>
      <c r="F274" s="51"/>
    </row>
    <row r="275" spans="1:6" ht="15.75" customHeight="1" x14ac:dyDescent="0.25">
      <c r="A275" t="str">
        <f t="shared" si="17"/>
        <v>SIEBEN SANTIAGO NICOLAS</v>
      </c>
      <c r="C275" s="66">
        <f t="shared" si="18"/>
        <v>61594000</v>
      </c>
      <c r="D275" s="24">
        <f t="shared" si="19"/>
        <v>41338.255033557049</v>
      </c>
      <c r="E275" s="50">
        <f t="shared" si="16"/>
        <v>8.3943659402527029E-3</v>
      </c>
      <c r="F275" s="51"/>
    </row>
    <row r="276" spans="1:6" ht="15.75" customHeight="1" x14ac:dyDescent="0.25">
      <c r="A276" t="str">
        <f t="shared" si="17"/>
        <v>SIGEVAL SA</v>
      </c>
      <c r="C276" s="66">
        <f t="shared" si="18"/>
        <v>8115779.6100000003</v>
      </c>
      <c r="D276" s="24">
        <f t="shared" si="19"/>
        <v>5446.8319530201343</v>
      </c>
      <c r="E276" s="50">
        <f t="shared" si="16"/>
        <v>1.1060626674153546E-3</v>
      </c>
      <c r="F276" s="51"/>
    </row>
    <row r="277" spans="1:6" ht="15.75" customHeight="1" x14ac:dyDescent="0.25">
      <c r="A277" t="str">
        <f t="shared" si="17"/>
        <v>SIMONAZZI HUGO OMAR</v>
      </c>
      <c r="C277" s="66">
        <f t="shared" si="18"/>
        <v>9450100</v>
      </c>
      <c r="D277" s="24">
        <f t="shared" si="19"/>
        <v>6342.3489932885905</v>
      </c>
      <c r="E277" s="50">
        <f t="shared" si="16"/>
        <v>1.287911120758224E-3</v>
      </c>
      <c r="F277" s="51"/>
    </row>
    <row r="278" spans="1:6" ht="15.75" customHeight="1" x14ac:dyDescent="0.25">
      <c r="A278" t="str">
        <f t="shared" si="17"/>
        <v>SKV GROUP S.L.</v>
      </c>
      <c r="C278" s="66">
        <f t="shared" si="18"/>
        <v>25876207.34</v>
      </c>
      <c r="D278" s="24">
        <f t="shared" si="19"/>
        <v>17366.58210738255</v>
      </c>
      <c r="E278" s="50">
        <f t="shared" si="16"/>
        <v>3.526550533458015E-3</v>
      </c>
      <c r="F278" s="51"/>
    </row>
    <row r="279" spans="1:6" ht="15.75" customHeight="1" x14ac:dyDescent="0.25">
      <c r="A279" t="str">
        <f t="shared" si="17"/>
        <v>SOLARI JOSE JESUS</v>
      </c>
      <c r="C279" s="66">
        <f t="shared" si="18"/>
        <v>2514500</v>
      </c>
      <c r="D279" s="24">
        <f t="shared" si="19"/>
        <v>1687.5838926174497</v>
      </c>
      <c r="E279" s="50">
        <f t="shared" si="16"/>
        <v>3.4268976128787575E-4</v>
      </c>
      <c r="F279" s="51"/>
    </row>
    <row r="280" spans="1:6" ht="15.75" customHeight="1" x14ac:dyDescent="0.25">
      <c r="A280" t="str">
        <f t="shared" si="17"/>
        <v>STAR - FISH S.A.</v>
      </c>
      <c r="C280" s="66">
        <f t="shared" si="18"/>
        <v>1331</v>
      </c>
      <c r="D280" s="24">
        <f t="shared" si="19"/>
        <v>0.89328859060402688</v>
      </c>
      <c r="E280" s="50">
        <f t="shared" si="16"/>
        <v>1.8139593250115833E-7</v>
      </c>
      <c r="F280" s="51"/>
    </row>
    <row r="281" spans="1:6" ht="15.75" customHeight="1" x14ac:dyDescent="0.25">
      <c r="A281" t="str">
        <f t="shared" si="17"/>
        <v>SUCESION DE ARCAMONE ANA</v>
      </c>
      <c r="C281" s="66">
        <f t="shared" si="18"/>
        <v>8240790</v>
      </c>
      <c r="D281" s="24">
        <f t="shared" si="19"/>
        <v>5530.7315436241606</v>
      </c>
      <c r="E281" s="50">
        <f t="shared" si="16"/>
        <v>1.1230997645351017E-3</v>
      </c>
      <c r="F281" s="51"/>
    </row>
    <row r="282" spans="1:6" ht="15.75" customHeight="1" x14ac:dyDescent="0.25">
      <c r="A282" t="str">
        <f t="shared" si="17"/>
        <v>SUCESION DE BUONO FILIPPO</v>
      </c>
      <c r="C282" s="66">
        <f t="shared" si="18"/>
        <v>1412529.6</v>
      </c>
      <c r="D282" s="24">
        <f t="shared" si="19"/>
        <v>948.00644295302016</v>
      </c>
      <c r="E282" s="50">
        <f t="shared" si="16"/>
        <v>1.9250723063673041E-4</v>
      </c>
      <c r="F282" s="51"/>
    </row>
    <row r="283" spans="1:6" ht="15.75" customHeight="1" x14ac:dyDescent="0.25">
      <c r="A283" t="str">
        <f t="shared" si="17"/>
        <v>SULE FERNANDO JOSE</v>
      </c>
      <c r="C283" s="66">
        <f t="shared" si="18"/>
        <v>16710011.470000001</v>
      </c>
      <c r="D283" s="24">
        <f t="shared" si="19"/>
        <v>11214.772798657719</v>
      </c>
      <c r="E283" s="50">
        <f t="shared" si="16"/>
        <v>2.2773314145046594E-3</v>
      </c>
      <c r="F283" s="51"/>
    </row>
    <row r="284" spans="1:6" ht="15.75" customHeight="1" x14ac:dyDescent="0.25">
      <c r="A284" t="str">
        <f t="shared" si="17"/>
        <v>SZANTO JOSE ALEJANDRO</v>
      </c>
      <c r="C284" s="66">
        <f t="shared" si="18"/>
        <v>380000</v>
      </c>
      <c r="D284" s="24">
        <f t="shared" si="19"/>
        <v>255.03355704697987</v>
      </c>
      <c r="E284" s="50">
        <f t="shared" si="16"/>
        <v>5.1788470586356246E-5</v>
      </c>
      <c r="F284" s="51"/>
    </row>
    <row r="285" spans="1:6" ht="15.75" customHeight="1" x14ac:dyDescent="0.25">
      <c r="A285" t="str">
        <f t="shared" si="17"/>
        <v>TAGLIARINI RUBEN OMAR</v>
      </c>
      <c r="C285" s="66">
        <f t="shared" si="18"/>
        <v>1348666</v>
      </c>
      <c r="D285" s="24">
        <f t="shared" si="19"/>
        <v>905.14496644295298</v>
      </c>
      <c r="E285" s="50">
        <f t="shared" si="16"/>
        <v>1.8380355124162823E-4</v>
      </c>
      <c r="F285" s="51"/>
    </row>
    <row r="286" spans="1:6" ht="15.75" customHeight="1" x14ac:dyDescent="0.25">
      <c r="A286" t="str">
        <f t="shared" si="17"/>
        <v>TALLER MCM S.R.L</v>
      </c>
      <c r="C286" s="66">
        <f t="shared" si="18"/>
        <v>23067211.02</v>
      </c>
      <c r="D286" s="24">
        <f t="shared" si="19"/>
        <v>15481.349677852349</v>
      </c>
      <c r="E286" s="50">
        <f t="shared" si="16"/>
        <v>3.143725208996165E-3</v>
      </c>
      <c r="F286" s="51"/>
    </row>
    <row r="287" spans="1:6" ht="15.75" customHeight="1" x14ac:dyDescent="0.25">
      <c r="A287" t="str">
        <f t="shared" si="17"/>
        <v>TALLONE ALEJANDRO ULISES</v>
      </c>
      <c r="C287" s="66">
        <f t="shared" si="18"/>
        <v>1024492.15</v>
      </c>
      <c r="D287" s="24">
        <f t="shared" si="19"/>
        <v>687.57862416107389</v>
      </c>
      <c r="E287" s="50">
        <f t="shared" si="16"/>
        <v>1.3962337256902073E-4</v>
      </c>
      <c r="F287" s="51"/>
    </row>
    <row r="288" spans="1:6" ht="15.75" customHeight="1" x14ac:dyDescent="0.25">
      <c r="A288" t="str">
        <f t="shared" si="17"/>
        <v>TECH SAFE S.A.</v>
      </c>
      <c r="C288" s="66">
        <f t="shared" si="18"/>
        <v>1411979.12</v>
      </c>
      <c r="D288" s="24">
        <f t="shared" si="19"/>
        <v>947.6369932885907</v>
      </c>
      <c r="E288" s="50">
        <f t="shared" si="16"/>
        <v>1.9243220822281364E-4</v>
      </c>
      <c r="F288" s="51"/>
    </row>
    <row r="289" spans="1:6" ht="15.75" customHeight="1" x14ac:dyDescent="0.25">
      <c r="A289" t="str">
        <f t="shared" si="17"/>
        <v>TECNOLOGIA INTEGRAL S.A</v>
      </c>
      <c r="C289" s="66">
        <f t="shared" si="18"/>
        <v>901495</v>
      </c>
      <c r="D289" s="24">
        <f t="shared" si="19"/>
        <v>605.03020134228188</v>
      </c>
      <c r="E289" s="50">
        <f t="shared" si="16"/>
        <v>1.2286065076644006E-4</v>
      </c>
      <c r="F289" s="51"/>
    </row>
    <row r="290" spans="1:6" ht="15.75" customHeight="1" x14ac:dyDescent="0.25">
      <c r="A290" t="str">
        <f t="shared" si="17"/>
        <v>TECVOL S.R.L.</v>
      </c>
      <c r="C290" s="66">
        <f t="shared" si="18"/>
        <v>18417840</v>
      </c>
      <c r="D290" s="24">
        <f t="shared" si="19"/>
        <v>12360.96644295302</v>
      </c>
      <c r="E290" s="50">
        <f t="shared" si="16"/>
        <v>2.5100835923795146E-3</v>
      </c>
      <c r="F290" s="51"/>
    </row>
    <row r="291" spans="1:6" ht="15.75" customHeight="1" x14ac:dyDescent="0.25">
      <c r="A291" t="str">
        <f t="shared" si="17"/>
        <v>TELEFONICA MOVILES ARGENTINA SA</v>
      </c>
      <c r="C291" s="66">
        <f t="shared" si="18"/>
        <v>36072.33</v>
      </c>
      <c r="D291" s="24">
        <f t="shared" si="19"/>
        <v>24.209617449664432</v>
      </c>
      <c r="E291" s="50">
        <f t="shared" si="16"/>
        <v>4.916133687332464E-6</v>
      </c>
      <c r="F291" s="51"/>
    </row>
    <row r="292" spans="1:6" ht="15.75" customHeight="1" x14ac:dyDescent="0.25">
      <c r="A292" t="str">
        <f t="shared" si="17"/>
        <v>TELMEX ARGENTINA SA</v>
      </c>
      <c r="C292" s="66">
        <f t="shared" si="18"/>
        <v>2237542.67</v>
      </c>
      <c r="D292" s="24">
        <f t="shared" si="19"/>
        <v>1501.7064899328859</v>
      </c>
      <c r="E292" s="50">
        <f t="shared" si="16"/>
        <v>3.0494450723950531E-4</v>
      </c>
      <c r="F292" s="51"/>
    </row>
    <row r="293" spans="1:6" ht="15.75" customHeight="1" x14ac:dyDescent="0.25">
      <c r="A293" t="str">
        <f t="shared" si="17"/>
        <v>TEPEDINO FACUNDO EZEQUIEL</v>
      </c>
      <c r="C293" s="66">
        <f t="shared" si="18"/>
        <v>1103520</v>
      </c>
      <c r="D293" s="24">
        <f t="shared" si="19"/>
        <v>740.6174496644295</v>
      </c>
      <c r="E293" s="50">
        <f t="shared" si="16"/>
        <v>1.5039371858277853E-4</v>
      </c>
      <c r="F293" s="51"/>
    </row>
    <row r="294" spans="1:6" ht="15.75" customHeight="1" x14ac:dyDescent="0.25">
      <c r="A294" t="str">
        <f t="shared" ref="A294:A325" si="20">+B772</f>
        <v>THEISEN SEBASTIAN</v>
      </c>
      <c r="C294" s="66">
        <f t="shared" si="18"/>
        <v>95000</v>
      </c>
      <c r="D294" s="24">
        <f t="shared" si="19"/>
        <v>63.758389261744966</v>
      </c>
      <c r="E294" s="50">
        <f t="shared" si="16"/>
        <v>1.2947117646589061E-5</v>
      </c>
      <c r="F294" s="51"/>
    </row>
    <row r="295" spans="1:6" ht="15.75" customHeight="1" x14ac:dyDescent="0.25">
      <c r="A295" t="str">
        <f t="shared" si="20"/>
        <v>TIRION S.R.L.</v>
      </c>
      <c r="C295" s="66">
        <f t="shared" si="18"/>
        <v>827882</v>
      </c>
      <c r="D295" s="24">
        <f t="shared" si="19"/>
        <v>555.62550335570472</v>
      </c>
      <c r="E295" s="50">
        <f t="shared" si="16"/>
        <v>1.1282827001572049E-4</v>
      </c>
      <c r="F295" s="51"/>
    </row>
    <row r="296" spans="1:6" ht="15.75" customHeight="1" x14ac:dyDescent="0.25">
      <c r="A296" t="str">
        <f t="shared" si="20"/>
        <v>TODO BOMBAS S. R. L.</v>
      </c>
      <c r="C296" s="66">
        <f t="shared" si="18"/>
        <v>5076514.83</v>
      </c>
      <c r="D296" s="24">
        <f t="shared" si="19"/>
        <v>3407.056932885906</v>
      </c>
      <c r="E296" s="50">
        <f t="shared" si="16"/>
        <v>6.9185510251225336E-4</v>
      </c>
      <c r="F296" s="51"/>
    </row>
    <row r="297" spans="1:6" ht="15.75" customHeight="1" x14ac:dyDescent="0.25">
      <c r="A297" t="str">
        <f t="shared" si="20"/>
        <v>TODO PARA LA GASTRONOMIA S.A.</v>
      </c>
      <c r="C297" s="66">
        <f t="shared" si="18"/>
        <v>7174138.1299999999</v>
      </c>
      <c r="D297" s="24">
        <f t="shared" si="19"/>
        <v>4814.8578053691272</v>
      </c>
      <c r="E297" s="50">
        <f t="shared" si="16"/>
        <v>9.7773063559989954E-4</v>
      </c>
      <c r="F297" s="51"/>
    </row>
    <row r="298" spans="1:6" ht="15.75" customHeight="1" x14ac:dyDescent="0.25">
      <c r="A298" t="str">
        <f t="shared" si="20"/>
        <v>TOLOSA S.A.</v>
      </c>
      <c r="C298" s="66">
        <f t="shared" si="18"/>
        <v>-101643.76</v>
      </c>
      <c r="D298" s="24">
        <f t="shared" si="19"/>
        <v>-68.217288590604028</v>
      </c>
      <c r="E298" s="50">
        <f t="shared" si="16"/>
        <v>-1.385256546064909E-5</v>
      </c>
      <c r="F298" s="51"/>
    </row>
    <row r="299" spans="1:6" ht="15.75" customHeight="1" x14ac:dyDescent="0.25">
      <c r="A299" t="str">
        <f t="shared" si="20"/>
        <v>TORRECILLA OSCAR ALBERTO</v>
      </c>
      <c r="C299" s="66">
        <f t="shared" si="18"/>
        <v>18000000</v>
      </c>
      <c r="D299" s="24">
        <f t="shared" si="19"/>
        <v>12080.536912751679</v>
      </c>
      <c r="E299" s="50">
        <f t="shared" si="16"/>
        <v>2.4531380804063488E-3</v>
      </c>
      <c r="F299" s="51"/>
    </row>
    <row r="300" spans="1:6" ht="15.75" customHeight="1" x14ac:dyDescent="0.25">
      <c r="A300" t="str">
        <f t="shared" si="20"/>
        <v>TRANSMISIONES LORENZANI S.R.L</v>
      </c>
      <c r="C300" s="66">
        <f t="shared" si="18"/>
        <v>589028</v>
      </c>
      <c r="D300" s="24">
        <f t="shared" si="19"/>
        <v>395.32080536912753</v>
      </c>
      <c r="E300" s="50">
        <f t="shared" si="16"/>
        <v>8.0275945401421712E-5</v>
      </c>
      <c r="F300" s="51"/>
    </row>
    <row r="301" spans="1:6" ht="15.75" customHeight="1" x14ac:dyDescent="0.25">
      <c r="A301" t="str">
        <f t="shared" si="20"/>
        <v>TRANSPORTE FORTUNA DEL MAR SA</v>
      </c>
      <c r="C301" s="66">
        <f t="shared" si="18"/>
        <v>14907200</v>
      </c>
      <c r="D301" s="24">
        <f t="shared" si="19"/>
        <v>10004.832214765102</v>
      </c>
      <c r="E301" s="50">
        <f t="shared" si="16"/>
        <v>2.0316344440129736E-3</v>
      </c>
      <c r="F301" s="51"/>
    </row>
    <row r="302" spans="1:6" ht="15.75" customHeight="1" x14ac:dyDescent="0.25">
      <c r="A302" t="str">
        <f t="shared" si="20"/>
        <v>TRANSPORTE GYAN S.R.L.</v>
      </c>
      <c r="C302" s="66">
        <f t="shared" si="18"/>
        <v>78934955</v>
      </c>
      <c r="D302" s="24">
        <f t="shared" si="19"/>
        <v>52976.479865771813</v>
      </c>
      <c r="E302" s="50">
        <f t="shared" si="16"/>
        <v>1.0757685776981196E-2</v>
      </c>
      <c r="F302" s="51"/>
    </row>
    <row r="303" spans="1:6" ht="15.75" customHeight="1" x14ac:dyDescent="0.25">
      <c r="A303" t="str">
        <f t="shared" si="20"/>
        <v>TRANSPORTES SCORDINA SA</v>
      </c>
      <c r="C303" s="66">
        <f t="shared" si="18"/>
        <v>13210715.300000001</v>
      </c>
      <c r="D303" s="24">
        <f t="shared" si="19"/>
        <v>8866.2518791946313</v>
      </c>
      <c r="E303" s="50">
        <f t="shared" si="16"/>
        <v>1.8004282651020434E-3</v>
      </c>
      <c r="F303" s="51"/>
    </row>
    <row r="304" spans="1:6" ht="15.75" customHeight="1" x14ac:dyDescent="0.25">
      <c r="A304" t="str">
        <f t="shared" si="20"/>
        <v>TREMBLAY S.R.L.</v>
      </c>
      <c r="C304" s="66">
        <f t="shared" si="18"/>
        <v>6898333.2699999996</v>
      </c>
      <c r="D304" s="24">
        <f t="shared" si="19"/>
        <v>4629.7538724832211</v>
      </c>
      <c r="E304" s="50">
        <f t="shared" si="16"/>
        <v>9.4014244644283597E-4</v>
      </c>
      <c r="F304" s="51"/>
    </row>
    <row r="305" spans="1:6" ht="15.75" customHeight="1" x14ac:dyDescent="0.25">
      <c r="A305" t="str">
        <f t="shared" si="20"/>
        <v>TRUCHI RUBEN ANGEL</v>
      </c>
      <c r="C305" s="66">
        <f t="shared" si="18"/>
        <v>-653801.14</v>
      </c>
      <c r="D305" s="24">
        <f t="shared" si="19"/>
        <v>-438.79271140939596</v>
      </c>
      <c r="E305" s="50">
        <f t="shared" si="16"/>
        <v>-8.9103581863726801E-5</v>
      </c>
      <c r="F305" s="51"/>
    </row>
    <row r="306" spans="1:6" ht="15.75" customHeight="1" x14ac:dyDescent="0.25">
      <c r="A306" t="str">
        <f t="shared" si="20"/>
        <v>URIARTE MARCELO OSVALDO</v>
      </c>
      <c r="C306" s="66">
        <f t="shared" si="18"/>
        <v>693801.12</v>
      </c>
      <c r="D306" s="24">
        <f t="shared" si="19"/>
        <v>465.63833557046979</v>
      </c>
      <c r="E306" s="50">
        <f t="shared" si="16"/>
        <v>9.4554997094476378E-5</v>
      </c>
      <c r="F306" s="51"/>
    </row>
    <row r="307" spans="1:6" ht="15.75" customHeight="1" x14ac:dyDescent="0.25">
      <c r="A307" t="str">
        <f t="shared" si="20"/>
        <v>URK SA</v>
      </c>
      <c r="C307" s="66">
        <f t="shared" si="18"/>
        <v>8769468.9499999993</v>
      </c>
      <c r="D307" s="24">
        <f t="shared" si="19"/>
        <v>5885.5496308724823</v>
      </c>
      <c r="E307" s="50">
        <f t="shared" si="16"/>
        <v>1.195151012565893E-3</v>
      </c>
      <c r="F307" s="51"/>
    </row>
    <row r="308" spans="1:6" ht="15.75" customHeight="1" x14ac:dyDescent="0.25">
      <c r="A308" t="str">
        <f t="shared" si="20"/>
        <v>VAZQUEZ DANIEL NORBERTO</v>
      </c>
      <c r="C308" s="66">
        <f t="shared" si="18"/>
        <v>100473650.04000001</v>
      </c>
      <c r="D308" s="24">
        <f t="shared" si="19"/>
        <v>67431.979892617455</v>
      </c>
      <c r="E308" s="50">
        <f t="shared" si="16"/>
        <v>1.3693096499474715E-2</v>
      </c>
      <c r="F308" s="51"/>
    </row>
    <row r="309" spans="1:6" ht="15.75" customHeight="1" x14ac:dyDescent="0.25">
      <c r="A309" t="str">
        <f t="shared" si="20"/>
        <v>VELASCO GUILLERMO DANIEL</v>
      </c>
      <c r="C309" s="66">
        <f t="shared" si="18"/>
        <v>298320</v>
      </c>
      <c r="D309" s="24">
        <f t="shared" si="19"/>
        <v>200.21476510067114</v>
      </c>
      <c r="E309" s="50">
        <f t="shared" si="16"/>
        <v>4.0656675119267882E-5</v>
      </c>
      <c r="F309" s="51"/>
    </row>
    <row r="310" spans="1:6" ht="15.75" customHeight="1" x14ac:dyDescent="0.25">
      <c r="A310" t="str">
        <f t="shared" si="20"/>
        <v>VERON VICTOR RAUL</v>
      </c>
      <c r="C310" s="66">
        <f t="shared" si="18"/>
        <v>5060704</v>
      </c>
      <c r="D310" s="24">
        <f t="shared" si="19"/>
        <v>3396.4456375838927</v>
      </c>
      <c r="E310" s="50">
        <f t="shared" si="16"/>
        <v>6.8970031644804053E-4</v>
      </c>
      <c r="F310" s="51"/>
    </row>
    <row r="311" spans="1:6" ht="15.75" customHeight="1" x14ac:dyDescent="0.25">
      <c r="A311" t="str">
        <f t="shared" si="20"/>
        <v>VIENTOS DE LUNA S.A.</v>
      </c>
      <c r="C311" s="66">
        <f t="shared" si="18"/>
        <v>374694.65</v>
      </c>
      <c r="D311" s="24">
        <f t="shared" si="19"/>
        <v>251.47291946308727</v>
      </c>
      <c r="E311" s="50">
        <f t="shared" si="16"/>
        <v>5.1065428579973817E-5</v>
      </c>
      <c r="F311" s="51"/>
    </row>
    <row r="312" spans="1:6" ht="15.75" customHeight="1" x14ac:dyDescent="0.25">
      <c r="A312" t="str">
        <f t="shared" si="20"/>
        <v>VILLAGRA DAVID ERNESTO</v>
      </c>
      <c r="C312" s="66">
        <f t="shared" si="18"/>
        <v>21500000</v>
      </c>
      <c r="D312" s="24">
        <f t="shared" si="19"/>
        <v>14429.530201342282</v>
      </c>
      <c r="E312" s="50">
        <f t="shared" si="16"/>
        <v>2.9301371515964721E-3</v>
      </c>
      <c r="F312" s="51"/>
    </row>
    <row r="313" spans="1:6" ht="15.75" customHeight="1" x14ac:dyDescent="0.25">
      <c r="A313" t="str">
        <f t="shared" si="20"/>
        <v>VILLAMAGNA HNOS SRL</v>
      </c>
      <c r="C313" s="66">
        <f t="shared" si="18"/>
        <v>19937761.100000001</v>
      </c>
      <c r="D313" s="24">
        <f t="shared" si="19"/>
        <v>13381.047718120806</v>
      </c>
      <c r="E313" s="50">
        <f t="shared" si="16"/>
        <v>2.7172267218030207E-3</v>
      </c>
      <c r="F313" s="51"/>
    </row>
    <row r="314" spans="1:6" ht="15.75" customHeight="1" x14ac:dyDescent="0.25">
      <c r="A314" t="str">
        <f t="shared" si="20"/>
        <v>VILLAR MARCELA NOELIA</v>
      </c>
      <c r="C314" s="66">
        <f t="shared" si="18"/>
        <v>8175503.79</v>
      </c>
      <c r="D314" s="24">
        <f t="shared" si="19"/>
        <v>5486.9152953020139</v>
      </c>
      <c r="E314" s="50">
        <f t="shared" si="16"/>
        <v>1.1142022040975239E-3</v>
      </c>
      <c r="F314" s="51"/>
    </row>
    <row r="315" spans="1:6" ht="15.75" customHeight="1" x14ac:dyDescent="0.25">
      <c r="A315" t="str">
        <f t="shared" si="20"/>
        <v>VIOMAR S.A.I.C.</v>
      </c>
      <c r="C315" s="66">
        <f t="shared" si="18"/>
        <v>95433594.390000001</v>
      </c>
      <c r="D315" s="24">
        <f t="shared" si="19"/>
        <v>64049.392208053694</v>
      </c>
      <c r="E315" s="50">
        <f t="shared" si="16"/>
        <v>1.3006210252675706E-2</v>
      </c>
      <c r="F315" s="51"/>
    </row>
    <row r="316" spans="1:6" ht="15.75" customHeight="1" x14ac:dyDescent="0.25">
      <c r="A316" t="str">
        <f t="shared" si="20"/>
        <v>VISION LOGISTIC</v>
      </c>
      <c r="C316" s="66">
        <f t="shared" si="18"/>
        <v>125636926.66</v>
      </c>
      <c r="D316" s="24">
        <f t="shared" si="19"/>
        <v>84320.085006711408</v>
      </c>
      <c r="E316" s="50">
        <f t="shared" si="16"/>
        <v>1.7122484949714755E-2</v>
      </c>
      <c r="F316" s="51"/>
    </row>
    <row r="317" spans="1:6" ht="15.75" customHeight="1" x14ac:dyDescent="0.25">
      <c r="A317" t="str">
        <f t="shared" si="20"/>
        <v>VIVA WALTER IGNACIO Y VIVA ABEL S.H.</v>
      </c>
      <c r="C317" s="66">
        <f t="shared" si="18"/>
        <v>599192</v>
      </c>
      <c r="D317" s="24">
        <f t="shared" si="19"/>
        <v>402.14228187919463</v>
      </c>
      <c r="E317" s="50">
        <f t="shared" si="16"/>
        <v>8.1661150704157828E-5</v>
      </c>
      <c r="F317" s="51"/>
    </row>
    <row r="318" spans="1:6" ht="15.75" customHeight="1" x14ac:dyDescent="0.25">
      <c r="A318" t="str">
        <f t="shared" si="20"/>
        <v>WANBARU ICE S.A.</v>
      </c>
      <c r="C318" s="66">
        <f t="shared" si="18"/>
        <v>2212224.91</v>
      </c>
      <c r="D318" s="24">
        <f t="shared" si="19"/>
        <v>1484.7147046979867</v>
      </c>
      <c r="E318" s="50">
        <f t="shared" ref="E318:E323" si="21">+D318/$D$324</f>
        <v>3.0149406495247262E-4</v>
      </c>
      <c r="F318" s="51"/>
    </row>
    <row r="319" spans="1:6" ht="15.75" customHeight="1" x14ac:dyDescent="0.25">
      <c r="A319" t="str">
        <f t="shared" si="20"/>
        <v>WATER NAVAL S.A.S</v>
      </c>
      <c r="C319" s="66">
        <f t="shared" si="18"/>
        <v>6732315.1500000004</v>
      </c>
      <c r="D319" s="24">
        <f t="shared" si="19"/>
        <v>4518.3323154362415</v>
      </c>
      <c r="E319" s="50">
        <f t="shared" si="21"/>
        <v>9.1751659243119877E-4</v>
      </c>
      <c r="F319" s="51"/>
    </row>
    <row r="320" spans="1:6" ht="15.75" customHeight="1" x14ac:dyDescent="0.25">
      <c r="A320" t="str">
        <f t="shared" si="20"/>
        <v>WEMAR S R L</v>
      </c>
      <c r="C320" s="66">
        <f t="shared" si="18"/>
        <v>58266315</v>
      </c>
      <c r="D320" s="24">
        <f t="shared" si="19"/>
        <v>39104.909395973154</v>
      </c>
      <c r="E320" s="50">
        <f t="shared" si="21"/>
        <v>7.9408508961917573E-3</v>
      </c>
      <c r="F320" s="51"/>
    </row>
    <row r="321" spans="1:6" ht="15.75" customHeight="1" x14ac:dyDescent="0.25">
      <c r="A321" t="str">
        <f t="shared" si="20"/>
        <v>XYLEM WATER SOLUTIONS ARGENTINA SRL</v>
      </c>
      <c r="C321" s="66">
        <f t="shared" si="18"/>
        <v>11964832.300000001</v>
      </c>
      <c r="D321" s="24">
        <f t="shared" si="19"/>
        <v>8030.0887919463094</v>
      </c>
      <c r="E321" s="50">
        <f t="shared" si="21"/>
        <v>1.6306325411558822E-3</v>
      </c>
      <c r="F321" s="51"/>
    </row>
    <row r="322" spans="1:6" ht="15.75" customHeight="1" x14ac:dyDescent="0.25">
      <c r="A322" t="str">
        <f t="shared" si="20"/>
        <v>Y.C. ARMO-CAS S. A.</v>
      </c>
      <c r="C322" s="66">
        <f t="shared" si="18"/>
        <v>2923830</v>
      </c>
      <c r="D322" s="24">
        <f t="shared" si="19"/>
        <v>1962.3020134228188</v>
      </c>
      <c r="E322" s="50">
        <f t="shared" si="21"/>
        <v>3.9847548409080522E-4</v>
      </c>
      <c r="F322" s="51"/>
    </row>
    <row r="323" spans="1:6" ht="15.75" customHeight="1" x14ac:dyDescent="0.25">
      <c r="A323" t="str">
        <f t="shared" si="20"/>
        <v>YPF S.A.</v>
      </c>
      <c r="C323" s="66">
        <f t="shared" si="18"/>
        <v>2463728294.71</v>
      </c>
      <c r="D323" s="24">
        <f t="shared" si="19"/>
        <v>1653508.922624161</v>
      </c>
      <c r="E323" s="50">
        <f t="shared" si="21"/>
        <v>0.33577031664042756</v>
      </c>
      <c r="F323" s="51"/>
    </row>
    <row r="324" spans="1:6" ht="18" customHeight="1" x14ac:dyDescent="0.25">
      <c r="A324" s="41" t="s">
        <v>166</v>
      </c>
      <c r="B324" s="42"/>
      <c r="C324" s="43">
        <f>SUM(C5:C323)</f>
        <v>7337540493.0399981</v>
      </c>
      <c r="D324" s="43">
        <f t="shared" ref="D324:E324" si="22">SUM(D5:D323)</f>
        <v>4924523.8208322152</v>
      </c>
      <c r="E324" s="43">
        <f t="shared" si="22"/>
        <v>1</v>
      </c>
      <c r="F324" s="42"/>
    </row>
    <row r="326" spans="1:6" ht="15" customHeight="1" x14ac:dyDescent="0.25">
      <c r="A326" s="72" t="s">
        <v>167</v>
      </c>
      <c r="B326" s="72"/>
      <c r="C326" s="72"/>
      <c r="D326" s="72"/>
      <c r="E326" s="72"/>
      <c r="F326" s="72"/>
    </row>
    <row r="482" spans="1:11" x14ac:dyDescent="0.25">
      <c r="A482" t="s">
        <v>531</v>
      </c>
      <c r="B482" t="s">
        <v>532</v>
      </c>
      <c r="C482" t="s">
        <v>533</v>
      </c>
      <c r="D482" t="s">
        <v>4</v>
      </c>
      <c r="E482" t="s">
        <v>534</v>
      </c>
      <c r="F482" t="s">
        <v>535</v>
      </c>
      <c r="G482" t="s">
        <v>536</v>
      </c>
      <c r="H482" t="s">
        <v>537</v>
      </c>
      <c r="I482" t="s">
        <v>538</v>
      </c>
      <c r="J482" t="s">
        <v>539</v>
      </c>
      <c r="K482" t="s">
        <v>155</v>
      </c>
    </row>
    <row r="483" spans="1:11" x14ac:dyDescent="0.25">
      <c r="A483" t="s">
        <v>182</v>
      </c>
      <c r="B483" t="s">
        <v>183</v>
      </c>
      <c r="C483" t="s">
        <v>540</v>
      </c>
      <c r="D483" t="s">
        <v>543</v>
      </c>
      <c r="E483">
        <v>0</v>
      </c>
      <c r="F483" t="s">
        <v>544</v>
      </c>
      <c r="G483">
        <v>0</v>
      </c>
      <c r="H483">
        <v>0</v>
      </c>
      <c r="I483">
        <v>0</v>
      </c>
      <c r="J483">
        <v>0.01</v>
      </c>
      <c r="K483">
        <v>0.01</v>
      </c>
    </row>
    <row r="484" spans="1:11" x14ac:dyDescent="0.25">
      <c r="A484" t="s">
        <v>184</v>
      </c>
      <c r="B484" t="s">
        <v>185</v>
      </c>
      <c r="C484" t="s">
        <v>540</v>
      </c>
      <c r="D484" t="s">
        <v>545</v>
      </c>
      <c r="E484">
        <v>0</v>
      </c>
      <c r="F484" t="s">
        <v>546</v>
      </c>
      <c r="G484">
        <v>0</v>
      </c>
      <c r="H484">
        <v>0</v>
      </c>
      <c r="I484">
        <v>0</v>
      </c>
      <c r="J484">
        <v>1.08</v>
      </c>
      <c r="K484">
        <v>1.08</v>
      </c>
    </row>
    <row r="485" spans="1:11" x14ac:dyDescent="0.25">
      <c r="A485" t="s">
        <v>1152</v>
      </c>
      <c r="B485" t="s">
        <v>1153</v>
      </c>
      <c r="C485" t="s">
        <v>540</v>
      </c>
      <c r="D485" t="s">
        <v>710</v>
      </c>
      <c r="E485">
        <v>550000</v>
      </c>
      <c r="F485" t="s">
        <v>711</v>
      </c>
      <c r="G485">
        <v>0</v>
      </c>
      <c r="H485">
        <v>0</v>
      </c>
      <c r="I485">
        <v>0</v>
      </c>
      <c r="J485">
        <v>0</v>
      </c>
      <c r="K485">
        <v>550000</v>
      </c>
    </row>
    <row r="486" spans="1:11" x14ac:dyDescent="0.25">
      <c r="A486" t="s">
        <v>186</v>
      </c>
      <c r="B486" t="s">
        <v>187</v>
      </c>
      <c r="C486" t="s">
        <v>540</v>
      </c>
      <c r="D486" t="s">
        <v>545</v>
      </c>
      <c r="E486">
        <v>0</v>
      </c>
      <c r="F486" t="s">
        <v>546</v>
      </c>
      <c r="G486">
        <v>1870660</v>
      </c>
      <c r="H486">
        <v>3052406.5</v>
      </c>
      <c r="I486">
        <v>0</v>
      </c>
      <c r="J486">
        <v>0</v>
      </c>
      <c r="K486">
        <v>4923066.5</v>
      </c>
    </row>
    <row r="487" spans="1:11" x14ac:dyDescent="0.25">
      <c r="A487" t="s">
        <v>188</v>
      </c>
      <c r="B487" t="s">
        <v>189</v>
      </c>
      <c r="C487" t="s">
        <v>540</v>
      </c>
      <c r="D487" t="s">
        <v>547</v>
      </c>
      <c r="E487">
        <v>2036360</v>
      </c>
      <c r="F487" t="s">
        <v>548</v>
      </c>
      <c r="G487">
        <v>87000</v>
      </c>
      <c r="H487">
        <v>0</v>
      </c>
      <c r="I487">
        <v>0</v>
      </c>
      <c r="J487">
        <v>0</v>
      </c>
      <c r="K487">
        <v>2123360</v>
      </c>
    </row>
    <row r="488" spans="1:11" x14ac:dyDescent="0.25">
      <c r="A488" t="s">
        <v>1002</v>
      </c>
      <c r="B488" t="s">
        <v>930</v>
      </c>
      <c r="C488" t="s">
        <v>540</v>
      </c>
      <c r="D488" t="s">
        <v>549</v>
      </c>
      <c r="E488">
        <v>2766148.88</v>
      </c>
      <c r="F488" t="s">
        <v>550</v>
      </c>
      <c r="G488">
        <v>2758752.76</v>
      </c>
      <c r="H488">
        <v>0</v>
      </c>
      <c r="I488">
        <v>0</v>
      </c>
      <c r="J488">
        <v>0</v>
      </c>
      <c r="K488">
        <v>5524901.6399999997</v>
      </c>
    </row>
    <row r="489" spans="1:11" x14ac:dyDescent="0.25">
      <c r="A489" t="s">
        <v>190</v>
      </c>
      <c r="B489" t="s">
        <v>191</v>
      </c>
      <c r="C489" t="s">
        <v>540</v>
      </c>
      <c r="D489" t="s">
        <v>545</v>
      </c>
      <c r="E489">
        <v>1152947.92</v>
      </c>
      <c r="F489" t="s">
        <v>546</v>
      </c>
      <c r="G489">
        <v>4079443.35</v>
      </c>
      <c r="H489">
        <v>0</v>
      </c>
      <c r="I489">
        <v>0</v>
      </c>
      <c r="J489">
        <v>0</v>
      </c>
      <c r="K489">
        <v>5232391.2699999996</v>
      </c>
    </row>
    <row r="490" spans="1:11" x14ac:dyDescent="0.25">
      <c r="A490" t="s">
        <v>712</v>
      </c>
      <c r="B490" t="s">
        <v>713</v>
      </c>
      <c r="C490" t="s">
        <v>540</v>
      </c>
      <c r="D490" t="s">
        <v>617</v>
      </c>
      <c r="E490">
        <v>0</v>
      </c>
      <c r="F490" t="s">
        <v>618</v>
      </c>
      <c r="G490">
        <v>1451854.8</v>
      </c>
      <c r="H490">
        <v>0</v>
      </c>
      <c r="I490">
        <v>0</v>
      </c>
      <c r="J490">
        <v>0</v>
      </c>
      <c r="K490">
        <v>1451854.8</v>
      </c>
    </row>
    <row r="491" spans="1:11" x14ac:dyDescent="0.25">
      <c r="A491" t="s">
        <v>800</v>
      </c>
      <c r="B491" t="s">
        <v>801</v>
      </c>
      <c r="C491" t="s">
        <v>540</v>
      </c>
      <c r="D491" t="s">
        <v>563</v>
      </c>
      <c r="E491">
        <v>6776000</v>
      </c>
      <c r="F491" t="s">
        <v>564</v>
      </c>
      <c r="G491">
        <v>0</v>
      </c>
      <c r="H491">
        <v>0</v>
      </c>
      <c r="I491">
        <v>0</v>
      </c>
      <c r="J491">
        <v>0</v>
      </c>
      <c r="K491">
        <v>6776000</v>
      </c>
    </row>
    <row r="492" spans="1:11" x14ac:dyDescent="0.25">
      <c r="A492" t="s">
        <v>716</v>
      </c>
      <c r="B492" t="s">
        <v>717</v>
      </c>
      <c r="C492" t="s">
        <v>540</v>
      </c>
      <c r="D492" t="s">
        <v>559</v>
      </c>
      <c r="E492">
        <v>1550818.6</v>
      </c>
      <c r="F492" t="s">
        <v>560</v>
      </c>
      <c r="G492">
        <v>0</v>
      </c>
      <c r="H492">
        <v>0</v>
      </c>
      <c r="I492">
        <v>0</v>
      </c>
      <c r="J492">
        <v>0</v>
      </c>
      <c r="K492">
        <v>1550818.6</v>
      </c>
    </row>
    <row r="493" spans="1:11" x14ac:dyDescent="0.25">
      <c r="A493" t="s">
        <v>485</v>
      </c>
      <c r="B493" t="s">
        <v>486</v>
      </c>
      <c r="C493" t="s">
        <v>540</v>
      </c>
      <c r="D493" t="s">
        <v>551</v>
      </c>
      <c r="E493">
        <v>0</v>
      </c>
      <c r="F493" t="s">
        <v>552</v>
      </c>
      <c r="G493">
        <v>2097427.31</v>
      </c>
      <c r="H493">
        <v>1306192.58</v>
      </c>
      <c r="I493">
        <v>0</v>
      </c>
      <c r="J493">
        <v>0</v>
      </c>
      <c r="K493">
        <v>3403619.89</v>
      </c>
    </row>
    <row r="494" spans="1:11" x14ac:dyDescent="0.25">
      <c r="A494" t="s">
        <v>1154</v>
      </c>
      <c r="B494" t="s">
        <v>1155</v>
      </c>
      <c r="C494" t="s">
        <v>540</v>
      </c>
      <c r="D494" t="s">
        <v>1156</v>
      </c>
      <c r="E494">
        <v>0</v>
      </c>
      <c r="F494" t="s">
        <v>1157</v>
      </c>
      <c r="G494">
        <v>96800</v>
      </c>
      <c r="H494">
        <v>0</v>
      </c>
      <c r="I494">
        <v>0</v>
      </c>
      <c r="J494">
        <v>0</v>
      </c>
      <c r="K494">
        <v>96800</v>
      </c>
    </row>
    <row r="495" spans="1:11" x14ac:dyDescent="0.25">
      <c r="A495" t="s">
        <v>1003</v>
      </c>
      <c r="B495" t="s">
        <v>931</v>
      </c>
      <c r="C495" t="s">
        <v>540</v>
      </c>
      <c r="D495" t="s">
        <v>677</v>
      </c>
      <c r="E495">
        <v>0</v>
      </c>
      <c r="F495" t="s">
        <v>678</v>
      </c>
      <c r="G495">
        <v>0</v>
      </c>
      <c r="H495">
        <v>1717000</v>
      </c>
      <c r="I495">
        <v>0</v>
      </c>
      <c r="J495">
        <v>0</v>
      </c>
      <c r="K495">
        <v>1717000</v>
      </c>
    </row>
    <row r="496" spans="1:11" x14ac:dyDescent="0.25">
      <c r="A496" t="s">
        <v>192</v>
      </c>
      <c r="B496" t="s">
        <v>193</v>
      </c>
      <c r="C496" t="s">
        <v>540</v>
      </c>
      <c r="D496" t="s">
        <v>553</v>
      </c>
      <c r="E496">
        <v>0</v>
      </c>
      <c r="F496" t="s">
        <v>554</v>
      </c>
      <c r="G496">
        <v>1438621.43</v>
      </c>
      <c r="H496">
        <v>0</v>
      </c>
      <c r="I496">
        <v>0</v>
      </c>
      <c r="J496">
        <v>0</v>
      </c>
      <c r="K496">
        <v>1438621.43</v>
      </c>
    </row>
    <row r="497" spans="1:11" x14ac:dyDescent="0.25">
      <c r="A497" t="s">
        <v>720</v>
      </c>
      <c r="B497" t="s">
        <v>721</v>
      </c>
      <c r="C497" t="s">
        <v>540</v>
      </c>
      <c r="D497" t="s">
        <v>557</v>
      </c>
      <c r="E497">
        <v>251991.6</v>
      </c>
      <c r="F497" t="s">
        <v>558</v>
      </c>
      <c r="G497">
        <v>470226.71</v>
      </c>
      <c r="H497">
        <v>0</v>
      </c>
      <c r="I497">
        <v>0</v>
      </c>
      <c r="J497">
        <v>0</v>
      </c>
      <c r="K497">
        <v>722218.31</v>
      </c>
    </row>
    <row r="498" spans="1:11" x14ac:dyDescent="0.25">
      <c r="A498" t="s">
        <v>839</v>
      </c>
      <c r="B498" t="s">
        <v>840</v>
      </c>
      <c r="C498" t="s">
        <v>540</v>
      </c>
      <c r="D498" t="s">
        <v>563</v>
      </c>
      <c r="E498">
        <v>1385630.28</v>
      </c>
      <c r="F498" t="s">
        <v>564</v>
      </c>
      <c r="G498">
        <v>0</v>
      </c>
      <c r="H498">
        <v>0</v>
      </c>
      <c r="I498">
        <v>0</v>
      </c>
      <c r="J498">
        <v>0</v>
      </c>
      <c r="K498">
        <v>1385630.28</v>
      </c>
    </row>
    <row r="499" spans="1:11" x14ac:dyDescent="0.25">
      <c r="A499" t="s">
        <v>194</v>
      </c>
      <c r="B499" t="s">
        <v>195</v>
      </c>
      <c r="C499" t="s">
        <v>540</v>
      </c>
      <c r="D499" t="s">
        <v>555</v>
      </c>
      <c r="E499">
        <v>3570689.29</v>
      </c>
      <c r="F499" t="s">
        <v>556</v>
      </c>
      <c r="G499">
        <v>0</v>
      </c>
      <c r="H499">
        <v>0</v>
      </c>
      <c r="I499">
        <v>0</v>
      </c>
      <c r="J499">
        <v>0</v>
      </c>
      <c r="K499">
        <v>3570689.29</v>
      </c>
    </row>
    <row r="500" spans="1:11" x14ac:dyDescent="0.25">
      <c r="A500" t="s">
        <v>1004</v>
      </c>
      <c r="B500" t="s">
        <v>932</v>
      </c>
      <c r="C500" t="s">
        <v>540</v>
      </c>
      <c r="D500" t="s">
        <v>559</v>
      </c>
      <c r="E500">
        <v>0</v>
      </c>
      <c r="F500" t="s">
        <v>560</v>
      </c>
      <c r="G500">
        <v>3385000</v>
      </c>
      <c r="H500">
        <v>0</v>
      </c>
      <c r="I500">
        <v>0</v>
      </c>
      <c r="J500">
        <v>0</v>
      </c>
      <c r="K500">
        <v>3385000</v>
      </c>
    </row>
    <row r="501" spans="1:11" x14ac:dyDescent="0.25">
      <c r="A501" t="s">
        <v>1005</v>
      </c>
      <c r="B501" t="s">
        <v>933</v>
      </c>
      <c r="C501" t="s">
        <v>540</v>
      </c>
      <c r="D501" t="s">
        <v>563</v>
      </c>
      <c r="E501">
        <v>0</v>
      </c>
      <c r="F501" t="s">
        <v>564</v>
      </c>
      <c r="G501">
        <v>60016000</v>
      </c>
      <c r="H501">
        <v>0</v>
      </c>
      <c r="I501">
        <v>0</v>
      </c>
      <c r="J501">
        <v>0</v>
      </c>
      <c r="K501">
        <v>60016000</v>
      </c>
    </row>
    <row r="502" spans="1:11" x14ac:dyDescent="0.25">
      <c r="A502" t="s">
        <v>1006</v>
      </c>
      <c r="B502" t="s">
        <v>934</v>
      </c>
      <c r="C502" t="s">
        <v>540</v>
      </c>
      <c r="D502" t="s">
        <v>1007</v>
      </c>
      <c r="E502">
        <v>169552.2</v>
      </c>
      <c r="F502" t="s">
        <v>1008</v>
      </c>
      <c r="G502">
        <v>169552.2</v>
      </c>
      <c r="H502">
        <v>0</v>
      </c>
      <c r="I502">
        <v>0</v>
      </c>
      <c r="J502">
        <v>0</v>
      </c>
      <c r="K502">
        <v>339104.4</v>
      </c>
    </row>
    <row r="503" spans="1:11" x14ac:dyDescent="0.25">
      <c r="A503" t="s">
        <v>487</v>
      </c>
      <c r="B503" t="s">
        <v>488</v>
      </c>
      <c r="C503" t="s">
        <v>540</v>
      </c>
      <c r="D503" t="s">
        <v>559</v>
      </c>
      <c r="E503">
        <v>0</v>
      </c>
      <c r="F503" t="s">
        <v>560</v>
      </c>
      <c r="G503">
        <v>367356</v>
      </c>
      <c r="H503">
        <v>0</v>
      </c>
      <c r="I503">
        <v>0</v>
      </c>
      <c r="J503">
        <v>0</v>
      </c>
      <c r="K503">
        <v>367356</v>
      </c>
    </row>
    <row r="504" spans="1:11" x14ac:dyDescent="0.25">
      <c r="A504" t="s">
        <v>843</v>
      </c>
      <c r="B504" t="s">
        <v>844</v>
      </c>
      <c r="C504" t="s">
        <v>540</v>
      </c>
      <c r="D504" t="s">
        <v>575</v>
      </c>
      <c r="E504">
        <v>3146000</v>
      </c>
      <c r="F504" t="s">
        <v>576</v>
      </c>
      <c r="G504">
        <v>0</v>
      </c>
      <c r="H504">
        <v>0</v>
      </c>
      <c r="I504">
        <v>0</v>
      </c>
      <c r="J504">
        <v>0</v>
      </c>
      <c r="K504">
        <v>3146000</v>
      </c>
    </row>
    <row r="505" spans="1:11" x14ac:dyDescent="0.25">
      <c r="A505" t="s">
        <v>1009</v>
      </c>
      <c r="B505" t="s">
        <v>1010</v>
      </c>
      <c r="C505" t="s">
        <v>540</v>
      </c>
      <c r="D505" t="s">
        <v>561</v>
      </c>
      <c r="E505">
        <v>3592786.9</v>
      </c>
      <c r="F505" t="s">
        <v>562</v>
      </c>
      <c r="G505">
        <v>0</v>
      </c>
      <c r="H505">
        <v>13387941.35</v>
      </c>
      <c r="I505">
        <v>0</v>
      </c>
      <c r="J505">
        <v>0</v>
      </c>
      <c r="K505">
        <v>16980728.25</v>
      </c>
    </row>
    <row r="506" spans="1:11" x14ac:dyDescent="0.25">
      <c r="A506" t="s">
        <v>845</v>
      </c>
      <c r="B506" t="s">
        <v>846</v>
      </c>
      <c r="C506" t="s">
        <v>540</v>
      </c>
      <c r="D506" t="s">
        <v>847</v>
      </c>
      <c r="E506">
        <v>126000</v>
      </c>
      <c r="F506" t="s">
        <v>848</v>
      </c>
      <c r="G506">
        <v>0</v>
      </c>
      <c r="H506">
        <v>0</v>
      </c>
      <c r="I506">
        <v>0</v>
      </c>
      <c r="J506">
        <v>0</v>
      </c>
      <c r="K506">
        <v>126000</v>
      </c>
    </row>
    <row r="507" spans="1:11" x14ac:dyDescent="0.25">
      <c r="A507" t="s">
        <v>1011</v>
      </c>
      <c r="B507" t="s">
        <v>1012</v>
      </c>
      <c r="C507" t="s">
        <v>540</v>
      </c>
      <c r="D507" t="s">
        <v>563</v>
      </c>
      <c r="E507">
        <v>7201920</v>
      </c>
      <c r="F507" t="s">
        <v>564</v>
      </c>
      <c r="G507">
        <v>0</v>
      </c>
      <c r="H507">
        <v>0</v>
      </c>
      <c r="I507">
        <v>0</v>
      </c>
      <c r="J507">
        <v>0</v>
      </c>
      <c r="K507">
        <v>7201920</v>
      </c>
    </row>
    <row r="508" spans="1:11" x14ac:dyDescent="0.25">
      <c r="A508" t="s">
        <v>198</v>
      </c>
      <c r="B508" t="s">
        <v>199</v>
      </c>
      <c r="C508" t="s">
        <v>540</v>
      </c>
      <c r="D508" t="s">
        <v>563</v>
      </c>
      <c r="E508">
        <v>0</v>
      </c>
      <c r="F508" t="s">
        <v>564</v>
      </c>
      <c r="G508">
        <v>0</v>
      </c>
      <c r="H508">
        <v>35948940</v>
      </c>
      <c r="I508">
        <v>0</v>
      </c>
      <c r="J508">
        <v>26176.959999999999</v>
      </c>
      <c r="K508">
        <v>35975116.960000001</v>
      </c>
    </row>
    <row r="509" spans="1:11" x14ac:dyDescent="0.25">
      <c r="A509" t="s">
        <v>722</v>
      </c>
      <c r="B509" t="s">
        <v>723</v>
      </c>
      <c r="C509" t="s">
        <v>540</v>
      </c>
      <c r="D509" t="s">
        <v>595</v>
      </c>
      <c r="E509">
        <v>0</v>
      </c>
      <c r="F509" t="s">
        <v>596</v>
      </c>
      <c r="G509">
        <v>980100</v>
      </c>
      <c r="H509">
        <v>0</v>
      </c>
      <c r="I509">
        <v>0</v>
      </c>
      <c r="J509">
        <v>0</v>
      </c>
      <c r="K509">
        <v>980100</v>
      </c>
    </row>
    <row r="510" spans="1:11" x14ac:dyDescent="0.25">
      <c r="A510" t="s">
        <v>1013</v>
      </c>
      <c r="B510" t="s">
        <v>935</v>
      </c>
      <c r="C510" t="s">
        <v>540</v>
      </c>
      <c r="D510" t="s">
        <v>617</v>
      </c>
      <c r="E510">
        <v>0</v>
      </c>
      <c r="F510" t="s">
        <v>618</v>
      </c>
      <c r="G510">
        <v>630000</v>
      </c>
      <c r="H510">
        <v>0</v>
      </c>
      <c r="I510">
        <v>0</v>
      </c>
      <c r="J510">
        <v>0</v>
      </c>
      <c r="K510">
        <v>630000</v>
      </c>
    </row>
    <row r="511" spans="1:11" x14ac:dyDescent="0.25">
      <c r="A511" t="s">
        <v>1014</v>
      </c>
      <c r="B511" t="s">
        <v>936</v>
      </c>
      <c r="C511" t="s">
        <v>540</v>
      </c>
      <c r="D511" t="s">
        <v>1015</v>
      </c>
      <c r="E511">
        <v>680000.01</v>
      </c>
      <c r="F511" t="s">
        <v>1016</v>
      </c>
      <c r="G511">
        <v>0</v>
      </c>
      <c r="H511">
        <v>0</v>
      </c>
      <c r="I511">
        <v>0</v>
      </c>
      <c r="J511">
        <v>0</v>
      </c>
      <c r="K511">
        <v>680000.01</v>
      </c>
    </row>
    <row r="512" spans="1:11" x14ac:dyDescent="0.25">
      <c r="A512" t="s">
        <v>1014</v>
      </c>
      <c r="B512" t="s">
        <v>936</v>
      </c>
      <c r="C512" t="s">
        <v>540</v>
      </c>
      <c r="D512" t="s">
        <v>1017</v>
      </c>
      <c r="E512">
        <v>15000</v>
      </c>
      <c r="F512" t="s">
        <v>1018</v>
      </c>
      <c r="G512">
        <v>0</v>
      </c>
      <c r="H512">
        <v>0</v>
      </c>
      <c r="I512">
        <v>0</v>
      </c>
      <c r="J512">
        <v>0</v>
      </c>
      <c r="K512">
        <v>15000</v>
      </c>
    </row>
    <row r="513" spans="1:11" x14ac:dyDescent="0.25">
      <c r="A513" t="s">
        <v>802</v>
      </c>
      <c r="B513" t="s">
        <v>803</v>
      </c>
      <c r="C513" t="s">
        <v>540</v>
      </c>
      <c r="D513" t="s">
        <v>545</v>
      </c>
      <c r="E513">
        <v>1159729.3500000001</v>
      </c>
      <c r="F513" t="s">
        <v>546</v>
      </c>
      <c r="G513">
        <v>577273.98</v>
      </c>
      <c r="H513">
        <v>0</v>
      </c>
      <c r="I513">
        <v>0</v>
      </c>
      <c r="J513">
        <v>0</v>
      </c>
      <c r="K513">
        <v>1737003.33</v>
      </c>
    </row>
    <row r="514" spans="1:11" x14ac:dyDescent="0.25">
      <c r="A514" t="s">
        <v>724</v>
      </c>
      <c r="B514" t="s">
        <v>725</v>
      </c>
      <c r="C514" t="s">
        <v>540</v>
      </c>
      <c r="D514" t="s">
        <v>559</v>
      </c>
      <c r="E514">
        <v>68500</v>
      </c>
      <c r="F514" t="s">
        <v>560</v>
      </c>
      <c r="G514">
        <v>0</v>
      </c>
      <c r="H514">
        <v>0</v>
      </c>
      <c r="I514">
        <v>0</v>
      </c>
      <c r="J514">
        <v>0</v>
      </c>
      <c r="K514">
        <v>68500</v>
      </c>
    </row>
    <row r="515" spans="1:11" x14ac:dyDescent="0.25">
      <c r="A515" t="s">
        <v>200</v>
      </c>
      <c r="B515" t="s">
        <v>201</v>
      </c>
      <c r="C515" t="s">
        <v>540</v>
      </c>
      <c r="D515" t="s">
        <v>559</v>
      </c>
      <c r="E515">
        <v>0</v>
      </c>
      <c r="F515" t="s">
        <v>560</v>
      </c>
      <c r="G515">
        <v>0</v>
      </c>
      <c r="H515">
        <v>0</v>
      </c>
      <c r="I515">
        <v>0</v>
      </c>
      <c r="J515">
        <v>4477000</v>
      </c>
      <c r="K515">
        <v>4477000</v>
      </c>
    </row>
    <row r="516" spans="1:11" x14ac:dyDescent="0.25">
      <c r="A516" t="s">
        <v>726</v>
      </c>
      <c r="B516" t="s">
        <v>727</v>
      </c>
      <c r="C516" t="s">
        <v>540</v>
      </c>
      <c r="D516" t="s">
        <v>681</v>
      </c>
      <c r="E516">
        <v>410879.35</v>
      </c>
      <c r="F516" t="s">
        <v>682</v>
      </c>
      <c r="G516">
        <v>0</v>
      </c>
      <c r="H516">
        <v>0</v>
      </c>
      <c r="I516">
        <v>0</v>
      </c>
      <c r="J516">
        <v>0</v>
      </c>
      <c r="K516">
        <v>410879.35</v>
      </c>
    </row>
    <row r="517" spans="1:11" x14ac:dyDescent="0.25">
      <c r="A517" t="s">
        <v>567</v>
      </c>
      <c r="B517" t="s">
        <v>568</v>
      </c>
      <c r="C517" t="s">
        <v>540</v>
      </c>
      <c r="D517" t="s">
        <v>569</v>
      </c>
      <c r="E517">
        <v>186582</v>
      </c>
      <c r="F517" t="s">
        <v>570</v>
      </c>
      <c r="G517">
        <v>0</v>
      </c>
      <c r="H517">
        <v>0</v>
      </c>
      <c r="I517">
        <v>0</v>
      </c>
      <c r="J517">
        <v>0</v>
      </c>
      <c r="K517">
        <v>186582</v>
      </c>
    </row>
    <row r="518" spans="1:11" x14ac:dyDescent="0.25">
      <c r="A518" t="s">
        <v>1019</v>
      </c>
      <c r="B518" t="s">
        <v>1020</v>
      </c>
      <c r="C518" t="s">
        <v>540</v>
      </c>
      <c r="D518" t="s">
        <v>565</v>
      </c>
      <c r="E518">
        <v>20157632</v>
      </c>
      <c r="F518" t="s">
        <v>566</v>
      </c>
      <c r="G518">
        <v>0</v>
      </c>
      <c r="H518">
        <v>0</v>
      </c>
      <c r="I518">
        <v>0</v>
      </c>
      <c r="J518">
        <v>0</v>
      </c>
      <c r="K518">
        <v>20157632</v>
      </c>
    </row>
    <row r="519" spans="1:11" x14ac:dyDescent="0.25">
      <c r="A519" t="s">
        <v>202</v>
      </c>
      <c r="B519" t="s">
        <v>203</v>
      </c>
      <c r="C519" t="s">
        <v>540</v>
      </c>
      <c r="D519" t="s">
        <v>571</v>
      </c>
      <c r="E519">
        <v>1464100</v>
      </c>
      <c r="F519" t="s">
        <v>572</v>
      </c>
      <c r="G519">
        <v>2687652</v>
      </c>
      <c r="H519">
        <v>0</v>
      </c>
      <c r="I519">
        <v>0</v>
      </c>
      <c r="J519">
        <v>0</v>
      </c>
      <c r="K519">
        <v>4151752</v>
      </c>
    </row>
    <row r="520" spans="1:11" x14ac:dyDescent="0.25">
      <c r="A520" t="s">
        <v>204</v>
      </c>
      <c r="B520" t="s">
        <v>205</v>
      </c>
      <c r="C520" t="s">
        <v>540</v>
      </c>
      <c r="D520" t="s">
        <v>573</v>
      </c>
      <c r="E520">
        <v>0</v>
      </c>
      <c r="F520" t="s">
        <v>574</v>
      </c>
      <c r="G520">
        <v>1999207.02</v>
      </c>
      <c r="H520">
        <v>0</v>
      </c>
      <c r="I520">
        <v>0</v>
      </c>
      <c r="J520">
        <v>0</v>
      </c>
      <c r="K520">
        <v>1999207.02</v>
      </c>
    </row>
    <row r="521" spans="1:11" x14ac:dyDescent="0.25">
      <c r="A521" t="s">
        <v>206</v>
      </c>
      <c r="B521" t="s">
        <v>207</v>
      </c>
      <c r="C521" t="s">
        <v>540</v>
      </c>
      <c r="D521" t="s">
        <v>575</v>
      </c>
      <c r="E521">
        <v>0</v>
      </c>
      <c r="F521" t="s">
        <v>576</v>
      </c>
      <c r="G521">
        <v>0</v>
      </c>
      <c r="H521">
        <v>0</v>
      </c>
      <c r="I521">
        <v>0</v>
      </c>
      <c r="J521">
        <v>3000000</v>
      </c>
      <c r="K521">
        <v>3000000</v>
      </c>
    </row>
    <row r="522" spans="1:11" x14ac:dyDescent="0.25">
      <c r="A522" t="s">
        <v>489</v>
      </c>
      <c r="B522" t="s">
        <v>490</v>
      </c>
      <c r="C522" t="s">
        <v>540</v>
      </c>
      <c r="D522" t="s">
        <v>563</v>
      </c>
      <c r="E522">
        <v>48331.16</v>
      </c>
      <c r="F522" t="s">
        <v>564</v>
      </c>
      <c r="G522">
        <v>119908.88</v>
      </c>
      <c r="H522">
        <v>0</v>
      </c>
      <c r="I522">
        <v>0</v>
      </c>
      <c r="J522">
        <v>0</v>
      </c>
      <c r="K522">
        <v>168240.04</v>
      </c>
    </row>
    <row r="523" spans="1:11" x14ac:dyDescent="0.25">
      <c r="A523" t="s">
        <v>1021</v>
      </c>
      <c r="B523" t="s">
        <v>937</v>
      </c>
      <c r="C523" t="s">
        <v>540</v>
      </c>
      <c r="D523" t="s">
        <v>695</v>
      </c>
      <c r="E523">
        <v>1361250</v>
      </c>
      <c r="F523" t="s">
        <v>696</v>
      </c>
      <c r="G523">
        <v>0</v>
      </c>
      <c r="H523">
        <v>0</v>
      </c>
      <c r="I523">
        <v>0</v>
      </c>
      <c r="J523">
        <v>0</v>
      </c>
      <c r="K523">
        <v>1361250</v>
      </c>
    </row>
    <row r="524" spans="1:11" x14ac:dyDescent="0.25">
      <c r="A524" t="s">
        <v>208</v>
      </c>
      <c r="B524" t="s">
        <v>209</v>
      </c>
      <c r="C524" t="s">
        <v>540</v>
      </c>
      <c r="D524" t="s">
        <v>577</v>
      </c>
      <c r="E524">
        <v>8595129.7699999996</v>
      </c>
      <c r="F524" t="s">
        <v>578</v>
      </c>
      <c r="G524">
        <v>0</v>
      </c>
      <c r="H524">
        <v>0</v>
      </c>
      <c r="I524">
        <v>0</v>
      </c>
      <c r="J524">
        <v>0</v>
      </c>
      <c r="K524">
        <v>8595129.7699999996</v>
      </c>
    </row>
    <row r="525" spans="1:11" x14ac:dyDescent="0.25">
      <c r="A525" t="s">
        <v>1158</v>
      </c>
      <c r="B525" t="s">
        <v>1159</v>
      </c>
      <c r="C525" t="s">
        <v>540</v>
      </c>
      <c r="D525" t="s">
        <v>603</v>
      </c>
      <c r="E525">
        <v>479711.87</v>
      </c>
      <c r="F525" t="s">
        <v>604</v>
      </c>
      <c r="G525">
        <v>0</v>
      </c>
      <c r="H525">
        <v>0</v>
      </c>
      <c r="I525">
        <v>0</v>
      </c>
      <c r="J525">
        <v>0</v>
      </c>
      <c r="K525">
        <v>479711.87</v>
      </c>
    </row>
    <row r="526" spans="1:11" x14ac:dyDescent="0.25">
      <c r="A526" t="s">
        <v>851</v>
      </c>
      <c r="B526" t="s">
        <v>852</v>
      </c>
      <c r="C526" t="s">
        <v>540</v>
      </c>
      <c r="D526" t="s">
        <v>553</v>
      </c>
      <c r="E526">
        <v>2633120.9300000002</v>
      </c>
      <c r="F526" t="s">
        <v>554</v>
      </c>
      <c r="G526">
        <v>0</v>
      </c>
      <c r="H526">
        <v>0</v>
      </c>
      <c r="I526">
        <v>0</v>
      </c>
      <c r="J526">
        <v>0</v>
      </c>
      <c r="K526">
        <v>2633120.9300000002</v>
      </c>
    </row>
    <row r="527" spans="1:11" x14ac:dyDescent="0.25">
      <c r="A527" t="s">
        <v>210</v>
      </c>
      <c r="B527" t="s">
        <v>211</v>
      </c>
      <c r="C527" t="s">
        <v>540</v>
      </c>
      <c r="D527" t="s">
        <v>579</v>
      </c>
      <c r="E527">
        <v>1834739.94</v>
      </c>
      <c r="F527" t="s">
        <v>580</v>
      </c>
      <c r="G527">
        <v>662089.01</v>
      </c>
      <c r="H527">
        <v>0</v>
      </c>
      <c r="I527">
        <v>0</v>
      </c>
      <c r="J527">
        <v>0</v>
      </c>
      <c r="K527">
        <v>2496828.9500000002</v>
      </c>
    </row>
    <row r="528" spans="1:11" x14ac:dyDescent="0.25">
      <c r="A528" t="s">
        <v>212</v>
      </c>
      <c r="B528" t="s">
        <v>213</v>
      </c>
      <c r="C528" t="s">
        <v>540</v>
      </c>
      <c r="D528" t="s">
        <v>545</v>
      </c>
      <c r="E528">
        <v>1024483.02</v>
      </c>
      <c r="F528" t="s">
        <v>546</v>
      </c>
      <c r="G528">
        <v>5151973.96</v>
      </c>
      <c r="H528">
        <v>0</v>
      </c>
      <c r="I528">
        <v>0</v>
      </c>
      <c r="J528">
        <v>0</v>
      </c>
      <c r="K528">
        <v>6176456.9800000004</v>
      </c>
    </row>
    <row r="529" spans="1:11" x14ac:dyDescent="0.25">
      <c r="A529" t="s">
        <v>1022</v>
      </c>
      <c r="B529" t="s">
        <v>1023</v>
      </c>
      <c r="C529" t="s">
        <v>540</v>
      </c>
      <c r="D529" t="s">
        <v>561</v>
      </c>
      <c r="E529">
        <v>5834117.8499999996</v>
      </c>
      <c r="F529" t="s">
        <v>562</v>
      </c>
      <c r="G529">
        <v>0</v>
      </c>
      <c r="H529">
        <v>0</v>
      </c>
      <c r="I529">
        <v>0</v>
      </c>
      <c r="J529">
        <v>0</v>
      </c>
      <c r="K529">
        <v>5834117.8499999996</v>
      </c>
    </row>
    <row r="530" spans="1:11" x14ac:dyDescent="0.25">
      <c r="A530" t="s">
        <v>214</v>
      </c>
      <c r="B530" t="s">
        <v>215</v>
      </c>
      <c r="C530" t="s">
        <v>540</v>
      </c>
      <c r="D530" t="s">
        <v>563</v>
      </c>
      <c r="E530">
        <v>0</v>
      </c>
      <c r="F530" t="s">
        <v>564</v>
      </c>
      <c r="G530">
        <v>0</v>
      </c>
      <c r="H530">
        <v>0</v>
      </c>
      <c r="I530">
        <v>0</v>
      </c>
      <c r="J530">
        <v>-0.01</v>
      </c>
      <c r="K530">
        <v>-0.01</v>
      </c>
    </row>
    <row r="531" spans="1:11" x14ac:dyDescent="0.25">
      <c r="A531" t="s">
        <v>1160</v>
      </c>
      <c r="B531" t="s">
        <v>1161</v>
      </c>
      <c r="C531" t="s">
        <v>540</v>
      </c>
      <c r="D531" t="s">
        <v>559</v>
      </c>
      <c r="E531">
        <v>2295612</v>
      </c>
      <c r="F531" t="s">
        <v>560</v>
      </c>
      <c r="G531">
        <v>0</v>
      </c>
      <c r="H531">
        <v>0</v>
      </c>
      <c r="I531">
        <v>0</v>
      </c>
      <c r="J531">
        <v>0</v>
      </c>
      <c r="K531">
        <v>2295612</v>
      </c>
    </row>
    <row r="532" spans="1:11" x14ac:dyDescent="0.25">
      <c r="A532" t="s">
        <v>730</v>
      </c>
      <c r="B532" t="s">
        <v>731</v>
      </c>
      <c r="C532" t="s">
        <v>540</v>
      </c>
      <c r="D532" t="s">
        <v>627</v>
      </c>
      <c r="E532">
        <v>38783184.060000002</v>
      </c>
      <c r="F532" t="s">
        <v>628</v>
      </c>
      <c r="G532">
        <v>32100989.469999999</v>
      </c>
      <c r="H532">
        <v>0</v>
      </c>
      <c r="I532">
        <v>0</v>
      </c>
      <c r="J532">
        <v>0</v>
      </c>
      <c r="K532">
        <v>70884173.530000001</v>
      </c>
    </row>
    <row r="533" spans="1:11" x14ac:dyDescent="0.25">
      <c r="A533" t="s">
        <v>216</v>
      </c>
      <c r="B533" t="s">
        <v>217</v>
      </c>
      <c r="C533" t="s">
        <v>540</v>
      </c>
      <c r="D533" t="s">
        <v>581</v>
      </c>
      <c r="E533">
        <v>9964506.8000000007</v>
      </c>
      <c r="F533" t="s">
        <v>582</v>
      </c>
      <c r="G533">
        <v>3220424.61</v>
      </c>
      <c r="H533">
        <v>0</v>
      </c>
      <c r="I533">
        <v>0</v>
      </c>
      <c r="J533">
        <v>0</v>
      </c>
      <c r="K533">
        <v>13184931.41</v>
      </c>
    </row>
    <row r="534" spans="1:11" x14ac:dyDescent="0.25">
      <c r="A534" t="s">
        <v>583</v>
      </c>
      <c r="B534" t="s">
        <v>584</v>
      </c>
      <c r="C534" t="s">
        <v>540</v>
      </c>
      <c r="D534" t="s">
        <v>585</v>
      </c>
      <c r="E534">
        <v>0</v>
      </c>
      <c r="F534" t="s">
        <v>586</v>
      </c>
      <c r="G534">
        <v>178708.53</v>
      </c>
      <c r="H534">
        <v>0</v>
      </c>
      <c r="I534">
        <v>0</v>
      </c>
      <c r="J534">
        <v>0</v>
      </c>
      <c r="K534">
        <v>178708.53</v>
      </c>
    </row>
    <row r="535" spans="1:11" x14ac:dyDescent="0.25">
      <c r="A535" t="s">
        <v>1024</v>
      </c>
      <c r="B535" t="s">
        <v>1025</v>
      </c>
      <c r="C535" t="s">
        <v>540</v>
      </c>
      <c r="D535" t="s">
        <v>565</v>
      </c>
      <c r="E535">
        <v>0</v>
      </c>
      <c r="F535" t="s">
        <v>566</v>
      </c>
      <c r="G535">
        <v>93840</v>
      </c>
      <c r="H535">
        <v>0</v>
      </c>
      <c r="I535">
        <v>0</v>
      </c>
      <c r="J535">
        <v>0</v>
      </c>
      <c r="K535">
        <v>93840</v>
      </c>
    </row>
    <row r="536" spans="1:11" x14ac:dyDescent="0.25">
      <c r="A536" t="s">
        <v>1026</v>
      </c>
      <c r="B536" t="s">
        <v>938</v>
      </c>
      <c r="C536" t="s">
        <v>540</v>
      </c>
      <c r="D536" t="s">
        <v>776</v>
      </c>
      <c r="E536">
        <v>0</v>
      </c>
      <c r="F536" t="s">
        <v>777</v>
      </c>
      <c r="G536">
        <v>5263500</v>
      </c>
      <c r="H536">
        <v>0</v>
      </c>
      <c r="I536">
        <v>0</v>
      </c>
      <c r="J536">
        <v>0</v>
      </c>
      <c r="K536">
        <v>5263500</v>
      </c>
    </row>
    <row r="537" spans="1:11" x14ac:dyDescent="0.25">
      <c r="A537" t="s">
        <v>1027</v>
      </c>
      <c r="B537" t="s">
        <v>939</v>
      </c>
      <c r="C537" t="s">
        <v>540</v>
      </c>
      <c r="D537" t="s">
        <v>653</v>
      </c>
      <c r="E537">
        <v>0</v>
      </c>
      <c r="F537" t="s">
        <v>654</v>
      </c>
      <c r="G537">
        <v>6775926.2199999997</v>
      </c>
      <c r="H537">
        <v>7930450</v>
      </c>
      <c r="I537">
        <v>0</v>
      </c>
      <c r="J537">
        <v>0</v>
      </c>
      <c r="K537">
        <v>14706376.220000001</v>
      </c>
    </row>
    <row r="538" spans="1:11" x14ac:dyDescent="0.25">
      <c r="A538" t="s">
        <v>218</v>
      </c>
      <c r="B538" t="s">
        <v>219</v>
      </c>
      <c r="C538" t="s">
        <v>540</v>
      </c>
      <c r="D538" t="s">
        <v>563</v>
      </c>
      <c r="E538">
        <v>537001.30000000005</v>
      </c>
      <c r="F538" t="s">
        <v>564</v>
      </c>
      <c r="G538">
        <v>0</v>
      </c>
      <c r="H538">
        <v>0</v>
      </c>
      <c r="I538">
        <v>0</v>
      </c>
      <c r="J538">
        <v>217</v>
      </c>
      <c r="K538">
        <v>537218.30000000005</v>
      </c>
    </row>
    <row r="539" spans="1:11" x14ac:dyDescent="0.25">
      <c r="A539" t="s">
        <v>1162</v>
      </c>
      <c r="B539" t="s">
        <v>1163</v>
      </c>
      <c r="C539" t="s">
        <v>540</v>
      </c>
      <c r="D539" t="s">
        <v>615</v>
      </c>
      <c r="E539">
        <v>1658974.98</v>
      </c>
      <c r="F539" t="s">
        <v>616</v>
      </c>
      <c r="G539">
        <v>0</v>
      </c>
      <c r="H539">
        <v>0</v>
      </c>
      <c r="I539">
        <v>0</v>
      </c>
      <c r="J539">
        <v>0</v>
      </c>
      <c r="K539">
        <v>1658974.98</v>
      </c>
    </row>
    <row r="540" spans="1:11" x14ac:dyDescent="0.25">
      <c r="A540" t="s">
        <v>220</v>
      </c>
      <c r="B540" t="s">
        <v>221</v>
      </c>
      <c r="C540" t="s">
        <v>540</v>
      </c>
      <c r="D540" t="s">
        <v>589</v>
      </c>
      <c r="E540">
        <v>0</v>
      </c>
      <c r="F540" t="s">
        <v>590</v>
      </c>
      <c r="G540">
        <v>646227.12</v>
      </c>
      <c r="H540">
        <v>5373097.9299999997</v>
      </c>
      <c r="I540">
        <v>0</v>
      </c>
      <c r="J540">
        <v>0</v>
      </c>
      <c r="K540">
        <v>6019325.0499999998</v>
      </c>
    </row>
    <row r="541" spans="1:11" x14ac:dyDescent="0.25">
      <c r="A541" t="s">
        <v>222</v>
      </c>
      <c r="B541" t="s">
        <v>223</v>
      </c>
      <c r="C541" t="s">
        <v>540</v>
      </c>
      <c r="D541" t="s">
        <v>591</v>
      </c>
      <c r="E541">
        <v>18697262.100000001</v>
      </c>
      <c r="F541" t="s">
        <v>592</v>
      </c>
      <c r="G541">
        <v>0</v>
      </c>
      <c r="H541">
        <v>0</v>
      </c>
      <c r="I541">
        <v>0</v>
      </c>
      <c r="J541">
        <v>0</v>
      </c>
      <c r="K541">
        <v>18697262.100000001</v>
      </c>
    </row>
    <row r="542" spans="1:11" x14ac:dyDescent="0.25">
      <c r="A542" t="s">
        <v>732</v>
      </c>
      <c r="B542" t="s">
        <v>733</v>
      </c>
      <c r="C542" t="s">
        <v>540</v>
      </c>
      <c r="D542" t="s">
        <v>691</v>
      </c>
      <c r="E542">
        <v>51062</v>
      </c>
      <c r="F542" t="s">
        <v>692</v>
      </c>
      <c r="G542">
        <v>1817783</v>
      </c>
      <c r="H542">
        <v>0</v>
      </c>
      <c r="I542">
        <v>0</v>
      </c>
      <c r="J542">
        <v>0</v>
      </c>
      <c r="K542">
        <v>1868845</v>
      </c>
    </row>
    <row r="543" spans="1:11" x14ac:dyDescent="0.25">
      <c r="A543" t="s">
        <v>224</v>
      </c>
      <c r="B543" t="s">
        <v>225</v>
      </c>
      <c r="C543" t="s">
        <v>540</v>
      </c>
      <c r="D543" t="s">
        <v>595</v>
      </c>
      <c r="E543">
        <v>17360000</v>
      </c>
      <c r="F543" t="s">
        <v>596</v>
      </c>
      <c r="G543">
        <v>50808000</v>
      </c>
      <c r="H543">
        <v>59850000</v>
      </c>
      <c r="I543">
        <v>0</v>
      </c>
      <c r="J543">
        <v>0</v>
      </c>
      <c r="K543">
        <v>128018000</v>
      </c>
    </row>
    <row r="544" spans="1:11" x14ac:dyDescent="0.25">
      <c r="A544" t="s">
        <v>226</v>
      </c>
      <c r="B544" t="s">
        <v>227</v>
      </c>
      <c r="C544" t="s">
        <v>540</v>
      </c>
      <c r="D544" t="s">
        <v>597</v>
      </c>
      <c r="E544">
        <v>256341834.80000001</v>
      </c>
      <c r="F544" t="s">
        <v>598</v>
      </c>
      <c r="G544">
        <v>0</v>
      </c>
      <c r="H544">
        <v>0</v>
      </c>
      <c r="I544">
        <v>0</v>
      </c>
      <c r="J544">
        <v>0</v>
      </c>
      <c r="K544">
        <v>256341834.80000001</v>
      </c>
    </row>
    <row r="545" spans="1:11" x14ac:dyDescent="0.25">
      <c r="A545" t="s">
        <v>228</v>
      </c>
      <c r="B545" t="s">
        <v>227</v>
      </c>
      <c r="C545" t="s">
        <v>540</v>
      </c>
      <c r="D545" t="s">
        <v>597</v>
      </c>
      <c r="E545">
        <v>112087271.98999999</v>
      </c>
      <c r="F545" t="s">
        <v>598</v>
      </c>
      <c r="G545">
        <v>0</v>
      </c>
      <c r="H545">
        <v>0</v>
      </c>
      <c r="I545">
        <v>0</v>
      </c>
      <c r="J545">
        <v>0</v>
      </c>
      <c r="K545">
        <v>112087271.98999999</v>
      </c>
    </row>
    <row r="546" spans="1:11" x14ac:dyDescent="0.25">
      <c r="A546" t="s">
        <v>229</v>
      </c>
      <c r="B546" t="s">
        <v>227</v>
      </c>
      <c r="C546" t="s">
        <v>540</v>
      </c>
      <c r="D546" t="s">
        <v>597</v>
      </c>
      <c r="E546">
        <v>105810021.03</v>
      </c>
      <c r="F546" t="s">
        <v>598</v>
      </c>
      <c r="G546">
        <v>59541225.590000004</v>
      </c>
      <c r="H546">
        <v>0</v>
      </c>
      <c r="I546">
        <v>0</v>
      </c>
      <c r="J546">
        <v>0</v>
      </c>
      <c r="K546">
        <v>165351246.62</v>
      </c>
    </row>
    <row r="547" spans="1:11" x14ac:dyDescent="0.25">
      <c r="A547" t="s">
        <v>230</v>
      </c>
      <c r="B547" t="s">
        <v>231</v>
      </c>
      <c r="C547" t="s">
        <v>540</v>
      </c>
      <c r="D547" t="s">
        <v>599</v>
      </c>
      <c r="E547">
        <v>0</v>
      </c>
      <c r="F547" t="s">
        <v>600</v>
      </c>
      <c r="G547">
        <v>0</v>
      </c>
      <c r="H547">
        <v>0</v>
      </c>
      <c r="I547">
        <v>0</v>
      </c>
      <c r="J547">
        <v>4157535.95</v>
      </c>
      <c r="K547">
        <v>4157535.95</v>
      </c>
    </row>
    <row r="548" spans="1:11" x14ac:dyDescent="0.25">
      <c r="A548" t="s">
        <v>734</v>
      </c>
      <c r="B548" t="s">
        <v>735</v>
      </c>
      <c r="C548" t="s">
        <v>540</v>
      </c>
      <c r="D548" t="s">
        <v>599</v>
      </c>
      <c r="E548">
        <v>0</v>
      </c>
      <c r="F548" t="s">
        <v>600</v>
      </c>
      <c r="G548">
        <v>0</v>
      </c>
      <c r="H548">
        <v>157300</v>
      </c>
      <c r="I548">
        <v>0</v>
      </c>
      <c r="J548">
        <v>0</v>
      </c>
      <c r="K548">
        <v>157300</v>
      </c>
    </row>
    <row r="549" spans="1:11" x14ac:dyDescent="0.25">
      <c r="A549" t="s">
        <v>1028</v>
      </c>
      <c r="B549" t="s">
        <v>1029</v>
      </c>
      <c r="C549" t="s">
        <v>540</v>
      </c>
      <c r="D549" t="s">
        <v>549</v>
      </c>
      <c r="E549">
        <v>2650000</v>
      </c>
      <c r="F549" t="s">
        <v>550</v>
      </c>
      <c r="G549">
        <v>0</v>
      </c>
      <c r="H549">
        <v>0</v>
      </c>
      <c r="I549">
        <v>0</v>
      </c>
      <c r="J549">
        <v>0</v>
      </c>
      <c r="K549">
        <v>2650000</v>
      </c>
    </row>
    <row r="550" spans="1:11" x14ac:dyDescent="0.25">
      <c r="A550" t="s">
        <v>861</v>
      </c>
      <c r="B550" t="s">
        <v>862</v>
      </c>
      <c r="C550" t="s">
        <v>540</v>
      </c>
      <c r="D550" t="s">
        <v>863</v>
      </c>
      <c r="E550">
        <v>7246169.25</v>
      </c>
      <c r="F550" t="s">
        <v>864</v>
      </c>
      <c r="G550">
        <v>74510364.349999994</v>
      </c>
      <c r="H550">
        <v>0</v>
      </c>
      <c r="I550">
        <v>0</v>
      </c>
      <c r="J550">
        <v>0</v>
      </c>
      <c r="K550">
        <v>81756533.599999994</v>
      </c>
    </row>
    <row r="551" spans="1:11" x14ac:dyDescent="0.25">
      <c r="A551" t="s">
        <v>232</v>
      </c>
      <c r="B551" t="s">
        <v>233</v>
      </c>
      <c r="C551" t="s">
        <v>540</v>
      </c>
      <c r="D551" t="s">
        <v>601</v>
      </c>
      <c r="E551">
        <v>0</v>
      </c>
      <c r="F551" t="s">
        <v>602</v>
      </c>
      <c r="G551">
        <v>1455605.8</v>
      </c>
      <c r="H551">
        <v>0</v>
      </c>
      <c r="I551">
        <v>0</v>
      </c>
      <c r="J551">
        <v>0</v>
      </c>
      <c r="K551">
        <v>1455605.8</v>
      </c>
    </row>
    <row r="552" spans="1:11" x14ac:dyDescent="0.25">
      <c r="A552" t="s">
        <v>1030</v>
      </c>
      <c r="B552" t="s">
        <v>940</v>
      </c>
      <c r="C552" t="s">
        <v>540</v>
      </c>
      <c r="D552" t="s">
        <v>1031</v>
      </c>
      <c r="E552">
        <v>0</v>
      </c>
      <c r="F552" t="s">
        <v>1032</v>
      </c>
      <c r="G552">
        <v>1500400</v>
      </c>
      <c r="H552">
        <v>0</v>
      </c>
      <c r="I552">
        <v>0</v>
      </c>
      <c r="J552">
        <v>0</v>
      </c>
      <c r="K552">
        <v>1500400</v>
      </c>
    </row>
    <row r="553" spans="1:11" x14ac:dyDescent="0.25">
      <c r="A553" t="s">
        <v>234</v>
      </c>
      <c r="B553" t="s">
        <v>235</v>
      </c>
      <c r="C553" t="s">
        <v>540</v>
      </c>
      <c r="D553" t="s">
        <v>603</v>
      </c>
      <c r="E553">
        <v>0</v>
      </c>
      <c r="F553" t="s">
        <v>604</v>
      </c>
      <c r="G553">
        <v>0</v>
      </c>
      <c r="H553">
        <v>0</v>
      </c>
      <c r="I553">
        <v>0</v>
      </c>
      <c r="J553">
        <v>-204.43</v>
      </c>
      <c r="K553">
        <v>-204.43</v>
      </c>
    </row>
    <row r="554" spans="1:11" x14ac:dyDescent="0.25">
      <c r="A554" t="s">
        <v>1033</v>
      </c>
      <c r="B554" t="s">
        <v>1034</v>
      </c>
      <c r="C554" t="s">
        <v>540</v>
      </c>
      <c r="D554" t="s">
        <v>569</v>
      </c>
      <c r="E554">
        <v>204974</v>
      </c>
      <c r="F554" t="s">
        <v>570</v>
      </c>
      <c r="G554">
        <v>0</v>
      </c>
      <c r="H554">
        <v>0</v>
      </c>
      <c r="I554">
        <v>0</v>
      </c>
      <c r="J554">
        <v>0</v>
      </c>
      <c r="K554">
        <v>204974</v>
      </c>
    </row>
    <row r="555" spans="1:11" x14ac:dyDescent="0.25">
      <c r="A555" t="s">
        <v>236</v>
      </c>
      <c r="B555" t="s">
        <v>237</v>
      </c>
      <c r="C555" t="s">
        <v>540</v>
      </c>
      <c r="D555" t="s">
        <v>553</v>
      </c>
      <c r="E555">
        <v>9213754.6400000006</v>
      </c>
      <c r="F555" t="s">
        <v>554</v>
      </c>
      <c r="G555">
        <v>14756126.210000001</v>
      </c>
      <c r="H555">
        <v>0</v>
      </c>
      <c r="I555">
        <v>0</v>
      </c>
      <c r="J555">
        <v>0</v>
      </c>
      <c r="K555">
        <v>23969880.850000001</v>
      </c>
    </row>
    <row r="556" spans="1:11" x14ac:dyDescent="0.25">
      <c r="A556" t="s">
        <v>238</v>
      </c>
      <c r="B556" t="s">
        <v>239</v>
      </c>
      <c r="C556" t="s">
        <v>540</v>
      </c>
      <c r="D556" t="s">
        <v>605</v>
      </c>
      <c r="E556">
        <v>0</v>
      </c>
      <c r="F556" t="s">
        <v>606</v>
      </c>
      <c r="G556">
        <v>412922.6</v>
      </c>
      <c r="H556">
        <v>0</v>
      </c>
      <c r="I556">
        <v>0</v>
      </c>
      <c r="J556">
        <v>0</v>
      </c>
      <c r="K556">
        <v>412922.6</v>
      </c>
    </row>
    <row r="557" spans="1:11" x14ac:dyDescent="0.25">
      <c r="A557" t="s">
        <v>1035</v>
      </c>
      <c r="B557" t="s">
        <v>941</v>
      </c>
      <c r="C557" t="s">
        <v>540</v>
      </c>
      <c r="D557" t="s">
        <v>585</v>
      </c>
      <c r="E557">
        <v>0</v>
      </c>
      <c r="F557" t="s">
        <v>586</v>
      </c>
      <c r="G557">
        <v>6543252.7199999997</v>
      </c>
      <c r="H557">
        <v>0</v>
      </c>
      <c r="I557">
        <v>0</v>
      </c>
      <c r="J557">
        <v>0</v>
      </c>
      <c r="K557">
        <v>6543252.7199999997</v>
      </c>
    </row>
    <row r="558" spans="1:11" x14ac:dyDescent="0.25">
      <c r="A558" t="s">
        <v>240</v>
      </c>
      <c r="B558" t="s">
        <v>241</v>
      </c>
      <c r="C558" t="s">
        <v>540</v>
      </c>
      <c r="D558" t="s">
        <v>607</v>
      </c>
      <c r="E558">
        <v>4806153.6100000003</v>
      </c>
      <c r="F558" t="s">
        <v>608</v>
      </c>
      <c r="G558">
        <v>5294443.59</v>
      </c>
      <c r="H558">
        <v>379402.06</v>
      </c>
      <c r="I558">
        <v>1111648.32</v>
      </c>
      <c r="J558">
        <v>0</v>
      </c>
      <c r="K558">
        <v>11591647.58</v>
      </c>
    </row>
    <row r="559" spans="1:11" x14ac:dyDescent="0.25">
      <c r="A559" t="s">
        <v>242</v>
      </c>
      <c r="B559" t="s">
        <v>243</v>
      </c>
      <c r="C559" t="s">
        <v>540</v>
      </c>
      <c r="D559" t="s">
        <v>609</v>
      </c>
      <c r="E559">
        <v>1190296.68</v>
      </c>
      <c r="F559" t="s">
        <v>610</v>
      </c>
      <c r="G559">
        <v>0</v>
      </c>
      <c r="H559">
        <v>0</v>
      </c>
      <c r="I559">
        <v>0</v>
      </c>
      <c r="J559">
        <v>0</v>
      </c>
      <c r="K559">
        <v>1190296.68</v>
      </c>
    </row>
    <row r="560" spans="1:11" x14ac:dyDescent="0.25">
      <c r="A560" t="s">
        <v>804</v>
      </c>
      <c r="B560" t="s">
        <v>805</v>
      </c>
      <c r="C560" t="s">
        <v>540</v>
      </c>
      <c r="D560" t="s">
        <v>563</v>
      </c>
      <c r="E560">
        <v>0</v>
      </c>
      <c r="F560" t="s">
        <v>564</v>
      </c>
      <c r="G560">
        <v>8027165.4100000001</v>
      </c>
      <c r="H560">
        <v>0</v>
      </c>
      <c r="I560">
        <v>0</v>
      </c>
      <c r="J560">
        <v>0</v>
      </c>
      <c r="K560">
        <v>8027165.4100000001</v>
      </c>
    </row>
    <row r="561" spans="1:11" x14ac:dyDescent="0.25">
      <c r="A561" t="s">
        <v>1036</v>
      </c>
      <c r="B561" t="s">
        <v>942</v>
      </c>
      <c r="C561" t="s">
        <v>540</v>
      </c>
      <c r="D561" t="s">
        <v>563</v>
      </c>
      <c r="E561">
        <v>0</v>
      </c>
      <c r="F561" t="s">
        <v>564</v>
      </c>
      <c r="G561">
        <v>15004000</v>
      </c>
      <c r="H561">
        <v>0</v>
      </c>
      <c r="I561">
        <v>0</v>
      </c>
      <c r="J561">
        <v>0</v>
      </c>
      <c r="K561">
        <v>15004000</v>
      </c>
    </row>
    <row r="562" spans="1:11" x14ac:dyDescent="0.25">
      <c r="A562" t="s">
        <v>244</v>
      </c>
      <c r="B562" t="s">
        <v>245</v>
      </c>
      <c r="C562" t="s">
        <v>540</v>
      </c>
      <c r="D562" t="s">
        <v>573</v>
      </c>
      <c r="E562">
        <v>0</v>
      </c>
      <c r="F562" t="s">
        <v>574</v>
      </c>
      <c r="G562">
        <v>629975.49</v>
      </c>
      <c r="H562">
        <v>0</v>
      </c>
      <c r="I562">
        <v>0</v>
      </c>
      <c r="J562">
        <v>0</v>
      </c>
      <c r="K562">
        <v>629975.49</v>
      </c>
    </row>
    <row r="563" spans="1:11" x14ac:dyDescent="0.25">
      <c r="A563" t="s">
        <v>493</v>
      </c>
      <c r="B563" t="s">
        <v>494</v>
      </c>
      <c r="C563" t="s">
        <v>540</v>
      </c>
      <c r="D563" t="s">
        <v>611</v>
      </c>
      <c r="E563">
        <v>120758</v>
      </c>
      <c r="F563" t="s">
        <v>612</v>
      </c>
      <c r="G563">
        <v>64299.4</v>
      </c>
      <c r="H563">
        <v>0</v>
      </c>
      <c r="I563">
        <v>0</v>
      </c>
      <c r="J563">
        <v>0</v>
      </c>
      <c r="K563">
        <v>185057.4</v>
      </c>
    </row>
    <row r="564" spans="1:11" x14ac:dyDescent="0.25">
      <c r="A564" t="s">
        <v>246</v>
      </c>
      <c r="B564" t="s">
        <v>247</v>
      </c>
      <c r="C564" t="s">
        <v>540</v>
      </c>
      <c r="D564" t="s">
        <v>553</v>
      </c>
      <c r="E564">
        <v>1318916.76</v>
      </c>
      <c r="F564" t="s">
        <v>554</v>
      </c>
      <c r="G564">
        <v>0</v>
      </c>
      <c r="H564">
        <v>0</v>
      </c>
      <c r="I564">
        <v>0</v>
      </c>
      <c r="J564">
        <v>0</v>
      </c>
      <c r="K564">
        <v>1318916.76</v>
      </c>
    </row>
    <row r="565" spans="1:11" x14ac:dyDescent="0.25">
      <c r="A565" t="s">
        <v>248</v>
      </c>
      <c r="B565" t="s">
        <v>249</v>
      </c>
      <c r="C565" t="s">
        <v>540</v>
      </c>
      <c r="D565" t="s">
        <v>553</v>
      </c>
      <c r="E565">
        <v>3916699.8</v>
      </c>
      <c r="F565" t="s">
        <v>554</v>
      </c>
      <c r="G565">
        <v>3077325.55</v>
      </c>
      <c r="H565">
        <v>0</v>
      </c>
      <c r="I565">
        <v>0</v>
      </c>
      <c r="J565">
        <v>0</v>
      </c>
      <c r="K565">
        <v>6994025.3499999996</v>
      </c>
    </row>
    <row r="566" spans="1:11" x14ac:dyDescent="0.25">
      <c r="A566" t="s">
        <v>736</v>
      </c>
      <c r="B566" t="s">
        <v>737</v>
      </c>
      <c r="C566" t="s">
        <v>540</v>
      </c>
      <c r="D566" t="s">
        <v>679</v>
      </c>
      <c r="E566">
        <v>92344005.599999994</v>
      </c>
      <c r="F566" t="s">
        <v>680</v>
      </c>
      <c r="G566">
        <v>-123670.72</v>
      </c>
      <c r="H566">
        <v>0</v>
      </c>
      <c r="I566">
        <v>0</v>
      </c>
      <c r="J566">
        <v>0</v>
      </c>
      <c r="K566">
        <v>92220334.879999995</v>
      </c>
    </row>
    <row r="567" spans="1:11" x14ac:dyDescent="0.25">
      <c r="A567" t="s">
        <v>1037</v>
      </c>
      <c r="B567" t="s">
        <v>943</v>
      </c>
      <c r="C567" t="s">
        <v>540</v>
      </c>
      <c r="D567" t="s">
        <v>615</v>
      </c>
      <c r="E567">
        <v>4474145</v>
      </c>
      <c r="F567" t="s">
        <v>616</v>
      </c>
      <c r="G567">
        <v>4124965</v>
      </c>
      <c r="H567">
        <v>0</v>
      </c>
      <c r="I567">
        <v>0</v>
      </c>
      <c r="J567">
        <v>0</v>
      </c>
      <c r="K567">
        <v>8599110</v>
      </c>
    </row>
    <row r="568" spans="1:11" x14ac:dyDescent="0.25">
      <c r="A568" t="s">
        <v>613</v>
      </c>
      <c r="B568" t="s">
        <v>614</v>
      </c>
      <c r="C568" t="s">
        <v>540</v>
      </c>
      <c r="D568" t="s">
        <v>615</v>
      </c>
      <c r="E568">
        <v>0</v>
      </c>
      <c r="F568" t="s">
        <v>616</v>
      </c>
      <c r="G568">
        <v>10098400</v>
      </c>
      <c r="H568">
        <v>0</v>
      </c>
      <c r="I568">
        <v>0</v>
      </c>
      <c r="J568">
        <v>0</v>
      </c>
      <c r="K568">
        <v>10098400</v>
      </c>
    </row>
    <row r="569" spans="1:11" x14ac:dyDescent="0.25">
      <c r="A569" t="s">
        <v>806</v>
      </c>
      <c r="B569" t="s">
        <v>807</v>
      </c>
      <c r="C569" t="s">
        <v>540</v>
      </c>
      <c r="D569" t="s">
        <v>643</v>
      </c>
      <c r="E569">
        <v>2100000</v>
      </c>
      <c r="F569" t="s">
        <v>644</v>
      </c>
      <c r="G569">
        <v>0</v>
      </c>
      <c r="H569">
        <v>0</v>
      </c>
      <c r="I569">
        <v>0</v>
      </c>
      <c r="J569">
        <v>0</v>
      </c>
      <c r="K569">
        <v>2100000</v>
      </c>
    </row>
    <row r="570" spans="1:11" x14ac:dyDescent="0.25">
      <c r="A570" t="s">
        <v>250</v>
      </c>
      <c r="B570" t="s">
        <v>251</v>
      </c>
      <c r="C570" t="s">
        <v>540</v>
      </c>
      <c r="D570" t="s">
        <v>617</v>
      </c>
      <c r="E570">
        <v>34993.199999999997</v>
      </c>
      <c r="F570" t="s">
        <v>618</v>
      </c>
      <c r="G570">
        <v>58955065.32</v>
      </c>
      <c r="H570">
        <v>22990</v>
      </c>
      <c r="I570">
        <v>0</v>
      </c>
      <c r="J570">
        <v>0</v>
      </c>
      <c r="K570">
        <v>59013048.520000003</v>
      </c>
    </row>
    <row r="571" spans="1:11" x14ac:dyDescent="0.25">
      <c r="A571" t="s">
        <v>252</v>
      </c>
      <c r="B571" t="s">
        <v>253</v>
      </c>
      <c r="C571" t="s">
        <v>540</v>
      </c>
      <c r="D571" t="s">
        <v>619</v>
      </c>
      <c r="E571">
        <v>1120000</v>
      </c>
      <c r="F571" t="s">
        <v>620</v>
      </c>
      <c r="G571">
        <v>1810000</v>
      </c>
      <c r="H571">
        <v>0</v>
      </c>
      <c r="I571">
        <v>0</v>
      </c>
      <c r="J571">
        <v>0</v>
      </c>
      <c r="K571">
        <v>2930000</v>
      </c>
    </row>
    <row r="572" spans="1:11" x14ac:dyDescent="0.25">
      <c r="A572" t="s">
        <v>738</v>
      </c>
      <c r="B572" t="s">
        <v>739</v>
      </c>
      <c r="C572" t="s">
        <v>540</v>
      </c>
      <c r="D572" t="s">
        <v>740</v>
      </c>
      <c r="E572">
        <v>114410.36</v>
      </c>
      <c r="F572" t="s">
        <v>741</v>
      </c>
      <c r="G572">
        <v>1046227.23</v>
      </c>
      <c r="H572">
        <v>0</v>
      </c>
      <c r="I572">
        <v>0</v>
      </c>
      <c r="J572">
        <v>0</v>
      </c>
      <c r="K572">
        <v>1160637.5900000001</v>
      </c>
    </row>
    <row r="573" spans="1:11" x14ac:dyDescent="0.25">
      <c r="A573" t="s">
        <v>256</v>
      </c>
      <c r="B573" t="s">
        <v>257</v>
      </c>
      <c r="C573" t="s">
        <v>540</v>
      </c>
      <c r="D573" t="s">
        <v>585</v>
      </c>
      <c r="E573">
        <v>6251961.0999999996</v>
      </c>
      <c r="F573" t="s">
        <v>586</v>
      </c>
      <c r="G573">
        <v>66066690.909999996</v>
      </c>
      <c r="H573">
        <v>18810079.199999999</v>
      </c>
      <c r="I573">
        <v>0</v>
      </c>
      <c r="J573">
        <v>0</v>
      </c>
      <c r="K573">
        <v>91128731.209999993</v>
      </c>
    </row>
    <row r="574" spans="1:11" x14ac:dyDescent="0.25">
      <c r="A574" t="s">
        <v>1038</v>
      </c>
      <c r="B574" t="s">
        <v>944</v>
      </c>
      <c r="C574" t="s">
        <v>540</v>
      </c>
      <c r="D574" t="s">
        <v>1039</v>
      </c>
      <c r="E574">
        <v>0</v>
      </c>
      <c r="F574" t="s">
        <v>1040</v>
      </c>
      <c r="G574">
        <v>4392303.99</v>
      </c>
      <c r="H574">
        <v>0</v>
      </c>
      <c r="I574">
        <v>0</v>
      </c>
      <c r="J574">
        <v>0</v>
      </c>
      <c r="K574">
        <v>4392303.99</v>
      </c>
    </row>
    <row r="575" spans="1:11" x14ac:dyDescent="0.25">
      <c r="A575" t="s">
        <v>258</v>
      </c>
      <c r="B575" t="s">
        <v>259</v>
      </c>
      <c r="C575" t="s">
        <v>540</v>
      </c>
      <c r="D575" t="s">
        <v>563</v>
      </c>
      <c r="E575">
        <v>0</v>
      </c>
      <c r="F575" t="s">
        <v>564</v>
      </c>
      <c r="G575">
        <v>3300000</v>
      </c>
      <c r="H575">
        <v>0</v>
      </c>
      <c r="I575">
        <v>0</v>
      </c>
      <c r="J575">
        <v>0</v>
      </c>
      <c r="K575">
        <v>3300000</v>
      </c>
    </row>
    <row r="576" spans="1:11" x14ac:dyDescent="0.25">
      <c r="A576" t="s">
        <v>260</v>
      </c>
      <c r="B576" t="s">
        <v>261</v>
      </c>
      <c r="C576" t="s">
        <v>540</v>
      </c>
      <c r="D576" t="s">
        <v>615</v>
      </c>
      <c r="E576">
        <v>4494001.71</v>
      </c>
      <c r="F576" t="s">
        <v>616</v>
      </c>
      <c r="G576">
        <v>11030003.050000001</v>
      </c>
      <c r="H576">
        <v>0</v>
      </c>
      <c r="I576">
        <v>0</v>
      </c>
      <c r="J576">
        <v>0</v>
      </c>
      <c r="K576">
        <v>15524004.76</v>
      </c>
    </row>
    <row r="577" spans="1:11" x14ac:dyDescent="0.25">
      <c r="A577" t="s">
        <v>262</v>
      </c>
      <c r="B577" t="s">
        <v>263</v>
      </c>
      <c r="C577" t="s">
        <v>540</v>
      </c>
      <c r="D577" t="s">
        <v>621</v>
      </c>
      <c r="E577">
        <v>1776195.1</v>
      </c>
      <c r="F577" t="s">
        <v>622</v>
      </c>
      <c r="G577">
        <v>14577177.65</v>
      </c>
      <c r="H577">
        <v>0</v>
      </c>
      <c r="I577">
        <v>0</v>
      </c>
      <c r="J577">
        <v>0</v>
      </c>
      <c r="K577">
        <v>16353372.75</v>
      </c>
    </row>
    <row r="578" spans="1:11" x14ac:dyDescent="0.25">
      <c r="A578" t="s">
        <v>1041</v>
      </c>
      <c r="B578" t="s">
        <v>1042</v>
      </c>
      <c r="C578" t="s">
        <v>540</v>
      </c>
      <c r="D578" t="s">
        <v>679</v>
      </c>
      <c r="E578">
        <v>26384001.600000001</v>
      </c>
      <c r="F578" t="s">
        <v>680</v>
      </c>
      <c r="G578">
        <v>0</v>
      </c>
      <c r="H578">
        <v>0</v>
      </c>
      <c r="I578">
        <v>0</v>
      </c>
      <c r="J578">
        <v>0</v>
      </c>
      <c r="K578">
        <v>26384001.600000001</v>
      </c>
    </row>
    <row r="579" spans="1:11" x14ac:dyDescent="0.25">
      <c r="A579" t="s">
        <v>1164</v>
      </c>
      <c r="B579" t="s">
        <v>1165</v>
      </c>
      <c r="C579" t="s">
        <v>540</v>
      </c>
      <c r="D579" t="s">
        <v>603</v>
      </c>
      <c r="E579">
        <v>3884100</v>
      </c>
      <c r="F579" t="s">
        <v>604</v>
      </c>
      <c r="G579">
        <v>0</v>
      </c>
      <c r="H579">
        <v>0</v>
      </c>
      <c r="I579">
        <v>0</v>
      </c>
      <c r="J579">
        <v>0</v>
      </c>
      <c r="K579">
        <v>3884100</v>
      </c>
    </row>
    <row r="580" spans="1:11" x14ac:dyDescent="0.25">
      <c r="A580" t="s">
        <v>264</v>
      </c>
      <c r="B580" t="s">
        <v>265</v>
      </c>
      <c r="C580" t="s">
        <v>540</v>
      </c>
      <c r="D580" t="s">
        <v>623</v>
      </c>
      <c r="E580">
        <v>8914155.25</v>
      </c>
      <c r="F580" t="s">
        <v>624</v>
      </c>
      <c r="G580">
        <v>4873331.5599999996</v>
      </c>
      <c r="H580">
        <v>0</v>
      </c>
      <c r="I580">
        <v>0</v>
      </c>
      <c r="J580">
        <v>0</v>
      </c>
      <c r="K580">
        <v>13787486.810000001</v>
      </c>
    </row>
    <row r="581" spans="1:11" x14ac:dyDescent="0.25">
      <c r="A581" t="s">
        <v>266</v>
      </c>
      <c r="B581" t="s">
        <v>267</v>
      </c>
      <c r="C581" t="s">
        <v>540</v>
      </c>
      <c r="D581" t="s">
        <v>545</v>
      </c>
      <c r="E581">
        <v>355220.94</v>
      </c>
      <c r="F581" t="s">
        <v>546</v>
      </c>
      <c r="G581">
        <v>186323.73</v>
      </c>
      <c r="H581">
        <v>0</v>
      </c>
      <c r="I581">
        <v>0</v>
      </c>
      <c r="J581">
        <v>0</v>
      </c>
      <c r="K581">
        <v>541544.67000000004</v>
      </c>
    </row>
    <row r="582" spans="1:11" x14ac:dyDescent="0.25">
      <c r="A582" t="s">
        <v>1043</v>
      </c>
      <c r="B582" t="s">
        <v>945</v>
      </c>
      <c r="C582" t="s">
        <v>540</v>
      </c>
      <c r="D582" t="s">
        <v>563</v>
      </c>
      <c r="E582">
        <v>0</v>
      </c>
      <c r="F582" t="s">
        <v>564</v>
      </c>
      <c r="G582">
        <v>1415700</v>
      </c>
      <c r="H582">
        <v>0</v>
      </c>
      <c r="I582">
        <v>0</v>
      </c>
      <c r="J582">
        <v>0</v>
      </c>
      <c r="K582">
        <v>1415700</v>
      </c>
    </row>
    <row r="583" spans="1:11" x14ac:dyDescent="0.25">
      <c r="A583" t="s">
        <v>867</v>
      </c>
      <c r="B583" t="s">
        <v>868</v>
      </c>
      <c r="C583" t="s">
        <v>540</v>
      </c>
      <c r="D583" t="s">
        <v>869</v>
      </c>
      <c r="E583">
        <v>921769.47</v>
      </c>
      <c r="F583" t="s">
        <v>870</v>
      </c>
      <c r="G583">
        <v>0</v>
      </c>
      <c r="H583">
        <v>0</v>
      </c>
      <c r="I583">
        <v>0</v>
      </c>
      <c r="J583">
        <v>0</v>
      </c>
      <c r="K583">
        <v>921769.47</v>
      </c>
    </row>
    <row r="584" spans="1:11" x14ac:dyDescent="0.25">
      <c r="A584" t="s">
        <v>268</v>
      </c>
      <c r="B584" t="s">
        <v>269</v>
      </c>
      <c r="C584" t="s">
        <v>540</v>
      </c>
      <c r="D584" t="s">
        <v>541</v>
      </c>
      <c r="E584">
        <v>775513.2</v>
      </c>
      <c r="F584" t="s">
        <v>542</v>
      </c>
      <c r="G584">
        <v>775513.2</v>
      </c>
      <c r="H584">
        <v>0</v>
      </c>
      <c r="I584">
        <v>0</v>
      </c>
      <c r="J584">
        <v>0</v>
      </c>
      <c r="K584">
        <v>1551026.4</v>
      </c>
    </row>
    <row r="585" spans="1:11" x14ac:dyDescent="0.25">
      <c r="A585" t="s">
        <v>270</v>
      </c>
      <c r="B585" t="s">
        <v>271</v>
      </c>
      <c r="C585" t="s">
        <v>540</v>
      </c>
      <c r="D585" t="s">
        <v>601</v>
      </c>
      <c r="E585">
        <v>0</v>
      </c>
      <c r="F585" t="s">
        <v>602</v>
      </c>
      <c r="G585">
        <v>0</v>
      </c>
      <c r="H585">
        <v>0</v>
      </c>
      <c r="I585">
        <v>0</v>
      </c>
      <c r="J585">
        <v>290181.01</v>
      </c>
      <c r="K585">
        <v>290181.01</v>
      </c>
    </row>
    <row r="586" spans="1:11" x14ac:dyDescent="0.25">
      <c r="A586" t="s">
        <v>274</v>
      </c>
      <c r="B586" t="s">
        <v>275</v>
      </c>
      <c r="C586" t="s">
        <v>540</v>
      </c>
      <c r="D586" t="s">
        <v>577</v>
      </c>
      <c r="E586">
        <v>0</v>
      </c>
      <c r="F586" t="s">
        <v>578</v>
      </c>
      <c r="G586">
        <v>2687273.09</v>
      </c>
      <c r="H586">
        <v>0</v>
      </c>
      <c r="I586">
        <v>0</v>
      </c>
      <c r="J586">
        <v>0</v>
      </c>
      <c r="K586">
        <v>2687273.09</v>
      </c>
    </row>
    <row r="587" spans="1:11" x14ac:dyDescent="0.25">
      <c r="A587" t="s">
        <v>276</v>
      </c>
      <c r="B587" t="s">
        <v>277</v>
      </c>
      <c r="C587" t="s">
        <v>540</v>
      </c>
      <c r="D587" t="s">
        <v>627</v>
      </c>
      <c r="E587">
        <v>43842521.390000001</v>
      </c>
      <c r="F587" t="s">
        <v>628</v>
      </c>
      <c r="G587">
        <v>62308634.399999999</v>
      </c>
      <c r="H587">
        <v>0</v>
      </c>
      <c r="I587">
        <v>0</v>
      </c>
      <c r="J587">
        <v>0</v>
      </c>
      <c r="K587">
        <v>106151155.79000001</v>
      </c>
    </row>
    <row r="588" spans="1:11" x14ac:dyDescent="0.25">
      <c r="A588" t="s">
        <v>810</v>
      </c>
      <c r="B588" t="s">
        <v>811</v>
      </c>
      <c r="C588" t="s">
        <v>540</v>
      </c>
      <c r="D588" t="s">
        <v>589</v>
      </c>
      <c r="E588">
        <v>390582.15</v>
      </c>
      <c r="F588" t="s">
        <v>590</v>
      </c>
      <c r="G588">
        <v>2979515.5</v>
      </c>
      <c r="H588">
        <v>0</v>
      </c>
      <c r="I588">
        <v>0</v>
      </c>
      <c r="J588">
        <v>0</v>
      </c>
      <c r="K588">
        <v>3370097.65</v>
      </c>
    </row>
    <row r="589" spans="1:11" x14ac:dyDescent="0.25">
      <c r="A589" t="s">
        <v>278</v>
      </c>
      <c r="B589" t="s">
        <v>279</v>
      </c>
      <c r="C589" t="s">
        <v>540</v>
      </c>
      <c r="D589" t="s">
        <v>629</v>
      </c>
      <c r="E589">
        <v>2622134.39</v>
      </c>
      <c r="F589" t="s">
        <v>630</v>
      </c>
      <c r="G589">
        <v>224705.27</v>
      </c>
      <c r="H589">
        <v>0</v>
      </c>
      <c r="I589">
        <v>0</v>
      </c>
      <c r="J589">
        <v>0</v>
      </c>
      <c r="K589">
        <v>2846839.66</v>
      </c>
    </row>
    <row r="590" spans="1:11" x14ac:dyDescent="0.25">
      <c r="A590" t="s">
        <v>1044</v>
      </c>
      <c r="B590" t="s">
        <v>946</v>
      </c>
      <c r="C590" t="s">
        <v>540</v>
      </c>
      <c r="D590" t="s">
        <v>551</v>
      </c>
      <c r="E590">
        <v>145393.60000000001</v>
      </c>
      <c r="F590" t="s">
        <v>552</v>
      </c>
      <c r="G590">
        <v>0</v>
      </c>
      <c r="H590">
        <v>0</v>
      </c>
      <c r="I590">
        <v>0</v>
      </c>
      <c r="J590">
        <v>0</v>
      </c>
      <c r="K590">
        <v>145393.60000000001</v>
      </c>
    </row>
    <row r="591" spans="1:11" x14ac:dyDescent="0.25">
      <c r="A591" t="s">
        <v>1045</v>
      </c>
      <c r="B591" t="s">
        <v>1046</v>
      </c>
      <c r="C591" t="s">
        <v>540</v>
      </c>
      <c r="D591" t="s">
        <v>677</v>
      </c>
      <c r="E591">
        <v>0</v>
      </c>
      <c r="F591" t="s">
        <v>678</v>
      </c>
      <c r="G591">
        <v>18200</v>
      </c>
      <c r="H591">
        <v>0</v>
      </c>
      <c r="I591">
        <v>0</v>
      </c>
      <c r="J591">
        <v>0</v>
      </c>
      <c r="K591">
        <v>18200</v>
      </c>
    </row>
    <row r="592" spans="1:11" x14ac:dyDescent="0.25">
      <c r="A592" t="s">
        <v>280</v>
      </c>
      <c r="B592" t="s">
        <v>281</v>
      </c>
      <c r="C592" t="s">
        <v>540</v>
      </c>
      <c r="D592" t="s">
        <v>559</v>
      </c>
      <c r="E592">
        <v>780000</v>
      </c>
      <c r="F592" t="s">
        <v>560</v>
      </c>
      <c r="G592">
        <v>780000</v>
      </c>
      <c r="H592">
        <v>0</v>
      </c>
      <c r="I592">
        <v>0</v>
      </c>
      <c r="J592">
        <v>0</v>
      </c>
      <c r="K592">
        <v>1560000</v>
      </c>
    </row>
    <row r="593" spans="1:11" x14ac:dyDescent="0.25">
      <c r="A593" t="s">
        <v>1047</v>
      </c>
      <c r="B593" t="s">
        <v>947</v>
      </c>
      <c r="C593" t="s">
        <v>540</v>
      </c>
      <c r="D593" t="s">
        <v>1048</v>
      </c>
      <c r="E593">
        <v>0</v>
      </c>
      <c r="F593" t="s">
        <v>1049</v>
      </c>
      <c r="G593">
        <v>2571368.9900000002</v>
      </c>
      <c r="H593">
        <v>0</v>
      </c>
      <c r="I593">
        <v>0</v>
      </c>
      <c r="J593">
        <v>0</v>
      </c>
      <c r="K593">
        <v>2571368.9900000002</v>
      </c>
    </row>
    <row r="594" spans="1:11" x14ac:dyDescent="0.25">
      <c r="A594" t="s">
        <v>284</v>
      </c>
      <c r="B594" t="s">
        <v>285</v>
      </c>
      <c r="C594" t="s">
        <v>540</v>
      </c>
      <c r="D594" t="s">
        <v>633</v>
      </c>
      <c r="E594">
        <v>0</v>
      </c>
      <c r="F594" t="s">
        <v>634</v>
      </c>
      <c r="G594">
        <v>0</v>
      </c>
      <c r="H594">
        <v>0</v>
      </c>
      <c r="I594">
        <v>0</v>
      </c>
      <c r="J594">
        <v>0.02</v>
      </c>
      <c r="K594">
        <v>0.02</v>
      </c>
    </row>
    <row r="595" spans="1:11" x14ac:dyDescent="0.25">
      <c r="A595" t="s">
        <v>286</v>
      </c>
      <c r="B595" t="s">
        <v>287</v>
      </c>
      <c r="C595" t="s">
        <v>540</v>
      </c>
      <c r="D595" t="s">
        <v>635</v>
      </c>
      <c r="E595">
        <v>264506</v>
      </c>
      <c r="F595" t="s">
        <v>636</v>
      </c>
      <c r="G595">
        <v>4834434</v>
      </c>
      <c r="H595">
        <v>0</v>
      </c>
      <c r="I595">
        <v>0</v>
      </c>
      <c r="J595">
        <v>0</v>
      </c>
      <c r="K595">
        <v>5098940</v>
      </c>
    </row>
    <row r="596" spans="1:11" x14ac:dyDescent="0.25">
      <c r="A596" t="s">
        <v>288</v>
      </c>
      <c r="B596" t="s">
        <v>289</v>
      </c>
      <c r="C596" t="s">
        <v>540</v>
      </c>
      <c r="D596" t="s">
        <v>619</v>
      </c>
      <c r="E596">
        <v>2934976</v>
      </c>
      <c r="F596" t="s">
        <v>620</v>
      </c>
      <c r="G596">
        <v>2102254.0099999998</v>
      </c>
      <c r="H596">
        <v>0</v>
      </c>
      <c r="I596">
        <v>0</v>
      </c>
      <c r="J596">
        <v>0</v>
      </c>
      <c r="K596">
        <v>5037230.01</v>
      </c>
    </row>
    <row r="597" spans="1:11" x14ac:dyDescent="0.25">
      <c r="A597" t="s">
        <v>290</v>
      </c>
      <c r="B597" t="s">
        <v>291</v>
      </c>
      <c r="C597" t="s">
        <v>540</v>
      </c>
      <c r="D597" t="s">
        <v>623</v>
      </c>
      <c r="E597">
        <v>0</v>
      </c>
      <c r="F597" t="s">
        <v>624</v>
      </c>
      <c r="G597">
        <v>3222002.58</v>
      </c>
      <c r="H597">
        <v>0</v>
      </c>
      <c r="I597">
        <v>0</v>
      </c>
      <c r="J597">
        <v>0</v>
      </c>
      <c r="K597">
        <v>3222002.58</v>
      </c>
    </row>
    <row r="598" spans="1:11" x14ac:dyDescent="0.25">
      <c r="A598" t="s">
        <v>1166</v>
      </c>
      <c r="B598" t="s">
        <v>1167</v>
      </c>
      <c r="C598" t="s">
        <v>540</v>
      </c>
      <c r="D598" t="s">
        <v>551</v>
      </c>
      <c r="E598">
        <v>400000</v>
      </c>
      <c r="F598" t="s">
        <v>552</v>
      </c>
      <c r="G598">
        <v>0</v>
      </c>
      <c r="H598">
        <v>0</v>
      </c>
      <c r="I598">
        <v>0</v>
      </c>
      <c r="J598">
        <v>0</v>
      </c>
      <c r="K598">
        <v>400000</v>
      </c>
    </row>
    <row r="599" spans="1:11" x14ac:dyDescent="0.25">
      <c r="A599" t="s">
        <v>746</v>
      </c>
      <c r="B599" t="s">
        <v>747</v>
      </c>
      <c r="C599" t="s">
        <v>540</v>
      </c>
      <c r="D599" t="s">
        <v>589</v>
      </c>
      <c r="E599">
        <v>0</v>
      </c>
      <c r="F599" t="s">
        <v>590</v>
      </c>
      <c r="G599">
        <v>5693093.9299999997</v>
      </c>
      <c r="H599">
        <v>2710526.29</v>
      </c>
      <c r="I599">
        <v>0</v>
      </c>
      <c r="J599">
        <v>0</v>
      </c>
      <c r="K599">
        <v>8403620.2200000007</v>
      </c>
    </row>
    <row r="600" spans="1:11" x14ac:dyDescent="0.25">
      <c r="A600" t="s">
        <v>292</v>
      </c>
      <c r="B600" t="s">
        <v>293</v>
      </c>
      <c r="C600" t="s">
        <v>540</v>
      </c>
      <c r="D600" t="s">
        <v>551</v>
      </c>
      <c r="E600">
        <v>0</v>
      </c>
      <c r="F600" t="s">
        <v>552</v>
      </c>
      <c r="G600">
        <v>4058340</v>
      </c>
      <c r="H600">
        <v>2572823</v>
      </c>
      <c r="I600">
        <v>0</v>
      </c>
      <c r="J600">
        <v>0</v>
      </c>
      <c r="K600">
        <v>6631163</v>
      </c>
    </row>
    <row r="601" spans="1:11" x14ac:dyDescent="0.25">
      <c r="A601" t="s">
        <v>294</v>
      </c>
      <c r="B601" t="s">
        <v>295</v>
      </c>
      <c r="C601" t="s">
        <v>540</v>
      </c>
      <c r="D601" t="s">
        <v>589</v>
      </c>
      <c r="E601">
        <v>0</v>
      </c>
      <c r="F601" t="s">
        <v>590</v>
      </c>
      <c r="G601">
        <v>0</v>
      </c>
      <c r="H601">
        <v>0</v>
      </c>
      <c r="I601">
        <v>0</v>
      </c>
      <c r="J601">
        <v>-3904.38</v>
      </c>
      <c r="K601">
        <v>-3904.38</v>
      </c>
    </row>
    <row r="602" spans="1:11" x14ac:dyDescent="0.25">
      <c r="A602" t="s">
        <v>1050</v>
      </c>
      <c r="B602" t="s">
        <v>948</v>
      </c>
      <c r="C602" t="s">
        <v>540</v>
      </c>
      <c r="D602" t="s">
        <v>639</v>
      </c>
      <c r="E602">
        <v>1099835.79</v>
      </c>
      <c r="F602" t="s">
        <v>640</v>
      </c>
      <c r="G602">
        <v>620488</v>
      </c>
      <c r="H602">
        <v>0</v>
      </c>
      <c r="I602">
        <v>0</v>
      </c>
      <c r="J602">
        <v>0</v>
      </c>
      <c r="K602">
        <v>1720323.79</v>
      </c>
    </row>
    <row r="603" spans="1:11" x14ac:dyDescent="0.25">
      <c r="A603" t="s">
        <v>1051</v>
      </c>
      <c r="B603" t="s">
        <v>949</v>
      </c>
      <c r="C603" t="s">
        <v>540</v>
      </c>
      <c r="D603" t="s">
        <v>545</v>
      </c>
      <c r="E603">
        <v>0</v>
      </c>
      <c r="F603" t="s">
        <v>546</v>
      </c>
      <c r="G603">
        <v>238590.8</v>
      </c>
      <c r="H603">
        <v>0</v>
      </c>
      <c r="I603">
        <v>0</v>
      </c>
      <c r="J603">
        <v>0</v>
      </c>
      <c r="K603">
        <v>238590.8</v>
      </c>
    </row>
    <row r="604" spans="1:11" x14ac:dyDescent="0.25">
      <c r="A604" t="s">
        <v>300</v>
      </c>
      <c r="B604" t="s">
        <v>301</v>
      </c>
      <c r="C604" t="s">
        <v>540</v>
      </c>
      <c r="D604" t="s">
        <v>641</v>
      </c>
      <c r="E604">
        <v>0</v>
      </c>
      <c r="F604" t="s">
        <v>642</v>
      </c>
      <c r="G604">
        <v>0</v>
      </c>
      <c r="H604">
        <v>0</v>
      </c>
      <c r="I604">
        <v>0</v>
      </c>
      <c r="J604">
        <v>40367.35</v>
      </c>
      <c r="K604">
        <v>40367.35</v>
      </c>
    </row>
    <row r="605" spans="1:11" x14ac:dyDescent="0.25">
      <c r="A605" t="s">
        <v>1168</v>
      </c>
      <c r="B605" t="s">
        <v>1169</v>
      </c>
      <c r="C605" t="s">
        <v>540</v>
      </c>
      <c r="D605" t="s">
        <v>659</v>
      </c>
      <c r="E605">
        <v>7293601.8499999996</v>
      </c>
      <c r="F605" t="s">
        <v>660</v>
      </c>
      <c r="G605">
        <v>0</v>
      </c>
      <c r="H605">
        <v>0</v>
      </c>
      <c r="I605">
        <v>0</v>
      </c>
      <c r="J605">
        <v>0</v>
      </c>
      <c r="K605">
        <v>7293601.8499999996</v>
      </c>
    </row>
    <row r="606" spans="1:11" x14ac:dyDescent="0.25">
      <c r="A606" t="s">
        <v>1052</v>
      </c>
      <c r="B606" t="s">
        <v>950</v>
      </c>
      <c r="C606" t="s">
        <v>540</v>
      </c>
      <c r="D606" t="s">
        <v>589</v>
      </c>
      <c r="E606">
        <v>0</v>
      </c>
      <c r="F606" t="s">
        <v>590</v>
      </c>
      <c r="G606">
        <v>128077.24</v>
      </c>
      <c r="H606">
        <v>0</v>
      </c>
      <c r="I606">
        <v>0</v>
      </c>
      <c r="J606">
        <v>0</v>
      </c>
      <c r="K606">
        <v>128077.24</v>
      </c>
    </row>
    <row r="607" spans="1:11" x14ac:dyDescent="0.25">
      <c r="A607" t="s">
        <v>1053</v>
      </c>
      <c r="B607" t="s">
        <v>951</v>
      </c>
      <c r="C607" t="s">
        <v>540</v>
      </c>
      <c r="D607" t="s">
        <v>1054</v>
      </c>
      <c r="E607">
        <v>0</v>
      </c>
      <c r="F607" t="s">
        <v>1055</v>
      </c>
      <c r="G607">
        <v>405000</v>
      </c>
      <c r="H607">
        <v>0</v>
      </c>
      <c r="I607">
        <v>0</v>
      </c>
      <c r="J607">
        <v>0</v>
      </c>
      <c r="K607">
        <v>405000</v>
      </c>
    </row>
    <row r="608" spans="1:11" x14ac:dyDescent="0.25">
      <c r="A608" t="s">
        <v>1056</v>
      </c>
      <c r="B608" t="s">
        <v>952</v>
      </c>
      <c r="C608" t="s">
        <v>540</v>
      </c>
      <c r="D608" t="s">
        <v>1000</v>
      </c>
      <c r="E608">
        <v>6948388.7000000002</v>
      </c>
      <c r="F608" t="s">
        <v>1001</v>
      </c>
      <c r="G608">
        <v>0</v>
      </c>
      <c r="H608">
        <v>0</v>
      </c>
      <c r="I608">
        <v>0</v>
      </c>
      <c r="J608">
        <v>0</v>
      </c>
      <c r="K608">
        <v>6948388.7000000002</v>
      </c>
    </row>
    <row r="609" spans="1:11" x14ac:dyDescent="0.25">
      <c r="A609" t="s">
        <v>1057</v>
      </c>
      <c r="B609" t="s">
        <v>953</v>
      </c>
      <c r="C609" t="s">
        <v>540</v>
      </c>
      <c r="D609" t="s">
        <v>857</v>
      </c>
      <c r="E609">
        <v>0</v>
      </c>
      <c r="F609" t="s">
        <v>858</v>
      </c>
      <c r="G609">
        <v>2504700</v>
      </c>
      <c r="H609">
        <v>0</v>
      </c>
      <c r="I609">
        <v>0</v>
      </c>
      <c r="J609">
        <v>0</v>
      </c>
      <c r="K609">
        <v>2504700</v>
      </c>
    </row>
    <row r="610" spans="1:11" x14ac:dyDescent="0.25">
      <c r="A610" t="s">
        <v>302</v>
      </c>
      <c r="B610" t="s">
        <v>303</v>
      </c>
      <c r="C610" t="s">
        <v>540</v>
      </c>
      <c r="D610" t="s">
        <v>577</v>
      </c>
      <c r="E610">
        <v>6524745.1299999999</v>
      </c>
      <c r="F610" t="s">
        <v>578</v>
      </c>
      <c r="G610">
        <v>4841301.3099999996</v>
      </c>
      <c r="H610">
        <v>0</v>
      </c>
      <c r="I610">
        <v>0</v>
      </c>
      <c r="J610">
        <v>0</v>
      </c>
      <c r="K610">
        <v>11366046.439999999</v>
      </c>
    </row>
    <row r="611" spans="1:11" x14ac:dyDescent="0.25">
      <c r="A611" t="s">
        <v>1058</v>
      </c>
      <c r="B611" t="s">
        <v>1059</v>
      </c>
      <c r="C611" t="s">
        <v>540</v>
      </c>
      <c r="D611" t="s">
        <v>617</v>
      </c>
      <c r="E611">
        <v>19656000</v>
      </c>
      <c r="F611" t="s">
        <v>618</v>
      </c>
      <c r="G611">
        <v>0</v>
      </c>
      <c r="H611">
        <v>0</v>
      </c>
      <c r="I611">
        <v>0</v>
      </c>
      <c r="J611">
        <v>0</v>
      </c>
      <c r="K611">
        <v>19656000</v>
      </c>
    </row>
    <row r="612" spans="1:11" x14ac:dyDescent="0.25">
      <c r="A612" t="s">
        <v>304</v>
      </c>
      <c r="B612" t="s">
        <v>305</v>
      </c>
      <c r="C612" t="s">
        <v>540</v>
      </c>
      <c r="D612" t="s">
        <v>631</v>
      </c>
      <c r="E612">
        <v>0</v>
      </c>
      <c r="F612" t="s">
        <v>632</v>
      </c>
      <c r="G612">
        <v>36297.58</v>
      </c>
      <c r="H612">
        <v>0</v>
      </c>
      <c r="I612">
        <v>0</v>
      </c>
      <c r="J612">
        <v>0</v>
      </c>
      <c r="K612">
        <v>36297.58</v>
      </c>
    </row>
    <row r="613" spans="1:11" x14ac:dyDescent="0.25">
      <c r="A613" t="s">
        <v>306</v>
      </c>
      <c r="B613" t="s">
        <v>307</v>
      </c>
      <c r="C613" t="s">
        <v>540</v>
      </c>
      <c r="D613" t="s">
        <v>621</v>
      </c>
      <c r="E613">
        <v>0</v>
      </c>
      <c r="F613" t="s">
        <v>622</v>
      </c>
      <c r="G613">
        <v>0</v>
      </c>
      <c r="H613">
        <v>0</v>
      </c>
      <c r="I613">
        <v>0</v>
      </c>
      <c r="J613">
        <v>-387219.15</v>
      </c>
      <c r="K613">
        <v>-387219.15</v>
      </c>
    </row>
    <row r="614" spans="1:11" x14ac:dyDescent="0.25">
      <c r="A614" t="s">
        <v>308</v>
      </c>
      <c r="B614" t="s">
        <v>309</v>
      </c>
      <c r="C614" t="s">
        <v>540</v>
      </c>
      <c r="D614" t="s">
        <v>563</v>
      </c>
      <c r="E614">
        <v>298920.82</v>
      </c>
      <c r="F614" t="s">
        <v>564</v>
      </c>
      <c r="G614">
        <v>2409787.6</v>
      </c>
      <c r="H614">
        <v>0</v>
      </c>
      <c r="I614">
        <v>0</v>
      </c>
      <c r="J614">
        <v>0</v>
      </c>
      <c r="K614">
        <v>2708708.42</v>
      </c>
    </row>
    <row r="615" spans="1:11" x14ac:dyDescent="0.25">
      <c r="A615" t="s">
        <v>310</v>
      </c>
      <c r="B615" t="s">
        <v>311</v>
      </c>
      <c r="C615" t="s">
        <v>540</v>
      </c>
      <c r="D615" t="s">
        <v>553</v>
      </c>
      <c r="E615">
        <v>435600</v>
      </c>
      <c r="F615" t="s">
        <v>554</v>
      </c>
      <c r="G615">
        <v>0</v>
      </c>
      <c r="H615">
        <v>0</v>
      </c>
      <c r="I615">
        <v>0</v>
      </c>
      <c r="J615">
        <v>0</v>
      </c>
      <c r="K615">
        <v>435600</v>
      </c>
    </row>
    <row r="616" spans="1:11" x14ac:dyDescent="0.25">
      <c r="A616" t="s">
        <v>1060</v>
      </c>
      <c r="B616" t="s">
        <v>954</v>
      </c>
      <c r="C616" t="s">
        <v>540</v>
      </c>
      <c r="D616" t="s">
        <v>549</v>
      </c>
      <c r="E616">
        <v>39595210</v>
      </c>
      <c r="F616" t="s">
        <v>550</v>
      </c>
      <c r="G616">
        <v>0</v>
      </c>
      <c r="H616">
        <v>0</v>
      </c>
      <c r="I616">
        <v>0</v>
      </c>
      <c r="J616">
        <v>0</v>
      </c>
      <c r="K616">
        <v>39595210</v>
      </c>
    </row>
    <row r="617" spans="1:11" x14ac:dyDescent="0.25">
      <c r="A617" t="s">
        <v>312</v>
      </c>
      <c r="B617" t="s">
        <v>313</v>
      </c>
      <c r="C617" t="s">
        <v>540</v>
      </c>
      <c r="D617" t="s">
        <v>643</v>
      </c>
      <c r="E617">
        <v>2264172.69</v>
      </c>
      <c r="F617" t="s">
        <v>644</v>
      </c>
      <c r="G617">
        <v>5816955.8200000003</v>
      </c>
      <c r="H617">
        <v>0</v>
      </c>
      <c r="I617">
        <v>0</v>
      </c>
      <c r="J617">
        <v>0</v>
      </c>
      <c r="K617">
        <v>8081128.5099999998</v>
      </c>
    </row>
    <row r="618" spans="1:11" x14ac:dyDescent="0.25">
      <c r="A618" t="s">
        <v>1170</v>
      </c>
      <c r="B618" t="s">
        <v>1171</v>
      </c>
      <c r="C618" t="s">
        <v>540</v>
      </c>
      <c r="D618" t="s">
        <v>603</v>
      </c>
      <c r="E618">
        <v>665500</v>
      </c>
      <c r="F618" t="s">
        <v>604</v>
      </c>
      <c r="G618">
        <v>0</v>
      </c>
      <c r="H618">
        <v>0</v>
      </c>
      <c r="I618">
        <v>0</v>
      </c>
      <c r="J618">
        <v>0</v>
      </c>
      <c r="K618">
        <v>665500</v>
      </c>
    </row>
    <row r="619" spans="1:11" x14ac:dyDescent="0.25">
      <c r="A619" t="s">
        <v>1061</v>
      </c>
      <c r="B619" t="s">
        <v>955</v>
      </c>
      <c r="C619" t="s">
        <v>540</v>
      </c>
      <c r="D619" t="s">
        <v>607</v>
      </c>
      <c r="E619">
        <v>1836951.81</v>
      </c>
      <c r="F619" t="s">
        <v>608</v>
      </c>
      <c r="G619">
        <v>1224087.73</v>
      </c>
      <c r="H619">
        <v>997501.27</v>
      </c>
      <c r="I619">
        <v>0</v>
      </c>
      <c r="J619">
        <v>0</v>
      </c>
      <c r="K619">
        <v>4058540.81</v>
      </c>
    </row>
    <row r="620" spans="1:11" x14ac:dyDescent="0.25">
      <c r="A620" t="s">
        <v>812</v>
      </c>
      <c r="B620" t="s">
        <v>813</v>
      </c>
      <c r="C620" t="s">
        <v>540</v>
      </c>
      <c r="D620" t="s">
        <v>545</v>
      </c>
      <c r="E620">
        <v>110621.66</v>
      </c>
      <c r="F620" t="s">
        <v>546</v>
      </c>
      <c r="G620">
        <v>577203.93999999994</v>
      </c>
      <c r="H620">
        <v>0</v>
      </c>
      <c r="I620">
        <v>0</v>
      </c>
      <c r="J620">
        <v>0</v>
      </c>
      <c r="K620">
        <v>687825.6</v>
      </c>
    </row>
    <row r="621" spans="1:11" x14ac:dyDescent="0.25">
      <c r="A621" t="s">
        <v>1062</v>
      </c>
      <c r="B621" t="s">
        <v>956</v>
      </c>
      <c r="C621" t="s">
        <v>540</v>
      </c>
      <c r="D621" t="s">
        <v>1063</v>
      </c>
      <c r="E621">
        <v>311500</v>
      </c>
      <c r="F621" t="s">
        <v>1064</v>
      </c>
      <c r="G621">
        <v>0</v>
      </c>
      <c r="H621">
        <v>0</v>
      </c>
      <c r="I621">
        <v>0</v>
      </c>
      <c r="J621">
        <v>0</v>
      </c>
      <c r="K621">
        <v>311500</v>
      </c>
    </row>
    <row r="622" spans="1:11" x14ac:dyDescent="0.25">
      <c r="A622" t="s">
        <v>314</v>
      </c>
      <c r="B622" t="s">
        <v>315</v>
      </c>
      <c r="C622" t="s">
        <v>540</v>
      </c>
      <c r="D622" t="s">
        <v>647</v>
      </c>
      <c r="E622">
        <v>0</v>
      </c>
      <c r="F622" t="s">
        <v>648</v>
      </c>
      <c r="G622">
        <v>1003000</v>
      </c>
      <c r="H622">
        <v>0</v>
      </c>
      <c r="I622">
        <v>0</v>
      </c>
      <c r="J622">
        <v>0</v>
      </c>
      <c r="K622">
        <v>1003000</v>
      </c>
    </row>
    <row r="623" spans="1:11" x14ac:dyDescent="0.25">
      <c r="A623" t="s">
        <v>316</v>
      </c>
      <c r="B623" t="s">
        <v>317</v>
      </c>
      <c r="C623" t="s">
        <v>540</v>
      </c>
      <c r="D623" t="s">
        <v>553</v>
      </c>
      <c r="E623">
        <v>0</v>
      </c>
      <c r="F623" t="s">
        <v>554</v>
      </c>
      <c r="G623">
        <v>748110.12</v>
      </c>
      <c r="H623">
        <v>0</v>
      </c>
      <c r="I623">
        <v>0</v>
      </c>
      <c r="J623">
        <v>0</v>
      </c>
      <c r="K623">
        <v>748110.12</v>
      </c>
    </row>
    <row r="624" spans="1:11" x14ac:dyDescent="0.25">
      <c r="A624" t="s">
        <v>1065</v>
      </c>
      <c r="B624" t="s">
        <v>957</v>
      </c>
      <c r="C624" t="s">
        <v>540</v>
      </c>
      <c r="D624" t="s">
        <v>545</v>
      </c>
      <c r="E624">
        <v>0</v>
      </c>
      <c r="F624" t="s">
        <v>546</v>
      </c>
      <c r="G624">
        <v>142838.15</v>
      </c>
      <c r="H624">
        <v>0</v>
      </c>
      <c r="I624">
        <v>0</v>
      </c>
      <c r="J624">
        <v>0</v>
      </c>
      <c r="K624">
        <v>142838.15</v>
      </c>
    </row>
    <row r="625" spans="1:11" x14ac:dyDescent="0.25">
      <c r="A625" t="s">
        <v>1066</v>
      </c>
      <c r="B625" t="s">
        <v>1067</v>
      </c>
      <c r="C625" t="s">
        <v>540</v>
      </c>
      <c r="D625" t="s">
        <v>541</v>
      </c>
      <c r="E625">
        <v>153672.95999999999</v>
      </c>
      <c r="F625" t="s">
        <v>542</v>
      </c>
      <c r="G625">
        <v>0</v>
      </c>
      <c r="H625">
        <v>0</v>
      </c>
      <c r="I625">
        <v>0</v>
      </c>
      <c r="J625">
        <v>0</v>
      </c>
      <c r="K625">
        <v>153672.95999999999</v>
      </c>
    </row>
    <row r="626" spans="1:11" x14ac:dyDescent="0.25">
      <c r="A626" t="s">
        <v>318</v>
      </c>
      <c r="B626" t="s">
        <v>319</v>
      </c>
      <c r="C626" t="s">
        <v>540</v>
      </c>
      <c r="D626" t="s">
        <v>649</v>
      </c>
      <c r="E626">
        <v>2957168.09</v>
      </c>
      <c r="F626" t="s">
        <v>650</v>
      </c>
      <c r="G626">
        <v>6159807.25</v>
      </c>
      <c r="H626">
        <v>3652353</v>
      </c>
      <c r="I626">
        <v>0</v>
      </c>
      <c r="J626">
        <v>0</v>
      </c>
      <c r="K626">
        <v>12769328.34</v>
      </c>
    </row>
    <row r="627" spans="1:11" x14ac:dyDescent="0.25">
      <c r="A627" t="s">
        <v>750</v>
      </c>
      <c r="B627" t="s">
        <v>751</v>
      </c>
      <c r="C627" t="s">
        <v>540</v>
      </c>
      <c r="D627" t="s">
        <v>627</v>
      </c>
      <c r="E627">
        <v>118627168.8</v>
      </c>
      <c r="F627" t="s">
        <v>628</v>
      </c>
      <c r="G627">
        <v>307386390.85000002</v>
      </c>
      <c r="H627">
        <v>0</v>
      </c>
      <c r="I627">
        <v>0</v>
      </c>
      <c r="J627">
        <v>0</v>
      </c>
      <c r="K627">
        <v>426013559.64999998</v>
      </c>
    </row>
    <row r="628" spans="1:11" x14ac:dyDescent="0.25">
      <c r="A628" t="s">
        <v>651</v>
      </c>
      <c r="B628" t="s">
        <v>652</v>
      </c>
      <c r="C628" t="s">
        <v>540</v>
      </c>
      <c r="D628" t="s">
        <v>603</v>
      </c>
      <c r="E628">
        <v>0</v>
      </c>
      <c r="F628" t="s">
        <v>604</v>
      </c>
      <c r="G628">
        <v>8993535.8100000005</v>
      </c>
      <c r="H628">
        <v>0</v>
      </c>
      <c r="I628">
        <v>0</v>
      </c>
      <c r="J628">
        <v>0</v>
      </c>
      <c r="K628">
        <v>8993535.8100000005</v>
      </c>
    </row>
    <row r="629" spans="1:11" x14ac:dyDescent="0.25">
      <c r="A629" t="s">
        <v>503</v>
      </c>
      <c r="B629" t="s">
        <v>504</v>
      </c>
      <c r="C629" t="s">
        <v>540</v>
      </c>
      <c r="D629" t="s">
        <v>623</v>
      </c>
      <c r="E629">
        <v>3270097.6</v>
      </c>
      <c r="F629" t="s">
        <v>624</v>
      </c>
      <c r="G629">
        <v>5002368.4000000004</v>
      </c>
      <c r="H629">
        <v>0</v>
      </c>
      <c r="I629">
        <v>0</v>
      </c>
      <c r="J629">
        <v>0</v>
      </c>
      <c r="K629">
        <v>8272466</v>
      </c>
    </row>
    <row r="630" spans="1:11" x14ac:dyDescent="0.25">
      <c r="A630" t="s">
        <v>320</v>
      </c>
      <c r="B630" t="s">
        <v>321</v>
      </c>
      <c r="C630" t="s">
        <v>540</v>
      </c>
      <c r="D630" t="s">
        <v>553</v>
      </c>
      <c r="E630">
        <v>1648659.8</v>
      </c>
      <c r="F630" t="s">
        <v>554</v>
      </c>
      <c r="G630">
        <v>2049440.85</v>
      </c>
      <c r="H630">
        <v>0</v>
      </c>
      <c r="I630">
        <v>0</v>
      </c>
      <c r="J630">
        <v>0</v>
      </c>
      <c r="K630">
        <v>3698100.65</v>
      </c>
    </row>
    <row r="631" spans="1:11" x14ac:dyDescent="0.25">
      <c r="A631" t="s">
        <v>1068</v>
      </c>
      <c r="B631" t="s">
        <v>958</v>
      </c>
      <c r="C631" t="s">
        <v>540</v>
      </c>
      <c r="D631" t="s">
        <v>1069</v>
      </c>
      <c r="E631">
        <v>4247000</v>
      </c>
      <c r="F631" t="s">
        <v>1070</v>
      </c>
      <c r="G631">
        <v>0</v>
      </c>
      <c r="H631">
        <v>0</v>
      </c>
      <c r="I631">
        <v>0</v>
      </c>
      <c r="J631">
        <v>0</v>
      </c>
      <c r="K631">
        <v>4247000</v>
      </c>
    </row>
    <row r="632" spans="1:11" x14ac:dyDescent="0.25">
      <c r="A632" t="s">
        <v>322</v>
      </c>
      <c r="B632" t="s">
        <v>323</v>
      </c>
      <c r="C632" t="s">
        <v>540</v>
      </c>
      <c r="D632" t="s">
        <v>589</v>
      </c>
      <c r="E632">
        <v>2886282.67</v>
      </c>
      <c r="F632" t="s">
        <v>590</v>
      </c>
      <c r="G632">
        <v>3368997.05</v>
      </c>
      <c r="H632">
        <v>0</v>
      </c>
      <c r="I632">
        <v>0</v>
      </c>
      <c r="J632">
        <v>0</v>
      </c>
      <c r="K632">
        <v>6255279.7199999997</v>
      </c>
    </row>
    <row r="633" spans="1:11" x14ac:dyDescent="0.25">
      <c r="A633" t="s">
        <v>324</v>
      </c>
      <c r="B633" t="s">
        <v>325</v>
      </c>
      <c r="C633" t="s">
        <v>540</v>
      </c>
      <c r="D633" t="s">
        <v>569</v>
      </c>
      <c r="E633">
        <v>0</v>
      </c>
      <c r="F633" t="s">
        <v>570</v>
      </c>
      <c r="G633">
        <v>0</v>
      </c>
      <c r="H633">
        <v>0</v>
      </c>
      <c r="I633">
        <v>0</v>
      </c>
      <c r="J633">
        <v>-258135.9</v>
      </c>
      <c r="K633">
        <v>-258135.9</v>
      </c>
    </row>
    <row r="634" spans="1:11" x14ac:dyDescent="0.25">
      <c r="A634" t="s">
        <v>326</v>
      </c>
      <c r="B634" t="s">
        <v>327</v>
      </c>
      <c r="C634" t="s">
        <v>540</v>
      </c>
      <c r="D634" t="s">
        <v>653</v>
      </c>
      <c r="E634">
        <v>0</v>
      </c>
      <c r="F634" t="s">
        <v>654</v>
      </c>
      <c r="G634">
        <v>14142961.199999999</v>
      </c>
      <c r="H634">
        <v>0</v>
      </c>
      <c r="I634">
        <v>0</v>
      </c>
      <c r="J634">
        <v>0</v>
      </c>
      <c r="K634">
        <v>14142961.199999999</v>
      </c>
    </row>
    <row r="635" spans="1:11" x14ac:dyDescent="0.25">
      <c r="A635" t="s">
        <v>1071</v>
      </c>
      <c r="B635" t="s">
        <v>959</v>
      </c>
      <c r="C635" t="s">
        <v>540</v>
      </c>
      <c r="D635" t="s">
        <v>693</v>
      </c>
      <c r="E635">
        <v>0</v>
      </c>
      <c r="F635" t="s">
        <v>694</v>
      </c>
      <c r="G635">
        <v>63472</v>
      </c>
      <c r="H635">
        <v>0</v>
      </c>
      <c r="I635">
        <v>0</v>
      </c>
      <c r="J635">
        <v>0</v>
      </c>
      <c r="K635">
        <v>63472</v>
      </c>
    </row>
    <row r="636" spans="1:11" x14ac:dyDescent="0.25">
      <c r="A636" t="s">
        <v>873</v>
      </c>
      <c r="B636" t="s">
        <v>874</v>
      </c>
      <c r="C636" t="s">
        <v>540</v>
      </c>
      <c r="D636" t="s">
        <v>545</v>
      </c>
      <c r="E636">
        <v>0</v>
      </c>
      <c r="F636" t="s">
        <v>546</v>
      </c>
      <c r="G636">
        <v>1095627.3799999999</v>
      </c>
      <c r="H636">
        <v>0</v>
      </c>
      <c r="I636">
        <v>0</v>
      </c>
      <c r="J636">
        <v>0</v>
      </c>
      <c r="K636">
        <v>1095627.3799999999</v>
      </c>
    </row>
    <row r="637" spans="1:11" x14ac:dyDescent="0.25">
      <c r="A637" t="s">
        <v>330</v>
      </c>
      <c r="B637" t="s">
        <v>331</v>
      </c>
      <c r="C637" t="s">
        <v>540</v>
      </c>
      <c r="D637" t="s">
        <v>603</v>
      </c>
      <c r="E637">
        <v>0</v>
      </c>
      <c r="F637" t="s">
        <v>604</v>
      </c>
      <c r="G637">
        <v>0</v>
      </c>
      <c r="H637">
        <v>0</v>
      </c>
      <c r="I637">
        <v>0</v>
      </c>
      <c r="J637">
        <v>88538261.290000007</v>
      </c>
      <c r="K637">
        <v>88538261.290000007</v>
      </c>
    </row>
    <row r="638" spans="1:11" x14ac:dyDescent="0.25">
      <c r="A638" t="s">
        <v>875</v>
      </c>
      <c r="B638" t="s">
        <v>876</v>
      </c>
      <c r="C638" t="s">
        <v>540</v>
      </c>
      <c r="D638" t="s">
        <v>589</v>
      </c>
      <c r="E638">
        <v>208570.12</v>
      </c>
      <c r="F638" t="s">
        <v>590</v>
      </c>
      <c r="G638">
        <v>0</v>
      </c>
      <c r="H638">
        <v>0</v>
      </c>
      <c r="I638">
        <v>0</v>
      </c>
      <c r="J638">
        <v>0</v>
      </c>
      <c r="K638">
        <v>208570.12</v>
      </c>
    </row>
    <row r="639" spans="1:11" x14ac:dyDescent="0.25">
      <c r="A639" t="s">
        <v>1072</v>
      </c>
      <c r="B639" t="s">
        <v>1073</v>
      </c>
      <c r="C639" t="s">
        <v>540</v>
      </c>
      <c r="D639" t="s">
        <v>553</v>
      </c>
      <c r="E639">
        <v>0</v>
      </c>
      <c r="F639" t="s">
        <v>554</v>
      </c>
      <c r="G639">
        <v>3138494.79</v>
      </c>
      <c r="H639">
        <v>0</v>
      </c>
      <c r="I639">
        <v>0</v>
      </c>
      <c r="J639">
        <v>0</v>
      </c>
      <c r="K639">
        <v>3138494.79</v>
      </c>
    </row>
    <row r="640" spans="1:11" x14ac:dyDescent="0.25">
      <c r="A640" t="s">
        <v>657</v>
      </c>
      <c r="B640" t="s">
        <v>658</v>
      </c>
      <c r="C640" t="s">
        <v>540</v>
      </c>
      <c r="D640" t="s">
        <v>649</v>
      </c>
      <c r="E640">
        <v>0</v>
      </c>
      <c r="F640" t="s">
        <v>650</v>
      </c>
      <c r="G640">
        <v>3345054.85</v>
      </c>
      <c r="H640">
        <v>0</v>
      </c>
      <c r="I640">
        <v>0</v>
      </c>
      <c r="J640">
        <v>0</v>
      </c>
      <c r="K640">
        <v>3345054.85</v>
      </c>
    </row>
    <row r="641" spans="1:11" x14ac:dyDescent="0.25">
      <c r="A641" t="s">
        <v>332</v>
      </c>
      <c r="B641" t="s">
        <v>333</v>
      </c>
      <c r="C641" t="s">
        <v>540</v>
      </c>
      <c r="D641" t="s">
        <v>603</v>
      </c>
      <c r="E641">
        <v>0</v>
      </c>
      <c r="F641" t="s">
        <v>604</v>
      </c>
      <c r="G641">
        <v>0</v>
      </c>
      <c r="H641">
        <v>0</v>
      </c>
      <c r="I641">
        <v>0</v>
      </c>
      <c r="J641">
        <v>5896891</v>
      </c>
      <c r="K641">
        <v>5896891</v>
      </c>
    </row>
    <row r="642" spans="1:11" x14ac:dyDescent="0.25">
      <c r="A642" t="s">
        <v>877</v>
      </c>
      <c r="B642" t="s">
        <v>878</v>
      </c>
      <c r="C642" t="s">
        <v>540</v>
      </c>
      <c r="D642" t="s">
        <v>681</v>
      </c>
      <c r="E642">
        <v>0</v>
      </c>
      <c r="F642" t="s">
        <v>682</v>
      </c>
      <c r="G642">
        <v>84431.97</v>
      </c>
      <c r="H642">
        <v>0</v>
      </c>
      <c r="I642">
        <v>0</v>
      </c>
      <c r="J642">
        <v>0</v>
      </c>
      <c r="K642">
        <v>84431.97</v>
      </c>
    </row>
    <row r="643" spans="1:11" x14ac:dyDescent="0.25">
      <c r="A643" t="s">
        <v>754</v>
      </c>
      <c r="B643" t="s">
        <v>755</v>
      </c>
      <c r="C643" t="s">
        <v>540</v>
      </c>
      <c r="D643" t="s">
        <v>553</v>
      </c>
      <c r="E643">
        <v>323433</v>
      </c>
      <c r="F643" t="s">
        <v>554</v>
      </c>
      <c r="G643">
        <v>440479.63</v>
      </c>
      <c r="H643">
        <v>0</v>
      </c>
      <c r="I643">
        <v>0</v>
      </c>
      <c r="J643">
        <v>0</v>
      </c>
      <c r="K643">
        <v>763912.63</v>
      </c>
    </row>
    <row r="644" spans="1:11" x14ac:dyDescent="0.25">
      <c r="A644" t="s">
        <v>336</v>
      </c>
      <c r="B644" t="s">
        <v>337</v>
      </c>
      <c r="C644" t="s">
        <v>540</v>
      </c>
      <c r="D644" t="s">
        <v>553</v>
      </c>
      <c r="E644">
        <v>0</v>
      </c>
      <c r="F644" t="s">
        <v>554</v>
      </c>
      <c r="G644">
        <v>0</v>
      </c>
      <c r="H644">
        <v>0</v>
      </c>
      <c r="I644">
        <v>0</v>
      </c>
      <c r="J644">
        <v>-0.01</v>
      </c>
      <c r="K644">
        <v>-0.01</v>
      </c>
    </row>
    <row r="645" spans="1:11" x14ac:dyDescent="0.25">
      <c r="A645" t="s">
        <v>338</v>
      </c>
      <c r="B645" t="s">
        <v>339</v>
      </c>
      <c r="C645" t="s">
        <v>540</v>
      </c>
      <c r="D645" t="s">
        <v>601</v>
      </c>
      <c r="E645">
        <v>10285.85</v>
      </c>
      <c r="F645" t="s">
        <v>602</v>
      </c>
      <c r="G645">
        <v>10450548.970000001</v>
      </c>
      <c r="H645">
        <v>45197182.659999996</v>
      </c>
      <c r="I645">
        <v>0</v>
      </c>
      <c r="J645">
        <v>299336.09999999998</v>
      </c>
      <c r="K645">
        <v>55957353.579999998</v>
      </c>
    </row>
    <row r="646" spans="1:11" x14ac:dyDescent="0.25">
      <c r="A646" t="s">
        <v>1074</v>
      </c>
      <c r="B646" t="s">
        <v>1075</v>
      </c>
      <c r="C646" t="s">
        <v>540</v>
      </c>
      <c r="D646" t="s">
        <v>559</v>
      </c>
      <c r="E646">
        <v>2820004.22</v>
      </c>
      <c r="F646" t="s">
        <v>560</v>
      </c>
      <c r="G646">
        <v>0</v>
      </c>
      <c r="H646">
        <v>0</v>
      </c>
      <c r="I646">
        <v>0</v>
      </c>
      <c r="J646">
        <v>0</v>
      </c>
      <c r="K646">
        <v>2820004.22</v>
      </c>
    </row>
    <row r="647" spans="1:11" x14ac:dyDescent="0.25">
      <c r="A647" t="s">
        <v>1076</v>
      </c>
      <c r="B647" t="s">
        <v>1077</v>
      </c>
      <c r="C647" t="s">
        <v>540</v>
      </c>
      <c r="D647" t="s">
        <v>611</v>
      </c>
      <c r="E647">
        <v>88029.32</v>
      </c>
      <c r="F647" t="s">
        <v>612</v>
      </c>
      <c r="G647">
        <v>0</v>
      </c>
      <c r="H647">
        <v>0</v>
      </c>
      <c r="I647">
        <v>0</v>
      </c>
      <c r="J647">
        <v>0</v>
      </c>
      <c r="K647">
        <v>88029.32</v>
      </c>
    </row>
    <row r="648" spans="1:11" x14ac:dyDescent="0.25">
      <c r="A648" t="s">
        <v>340</v>
      </c>
      <c r="B648" t="s">
        <v>341</v>
      </c>
      <c r="C648" t="s">
        <v>540</v>
      </c>
      <c r="D648" t="s">
        <v>553</v>
      </c>
      <c r="E648">
        <v>3014017.32</v>
      </c>
      <c r="F648" t="s">
        <v>554</v>
      </c>
      <c r="G648">
        <v>0</v>
      </c>
      <c r="H648">
        <v>0</v>
      </c>
      <c r="I648">
        <v>0</v>
      </c>
      <c r="J648">
        <v>0</v>
      </c>
      <c r="K648">
        <v>3014017.32</v>
      </c>
    </row>
    <row r="649" spans="1:11" x14ac:dyDescent="0.25">
      <c r="A649" t="s">
        <v>881</v>
      </c>
      <c r="B649" t="s">
        <v>882</v>
      </c>
      <c r="C649" t="s">
        <v>540</v>
      </c>
      <c r="D649" t="s">
        <v>639</v>
      </c>
      <c r="E649">
        <v>150040</v>
      </c>
      <c r="F649" t="s">
        <v>640</v>
      </c>
      <c r="G649">
        <v>610929</v>
      </c>
      <c r="H649">
        <v>0</v>
      </c>
      <c r="I649">
        <v>0</v>
      </c>
      <c r="J649">
        <v>0</v>
      </c>
      <c r="K649">
        <v>760969</v>
      </c>
    </row>
    <row r="650" spans="1:11" x14ac:dyDescent="0.25">
      <c r="A650" t="s">
        <v>342</v>
      </c>
      <c r="B650" t="s">
        <v>343</v>
      </c>
      <c r="C650" t="s">
        <v>540</v>
      </c>
      <c r="D650" t="s">
        <v>663</v>
      </c>
      <c r="E650">
        <v>5932164.6900000004</v>
      </c>
      <c r="F650" t="s">
        <v>664</v>
      </c>
      <c r="G650">
        <v>126157107.11</v>
      </c>
      <c r="H650">
        <v>4464170.5</v>
      </c>
      <c r="I650">
        <v>0</v>
      </c>
      <c r="J650">
        <v>1.17</v>
      </c>
      <c r="K650">
        <v>136553443.47</v>
      </c>
    </row>
    <row r="651" spans="1:11" x14ac:dyDescent="0.25">
      <c r="A651" t="s">
        <v>344</v>
      </c>
      <c r="B651" t="s">
        <v>345</v>
      </c>
      <c r="C651" t="s">
        <v>540</v>
      </c>
      <c r="D651" t="s">
        <v>603</v>
      </c>
      <c r="E651">
        <v>0</v>
      </c>
      <c r="F651" t="s">
        <v>604</v>
      </c>
      <c r="G651">
        <v>0</v>
      </c>
      <c r="H651">
        <v>0</v>
      </c>
      <c r="I651">
        <v>0</v>
      </c>
      <c r="J651">
        <v>335045.59999999998</v>
      </c>
      <c r="K651">
        <v>335045.59999999998</v>
      </c>
    </row>
    <row r="652" spans="1:11" x14ac:dyDescent="0.25">
      <c r="A652" t="s">
        <v>346</v>
      </c>
      <c r="B652" t="s">
        <v>347</v>
      </c>
      <c r="C652" t="s">
        <v>540</v>
      </c>
      <c r="D652" t="s">
        <v>603</v>
      </c>
      <c r="E652">
        <v>0</v>
      </c>
      <c r="F652" t="s">
        <v>604</v>
      </c>
      <c r="G652">
        <v>0</v>
      </c>
      <c r="H652">
        <v>0</v>
      </c>
      <c r="I652">
        <v>0</v>
      </c>
      <c r="J652">
        <v>1782642.4</v>
      </c>
      <c r="K652">
        <v>1782642.4</v>
      </c>
    </row>
    <row r="653" spans="1:11" x14ac:dyDescent="0.25">
      <c r="A653" t="s">
        <v>1078</v>
      </c>
      <c r="B653" t="s">
        <v>960</v>
      </c>
      <c r="C653" t="s">
        <v>540</v>
      </c>
      <c r="D653" t="s">
        <v>631</v>
      </c>
      <c r="E653">
        <v>0</v>
      </c>
      <c r="F653" t="s">
        <v>632</v>
      </c>
      <c r="G653">
        <v>17398550</v>
      </c>
      <c r="H653">
        <v>0</v>
      </c>
      <c r="I653">
        <v>0</v>
      </c>
      <c r="J653">
        <v>0</v>
      </c>
      <c r="K653">
        <v>17398550</v>
      </c>
    </row>
    <row r="654" spans="1:11" x14ac:dyDescent="0.25">
      <c r="A654" t="s">
        <v>348</v>
      </c>
      <c r="B654" t="s">
        <v>349</v>
      </c>
      <c r="C654" t="s">
        <v>540</v>
      </c>
      <c r="D654" t="s">
        <v>665</v>
      </c>
      <c r="E654">
        <v>0</v>
      </c>
      <c r="F654" t="s">
        <v>666</v>
      </c>
      <c r="G654">
        <v>3400000</v>
      </c>
      <c r="H654">
        <v>0</v>
      </c>
      <c r="I654">
        <v>0</v>
      </c>
      <c r="J654">
        <v>0</v>
      </c>
      <c r="K654">
        <v>3400000</v>
      </c>
    </row>
    <row r="655" spans="1:11" x14ac:dyDescent="0.25">
      <c r="A655" t="s">
        <v>350</v>
      </c>
      <c r="B655" t="s">
        <v>351</v>
      </c>
      <c r="C655" t="s">
        <v>540</v>
      </c>
      <c r="D655" t="s">
        <v>551</v>
      </c>
      <c r="E655">
        <v>1921676</v>
      </c>
      <c r="F655" t="s">
        <v>552</v>
      </c>
      <c r="G655">
        <v>0</v>
      </c>
      <c r="H655">
        <v>0</v>
      </c>
      <c r="I655">
        <v>0</v>
      </c>
      <c r="J655">
        <v>0</v>
      </c>
      <c r="K655">
        <v>1921676</v>
      </c>
    </row>
    <row r="656" spans="1:11" x14ac:dyDescent="0.25">
      <c r="A656" t="s">
        <v>1079</v>
      </c>
      <c r="B656" t="s">
        <v>961</v>
      </c>
      <c r="C656" t="s">
        <v>540</v>
      </c>
      <c r="D656" t="s">
        <v>553</v>
      </c>
      <c r="E656">
        <v>1100089.05</v>
      </c>
      <c r="F656" t="s">
        <v>554</v>
      </c>
      <c r="G656">
        <v>2696284.26</v>
      </c>
      <c r="H656">
        <v>0</v>
      </c>
      <c r="I656">
        <v>0</v>
      </c>
      <c r="J656">
        <v>0</v>
      </c>
      <c r="K656">
        <v>3796373.31</v>
      </c>
    </row>
    <row r="657" spans="1:11" x14ac:dyDescent="0.25">
      <c r="A657" t="s">
        <v>756</v>
      </c>
      <c r="B657" t="s">
        <v>757</v>
      </c>
      <c r="C657" t="s">
        <v>540</v>
      </c>
      <c r="D657" t="s">
        <v>758</v>
      </c>
      <c r="E657">
        <v>372888.61</v>
      </c>
      <c r="F657" t="s">
        <v>759</v>
      </c>
      <c r="G657">
        <v>677994.65</v>
      </c>
      <c r="H657">
        <v>0</v>
      </c>
      <c r="I657">
        <v>0</v>
      </c>
      <c r="J657">
        <v>0</v>
      </c>
      <c r="K657">
        <v>1050883.26</v>
      </c>
    </row>
    <row r="658" spans="1:11" x14ac:dyDescent="0.25">
      <c r="A658" t="s">
        <v>816</v>
      </c>
      <c r="B658" t="s">
        <v>817</v>
      </c>
      <c r="C658" t="s">
        <v>540</v>
      </c>
      <c r="D658" t="s">
        <v>559</v>
      </c>
      <c r="E658">
        <v>458474.11</v>
      </c>
      <c r="F658" t="s">
        <v>560</v>
      </c>
      <c r="G658">
        <v>0</v>
      </c>
      <c r="H658">
        <v>0</v>
      </c>
      <c r="I658">
        <v>0</v>
      </c>
      <c r="J658">
        <v>0</v>
      </c>
      <c r="K658">
        <v>458474.11</v>
      </c>
    </row>
    <row r="659" spans="1:11" x14ac:dyDescent="0.25">
      <c r="A659" t="s">
        <v>1080</v>
      </c>
      <c r="B659" t="s">
        <v>1081</v>
      </c>
      <c r="C659" t="s">
        <v>540</v>
      </c>
      <c r="D659" t="s">
        <v>631</v>
      </c>
      <c r="E659">
        <v>859100</v>
      </c>
      <c r="F659" t="s">
        <v>632</v>
      </c>
      <c r="G659">
        <v>0</v>
      </c>
      <c r="H659">
        <v>0</v>
      </c>
      <c r="I659">
        <v>0</v>
      </c>
      <c r="J659">
        <v>0</v>
      </c>
      <c r="K659">
        <v>859100</v>
      </c>
    </row>
    <row r="660" spans="1:11" x14ac:dyDescent="0.25">
      <c r="A660" t="s">
        <v>1082</v>
      </c>
      <c r="B660" t="s">
        <v>962</v>
      </c>
      <c r="C660" t="s">
        <v>540</v>
      </c>
      <c r="D660" t="s">
        <v>1083</v>
      </c>
      <c r="E660">
        <v>0</v>
      </c>
      <c r="F660" t="s">
        <v>1084</v>
      </c>
      <c r="G660">
        <v>3180000</v>
      </c>
      <c r="H660">
        <v>0</v>
      </c>
      <c r="I660">
        <v>0</v>
      </c>
      <c r="J660">
        <v>0</v>
      </c>
      <c r="K660">
        <v>3180000</v>
      </c>
    </row>
    <row r="661" spans="1:11" x14ac:dyDescent="0.25">
      <c r="A661" t="s">
        <v>760</v>
      </c>
      <c r="B661" t="s">
        <v>761</v>
      </c>
      <c r="C661" t="s">
        <v>540</v>
      </c>
      <c r="D661" t="s">
        <v>563</v>
      </c>
      <c r="E661">
        <v>1876212.69</v>
      </c>
      <c r="F661" t="s">
        <v>564</v>
      </c>
      <c r="G661">
        <v>0</v>
      </c>
      <c r="H661">
        <v>0</v>
      </c>
      <c r="I661">
        <v>0</v>
      </c>
      <c r="J661">
        <v>0</v>
      </c>
      <c r="K661">
        <v>1876212.69</v>
      </c>
    </row>
    <row r="662" spans="1:11" x14ac:dyDescent="0.25">
      <c r="A662" t="s">
        <v>1085</v>
      </c>
      <c r="B662" t="s">
        <v>963</v>
      </c>
      <c r="C662" t="s">
        <v>540</v>
      </c>
      <c r="D662" t="s">
        <v>563</v>
      </c>
      <c r="E662">
        <v>0</v>
      </c>
      <c r="F662" t="s">
        <v>564</v>
      </c>
      <c r="G662">
        <v>22506000</v>
      </c>
      <c r="H662">
        <v>0</v>
      </c>
      <c r="I662">
        <v>0</v>
      </c>
      <c r="J662">
        <v>0</v>
      </c>
      <c r="K662">
        <v>22506000</v>
      </c>
    </row>
    <row r="663" spans="1:11" x14ac:dyDescent="0.25">
      <c r="A663" t="s">
        <v>1086</v>
      </c>
      <c r="B663" t="s">
        <v>1087</v>
      </c>
      <c r="C663" t="s">
        <v>540</v>
      </c>
      <c r="D663" t="s">
        <v>1000</v>
      </c>
      <c r="E663">
        <v>87120</v>
      </c>
      <c r="F663" t="s">
        <v>1001</v>
      </c>
      <c r="G663">
        <v>0</v>
      </c>
      <c r="H663">
        <v>0</v>
      </c>
      <c r="I663">
        <v>0</v>
      </c>
      <c r="J663">
        <v>0</v>
      </c>
      <c r="K663">
        <v>87120</v>
      </c>
    </row>
    <row r="664" spans="1:11" x14ac:dyDescent="0.25">
      <c r="A664" t="s">
        <v>352</v>
      </c>
      <c r="B664" t="s">
        <v>353</v>
      </c>
      <c r="C664" t="s">
        <v>540</v>
      </c>
      <c r="D664" t="s">
        <v>633</v>
      </c>
      <c r="E664">
        <v>2893800</v>
      </c>
      <c r="F664" t="s">
        <v>634</v>
      </c>
      <c r="G664">
        <v>3617200</v>
      </c>
      <c r="H664">
        <v>0</v>
      </c>
      <c r="I664">
        <v>0</v>
      </c>
      <c r="J664">
        <v>0</v>
      </c>
      <c r="K664">
        <v>6511000</v>
      </c>
    </row>
    <row r="665" spans="1:11" x14ac:dyDescent="0.25">
      <c r="A665" t="s">
        <v>818</v>
      </c>
      <c r="B665" t="s">
        <v>819</v>
      </c>
      <c r="C665" t="s">
        <v>540</v>
      </c>
      <c r="D665" t="s">
        <v>565</v>
      </c>
      <c r="E665">
        <v>0</v>
      </c>
      <c r="F665" t="s">
        <v>566</v>
      </c>
      <c r="G665">
        <v>42840</v>
      </c>
      <c r="H665">
        <v>0</v>
      </c>
      <c r="I665">
        <v>0</v>
      </c>
      <c r="J665">
        <v>0</v>
      </c>
      <c r="K665">
        <v>42840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553</v>
      </c>
      <c r="E666">
        <v>374765.85</v>
      </c>
      <c r="F666" t="s">
        <v>554</v>
      </c>
      <c r="G666">
        <v>0</v>
      </c>
      <c r="H666">
        <v>0</v>
      </c>
      <c r="I666">
        <v>0</v>
      </c>
      <c r="J666">
        <v>0</v>
      </c>
      <c r="K666">
        <v>374765.85</v>
      </c>
    </row>
    <row r="667" spans="1:11" x14ac:dyDescent="0.25">
      <c r="A667" t="s">
        <v>354</v>
      </c>
      <c r="B667" t="s">
        <v>355</v>
      </c>
      <c r="C667" t="s">
        <v>540</v>
      </c>
      <c r="D667" t="s">
        <v>635</v>
      </c>
      <c r="E667">
        <v>943497.5</v>
      </c>
      <c r="F667" t="s">
        <v>636</v>
      </c>
      <c r="G667">
        <v>4528301.76</v>
      </c>
      <c r="H667">
        <v>0</v>
      </c>
      <c r="I667">
        <v>0</v>
      </c>
      <c r="J667">
        <v>0</v>
      </c>
      <c r="K667">
        <v>5471799.2599999998</v>
      </c>
    </row>
    <row r="668" spans="1:11" x14ac:dyDescent="0.25">
      <c r="A668" t="s">
        <v>356</v>
      </c>
      <c r="B668" t="s">
        <v>357</v>
      </c>
      <c r="C668" t="s">
        <v>540</v>
      </c>
      <c r="D668" t="s">
        <v>667</v>
      </c>
      <c r="E668">
        <v>1929279.66</v>
      </c>
      <c r="F668" t="s">
        <v>668</v>
      </c>
      <c r="G668">
        <v>15428204.699999999</v>
      </c>
      <c r="H668">
        <v>3317700.94</v>
      </c>
      <c r="I668">
        <v>0</v>
      </c>
      <c r="J668">
        <v>0</v>
      </c>
      <c r="K668">
        <v>20675185.300000001</v>
      </c>
    </row>
    <row r="669" spans="1:11" x14ac:dyDescent="0.25">
      <c r="A669" t="s">
        <v>358</v>
      </c>
      <c r="B669" t="s">
        <v>359</v>
      </c>
      <c r="C669" t="s">
        <v>540</v>
      </c>
      <c r="D669" t="s">
        <v>565</v>
      </c>
      <c r="E669">
        <v>213828.02</v>
      </c>
      <c r="F669" t="s">
        <v>566</v>
      </c>
      <c r="G669">
        <v>8585960.0899999999</v>
      </c>
      <c r="H669">
        <v>0</v>
      </c>
      <c r="I669">
        <v>0</v>
      </c>
      <c r="J669">
        <v>0</v>
      </c>
      <c r="K669">
        <v>8799788.1099999994</v>
      </c>
    </row>
    <row r="670" spans="1:11" x14ac:dyDescent="0.25">
      <c r="A670" t="s">
        <v>1172</v>
      </c>
      <c r="B670" t="s">
        <v>1173</v>
      </c>
      <c r="C670" t="s">
        <v>540</v>
      </c>
      <c r="D670" t="s">
        <v>601</v>
      </c>
      <c r="E670">
        <v>79550</v>
      </c>
      <c r="F670" t="s">
        <v>602</v>
      </c>
      <c r="G670">
        <v>0</v>
      </c>
      <c r="H670">
        <v>0</v>
      </c>
      <c r="I670">
        <v>0</v>
      </c>
      <c r="J670">
        <v>0</v>
      </c>
      <c r="K670">
        <v>79550</v>
      </c>
    </row>
    <row r="671" spans="1:11" x14ac:dyDescent="0.25">
      <c r="A671" t="s">
        <v>1090</v>
      </c>
      <c r="B671" t="s">
        <v>964</v>
      </c>
      <c r="C671" t="s">
        <v>540</v>
      </c>
      <c r="D671" t="s">
        <v>710</v>
      </c>
      <c r="E671">
        <v>1400000</v>
      </c>
      <c r="F671" t="s">
        <v>711</v>
      </c>
      <c r="G671">
        <v>0</v>
      </c>
      <c r="H671">
        <v>0</v>
      </c>
      <c r="I671">
        <v>0</v>
      </c>
      <c r="J671">
        <v>0</v>
      </c>
      <c r="K671">
        <v>1400000</v>
      </c>
    </row>
    <row r="672" spans="1:11" x14ac:dyDescent="0.25">
      <c r="A672" t="s">
        <v>1091</v>
      </c>
      <c r="B672" t="s">
        <v>965</v>
      </c>
      <c r="C672" t="s">
        <v>540</v>
      </c>
      <c r="D672" t="s">
        <v>1092</v>
      </c>
      <c r="E672">
        <v>0</v>
      </c>
      <c r="F672" t="s">
        <v>1093</v>
      </c>
      <c r="G672">
        <v>216400</v>
      </c>
      <c r="H672">
        <v>0</v>
      </c>
      <c r="I672">
        <v>0</v>
      </c>
      <c r="J672">
        <v>0</v>
      </c>
      <c r="K672">
        <v>216400</v>
      </c>
    </row>
    <row r="673" spans="1:11" x14ac:dyDescent="0.25">
      <c r="A673" t="s">
        <v>360</v>
      </c>
      <c r="B673" t="s">
        <v>361</v>
      </c>
      <c r="C673" t="s">
        <v>540</v>
      </c>
      <c r="D673" t="s">
        <v>543</v>
      </c>
      <c r="E673">
        <v>0</v>
      </c>
      <c r="F673" t="s">
        <v>544</v>
      </c>
      <c r="G673">
        <v>12259373.41</v>
      </c>
      <c r="H673">
        <v>11818295.220000001</v>
      </c>
      <c r="I673">
        <v>0</v>
      </c>
      <c r="J673">
        <v>0</v>
      </c>
      <c r="K673">
        <v>24077668.629999999</v>
      </c>
    </row>
    <row r="674" spans="1:11" x14ac:dyDescent="0.25">
      <c r="A674" t="s">
        <v>362</v>
      </c>
      <c r="B674" t="s">
        <v>363</v>
      </c>
      <c r="C674" t="s">
        <v>540</v>
      </c>
      <c r="D674" t="s">
        <v>669</v>
      </c>
      <c r="E674">
        <v>0</v>
      </c>
      <c r="F674" t="s">
        <v>670</v>
      </c>
      <c r="G674">
        <v>21742490.010000002</v>
      </c>
      <c r="H674">
        <v>62338222.939999998</v>
      </c>
      <c r="I674">
        <v>86473983.659999996</v>
      </c>
      <c r="J674">
        <v>0</v>
      </c>
      <c r="K674">
        <v>170554696.61000001</v>
      </c>
    </row>
    <row r="675" spans="1:11" x14ac:dyDescent="0.25">
      <c r="A675" t="s">
        <v>364</v>
      </c>
      <c r="B675" t="s">
        <v>365</v>
      </c>
      <c r="C675" t="s">
        <v>540</v>
      </c>
      <c r="D675" t="s">
        <v>553</v>
      </c>
      <c r="E675">
        <v>191595.83</v>
      </c>
      <c r="F675" t="s">
        <v>554</v>
      </c>
      <c r="G675">
        <v>469718.81</v>
      </c>
      <c r="H675">
        <v>0</v>
      </c>
      <c r="I675">
        <v>0</v>
      </c>
      <c r="J675">
        <v>0</v>
      </c>
      <c r="K675">
        <v>661314.64</v>
      </c>
    </row>
    <row r="676" spans="1:11" x14ac:dyDescent="0.25">
      <c r="A676" t="s">
        <v>1094</v>
      </c>
      <c r="B676" t="s">
        <v>966</v>
      </c>
      <c r="C676" t="s">
        <v>540</v>
      </c>
      <c r="D676" t="s">
        <v>559</v>
      </c>
      <c r="E676">
        <v>2116290</v>
      </c>
      <c r="F676" t="s">
        <v>560</v>
      </c>
      <c r="G676">
        <v>0</v>
      </c>
      <c r="H676">
        <v>0</v>
      </c>
      <c r="I676">
        <v>0</v>
      </c>
      <c r="J676">
        <v>0</v>
      </c>
      <c r="K676">
        <v>2116290</v>
      </c>
    </row>
    <row r="677" spans="1:11" x14ac:dyDescent="0.25">
      <c r="A677" t="s">
        <v>366</v>
      </c>
      <c r="B677" t="s">
        <v>367</v>
      </c>
      <c r="C677" t="s">
        <v>540</v>
      </c>
      <c r="D677" t="s">
        <v>621</v>
      </c>
      <c r="E677">
        <v>0</v>
      </c>
      <c r="F677" t="s">
        <v>622</v>
      </c>
      <c r="G677">
        <v>0</v>
      </c>
      <c r="H677">
        <v>65690391</v>
      </c>
      <c r="I677">
        <v>0</v>
      </c>
      <c r="J677">
        <v>0</v>
      </c>
      <c r="K677">
        <v>65690391</v>
      </c>
    </row>
    <row r="678" spans="1:11" x14ac:dyDescent="0.25">
      <c r="A678" t="s">
        <v>762</v>
      </c>
      <c r="B678" t="s">
        <v>763</v>
      </c>
      <c r="C678" t="s">
        <v>540</v>
      </c>
      <c r="D678" t="s">
        <v>601</v>
      </c>
      <c r="E678">
        <v>0</v>
      </c>
      <c r="F678" t="s">
        <v>602</v>
      </c>
      <c r="G678">
        <v>0</v>
      </c>
      <c r="H678">
        <v>30696237</v>
      </c>
      <c r="I678">
        <v>0</v>
      </c>
      <c r="J678">
        <v>0</v>
      </c>
      <c r="K678">
        <v>30696237</v>
      </c>
    </row>
    <row r="679" spans="1:11" x14ac:dyDescent="0.25">
      <c r="A679" t="s">
        <v>764</v>
      </c>
      <c r="B679" t="s">
        <v>765</v>
      </c>
      <c r="C679" t="s">
        <v>540</v>
      </c>
      <c r="D679" t="s">
        <v>710</v>
      </c>
      <c r="E679">
        <v>1182500</v>
      </c>
      <c r="F679" t="s">
        <v>711</v>
      </c>
      <c r="G679">
        <v>0</v>
      </c>
      <c r="H679">
        <v>0</v>
      </c>
      <c r="I679">
        <v>0</v>
      </c>
      <c r="J679">
        <v>0</v>
      </c>
      <c r="K679">
        <v>1182500</v>
      </c>
    </row>
    <row r="680" spans="1:11" x14ac:dyDescent="0.25">
      <c r="A680" t="s">
        <v>820</v>
      </c>
      <c r="B680" t="s">
        <v>821</v>
      </c>
      <c r="C680" t="s">
        <v>540</v>
      </c>
      <c r="D680" t="s">
        <v>593</v>
      </c>
      <c r="E680">
        <v>0</v>
      </c>
      <c r="F680" t="s">
        <v>594</v>
      </c>
      <c r="G680">
        <v>2039334</v>
      </c>
      <c r="H680">
        <v>1445829</v>
      </c>
      <c r="I680">
        <v>0</v>
      </c>
      <c r="J680">
        <v>0</v>
      </c>
      <c r="K680">
        <v>3485163</v>
      </c>
    </row>
    <row r="681" spans="1:11" x14ac:dyDescent="0.25">
      <c r="A681" t="s">
        <v>505</v>
      </c>
      <c r="B681" t="s">
        <v>506</v>
      </c>
      <c r="C681" t="s">
        <v>540</v>
      </c>
      <c r="D681" t="s">
        <v>671</v>
      </c>
      <c r="E681">
        <v>1942195.2</v>
      </c>
      <c r="F681" t="s">
        <v>672</v>
      </c>
      <c r="G681">
        <v>0</v>
      </c>
      <c r="H681">
        <v>0</v>
      </c>
      <c r="I681">
        <v>0</v>
      </c>
      <c r="J681">
        <v>0</v>
      </c>
      <c r="K681">
        <v>1942195.2</v>
      </c>
    </row>
    <row r="682" spans="1:11" x14ac:dyDescent="0.25">
      <c r="A682" t="s">
        <v>891</v>
      </c>
      <c r="B682" t="s">
        <v>892</v>
      </c>
      <c r="C682" t="s">
        <v>540</v>
      </c>
      <c r="D682" t="s">
        <v>615</v>
      </c>
      <c r="E682">
        <v>8711011.5999999996</v>
      </c>
      <c r="F682" t="s">
        <v>616</v>
      </c>
      <c r="G682">
        <v>93484438.980000004</v>
      </c>
      <c r="H682">
        <v>0</v>
      </c>
      <c r="I682">
        <v>0</v>
      </c>
      <c r="J682">
        <v>0</v>
      </c>
      <c r="K682">
        <v>102195450.58</v>
      </c>
    </row>
    <row r="683" spans="1:11" x14ac:dyDescent="0.25">
      <c r="A683" t="s">
        <v>372</v>
      </c>
      <c r="B683" t="s">
        <v>373</v>
      </c>
      <c r="C683" t="s">
        <v>540</v>
      </c>
      <c r="D683" t="s">
        <v>589</v>
      </c>
      <c r="E683">
        <v>0</v>
      </c>
      <c r="F683" t="s">
        <v>590</v>
      </c>
      <c r="G683">
        <v>7178478.25</v>
      </c>
      <c r="H683">
        <v>90508440.25</v>
      </c>
      <c r="I683">
        <v>0</v>
      </c>
      <c r="J683">
        <v>0</v>
      </c>
      <c r="K683">
        <v>97686918.5</v>
      </c>
    </row>
    <row r="684" spans="1:11" x14ac:dyDescent="0.25">
      <c r="A684" t="s">
        <v>376</v>
      </c>
      <c r="B684" t="s">
        <v>377</v>
      </c>
      <c r="C684" t="s">
        <v>540</v>
      </c>
      <c r="D684" t="s">
        <v>575</v>
      </c>
      <c r="E684">
        <v>3512000</v>
      </c>
      <c r="F684" t="s">
        <v>576</v>
      </c>
      <c r="G684">
        <v>1638000</v>
      </c>
      <c r="H684">
        <v>0</v>
      </c>
      <c r="I684">
        <v>0</v>
      </c>
      <c r="J684">
        <v>0</v>
      </c>
      <c r="K684">
        <v>5150000</v>
      </c>
    </row>
    <row r="685" spans="1:11" x14ac:dyDescent="0.25">
      <c r="A685" t="s">
        <v>378</v>
      </c>
      <c r="B685" t="s">
        <v>379</v>
      </c>
      <c r="C685" t="s">
        <v>540</v>
      </c>
      <c r="D685" t="s">
        <v>563</v>
      </c>
      <c r="E685">
        <v>0</v>
      </c>
      <c r="F685" t="s">
        <v>564</v>
      </c>
      <c r="G685">
        <v>0</v>
      </c>
      <c r="H685">
        <v>0</v>
      </c>
      <c r="I685">
        <v>0</v>
      </c>
      <c r="J685">
        <v>58760</v>
      </c>
      <c r="K685">
        <v>58760</v>
      </c>
    </row>
    <row r="686" spans="1:11" x14ac:dyDescent="0.25">
      <c r="A686" t="s">
        <v>380</v>
      </c>
      <c r="B686" t="s">
        <v>381</v>
      </c>
      <c r="C686" t="s">
        <v>540</v>
      </c>
      <c r="D686" t="s">
        <v>617</v>
      </c>
      <c r="E686">
        <v>0</v>
      </c>
      <c r="F686" t="s">
        <v>618</v>
      </c>
      <c r="G686">
        <v>0</v>
      </c>
      <c r="H686">
        <v>0</v>
      </c>
      <c r="I686">
        <v>0</v>
      </c>
      <c r="J686">
        <v>0.01</v>
      </c>
      <c r="K686">
        <v>0.01</v>
      </c>
    </row>
    <row r="687" spans="1:11" x14ac:dyDescent="0.25">
      <c r="A687" t="s">
        <v>507</v>
      </c>
      <c r="B687" t="s">
        <v>508</v>
      </c>
      <c r="C687" t="s">
        <v>540</v>
      </c>
      <c r="D687" t="s">
        <v>551</v>
      </c>
      <c r="E687">
        <v>125681.23</v>
      </c>
      <c r="F687" t="s">
        <v>552</v>
      </c>
      <c r="G687">
        <v>6334685.4299999997</v>
      </c>
      <c r="H687">
        <v>0</v>
      </c>
      <c r="I687">
        <v>0</v>
      </c>
      <c r="J687">
        <v>0</v>
      </c>
      <c r="K687">
        <v>6460366.6600000001</v>
      </c>
    </row>
    <row r="688" spans="1:11" x14ac:dyDescent="0.25">
      <c r="A688" t="s">
        <v>1174</v>
      </c>
      <c r="B688" t="s">
        <v>1175</v>
      </c>
      <c r="C688" t="s">
        <v>540</v>
      </c>
      <c r="D688" t="s">
        <v>545</v>
      </c>
      <c r="E688">
        <v>393216.12</v>
      </c>
      <c r="F688" t="s">
        <v>546</v>
      </c>
      <c r="G688">
        <v>0</v>
      </c>
      <c r="H688">
        <v>0</v>
      </c>
      <c r="I688">
        <v>0</v>
      </c>
      <c r="J688">
        <v>0</v>
      </c>
      <c r="K688">
        <v>393216.12</v>
      </c>
    </row>
    <row r="689" spans="1:11" x14ac:dyDescent="0.25">
      <c r="A689" t="s">
        <v>382</v>
      </c>
      <c r="B689" t="s">
        <v>383</v>
      </c>
      <c r="C689" t="s">
        <v>540</v>
      </c>
      <c r="D689" t="s">
        <v>577</v>
      </c>
      <c r="E689">
        <v>0</v>
      </c>
      <c r="F689" t="s">
        <v>578</v>
      </c>
      <c r="G689">
        <v>24741167.370000001</v>
      </c>
      <c r="H689">
        <v>0</v>
      </c>
      <c r="I689">
        <v>0</v>
      </c>
      <c r="J689">
        <v>0</v>
      </c>
      <c r="K689">
        <v>24741167.370000001</v>
      </c>
    </row>
    <row r="690" spans="1:11" x14ac:dyDescent="0.25">
      <c r="A690" t="s">
        <v>1095</v>
      </c>
      <c r="B690" t="s">
        <v>967</v>
      </c>
      <c r="C690" t="s">
        <v>540</v>
      </c>
      <c r="D690" t="s">
        <v>653</v>
      </c>
      <c r="E690">
        <v>0</v>
      </c>
      <c r="F690" t="s">
        <v>654</v>
      </c>
      <c r="G690">
        <v>833250.81</v>
      </c>
      <c r="H690">
        <v>0</v>
      </c>
      <c r="I690">
        <v>0</v>
      </c>
      <c r="J690">
        <v>0</v>
      </c>
      <c r="K690">
        <v>833250.81</v>
      </c>
    </row>
    <row r="691" spans="1:11" x14ac:dyDescent="0.25">
      <c r="A691" t="s">
        <v>384</v>
      </c>
      <c r="B691" t="s">
        <v>385</v>
      </c>
      <c r="C691" t="s">
        <v>540</v>
      </c>
      <c r="D691" t="s">
        <v>673</v>
      </c>
      <c r="E691">
        <v>62551882.549999997</v>
      </c>
      <c r="F691" t="s">
        <v>674</v>
      </c>
      <c r="G691">
        <v>64095387.43</v>
      </c>
      <c r="H691">
        <v>0</v>
      </c>
      <c r="I691">
        <v>0</v>
      </c>
      <c r="J691">
        <v>0</v>
      </c>
      <c r="K691">
        <v>126647269.98</v>
      </c>
    </row>
    <row r="692" spans="1:11" x14ac:dyDescent="0.25">
      <c r="A692" t="s">
        <v>1096</v>
      </c>
      <c r="B692" t="s">
        <v>968</v>
      </c>
      <c r="C692" t="s">
        <v>540</v>
      </c>
      <c r="D692" t="s">
        <v>607</v>
      </c>
      <c r="E692">
        <v>6897577.5999999996</v>
      </c>
      <c r="F692" t="s">
        <v>608</v>
      </c>
      <c r="G692">
        <v>12374777.550000001</v>
      </c>
      <c r="H692">
        <v>0</v>
      </c>
      <c r="I692">
        <v>0</v>
      </c>
      <c r="J692">
        <v>0</v>
      </c>
      <c r="K692">
        <v>19272355.149999999</v>
      </c>
    </row>
    <row r="693" spans="1:11" x14ac:dyDescent="0.25">
      <c r="A693" t="s">
        <v>766</v>
      </c>
      <c r="B693" t="s">
        <v>767</v>
      </c>
      <c r="C693" t="s">
        <v>540</v>
      </c>
      <c r="D693" t="s">
        <v>545</v>
      </c>
      <c r="E693">
        <v>0</v>
      </c>
      <c r="F693" t="s">
        <v>546</v>
      </c>
      <c r="G693">
        <v>460000.26</v>
      </c>
      <c r="H693">
        <v>0</v>
      </c>
      <c r="I693">
        <v>0</v>
      </c>
      <c r="J693">
        <v>0</v>
      </c>
      <c r="K693">
        <v>460000.26</v>
      </c>
    </row>
    <row r="694" spans="1:11" x14ac:dyDescent="0.25">
      <c r="A694" t="s">
        <v>386</v>
      </c>
      <c r="B694" t="s">
        <v>387</v>
      </c>
      <c r="C694" t="s">
        <v>540</v>
      </c>
      <c r="D694" t="s">
        <v>659</v>
      </c>
      <c r="E694">
        <v>0</v>
      </c>
      <c r="F694" t="s">
        <v>660</v>
      </c>
      <c r="G694">
        <v>49816.31</v>
      </c>
      <c r="H694">
        <v>2443761.5</v>
      </c>
      <c r="I694">
        <v>0</v>
      </c>
      <c r="J694">
        <v>0</v>
      </c>
      <c r="K694">
        <v>2493577.81</v>
      </c>
    </row>
    <row r="695" spans="1:11" x14ac:dyDescent="0.25">
      <c r="A695" t="s">
        <v>1176</v>
      </c>
      <c r="B695" t="s">
        <v>1177</v>
      </c>
      <c r="C695" t="s">
        <v>540</v>
      </c>
      <c r="D695" t="s">
        <v>559</v>
      </c>
      <c r="E695">
        <v>4232504.9800000004</v>
      </c>
      <c r="F695" t="s">
        <v>560</v>
      </c>
      <c r="G695">
        <v>0</v>
      </c>
      <c r="H695">
        <v>0</v>
      </c>
      <c r="I695">
        <v>0</v>
      </c>
      <c r="J695">
        <v>0</v>
      </c>
      <c r="K695">
        <v>4232504.9800000004</v>
      </c>
    </row>
    <row r="696" spans="1:11" x14ac:dyDescent="0.25">
      <c r="A696" t="s">
        <v>388</v>
      </c>
      <c r="B696" t="s">
        <v>389</v>
      </c>
      <c r="C696" t="s">
        <v>540</v>
      </c>
      <c r="D696" t="s">
        <v>603</v>
      </c>
      <c r="E696">
        <v>0</v>
      </c>
      <c r="F696" t="s">
        <v>604</v>
      </c>
      <c r="G696">
        <v>0</v>
      </c>
      <c r="H696">
        <v>0</v>
      </c>
      <c r="I696">
        <v>0</v>
      </c>
      <c r="J696">
        <v>13351649.470000001</v>
      </c>
      <c r="K696">
        <v>13351649.470000001</v>
      </c>
    </row>
    <row r="697" spans="1:11" x14ac:dyDescent="0.25">
      <c r="A697" t="s">
        <v>1097</v>
      </c>
      <c r="B697" t="s">
        <v>969</v>
      </c>
      <c r="C697" t="s">
        <v>540</v>
      </c>
      <c r="D697" t="s">
        <v>1098</v>
      </c>
      <c r="E697">
        <v>0</v>
      </c>
      <c r="F697" t="s">
        <v>1099</v>
      </c>
      <c r="G697">
        <v>2672760.4</v>
      </c>
      <c r="H697">
        <v>0</v>
      </c>
      <c r="I697">
        <v>0</v>
      </c>
      <c r="J697">
        <v>0</v>
      </c>
      <c r="K697">
        <v>2672760.4</v>
      </c>
    </row>
    <row r="698" spans="1:11" x14ac:dyDescent="0.25">
      <c r="A698" t="s">
        <v>1100</v>
      </c>
      <c r="B698" t="s">
        <v>1101</v>
      </c>
      <c r="C698" t="s">
        <v>540</v>
      </c>
      <c r="D698" t="s">
        <v>565</v>
      </c>
      <c r="E698">
        <v>0</v>
      </c>
      <c r="F698" t="s">
        <v>566</v>
      </c>
      <c r="G698">
        <v>2551641.2999999998</v>
      </c>
      <c r="H698">
        <v>0</v>
      </c>
      <c r="I698">
        <v>0</v>
      </c>
      <c r="J698">
        <v>0</v>
      </c>
      <c r="K698">
        <v>2551641.2999999998</v>
      </c>
    </row>
    <row r="699" spans="1:11" x14ac:dyDescent="0.25">
      <c r="A699" t="s">
        <v>1178</v>
      </c>
      <c r="B699" t="s">
        <v>1179</v>
      </c>
      <c r="C699" t="s">
        <v>540</v>
      </c>
      <c r="D699" t="s">
        <v>559</v>
      </c>
      <c r="E699">
        <v>300000</v>
      </c>
      <c r="F699" t="s">
        <v>560</v>
      </c>
      <c r="G699">
        <v>0</v>
      </c>
      <c r="H699">
        <v>0</v>
      </c>
      <c r="I699">
        <v>0</v>
      </c>
      <c r="J699">
        <v>0</v>
      </c>
      <c r="K699">
        <v>300000</v>
      </c>
    </row>
    <row r="700" spans="1:11" x14ac:dyDescent="0.25">
      <c r="A700" t="s">
        <v>392</v>
      </c>
      <c r="B700" t="s">
        <v>393</v>
      </c>
      <c r="C700" t="s">
        <v>540</v>
      </c>
      <c r="D700" t="s">
        <v>601</v>
      </c>
      <c r="E700">
        <v>25617720.960000001</v>
      </c>
      <c r="F700" t="s">
        <v>602</v>
      </c>
      <c r="G700">
        <v>31951037.129999999</v>
      </c>
      <c r="H700">
        <v>832069.22</v>
      </c>
      <c r="I700">
        <v>0</v>
      </c>
      <c r="J700">
        <v>0</v>
      </c>
      <c r="K700">
        <v>58400827.310000002</v>
      </c>
    </row>
    <row r="701" spans="1:11" x14ac:dyDescent="0.25">
      <c r="A701" t="s">
        <v>1102</v>
      </c>
      <c r="B701" t="s">
        <v>1103</v>
      </c>
      <c r="C701" t="s">
        <v>540</v>
      </c>
      <c r="D701" t="s">
        <v>1104</v>
      </c>
      <c r="E701">
        <v>0</v>
      </c>
      <c r="F701" t="s">
        <v>1105</v>
      </c>
      <c r="G701">
        <v>2905452</v>
      </c>
      <c r="H701">
        <v>0</v>
      </c>
      <c r="I701">
        <v>0</v>
      </c>
      <c r="J701">
        <v>0</v>
      </c>
      <c r="K701">
        <v>2905452</v>
      </c>
    </row>
    <row r="702" spans="1:11" x14ac:dyDescent="0.25">
      <c r="A702" t="s">
        <v>1106</v>
      </c>
      <c r="B702" t="s">
        <v>970</v>
      </c>
      <c r="C702" t="s">
        <v>540</v>
      </c>
      <c r="D702" t="s">
        <v>1107</v>
      </c>
      <c r="E702">
        <v>95662237.640000001</v>
      </c>
      <c r="F702" t="s">
        <v>1108</v>
      </c>
      <c r="G702">
        <v>12351270.9</v>
      </c>
      <c r="H702">
        <v>0</v>
      </c>
      <c r="I702">
        <v>0</v>
      </c>
      <c r="J702">
        <v>0</v>
      </c>
      <c r="K702">
        <v>108013508.54000001</v>
      </c>
    </row>
    <row r="703" spans="1:11" x14ac:dyDescent="0.25">
      <c r="A703" t="s">
        <v>394</v>
      </c>
      <c r="B703" t="s">
        <v>395</v>
      </c>
      <c r="C703" t="s">
        <v>540</v>
      </c>
      <c r="D703" t="s">
        <v>629</v>
      </c>
      <c r="E703">
        <v>2933430.43</v>
      </c>
      <c r="F703" t="s">
        <v>630</v>
      </c>
      <c r="G703">
        <v>9090875.8699999992</v>
      </c>
      <c r="H703">
        <v>11896463.92</v>
      </c>
      <c r="I703">
        <v>0</v>
      </c>
      <c r="J703">
        <v>0</v>
      </c>
      <c r="K703">
        <v>23920770.219999999</v>
      </c>
    </row>
    <row r="704" spans="1:11" x14ac:dyDescent="0.25">
      <c r="A704" t="s">
        <v>895</v>
      </c>
      <c r="B704" t="s">
        <v>896</v>
      </c>
      <c r="C704" t="s">
        <v>540</v>
      </c>
      <c r="D704" t="s">
        <v>559</v>
      </c>
      <c r="E704">
        <v>2178300</v>
      </c>
      <c r="F704" t="s">
        <v>560</v>
      </c>
      <c r="G704">
        <v>0</v>
      </c>
      <c r="H704">
        <v>0</v>
      </c>
      <c r="I704">
        <v>0</v>
      </c>
      <c r="J704">
        <v>0</v>
      </c>
      <c r="K704">
        <v>2178300</v>
      </c>
    </row>
    <row r="705" spans="1:11" x14ac:dyDescent="0.25">
      <c r="A705" t="s">
        <v>396</v>
      </c>
      <c r="B705" t="s">
        <v>397</v>
      </c>
      <c r="C705" t="s">
        <v>540</v>
      </c>
      <c r="D705" t="s">
        <v>677</v>
      </c>
      <c r="E705">
        <v>22287812.690000001</v>
      </c>
      <c r="F705" t="s">
        <v>678</v>
      </c>
      <c r="G705">
        <v>14281023.09</v>
      </c>
      <c r="H705">
        <v>0</v>
      </c>
      <c r="I705">
        <v>0</v>
      </c>
      <c r="J705">
        <v>0.05</v>
      </c>
      <c r="K705">
        <v>36568835.829999998</v>
      </c>
    </row>
    <row r="706" spans="1:11" x14ac:dyDescent="0.25">
      <c r="A706" t="s">
        <v>768</v>
      </c>
      <c r="B706" t="s">
        <v>769</v>
      </c>
      <c r="C706" t="s">
        <v>540</v>
      </c>
      <c r="D706" t="s">
        <v>609</v>
      </c>
      <c r="E706">
        <v>0</v>
      </c>
      <c r="F706" t="s">
        <v>610</v>
      </c>
      <c r="G706">
        <v>396543.96</v>
      </c>
      <c r="H706">
        <v>0</v>
      </c>
      <c r="I706">
        <v>0</v>
      </c>
      <c r="J706">
        <v>0</v>
      </c>
      <c r="K706">
        <v>396543.96</v>
      </c>
    </row>
    <row r="707" spans="1:11" x14ac:dyDescent="0.25">
      <c r="A707" t="s">
        <v>398</v>
      </c>
      <c r="B707" t="s">
        <v>399</v>
      </c>
      <c r="C707" t="s">
        <v>540</v>
      </c>
      <c r="D707" t="s">
        <v>559</v>
      </c>
      <c r="E707">
        <v>0</v>
      </c>
      <c r="F707" t="s">
        <v>560</v>
      </c>
      <c r="G707">
        <v>0</v>
      </c>
      <c r="H707">
        <v>0</v>
      </c>
      <c r="I707">
        <v>0</v>
      </c>
      <c r="J707">
        <v>-2698.26</v>
      </c>
      <c r="K707">
        <v>-2698.26</v>
      </c>
    </row>
    <row r="708" spans="1:11" x14ac:dyDescent="0.25">
      <c r="A708" t="s">
        <v>1109</v>
      </c>
      <c r="B708" t="s">
        <v>971</v>
      </c>
      <c r="C708" t="s">
        <v>540</v>
      </c>
      <c r="D708" t="s">
        <v>603</v>
      </c>
      <c r="E708">
        <v>1346995</v>
      </c>
      <c r="F708" t="s">
        <v>604</v>
      </c>
      <c r="G708">
        <v>0</v>
      </c>
      <c r="H708">
        <v>0</v>
      </c>
      <c r="I708">
        <v>0</v>
      </c>
      <c r="J708">
        <v>0</v>
      </c>
      <c r="K708">
        <v>1346995</v>
      </c>
    </row>
    <row r="709" spans="1:11" x14ac:dyDescent="0.25">
      <c r="A709" t="s">
        <v>770</v>
      </c>
      <c r="B709" t="s">
        <v>771</v>
      </c>
      <c r="C709" t="s">
        <v>540</v>
      </c>
      <c r="D709" t="s">
        <v>772</v>
      </c>
      <c r="E709">
        <v>7197917.8600000003</v>
      </c>
      <c r="F709" t="s">
        <v>773</v>
      </c>
      <c r="G709">
        <v>42743800</v>
      </c>
      <c r="H709">
        <v>0</v>
      </c>
      <c r="I709">
        <v>0</v>
      </c>
      <c r="J709">
        <v>0</v>
      </c>
      <c r="K709">
        <v>49941717.859999999</v>
      </c>
    </row>
    <row r="710" spans="1:11" x14ac:dyDescent="0.25">
      <c r="A710" t="s">
        <v>1110</v>
      </c>
      <c r="B710" t="s">
        <v>972</v>
      </c>
      <c r="C710" t="s">
        <v>540</v>
      </c>
      <c r="D710" t="s">
        <v>563</v>
      </c>
      <c r="E710">
        <v>0</v>
      </c>
      <c r="F710" t="s">
        <v>564</v>
      </c>
      <c r="G710">
        <v>24470437.420000002</v>
      </c>
      <c r="H710">
        <v>0</v>
      </c>
      <c r="I710">
        <v>0</v>
      </c>
      <c r="J710">
        <v>0</v>
      </c>
      <c r="K710">
        <v>24470437.420000002</v>
      </c>
    </row>
    <row r="711" spans="1:11" x14ac:dyDescent="0.25">
      <c r="A711" t="s">
        <v>897</v>
      </c>
      <c r="B711" t="s">
        <v>898</v>
      </c>
      <c r="C711" t="s">
        <v>540</v>
      </c>
      <c r="D711" t="s">
        <v>899</v>
      </c>
      <c r="E711">
        <v>0</v>
      </c>
      <c r="F711" t="s">
        <v>900</v>
      </c>
      <c r="G711">
        <v>16552800</v>
      </c>
      <c r="H711">
        <v>0</v>
      </c>
      <c r="I711">
        <v>0</v>
      </c>
      <c r="J711">
        <v>0</v>
      </c>
      <c r="K711">
        <v>16552800</v>
      </c>
    </row>
    <row r="712" spans="1:11" x14ac:dyDescent="0.25">
      <c r="A712" t="s">
        <v>1111</v>
      </c>
      <c r="B712" t="s">
        <v>973</v>
      </c>
      <c r="C712" t="s">
        <v>540</v>
      </c>
      <c r="D712" t="s">
        <v>577</v>
      </c>
      <c r="E712">
        <v>0</v>
      </c>
      <c r="F712" t="s">
        <v>578</v>
      </c>
      <c r="G712">
        <v>11953535.369999999</v>
      </c>
      <c r="H712">
        <v>0</v>
      </c>
      <c r="I712">
        <v>0</v>
      </c>
      <c r="J712">
        <v>0</v>
      </c>
      <c r="K712">
        <v>11953535.369999999</v>
      </c>
    </row>
    <row r="713" spans="1:11" x14ac:dyDescent="0.25">
      <c r="A713" t="s">
        <v>1180</v>
      </c>
      <c r="B713" t="s">
        <v>1181</v>
      </c>
      <c r="C713" t="s">
        <v>540</v>
      </c>
      <c r="D713" t="s">
        <v>541</v>
      </c>
      <c r="E713">
        <v>679999.99</v>
      </c>
      <c r="F713" t="s">
        <v>542</v>
      </c>
      <c r="G713">
        <v>0</v>
      </c>
      <c r="H713">
        <v>0</v>
      </c>
      <c r="I713">
        <v>0</v>
      </c>
      <c r="J713">
        <v>0</v>
      </c>
      <c r="K713">
        <v>679999.99</v>
      </c>
    </row>
    <row r="714" spans="1:11" x14ac:dyDescent="0.25">
      <c r="A714" t="s">
        <v>824</v>
      </c>
      <c r="B714" t="s">
        <v>825</v>
      </c>
      <c r="C714" t="s">
        <v>540</v>
      </c>
      <c r="D714" t="s">
        <v>563</v>
      </c>
      <c r="E714">
        <v>60970055.700000003</v>
      </c>
      <c r="F714" t="s">
        <v>564</v>
      </c>
      <c r="G714">
        <v>0</v>
      </c>
      <c r="H714">
        <v>0</v>
      </c>
      <c r="I714">
        <v>0</v>
      </c>
      <c r="J714">
        <v>0</v>
      </c>
      <c r="K714">
        <v>60970055.700000003</v>
      </c>
    </row>
    <row r="715" spans="1:11" x14ac:dyDescent="0.25">
      <c r="A715" t="s">
        <v>509</v>
      </c>
      <c r="B715" t="s">
        <v>510</v>
      </c>
      <c r="C715" t="s">
        <v>540</v>
      </c>
      <c r="D715" t="s">
        <v>585</v>
      </c>
      <c r="E715">
        <v>0</v>
      </c>
      <c r="F715" t="s">
        <v>586</v>
      </c>
      <c r="G715">
        <v>4031508.25</v>
      </c>
      <c r="H715">
        <v>0</v>
      </c>
      <c r="I715">
        <v>0</v>
      </c>
      <c r="J715">
        <v>0</v>
      </c>
      <c r="K715">
        <v>4031508.25</v>
      </c>
    </row>
    <row r="716" spans="1:11" x14ac:dyDescent="0.25">
      <c r="A716" t="s">
        <v>774</v>
      </c>
      <c r="B716" t="s">
        <v>775</v>
      </c>
      <c r="C716" t="s">
        <v>540</v>
      </c>
      <c r="D716" t="s">
        <v>776</v>
      </c>
      <c r="E716">
        <v>0</v>
      </c>
      <c r="F716" t="s">
        <v>777</v>
      </c>
      <c r="G716">
        <v>5798992.7699999996</v>
      </c>
      <c r="H716">
        <v>0</v>
      </c>
      <c r="I716">
        <v>0</v>
      </c>
      <c r="J716">
        <v>0</v>
      </c>
      <c r="K716">
        <v>5798992.7699999996</v>
      </c>
    </row>
    <row r="717" spans="1:11" x14ac:dyDescent="0.25">
      <c r="A717" t="s">
        <v>400</v>
      </c>
      <c r="B717" t="s">
        <v>401</v>
      </c>
      <c r="C717" t="s">
        <v>540</v>
      </c>
      <c r="D717" t="s">
        <v>679</v>
      </c>
      <c r="E717">
        <v>1543800</v>
      </c>
      <c r="F717" t="s">
        <v>680</v>
      </c>
      <c r="G717">
        <v>8768703.5</v>
      </c>
      <c r="H717">
        <v>0</v>
      </c>
      <c r="I717">
        <v>0</v>
      </c>
      <c r="J717">
        <v>0</v>
      </c>
      <c r="K717">
        <v>10312503.5</v>
      </c>
    </row>
    <row r="718" spans="1:11" x14ac:dyDescent="0.25">
      <c r="A718" t="s">
        <v>903</v>
      </c>
      <c r="B718" t="s">
        <v>904</v>
      </c>
      <c r="C718" t="s">
        <v>540</v>
      </c>
      <c r="D718" t="s">
        <v>603</v>
      </c>
      <c r="E718">
        <v>221581187.47</v>
      </c>
      <c r="F718" t="s">
        <v>604</v>
      </c>
      <c r="G718">
        <v>147190226.50999999</v>
      </c>
      <c r="H718">
        <v>0</v>
      </c>
      <c r="I718">
        <v>0</v>
      </c>
      <c r="J718">
        <v>0</v>
      </c>
      <c r="K718">
        <v>368771413.98000002</v>
      </c>
    </row>
    <row r="719" spans="1:11" x14ac:dyDescent="0.25">
      <c r="A719" t="s">
        <v>402</v>
      </c>
      <c r="B719" t="s">
        <v>403</v>
      </c>
      <c r="C719" t="s">
        <v>540</v>
      </c>
      <c r="D719" t="s">
        <v>681</v>
      </c>
      <c r="E719">
        <v>-25108504</v>
      </c>
      <c r="F719" t="s">
        <v>682</v>
      </c>
      <c r="G719">
        <v>20998508.91</v>
      </c>
      <c r="H719">
        <v>78483553.620000005</v>
      </c>
      <c r="I719">
        <v>0</v>
      </c>
      <c r="J719">
        <v>0</v>
      </c>
      <c r="K719">
        <v>74373558.530000001</v>
      </c>
    </row>
    <row r="720" spans="1:11" x14ac:dyDescent="0.25">
      <c r="A720" t="s">
        <v>404</v>
      </c>
      <c r="B720" t="s">
        <v>405</v>
      </c>
      <c r="C720" t="s">
        <v>540</v>
      </c>
      <c r="D720" t="s">
        <v>615</v>
      </c>
      <c r="E720">
        <v>1660379.87</v>
      </c>
      <c r="F720" t="s">
        <v>616</v>
      </c>
      <c r="G720">
        <v>1226170.73</v>
      </c>
      <c r="H720">
        <v>0</v>
      </c>
      <c r="I720">
        <v>0</v>
      </c>
      <c r="J720">
        <v>0</v>
      </c>
      <c r="K720">
        <v>2886550.6</v>
      </c>
    </row>
    <row r="721" spans="1:11" x14ac:dyDescent="0.25">
      <c r="A721" t="s">
        <v>1112</v>
      </c>
      <c r="B721" t="s">
        <v>1113</v>
      </c>
      <c r="C721" t="s">
        <v>540</v>
      </c>
      <c r="D721" t="s">
        <v>555</v>
      </c>
      <c r="E721">
        <v>140000</v>
      </c>
      <c r="F721" t="s">
        <v>556</v>
      </c>
      <c r="G721">
        <v>0</v>
      </c>
      <c r="H721">
        <v>0</v>
      </c>
      <c r="I721">
        <v>0</v>
      </c>
      <c r="J721">
        <v>0</v>
      </c>
      <c r="K721">
        <v>140000</v>
      </c>
    </row>
    <row r="722" spans="1:11" x14ac:dyDescent="0.25">
      <c r="A722" t="s">
        <v>1114</v>
      </c>
      <c r="B722" t="s">
        <v>974</v>
      </c>
      <c r="C722" t="s">
        <v>540</v>
      </c>
      <c r="D722" t="s">
        <v>565</v>
      </c>
      <c r="E722">
        <v>45450000</v>
      </c>
      <c r="F722" t="s">
        <v>566</v>
      </c>
      <c r="G722">
        <v>98608500</v>
      </c>
      <c r="H722">
        <v>0</v>
      </c>
      <c r="I722">
        <v>0</v>
      </c>
      <c r="J722">
        <v>0</v>
      </c>
      <c r="K722">
        <v>144058500</v>
      </c>
    </row>
    <row r="723" spans="1:11" x14ac:dyDescent="0.25">
      <c r="A723" t="s">
        <v>406</v>
      </c>
      <c r="B723" t="s">
        <v>407</v>
      </c>
      <c r="C723" t="s">
        <v>540</v>
      </c>
      <c r="D723" t="s">
        <v>681</v>
      </c>
      <c r="E723">
        <v>1378886.46</v>
      </c>
      <c r="F723" t="s">
        <v>682</v>
      </c>
      <c r="G723">
        <v>0</v>
      </c>
      <c r="H723">
        <v>0</v>
      </c>
      <c r="I723">
        <v>0</v>
      </c>
      <c r="J723">
        <v>0</v>
      </c>
      <c r="K723">
        <v>1378886.46</v>
      </c>
    </row>
    <row r="724" spans="1:11" x14ac:dyDescent="0.25">
      <c r="A724" t="s">
        <v>408</v>
      </c>
      <c r="B724" t="s">
        <v>409</v>
      </c>
      <c r="C724" t="s">
        <v>540</v>
      </c>
      <c r="D724" t="s">
        <v>677</v>
      </c>
      <c r="E724">
        <v>0</v>
      </c>
      <c r="F724" t="s">
        <v>678</v>
      </c>
      <c r="G724">
        <v>16000000</v>
      </c>
      <c r="H724">
        <v>0</v>
      </c>
      <c r="I724">
        <v>0</v>
      </c>
      <c r="J724">
        <v>0</v>
      </c>
      <c r="K724">
        <v>16000000</v>
      </c>
    </row>
    <row r="725" spans="1:11" x14ac:dyDescent="0.25">
      <c r="A725" t="s">
        <v>826</v>
      </c>
      <c r="B725" t="s">
        <v>827</v>
      </c>
      <c r="C725" t="s">
        <v>540</v>
      </c>
      <c r="D725" t="s">
        <v>671</v>
      </c>
      <c r="E725">
        <v>0</v>
      </c>
      <c r="F725" t="s">
        <v>672</v>
      </c>
      <c r="G725">
        <v>377140.43</v>
      </c>
      <c r="H725">
        <v>0</v>
      </c>
      <c r="I725">
        <v>0</v>
      </c>
      <c r="J725">
        <v>0</v>
      </c>
      <c r="K725">
        <v>377140.43</v>
      </c>
    </row>
    <row r="726" spans="1:11" x14ac:dyDescent="0.25">
      <c r="A726" t="s">
        <v>511</v>
      </c>
      <c r="B726" t="s">
        <v>512</v>
      </c>
      <c r="C726" t="s">
        <v>540</v>
      </c>
      <c r="D726" t="s">
        <v>631</v>
      </c>
      <c r="E726">
        <v>0</v>
      </c>
      <c r="F726" t="s">
        <v>632</v>
      </c>
      <c r="G726">
        <v>104060</v>
      </c>
      <c r="H726">
        <v>0</v>
      </c>
      <c r="I726">
        <v>0</v>
      </c>
      <c r="J726">
        <v>0</v>
      </c>
      <c r="K726">
        <v>104060</v>
      </c>
    </row>
    <row r="727" spans="1:11" x14ac:dyDescent="0.25">
      <c r="A727" t="s">
        <v>1182</v>
      </c>
      <c r="B727" t="s">
        <v>1183</v>
      </c>
      <c r="C727" t="s">
        <v>540</v>
      </c>
      <c r="D727" t="s">
        <v>603</v>
      </c>
      <c r="E727">
        <v>250000</v>
      </c>
      <c r="F727" t="s">
        <v>604</v>
      </c>
      <c r="G727">
        <v>0</v>
      </c>
      <c r="H727">
        <v>0</v>
      </c>
      <c r="I727">
        <v>0</v>
      </c>
      <c r="J727">
        <v>0</v>
      </c>
      <c r="K727">
        <v>250000</v>
      </c>
    </row>
    <row r="728" spans="1:11" x14ac:dyDescent="0.25">
      <c r="A728" t="s">
        <v>911</v>
      </c>
      <c r="B728" t="s">
        <v>912</v>
      </c>
      <c r="C728" t="s">
        <v>540</v>
      </c>
      <c r="D728" t="s">
        <v>553</v>
      </c>
      <c r="E728">
        <v>2934245.39</v>
      </c>
      <c r="F728" t="s">
        <v>554</v>
      </c>
      <c r="G728">
        <v>0</v>
      </c>
      <c r="H728">
        <v>0</v>
      </c>
      <c r="I728">
        <v>0</v>
      </c>
      <c r="J728">
        <v>0</v>
      </c>
      <c r="K728">
        <v>2934245.39</v>
      </c>
    </row>
    <row r="729" spans="1:11" x14ac:dyDescent="0.25">
      <c r="A729" t="s">
        <v>410</v>
      </c>
      <c r="B729" t="s">
        <v>411</v>
      </c>
      <c r="C729" t="s">
        <v>540</v>
      </c>
      <c r="D729" t="s">
        <v>559</v>
      </c>
      <c r="E729">
        <v>0</v>
      </c>
      <c r="F729" t="s">
        <v>560</v>
      </c>
      <c r="G729">
        <v>11778503</v>
      </c>
      <c r="H729">
        <v>4015869</v>
      </c>
      <c r="I729">
        <v>0</v>
      </c>
      <c r="J729">
        <v>2438089.5</v>
      </c>
      <c r="K729">
        <v>18232461.5</v>
      </c>
    </row>
    <row r="730" spans="1:11" x14ac:dyDescent="0.25">
      <c r="A730" t="s">
        <v>828</v>
      </c>
      <c r="B730" t="s">
        <v>829</v>
      </c>
      <c r="C730" t="s">
        <v>540</v>
      </c>
      <c r="D730" t="s">
        <v>561</v>
      </c>
      <c r="E730">
        <v>0</v>
      </c>
      <c r="F730" t="s">
        <v>562</v>
      </c>
      <c r="G730">
        <v>3440000</v>
      </c>
      <c r="H730">
        <v>0</v>
      </c>
      <c r="I730">
        <v>0</v>
      </c>
      <c r="J730">
        <v>0</v>
      </c>
      <c r="K730">
        <v>3440000</v>
      </c>
    </row>
    <row r="731" spans="1:11" x14ac:dyDescent="0.25">
      <c r="A731" t="s">
        <v>412</v>
      </c>
      <c r="B731" t="s">
        <v>413</v>
      </c>
      <c r="C731" t="s">
        <v>540</v>
      </c>
      <c r="D731" t="s">
        <v>677</v>
      </c>
      <c r="E731">
        <v>366949.68</v>
      </c>
      <c r="F731" t="s">
        <v>678</v>
      </c>
      <c r="G731">
        <v>3091193.05</v>
      </c>
      <c r="H731">
        <v>0</v>
      </c>
      <c r="I731">
        <v>0</v>
      </c>
      <c r="J731">
        <v>0</v>
      </c>
      <c r="K731">
        <v>3458142.73</v>
      </c>
    </row>
    <row r="732" spans="1:11" x14ac:dyDescent="0.25">
      <c r="A732" t="s">
        <v>414</v>
      </c>
      <c r="B732" t="s">
        <v>415</v>
      </c>
      <c r="C732" t="s">
        <v>540</v>
      </c>
      <c r="D732" t="s">
        <v>553</v>
      </c>
      <c r="E732">
        <v>0</v>
      </c>
      <c r="F732" t="s">
        <v>554</v>
      </c>
      <c r="G732">
        <v>11651893.5</v>
      </c>
      <c r="H732">
        <v>0</v>
      </c>
      <c r="I732">
        <v>0</v>
      </c>
      <c r="J732">
        <v>0</v>
      </c>
      <c r="K732">
        <v>11651893.5</v>
      </c>
    </row>
    <row r="733" spans="1:11" x14ac:dyDescent="0.25">
      <c r="A733" t="s">
        <v>416</v>
      </c>
      <c r="B733" t="s">
        <v>417</v>
      </c>
      <c r="C733" t="s">
        <v>540</v>
      </c>
      <c r="D733" t="s">
        <v>585</v>
      </c>
      <c r="E733">
        <v>6964433.2999999998</v>
      </c>
      <c r="F733" t="s">
        <v>586</v>
      </c>
      <c r="G733">
        <v>0</v>
      </c>
      <c r="H733">
        <v>0</v>
      </c>
      <c r="I733">
        <v>0</v>
      </c>
      <c r="J733">
        <v>0</v>
      </c>
      <c r="K733">
        <v>6964433.2999999998</v>
      </c>
    </row>
    <row r="734" spans="1:11" x14ac:dyDescent="0.25">
      <c r="A734" t="s">
        <v>830</v>
      </c>
      <c r="B734" t="s">
        <v>831</v>
      </c>
      <c r="C734" t="s">
        <v>540</v>
      </c>
      <c r="D734" t="s">
        <v>605</v>
      </c>
      <c r="E734">
        <v>998613</v>
      </c>
      <c r="F734" t="s">
        <v>606</v>
      </c>
      <c r="G734">
        <v>4485674.3600000003</v>
      </c>
      <c r="H734">
        <v>0</v>
      </c>
      <c r="I734">
        <v>0</v>
      </c>
      <c r="J734">
        <v>0</v>
      </c>
      <c r="K734">
        <v>5484287.3600000003</v>
      </c>
    </row>
    <row r="735" spans="1:11" x14ac:dyDescent="0.25">
      <c r="A735" t="s">
        <v>418</v>
      </c>
      <c r="B735" t="s">
        <v>419</v>
      </c>
      <c r="C735" t="s">
        <v>540</v>
      </c>
      <c r="D735" t="s">
        <v>643</v>
      </c>
      <c r="E735">
        <v>520043</v>
      </c>
      <c r="F735" t="s">
        <v>644</v>
      </c>
      <c r="G735">
        <v>3376279.07</v>
      </c>
      <c r="H735">
        <v>0</v>
      </c>
      <c r="I735">
        <v>0</v>
      </c>
      <c r="J735">
        <v>0</v>
      </c>
      <c r="K735">
        <v>3896322.07</v>
      </c>
    </row>
    <row r="736" spans="1:11" x14ac:dyDescent="0.25">
      <c r="A736" t="s">
        <v>1115</v>
      </c>
      <c r="B736" t="s">
        <v>975</v>
      </c>
      <c r="C736" t="s">
        <v>540</v>
      </c>
      <c r="D736" t="s">
        <v>545</v>
      </c>
      <c r="E736">
        <v>0</v>
      </c>
      <c r="F736" t="s">
        <v>546</v>
      </c>
      <c r="G736">
        <v>223018.68</v>
      </c>
      <c r="H736">
        <v>0</v>
      </c>
      <c r="I736">
        <v>0</v>
      </c>
      <c r="J736">
        <v>0</v>
      </c>
      <c r="K736">
        <v>223018.68</v>
      </c>
    </row>
    <row r="737" spans="1:11" x14ac:dyDescent="0.25">
      <c r="A737" t="s">
        <v>422</v>
      </c>
      <c r="B737" t="s">
        <v>423</v>
      </c>
      <c r="C737" t="s">
        <v>540</v>
      </c>
      <c r="D737" t="s">
        <v>553</v>
      </c>
      <c r="E737">
        <v>122500</v>
      </c>
      <c r="F737" t="s">
        <v>554</v>
      </c>
      <c r="G737">
        <v>979450</v>
      </c>
      <c r="H737">
        <v>0</v>
      </c>
      <c r="I737">
        <v>0</v>
      </c>
      <c r="J737">
        <v>0</v>
      </c>
      <c r="K737">
        <v>1101950</v>
      </c>
    </row>
    <row r="738" spans="1:11" x14ac:dyDescent="0.25">
      <c r="A738" t="s">
        <v>1116</v>
      </c>
      <c r="B738" t="s">
        <v>1117</v>
      </c>
      <c r="C738" t="s">
        <v>540</v>
      </c>
      <c r="D738" t="s">
        <v>579</v>
      </c>
      <c r="E738">
        <v>2885370.2</v>
      </c>
      <c r="F738" t="s">
        <v>580</v>
      </c>
      <c r="G738">
        <v>857947.03</v>
      </c>
      <c r="H738">
        <v>0</v>
      </c>
      <c r="I738">
        <v>0</v>
      </c>
      <c r="J738">
        <v>0</v>
      </c>
      <c r="K738">
        <v>3743317.23</v>
      </c>
    </row>
    <row r="739" spans="1:11" x14ac:dyDescent="0.25">
      <c r="A739" t="s">
        <v>1118</v>
      </c>
      <c r="B739" t="s">
        <v>976</v>
      </c>
      <c r="C739" t="s">
        <v>540</v>
      </c>
      <c r="D739" t="s">
        <v>563</v>
      </c>
      <c r="E739">
        <v>6711121.7999999998</v>
      </c>
      <c r="F739" t="s">
        <v>564</v>
      </c>
      <c r="G739">
        <v>0</v>
      </c>
      <c r="H739">
        <v>0</v>
      </c>
      <c r="I739">
        <v>0</v>
      </c>
      <c r="J739">
        <v>0</v>
      </c>
      <c r="K739">
        <v>6711121.7999999998</v>
      </c>
    </row>
    <row r="740" spans="1:11" x14ac:dyDescent="0.25">
      <c r="A740" t="s">
        <v>424</v>
      </c>
      <c r="B740" t="s">
        <v>425</v>
      </c>
      <c r="C740" t="s">
        <v>540</v>
      </c>
      <c r="D740" t="s">
        <v>617</v>
      </c>
      <c r="E740">
        <v>0</v>
      </c>
      <c r="F740" t="s">
        <v>618</v>
      </c>
      <c r="G740">
        <v>8239140</v>
      </c>
      <c r="H740">
        <v>0</v>
      </c>
      <c r="I740">
        <v>0</v>
      </c>
      <c r="J740">
        <v>0</v>
      </c>
      <c r="K740">
        <v>8239140</v>
      </c>
    </row>
    <row r="741" spans="1:11" x14ac:dyDescent="0.25">
      <c r="A741" t="s">
        <v>1119</v>
      </c>
      <c r="B741" t="s">
        <v>1120</v>
      </c>
      <c r="C741" t="s">
        <v>540</v>
      </c>
      <c r="D741" t="s">
        <v>661</v>
      </c>
      <c r="E741">
        <v>1309000</v>
      </c>
      <c r="F741" t="s">
        <v>662</v>
      </c>
      <c r="G741">
        <v>0</v>
      </c>
      <c r="H741">
        <v>0</v>
      </c>
      <c r="I741">
        <v>0</v>
      </c>
      <c r="J741">
        <v>0</v>
      </c>
      <c r="K741">
        <v>1309000</v>
      </c>
    </row>
    <row r="742" spans="1:11" x14ac:dyDescent="0.25">
      <c r="A742" t="s">
        <v>426</v>
      </c>
      <c r="B742" t="s">
        <v>427</v>
      </c>
      <c r="C742" t="s">
        <v>540</v>
      </c>
      <c r="D742" t="s">
        <v>659</v>
      </c>
      <c r="E742">
        <v>0</v>
      </c>
      <c r="F742" t="s">
        <v>660</v>
      </c>
      <c r="G742">
        <v>13495189</v>
      </c>
      <c r="H742">
        <v>0</v>
      </c>
      <c r="I742">
        <v>19950</v>
      </c>
      <c r="J742">
        <v>0</v>
      </c>
      <c r="K742">
        <v>13515139</v>
      </c>
    </row>
    <row r="743" spans="1:11" x14ac:dyDescent="0.25">
      <c r="A743" t="s">
        <v>428</v>
      </c>
      <c r="B743" t="s">
        <v>429</v>
      </c>
      <c r="C743" t="s">
        <v>540</v>
      </c>
      <c r="D743" t="s">
        <v>691</v>
      </c>
      <c r="E743">
        <v>1062112</v>
      </c>
      <c r="F743" t="s">
        <v>692</v>
      </c>
      <c r="G743">
        <v>1589395</v>
      </c>
      <c r="H743">
        <v>1180657</v>
      </c>
      <c r="I743">
        <v>0</v>
      </c>
      <c r="J743">
        <v>0</v>
      </c>
      <c r="K743">
        <v>3832164</v>
      </c>
    </row>
    <row r="744" spans="1:11" x14ac:dyDescent="0.25">
      <c r="A744" t="s">
        <v>430</v>
      </c>
      <c r="B744" t="s">
        <v>431</v>
      </c>
      <c r="C744" t="s">
        <v>540</v>
      </c>
      <c r="D744" t="s">
        <v>551</v>
      </c>
      <c r="E744">
        <v>0</v>
      </c>
      <c r="F744" t="s">
        <v>552</v>
      </c>
      <c r="G744">
        <v>5488941</v>
      </c>
      <c r="H744">
        <v>0</v>
      </c>
      <c r="I744">
        <v>0</v>
      </c>
      <c r="J744">
        <v>0</v>
      </c>
      <c r="K744">
        <v>5488941</v>
      </c>
    </row>
    <row r="745" spans="1:11" x14ac:dyDescent="0.25">
      <c r="A745" t="s">
        <v>432</v>
      </c>
      <c r="B745" t="s">
        <v>433</v>
      </c>
      <c r="C745" t="s">
        <v>540</v>
      </c>
      <c r="D745" t="s">
        <v>603</v>
      </c>
      <c r="E745">
        <v>0</v>
      </c>
      <c r="F745" t="s">
        <v>604</v>
      </c>
      <c r="G745">
        <v>0</v>
      </c>
      <c r="H745">
        <v>0</v>
      </c>
      <c r="I745">
        <v>0</v>
      </c>
      <c r="J745">
        <v>1074310</v>
      </c>
      <c r="K745">
        <v>1074310</v>
      </c>
    </row>
    <row r="746" spans="1:11" x14ac:dyDescent="0.25">
      <c r="A746" t="s">
        <v>1121</v>
      </c>
      <c r="B746" t="s">
        <v>1122</v>
      </c>
      <c r="C746" t="s">
        <v>540</v>
      </c>
      <c r="D746" t="s">
        <v>1123</v>
      </c>
      <c r="E746">
        <v>358644</v>
      </c>
      <c r="F746" t="s">
        <v>1124</v>
      </c>
      <c r="G746">
        <v>0</v>
      </c>
      <c r="H746">
        <v>0</v>
      </c>
      <c r="I746">
        <v>0</v>
      </c>
      <c r="J746">
        <v>0</v>
      </c>
      <c r="K746">
        <v>358644</v>
      </c>
    </row>
    <row r="747" spans="1:11" x14ac:dyDescent="0.25">
      <c r="A747" t="s">
        <v>786</v>
      </c>
      <c r="B747" t="s">
        <v>787</v>
      </c>
      <c r="C747" t="s">
        <v>540</v>
      </c>
      <c r="D747" t="s">
        <v>559</v>
      </c>
      <c r="E747">
        <v>824722.02</v>
      </c>
      <c r="F747" t="s">
        <v>560</v>
      </c>
      <c r="G747">
        <v>0</v>
      </c>
      <c r="H747">
        <v>0</v>
      </c>
      <c r="I747">
        <v>0</v>
      </c>
      <c r="J747">
        <v>0</v>
      </c>
      <c r="K747">
        <v>824722.02</v>
      </c>
    </row>
    <row r="748" spans="1:11" x14ac:dyDescent="0.25">
      <c r="A748" t="s">
        <v>1184</v>
      </c>
      <c r="B748" t="s">
        <v>1185</v>
      </c>
      <c r="C748" t="s">
        <v>540</v>
      </c>
      <c r="D748" t="s">
        <v>553</v>
      </c>
      <c r="E748">
        <v>799180.80000000005</v>
      </c>
      <c r="F748" t="s">
        <v>554</v>
      </c>
      <c r="G748">
        <v>0</v>
      </c>
      <c r="H748">
        <v>0</v>
      </c>
      <c r="I748">
        <v>0</v>
      </c>
      <c r="J748">
        <v>0</v>
      </c>
      <c r="K748">
        <v>799180.80000000005</v>
      </c>
    </row>
    <row r="749" spans="1:11" x14ac:dyDescent="0.25">
      <c r="A749" t="s">
        <v>788</v>
      </c>
      <c r="B749" t="s">
        <v>789</v>
      </c>
      <c r="C749" t="s">
        <v>540</v>
      </c>
      <c r="D749" t="s">
        <v>559</v>
      </c>
      <c r="E749">
        <v>13368400</v>
      </c>
      <c r="F749" t="s">
        <v>560</v>
      </c>
      <c r="G749">
        <v>12765500</v>
      </c>
      <c r="H749">
        <v>0</v>
      </c>
      <c r="I749">
        <v>0</v>
      </c>
      <c r="J749">
        <v>0</v>
      </c>
      <c r="K749">
        <v>26133900</v>
      </c>
    </row>
    <row r="750" spans="1:11" x14ac:dyDescent="0.25">
      <c r="A750" t="s">
        <v>1125</v>
      </c>
      <c r="B750" t="s">
        <v>977</v>
      </c>
      <c r="C750" t="s">
        <v>540</v>
      </c>
      <c r="D750" t="s">
        <v>1123</v>
      </c>
      <c r="E750">
        <v>0</v>
      </c>
      <c r="F750" t="s">
        <v>1124</v>
      </c>
      <c r="G750">
        <v>-496150500</v>
      </c>
      <c r="H750">
        <v>0</v>
      </c>
      <c r="I750">
        <v>0</v>
      </c>
      <c r="J750">
        <v>0</v>
      </c>
      <c r="K750">
        <v>-496150500</v>
      </c>
    </row>
    <row r="751" spans="1:11" x14ac:dyDescent="0.25">
      <c r="A751" t="s">
        <v>434</v>
      </c>
      <c r="B751" t="s">
        <v>435</v>
      </c>
      <c r="C751" t="s">
        <v>540</v>
      </c>
      <c r="D751" t="s">
        <v>623</v>
      </c>
      <c r="E751">
        <v>1121019.48</v>
      </c>
      <c r="F751" t="s">
        <v>624</v>
      </c>
      <c r="G751">
        <v>2344359.54</v>
      </c>
      <c r="H751">
        <v>0</v>
      </c>
      <c r="I751">
        <v>0</v>
      </c>
      <c r="J751">
        <v>0</v>
      </c>
      <c r="K751">
        <v>3465379.02</v>
      </c>
    </row>
    <row r="752" spans="1:11" x14ac:dyDescent="0.25">
      <c r="A752" t="s">
        <v>1126</v>
      </c>
      <c r="B752" t="s">
        <v>978</v>
      </c>
      <c r="C752" t="s">
        <v>540</v>
      </c>
      <c r="D752" t="s">
        <v>702</v>
      </c>
      <c r="E752">
        <v>0</v>
      </c>
      <c r="F752" t="s">
        <v>703</v>
      </c>
      <c r="G752">
        <v>2395826.5499999998</v>
      </c>
      <c r="H752">
        <v>0</v>
      </c>
      <c r="I752">
        <v>0</v>
      </c>
      <c r="J752">
        <v>0</v>
      </c>
      <c r="K752">
        <v>2395826.5499999998</v>
      </c>
    </row>
    <row r="753" spans="1:11" x14ac:dyDescent="0.25">
      <c r="A753" t="s">
        <v>436</v>
      </c>
      <c r="B753" t="s">
        <v>437</v>
      </c>
      <c r="C753" t="s">
        <v>540</v>
      </c>
      <c r="D753" t="s">
        <v>561</v>
      </c>
      <c r="E753">
        <v>5000000</v>
      </c>
      <c r="F753" t="s">
        <v>562</v>
      </c>
      <c r="G753">
        <v>56594000</v>
      </c>
      <c r="H753">
        <v>0</v>
      </c>
      <c r="I753">
        <v>0</v>
      </c>
      <c r="J753">
        <v>0</v>
      </c>
      <c r="K753">
        <v>61594000</v>
      </c>
    </row>
    <row r="754" spans="1:11" x14ac:dyDescent="0.25">
      <c r="A754" t="s">
        <v>438</v>
      </c>
      <c r="B754" t="s">
        <v>439</v>
      </c>
      <c r="C754" t="s">
        <v>540</v>
      </c>
      <c r="D754" t="s">
        <v>603</v>
      </c>
      <c r="E754">
        <v>0</v>
      </c>
      <c r="F754" t="s">
        <v>604</v>
      </c>
      <c r="G754">
        <v>0</v>
      </c>
      <c r="H754">
        <v>0</v>
      </c>
      <c r="I754">
        <v>0</v>
      </c>
      <c r="J754">
        <v>8115779.6100000003</v>
      </c>
      <c r="K754">
        <v>8115779.6100000003</v>
      </c>
    </row>
    <row r="755" spans="1:11" x14ac:dyDescent="0.25">
      <c r="A755" t="s">
        <v>440</v>
      </c>
      <c r="B755" t="s">
        <v>441</v>
      </c>
      <c r="C755" t="s">
        <v>540</v>
      </c>
      <c r="D755" t="s">
        <v>601</v>
      </c>
      <c r="E755">
        <v>0</v>
      </c>
      <c r="F755" t="s">
        <v>602</v>
      </c>
      <c r="G755">
        <v>9450100</v>
      </c>
      <c r="H755">
        <v>0</v>
      </c>
      <c r="I755">
        <v>0</v>
      </c>
      <c r="J755">
        <v>0</v>
      </c>
      <c r="K755">
        <v>9450100</v>
      </c>
    </row>
    <row r="756" spans="1:11" x14ac:dyDescent="0.25">
      <c r="A756" t="s">
        <v>444</v>
      </c>
      <c r="B756" t="s">
        <v>445</v>
      </c>
      <c r="C756" t="s">
        <v>540</v>
      </c>
      <c r="D756" t="s">
        <v>603</v>
      </c>
      <c r="E756">
        <v>0</v>
      </c>
      <c r="F756" t="s">
        <v>604</v>
      </c>
      <c r="G756">
        <v>0</v>
      </c>
      <c r="H756">
        <v>0</v>
      </c>
      <c r="I756">
        <v>0</v>
      </c>
      <c r="J756">
        <v>25876207.34</v>
      </c>
      <c r="K756">
        <v>25876207.34</v>
      </c>
    </row>
    <row r="757" spans="1:11" x14ac:dyDescent="0.25">
      <c r="A757" t="s">
        <v>519</v>
      </c>
      <c r="B757" t="s">
        <v>520</v>
      </c>
      <c r="C757" t="s">
        <v>540</v>
      </c>
      <c r="D757" t="s">
        <v>695</v>
      </c>
      <c r="E757">
        <v>0</v>
      </c>
      <c r="F757" t="s">
        <v>696</v>
      </c>
      <c r="G757">
        <v>2514500</v>
      </c>
      <c r="H757">
        <v>0</v>
      </c>
      <c r="I757">
        <v>0</v>
      </c>
      <c r="J757">
        <v>0</v>
      </c>
      <c r="K757">
        <v>2514500</v>
      </c>
    </row>
    <row r="758" spans="1:11" x14ac:dyDescent="0.25">
      <c r="A758" t="s">
        <v>446</v>
      </c>
      <c r="B758" t="s">
        <v>447</v>
      </c>
      <c r="C758" t="s">
        <v>540</v>
      </c>
      <c r="D758" t="s">
        <v>633</v>
      </c>
      <c r="E758">
        <v>0</v>
      </c>
      <c r="F758" t="s">
        <v>634</v>
      </c>
      <c r="G758">
        <v>0</v>
      </c>
      <c r="H758">
        <v>0</v>
      </c>
      <c r="I758">
        <v>0</v>
      </c>
      <c r="J758">
        <v>1331</v>
      </c>
      <c r="K758">
        <v>1331</v>
      </c>
    </row>
    <row r="759" spans="1:11" x14ac:dyDescent="0.25">
      <c r="A759" t="s">
        <v>196</v>
      </c>
      <c r="B759" t="s">
        <v>979</v>
      </c>
      <c r="C759" t="s">
        <v>540</v>
      </c>
      <c r="D759" t="s">
        <v>557</v>
      </c>
      <c r="E759">
        <v>5065000</v>
      </c>
      <c r="F759" t="s">
        <v>558</v>
      </c>
      <c r="G759">
        <v>3175790</v>
      </c>
      <c r="H759">
        <v>0</v>
      </c>
      <c r="I759">
        <v>0</v>
      </c>
      <c r="J759">
        <v>0</v>
      </c>
      <c r="K759">
        <v>8240790</v>
      </c>
    </row>
    <row r="760" spans="1:11" x14ac:dyDescent="0.25">
      <c r="A760" t="s">
        <v>448</v>
      </c>
      <c r="B760" t="s">
        <v>449</v>
      </c>
      <c r="C760" t="s">
        <v>540</v>
      </c>
      <c r="D760" t="s">
        <v>611</v>
      </c>
      <c r="E760">
        <v>157500.07</v>
      </c>
      <c r="F760" t="s">
        <v>612</v>
      </c>
      <c r="G760">
        <v>1255029.53</v>
      </c>
      <c r="H760">
        <v>0</v>
      </c>
      <c r="I760">
        <v>0</v>
      </c>
      <c r="J760">
        <v>0</v>
      </c>
      <c r="K760">
        <v>1412529.6</v>
      </c>
    </row>
    <row r="761" spans="1:11" x14ac:dyDescent="0.25">
      <c r="A761" t="s">
        <v>832</v>
      </c>
      <c r="B761" t="s">
        <v>833</v>
      </c>
      <c r="C761" t="s">
        <v>540</v>
      </c>
      <c r="D761" t="s">
        <v>708</v>
      </c>
      <c r="E761">
        <v>0</v>
      </c>
      <c r="F761" t="s">
        <v>709</v>
      </c>
      <c r="G761">
        <v>3871274</v>
      </c>
      <c r="H761">
        <v>12838737.470000001</v>
      </c>
      <c r="I761">
        <v>0</v>
      </c>
      <c r="J761">
        <v>0</v>
      </c>
      <c r="K761">
        <v>16710011.470000001</v>
      </c>
    </row>
    <row r="762" spans="1:11" x14ac:dyDescent="0.25">
      <c r="A762" t="s">
        <v>1127</v>
      </c>
      <c r="B762" t="s">
        <v>1128</v>
      </c>
      <c r="C762" t="s">
        <v>540</v>
      </c>
      <c r="D762" t="s">
        <v>857</v>
      </c>
      <c r="E762">
        <v>0</v>
      </c>
      <c r="F762" t="s">
        <v>858</v>
      </c>
      <c r="G762">
        <v>380000</v>
      </c>
      <c r="H762">
        <v>0</v>
      </c>
      <c r="I762">
        <v>0</v>
      </c>
      <c r="J762">
        <v>0</v>
      </c>
      <c r="K762">
        <v>380000</v>
      </c>
    </row>
    <row r="763" spans="1:11" x14ac:dyDescent="0.25">
      <c r="A763" t="s">
        <v>450</v>
      </c>
      <c r="B763" t="s">
        <v>451</v>
      </c>
      <c r="C763" t="s">
        <v>540</v>
      </c>
      <c r="D763" t="s">
        <v>671</v>
      </c>
      <c r="E763">
        <v>1348666</v>
      </c>
      <c r="F763" t="s">
        <v>697</v>
      </c>
      <c r="G763">
        <v>0</v>
      </c>
      <c r="H763">
        <v>0</v>
      </c>
      <c r="I763">
        <v>0</v>
      </c>
      <c r="J763">
        <v>0</v>
      </c>
      <c r="K763">
        <v>1348666</v>
      </c>
    </row>
    <row r="764" spans="1:11" x14ac:dyDescent="0.25">
      <c r="A764" t="s">
        <v>452</v>
      </c>
      <c r="B764" t="s">
        <v>453</v>
      </c>
      <c r="C764" t="s">
        <v>540</v>
      </c>
      <c r="D764" t="s">
        <v>653</v>
      </c>
      <c r="E764">
        <v>0</v>
      </c>
      <c r="F764" t="s">
        <v>654</v>
      </c>
      <c r="G764">
        <v>23067211.02</v>
      </c>
      <c r="H764">
        <v>0</v>
      </c>
      <c r="I764">
        <v>0</v>
      </c>
      <c r="J764">
        <v>0</v>
      </c>
      <c r="K764">
        <v>23067211.02</v>
      </c>
    </row>
    <row r="765" spans="1:11" x14ac:dyDescent="0.25">
      <c r="A765" t="s">
        <v>794</v>
      </c>
      <c r="B765" t="s">
        <v>795</v>
      </c>
      <c r="C765" t="s">
        <v>540</v>
      </c>
      <c r="D765" t="s">
        <v>545</v>
      </c>
      <c r="E765">
        <v>601946</v>
      </c>
      <c r="F765" t="s">
        <v>546</v>
      </c>
      <c r="G765">
        <v>422546.15</v>
      </c>
      <c r="H765">
        <v>0</v>
      </c>
      <c r="I765">
        <v>0</v>
      </c>
      <c r="J765">
        <v>0</v>
      </c>
      <c r="K765">
        <v>1024492.15</v>
      </c>
    </row>
    <row r="766" spans="1:11" x14ac:dyDescent="0.25">
      <c r="A766" t="s">
        <v>521</v>
      </c>
      <c r="B766" t="s">
        <v>522</v>
      </c>
      <c r="C766" t="s">
        <v>540</v>
      </c>
      <c r="D766" t="s">
        <v>585</v>
      </c>
      <c r="E766">
        <v>0</v>
      </c>
      <c r="F766" t="s">
        <v>586</v>
      </c>
      <c r="G766">
        <v>1411979.12</v>
      </c>
      <c r="H766">
        <v>0</v>
      </c>
      <c r="I766">
        <v>0</v>
      </c>
      <c r="J766">
        <v>0</v>
      </c>
      <c r="K766">
        <v>1411979.12</v>
      </c>
    </row>
    <row r="767" spans="1:11" x14ac:dyDescent="0.25">
      <c r="A767" t="s">
        <v>1129</v>
      </c>
      <c r="B767" t="s">
        <v>980</v>
      </c>
      <c r="C767" t="s">
        <v>540</v>
      </c>
      <c r="D767" t="s">
        <v>589</v>
      </c>
      <c r="E767">
        <v>0</v>
      </c>
      <c r="F767" t="s">
        <v>590</v>
      </c>
      <c r="G767">
        <v>901495</v>
      </c>
      <c r="H767">
        <v>0</v>
      </c>
      <c r="I767">
        <v>0</v>
      </c>
      <c r="J767">
        <v>0</v>
      </c>
      <c r="K767">
        <v>901495</v>
      </c>
    </row>
    <row r="768" spans="1:11" x14ac:dyDescent="0.25">
      <c r="A768" t="s">
        <v>458</v>
      </c>
      <c r="B768" t="s">
        <v>459</v>
      </c>
      <c r="C768" t="s">
        <v>540</v>
      </c>
      <c r="D768" t="s">
        <v>677</v>
      </c>
      <c r="E768">
        <v>0</v>
      </c>
      <c r="F768" t="s">
        <v>678</v>
      </c>
      <c r="G768">
        <v>6417840</v>
      </c>
      <c r="H768">
        <v>12000000</v>
      </c>
      <c r="I768">
        <v>0</v>
      </c>
      <c r="J768">
        <v>0</v>
      </c>
      <c r="K768">
        <v>18417840</v>
      </c>
    </row>
    <row r="769" spans="1:11" x14ac:dyDescent="0.25">
      <c r="A769" t="s">
        <v>1130</v>
      </c>
      <c r="B769" t="s">
        <v>981</v>
      </c>
      <c r="C769" t="s">
        <v>540</v>
      </c>
      <c r="D769" t="s">
        <v>555</v>
      </c>
      <c r="E769">
        <v>0</v>
      </c>
      <c r="F769" t="s">
        <v>556</v>
      </c>
      <c r="G769">
        <v>36072.33</v>
      </c>
      <c r="H769">
        <v>0</v>
      </c>
      <c r="I769">
        <v>0</v>
      </c>
      <c r="J769">
        <v>0</v>
      </c>
      <c r="K769">
        <v>36072.33</v>
      </c>
    </row>
    <row r="770" spans="1:11" x14ac:dyDescent="0.25">
      <c r="A770" t="s">
        <v>1131</v>
      </c>
      <c r="B770" t="s">
        <v>1132</v>
      </c>
      <c r="C770" t="s">
        <v>540</v>
      </c>
      <c r="D770" t="s">
        <v>555</v>
      </c>
      <c r="E770">
        <v>2237542.67</v>
      </c>
      <c r="F770" t="s">
        <v>556</v>
      </c>
      <c r="G770">
        <v>0</v>
      </c>
      <c r="H770">
        <v>0</v>
      </c>
      <c r="I770">
        <v>0</v>
      </c>
      <c r="J770">
        <v>0</v>
      </c>
      <c r="K770">
        <v>2237542.67</v>
      </c>
    </row>
    <row r="771" spans="1:11" x14ac:dyDescent="0.25">
      <c r="A771" t="s">
        <v>1133</v>
      </c>
      <c r="B771" t="s">
        <v>982</v>
      </c>
      <c r="C771" t="s">
        <v>540</v>
      </c>
      <c r="D771" t="s">
        <v>635</v>
      </c>
      <c r="E771">
        <v>0</v>
      </c>
      <c r="F771" t="s">
        <v>636</v>
      </c>
      <c r="G771">
        <v>1103520</v>
      </c>
      <c r="H771">
        <v>0</v>
      </c>
      <c r="I771">
        <v>0</v>
      </c>
      <c r="J771">
        <v>0</v>
      </c>
      <c r="K771">
        <v>1103520</v>
      </c>
    </row>
    <row r="772" spans="1:11" x14ac:dyDescent="0.25">
      <c r="A772" t="s">
        <v>460</v>
      </c>
      <c r="B772" t="s">
        <v>461</v>
      </c>
      <c r="C772" t="s">
        <v>540</v>
      </c>
      <c r="D772" t="s">
        <v>559</v>
      </c>
      <c r="E772">
        <v>95000</v>
      </c>
      <c r="F772" t="s">
        <v>560</v>
      </c>
      <c r="G772">
        <v>0</v>
      </c>
      <c r="H772">
        <v>0</v>
      </c>
      <c r="I772">
        <v>0</v>
      </c>
      <c r="J772">
        <v>0</v>
      </c>
      <c r="K772">
        <v>95000</v>
      </c>
    </row>
    <row r="773" spans="1:11" x14ac:dyDescent="0.25">
      <c r="A773" t="s">
        <v>1134</v>
      </c>
      <c r="B773" t="s">
        <v>983</v>
      </c>
      <c r="C773" t="s">
        <v>540</v>
      </c>
      <c r="D773" t="s">
        <v>549</v>
      </c>
      <c r="E773">
        <v>0</v>
      </c>
      <c r="F773" t="s">
        <v>550</v>
      </c>
      <c r="G773">
        <v>827882</v>
      </c>
      <c r="H773">
        <v>0</v>
      </c>
      <c r="I773">
        <v>0</v>
      </c>
      <c r="J773">
        <v>0</v>
      </c>
      <c r="K773">
        <v>827882</v>
      </c>
    </row>
    <row r="774" spans="1:11" x14ac:dyDescent="0.25">
      <c r="A774" t="s">
        <v>700</v>
      </c>
      <c r="B774" t="s">
        <v>701</v>
      </c>
      <c r="C774" t="s">
        <v>540</v>
      </c>
      <c r="D774" t="s">
        <v>589</v>
      </c>
      <c r="E774">
        <v>1173986.01</v>
      </c>
      <c r="F774" t="s">
        <v>590</v>
      </c>
      <c r="G774">
        <v>3902528.82</v>
      </c>
      <c r="H774">
        <v>0</v>
      </c>
      <c r="I774">
        <v>0</v>
      </c>
      <c r="J774">
        <v>0</v>
      </c>
      <c r="K774">
        <v>5076514.83</v>
      </c>
    </row>
    <row r="775" spans="1:11" x14ac:dyDescent="0.25">
      <c r="A775" t="s">
        <v>462</v>
      </c>
      <c r="B775" t="s">
        <v>463</v>
      </c>
      <c r="C775" t="s">
        <v>540</v>
      </c>
      <c r="D775" t="s">
        <v>702</v>
      </c>
      <c r="E775">
        <v>1697308.17</v>
      </c>
      <c r="F775" t="s">
        <v>703</v>
      </c>
      <c r="G775">
        <v>5251932.8499999996</v>
      </c>
      <c r="H775">
        <v>224897.11</v>
      </c>
      <c r="I775">
        <v>0</v>
      </c>
      <c r="J775">
        <v>0</v>
      </c>
      <c r="K775">
        <v>7174138.1299999999</v>
      </c>
    </row>
    <row r="776" spans="1:11" x14ac:dyDescent="0.25">
      <c r="A776" t="s">
        <v>464</v>
      </c>
      <c r="B776" t="s">
        <v>465</v>
      </c>
      <c r="C776" t="s">
        <v>540</v>
      </c>
      <c r="D776" t="s">
        <v>661</v>
      </c>
      <c r="E776">
        <v>-101643.75</v>
      </c>
      <c r="F776" t="s">
        <v>662</v>
      </c>
      <c r="G776">
        <v>0</v>
      </c>
      <c r="H776">
        <v>0</v>
      </c>
      <c r="I776">
        <v>0</v>
      </c>
      <c r="J776">
        <v>-0.01</v>
      </c>
      <c r="K776">
        <v>-101643.76</v>
      </c>
    </row>
    <row r="777" spans="1:11" x14ac:dyDescent="0.25">
      <c r="A777" t="s">
        <v>1135</v>
      </c>
      <c r="B777" t="s">
        <v>984</v>
      </c>
      <c r="C777" t="s">
        <v>540</v>
      </c>
      <c r="D777" t="s">
        <v>589</v>
      </c>
      <c r="E777">
        <v>0</v>
      </c>
      <c r="F777" t="s">
        <v>590</v>
      </c>
      <c r="G777">
        <v>0</v>
      </c>
      <c r="H777">
        <v>18000000</v>
      </c>
      <c r="I777">
        <v>0</v>
      </c>
      <c r="J777">
        <v>0</v>
      </c>
      <c r="K777">
        <v>18000000</v>
      </c>
    </row>
    <row r="778" spans="1:11" x14ac:dyDescent="0.25">
      <c r="A778" t="s">
        <v>466</v>
      </c>
      <c r="B778" t="s">
        <v>467</v>
      </c>
      <c r="C778" t="s">
        <v>540</v>
      </c>
      <c r="D778" t="s">
        <v>589</v>
      </c>
      <c r="E778">
        <v>0</v>
      </c>
      <c r="F778" t="s">
        <v>590</v>
      </c>
      <c r="G778">
        <v>589028</v>
      </c>
      <c r="H778">
        <v>0</v>
      </c>
      <c r="I778">
        <v>0</v>
      </c>
      <c r="J778">
        <v>0</v>
      </c>
      <c r="K778">
        <v>589028</v>
      </c>
    </row>
    <row r="779" spans="1:11" x14ac:dyDescent="0.25">
      <c r="A779" t="s">
        <v>1136</v>
      </c>
      <c r="B779" t="s">
        <v>985</v>
      </c>
      <c r="C779" t="s">
        <v>540</v>
      </c>
      <c r="D779" t="s">
        <v>563</v>
      </c>
      <c r="E779">
        <v>0</v>
      </c>
      <c r="F779" t="s">
        <v>564</v>
      </c>
      <c r="G779">
        <v>7296300</v>
      </c>
      <c r="H779">
        <v>7610900</v>
      </c>
      <c r="I779">
        <v>0</v>
      </c>
      <c r="J779">
        <v>0</v>
      </c>
      <c r="K779">
        <v>14907200</v>
      </c>
    </row>
    <row r="780" spans="1:11" x14ac:dyDescent="0.25">
      <c r="A780" t="s">
        <v>919</v>
      </c>
      <c r="B780" t="s">
        <v>920</v>
      </c>
      <c r="C780" t="s">
        <v>540</v>
      </c>
      <c r="D780" t="s">
        <v>563</v>
      </c>
      <c r="E780">
        <v>3914955</v>
      </c>
      <c r="F780" t="s">
        <v>564</v>
      </c>
      <c r="G780">
        <v>75020000</v>
      </c>
      <c r="H780">
        <v>0</v>
      </c>
      <c r="I780">
        <v>0</v>
      </c>
      <c r="J780">
        <v>0</v>
      </c>
      <c r="K780">
        <v>78934955</v>
      </c>
    </row>
    <row r="781" spans="1:11" x14ac:dyDescent="0.25">
      <c r="A781" t="s">
        <v>1137</v>
      </c>
      <c r="B781" t="s">
        <v>986</v>
      </c>
      <c r="C781" t="s">
        <v>540</v>
      </c>
      <c r="D781" t="s">
        <v>563</v>
      </c>
      <c r="E781">
        <v>0</v>
      </c>
      <c r="F781" t="s">
        <v>564</v>
      </c>
      <c r="G781">
        <v>13210715.300000001</v>
      </c>
      <c r="H781">
        <v>0</v>
      </c>
      <c r="I781">
        <v>0</v>
      </c>
      <c r="J781">
        <v>0</v>
      </c>
      <c r="K781">
        <v>13210715.300000001</v>
      </c>
    </row>
    <row r="782" spans="1:11" x14ac:dyDescent="0.25">
      <c r="A782" t="s">
        <v>525</v>
      </c>
      <c r="B782" t="s">
        <v>526</v>
      </c>
      <c r="C782" t="s">
        <v>540</v>
      </c>
      <c r="D782" t="s">
        <v>553</v>
      </c>
      <c r="E782">
        <v>2929591.51</v>
      </c>
      <c r="F782" t="s">
        <v>554</v>
      </c>
      <c r="G782">
        <v>3968741.76</v>
      </c>
      <c r="H782">
        <v>0</v>
      </c>
      <c r="I782">
        <v>0</v>
      </c>
      <c r="J782">
        <v>0</v>
      </c>
      <c r="K782">
        <v>6898333.2699999996</v>
      </c>
    </row>
    <row r="783" spans="1:11" x14ac:dyDescent="0.25">
      <c r="A783" t="s">
        <v>468</v>
      </c>
      <c r="B783" t="s">
        <v>469</v>
      </c>
      <c r="C783" t="s">
        <v>540</v>
      </c>
      <c r="D783" t="s">
        <v>607</v>
      </c>
      <c r="E783">
        <v>0</v>
      </c>
      <c r="F783" t="s">
        <v>608</v>
      </c>
      <c r="G783">
        <v>0</v>
      </c>
      <c r="H783">
        <v>0</v>
      </c>
      <c r="I783">
        <v>17500</v>
      </c>
      <c r="J783">
        <v>-671301.14</v>
      </c>
      <c r="K783">
        <v>-653801.14</v>
      </c>
    </row>
    <row r="784" spans="1:11" x14ac:dyDescent="0.25">
      <c r="A784" t="s">
        <v>527</v>
      </c>
      <c r="B784" t="s">
        <v>528</v>
      </c>
      <c r="C784" t="s">
        <v>540</v>
      </c>
      <c r="D784" t="s">
        <v>603</v>
      </c>
      <c r="E784">
        <v>693801.12</v>
      </c>
      <c r="F784" t="s">
        <v>604</v>
      </c>
      <c r="G784">
        <v>0</v>
      </c>
      <c r="H784">
        <v>0</v>
      </c>
      <c r="I784">
        <v>0</v>
      </c>
      <c r="J784">
        <v>0</v>
      </c>
      <c r="K784">
        <v>693801.12</v>
      </c>
    </row>
    <row r="785" spans="1:11" x14ac:dyDescent="0.25">
      <c r="A785" t="s">
        <v>470</v>
      </c>
      <c r="B785" t="s">
        <v>471</v>
      </c>
      <c r="C785" t="s">
        <v>540</v>
      </c>
      <c r="D785" t="s">
        <v>704</v>
      </c>
      <c r="E785">
        <v>3975447.74</v>
      </c>
      <c r="F785" t="s">
        <v>705</v>
      </c>
      <c r="G785">
        <v>4794021.21</v>
      </c>
      <c r="H785">
        <v>0</v>
      </c>
      <c r="I785">
        <v>0</v>
      </c>
      <c r="J785">
        <v>0</v>
      </c>
      <c r="K785">
        <v>8769468.9499999993</v>
      </c>
    </row>
    <row r="786" spans="1:11" x14ac:dyDescent="0.25">
      <c r="A786" t="s">
        <v>472</v>
      </c>
      <c r="B786" t="s">
        <v>473</v>
      </c>
      <c r="C786" t="s">
        <v>540</v>
      </c>
      <c r="D786" t="s">
        <v>706</v>
      </c>
      <c r="E786">
        <v>43248877.090000004</v>
      </c>
      <c r="F786" t="s">
        <v>707</v>
      </c>
      <c r="G786">
        <v>12242747.390000001</v>
      </c>
      <c r="H786">
        <v>44982025.560000002</v>
      </c>
      <c r="I786">
        <v>0</v>
      </c>
      <c r="J786">
        <v>0</v>
      </c>
      <c r="K786">
        <v>100473650.04000001</v>
      </c>
    </row>
    <row r="787" spans="1:11" x14ac:dyDescent="0.25">
      <c r="A787" t="s">
        <v>1138</v>
      </c>
      <c r="B787" t="s">
        <v>1139</v>
      </c>
      <c r="C787" t="s">
        <v>540</v>
      </c>
      <c r="D787" t="s">
        <v>1140</v>
      </c>
      <c r="E787">
        <v>298320</v>
      </c>
      <c r="F787" t="s">
        <v>1141</v>
      </c>
      <c r="G787">
        <v>0</v>
      </c>
      <c r="H787">
        <v>0</v>
      </c>
      <c r="I787">
        <v>0</v>
      </c>
      <c r="J787">
        <v>0</v>
      </c>
      <c r="K787">
        <v>298320</v>
      </c>
    </row>
    <row r="788" spans="1:11" x14ac:dyDescent="0.25">
      <c r="A788" t="s">
        <v>1142</v>
      </c>
      <c r="B788" t="s">
        <v>1143</v>
      </c>
      <c r="C788" t="s">
        <v>540</v>
      </c>
      <c r="D788" t="s">
        <v>1144</v>
      </c>
      <c r="E788">
        <v>5060704</v>
      </c>
      <c r="F788" t="s">
        <v>1145</v>
      </c>
      <c r="G788">
        <v>0</v>
      </c>
      <c r="H788">
        <v>0</v>
      </c>
      <c r="I788">
        <v>0</v>
      </c>
      <c r="J788">
        <v>0</v>
      </c>
      <c r="K788">
        <v>5060704</v>
      </c>
    </row>
    <row r="789" spans="1:11" x14ac:dyDescent="0.25">
      <c r="A789" t="s">
        <v>796</v>
      </c>
      <c r="B789" t="s">
        <v>797</v>
      </c>
      <c r="C789" t="s">
        <v>540</v>
      </c>
      <c r="D789" t="s">
        <v>603</v>
      </c>
      <c r="E789">
        <v>374694.65</v>
      </c>
      <c r="F789" t="s">
        <v>604</v>
      </c>
      <c r="G789">
        <v>0</v>
      </c>
      <c r="H789">
        <v>0</v>
      </c>
      <c r="I789">
        <v>0</v>
      </c>
      <c r="J789">
        <v>0</v>
      </c>
      <c r="K789">
        <v>374694.65</v>
      </c>
    </row>
    <row r="790" spans="1:11" x14ac:dyDescent="0.25">
      <c r="A790" t="s">
        <v>1146</v>
      </c>
      <c r="B790" t="s">
        <v>987</v>
      </c>
      <c r="C790" t="s">
        <v>540</v>
      </c>
      <c r="D790" t="s">
        <v>1123</v>
      </c>
      <c r="E790">
        <v>4400000</v>
      </c>
      <c r="F790" t="s">
        <v>1124</v>
      </c>
      <c r="G790">
        <v>11200000</v>
      </c>
      <c r="H790">
        <v>5900000</v>
      </c>
      <c r="I790">
        <v>0</v>
      </c>
      <c r="J790">
        <v>0</v>
      </c>
      <c r="K790">
        <v>21500000</v>
      </c>
    </row>
    <row r="791" spans="1:11" x14ac:dyDescent="0.25">
      <c r="A791" t="s">
        <v>1147</v>
      </c>
      <c r="B791" t="s">
        <v>988</v>
      </c>
      <c r="C791" t="s">
        <v>540</v>
      </c>
      <c r="D791" t="s">
        <v>1148</v>
      </c>
      <c r="E791">
        <v>11958736.800000001</v>
      </c>
      <c r="F791" t="s">
        <v>1149</v>
      </c>
      <c r="G791">
        <v>3622115.9</v>
      </c>
      <c r="H791">
        <v>4356908.4000000004</v>
      </c>
      <c r="I791">
        <v>0</v>
      </c>
      <c r="J791">
        <v>0</v>
      </c>
      <c r="K791">
        <v>19937761.100000001</v>
      </c>
    </row>
    <row r="792" spans="1:11" x14ac:dyDescent="0.25">
      <c r="A792" t="s">
        <v>921</v>
      </c>
      <c r="B792" t="s">
        <v>922</v>
      </c>
      <c r="C792" t="s">
        <v>540</v>
      </c>
      <c r="D792" t="s">
        <v>589</v>
      </c>
      <c r="E792">
        <v>8175503.79</v>
      </c>
      <c r="F792" t="s">
        <v>590</v>
      </c>
      <c r="G792">
        <v>0</v>
      </c>
      <c r="H792">
        <v>0</v>
      </c>
      <c r="I792">
        <v>0</v>
      </c>
      <c r="J792">
        <v>0</v>
      </c>
      <c r="K792">
        <v>8175503.79</v>
      </c>
    </row>
    <row r="793" spans="1:11" x14ac:dyDescent="0.25">
      <c r="A793" t="s">
        <v>474</v>
      </c>
      <c r="B793" t="s">
        <v>475</v>
      </c>
      <c r="C793" t="s">
        <v>540</v>
      </c>
      <c r="D793" t="s">
        <v>708</v>
      </c>
      <c r="E793">
        <v>57502569.859999999</v>
      </c>
      <c r="F793" t="s">
        <v>709</v>
      </c>
      <c r="G793">
        <v>37931024.530000001</v>
      </c>
      <c r="H793">
        <v>0</v>
      </c>
      <c r="I793">
        <v>0</v>
      </c>
      <c r="J793">
        <v>0</v>
      </c>
      <c r="K793">
        <v>95433594.390000001</v>
      </c>
    </row>
    <row r="794" spans="1:11" x14ac:dyDescent="0.25">
      <c r="A794" t="s">
        <v>476</v>
      </c>
      <c r="B794" t="s">
        <v>477</v>
      </c>
      <c r="C794" t="s">
        <v>540</v>
      </c>
      <c r="D794" t="s">
        <v>563</v>
      </c>
      <c r="E794">
        <v>118858832.55</v>
      </c>
      <c r="F794" t="s">
        <v>564</v>
      </c>
      <c r="G794">
        <v>0</v>
      </c>
      <c r="H794">
        <v>0</v>
      </c>
      <c r="I794">
        <v>0</v>
      </c>
      <c r="J794">
        <v>6778094.1100000003</v>
      </c>
      <c r="K794">
        <v>125636926.66</v>
      </c>
    </row>
    <row r="795" spans="1:11" x14ac:dyDescent="0.25">
      <c r="A795" t="s">
        <v>478</v>
      </c>
      <c r="B795" t="s">
        <v>479</v>
      </c>
      <c r="C795" t="s">
        <v>540</v>
      </c>
      <c r="D795" t="s">
        <v>553</v>
      </c>
      <c r="E795">
        <v>321376</v>
      </c>
      <c r="F795" t="s">
        <v>554</v>
      </c>
      <c r="G795">
        <v>277816</v>
      </c>
      <c r="H795">
        <v>0</v>
      </c>
      <c r="I795">
        <v>0</v>
      </c>
      <c r="J795">
        <v>0</v>
      </c>
      <c r="K795">
        <v>599192</v>
      </c>
    </row>
    <row r="796" spans="1:11" x14ac:dyDescent="0.25">
      <c r="A796" t="s">
        <v>529</v>
      </c>
      <c r="B796" t="s">
        <v>530</v>
      </c>
      <c r="C796" t="s">
        <v>540</v>
      </c>
      <c r="D796" t="s">
        <v>573</v>
      </c>
      <c r="E796">
        <v>718274.12</v>
      </c>
      <c r="F796" t="s">
        <v>574</v>
      </c>
      <c r="G796">
        <v>1493950.79</v>
      </c>
      <c r="H796">
        <v>0</v>
      </c>
      <c r="I796">
        <v>0</v>
      </c>
      <c r="J796">
        <v>0</v>
      </c>
      <c r="K796">
        <v>2212224.91</v>
      </c>
    </row>
    <row r="797" spans="1:11" x14ac:dyDescent="0.25">
      <c r="A797" t="s">
        <v>480</v>
      </c>
      <c r="B797" t="s">
        <v>834</v>
      </c>
      <c r="C797" t="s">
        <v>540</v>
      </c>
      <c r="D797" t="s">
        <v>677</v>
      </c>
      <c r="E797">
        <v>0</v>
      </c>
      <c r="F797" t="s">
        <v>678</v>
      </c>
      <c r="G797">
        <v>1624385.6</v>
      </c>
      <c r="H797">
        <v>5107929.55</v>
      </c>
      <c r="I797">
        <v>0</v>
      </c>
      <c r="J797">
        <v>0</v>
      </c>
      <c r="K797">
        <v>6732315.1500000004</v>
      </c>
    </row>
    <row r="798" spans="1:11" x14ac:dyDescent="0.25">
      <c r="A798" t="s">
        <v>1150</v>
      </c>
      <c r="B798" t="s">
        <v>989</v>
      </c>
      <c r="C798" t="s">
        <v>540</v>
      </c>
      <c r="D798" t="s">
        <v>784</v>
      </c>
      <c r="E798">
        <v>0</v>
      </c>
      <c r="F798" t="s">
        <v>785</v>
      </c>
      <c r="G798">
        <v>38844210</v>
      </c>
      <c r="H798">
        <v>19422105</v>
      </c>
      <c r="I798">
        <v>0</v>
      </c>
      <c r="J798">
        <v>0</v>
      </c>
      <c r="K798">
        <v>58266315</v>
      </c>
    </row>
    <row r="799" spans="1:11" x14ac:dyDescent="0.25">
      <c r="A799" t="s">
        <v>1151</v>
      </c>
      <c r="B799" t="s">
        <v>990</v>
      </c>
      <c r="C799" t="s">
        <v>540</v>
      </c>
      <c r="D799" t="s">
        <v>589</v>
      </c>
      <c r="E799">
        <v>0</v>
      </c>
      <c r="F799" t="s">
        <v>590</v>
      </c>
      <c r="G799">
        <v>11964832.300000001</v>
      </c>
      <c r="H799">
        <v>0</v>
      </c>
      <c r="I799">
        <v>0</v>
      </c>
      <c r="J799">
        <v>0</v>
      </c>
      <c r="K799">
        <v>11964832.300000001</v>
      </c>
    </row>
    <row r="800" spans="1:11" x14ac:dyDescent="0.25">
      <c r="A800" t="s">
        <v>481</v>
      </c>
      <c r="B800" t="s">
        <v>482</v>
      </c>
      <c r="C800" t="s">
        <v>540</v>
      </c>
      <c r="D800" t="s">
        <v>633</v>
      </c>
      <c r="E800">
        <v>0</v>
      </c>
      <c r="F800" t="s">
        <v>634</v>
      </c>
      <c r="G800">
        <v>2923830</v>
      </c>
      <c r="H800">
        <v>0</v>
      </c>
      <c r="I800">
        <v>0</v>
      </c>
      <c r="J800">
        <v>0</v>
      </c>
      <c r="K800">
        <v>2923830</v>
      </c>
    </row>
    <row r="801" spans="1:11" x14ac:dyDescent="0.25">
      <c r="A801" t="s">
        <v>483</v>
      </c>
      <c r="B801" t="s">
        <v>484</v>
      </c>
      <c r="C801" t="s">
        <v>540</v>
      </c>
      <c r="D801" t="s">
        <v>679</v>
      </c>
      <c r="E801">
        <v>872563034.71000004</v>
      </c>
      <c r="F801" t="s">
        <v>680</v>
      </c>
      <c r="G801">
        <v>1591165260</v>
      </c>
      <c r="H801">
        <v>0</v>
      </c>
      <c r="I801">
        <v>0</v>
      </c>
      <c r="J801">
        <v>0</v>
      </c>
      <c r="K801">
        <v>2463728294.71</v>
      </c>
    </row>
  </sheetData>
  <mergeCells count="3">
    <mergeCell ref="A1:F1"/>
    <mergeCell ref="A2:F2"/>
    <mergeCell ref="A326:F32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26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42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4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62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111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105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14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103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124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152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130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129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76</v>
      </c>
      <c r="J18" s="52"/>
    </row>
    <row r="19" spans="1:10" ht="18" customHeight="1" x14ac:dyDescent="0.25">
      <c r="A19" s="53" t="s">
        <v>991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348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-46255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-46255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-46255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-46255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-46255</v>
      </c>
      <c r="J25" s="44"/>
    </row>
    <row r="27" spans="1:10" x14ac:dyDescent="0.25">
      <c r="A27" s="72" t="s">
        <v>180</v>
      </c>
      <c r="B27" s="72"/>
      <c r="C27" s="72"/>
      <c r="D27" s="72"/>
      <c r="E27" s="72"/>
      <c r="F27" s="72"/>
      <c r="G27" s="72"/>
      <c r="H27" s="72"/>
      <c r="I27" s="72"/>
      <c r="J27" s="72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2026-08-21T15:47:19Z</dcterms:modified>
  <dc:language>en-US</dc:language>
</cp:coreProperties>
</file>