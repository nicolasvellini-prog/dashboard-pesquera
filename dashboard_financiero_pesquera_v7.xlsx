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DD88FED4-F225-4A31-83E7-76457592D4C7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PRESTAMOS_USD" sheetId="9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94" i="2" l="1"/>
  <c r="AI94" i="2"/>
  <c r="AH94" i="2"/>
  <c r="AG94" i="2"/>
  <c r="AF94" i="2"/>
  <c r="AE94" i="2"/>
  <c r="AD94" i="2"/>
  <c r="AC94" i="2"/>
  <c r="AB94" i="2"/>
  <c r="AA94" i="2"/>
  <c r="Z94" i="2"/>
  <c r="Y94" i="2"/>
  <c r="X94" i="2"/>
  <c r="Q94" i="2"/>
  <c r="O94" i="2"/>
  <c r="L94" i="2"/>
  <c r="J94" i="2"/>
  <c r="I93" i="2"/>
  <c r="I94" i="2"/>
  <c r="H94" i="2"/>
  <c r="G94" i="2"/>
  <c r="F94" i="2"/>
  <c r="E94" i="2"/>
  <c r="D93" i="2"/>
  <c r="D94" i="2"/>
  <c r="B94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AJ91" i="2" l="1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J89" i="2"/>
  <c r="AI89" i="2"/>
  <c r="AH89" i="2"/>
  <c r="AG89" i="2"/>
  <c r="AG90" i="2" s="1"/>
  <c r="AG91" i="2" s="1"/>
  <c r="AG92" i="2" s="1"/>
  <c r="Z89" i="2"/>
  <c r="Z90" i="2" s="1"/>
  <c r="Z91" i="2" s="1"/>
  <c r="Z92" i="2" s="1"/>
  <c r="H89" i="2"/>
  <c r="F162" i="7"/>
  <c r="F161" i="7"/>
  <c r="F160" i="7"/>
  <c r="F159" i="7"/>
  <c r="F158" i="7"/>
  <c r="F157" i="7"/>
  <c r="F156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64" i="8"/>
  <c r="D264" i="8"/>
  <c r="E263" i="8"/>
  <c r="D263" i="8"/>
  <c r="E262" i="8"/>
  <c r="D262" i="8"/>
  <c r="E261" i="8"/>
  <c r="D261" i="8"/>
  <c r="E260" i="8"/>
  <c r="D260" i="8"/>
  <c r="E259" i="8"/>
  <c r="D259" i="8"/>
  <c r="E258" i="8"/>
  <c r="D258" i="8"/>
  <c r="E257" i="8"/>
  <c r="D257" i="8"/>
  <c r="E256" i="8"/>
  <c r="D256" i="8"/>
  <c r="E255" i="8"/>
  <c r="D255" i="8"/>
  <c r="E254" i="8"/>
  <c r="D254" i="8"/>
  <c r="E253" i="8"/>
  <c r="D253" i="8"/>
  <c r="E252" i="8"/>
  <c r="D252" i="8"/>
  <c r="E251" i="8"/>
  <c r="D251" i="8"/>
  <c r="E250" i="8"/>
  <c r="D250" i="8"/>
  <c r="E249" i="8"/>
  <c r="D249" i="8"/>
  <c r="E248" i="8"/>
  <c r="D248" i="8"/>
  <c r="E247" i="8"/>
  <c r="D247" i="8"/>
  <c r="E246" i="8"/>
  <c r="D246" i="8"/>
  <c r="E245" i="8"/>
  <c r="D245" i="8"/>
  <c r="E244" i="8"/>
  <c r="D244" i="8"/>
  <c r="E243" i="8"/>
  <c r="D243" i="8"/>
  <c r="E242" i="8"/>
  <c r="D242" i="8"/>
  <c r="E241" i="8"/>
  <c r="D241" i="8"/>
  <c r="E240" i="8"/>
  <c r="D240" i="8"/>
  <c r="E239" i="8"/>
  <c r="D239" i="8"/>
  <c r="E238" i="8"/>
  <c r="D238" i="8"/>
  <c r="E237" i="8"/>
  <c r="D237" i="8"/>
  <c r="E236" i="8"/>
  <c r="D236" i="8"/>
  <c r="E235" i="8"/>
  <c r="D235" i="8"/>
  <c r="E234" i="8"/>
  <c r="D234" i="8"/>
  <c r="E233" i="8"/>
  <c r="D233" i="8"/>
  <c r="E232" i="8"/>
  <c r="D232" i="8"/>
  <c r="E231" i="8"/>
  <c r="D231" i="8"/>
  <c r="E230" i="8"/>
  <c r="D230" i="8"/>
  <c r="E229" i="8"/>
  <c r="D229" i="8"/>
  <c r="E228" i="8"/>
  <c r="D228" i="8"/>
  <c r="E227" i="8"/>
  <c r="D227" i="8"/>
  <c r="E226" i="8"/>
  <c r="D226" i="8"/>
  <c r="E225" i="8"/>
  <c r="D225" i="8"/>
  <c r="E224" i="8"/>
  <c r="D224" i="8"/>
  <c r="E223" i="8"/>
  <c r="D223" i="8"/>
  <c r="E222" i="8"/>
  <c r="D222" i="8"/>
  <c r="E221" i="8"/>
  <c r="D221" i="8"/>
  <c r="E220" i="8"/>
  <c r="D220" i="8"/>
  <c r="E219" i="8"/>
  <c r="D219" i="8"/>
  <c r="E218" i="8"/>
  <c r="D218" i="8"/>
  <c r="E217" i="8"/>
  <c r="D217" i="8"/>
  <c r="E216" i="8"/>
  <c r="D216" i="8"/>
  <c r="E215" i="8"/>
  <c r="D215" i="8"/>
  <c r="E214" i="8"/>
  <c r="D214" i="8"/>
  <c r="E213" i="8"/>
  <c r="D213" i="8"/>
  <c r="E212" i="8"/>
  <c r="D212" i="8"/>
  <c r="E211" i="8"/>
  <c r="D211" i="8"/>
  <c r="E210" i="8"/>
  <c r="D210" i="8"/>
  <c r="E209" i="8"/>
  <c r="D209" i="8"/>
  <c r="E208" i="8"/>
  <c r="D208" i="8"/>
  <c r="E207" i="8"/>
  <c r="D207" i="8"/>
  <c r="E206" i="8"/>
  <c r="D206" i="8"/>
  <c r="E205" i="8"/>
  <c r="D205" i="8"/>
  <c r="E204" i="8"/>
  <c r="D204" i="8"/>
  <c r="E203" i="8"/>
  <c r="D203" i="8"/>
  <c r="E202" i="8"/>
  <c r="D202" i="8"/>
  <c r="E201" i="8"/>
  <c r="D201" i="8"/>
  <c r="E200" i="8"/>
  <c r="D200" i="8"/>
  <c r="E199" i="8"/>
  <c r="D199" i="8"/>
  <c r="E198" i="8"/>
  <c r="D198" i="8"/>
  <c r="E197" i="8"/>
  <c r="D197" i="8"/>
  <c r="E196" i="8"/>
  <c r="D196" i="8"/>
  <c r="E195" i="8"/>
  <c r="D195" i="8"/>
  <c r="E194" i="8"/>
  <c r="D194" i="8"/>
  <c r="E193" i="8"/>
  <c r="D193" i="8"/>
  <c r="E192" i="8"/>
  <c r="D192" i="8"/>
  <c r="E191" i="8"/>
  <c r="D191" i="8"/>
  <c r="E190" i="8"/>
  <c r="D190" i="8"/>
  <c r="E189" i="8"/>
  <c r="D189" i="8"/>
  <c r="E188" i="8"/>
  <c r="D188" i="8"/>
  <c r="E187" i="8"/>
  <c r="D187" i="8"/>
  <c r="E186" i="8"/>
  <c r="D186" i="8"/>
  <c r="E185" i="8"/>
  <c r="D185" i="8"/>
  <c r="E184" i="8"/>
  <c r="D184" i="8"/>
  <c r="E183" i="8"/>
  <c r="D183" i="8"/>
  <c r="E182" i="8"/>
  <c r="D182" i="8"/>
  <c r="E181" i="8"/>
  <c r="D181" i="8"/>
  <c r="E180" i="8"/>
  <c r="D180" i="8"/>
  <c r="E179" i="8"/>
  <c r="D179" i="8"/>
  <c r="E178" i="8"/>
  <c r="D178" i="8"/>
  <c r="E177" i="8"/>
  <c r="D177" i="8"/>
  <c r="E176" i="8"/>
  <c r="D176" i="8"/>
  <c r="E175" i="8"/>
  <c r="D175" i="8"/>
  <c r="E174" i="8"/>
  <c r="D174" i="8"/>
  <c r="E173" i="8"/>
  <c r="D173" i="8"/>
  <c r="E172" i="8"/>
  <c r="D172" i="8"/>
  <c r="E171" i="8"/>
  <c r="D171" i="8"/>
  <c r="E170" i="8"/>
  <c r="D170" i="8"/>
  <c r="E169" i="8"/>
  <c r="D169" i="8"/>
  <c r="E168" i="8"/>
  <c r="D168" i="8"/>
  <c r="E167" i="8"/>
  <c r="D167" i="8"/>
  <c r="E166" i="8"/>
  <c r="D166" i="8"/>
  <c r="E165" i="8"/>
  <c r="D165" i="8"/>
  <c r="E164" i="8"/>
  <c r="D164" i="8"/>
  <c r="E163" i="8"/>
  <c r="D163" i="8"/>
  <c r="E162" i="8"/>
  <c r="D162" i="8"/>
  <c r="E161" i="8"/>
  <c r="D161" i="8"/>
  <c r="E160" i="8"/>
  <c r="D160" i="8"/>
  <c r="E159" i="8"/>
  <c r="D159" i="8"/>
  <c r="E158" i="8"/>
  <c r="D158" i="8"/>
  <c r="E157" i="8"/>
  <c r="D157" i="8"/>
  <c r="E156" i="8"/>
  <c r="D156" i="8"/>
  <c r="E155" i="8"/>
  <c r="D155" i="8"/>
  <c r="E154" i="8"/>
  <c r="D154" i="8"/>
  <c r="E153" i="8"/>
  <c r="D153" i="8"/>
  <c r="E152" i="8"/>
  <c r="D152" i="8"/>
  <c r="E151" i="8"/>
  <c r="D151" i="8"/>
  <c r="E150" i="8"/>
  <c r="D150" i="8"/>
  <c r="E149" i="8"/>
  <c r="D149" i="8"/>
  <c r="E148" i="8"/>
  <c r="D148" i="8"/>
  <c r="E147" i="8"/>
  <c r="D147" i="8"/>
  <c r="E146" i="8"/>
  <c r="D146" i="8"/>
  <c r="E145" i="8"/>
  <c r="D145" i="8"/>
  <c r="E144" i="8"/>
  <c r="D144" i="8"/>
  <c r="E143" i="8"/>
  <c r="D143" i="8"/>
  <c r="E142" i="8"/>
  <c r="D142" i="8"/>
  <c r="E141" i="8"/>
  <c r="D141" i="8"/>
  <c r="E140" i="8"/>
  <c r="D140" i="8"/>
  <c r="E139" i="8"/>
  <c r="D139" i="8"/>
  <c r="E138" i="8"/>
  <c r="D138" i="8"/>
  <c r="E137" i="8"/>
  <c r="D137" i="8"/>
  <c r="E136" i="8"/>
  <c r="D136" i="8"/>
  <c r="E135" i="8"/>
  <c r="D135" i="8"/>
  <c r="E134" i="8"/>
  <c r="D134" i="8"/>
  <c r="E133" i="8"/>
  <c r="D133" i="8"/>
  <c r="E132" i="8"/>
  <c r="D132" i="8"/>
  <c r="E131" i="8"/>
  <c r="D131" i="8"/>
  <c r="E130" i="8"/>
  <c r="D130" i="8"/>
  <c r="E129" i="8"/>
  <c r="D129" i="8"/>
  <c r="E128" i="8"/>
  <c r="D128" i="8"/>
  <c r="E127" i="8"/>
  <c r="D127" i="8"/>
  <c r="E126" i="8"/>
  <c r="D126" i="8"/>
  <c r="E125" i="8"/>
  <c r="D125" i="8"/>
  <c r="E124" i="8"/>
  <c r="D124" i="8"/>
  <c r="E123" i="8"/>
  <c r="D123" i="8"/>
  <c r="E122" i="8"/>
  <c r="D122" i="8"/>
  <c r="E121" i="8"/>
  <c r="D121" i="8"/>
  <c r="E120" i="8"/>
  <c r="D120" i="8"/>
  <c r="E119" i="8"/>
  <c r="D119" i="8"/>
  <c r="E118" i="8"/>
  <c r="D118" i="8"/>
  <c r="E117" i="8"/>
  <c r="D117" i="8"/>
  <c r="E116" i="8"/>
  <c r="D116" i="8"/>
  <c r="E115" i="8"/>
  <c r="D115" i="8"/>
  <c r="E114" i="8"/>
  <c r="D114" i="8"/>
  <c r="E113" i="8"/>
  <c r="D113" i="8"/>
  <c r="E112" i="8"/>
  <c r="D112" i="8"/>
  <c r="E111" i="8"/>
  <c r="D111" i="8"/>
  <c r="E110" i="8"/>
  <c r="D110" i="8"/>
  <c r="E109" i="8"/>
  <c r="D109" i="8"/>
  <c r="E108" i="8"/>
  <c r="D108" i="8"/>
  <c r="E107" i="8"/>
  <c r="D107" i="8"/>
  <c r="E106" i="8"/>
  <c r="D106" i="8"/>
  <c r="E105" i="8"/>
  <c r="D105" i="8"/>
  <c r="E104" i="8"/>
  <c r="D104" i="8"/>
  <c r="E103" i="8"/>
  <c r="D103" i="8"/>
  <c r="E102" i="8"/>
  <c r="D102" i="8"/>
  <c r="E101" i="8"/>
  <c r="D101" i="8"/>
  <c r="E100" i="8"/>
  <c r="D100" i="8"/>
  <c r="E99" i="8"/>
  <c r="D99" i="8"/>
  <c r="E98" i="8"/>
  <c r="D98" i="8"/>
  <c r="E97" i="8"/>
  <c r="D97" i="8"/>
  <c r="E96" i="8"/>
  <c r="D96" i="8"/>
  <c r="E95" i="8"/>
  <c r="D95" i="8"/>
  <c r="E94" i="8"/>
  <c r="D94" i="8"/>
  <c r="E93" i="8"/>
  <c r="D93" i="8"/>
  <c r="E92" i="8"/>
  <c r="D92" i="8"/>
  <c r="E91" i="8"/>
  <c r="D91" i="8"/>
  <c r="E90" i="8"/>
  <c r="D90" i="8"/>
  <c r="E89" i="8"/>
  <c r="D89" i="8"/>
  <c r="E88" i="8"/>
  <c r="D88" i="8"/>
  <c r="E87" i="8"/>
  <c r="D87" i="8"/>
  <c r="E86" i="8"/>
  <c r="D86" i="8"/>
  <c r="E85" i="8"/>
  <c r="D85" i="8"/>
  <c r="E84" i="8"/>
  <c r="D84" i="8"/>
  <c r="E83" i="8"/>
  <c r="D83" i="8"/>
  <c r="E82" i="8"/>
  <c r="D82" i="8"/>
  <c r="E81" i="8"/>
  <c r="D81" i="8"/>
  <c r="E80" i="8"/>
  <c r="D80" i="8"/>
  <c r="E79" i="8"/>
  <c r="D79" i="8"/>
  <c r="E78" i="8"/>
  <c r="D78" i="8"/>
  <c r="E77" i="8"/>
  <c r="D77" i="8"/>
  <c r="E76" i="8"/>
  <c r="D76" i="8"/>
  <c r="E75" i="8"/>
  <c r="D75" i="8"/>
  <c r="E74" i="8"/>
  <c r="D74" i="8"/>
  <c r="E73" i="8"/>
  <c r="D73" i="8"/>
  <c r="E72" i="8"/>
  <c r="D72" i="8"/>
  <c r="E71" i="8"/>
  <c r="D71" i="8"/>
  <c r="E70" i="8"/>
  <c r="D70" i="8"/>
  <c r="E69" i="8"/>
  <c r="D69" i="8"/>
  <c r="E68" i="8"/>
  <c r="D68" i="8"/>
  <c r="E67" i="8"/>
  <c r="D67" i="8"/>
  <c r="E66" i="8"/>
  <c r="D66" i="8"/>
  <c r="E65" i="8"/>
  <c r="D65" i="8"/>
  <c r="E64" i="8"/>
  <c r="D64" i="8"/>
  <c r="E63" i="8"/>
  <c r="D63" i="8"/>
  <c r="E62" i="8"/>
  <c r="D62" i="8"/>
  <c r="E61" i="8"/>
  <c r="D61" i="8"/>
  <c r="E60" i="8"/>
  <c r="D60" i="8"/>
  <c r="E59" i="8"/>
  <c r="D59" i="8"/>
  <c r="E58" i="8"/>
  <c r="D58" i="8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50" i="8"/>
  <c r="D50" i="8"/>
  <c r="E49" i="8"/>
  <c r="D49" i="8"/>
  <c r="E48" i="8"/>
  <c r="D48" i="8"/>
  <c r="E47" i="8"/>
  <c r="D47" i="8"/>
  <c r="E46" i="8"/>
  <c r="D46" i="8"/>
  <c r="E45" i="8"/>
  <c r="D45" i="8"/>
  <c r="E44" i="8"/>
  <c r="D44" i="8"/>
  <c r="E43" i="8"/>
  <c r="D43" i="8"/>
  <c r="E42" i="8"/>
  <c r="D42" i="8"/>
  <c r="E41" i="8"/>
  <c r="D41" i="8"/>
  <c r="E40" i="8"/>
  <c r="D40" i="8"/>
  <c r="E39" i="8"/>
  <c r="D39" i="8"/>
  <c r="E38" i="8"/>
  <c r="D38" i="8"/>
  <c r="E37" i="8"/>
  <c r="D37" i="8"/>
  <c r="E36" i="8"/>
  <c r="D36" i="8"/>
  <c r="E35" i="8"/>
  <c r="D35" i="8"/>
  <c r="E34" i="8"/>
  <c r="D34" i="8"/>
  <c r="E33" i="8"/>
  <c r="D33" i="8"/>
  <c r="E32" i="8"/>
  <c r="D32" i="8"/>
  <c r="E31" i="8"/>
  <c r="D31" i="8"/>
  <c r="E30" i="8"/>
  <c r="D30" i="8"/>
  <c r="E29" i="8"/>
  <c r="D29" i="8"/>
  <c r="E28" i="8"/>
  <c r="D28" i="8"/>
  <c r="E27" i="8"/>
  <c r="D27" i="8"/>
  <c r="E26" i="8"/>
  <c r="D26" i="8"/>
  <c r="E25" i="8"/>
  <c r="D25" i="8"/>
  <c r="E24" i="8"/>
  <c r="D24" i="8"/>
  <c r="E23" i="8"/>
  <c r="D23" i="8"/>
  <c r="E22" i="8"/>
  <c r="D22" i="8"/>
  <c r="E21" i="8"/>
  <c r="D21" i="8"/>
  <c r="E20" i="8"/>
  <c r="D20" i="8"/>
  <c r="E19" i="8"/>
  <c r="D19" i="8"/>
  <c r="E18" i="8"/>
  <c r="D18" i="8"/>
  <c r="E17" i="8"/>
  <c r="D17" i="8"/>
  <c r="E16" i="8"/>
  <c r="D16" i="8"/>
  <c r="E15" i="8"/>
  <c r="D15" i="8"/>
  <c r="E14" i="8"/>
  <c r="D14" i="8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H15" i="9"/>
  <c r="G15" i="9"/>
  <c r="F14" i="9"/>
  <c r="G14" i="9" s="1"/>
  <c r="H14" i="9" s="1"/>
  <c r="I14" i="9"/>
  <c r="F13" i="9"/>
  <c r="G13" i="9" s="1"/>
  <c r="H13" i="9" s="1"/>
  <c r="I13" i="9"/>
  <c r="F11" i="9"/>
  <c r="G11" i="9"/>
  <c r="H11" i="9" s="1"/>
  <c r="I11" i="9"/>
  <c r="B15" i="9"/>
  <c r="I12" i="9"/>
  <c r="F12" i="9"/>
  <c r="G12" i="9" s="1"/>
  <c r="H12" i="9" s="1"/>
  <c r="I10" i="9"/>
  <c r="F10" i="9"/>
  <c r="G10" i="9" s="1"/>
  <c r="H10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I20" i="9" l="1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C265" i="8"/>
  <c r="D265" i="8" s="1"/>
  <c r="E5" i="8"/>
  <c r="D5" i="8"/>
  <c r="F168" i="7"/>
  <c r="F167" i="7"/>
  <c r="F166" i="7"/>
  <c r="F165" i="7"/>
  <c r="F164" i="7"/>
  <c r="C163" i="7"/>
  <c r="F4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94" i="6" l="1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<sst xmlns="http://schemas.openxmlformats.org/spreadsheetml/2006/main" count="1900" uniqueCount="720">
  <si>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</si>
  <si>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</si>
  <si>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</si>
  <si>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</si>
  <si>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</si>
  <si>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</si>
  <si>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</si>
  <si>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</si>
  <si>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</si>
  <si>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</si>
  <si>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</si>
  <si>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</si>
  <si>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</si>
  <si>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</si>
  <si>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</si>
  <si>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</si>
  <si>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</si>
  <si>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</si>
  <si>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</si>
  <si>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</si>
  <si>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</si>
  <si>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</si>
  <si>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</si>
  <si>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</si>
  <si>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</si>
  <si>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</si>
  <si>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</si>
  <si>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</si>
  <si>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</si>
  <si>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</si>
  <si>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</si>
  <si>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</si>
  <si>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</si>
  <si>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</si>
  <si>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</si>
  <si>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</si>
  <si>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</si>
  <si>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</si>
  <si>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</si>
  <si>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</si>
  <si>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</si>
  <si>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</si>
  <si>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</si>
  <si>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</si>
  <si>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</si>
  <si>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</si>
  <si>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</si>
  <si>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</si>
  <si>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</si>
  <si>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</si>
  <si>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</si>
  <si>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</si>
  <si>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</si>
  <si>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</si>
  <si>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</si>
  <si>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</si>
  <si>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</si>
  <si>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</si>
  <si>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</si>
  <si>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</si>
  <si>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</si>
  <si>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</si>
  <si>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</si>
  <si>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</si>
  <si>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</si>
  <si>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</si>
  <si>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</si>
  <si>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</si>
  <si>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</si>
  <si>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</si>
  <si>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</si>
  <si>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</si>
  <si>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</si>
  <si>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</si>
  <si>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</si>
  <si>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</si>
  <si>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</si>
  <si>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</si>
  <si>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</si>
  <si>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</si>
  <si>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</si>
  <si>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</si>
  <si>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</si>
  <si>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</si>
  <si>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</si>
  <si>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</si>
  <si>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</si>
  <si>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</si>
  <si>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</si>
  <si>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</si>
  <si>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</si>
  <si>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</si>
  <si>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</si>
  <si>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</si>
  <si>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</si>
  <si>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</si>
  <si>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</si>
  <si>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</si>
  <si>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</si>
  <si>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</si>
  <si>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</si>
  <si>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</si>
  <si>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</si>
  <si>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</si>
  <si>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</si>
  <si>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</si>
  <si>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</si>
  <si>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</si>
  <si>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</si>
  <si>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</si>
  <si>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</si>
  <si>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</si>
  <si>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</si>
  <si>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</si>
  <si>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</si>
  <si>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</si>
  <si>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</si>
  <si>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</si>
  <si>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</si>
  <si>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</si>
  <si>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</si>
  <si>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</si>
  <si>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</si>
  <si>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</si>
  <si>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</si>
  <si>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</si>
  <si>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</si>
  <si>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</si>
  <si>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</si>
  <si>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</si>
  <si>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</si>
  <si>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</si>
  <si>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</si>
  <si>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</si>
  <si>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</si>
  <si>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</si>
  <si>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</si>
  <si>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</si>
  <si>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</si>
  <si>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</si>
  <si>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</si>
  <si>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</si>
  <si>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</si>
  <si>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</si>
  <si>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</si>
  <si>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</si>
  <si>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</si>
  <si>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</si>
  <si>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</si>
  <si>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</si>
  <si>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</si>
  <si>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</si>
  <si>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</si>
  <si>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</si>
  <si>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</si>
  <si>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</si>
  <si>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</si>
  <si>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</si>
  <si>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</si>
  <si>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</si>
  <si>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</si>
  <si>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</si>
  <si>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</si>
  <si>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</si>
  <si>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</si>
  <si>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</si>
  <si>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</si>
  <si>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</si>
  <si>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</si>
  <si>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</si>
  <si>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</si>
  <si>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</si>
  <si>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</si>
  <si>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</si>
  <si>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</si>
  <si>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</si>
  <si>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</si>
  <si>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</si>
  <si>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</si>
  <si>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</si>
  <si>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</si>
  <si>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</si>
  <si>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08938</t>
  </si>
  <si>
    <t> AGROLOG S.A</t>
  </si>
  <si>
    <t>08053</t>
  </si>
  <si>
    <t> ARG SEAMAN ELECTRONICS S.A.</t>
  </si>
  <si>
    <t>07768</t>
  </si>
  <si>
    <t> BCMDP S.A.S</t>
  </si>
  <si>
    <t>09021</t>
  </si>
  <si>
    <t> CLEANING IN PACE S.R.L.</t>
  </si>
  <si>
    <t>09065</t>
  </si>
  <si>
    <t> L K GLOBAL SA</t>
  </si>
  <si>
    <t>09007</t>
  </si>
  <si>
    <t> LA INDUSTRIAL ELECTRICA S A</t>
  </si>
  <si>
    <t>08859</t>
  </si>
  <si>
    <t> MODOC S.A</t>
  </si>
  <si>
    <t>09106</t>
  </si>
  <si>
    <t> MUTUAL DE PESCADORES MARITIMOS</t>
  </si>
  <si>
    <t>08250</t>
  </si>
  <si>
    <t> NALDO LOMBARDI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</si>
  <si>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</si>
  <si>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</si>
  <si>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</si>
  <si>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</si>
  <si>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</si>
  <si>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</si>
  <si>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05029</t>
  </si>
  <si>
    <t>ALMACEN NAVAL ELENA SRL</t>
  </si>
  <si>
    <t>06176</t>
  </si>
  <si>
    <t>ALTA DISTRIBUCION SA</t>
  </si>
  <si>
    <t>07867</t>
  </si>
  <si>
    <t>ALTAVILLA S.R.L.</t>
  </si>
  <si>
    <t>00240</t>
  </si>
  <si>
    <t>AMX ARGENTINA S.A. (CAE)</t>
  </si>
  <si>
    <t>07039</t>
  </si>
  <si>
    <t>ARCAMONE ANA</t>
  </si>
  <si>
    <t>08001</t>
  </si>
  <si>
    <t>ATLANTIS ELECTRONICS CORP</t>
  </si>
  <si>
    <t>07846</t>
  </si>
  <si>
    <t>AUTOVIA 3 S.A.</t>
  </si>
  <si>
    <t>07910</t>
  </si>
  <si>
    <t>BALIÑA GERARDO DANIEL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</si>
  <si>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</si>
  <si>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</si>
  <si>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</si>
  <si>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</si>
  <si>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</si>
  <si>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</si>
  <si>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</si>
  <si>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</si>
  <si>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05738</t>
  </si>
  <si>
    <t>BERNABEU SONIA</t>
  </si>
  <si>
    <t>07931</t>
  </si>
  <si>
    <t>BIANCHI LUCIA DEL CARMEN</t>
  </si>
  <si>
    <t>08426</t>
  </si>
  <si>
    <t>BRAC MDQ CORPORATION SA</t>
  </si>
  <si>
    <t>08399</t>
  </si>
  <si>
    <t>BRASAS JUAN IGNACIO</t>
  </si>
  <si>
    <t>09060</t>
  </si>
  <si>
    <t>BRAVO MINNUCCI MDQ SOCIEDAD DE RESPONSABILIDAD LIMITADA</t>
  </si>
  <si>
    <t>07597</t>
  </si>
  <si>
    <t>BULLBLACK SA</t>
  </si>
  <si>
    <t>00532</t>
  </si>
  <si>
    <t>CABRALES S.A.</t>
  </si>
  <si>
    <t>08594</t>
  </si>
  <si>
    <t>CAJIDE JAVIER</t>
  </si>
  <si>
    <t>04151</t>
  </si>
  <si>
    <t>CAMUZZI GAS  (O.ZARATE)</t>
  </si>
  <si>
    <t>06728</t>
  </si>
  <si>
    <t>CANALES ARIEL CESAR LUIS</t>
  </si>
  <si>
    <t>09170</t>
  </si>
  <si>
    <t>CARGO NET LOGISTIC S A</t>
  </si>
  <si>
    <t>06217</t>
  </si>
  <si>
    <t>CARPINTERIA DAMIANI SRL</t>
  </si>
  <si>
    <t>01006</t>
  </si>
  <si>
    <t>CARTONERIA ACEVEDO SACI</t>
  </si>
  <si>
    <t>00073</t>
  </si>
  <si>
    <t>CASA BLANCO S.A.</t>
  </si>
  <si>
    <t>01849</t>
  </si>
  <si>
    <t>CASA MINGO S.R.L.</t>
  </si>
  <si>
    <t>00020</t>
  </si>
  <si>
    <t>CERROSUD S.A. (CAE)</t>
  </si>
  <si>
    <t>05707</t>
  </si>
  <si>
    <t>CMA CGM ARGENTINA S.A.</t>
  </si>
  <si>
    <t>00448</t>
  </si>
  <si>
    <t>CONCA HUGO CESAR</t>
  </si>
  <si>
    <t>03545</t>
  </si>
  <si>
    <t>CONSEJO DE EMPRESAS PESQUERAS ARGENTINAS</t>
  </si>
  <si>
    <t>03848</t>
  </si>
  <si>
    <t>CONSORCIO PORTUARIO REGIONAL DE MAR DEL PLATA</t>
  </si>
  <si>
    <t>08526</t>
  </si>
  <si>
    <t>CONSULTORA GESTAM MDP SA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</si>
  <si>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</si>
  <si>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</si>
  <si>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</si>
  <si>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</si>
  <si>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</si>
  <si>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</si>
  <si>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</si>
  <si>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</si>
  <si>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</si>
  <si>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</si>
  <si>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09602</t>
  </si>
  <si>
    <t>CORREAS AUTO CORD S 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</si>
  <si>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</si>
  <si>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</si>
  <si>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</si>
  <si>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</si>
  <si>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</si>
  <si>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</si>
  <si>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</si>
  <si>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</si>
  <si>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</si>
  <si>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</si>
  <si>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</si>
  <si>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</si>
  <si>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</si>
  <si>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</si>
  <si>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</si>
  <si>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</si>
  <si>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</si>
  <si>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</si>
  <si>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</si>
  <si>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</si>
  <si>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</si>
  <si>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</si>
  <si>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</si>
  <si>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</si>
  <si>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</si>
  <si>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</si>
  <si>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</si>
  <si>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</si>
  <si>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</si>
  <si>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</si>
  <si>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03905</t>
  </si>
  <si>
    <t>DUGAS S.R.L.</t>
  </si>
  <si>
    <t>09448</t>
  </si>
  <si>
    <t>DURAGOM S.R.L.</t>
  </si>
  <si>
    <t>09164</t>
  </si>
  <si>
    <t>ECHEVERRIA HECTOR RICARDO LORENZO</t>
  </si>
  <si>
    <t>02247</t>
  </si>
  <si>
    <t>EDEA S.A. (BERMEJO 587)</t>
  </si>
  <si>
    <t>02252</t>
  </si>
  <si>
    <t>EDEA S.A. (O.ZARATE)</t>
  </si>
  <si>
    <t>02254</t>
  </si>
  <si>
    <t>EDEA S.A. Nº 622787(MUELL</t>
  </si>
  <si>
    <t>06346</t>
  </si>
  <si>
    <t>EDEA SA - TORRE AZUL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</si>
  <si>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</si>
  <si>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</si>
  <si>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</si>
  <si>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</si>
  <si>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</si>
  <si>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</si>
  <si>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07442</t>
  </si>
  <si>
    <t>EREJOMOVICH VIVIANA PATRICIA</t>
  </si>
  <si>
    <t>01337</t>
  </si>
  <si>
    <t>ERRIQUENZ HNOS S.R.L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</si>
  <si>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</si>
  <si>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</si>
  <si>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</si>
  <si>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</si>
  <si>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</si>
  <si>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</si>
  <si>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</si>
  <si>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</si>
  <si>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</si>
  <si>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</si>
  <si>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</si>
  <si>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</si>
  <si>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</si>
  <si>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</si>
  <si>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</si>
  <si>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</si>
  <si>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</si>
  <si>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</si>
  <si>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</si>
  <si>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</si>
  <si>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</si>
  <si>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</si>
  <si>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05520</t>
  </si>
  <si>
    <t>FAUSZLEGER SA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</si>
  <si>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</si>
  <si>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</si>
  <si>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</si>
  <si>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</si>
  <si>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</si>
  <si>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</si>
  <si>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</si>
  <si>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</si>
  <si>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</si>
  <si>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</si>
  <si>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</si>
  <si>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</si>
  <si>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</si>
  <si>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</si>
  <si>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</si>
  <si>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</si>
  <si>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</si>
  <si>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</si>
  <si>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</si>
  <si>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</si>
  <si>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08596</t>
  </si>
  <si>
    <t>FRESCO PABLO JAVIER</t>
  </si>
  <si>
    <t>04685</t>
  </si>
  <si>
    <t>FRESCOMAR ARGENTINA SA</t>
  </si>
  <si>
    <t>06074</t>
  </si>
  <si>
    <t>G4 CONSULTING SA</t>
  </si>
  <si>
    <t>09091</t>
  </si>
  <si>
    <t>GANADERA EL MUDO S.A.</t>
  </si>
  <si>
    <t>07747</t>
  </si>
  <si>
    <t>GARCIA ERNESTO HORACIO</t>
  </si>
  <si>
    <t>03189</t>
  </si>
  <si>
    <t>GARCIA WALTER CARLOS - CAE</t>
  </si>
  <si>
    <t>09383</t>
  </si>
  <si>
    <t>GARMIN</t>
  </si>
  <si>
    <t>08170</t>
  </si>
  <si>
    <t>GASPRODUCT SRL</t>
  </si>
  <si>
    <t>08735</t>
  </si>
  <si>
    <t>GATES JULIANA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</si>
  <si>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</si>
  <si>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</si>
  <si>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</si>
  <si>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</si>
  <si>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</si>
  <si>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</si>
  <si>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</si>
  <si>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</si>
  <si>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</si>
  <si>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</si>
  <si>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</si>
  <si>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</si>
  <si>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</si>
  <si>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</si>
  <si>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07477</t>
  </si>
  <si>
    <t>GRECO Y GRECO HNOS.</t>
  </si>
  <si>
    <t>08264</t>
  </si>
  <si>
    <t>GROSS PAULA MARINA</t>
  </si>
  <si>
    <t>09184</t>
  </si>
  <si>
    <t>GRUPO HIGIENE CBA S.A.</t>
  </si>
  <si>
    <t>01451</t>
  </si>
  <si>
    <t>GUANTES FLANDRIA S.A.</t>
  </si>
  <si>
    <t>08190</t>
  </si>
  <si>
    <t>HANDLER 04 MDP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</si>
  <si>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</si>
  <si>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</si>
  <si>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</si>
  <si>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</si>
  <si>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</si>
  <si>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</si>
  <si>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</si>
  <si>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</si>
  <si>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</si>
  <si>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</si>
  <si>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</si>
  <si>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</si>
  <si>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</si>
  <si>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</si>
  <si>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</si>
  <si>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</si>
  <si>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</si>
  <si>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</si>
  <si>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</si>
  <si>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</si>
  <si>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</si>
  <si>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</si>
  <si>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</si>
  <si>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</si>
  <si>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03154</t>
  </si>
  <si>
    <t>INGENIEROS ELECTRONICOS ASOCIADOS SRL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</si>
  <si>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</si>
  <si>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</si>
  <si>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</si>
  <si>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</si>
  <si>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</si>
  <si>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</si>
  <si>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</si>
  <si>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</si>
  <si>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</si>
  <si>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</si>
  <si>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</si>
  <si>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</si>
  <si>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</si>
  <si>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</si>
  <si>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</si>
  <si>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</si>
  <si>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</si>
  <si>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</si>
  <si>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</si>
  <si>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</si>
  <si>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</si>
  <si>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</si>
  <si>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</si>
  <si>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</si>
  <si>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00030</t>
  </si>
  <si>
    <t>LA CASA DEL FLEXIBLE SRL.</t>
  </si>
  <si>
    <t>05145</t>
  </si>
  <si>
    <t>LABORATORIO BIOQUIMICO MAR DEL PLATA  S.A.</t>
  </si>
  <si>
    <t>06934</t>
  </si>
  <si>
    <t>LAMAZON GILDO WERFIL</t>
  </si>
  <si>
    <t>09588</t>
  </si>
  <si>
    <t>LATORRE TRINA XAVIER ALEJANDRO</t>
  </si>
  <si>
    <t>09078</t>
  </si>
  <si>
    <t>LENZETTI JORGE HORACIO</t>
  </si>
  <si>
    <t>06761</t>
  </si>
  <si>
    <t>LLADO EDGARDO NORBERTO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</si>
  <si>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</si>
  <si>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</si>
  <si>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</si>
  <si>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</si>
  <si>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</si>
  <si>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</si>
  <si>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</si>
  <si>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</si>
  <si>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03632</t>
  </si>
  <si>
    <t>MADERAS MISIONES S. A.</t>
  </si>
  <si>
    <t>09484</t>
  </si>
  <si>
    <t>MANGIATERRA RICARDO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</si>
  <si>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</si>
  <si>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</si>
  <si>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</si>
  <si>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</si>
  <si>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</si>
  <si>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</si>
  <si>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</si>
  <si>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</si>
  <si>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</si>
  <si>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</si>
  <si>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</si>
  <si>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</si>
  <si>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</si>
  <si>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</si>
  <si>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</si>
  <si>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</si>
  <si>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</si>
  <si>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</si>
  <si>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</si>
  <si>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</si>
  <si>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</si>
  <si>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</si>
  <si>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</si>
  <si>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</si>
  <si>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</si>
  <si>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</si>
  <si>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</si>
  <si>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</si>
  <si>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</si>
  <si>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</si>
  <si>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</si>
  <si>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</si>
  <si>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</si>
  <si>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</si>
  <si>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</si>
  <si>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</si>
  <si>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</si>
  <si>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</si>
  <si>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</si>
  <si>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</si>
  <si>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</si>
  <si>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</si>
  <si>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</si>
  <si>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</si>
  <si>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03874</t>
  </si>
  <si>
    <t>NAVAL STAR SA</t>
  </si>
  <si>
    <t>07735</t>
  </si>
  <si>
    <t>NAVARRO EDUARDO MARCELO</t>
  </si>
  <si>
    <t>06121</t>
  </si>
  <si>
    <t>NICLAU DESPACHANTES DE ADUANA S.A.</t>
  </si>
  <si>
    <t>07303</t>
  </si>
  <si>
    <t>NORIOC SERVICIO DE ASISTENCIA TECNICA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</si>
  <si>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</si>
  <si>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</si>
  <si>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</si>
  <si>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</si>
  <si>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</si>
  <si>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</si>
  <si>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</si>
  <si>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</si>
  <si>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04900</t>
  </si>
  <si>
    <t>OTI INTERNACIONAL S.A.</t>
  </si>
  <si>
    <t>06190</t>
  </si>
  <si>
    <t>PALADINI SA</t>
  </si>
  <si>
    <t>08477</t>
  </si>
  <si>
    <t>PAMPA Y NOVILLO SA</t>
  </si>
  <si>
    <t>00317</t>
  </si>
  <si>
    <t>PESCE GRACIELA MARGARITA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</si>
  <si>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</si>
  <si>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</si>
  <si>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</si>
  <si>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</si>
  <si>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</si>
  <si>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</si>
  <si>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</si>
  <si>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</si>
  <si>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07301</t>
  </si>
  <si>
    <t>PRESTIGIO SA</t>
  </si>
  <si>
    <t>09074</t>
  </si>
  <si>
    <t>PRODUCTOS PORCINOS SA</t>
  </si>
  <si>
    <t>05096</t>
  </si>
  <si>
    <t>PUNTO TECNICO S.R.L.</t>
  </si>
  <si>
    <t>07732</t>
  </si>
  <si>
    <t>PUNTO TRUCK S.A.</t>
  </si>
  <si>
    <t>03811</t>
  </si>
  <si>
    <t>QUIMICA RODRAN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</si>
  <si>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</si>
  <si>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</si>
  <si>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</si>
  <si>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</si>
  <si>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</si>
  <si>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</si>
  <si>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</si>
  <si>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</si>
  <si>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</si>
  <si>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</si>
  <si>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</si>
  <si>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</si>
  <si>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</si>
  <si>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</si>
  <si>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</si>
  <si>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</si>
  <si>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</si>
  <si>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</si>
  <si>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</si>
  <si>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</si>
  <si>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00196</t>
  </si>
  <si>
    <t>SALVADOR MALVICA S.R.L.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</si>
  <si>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</si>
  <si>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</si>
  <si>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</si>
  <si>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</si>
  <si>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</si>
  <si>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</si>
  <si>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</si>
  <si>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</si>
  <si>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</si>
  <si>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</si>
  <si>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</si>
  <si>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</si>
  <si>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</si>
  <si>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</si>
  <si>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</si>
  <si>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</si>
  <si>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</si>
  <si>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</si>
  <si>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</si>
  <si>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</si>
  <si>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</si>
  <si>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</si>
  <si>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</si>
  <si>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</si>
  <si>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</si>
  <si>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</si>
  <si>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</si>
  <si>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</si>
  <si>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</si>
  <si>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</si>
  <si>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</si>
  <si>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</si>
  <si>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</si>
  <si>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</si>
  <si>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</si>
  <si>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</si>
  <si>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</si>
  <si>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</si>
  <si>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08747</t>
  </si>
  <si>
    <t>TALLONE ALEJANDRO ULISES</t>
  </si>
  <si>
    <t>07095</t>
  </si>
  <si>
    <t>TECNO LUBE S.A.</t>
  </si>
  <si>
    <t>00175</t>
  </si>
  <si>
    <t>TECNOELECTRICA S.A.</t>
  </si>
  <si>
    <t>02650</t>
  </si>
  <si>
    <t>TECNOPESCA ARGENTINA SA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</si>
  <si>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</si>
  <si>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</si>
  <si>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</si>
  <si>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</si>
  <si>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</si>
  <si>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</si>
  <si>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</si>
  <si>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</si>
  <si>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06103</t>
  </si>
  <si>
    <t>TOLOSA S.A.</t>
  </si>
  <si>
    <t>09111</t>
  </si>
  <si>
    <t>TORTOSA LEONEL ALFREDO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</si>
  <si>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</si>
  <si>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</si>
  <si>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</si>
  <si>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</si>
  <si>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</si>
  <si>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</si>
  <si>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</si>
  <si>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</si>
  <si>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</si>
  <si>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</si>
  <si>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03583</t>
  </si>
  <si>
    <t>UNION TECNICA SA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</si>
  <si>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</si>
  <si>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</si>
  <si>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</si>
  <si>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</si>
  <si>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</si>
  <si>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</si>
  <si>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</si>
  <si>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</si>
  <si>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</si>
  <si>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</si>
  <si>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</si>
  <si>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</si>
  <si>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</si>
  <si>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</si>
  <si>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</si>
  <si>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</si>
  <si>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</si>
  <si>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</si>
  <si>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</si>
  <si>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</si>
  <si>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</si>
  <si>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</si>
  <si>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</si>
  <si>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</si>
  <si>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CONGELADOS LOS TANOS S. A.</t>
  </si>
  <si>
    <t>LUCRINO MARE SA</t>
  </si>
  <si>
    <t>LACAR FISH SA</t>
  </si>
  <si>
    <t>GUBITI SA</t>
  </si>
  <si>
    <t>INDUSTRIAS EL CORSARIO S.A.</t>
  </si>
  <si>
    <t>COMERCIAL INAL 2005 SA</t>
  </si>
  <si>
    <t>LUDAPEZ SA</t>
  </si>
  <si>
    <t>COOPERATIVA DE TRABAJO CAÑAMAR LIMITADA</t>
  </si>
  <si>
    <t>MARISQUERIA SANTA RITA SRL</t>
  </si>
  <si>
    <t>LUMELL SA</t>
  </si>
  <si>
    <t>SAORI SA</t>
  </si>
  <si>
    <t>CLUB ATLETICO ALDOSIVI</t>
  </si>
  <si>
    <t>PROYECTOS DEL MAR SRL</t>
  </si>
  <si>
    <t>COOPERATIVA  DE TRABAJO DOÑA FRANCISCA LTDA</t>
  </si>
  <si>
    <t>27 DE NOVIEMBRE SA</t>
  </si>
  <si>
    <t>FRIO SUR SRL</t>
  </si>
  <si>
    <t>LA ISOLANA SA</t>
  </si>
  <si>
    <t>FRIGOSUR SRL</t>
  </si>
  <si>
    <t>MARDI SA</t>
  </si>
  <si>
    <t>NATUSUR 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</si>
</sst>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</numFmts>
  <fonts count="2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5" fontId="10" fillId="9" borderId="4" xfId="0" applyNumberFormat="1" applyFont="1" applyFill="1" applyBorder="1" applyAlignment="1">
      <alignment horizontal="right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0" fontId="24" fillId="9" borderId="4" xfId="0" applyFont="1" applyFill="1" applyBorder="1" applyAlignment="1">
      <alignment horizontal="left" vertical="center" indent="1"/>
    </xf>
    <xf numFmtId="10" fontId="10" fillId="10" borderId="4" xfId="0" applyNumberFormat="1" applyFont="1" applyFill="1" applyBorder="1" applyAlignment="1">
      <alignment horizontal="right" vertical="center"/>
    </xf>
    <xf numFmtId="1" fontId="19" fillId="11" borderId="4" xfId="0" applyNumberFormat="1" applyFont="1" applyFill="1" applyBorder="1" applyAlignment="1">
      <alignment horizontal="right" vertical="center"/>
    </xf>
    <xf numFmtId="165" fontId="19" fillId="11" borderId="4" xfId="0" applyNumberFormat="1" applyFont="1" applyFill="1" applyBorder="1" applyAlignment="1">
      <alignment horizontal="right" vertical="center"/>
    </xf>
    <xf numFmtId="165" fontId="15" fillId="12" borderId="4" xfId="0" applyNumberFormat="1" applyFont="1" applyFill="1" applyBorder="1" applyAlignment="1">
      <alignment horizontal="right" vertical="center"/>
    </xf>
    <xf numFmtId="1" fontId="19" fillId="13" borderId="4" xfId="0" applyNumberFormat="1" applyFont="1" applyFill="1" applyBorder="1" applyAlignment="1">
      <alignment horizontal="right" vertical="center"/>
    </xf>
    <xf numFmtId="168" fontId="6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0" fillId="15" borderId="4" xfId="0" applyNumberFormat="1" applyFont="1" applyFill="1" applyBorder="1" applyAlignment="1">
      <alignment horizontal="right" vertical="center"/>
    </xf>
    <xf numFmtId="165" fontId="20" fillId="15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</row>
        <row r="2">
          <cell r="CN2">
            <v>1395.5</v>
          </cell>
          <cell r="CP2">
            <v>1390</v>
          </cell>
          <cell r="CQ2">
            <v>1392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</row>
        <row r="60">
          <cell r="CJ60">
            <v>30000000</v>
          </cell>
          <cell r="CN60">
            <v>110000000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</row>
        <row r="98">
          <cell r="CJ98">
            <v>5582721359</v>
          </cell>
          <cell r="CK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</row>
        <row r="103">
          <cell r="CJ103">
            <v>1100365.03789</v>
          </cell>
          <cell r="CK103">
            <v>1100365.03789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4" t="s">
        <v>0</v>
      </c>
      <c r="B1" s="74"/>
      <c r="C1" s="74"/>
      <c r="D1" s="74"/>
      <c r="E1" s="74"/>
      <c r="F1" s="74"/>
    </row>
    <row r="2" spans="1:6" ht="19.5" customHeight="1" x14ac:dyDescent="0.25">
      <c r="A2" s="75" t="s">
        <v>1</v>
      </c>
      <c r="B2" s="75"/>
      <c r="C2" s="75"/>
      <c r="D2" s="75"/>
      <c r="E2" s="75"/>
      <c r="F2" s="75"/>
    </row>
    <row r="5" spans="1:6" ht="15" customHeight="1" x14ac:dyDescent="0.25">
      <c r="A5" s="2"/>
      <c r="B5" s="3"/>
    </row>
    <row r="6" spans="1:6" ht="15" customHeight="1" x14ac:dyDescent="0.25">
      <c r="A6" s="73" t="s">
        <v>2</v>
      </c>
      <c r="B6" s="73"/>
      <c r="C6" s="73"/>
      <c r="D6" s="73"/>
      <c r="E6" s="73"/>
      <c r="F6" s="73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3" t="s">
        <v>21</v>
      </c>
      <c r="B17" s="73"/>
      <c r="C17" s="73"/>
      <c r="D17" s="73"/>
      <c r="E17" s="73"/>
      <c r="F17" s="73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3" t="s">
        <v>32</v>
      </c>
      <c r="B24" s="73"/>
      <c r="C24" s="73"/>
      <c r="D24" s="73"/>
      <c r="E24" s="73"/>
      <c r="F24" s="73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3" t="s">
        <v>47</v>
      </c>
      <c r="B33" s="73"/>
      <c r="C33" s="73"/>
      <c r="D33" s="73"/>
      <c r="E33" s="73"/>
      <c r="F33" s="73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S3" zoomScaleNormal="100" workbookViewId="0">
      <pane ySplit="1" topLeftCell="A72" activePane="bottomLeft" state="frozen"/>
      <selection activeCell="A3" sqref="A3"/>
      <selection pane="bottomLeft" activeCell="S94" sqref="A94:XFD94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8" t="s">
        <v>54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37" ht="21.75" hidden="1" customHeight="1" x14ac:dyDescent="0.25">
      <c r="A2" s="5" t="s">
        <v>55</v>
      </c>
      <c r="B2" s="5" t="s">
        <v>56</v>
      </c>
      <c r="C2" s="69" t="s">
        <v>57</v>
      </c>
      <c r="D2" s="69"/>
      <c r="E2" s="69"/>
      <c r="F2" s="69"/>
      <c r="G2" s="69"/>
      <c r="H2" s="69"/>
      <c r="I2" s="69"/>
      <c r="J2" s="70" t="s">
        <v>58</v>
      </c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1" t="s">
        <v>59</v>
      </c>
      <c r="X2" s="71"/>
      <c r="Y2" s="71"/>
      <c r="Z2" s="71"/>
      <c r="AA2" s="71"/>
      <c r="AB2" s="71"/>
      <c r="AC2" s="71"/>
      <c r="AD2" s="71"/>
      <c r="AE2" s="71"/>
      <c r="AF2" s="1"/>
      <c r="AG2" s="72"/>
      <c r="AH2" s="72"/>
      <c r="AI2" s="72"/>
      <c r="AJ2" s="72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5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5">
        <v>2600000</v>
      </c>
      <c r="AC4" s="65">
        <v>6975000</v>
      </c>
      <c r="AD4" s="65">
        <v>159934</v>
      </c>
      <c r="AE4" s="65">
        <v>2044803</v>
      </c>
      <c r="AF4" s="65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5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5">
        <v>2600000</v>
      </c>
      <c r="AC5" s="65">
        <v>6975000</v>
      </c>
      <c r="AD5" s="65">
        <v>159934</v>
      </c>
      <c r="AE5" s="65">
        <v>2044803</v>
      </c>
      <c r="AF5" s="65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5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5">
        <v>2600000</v>
      </c>
      <c r="AC6" s="65">
        <v>6975000</v>
      </c>
      <c r="AD6" s="65">
        <v>159934</v>
      </c>
      <c r="AE6" s="65">
        <v>2044803</v>
      </c>
      <c r="AF6" s="65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5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5">
        <v>2600000</v>
      </c>
      <c r="AC7" s="65">
        <v>6975000</v>
      </c>
      <c r="AD7" s="65">
        <v>159934</v>
      </c>
      <c r="AE7" s="65">
        <v>2344803</v>
      </c>
      <c r="AF7" s="65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5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5">
        <v>2600000</v>
      </c>
      <c r="AC8" s="65">
        <v>6975000</v>
      </c>
      <c r="AD8" s="65">
        <v>159934</v>
      </c>
      <c r="AE8" s="65">
        <v>2344803</v>
      </c>
      <c r="AF8" s="65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5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5">
        <v>2600000</v>
      </c>
      <c r="AC9" s="65">
        <v>6975000</v>
      </c>
      <c r="AD9" s="65">
        <v>159934</v>
      </c>
      <c r="AE9" s="65">
        <v>2344803</v>
      </c>
      <c r="AF9" s="65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5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5">
        <v>2600000</v>
      </c>
      <c r="AC10" s="65">
        <v>6975000</v>
      </c>
      <c r="AD10" s="65">
        <v>159934</v>
      </c>
      <c r="AE10" s="65">
        <v>2344803</v>
      </c>
      <c r="AF10" s="65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5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5">
        <v>2600000</v>
      </c>
      <c r="AC11" s="65">
        <v>6975000</v>
      </c>
      <c r="AD11" s="65">
        <v>159934</v>
      </c>
      <c r="AE11" s="65">
        <v>2344803</v>
      </c>
      <c r="AF11" s="65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5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5">
        <v>2600000</v>
      </c>
      <c r="AC12" s="65">
        <v>6975000</v>
      </c>
      <c r="AD12" s="65">
        <v>159934</v>
      </c>
      <c r="AE12" s="65">
        <v>2194803</v>
      </c>
      <c r="AF12" s="65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5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5">
        <v>2600000</v>
      </c>
      <c r="AC13" s="65">
        <v>6975000</v>
      </c>
      <c r="AD13" s="65">
        <v>159934</v>
      </c>
      <c r="AE13" s="65">
        <v>2194803</v>
      </c>
      <c r="AF13" s="65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5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5">
        <v>2600000</v>
      </c>
      <c r="AC14" s="65">
        <v>6975000</v>
      </c>
      <c r="AD14" s="65">
        <v>159934</v>
      </c>
      <c r="AE14" s="65">
        <v>2194803</v>
      </c>
      <c r="AF14" s="65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5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5">
        <v>2600000</v>
      </c>
      <c r="AC15" s="65">
        <v>6975000</v>
      </c>
      <c r="AD15" s="65">
        <v>159934</v>
      </c>
      <c r="AE15" s="65">
        <v>2194803</v>
      </c>
      <c r="AF15" s="65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5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5">
        <v>2600000</v>
      </c>
      <c r="AC16" s="65">
        <v>6975000</v>
      </c>
      <c r="AD16" s="65">
        <v>159934</v>
      </c>
      <c r="AE16" s="65">
        <v>2194803</v>
      </c>
      <c r="AF16" s="65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5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5">
        <v>2600000</v>
      </c>
      <c r="AC17" s="65">
        <v>6975000</v>
      </c>
      <c r="AD17" s="65">
        <v>159934</v>
      </c>
      <c r="AE17" s="65">
        <v>2194803</v>
      </c>
      <c r="AF17" s="65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5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5">
        <v>2600000</v>
      </c>
      <c r="AC18" s="65">
        <v>8975000</v>
      </c>
      <c r="AD18" s="65">
        <v>159934</v>
      </c>
      <c r="AE18" s="65">
        <v>2194803</v>
      </c>
      <c r="AF18" s="65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5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5">
        <v>2600000</v>
      </c>
      <c r="AC19" s="65">
        <v>7975000</v>
      </c>
      <c r="AD19" s="65">
        <v>159934</v>
      </c>
      <c r="AE19" s="65">
        <v>2194803</v>
      </c>
      <c r="AF19" s="65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5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5">
        <v>2600000</v>
      </c>
      <c r="AC20" s="65">
        <v>7975000</v>
      </c>
      <c r="AD20" s="65">
        <v>159934</v>
      </c>
      <c r="AE20" s="65">
        <v>2194803</v>
      </c>
      <c r="AF20" s="65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5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5">
        <v>2600000</v>
      </c>
      <c r="AC21" s="65">
        <v>7000000</v>
      </c>
      <c r="AD21" s="65">
        <v>159934</v>
      </c>
      <c r="AE21" s="65">
        <v>340000</v>
      </c>
      <c r="AF21" s="65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5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5">
        <v>2600000</v>
      </c>
      <c r="AC22" s="65">
        <v>7000000</v>
      </c>
      <c r="AD22" s="65">
        <v>159934</v>
      </c>
      <c r="AE22" s="65">
        <v>2194803</v>
      </c>
      <c r="AF22" s="65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5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5">
        <v>2600000</v>
      </c>
      <c r="AC23" s="65">
        <v>7000000</v>
      </c>
      <c r="AD23" s="65">
        <v>159934</v>
      </c>
      <c r="AE23" s="65">
        <v>2194803</v>
      </c>
      <c r="AF23" s="65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5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5">
        <v>2600000</v>
      </c>
      <c r="AC24" s="65">
        <v>7000000</v>
      </c>
      <c r="AD24" s="65">
        <v>159934</v>
      </c>
      <c r="AE24" s="65">
        <v>2194803</v>
      </c>
      <c r="AF24" s="65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5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5">
        <v>2600000</v>
      </c>
      <c r="AC25" s="65">
        <v>7000000</v>
      </c>
      <c r="AD25" s="65">
        <v>159934</v>
      </c>
      <c r="AE25" s="65">
        <v>2194803</v>
      </c>
      <c r="AF25" s="65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5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5">
        <v>2600000</v>
      </c>
      <c r="AC26" s="65">
        <v>7000000</v>
      </c>
      <c r="AD26" s="65">
        <v>159934</v>
      </c>
      <c r="AE26" s="65">
        <v>2194803</v>
      </c>
      <c r="AF26" s="65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5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5">
        <v>2600000</v>
      </c>
      <c r="AC27" s="65">
        <v>7000000</v>
      </c>
      <c r="AD27" s="65">
        <v>159934</v>
      </c>
      <c r="AE27" s="65">
        <v>340000</v>
      </c>
      <c r="AF27" s="65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5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5">
        <v>2600000</v>
      </c>
      <c r="AC28" s="65">
        <v>7000000</v>
      </c>
      <c r="AD28" s="65">
        <v>159934</v>
      </c>
      <c r="AE28" s="65">
        <v>340000</v>
      </c>
      <c r="AF28" s="65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5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5">
        <v>1891000</v>
      </c>
      <c r="AC29" s="65">
        <v>7000000</v>
      </c>
      <c r="AD29" s="65">
        <v>159934</v>
      </c>
      <c r="AE29" s="65">
        <v>340000</v>
      </c>
      <c r="AF29" s="65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5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5">
        <v>1891000</v>
      </c>
      <c r="AC30" s="65">
        <v>7000000</v>
      </c>
      <c r="AD30" s="65">
        <v>159934</v>
      </c>
      <c r="AE30" s="65">
        <v>340000</v>
      </c>
      <c r="AF30" s="65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5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5">
        <v>1891000</v>
      </c>
      <c r="AC31" s="65">
        <v>7000000</v>
      </c>
      <c r="AD31" s="65">
        <v>159934</v>
      </c>
      <c r="AE31" s="65">
        <v>340000</v>
      </c>
      <c r="AF31" s="65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5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5">
        <v>2069775.5603799999</v>
      </c>
      <c r="AC32" s="65">
        <v>7000000</v>
      </c>
      <c r="AD32" s="65">
        <v>159934</v>
      </c>
      <c r="AE32" s="65">
        <v>160000</v>
      </c>
      <c r="AF32" s="65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5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5">
        <v>2069775.5603799999</v>
      </c>
      <c r="AC33" s="65">
        <v>7000000</v>
      </c>
      <c r="AD33" s="65">
        <v>159934</v>
      </c>
      <c r="AE33" s="65">
        <v>160000</v>
      </c>
      <c r="AF33" s="65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5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5">
        <v>2069775.5603799999</v>
      </c>
      <c r="AC34" s="65">
        <v>7000000</v>
      </c>
      <c r="AD34" s="65">
        <v>159934</v>
      </c>
      <c r="AE34" s="65">
        <v>160000</v>
      </c>
      <c r="AF34" s="65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5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5">
        <v>2069775.5603799999</v>
      </c>
      <c r="AC35" s="65">
        <v>7000000</v>
      </c>
      <c r="AD35" s="65">
        <v>159934</v>
      </c>
      <c r="AE35" s="65">
        <v>160000</v>
      </c>
      <c r="AF35" s="65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5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5">
        <v>2069775.5603799999</v>
      </c>
      <c r="AC36" s="65">
        <v>7000000</v>
      </c>
      <c r="AD36" s="65">
        <v>91766.133942161294</v>
      </c>
      <c r="AE36" s="65">
        <v>160000</v>
      </c>
      <c r="AF36" s="65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5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5">
        <v>2069775.5603799999</v>
      </c>
      <c r="AC37" s="65">
        <v>7000000</v>
      </c>
      <c r="AD37" s="65">
        <v>91766.133942161294</v>
      </c>
      <c r="AE37" s="65">
        <v>160000</v>
      </c>
      <c r="AF37" s="65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5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5">
        <v>2069775.5603799999</v>
      </c>
      <c r="AC38" s="65">
        <v>7000000</v>
      </c>
      <c r="AD38" s="65">
        <v>91766.133942161294</v>
      </c>
      <c r="AE38" s="65">
        <v>160000</v>
      </c>
      <c r="AF38" s="65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5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5">
        <v>2069775.5603799999</v>
      </c>
      <c r="AC39" s="65">
        <v>7000000</v>
      </c>
      <c r="AD39" s="65">
        <v>91766.133942161294</v>
      </c>
      <c r="AE39" s="65">
        <v>160000</v>
      </c>
      <c r="AF39" s="65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5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5">
        <v>2069775.5603799999</v>
      </c>
      <c r="AC40" s="65">
        <v>8000000</v>
      </c>
      <c r="AD40" s="65">
        <v>121516.133942161</v>
      </c>
      <c r="AE40" s="65">
        <v>160000</v>
      </c>
      <c r="AF40" s="65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5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5">
        <v>2069775.5603799999</v>
      </c>
      <c r="AC41" s="65">
        <v>8000000</v>
      </c>
      <c r="AD41" s="65">
        <v>121516.133942161</v>
      </c>
      <c r="AE41" s="65">
        <v>160000</v>
      </c>
      <c r="AF41" s="65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5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5">
        <v>2069775.5603799999</v>
      </c>
      <c r="AC42" s="65">
        <v>8000000</v>
      </c>
      <c r="AD42" s="65">
        <v>121516.133942161</v>
      </c>
      <c r="AE42" s="65">
        <v>160000</v>
      </c>
      <c r="AF42" s="65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5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5">
        <v>2069775.5603799999</v>
      </c>
      <c r="AC43" s="65">
        <v>8000000</v>
      </c>
      <c r="AD43" s="65">
        <v>121807.80060882799</v>
      </c>
      <c r="AE43" s="65">
        <v>160000</v>
      </c>
      <c r="AF43" s="65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5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5">
        <v>2069775.5603799999</v>
      </c>
      <c r="AC44" s="65">
        <v>8000000</v>
      </c>
      <c r="AD44" s="65">
        <v>121807.80060882799</v>
      </c>
      <c r="AE44" s="65">
        <v>160000</v>
      </c>
      <c r="AF44" s="65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5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5">
        <v>2069775.5603799999</v>
      </c>
      <c r="AC45" s="65">
        <v>8000000</v>
      </c>
      <c r="AD45" s="65">
        <v>121807.80060882799</v>
      </c>
      <c r="AE45" s="65">
        <v>160000</v>
      </c>
      <c r="AF45" s="65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5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5">
        <v>2069775.5603799999</v>
      </c>
      <c r="AC46" s="65">
        <v>9000000</v>
      </c>
      <c r="AD46" s="65">
        <v>121807.80060882799</v>
      </c>
      <c r="AE46" s="65">
        <v>160000</v>
      </c>
      <c r="AF46" s="65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5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5">
        <v>2069775.5603799999</v>
      </c>
      <c r="AC47" s="65">
        <v>9000000</v>
      </c>
      <c r="AD47" s="65">
        <v>141199.467275495</v>
      </c>
      <c r="AE47" s="65">
        <v>160000</v>
      </c>
      <c r="AF47" s="65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5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5">
        <v>2069775.5603799999</v>
      </c>
      <c r="AC48" s="65">
        <v>9000000</v>
      </c>
      <c r="AD48" s="65">
        <v>141199.467275495</v>
      </c>
      <c r="AE48" s="65">
        <v>160000</v>
      </c>
      <c r="AF48" s="65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5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5">
        <v>1250975</v>
      </c>
      <c r="AC49" s="65">
        <v>9000000</v>
      </c>
      <c r="AD49" s="65">
        <v>141199.467275495</v>
      </c>
      <c r="AE49" s="65">
        <v>160000</v>
      </c>
      <c r="AF49" s="65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5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5">
        <v>1250975</v>
      </c>
      <c r="AC50" s="65">
        <v>9000000</v>
      </c>
      <c r="AD50" s="65">
        <v>141199.467275495</v>
      </c>
      <c r="AE50" s="65">
        <v>160000</v>
      </c>
      <c r="AF50" s="65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5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5">
        <v>1228556.9603800001</v>
      </c>
      <c r="AC51" s="65">
        <v>9000000</v>
      </c>
      <c r="AD51" s="65">
        <v>141199.467275495</v>
      </c>
      <c r="AE51" s="65">
        <v>160000</v>
      </c>
      <c r="AF51" s="65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5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5">
        <v>1228556.9603800001</v>
      </c>
      <c r="AC52" s="65">
        <v>9000000</v>
      </c>
      <c r="AD52" s="65">
        <v>141199.467275495</v>
      </c>
      <c r="AE52" s="65">
        <v>160000</v>
      </c>
      <c r="AF52" s="65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5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5">
        <v>1228556.9603800001</v>
      </c>
      <c r="AC53" s="65">
        <v>9000000</v>
      </c>
      <c r="AD53" s="65">
        <v>141199.467275495</v>
      </c>
      <c r="AE53" s="65">
        <v>160000</v>
      </c>
      <c r="AF53" s="65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5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5">
        <v>1228556.9603800001</v>
      </c>
      <c r="AC54" s="65">
        <v>9000000</v>
      </c>
      <c r="AD54" s="65">
        <v>141199.467275495</v>
      </c>
      <c r="AE54" s="65">
        <v>160000</v>
      </c>
      <c r="AF54" s="65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5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5">
        <v>1228556.9603800001</v>
      </c>
      <c r="AC55" s="65">
        <v>9000000</v>
      </c>
      <c r="AD55" s="65">
        <v>141199.467275495</v>
      </c>
      <c r="AE55" s="65">
        <v>160000</v>
      </c>
      <c r="AF55" s="65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5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5">
        <v>1186423.85038</v>
      </c>
      <c r="AC56" s="65">
        <v>9000000</v>
      </c>
      <c r="AD56" s="65">
        <v>141199.467275495</v>
      </c>
      <c r="AE56" s="65">
        <v>160000</v>
      </c>
      <c r="AF56" s="65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5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5">
        <v>1186423.85038</v>
      </c>
      <c r="AC57" s="65">
        <v>9000000</v>
      </c>
      <c r="AD57" s="65">
        <v>141199.467275495</v>
      </c>
      <c r="AE57" s="65">
        <v>160000</v>
      </c>
      <c r="AF57" s="65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5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5">
        <v>1261501.4325300001</v>
      </c>
      <c r="AC58" s="65">
        <v>9000000</v>
      </c>
      <c r="AD58" s="65">
        <v>141199.467275495</v>
      </c>
      <c r="AE58" s="65">
        <v>160000</v>
      </c>
      <c r="AF58" s="65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5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5">
        <v>1173173.7125299999</v>
      </c>
      <c r="AC59" s="65">
        <v>9000000</v>
      </c>
      <c r="AD59" s="65">
        <v>141199.467275495</v>
      </c>
      <c r="AE59" s="65">
        <v>160000</v>
      </c>
      <c r="AF59" s="65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5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5">
        <v>1043837.65169</v>
      </c>
      <c r="AC60" s="65">
        <v>9000000</v>
      </c>
      <c r="AD60" s="65">
        <v>141199.467275495</v>
      </c>
      <c r="AE60" s="65">
        <v>160000</v>
      </c>
      <c r="AF60" s="65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5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5">
        <v>1043837.65169</v>
      </c>
      <c r="AC61" s="65">
        <v>9000000</v>
      </c>
      <c r="AD61" s="65">
        <v>141199.467275495</v>
      </c>
      <c r="AE61" s="65">
        <v>160000</v>
      </c>
      <c r="AF61" s="65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5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5">
        <v>1043837.65169</v>
      </c>
      <c r="AC62" s="65">
        <v>9000000</v>
      </c>
      <c r="AD62" s="65">
        <v>141199.467275495</v>
      </c>
      <c r="AE62" s="65">
        <v>160000</v>
      </c>
      <c r="AF62" s="65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5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5">
        <v>1043837.65169</v>
      </c>
      <c r="AC63" s="65">
        <v>9000000</v>
      </c>
      <c r="AD63" s="65">
        <v>141199.467275495</v>
      </c>
      <c r="AE63" s="65">
        <v>160000</v>
      </c>
      <c r="AF63" s="65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5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5">
        <v>1043837.65169</v>
      </c>
      <c r="AC64" s="65">
        <v>9000000</v>
      </c>
      <c r="AD64" s="65">
        <v>141199.467275495</v>
      </c>
      <c r="AE64" s="65">
        <v>160000</v>
      </c>
      <c r="AF64" s="65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5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5">
        <v>1043837.65169</v>
      </c>
      <c r="AC65" s="65">
        <v>9000000</v>
      </c>
      <c r="AD65" s="65">
        <v>141199.467275495</v>
      </c>
      <c r="AE65" s="65">
        <v>160000</v>
      </c>
      <c r="AF65" s="65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5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5">
        <v>5323936474</v>
      </c>
      <c r="AB66" s="65">
        <v>1043837.65169</v>
      </c>
      <c r="AC66" s="65">
        <v>9000000</v>
      </c>
      <c r="AD66" s="65">
        <v>141199.467275495</v>
      </c>
      <c r="AE66" s="65">
        <v>160000</v>
      </c>
      <c r="AF66" s="65">
        <v>15805699.747</v>
      </c>
      <c r="AG66" s="65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5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5">
        <v>5326477214</v>
      </c>
      <c r="AB67" s="65">
        <v>1043837.65169</v>
      </c>
      <c r="AC67" s="65">
        <v>9000000</v>
      </c>
      <c r="AD67" s="65">
        <v>141199.467275495</v>
      </c>
      <c r="AE67" s="65">
        <v>160000</v>
      </c>
      <c r="AF67" s="65">
        <v>14987064.137</v>
      </c>
      <c r="AG67" s="65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5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5">
        <v>5326477214</v>
      </c>
      <c r="AB68" s="65">
        <v>1073356.5716899999</v>
      </c>
      <c r="AC68" s="65">
        <v>9000000</v>
      </c>
      <c r="AD68" s="65">
        <v>141199.467275495</v>
      </c>
      <c r="AE68" s="65">
        <v>160000</v>
      </c>
      <c r="AF68" s="65">
        <v>15105321.484999999</v>
      </c>
      <c r="AG68" s="65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5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5">
        <v>4452570427</v>
      </c>
      <c r="AB69" s="65">
        <v>1073356.5716899999</v>
      </c>
      <c r="AC69" s="65">
        <v>9000000</v>
      </c>
      <c r="AD69" s="65">
        <v>141199.467275495</v>
      </c>
      <c r="AE69" s="65">
        <v>160000</v>
      </c>
      <c r="AF69" s="65">
        <v>15276296.839</v>
      </c>
      <c r="AG69" s="65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5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5">
        <v>4251587803</v>
      </c>
      <c r="AB70" s="65">
        <v>1073356.5716899999</v>
      </c>
      <c r="AC70" s="65">
        <v>9000000</v>
      </c>
      <c r="AD70" s="65">
        <v>141199.467275495</v>
      </c>
      <c r="AE70" s="65">
        <v>160000</v>
      </c>
      <c r="AF70" s="65">
        <v>15276296.839</v>
      </c>
      <c r="AG70" s="65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5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5">
        <v>4290166643</v>
      </c>
      <c r="AB71" s="65">
        <v>1146353.5376899999</v>
      </c>
      <c r="AC71" s="65">
        <v>9000000</v>
      </c>
      <c r="AD71" s="65">
        <v>141199.467275495</v>
      </c>
      <c r="AE71" s="65">
        <v>160000</v>
      </c>
      <c r="AF71" s="65">
        <v>16078914.694499999</v>
      </c>
      <c r="AG71" s="65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5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5">
        <v>4379298833</v>
      </c>
      <c r="AB72" s="65">
        <v>1146353.5376899999</v>
      </c>
      <c r="AC72" s="65">
        <v>9000000</v>
      </c>
      <c r="AD72" s="65">
        <v>141199.467275495</v>
      </c>
      <c r="AE72" s="65">
        <v>160000</v>
      </c>
      <c r="AF72" s="65">
        <v>16224100.4625</v>
      </c>
      <c r="AG72" s="65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5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5">
        <v>4712030319</v>
      </c>
      <c r="AB73" s="65">
        <v>1146353.5376899999</v>
      </c>
      <c r="AC73" s="65">
        <v>9000000</v>
      </c>
      <c r="AD73" s="65">
        <v>141199.467275495</v>
      </c>
      <c r="AE73" s="65">
        <v>160000</v>
      </c>
      <c r="AF73" s="65">
        <v>16778257.956500001</v>
      </c>
      <c r="AG73" s="65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5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5">
        <v>4694734694</v>
      </c>
      <c r="AB74" s="65">
        <v>1197403.0916899999</v>
      </c>
      <c r="AC74" s="65">
        <v>9000000</v>
      </c>
      <c r="AD74" s="65">
        <v>141199.467275495</v>
      </c>
      <c r="AE74" s="65">
        <v>160000</v>
      </c>
      <c r="AF74" s="65">
        <v>17866546.067499999</v>
      </c>
      <c r="AG74" s="65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5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5">
        <v>5547195047</v>
      </c>
      <c r="AB75" s="65">
        <v>1197403.0916899999</v>
      </c>
      <c r="AC75" s="65">
        <v>9000000</v>
      </c>
      <c r="AD75" s="65">
        <v>141199.467275495</v>
      </c>
      <c r="AE75" s="65">
        <v>160000</v>
      </c>
      <c r="AF75" s="65">
        <v>19735952.995499998</v>
      </c>
      <c r="AG75" s="65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5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5">
        <v>5696016937</v>
      </c>
      <c r="AB76" s="65">
        <v>1197403.0916899999</v>
      </c>
      <c r="AC76" s="65">
        <v>9000000</v>
      </c>
      <c r="AD76" s="65">
        <v>141199.467275495</v>
      </c>
      <c r="AE76" s="65">
        <v>160000</v>
      </c>
      <c r="AF76" s="65">
        <v>20113367.468499999</v>
      </c>
      <c r="AG76" s="65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5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5">
        <v>6059237792</v>
      </c>
      <c r="AB77" s="65">
        <v>1197403.0916899999</v>
      </c>
      <c r="AC77" s="65">
        <v>9000000</v>
      </c>
      <c r="AD77" s="65">
        <v>141199.467275495</v>
      </c>
      <c r="AE77" s="65">
        <v>160000</v>
      </c>
      <c r="AF77" s="65">
        <v>20113367.468499999</v>
      </c>
      <c r="AG77" s="65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5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5">
        <v>6734890193</v>
      </c>
      <c r="AB78" s="65">
        <v>1197403.0916899999</v>
      </c>
      <c r="AC78" s="65">
        <v>9000000</v>
      </c>
      <c r="AD78" s="65">
        <v>141199.467275495</v>
      </c>
      <c r="AE78" s="65">
        <v>160000</v>
      </c>
      <c r="AF78" s="65">
        <v>10799849.478499999</v>
      </c>
      <c r="AG78" s="65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5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5">
        <v>6714755409</v>
      </c>
      <c r="AB79" s="65">
        <v>1197403.0916899999</v>
      </c>
      <c r="AC79" s="65">
        <v>9000000</v>
      </c>
      <c r="AD79" s="65">
        <v>141199.467275495</v>
      </c>
      <c r="AE79" s="65">
        <v>280000</v>
      </c>
      <c r="AF79" s="65">
        <v>11061867.478499999</v>
      </c>
      <c r="AG79" s="65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5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5">
        <v>6871897895</v>
      </c>
      <c r="AB80" s="65">
        <v>1196248.61769</v>
      </c>
      <c r="AC80" s="65">
        <v>9000000</v>
      </c>
      <c r="AD80" s="65">
        <v>141199.467275495</v>
      </c>
      <c r="AE80" s="65">
        <v>280000</v>
      </c>
      <c r="AF80" s="65">
        <v>11210473.578500001</v>
      </c>
      <c r="AG80" s="65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5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5">
        <v>7025155800</v>
      </c>
      <c r="AB81" s="65">
        <v>1196248.61769</v>
      </c>
      <c r="AC81" s="65">
        <v>9000000</v>
      </c>
      <c r="AD81" s="65">
        <v>141199.467275495</v>
      </c>
      <c r="AE81" s="65">
        <v>280000</v>
      </c>
      <c r="AF81" s="65">
        <v>12797567.936000001</v>
      </c>
      <c r="AG81" s="65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5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5">
        <v>7174765725</v>
      </c>
      <c r="AB82" s="65">
        <v>1196248.61769</v>
      </c>
      <c r="AC82" s="65">
        <v>9000000</v>
      </c>
      <c r="AD82" s="65">
        <v>141199.467275495</v>
      </c>
      <c r="AE82" s="65">
        <v>280000</v>
      </c>
      <c r="AF82" s="65">
        <v>12657303.614</v>
      </c>
      <c r="AG82" s="65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5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5">
        <v>6689223249</v>
      </c>
      <c r="AB83" s="65">
        <v>1196248.61769</v>
      </c>
      <c r="AC83" s="65">
        <v>9000000</v>
      </c>
      <c r="AD83" s="65">
        <v>141199.47</v>
      </c>
      <c r="AE83" s="65">
        <v>280000</v>
      </c>
      <c r="AF83" s="65">
        <v>12737370.011500001</v>
      </c>
      <c r="AG83" s="65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5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5">
        <v>6649944967</v>
      </c>
      <c r="AB84" s="65">
        <v>1196248.61769</v>
      </c>
      <c r="AC84" s="65">
        <v>10000000</v>
      </c>
      <c r="AD84" s="65">
        <v>141199.47</v>
      </c>
      <c r="AE84" s="65">
        <v>280000</v>
      </c>
      <c r="AF84" s="65">
        <v>12946008.067500001</v>
      </c>
      <c r="AG84" s="65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5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5">
        <v>5996923699</v>
      </c>
      <c r="AB85" s="65">
        <v>1100365.03789</v>
      </c>
      <c r="AC85" s="65">
        <v>10000000</v>
      </c>
      <c r="AD85" s="65">
        <v>141199.47</v>
      </c>
      <c r="AE85" s="65">
        <v>280000</v>
      </c>
      <c r="AF85" s="65">
        <v>12953741.867500002</v>
      </c>
      <c r="AG85" s="65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5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5">
        <v>6063339939</v>
      </c>
      <c r="AB86" s="65">
        <v>1100365.03789</v>
      </c>
      <c r="AC86" s="65">
        <v>10000000</v>
      </c>
      <c r="AD86" s="65">
        <v>141199.47</v>
      </c>
      <c r="AE86" s="65">
        <v>280000</v>
      </c>
      <c r="AF86" s="65">
        <v>12416677.031000001</v>
      </c>
      <c r="AG86" s="65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5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5">
        <f>+'[1]CF Dia V1'!$CJ$102</f>
        <v>6063777655</v>
      </c>
      <c r="AB87" s="65">
        <f>+'[1]CF Dia V1'!$CJ$103</f>
        <v>1100365.03789</v>
      </c>
      <c r="AC87" s="65">
        <f>+'[1]CF Dia V1'!$CJ$105</f>
        <v>10000000</v>
      </c>
      <c r="AD87" s="65">
        <f>+'[1]CF Dia V1'!$CJ$106</f>
        <v>141199.46727549468</v>
      </c>
      <c r="AE87" s="65">
        <f>+'[1]CF Dia V1'!$CJ$107</f>
        <v>280000</v>
      </c>
      <c r="AF87" s="65">
        <f>+'[1]CF Dia V1'!$CJ$97</f>
        <v>12457096.382999999</v>
      </c>
      <c r="AG87" s="65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5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5">
        <f>+'[1]CF Dia V1'!$CK$102</f>
        <v>5851473775</v>
      </c>
      <c r="AB88" s="65">
        <f>+'[1]CF Dia V1'!$CK$103</f>
        <v>1100365.03789</v>
      </c>
      <c r="AC88" s="65">
        <f>+'[1]CF Dia V1'!$CK$105</f>
        <v>10000000</v>
      </c>
      <c r="AD88" s="65">
        <v>220000</v>
      </c>
      <c r="AE88" s="65">
        <f>+'[1]CF Dia V1'!$CK$107</f>
        <v>280000</v>
      </c>
      <c r="AF88" s="65">
        <f>+'[1]CF Dia V1'!$CK$97</f>
        <v>13310282.683</v>
      </c>
      <c r="AG88" s="65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5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5">
        <v>5792810924</v>
      </c>
      <c r="AB89" s="65">
        <v>1048306.3957399999</v>
      </c>
      <c r="AC89" s="65">
        <v>10000000</v>
      </c>
      <c r="AD89" s="65">
        <v>220000</v>
      </c>
      <c r="AE89" s="65">
        <v>280000</v>
      </c>
      <c r="AF89" s="65">
        <v>11256610.555</v>
      </c>
      <c r="AG89" s="65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5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5">
        <v>6003601474</v>
      </c>
      <c r="AB90" s="65">
        <f>+AB89</f>
        <v>1048306.3957399999</v>
      </c>
      <c r="AC90" s="65">
        <v>10000000</v>
      </c>
      <c r="AD90" s="65">
        <v>220000</v>
      </c>
      <c r="AE90" s="65">
        <v>280000</v>
      </c>
      <c r="AF90" s="65">
        <v>9237646.2980000023</v>
      </c>
      <c r="AG90" s="65">
        <f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5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5">
        <f>+'[1]CF Dia V1'!$CN$102</f>
        <v>6003847969</v>
      </c>
      <c r="AB91" s="65">
        <f>+AB90</f>
        <v>1048306.3957399999</v>
      </c>
      <c r="AC91" s="65">
        <f t="shared" ref="AC91:AE92" si="0">+AC90</f>
        <v>10000000</v>
      </c>
      <c r="AD91" s="65">
        <f t="shared" si="0"/>
        <v>220000</v>
      </c>
      <c r="AE91" s="65">
        <f t="shared" si="0"/>
        <v>280000</v>
      </c>
      <c r="AF91" s="65">
        <f>+'[1]CF Dia V1'!$CN$97</f>
        <v>9255314.4630000032</v>
      </c>
      <c r="AG91" s="65">
        <f>+AG90</f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5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5">
        <f>+'[1]CF Dia V1'!$CO$102</f>
        <v>6263281746</v>
      </c>
      <c r="AB92" s="65">
        <f>+AB91</f>
        <v>1048306.3957399999</v>
      </c>
      <c r="AC92" s="65">
        <f t="shared" si="0"/>
        <v>10000000</v>
      </c>
      <c r="AD92" s="65">
        <f t="shared" si="0"/>
        <v>220000</v>
      </c>
      <c r="AE92" s="65">
        <f t="shared" si="0"/>
        <v>280000</v>
      </c>
      <c r="AF92" s="65">
        <f>+'[1]CF Dia V1'!$CO$97</f>
        <v>9079082.2650000025</v>
      </c>
      <c r="AG92" s="65">
        <f>+AG91</f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5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5">
        <f>+'[1]CF Dia V1'!$CP$102</f>
        <v>5815616379</v>
      </c>
      <c r="AB93" s="65">
        <f>+AB92</f>
        <v>1048306.3957399999</v>
      </c>
      <c r="AC93" s="65">
        <f>+AC92</f>
        <v>10000000</v>
      </c>
      <c r="AD93" s="65">
        <f>+AD92</f>
        <v>220000</v>
      </c>
      <c r="AE93" s="65">
        <f>+AE92</f>
        <v>280000</v>
      </c>
      <c r="AF93" s="65">
        <f>+'[1]CF Dia V1'!$CP$97</f>
        <v>10753652</v>
      </c>
      <c r="AG93" s="65">
        <f>+AG92</f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5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5">
        <f>+'[1]CF Dia V1'!$CQ$102</f>
        <v>5807216200</v>
      </c>
      <c r="AB94" s="65">
        <f>+AB93</f>
        <v>1048306.3957399999</v>
      </c>
      <c r="AC94" s="65">
        <f>+AC93</f>
        <v>10000000</v>
      </c>
      <c r="AD94" s="65">
        <f>+AD93</f>
        <v>220000</v>
      </c>
      <c r="AE94" s="65">
        <f>+AE93</f>
        <v>280000</v>
      </c>
      <c r="AF94" s="65">
        <f>+'[1]CF Dia V1'!$CQ$97</f>
        <v>10972527.037500003</v>
      </c>
      <c r="AG94" s="65">
        <f>+AG93</f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/>
      <c r="B95" s="17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8"/>
      <c r="AB95" s="18"/>
      <c r="AC95" s="18"/>
      <c r="AD95" s="18"/>
      <c r="AE95" s="18"/>
      <c r="AF95" s="15"/>
      <c r="AG95" s="15"/>
      <c r="AH95" s="15"/>
      <c r="AI95" s="15"/>
      <c r="AJ95" s="15"/>
      <c r="AK95" s="16"/>
    </row>
    <row r="96" spans="1:37" ht="15.75" customHeight="1" x14ac:dyDescent="0.25">
      <c r="A96" s="13"/>
      <c r="B96" s="17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8"/>
      <c r="AB96" s="18"/>
      <c r="AC96" s="18"/>
      <c r="AD96" s="18"/>
      <c r="AE96" s="18"/>
      <c r="AF96" s="15"/>
      <c r="AG96" s="15"/>
      <c r="AH96" s="15"/>
      <c r="AI96" s="15"/>
      <c r="AJ96" s="15"/>
      <c r="AK96" s="16"/>
    </row>
    <row r="97" spans="1:37" ht="15.75" customHeight="1" x14ac:dyDescent="0.25">
      <c r="A97" s="13"/>
      <c r="B97" s="17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8"/>
      <c r="AB97" s="18"/>
      <c r="AC97" s="18"/>
      <c r="AD97" s="18"/>
      <c r="AE97" s="18"/>
      <c r="AF97" s="15"/>
      <c r="AG97" s="15"/>
      <c r="AH97" s="15"/>
      <c r="AI97" s="15"/>
      <c r="AJ97" s="15"/>
      <c r="AK97" s="16"/>
    </row>
    <row r="98" spans="1:37" ht="15.75" customHeight="1" x14ac:dyDescent="0.25">
      <c r="A98" s="13"/>
      <c r="B98" s="17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8"/>
      <c r="AB98" s="18"/>
      <c r="AC98" s="18"/>
      <c r="AD98" s="18"/>
      <c r="AE98" s="18"/>
      <c r="AF98" s="15"/>
      <c r="AG98" s="15"/>
      <c r="AH98" s="15"/>
      <c r="AI98" s="15"/>
      <c r="AJ98" s="15"/>
      <c r="AK98" s="16"/>
    </row>
    <row r="99" spans="1:37" ht="15.75" customHeight="1" x14ac:dyDescent="0.25">
      <c r="A99" s="13"/>
      <c r="B99" s="17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8"/>
      <c r="AB99" s="18"/>
      <c r="AC99" s="18"/>
      <c r="AD99" s="18"/>
      <c r="AE99" s="18"/>
      <c r="AF99" s="15"/>
      <c r="AG99" s="15"/>
      <c r="AH99" s="15"/>
      <c r="AI99" s="15"/>
      <c r="AJ99" s="15"/>
      <c r="AK99" s="16"/>
    </row>
    <row r="100" spans="1:37" ht="15.75" customHeight="1" x14ac:dyDescent="0.25">
      <c r="A100" s="13"/>
      <c r="B100" s="17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8"/>
      <c r="AB100" s="18"/>
      <c r="AC100" s="18"/>
      <c r="AD100" s="18"/>
      <c r="AE100" s="18"/>
      <c r="AF100" s="15"/>
      <c r="AG100" s="15"/>
      <c r="AH100" s="15"/>
      <c r="AI100" s="15"/>
      <c r="AJ100" s="15"/>
      <c r="AK100" s="16"/>
    </row>
    <row r="101" spans="1:37" ht="15.75" customHeight="1" x14ac:dyDescent="0.25">
      <c r="A101" s="13"/>
      <c r="B101" s="17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8"/>
      <c r="AB101" s="18"/>
      <c r="AC101" s="18"/>
      <c r="AD101" s="18"/>
      <c r="AE101" s="18"/>
      <c r="AF101" s="15"/>
      <c r="AG101" s="15"/>
      <c r="AH101" s="15"/>
      <c r="AI101" s="15"/>
      <c r="AJ101" s="15"/>
      <c r="AK101" s="16"/>
    </row>
    <row r="102" spans="1:37" ht="15.75" customHeight="1" x14ac:dyDescent="0.25">
      <c r="A102" s="13"/>
      <c r="B102" s="17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8"/>
      <c r="AB102" s="18"/>
      <c r="AC102" s="18"/>
      <c r="AD102" s="18"/>
      <c r="AE102" s="18"/>
      <c r="AF102" s="15"/>
      <c r="AG102" s="15"/>
      <c r="AH102" s="15"/>
      <c r="AI102" s="15"/>
      <c r="AJ102" s="15"/>
      <c r="AK102" s="16"/>
    </row>
    <row r="103" spans="1:37" ht="15.75" customHeight="1" x14ac:dyDescent="0.25">
      <c r="A103" s="13"/>
      <c r="B103" s="17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8"/>
      <c r="AB103" s="18"/>
      <c r="AC103" s="18"/>
      <c r="AD103" s="18"/>
      <c r="AE103" s="18"/>
      <c r="AF103" s="15"/>
      <c r="AG103" s="15"/>
      <c r="AH103" s="15"/>
      <c r="AI103" s="15"/>
      <c r="AJ103" s="15"/>
      <c r="AK103" s="16"/>
    </row>
    <row r="104" spans="1:37" ht="15.75" customHeight="1" x14ac:dyDescent="0.25">
      <c r="A104" s="13"/>
      <c r="B104" s="17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8"/>
      <c r="AB104" s="18"/>
      <c r="AC104" s="18"/>
      <c r="AD104" s="18"/>
      <c r="AE104" s="18"/>
      <c r="AF104" s="15"/>
      <c r="AG104" s="15"/>
      <c r="AH104" s="15"/>
      <c r="AI104" s="15"/>
      <c r="AJ104" s="15"/>
      <c r="AK104" s="16"/>
    </row>
    <row r="105" spans="1:37" ht="15.75" customHeight="1" x14ac:dyDescent="0.25">
      <c r="A105" s="13"/>
      <c r="B105" s="17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8"/>
      <c r="AB105" s="18"/>
      <c r="AC105" s="18"/>
      <c r="AD105" s="18"/>
      <c r="AE105" s="18"/>
      <c r="AF105" s="15"/>
      <c r="AG105" s="15"/>
      <c r="AH105" s="15"/>
      <c r="AI105" s="15"/>
      <c r="AJ105" s="15"/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sqref="A1:H1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8" t="s">
        <v>96</v>
      </c>
      <c r="B1" s="68"/>
      <c r="C1" s="68"/>
      <c r="D1" s="68"/>
      <c r="E1" s="68"/>
      <c r="F1" s="68"/>
      <c r="G1" s="68"/>
      <c r="H1" s="68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4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15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25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8" t="s">
        <v>115</v>
      </c>
      <c r="B1" s="68"/>
      <c r="C1" s="68"/>
      <c r="D1" s="68"/>
      <c r="E1" s="68"/>
      <c r="F1" s="68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8" t="s">
        <v>121</v>
      </c>
      <c r="B1" s="68"/>
      <c r="C1" s="68"/>
      <c r="D1" s="68"/>
      <c r="E1" s="68"/>
      <c r="F1" s="68"/>
      <c r="G1" s="68"/>
    </row>
    <row r="2" spans="1:7" ht="15.75" customHeight="1" x14ac:dyDescent="0.25">
      <c r="A2" s="76" t="s">
        <v>122</v>
      </c>
      <c r="B2" s="76"/>
      <c r="C2" s="76"/>
      <c r="D2" s="76"/>
      <c r="E2" s="76"/>
      <c r="F2" s="76"/>
      <c r="G2" s="76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G92" sqref="G92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8" t="s">
        <v>138</v>
      </c>
      <c r="B1" s="68"/>
      <c r="C1" s="68"/>
      <c r="D1" s="68"/>
      <c r="E1" s="68"/>
      <c r="F1" s="68"/>
      <c r="G1" s="68"/>
      <c r="H1" s="68"/>
    </row>
    <row r="2" spans="1:8" ht="18" customHeight="1" x14ac:dyDescent="0.25">
      <c r="A2" s="77" t="s">
        <v>139</v>
      </c>
      <c r="B2" s="77"/>
      <c r="C2" s="77"/>
      <c r="D2" s="77"/>
      <c r="E2" s="77"/>
      <c r="F2" s="77"/>
      <c r="G2" s="77"/>
      <c r="H2" s="77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 t="str">
        <f>IF(CARGA_DIARIA!A95="","",CARGA_DIARIA!A95)</f>
        <v/>
      </c>
      <c r="B95" s="34" t="str">
        <f>IF(CARGA_DIARIA!A95="","",CARGA_DIARIA!B95)</f>
        <v/>
      </c>
      <c r="C95" s="35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6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6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9" t="s">
        <v>146</v>
      </c>
      <c r="G95" s="39" t="s">
        <v>146</v>
      </c>
      <c r="H95" s="38" t="str">
        <f>IF(CARGA_DIARIA!A95="","",C95-D95-E95)</f>
        <v/>
      </c>
    </row>
    <row r="96" spans="1:8" ht="15.75" customHeight="1" x14ac:dyDescent="0.25">
      <c r="A96" s="33" t="str">
        <f>IF(CARGA_DIARIA!A96="","",CARGA_DIARIA!A96)</f>
        <v/>
      </c>
      <c r="B96" s="34" t="str">
        <f>IF(CARGA_DIARIA!A96="","",CARGA_DIARIA!B96)</f>
        <v/>
      </c>
      <c r="C96" s="35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6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6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9" t="s">
        <v>146</v>
      </c>
      <c r="G96" s="39" t="s">
        <v>146</v>
      </c>
      <c r="H96" s="38" t="str">
        <f>IF(CARGA_DIARIA!A96="","",C96-D96-E96)</f>
        <v/>
      </c>
    </row>
    <row r="97" spans="1:8" ht="15.75" customHeight="1" x14ac:dyDescent="0.25">
      <c r="A97" s="33" t="str">
        <f>IF(CARGA_DIARIA!A97="","",CARGA_DIARIA!A97)</f>
        <v/>
      </c>
      <c r="B97" s="34" t="str">
        <f>IF(CARGA_DIARIA!A97="","",CARGA_DIARIA!B97)</f>
        <v/>
      </c>
      <c r="C97" s="35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6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6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9" t="s">
        <v>146</v>
      </c>
      <c r="G97" s="39" t="s">
        <v>146</v>
      </c>
      <c r="H97" s="38" t="str">
        <f>IF(CARGA_DIARIA!A97="","",C97-D97-E97)</f>
        <v/>
      </c>
    </row>
    <row r="98" spans="1:8" ht="15.75" customHeight="1" x14ac:dyDescent="0.25">
      <c r="A98" s="33" t="str">
        <f>IF(CARGA_DIARIA!A98="","",CARGA_DIARIA!A98)</f>
        <v/>
      </c>
      <c r="B98" s="34" t="str">
        <f>IF(CARGA_DIARIA!A98="","",CARGA_DIARIA!B98)</f>
        <v/>
      </c>
      <c r="C98" s="35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6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6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9" t="s">
        <v>146</v>
      </c>
      <c r="G98" s="39" t="s">
        <v>146</v>
      </c>
      <c r="H98" s="38" t="str">
        <f>IF(CARGA_DIARIA!A98="","",C98-D98-E98)</f>
        <v/>
      </c>
    </row>
    <row r="99" spans="1:8" ht="15.75" customHeight="1" x14ac:dyDescent="0.25">
      <c r="A99" s="33" t="str">
        <f>IF(CARGA_DIARIA!A99="","",CARGA_DIARIA!A99)</f>
        <v/>
      </c>
      <c r="B99" s="34" t="str">
        <f>IF(CARGA_DIARIA!A99="","",CARGA_DIARIA!B99)</f>
        <v/>
      </c>
      <c r="C99" s="35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6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6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9" t="s">
        <v>146</v>
      </c>
      <c r="G99" s="39" t="s">
        <v>146</v>
      </c>
      <c r="H99" s="38" t="str">
        <f>IF(CARGA_DIARIA!A99="","",C99-D99-E99)</f>
        <v/>
      </c>
    </row>
    <row r="100" spans="1:8" ht="15.75" customHeight="1" x14ac:dyDescent="0.25">
      <c r="A100" s="33" t="str">
        <f>IF(CARGA_DIARIA!A100="","",CARGA_DIARIA!A100)</f>
        <v/>
      </c>
      <c r="B100" s="34" t="str">
        <f>IF(CARGA_DIARIA!A100="","",CARGA_DIARIA!B100)</f>
        <v/>
      </c>
      <c r="C100" s="35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6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6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9" t="s">
        <v>146</v>
      </c>
      <c r="G100" s="39" t="s">
        <v>146</v>
      </c>
      <c r="H100" s="38" t="str">
        <f>IF(CARGA_DIARIA!A100="","",C100-D100-E100)</f>
        <v/>
      </c>
    </row>
    <row r="101" spans="1:8" ht="15.75" customHeight="1" x14ac:dyDescent="0.25">
      <c r="A101" s="33" t="str">
        <f>IF(CARGA_DIARIA!A101="","",CARGA_DIARIA!A101)</f>
        <v/>
      </c>
      <c r="B101" s="34" t="str">
        <f>IF(CARGA_DIARIA!A101="","",CARGA_DIARIA!B101)</f>
        <v/>
      </c>
      <c r="C101" s="35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6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6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9" t="s">
        <v>146</v>
      </c>
      <c r="G101" s="39" t="s">
        <v>146</v>
      </c>
      <c r="H101" s="38" t="str">
        <f>IF(CARGA_DIARIA!A101="","",C101-D101-E101)</f>
        <v/>
      </c>
    </row>
    <row r="102" spans="1:8" ht="15.75" customHeight="1" x14ac:dyDescent="0.25">
      <c r="A102" s="33" t="str">
        <f>IF(CARGA_DIARIA!A102="","",CARGA_DIARIA!A102)</f>
        <v/>
      </c>
      <c r="B102" s="34" t="str">
        <f>IF(CARGA_DIARIA!A102="","",CARGA_DIARIA!B102)</f>
        <v/>
      </c>
      <c r="C102" s="35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6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6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9" t="s">
        <v>146</v>
      </c>
      <c r="G102" s="39" t="s">
        <v>146</v>
      </c>
      <c r="H102" s="38" t="str">
        <f>IF(CARGA_DIARIA!A102="","",C102-D102-E102)</f>
        <v/>
      </c>
    </row>
    <row r="103" spans="1:8" ht="15.75" customHeight="1" x14ac:dyDescent="0.25">
      <c r="A103" s="33" t="str">
        <f>IF(CARGA_DIARIA!A103="","",CARGA_DIARIA!A103)</f>
        <v/>
      </c>
      <c r="B103" s="34" t="str">
        <f>IF(CARGA_DIARIA!A103="","",CARGA_DIARIA!B103)</f>
        <v/>
      </c>
      <c r="C103" s="35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6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6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9" t="s">
        <v>146</v>
      </c>
      <c r="G103" s="39" t="s">
        <v>146</v>
      </c>
      <c r="H103" s="38" t="str">
        <f>IF(CARGA_DIARIA!A103="","",C103-D103-E103)</f>
        <v/>
      </c>
    </row>
    <row r="104" spans="1:8" ht="15.75" customHeight="1" x14ac:dyDescent="0.25">
      <c r="A104" s="33" t="str">
        <f>IF(CARGA_DIARIA!A104="","",CARGA_DIARIA!A104)</f>
        <v/>
      </c>
      <c r="B104" s="34" t="str">
        <f>IF(CARGA_DIARIA!A104="","",CARGA_DIARIA!B104)</f>
        <v/>
      </c>
      <c r="C104" s="35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6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6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9" t="s">
        <v>146</v>
      </c>
      <c r="G104" s="39" t="s">
        <v>146</v>
      </c>
      <c r="H104" s="38" t="str">
        <f>IF(CARGA_DIARIA!A104="","",C104-D104-E104)</f>
        <v/>
      </c>
    </row>
    <row r="105" spans="1:8" ht="15.75" customHeight="1" x14ac:dyDescent="0.25">
      <c r="A105" s="33" t="str">
        <f>IF(CARGA_DIARIA!A105="","",CARGA_DIARIA!A105)</f>
        <v/>
      </c>
      <c r="B105" s="34" t="str">
        <f>IF(CARGA_DIARIA!A105="","",CARGA_DIARIA!B105)</f>
        <v/>
      </c>
      <c r="C105" s="35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6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6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9" t="s">
        <v>146</v>
      </c>
      <c r="G105" s="39" t="s">
        <v>146</v>
      </c>
      <c r="H105" s="38" t="str">
        <f>IF(CARGA_DIARIA!A105="","",C105-D105-E105)</f>
        <v/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0"/>
  <sheetViews>
    <sheetView showGridLines="0" zoomScaleNormal="100" workbookViewId="0">
      <pane ySplit="3" topLeftCell="A4" activePane="bottomLeft" state="frozen"/>
      <selection pane="bottomLeft" activeCell="E4" sqref="E4:E16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8" t="s">
        <v>147</v>
      </c>
      <c r="B1" s="68"/>
      <c r="C1" s="68"/>
      <c r="D1" s="68"/>
      <c r="E1" s="68"/>
      <c r="F1" s="68"/>
      <c r="G1" s="68"/>
    </row>
    <row r="2" spans="1:7" ht="15.75" customHeight="1" x14ac:dyDescent="0.25">
      <c r="A2" s="78" t="s">
        <v>148</v>
      </c>
      <c r="B2" s="78"/>
      <c r="C2" s="78"/>
      <c r="D2" s="78"/>
      <c r="E2" s="78"/>
      <c r="F2" s="78"/>
      <c r="G2" s="78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700</v>
      </c>
      <c r="B4">
        <v>2219061</v>
      </c>
      <c r="C4">
        <v>3400000</v>
      </c>
      <c r="D4" s="13">
        <v>46127</v>
      </c>
      <c r="E4" s="67">
        <v>46127</v>
      </c>
      <c r="F4" s="40">
        <f>IF(E4="","",E4+2)</f>
        <v>46129</v>
      </c>
      <c r="G4" s="27"/>
    </row>
    <row r="5" spans="1:7" ht="15.75" customHeight="1" x14ac:dyDescent="0.25">
      <c r="A5" t="s">
        <v>701</v>
      </c>
      <c r="B5">
        <v>13111470</v>
      </c>
      <c r="C5">
        <v>3224950</v>
      </c>
      <c r="D5" s="13">
        <v>46127</v>
      </c>
      <c r="E5" s="67">
        <v>46132</v>
      </c>
      <c r="F5" s="40">
        <f t="shared" ref="F5:F68" si="0">IF(E5="","",E5+2)</f>
        <v>46134</v>
      </c>
      <c r="G5" s="27"/>
    </row>
    <row r="6" spans="1:7" ht="15.75" customHeight="1" x14ac:dyDescent="0.25">
      <c r="A6" t="s">
        <v>702</v>
      </c>
      <c r="B6">
        <v>78055914</v>
      </c>
      <c r="C6">
        <v>1130000</v>
      </c>
      <c r="D6" s="13">
        <v>46127</v>
      </c>
      <c r="E6" s="67">
        <v>46146</v>
      </c>
      <c r="F6" s="40">
        <f t="shared" si="0"/>
        <v>46148</v>
      </c>
      <c r="G6" s="27"/>
    </row>
    <row r="7" spans="1:7" ht="15.75" customHeight="1" x14ac:dyDescent="0.25">
      <c r="A7" t="s">
        <v>701</v>
      </c>
      <c r="B7">
        <v>12924495</v>
      </c>
      <c r="C7">
        <v>4981600</v>
      </c>
      <c r="D7" s="13">
        <v>46127</v>
      </c>
      <c r="E7" s="67">
        <v>46147</v>
      </c>
      <c r="F7" s="40">
        <f t="shared" si="0"/>
        <v>46149</v>
      </c>
      <c r="G7" s="27"/>
    </row>
    <row r="8" spans="1:7" ht="15.75" customHeight="1" x14ac:dyDescent="0.25">
      <c r="A8" t="s">
        <v>700</v>
      </c>
      <c r="B8">
        <v>65636545</v>
      </c>
      <c r="C8">
        <v>2800000</v>
      </c>
      <c r="D8" s="13">
        <v>46127</v>
      </c>
      <c r="E8" s="67">
        <v>46149</v>
      </c>
      <c r="F8" s="40">
        <f t="shared" si="0"/>
        <v>46151</v>
      </c>
      <c r="G8" s="27"/>
    </row>
    <row r="9" spans="1:7" ht="15.75" customHeight="1" x14ac:dyDescent="0.25">
      <c r="A9" t="s">
        <v>703</v>
      </c>
      <c r="B9">
        <v>61747693</v>
      </c>
      <c r="C9">
        <v>7588800</v>
      </c>
      <c r="D9" s="13">
        <v>46127</v>
      </c>
      <c r="E9" s="67">
        <v>46150</v>
      </c>
      <c r="F9" s="40">
        <f t="shared" si="0"/>
        <v>46152</v>
      </c>
      <c r="G9" s="27"/>
    </row>
    <row r="10" spans="1:7" ht="15.75" customHeight="1" x14ac:dyDescent="0.25">
      <c r="A10" t="s">
        <v>704</v>
      </c>
      <c r="B10">
        <v>5235</v>
      </c>
      <c r="C10">
        <v>585630</v>
      </c>
      <c r="D10" s="13">
        <v>46127</v>
      </c>
      <c r="E10" s="67">
        <v>46150</v>
      </c>
      <c r="F10" s="40">
        <f t="shared" si="0"/>
        <v>46152</v>
      </c>
      <c r="G10" s="27"/>
    </row>
    <row r="11" spans="1:7" ht="15.75" customHeight="1" x14ac:dyDescent="0.25">
      <c r="A11" t="s">
        <v>702</v>
      </c>
      <c r="B11">
        <v>78055918</v>
      </c>
      <c r="C11">
        <v>900000</v>
      </c>
      <c r="D11" s="13">
        <v>46127</v>
      </c>
      <c r="E11" s="67">
        <v>46150</v>
      </c>
      <c r="F11" s="40">
        <f t="shared" si="0"/>
        <v>46152</v>
      </c>
      <c r="G11" s="27"/>
    </row>
    <row r="12" spans="1:7" ht="15.75" customHeight="1" x14ac:dyDescent="0.25">
      <c r="A12" t="s">
        <v>701</v>
      </c>
      <c r="B12">
        <v>12924512</v>
      </c>
      <c r="C12">
        <v>10000000</v>
      </c>
      <c r="D12" s="13">
        <v>46127</v>
      </c>
      <c r="E12" s="67">
        <v>46153</v>
      </c>
      <c r="F12" s="40">
        <f t="shared" si="0"/>
        <v>46155</v>
      </c>
      <c r="G12" s="27"/>
    </row>
    <row r="13" spans="1:7" ht="15.75" customHeight="1" x14ac:dyDescent="0.25">
      <c r="A13" t="s">
        <v>705</v>
      </c>
      <c r="B13">
        <v>6972</v>
      </c>
      <c r="C13">
        <v>17428000</v>
      </c>
      <c r="D13" s="13">
        <v>46127</v>
      </c>
      <c r="E13" s="67">
        <v>46153</v>
      </c>
      <c r="F13" s="40">
        <f t="shared" si="0"/>
        <v>46155</v>
      </c>
      <c r="G13" s="27"/>
    </row>
    <row r="14" spans="1:7" ht="15.75" customHeight="1" x14ac:dyDescent="0.25">
      <c r="A14" t="s">
        <v>702</v>
      </c>
      <c r="B14">
        <v>78055919</v>
      </c>
      <c r="C14">
        <v>1080000</v>
      </c>
      <c r="D14" s="13">
        <v>46127</v>
      </c>
      <c r="E14" s="67">
        <v>46153</v>
      </c>
      <c r="F14" s="40">
        <f t="shared" si="0"/>
        <v>46155</v>
      </c>
      <c r="G14" s="27"/>
    </row>
    <row r="15" spans="1:7" ht="15.75" customHeight="1" x14ac:dyDescent="0.25">
      <c r="A15" t="s">
        <v>701</v>
      </c>
      <c r="B15">
        <v>12924513</v>
      </c>
      <c r="C15">
        <v>10000000</v>
      </c>
      <c r="D15" s="13">
        <v>46127</v>
      </c>
      <c r="E15" s="67">
        <v>46154</v>
      </c>
      <c r="F15" s="40">
        <f t="shared" si="0"/>
        <v>46156</v>
      </c>
      <c r="G15" s="27"/>
    </row>
    <row r="16" spans="1:7" ht="15.75" customHeight="1" x14ac:dyDescent="0.25">
      <c r="A16" t="s">
        <v>701</v>
      </c>
      <c r="B16">
        <v>12924514</v>
      </c>
      <c r="C16">
        <v>10000000</v>
      </c>
      <c r="D16" s="13">
        <v>46127</v>
      </c>
      <c r="E16" s="67">
        <v>46155</v>
      </c>
      <c r="F16" s="40">
        <f t="shared" si="0"/>
        <v>46157</v>
      </c>
      <c r="G16" s="27"/>
    </row>
    <row r="17" spans="1:7" ht="15.75" customHeight="1" x14ac:dyDescent="0.25">
      <c r="A17" t="s">
        <v>706</v>
      </c>
      <c r="B17">
        <v>13378006</v>
      </c>
      <c r="C17">
        <v>3100000</v>
      </c>
      <c r="D17" s="13">
        <v>46127</v>
      </c>
      <c r="E17" s="67">
        <v>46156</v>
      </c>
      <c r="F17" s="40">
        <f t="shared" si="0"/>
        <v>46158</v>
      </c>
      <c r="G17" s="27"/>
    </row>
    <row r="18" spans="1:7" ht="15.75" customHeight="1" x14ac:dyDescent="0.25">
      <c r="A18" t="s">
        <v>706</v>
      </c>
      <c r="B18">
        <v>13378021</v>
      </c>
      <c r="C18">
        <v>2200000</v>
      </c>
      <c r="D18" s="13">
        <v>46127</v>
      </c>
      <c r="E18" s="67">
        <v>46156</v>
      </c>
      <c r="F18" s="40">
        <f t="shared" si="0"/>
        <v>46158</v>
      </c>
      <c r="G18" s="27"/>
    </row>
    <row r="19" spans="1:7" ht="15.75" customHeight="1" x14ac:dyDescent="0.25">
      <c r="A19" t="s">
        <v>702</v>
      </c>
      <c r="B19">
        <v>78055865</v>
      </c>
      <c r="C19">
        <v>1325000</v>
      </c>
      <c r="D19" s="13">
        <v>46127</v>
      </c>
      <c r="E19" s="67">
        <v>46156</v>
      </c>
      <c r="F19" s="40">
        <f t="shared" si="0"/>
        <v>46158</v>
      </c>
      <c r="G19" s="27"/>
    </row>
    <row r="20" spans="1:7" ht="15.75" customHeight="1" x14ac:dyDescent="0.25">
      <c r="A20" t="s">
        <v>701</v>
      </c>
      <c r="B20">
        <v>12924515</v>
      </c>
      <c r="C20">
        <v>10000000</v>
      </c>
      <c r="D20" s="13">
        <v>46127</v>
      </c>
      <c r="E20" s="67">
        <v>46156</v>
      </c>
      <c r="F20" s="40">
        <f t="shared" si="0"/>
        <v>46158</v>
      </c>
      <c r="G20" s="27"/>
    </row>
    <row r="21" spans="1:7" ht="15.75" customHeight="1" x14ac:dyDescent="0.25">
      <c r="A21" t="s">
        <v>704</v>
      </c>
      <c r="B21">
        <v>4959</v>
      </c>
      <c r="C21">
        <v>3118540</v>
      </c>
      <c r="D21" s="13">
        <v>46127</v>
      </c>
      <c r="E21" s="67">
        <v>46156</v>
      </c>
      <c r="F21" s="40">
        <f t="shared" si="0"/>
        <v>46158</v>
      </c>
      <c r="G21" s="27"/>
    </row>
    <row r="22" spans="1:7" ht="15.75" customHeight="1" x14ac:dyDescent="0.25">
      <c r="A22" t="s">
        <v>702</v>
      </c>
      <c r="B22">
        <v>78055890</v>
      </c>
      <c r="C22">
        <v>890000</v>
      </c>
      <c r="D22" s="13">
        <v>46127</v>
      </c>
      <c r="E22" s="67">
        <v>46156</v>
      </c>
      <c r="F22" s="40">
        <f t="shared" si="0"/>
        <v>46158</v>
      </c>
      <c r="G22" s="27"/>
    </row>
    <row r="23" spans="1:7" ht="15.75" customHeight="1" x14ac:dyDescent="0.25">
      <c r="A23" t="s">
        <v>702</v>
      </c>
      <c r="B23">
        <v>8055882</v>
      </c>
      <c r="C23">
        <v>500000</v>
      </c>
      <c r="D23" s="13">
        <v>46127</v>
      </c>
      <c r="E23" s="67">
        <v>46156</v>
      </c>
      <c r="F23" s="40">
        <f t="shared" si="0"/>
        <v>46158</v>
      </c>
      <c r="G23" s="27"/>
    </row>
    <row r="24" spans="1:7" ht="15.75" customHeight="1" x14ac:dyDescent="0.25">
      <c r="A24" t="s">
        <v>706</v>
      </c>
      <c r="B24">
        <v>13378022</v>
      </c>
      <c r="C24">
        <v>2200000</v>
      </c>
      <c r="D24" s="13">
        <v>46127</v>
      </c>
      <c r="E24" s="67">
        <v>46157</v>
      </c>
      <c r="F24" s="40">
        <f t="shared" si="0"/>
        <v>46159</v>
      </c>
      <c r="G24" s="27"/>
    </row>
    <row r="25" spans="1:7" ht="15.75" customHeight="1" x14ac:dyDescent="0.25">
      <c r="A25" t="s">
        <v>702</v>
      </c>
      <c r="B25">
        <v>78055866</v>
      </c>
      <c r="C25">
        <v>1325000</v>
      </c>
      <c r="D25" s="13">
        <v>46127</v>
      </c>
      <c r="E25" s="67">
        <v>46157</v>
      </c>
      <c r="F25" s="40">
        <f t="shared" si="0"/>
        <v>46159</v>
      </c>
      <c r="G25" s="27"/>
    </row>
    <row r="26" spans="1:7" ht="15.75" customHeight="1" x14ac:dyDescent="0.25">
      <c r="A26" t="s">
        <v>705</v>
      </c>
      <c r="B26">
        <v>6769</v>
      </c>
      <c r="C26">
        <v>17049600</v>
      </c>
      <c r="D26" s="13">
        <v>46127</v>
      </c>
      <c r="E26" s="67">
        <v>46157</v>
      </c>
      <c r="F26" s="40">
        <f t="shared" si="0"/>
        <v>46159</v>
      </c>
      <c r="G26" s="27"/>
    </row>
    <row r="27" spans="1:7" ht="15.75" customHeight="1" x14ac:dyDescent="0.25">
      <c r="A27" t="s">
        <v>701</v>
      </c>
      <c r="B27">
        <v>12924516</v>
      </c>
      <c r="C27">
        <v>10000000</v>
      </c>
      <c r="D27" s="13">
        <v>46127</v>
      </c>
      <c r="E27" s="67">
        <v>46157</v>
      </c>
      <c r="F27" s="40">
        <f t="shared" si="0"/>
        <v>46159</v>
      </c>
      <c r="G27" s="27"/>
    </row>
    <row r="28" spans="1:7" ht="15.75" customHeight="1" x14ac:dyDescent="0.25">
      <c r="A28" t="s">
        <v>707</v>
      </c>
      <c r="B28">
        <v>29117288</v>
      </c>
      <c r="C28">
        <v>10000000</v>
      </c>
      <c r="D28" s="13">
        <v>46127</v>
      </c>
      <c r="E28" s="67">
        <v>46157</v>
      </c>
      <c r="F28" s="40">
        <f t="shared" si="0"/>
        <v>46159</v>
      </c>
      <c r="G28" s="27"/>
    </row>
    <row r="29" spans="1:7" ht="15.75" customHeight="1" x14ac:dyDescent="0.25">
      <c r="A29" t="s">
        <v>708</v>
      </c>
      <c r="B29">
        <v>4540</v>
      </c>
      <c r="C29">
        <v>891750</v>
      </c>
      <c r="D29" s="13">
        <v>46127</v>
      </c>
      <c r="E29" s="67">
        <v>46157</v>
      </c>
      <c r="F29" s="40">
        <f t="shared" si="0"/>
        <v>46159</v>
      </c>
      <c r="G29" s="27"/>
    </row>
    <row r="30" spans="1:7" ht="15.75" customHeight="1" x14ac:dyDescent="0.25">
      <c r="A30" t="s">
        <v>708</v>
      </c>
      <c r="B30">
        <v>4574</v>
      </c>
      <c r="C30">
        <v>1300000</v>
      </c>
      <c r="D30" s="13">
        <v>46127</v>
      </c>
      <c r="E30" s="67">
        <v>46157</v>
      </c>
      <c r="F30" s="40">
        <f t="shared" si="0"/>
        <v>46159</v>
      </c>
      <c r="G30" s="27"/>
    </row>
    <row r="31" spans="1:7" ht="15.75" customHeight="1" x14ac:dyDescent="0.25">
      <c r="A31" t="s">
        <v>707</v>
      </c>
      <c r="B31">
        <v>3360</v>
      </c>
      <c r="C31">
        <v>2190000</v>
      </c>
      <c r="D31" s="13">
        <v>46127</v>
      </c>
      <c r="E31" s="67">
        <v>46157</v>
      </c>
      <c r="F31" s="40">
        <f t="shared" si="0"/>
        <v>46159</v>
      </c>
      <c r="G31" s="27"/>
    </row>
    <row r="32" spans="1:7" ht="15.75" customHeight="1" x14ac:dyDescent="0.25">
      <c r="A32" t="s">
        <v>702</v>
      </c>
      <c r="B32">
        <v>78055883</v>
      </c>
      <c r="C32">
        <v>500000</v>
      </c>
      <c r="D32" s="13">
        <v>46127</v>
      </c>
      <c r="E32" s="67">
        <v>46157</v>
      </c>
      <c r="F32" s="40">
        <f t="shared" si="0"/>
        <v>46159</v>
      </c>
      <c r="G32" s="27"/>
    </row>
    <row r="33" spans="1:7" ht="15.75" customHeight="1" x14ac:dyDescent="0.25">
      <c r="A33" t="s">
        <v>702</v>
      </c>
      <c r="B33">
        <v>78055891</v>
      </c>
      <c r="C33">
        <v>890000</v>
      </c>
      <c r="D33" s="13">
        <v>46127</v>
      </c>
      <c r="E33" s="67">
        <v>46157</v>
      </c>
      <c r="F33" s="40">
        <f t="shared" si="0"/>
        <v>46159</v>
      </c>
      <c r="G33" s="27"/>
    </row>
    <row r="34" spans="1:7" ht="15.75" customHeight="1" x14ac:dyDescent="0.25">
      <c r="A34" t="s">
        <v>709</v>
      </c>
      <c r="B34">
        <v>122</v>
      </c>
      <c r="C34">
        <v>3000261.82</v>
      </c>
      <c r="D34" s="13">
        <v>46127</v>
      </c>
      <c r="E34" s="67">
        <v>46157</v>
      </c>
      <c r="F34" s="40">
        <f t="shared" si="0"/>
        <v>46159</v>
      </c>
      <c r="G34" s="27"/>
    </row>
    <row r="35" spans="1:7" ht="15.75" customHeight="1" x14ac:dyDescent="0.25">
      <c r="A35" t="s">
        <v>709</v>
      </c>
      <c r="B35">
        <v>123</v>
      </c>
      <c r="C35">
        <v>3870000</v>
      </c>
      <c r="D35" s="13">
        <v>46127</v>
      </c>
      <c r="E35" s="67">
        <v>46157</v>
      </c>
      <c r="F35" s="40">
        <f t="shared" si="0"/>
        <v>46159</v>
      </c>
      <c r="G35" s="27"/>
    </row>
    <row r="36" spans="1:7" ht="15.75" customHeight="1" x14ac:dyDescent="0.25">
      <c r="A36" t="s">
        <v>709</v>
      </c>
      <c r="B36">
        <v>124</v>
      </c>
      <c r="C36">
        <v>4000000</v>
      </c>
      <c r="D36" s="13">
        <v>46127</v>
      </c>
      <c r="E36" s="67">
        <v>46157</v>
      </c>
      <c r="F36" s="40">
        <f t="shared" si="0"/>
        <v>46159</v>
      </c>
      <c r="G36" s="27"/>
    </row>
    <row r="37" spans="1:7" ht="15.75" customHeight="1" x14ac:dyDescent="0.25">
      <c r="A37" t="s">
        <v>710</v>
      </c>
      <c r="B37">
        <v>66486728</v>
      </c>
      <c r="C37">
        <v>4528200</v>
      </c>
      <c r="D37" s="13">
        <v>46127</v>
      </c>
      <c r="E37" s="67">
        <v>46157</v>
      </c>
      <c r="F37" s="40">
        <f t="shared" si="0"/>
        <v>46159</v>
      </c>
      <c r="G37" s="27"/>
    </row>
    <row r="38" spans="1:7" ht="15.75" customHeight="1" x14ac:dyDescent="0.25">
      <c r="A38" t="s">
        <v>703</v>
      </c>
      <c r="B38">
        <v>61747694</v>
      </c>
      <c r="C38">
        <v>7365600</v>
      </c>
      <c r="D38" s="13">
        <v>46127</v>
      </c>
      <c r="E38" s="67">
        <v>46157</v>
      </c>
      <c r="F38" s="40">
        <f t="shared" si="0"/>
        <v>46159</v>
      </c>
      <c r="G38" s="27"/>
    </row>
    <row r="39" spans="1:7" ht="15.75" customHeight="1" x14ac:dyDescent="0.25">
      <c r="A39" t="s">
        <v>708</v>
      </c>
      <c r="B39">
        <v>4628</v>
      </c>
      <c r="C39">
        <v>1300000</v>
      </c>
      <c r="D39" s="13">
        <v>46127</v>
      </c>
      <c r="E39" s="67">
        <v>46157</v>
      </c>
      <c r="F39" s="40">
        <f t="shared" si="0"/>
        <v>46159</v>
      </c>
      <c r="G39" s="27"/>
    </row>
    <row r="40" spans="1:7" ht="15.75" customHeight="1" x14ac:dyDescent="0.25">
      <c r="A40" t="s">
        <v>711</v>
      </c>
      <c r="B40">
        <v>3436586</v>
      </c>
      <c r="C40">
        <v>1800000</v>
      </c>
      <c r="D40" s="13">
        <v>46127</v>
      </c>
      <c r="E40" s="67">
        <v>46160</v>
      </c>
      <c r="F40" s="40">
        <f t="shared" si="0"/>
        <v>46162</v>
      </c>
      <c r="G40" s="27"/>
    </row>
    <row r="41" spans="1:7" ht="15.75" customHeight="1" x14ac:dyDescent="0.25">
      <c r="A41" t="s">
        <v>711</v>
      </c>
      <c r="B41">
        <v>3436587</v>
      </c>
      <c r="C41">
        <v>1850000</v>
      </c>
      <c r="D41" s="13">
        <v>46127</v>
      </c>
      <c r="E41" s="67">
        <v>46160</v>
      </c>
      <c r="F41" s="40">
        <f t="shared" si="0"/>
        <v>46162</v>
      </c>
      <c r="G41" s="27"/>
    </row>
    <row r="42" spans="1:7" ht="15.75" customHeight="1" x14ac:dyDescent="0.25">
      <c r="A42" t="s">
        <v>702</v>
      </c>
      <c r="B42">
        <v>78055867</v>
      </c>
      <c r="C42">
        <v>1324500</v>
      </c>
      <c r="D42" s="13">
        <v>46127</v>
      </c>
      <c r="E42" s="67">
        <v>46160</v>
      </c>
      <c r="F42" s="40">
        <f t="shared" si="0"/>
        <v>46162</v>
      </c>
      <c r="G42" s="27"/>
    </row>
    <row r="43" spans="1:7" ht="15.75" customHeight="1" x14ac:dyDescent="0.25">
      <c r="A43" t="s">
        <v>712</v>
      </c>
      <c r="B43">
        <v>9487743</v>
      </c>
      <c r="C43">
        <v>12220447.59</v>
      </c>
      <c r="D43" s="13">
        <v>46127</v>
      </c>
      <c r="E43" s="67">
        <v>46160</v>
      </c>
      <c r="F43" s="40">
        <f t="shared" si="0"/>
        <v>46162</v>
      </c>
      <c r="G43" s="27"/>
    </row>
    <row r="44" spans="1:7" ht="15.75" customHeight="1" x14ac:dyDescent="0.25">
      <c r="A44" t="s">
        <v>701</v>
      </c>
      <c r="B44">
        <v>12924517</v>
      </c>
      <c r="C44">
        <v>7374980</v>
      </c>
      <c r="D44" s="13">
        <v>46127</v>
      </c>
      <c r="E44" s="67">
        <v>46160</v>
      </c>
      <c r="F44" s="40">
        <f t="shared" si="0"/>
        <v>46162</v>
      </c>
      <c r="G44" s="27"/>
    </row>
    <row r="45" spans="1:7" ht="15.75" customHeight="1" x14ac:dyDescent="0.25">
      <c r="A45" t="s">
        <v>708</v>
      </c>
      <c r="B45">
        <v>4575</v>
      </c>
      <c r="C45">
        <v>1300000</v>
      </c>
      <c r="D45" s="13">
        <v>46127</v>
      </c>
      <c r="E45" s="67">
        <v>46160</v>
      </c>
      <c r="F45" s="40">
        <f t="shared" si="0"/>
        <v>46162</v>
      </c>
      <c r="G45" s="27"/>
    </row>
    <row r="46" spans="1:7" ht="15.75" customHeight="1" x14ac:dyDescent="0.25">
      <c r="A46" t="s">
        <v>713</v>
      </c>
      <c r="B46">
        <v>674</v>
      </c>
      <c r="C46">
        <v>4500000</v>
      </c>
      <c r="D46" s="13">
        <v>46127</v>
      </c>
      <c r="E46" s="67">
        <v>46160</v>
      </c>
      <c r="F46" s="40">
        <f t="shared" si="0"/>
        <v>46162</v>
      </c>
      <c r="G46" s="27"/>
    </row>
    <row r="47" spans="1:7" ht="15.75" customHeight="1" x14ac:dyDescent="0.25">
      <c r="A47" t="s">
        <v>713</v>
      </c>
      <c r="B47">
        <v>675</v>
      </c>
      <c r="C47">
        <v>4500000</v>
      </c>
      <c r="D47" s="13">
        <v>46127</v>
      </c>
      <c r="E47" s="67">
        <v>46160</v>
      </c>
      <c r="F47" s="40">
        <f t="shared" si="0"/>
        <v>46162</v>
      </c>
      <c r="G47" s="27"/>
    </row>
    <row r="48" spans="1:7" ht="15.75" customHeight="1" x14ac:dyDescent="0.25">
      <c r="A48" t="s">
        <v>713</v>
      </c>
      <c r="B48">
        <v>676</v>
      </c>
      <c r="C48">
        <v>3724600</v>
      </c>
      <c r="D48" s="13">
        <v>46127</v>
      </c>
      <c r="E48" s="67">
        <v>46160</v>
      </c>
      <c r="F48" s="40">
        <f t="shared" si="0"/>
        <v>46162</v>
      </c>
      <c r="G48" s="27"/>
    </row>
    <row r="49" spans="1:7" ht="15.75" customHeight="1" x14ac:dyDescent="0.25">
      <c r="A49" t="s">
        <v>713</v>
      </c>
      <c r="B49">
        <v>677</v>
      </c>
      <c r="C49">
        <v>4500000</v>
      </c>
      <c r="D49" s="13">
        <v>46127</v>
      </c>
      <c r="E49" s="67">
        <v>46160</v>
      </c>
      <c r="F49" s="40">
        <f t="shared" si="0"/>
        <v>46162</v>
      </c>
      <c r="G49" s="27"/>
    </row>
    <row r="50" spans="1:7" ht="15.75" customHeight="1" x14ac:dyDescent="0.25">
      <c r="A50" t="s">
        <v>714</v>
      </c>
      <c r="B50">
        <v>66288756</v>
      </c>
      <c r="C50">
        <v>10766250</v>
      </c>
      <c r="D50" s="13">
        <v>46127</v>
      </c>
      <c r="E50" s="67">
        <v>46160</v>
      </c>
      <c r="F50" s="40">
        <f t="shared" si="0"/>
        <v>46162</v>
      </c>
      <c r="G50" s="27"/>
    </row>
    <row r="51" spans="1:7" ht="15.75" customHeight="1" x14ac:dyDescent="0.25">
      <c r="A51" t="s">
        <v>714</v>
      </c>
      <c r="B51">
        <v>66288779</v>
      </c>
      <c r="C51">
        <v>9000000</v>
      </c>
      <c r="D51" s="13">
        <v>46127</v>
      </c>
      <c r="E51" s="67">
        <v>46160</v>
      </c>
      <c r="F51" s="40">
        <f t="shared" si="0"/>
        <v>46162</v>
      </c>
      <c r="G51" s="27"/>
    </row>
    <row r="52" spans="1:7" ht="15.75" customHeight="1" x14ac:dyDescent="0.25">
      <c r="A52" t="s">
        <v>715</v>
      </c>
      <c r="B52">
        <v>29133200</v>
      </c>
      <c r="C52">
        <v>9455600</v>
      </c>
      <c r="D52" s="13">
        <v>46127</v>
      </c>
      <c r="E52" s="67">
        <v>46160</v>
      </c>
      <c r="F52" s="40">
        <f t="shared" si="0"/>
        <v>46162</v>
      </c>
      <c r="G52" s="27"/>
    </row>
    <row r="53" spans="1:7" ht="15.75" customHeight="1" x14ac:dyDescent="0.25">
      <c r="A53" t="s">
        <v>704</v>
      </c>
      <c r="B53">
        <v>4960</v>
      </c>
      <c r="C53">
        <v>1864135</v>
      </c>
      <c r="D53" s="13">
        <v>46127</v>
      </c>
      <c r="E53" s="67">
        <v>46160</v>
      </c>
      <c r="F53" s="40">
        <f t="shared" si="0"/>
        <v>46162</v>
      </c>
      <c r="G53" s="27"/>
    </row>
    <row r="54" spans="1:7" ht="15.75" customHeight="1" x14ac:dyDescent="0.25">
      <c r="A54" t="s">
        <v>702</v>
      </c>
      <c r="B54">
        <v>78055884</v>
      </c>
      <c r="C54">
        <v>500000</v>
      </c>
      <c r="D54" s="13">
        <v>46127</v>
      </c>
      <c r="E54" s="67">
        <v>46160</v>
      </c>
      <c r="F54" s="40">
        <f t="shared" si="0"/>
        <v>46162</v>
      </c>
      <c r="G54" s="27"/>
    </row>
    <row r="55" spans="1:7" ht="15.75" customHeight="1" x14ac:dyDescent="0.25">
      <c r="A55" t="s">
        <v>702</v>
      </c>
      <c r="B55">
        <v>78055892</v>
      </c>
      <c r="C55">
        <v>890000</v>
      </c>
      <c r="D55" s="13">
        <v>46127</v>
      </c>
      <c r="E55" s="67">
        <v>46160</v>
      </c>
      <c r="F55" s="40">
        <f t="shared" si="0"/>
        <v>46162</v>
      </c>
      <c r="G55" s="27"/>
    </row>
    <row r="56" spans="1:7" ht="15.75" customHeight="1" x14ac:dyDescent="0.25">
      <c r="A56" t="s">
        <v>709</v>
      </c>
      <c r="B56">
        <v>125</v>
      </c>
      <c r="C56">
        <v>3000314.05</v>
      </c>
      <c r="D56" s="13">
        <v>46127</v>
      </c>
      <c r="E56" s="67">
        <v>46160</v>
      </c>
      <c r="F56" s="40">
        <f t="shared" si="0"/>
        <v>46162</v>
      </c>
      <c r="G56" s="27"/>
    </row>
    <row r="57" spans="1:7" ht="15.75" customHeight="1" x14ac:dyDescent="0.25">
      <c r="A57" t="s">
        <v>709</v>
      </c>
      <c r="B57">
        <v>126</v>
      </c>
      <c r="C57">
        <v>3500000</v>
      </c>
      <c r="D57" s="13">
        <v>46127</v>
      </c>
      <c r="E57" s="67">
        <v>46160</v>
      </c>
      <c r="F57" s="40">
        <f t="shared" si="0"/>
        <v>46162</v>
      </c>
      <c r="G57" s="27"/>
    </row>
    <row r="58" spans="1:7" ht="15.75" customHeight="1" x14ac:dyDescent="0.25">
      <c r="A58" t="s">
        <v>709</v>
      </c>
      <c r="B58">
        <v>127</v>
      </c>
      <c r="C58">
        <v>3024000</v>
      </c>
      <c r="D58" s="13">
        <v>46127</v>
      </c>
      <c r="E58" s="67">
        <v>46160</v>
      </c>
      <c r="F58" s="40">
        <f t="shared" si="0"/>
        <v>46162</v>
      </c>
      <c r="G58" s="27"/>
    </row>
    <row r="59" spans="1:7" ht="15.75" customHeight="1" x14ac:dyDescent="0.25">
      <c r="A59" t="s">
        <v>709</v>
      </c>
      <c r="B59">
        <v>128</v>
      </c>
      <c r="C59">
        <v>2000000</v>
      </c>
      <c r="D59" s="13">
        <v>46127</v>
      </c>
      <c r="E59" s="67">
        <v>46160</v>
      </c>
      <c r="F59" s="40">
        <f t="shared" si="0"/>
        <v>46162</v>
      </c>
      <c r="G59" s="27"/>
    </row>
    <row r="60" spans="1:7" ht="15.75" customHeight="1" x14ac:dyDescent="0.25">
      <c r="A60" t="s">
        <v>714</v>
      </c>
      <c r="B60">
        <v>66612046</v>
      </c>
      <c r="C60">
        <v>13057192.01</v>
      </c>
      <c r="D60" s="13">
        <v>46127</v>
      </c>
      <c r="E60" s="67">
        <v>46160</v>
      </c>
      <c r="F60" s="40">
        <f t="shared" si="0"/>
        <v>46162</v>
      </c>
      <c r="G60" s="27"/>
    </row>
    <row r="61" spans="1:7" ht="15.75" customHeight="1" x14ac:dyDescent="0.25">
      <c r="A61" t="s">
        <v>702</v>
      </c>
      <c r="B61">
        <v>78055898</v>
      </c>
      <c r="C61">
        <v>960000</v>
      </c>
      <c r="D61" s="13">
        <v>46127</v>
      </c>
      <c r="E61" s="67">
        <v>46160</v>
      </c>
      <c r="F61" s="40">
        <f t="shared" si="0"/>
        <v>46162</v>
      </c>
      <c r="G61" s="27"/>
    </row>
    <row r="62" spans="1:7" ht="15.75" customHeight="1" x14ac:dyDescent="0.25">
      <c r="A62" t="s">
        <v>716</v>
      </c>
      <c r="B62">
        <v>90018038</v>
      </c>
      <c r="C62">
        <v>9684400</v>
      </c>
      <c r="D62" s="13">
        <v>46127</v>
      </c>
      <c r="E62" s="67">
        <v>46160</v>
      </c>
      <c r="F62" s="40">
        <f t="shared" si="0"/>
        <v>46162</v>
      </c>
      <c r="G62" s="27"/>
    </row>
    <row r="63" spans="1:7" ht="15.75" customHeight="1" x14ac:dyDescent="0.25">
      <c r="A63" t="s">
        <v>708</v>
      </c>
      <c r="B63">
        <v>4629</v>
      </c>
      <c r="C63">
        <v>1300000</v>
      </c>
      <c r="D63" s="13">
        <v>46127</v>
      </c>
      <c r="E63" s="67">
        <v>46160</v>
      </c>
      <c r="F63" s="40">
        <f t="shared" si="0"/>
        <v>46162</v>
      </c>
      <c r="G63" s="27"/>
    </row>
    <row r="64" spans="1:7" ht="15.75" customHeight="1" x14ac:dyDescent="0.25">
      <c r="A64" t="s">
        <v>715</v>
      </c>
      <c r="B64">
        <v>29057186</v>
      </c>
      <c r="C64">
        <v>30901040</v>
      </c>
      <c r="D64" s="13">
        <v>46127</v>
      </c>
      <c r="E64" s="67">
        <v>46161</v>
      </c>
      <c r="F64" s="40">
        <f t="shared" si="0"/>
        <v>46163</v>
      </c>
      <c r="G64" s="27"/>
    </row>
    <row r="65" spans="1:7" ht="15.75" customHeight="1" x14ac:dyDescent="0.25">
      <c r="A65" t="s">
        <v>707</v>
      </c>
      <c r="B65">
        <v>29117287</v>
      </c>
      <c r="C65">
        <v>10216372.48</v>
      </c>
      <c r="D65" s="13">
        <v>46127</v>
      </c>
      <c r="E65" s="67">
        <v>46161</v>
      </c>
      <c r="F65" s="40">
        <f t="shared" si="0"/>
        <v>46163</v>
      </c>
      <c r="G65" s="27"/>
    </row>
    <row r="66" spans="1:7" ht="15.75" customHeight="1" x14ac:dyDescent="0.25">
      <c r="A66" t="s">
        <v>717</v>
      </c>
      <c r="B66">
        <v>9583076</v>
      </c>
      <c r="C66">
        <v>11530750</v>
      </c>
      <c r="D66" s="13">
        <v>46127</v>
      </c>
      <c r="E66" s="67">
        <v>46161</v>
      </c>
      <c r="F66" s="40">
        <f t="shared" si="0"/>
        <v>46163</v>
      </c>
      <c r="G66" s="27"/>
    </row>
    <row r="67" spans="1:7" ht="15.75" customHeight="1" x14ac:dyDescent="0.25">
      <c r="A67" t="s">
        <v>708</v>
      </c>
      <c r="B67">
        <v>4576</v>
      </c>
      <c r="C67">
        <v>949750</v>
      </c>
      <c r="D67" s="13">
        <v>46127</v>
      </c>
      <c r="E67" s="67">
        <v>46161</v>
      </c>
      <c r="F67" s="40">
        <f t="shared" si="0"/>
        <v>46163</v>
      </c>
      <c r="G67" s="27"/>
    </row>
    <row r="68" spans="1:7" ht="15.75" customHeight="1" x14ac:dyDescent="0.25">
      <c r="A68" t="s">
        <v>702</v>
      </c>
      <c r="B68">
        <v>78055885</v>
      </c>
      <c r="C68">
        <v>500000</v>
      </c>
      <c r="D68" s="13">
        <v>46127</v>
      </c>
      <c r="E68" s="67">
        <v>46161</v>
      </c>
      <c r="F68" s="40">
        <f t="shared" si="0"/>
        <v>46163</v>
      </c>
      <c r="G68" s="27"/>
    </row>
    <row r="69" spans="1:7" ht="15.75" customHeight="1" x14ac:dyDescent="0.25">
      <c r="A69" t="s">
        <v>702</v>
      </c>
      <c r="B69">
        <v>78055893</v>
      </c>
      <c r="C69">
        <v>890000</v>
      </c>
      <c r="D69" s="13">
        <v>46127</v>
      </c>
      <c r="E69" s="67">
        <v>46161</v>
      </c>
      <c r="F69" s="40">
        <f t="shared" ref="F69:F132" si="1">IF(E69="","",E69+2)</f>
        <v>46163</v>
      </c>
      <c r="G69" s="27"/>
    </row>
    <row r="70" spans="1:7" ht="15.75" customHeight="1" x14ac:dyDescent="0.25">
      <c r="A70" t="s">
        <v>702</v>
      </c>
      <c r="B70">
        <v>78055899</v>
      </c>
      <c r="C70">
        <v>960000</v>
      </c>
      <c r="D70" s="13">
        <v>46127</v>
      </c>
      <c r="E70" s="67">
        <v>46161</v>
      </c>
      <c r="F70" s="40">
        <f t="shared" si="1"/>
        <v>46163</v>
      </c>
      <c r="G70" s="27"/>
    </row>
    <row r="71" spans="1:7" ht="15.75" customHeight="1" x14ac:dyDescent="0.25">
      <c r="A71" t="s">
        <v>708</v>
      </c>
      <c r="B71">
        <v>4630</v>
      </c>
      <c r="C71">
        <v>1300000</v>
      </c>
      <c r="D71" s="13">
        <v>46127</v>
      </c>
      <c r="E71" s="67">
        <v>46161</v>
      </c>
      <c r="F71" s="40">
        <f t="shared" si="1"/>
        <v>46163</v>
      </c>
      <c r="G71" s="27"/>
    </row>
    <row r="72" spans="1:7" ht="15.75" customHeight="1" x14ac:dyDescent="0.25">
      <c r="A72" t="s">
        <v>718</v>
      </c>
      <c r="B72">
        <v>1368</v>
      </c>
      <c r="C72">
        <v>26000000</v>
      </c>
      <c r="D72" s="13">
        <v>46127</v>
      </c>
      <c r="E72" s="67">
        <v>46162</v>
      </c>
      <c r="F72" s="40">
        <f t="shared" si="1"/>
        <v>46164</v>
      </c>
      <c r="G72" s="27"/>
    </row>
    <row r="73" spans="1:7" ht="15.75" customHeight="1" x14ac:dyDescent="0.25">
      <c r="A73" t="s">
        <v>710</v>
      </c>
      <c r="B73">
        <v>66486598</v>
      </c>
      <c r="C73">
        <v>5000000</v>
      </c>
      <c r="D73" s="13">
        <v>46127</v>
      </c>
      <c r="E73" s="67">
        <v>46162</v>
      </c>
      <c r="F73" s="40">
        <f t="shared" si="1"/>
        <v>46164</v>
      </c>
      <c r="G73" s="27"/>
    </row>
    <row r="74" spans="1:7" ht="15.75" customHeight="1" x14ac:dyDescent="0.25">
      <c r="A74" t="s">
        <v>708</v>
      </c>
      <c r="B74">
        <v>4631</v>
      </c>
      <c r="C74">
        <v>1300000</v>
      </c>
      <c r="D74" s="13">
        <v>46127</v>
      </c>
      <c r="E74" s="67">
        <v>46162</v>
      </c>
      <c r="F74" s="40">
        <f t="shared" si="1"/>
        <v>46164</v>
      </c>
      <c r="G74" s="27"/>
    </row>
    <row r="75" spans="1:7" ht="15.75" customHeight="1" x14ac:dyDescent="0.25">
      <c r="A75" t="s">
        <v>717</v>
      </c>
      <c r="B75">
        <v>1</v>
      </c>
      <c r="C75">
        <v>14034570</v>
      </c>
      <c r="D75" s="13">
        <v>46127</v>
      </c>
      <c r="E75" s="67">
        <v>46163</v>
      </c>
      <c r="F75" s="40">
        <f t="shared" si="1"/>
        <v>46165</v>
      </c>
      <c r="G75" s="27"/>
    </row>
    <row r="76" spans="1:7" ht="15.75" customHeight="1" x14ac:dyDescent="0.25">
      <c r="A76" t="s">
        <v>706</v>
      </c>
      <c r="B76">
        <v>13378069</v>
      </c>
      <c r="C76">
        <v>2465900</v>
      </c>
      <c r="D76" s="13">
        <v>46127</v>
      </c>
      <c r="E76" s="67">
        <v>46163</v>
      </c>
      <c r="F76" s="40">
        <f t="shared" si="1"/>
        <v>46165</v>
      </c>
      <c r="G76" s="27"/>
    </row>
    <row r="77" spans="1:7" ht="15.75" customHeight="1" x14ac:dyDescent="0.25">
      <c r="A77" t="s">
        <v>702</v>
      </c>
      <c r="B77">
        <v>78055886</v>
      </c>
      <c r="C77">
        <v>500000</v>
      </c>
      <c r="D77" s="13">
        <v>46127</v>
      </c>
      <c r="E77" s="67">
        <v>46163</v>
      </c>
      <c r="F77" s="40">
        <f t="shared" si="1"/>
        <v>46165</v>
      </c>
      <c r="G77" s="27"/>
    </row>
    <row r="78" spans="1:7" ht="15.75" customHeight="1" x14ac:dyDescent="0.25">
      <c r="A78" t="s">
        <v>702</v>
      </c>
      <c r="B78">
        <v>78055894</v>
      </c>
      <c r="C78">
        <v>890000</v>
      </c>
      <c r="D78" s="13">
        <v>46127</v>
      </c>
      <c r="E78" s="67">
        <v>46163</v>
      </c>
      <c r="F78" s="40">
        <f t="shared" si="1"/>
        <v>46165</v>
      </c>
      <c r="G78" s="27"/>
    </row>
    <row r="79" spans="1:7" ht="15.75" customHeight="1" x14ac:dyDescent="0.25">
      <c r="A79" t="s">
        <v>702</v>
      </c>
      <c r="B79">
        <v>78055900</v>
      </c>
      <c r="C79">
        <v>960000</v>
      </c>
      <c r="D79" s="13">
        <v>46127</v>
      </c>
      <c r="E79" s="67">
        <v>46163</v>
      </c>
      <c r="F79" s="40">
        <f t="shared" si="1"/>
        <v>46165</v>
      </c>
      <c r="G79" s="27"/>
    </row>
    <row r="80" spans="1:7" ht="15.75" customHeight="1" x14ac:dyDescent="0.25">
      <c r="A80" t="s">
        <v>706</v>
      </c>
      <c r="B80">
        <v>13378070</v>
      </c>
      <c r="C80">
        <v>2500000</v>
      </c>
      <c r="D80" s="13">
        <v>46127</v>
      </c>
      <c r="E80" s="67">
        <v>46164</v>
      </c>
      <c r="F80" s="40">
        <f t="shared" si="1"/>
        <v>46166</v>
      </c>
      <c r="G80" s="27"/>
    </row>
    <row r="81" spans="1:7" ht="15.75" customHeight="1" x14ac:dyDescent="0.25">
      <c r="A81" t="s">
        <v>704</v>
      </c>
      <c r="B81">
        <v>5214</v>
      </c>
      <c r="C81">
        <v>1373700</v>
      </c>
      <c r="D81" s="13">
        <v>46127</v>
      </c>
      <c r="E81" s="67">
        <v>46164</v>
      </c>
      <c r="F81" s="40">
        <f t="shared" si="1"/>
        <v>46166</v>
      </c>
      <c r="G81" s="27"/>
    </row>
    <row r="82" spans="1:7" ht="15.75" customHeight="1" x14ac:dyDescent="0.25">
      <c r="A82" t="s">
        <v>707</v>
      </c>
      <c r="B82">
        <v>1280</v>
      </c>
      <c r="C82">
        <v>5603667.5499999998</v>
      </c>
      <c r="D82" s="13">
        <v>46127</v>
      </c>
      <c r="E82" s="67">
        <v>46164</v>
      </c>
      <c r="F82" s="40">
        <f t="shared" si="1"/>
        <v>46166</v>
      </c>
      <c r="G82" s="27"/>
    </row>
    <row r="83" spans="1:7" ht="15.75" customHeight="1" x14ac:dyDescent="0.25">
      <c r="A83" t="s">
        <v>702</v>
      </c>
      <c r="B83">
        <v>78055895</v>
      </c>
      <c r="C83">
        <v>890000</v>
      </c>
      <c r="D83" s="13">
        <v>46127</v>
      </c>
      <c r="E83" s="67">
        <v>46164</v>
      </c>
      <c r="F83" s="40">
        <f t="shared" si="1"/>
        <v>46166</v>
      </c>
      <c r="G83" s="27"/>
    </row>
    <row r="84" spans="1:7" ht="15.75" customHeight="1" x14ac:dyDescent="0.25">
      <c r="A84" t="s">
        <v>702</v>
      </c>
      <c r="B84">
        <v>78055896</v>
      </c>
      <c r="C84">
        <v>890000</v>
      </c>
      <c r="D84" s="13">
        <v>46127</v>
      </c>
      <c r="E84" s="67">
        <v>46164</v>
      </c>
      <c r="F84" s="40">
        <f t="shared" si="1"/>
        <v>46166</v>
      </c>
      <c r="G84" s="27"/>
    </row>
    <row r="85" spans="1:7" ht="15.75" customHeight="1" x14ac:dyDescent="0.25">
      <c r="A85" t="s">
        <v>702</v>
      </c>
      <c r="B85">
        <v>8055887</v>
      </c>
      <c r="C85">
        <v>525400</v>
      </c>
      <c r="D85" s="13">
        <v>46127</v>
      </c>
      <c r="E85" s="67">
        <v>46164</v>
      </c>
      <c r="F85" s="40">
        <f t="shared" si="1"/>
        <v>46166</v>
      </c>
      <c r="G85" s="27"/>
    </row>
    <row r="86" spans="1:7" ht="15.75" customHeight="1" x14ac:dyDescent="0.25">
      <c r="A86" t="s">
        <v>718</v>
      </c>
      <c r="B86">
        <v>1369</v>
      </c>
      <c r="C86">
        <v>26348155</v>
      </c>
      <c r="D86" s="13">
        <v>46127</v>
      </c>
      <c r="E86" s="67">
        <v>46164</v>
      </c>
      <c r="F86" s="40">
        <f t="shared" si="1"/>
        <v>46166</v>
      </c>
      <c r="G86" s="27"/>
    </row>
    <row r="87" spans="1:7" ht="15.75" customHeight="1" x14ac:dyDescent="0.25">
      <c r="A87" t="s">
        <v>719</v>
      </c>
      <c r="B87">
        <v>6800188</v>
      </c>
      <c r="C87">
        <v>16576560</v>
      </c>
      <c r="D87" s="13">
        <v>46127</v>
      </c>
      <c r="E87" s="67">
        <v>46164</v>
      </c>
      <c r="F87" s="40">
        <f t="shared" si="1"/>
        <v>46166</v>
      </c>
      <c r="G87" s="27"/>
    </row>
    <row r="88" spans="1:7" ht="15.75" customHeight="1" x14ac:dyDescent="0.25">
      <c r="A88" t="s">
        <v>702</v>
      </c>
      <c r="B88">
        <v>78055901</v>
      </c>
      <c r="C88">
        <v>960000</v>
      </c>
      <c r="D88" s="13">
        <v>46127</v>
      </c>
      <c r="E88" s="67">
        <v>46164</v>
      </c>
      <c r="F88" s="40">
        <f t="shared" si="1"/>
        <v>46166</v>
      </c>
      <c r="G88" s="27"/>
    </row>
    <row r="89" spans="1:7" ht="15.75" customHeight="1" x14ac:dyDescent="0.25">
      <c r="A89" t="s">
        <v>716</v>
      </c>
      <c r="B89">
        <v>90018039</v>
      </c>
      <c r="C89">
        <v>9640400</v>
      </c>
      <c r="D89" s="13">
        <v>46127</v>
      </c>
      <c r="E89" s="67">
        <v>46164</v>
      </c>
      <c r="F89" s="40">
        <f t="shared" si="1"/>
        <v>46166</v>
      </c>
      <c r="G89" s="27"/>
    </row>
    <row r="90" spans="1:7" ht="15.75" customHeight="1" x14ac:dyDescent="0.25">
      <c r="A90" t="s">
        <v>708</v>
      </c>
      <c r="B90">
        <v>4715</v>
      </c>
      <c r="C90">
        <v>1300000</v>
      </c>
      <c r="D90" s="13">
        <v>46127</v>
      </c>
      <c r="E90" s="67">
        <v>46164</v>
      </c>
      <c r="F90" s="40">
        <f t="shared" si="1"/>
        <v>46166</v>
      </c>
      <c r="G90" s="27"/>
    </row>
    <row r="91" spans="1:7" ht="15.75" customHeight="1" x14ac:dyDescent="0.25">
      <c r="A91" t="s">
        <v>708</v>
      </c>
      <c r="B91">
        <v>4632</v>
      </c>
      <c r="C91">
        <v>1300000</v>
      </c>
      <c r="D91" s="13">
        <v>46127</v>
      </c>
      <c r="E91" s="67">
        <v>46164</v>
      </c>
      <c r="F91" s="40">
        <f t="shared" si="1"/>
        <v>46166</v>
      </c>
      <c r="G91" s="27"/>
    </row>
    <row r="92" spans="1:7" ht="15.75" customHeight="1" x14ac:dyDescent="0.25">
      <c r="A92" t="s">
        <v>715</v>
      </c>
      <c r="B92">
        <v>29265627</v>
      </c>
      <c r="C92">
        <v>9884160</v>
      </c>
      <c r="D92" s="13">
        <v>46127</v>
      </c>
      <c r="E92" s="67">
        <v>46164</v>
      </c>
      <c r="F92" s="40">
        <f t="shared" si="1"/>
        <v>46166</v>
      </c>
      <c r="G92" s="27"/>
    </row>
    <row r="93" spans="1:7" ht="15.75" customHeight="1" x14ac:dyDescent="0.25">
      <c r="A93" t="s">
        <v>705</v>
      </c>
      <c r="B93">
        <v>6818</v>
      </c>
      <c r="C93">
        <v>22336160</v>
      </c>
      <c r="D93" s="13">
        <v>46127</v>
      </c>
      <c r="E93" s="67">
        <v>46167</v>
      </c>
      <c r="F93" s="40">
        <f t="shared" si="1"/>
        <v>46169</v>
      </c>
      <c r="G93" s="27"/>
    </row>
    <row r="94" spans="1:7" ht="15.75" customHeight="1" x14ac:dyDescent="0.25">
      <c r="A94" t="s">
        <v>712</v>
      </c>
      <c r="B94">
        <v>9487744</v>
      </c>
      <c r="C94">
        <v>8879287.4600000009</v>
      </c>
      <c r="D94" s="13">
        <v>46127</v>
      </c>
      <c r="E94" s="67">
        <v>46167</v>
      </c>
      <c r="F94" s="40">
        <f t="shared" si="1"/>
        <v>46169</v>
      </c>
      <c r="G94" s="27"/>
    </row>
    <row r="95" spans="1:7" ht="15.75" customHeight="1" x14ac:dyDescent="0.25">
      <c r="A95" t="s">
        <v>706</v>
      </c>
      <c r="B95">
        <v>13378071</v>
      </c>
      <c r="C95">
        <v>2500000</v>
      </c>
      <c r="D95" s="13">
        <v>46127</v>
      </c>
      <c r="E95" s="67">
        <v>46167</v>
      </c>
      <c r="F95" s="40">
        <f t="shared" si="1"/>
        <v>46169</v>
      </c>
      <c r="G95" s="27"/>
    </row>
    <row r="96" spans="1:7" ht="15.75" customHeight="1" x14ac:dyDescent="0.25">
      <c r="A96" t="s">
        <v>706</v>
      </c>
      <c r="B96">
        <v>13378072</v>
      </c>
      <c r="C96">
        <v>2500000</v>
      </c>
      <c r="D96" s="13">
        <v>46127</v>
      </c>
      <c r="E96" s="67">
        <v>46167</v>
      </c>
      <c r="F96" s="40">
        <f t="shared" si="1"/>
        <v>46169</v>
      </c>
      <c r="G96" s="27"/>
    </row>
    <row r="97" spans="1:7" ht="15.75" customHeight="1" x14ac:dyDescent="0.25">
      <c r="A97" t="s">
        <v>706</v>
      </c>
      <c r="B97">
        <v>13378073</v>
      </c>
      <c r="C97">
        <v>2500000</v>
      </c>
      <c r="D97" s="13">
        <v>46127</v>
      </c>
      <c r="E97" s="67">
        <v>46167</v>
      </c>
      <c r="F97" s="40">
        <f t="shared" si="1"/>
        <v>46169</v>
      </c>
      <c r="G97" s="27"/>
    </row>
    <row r="98" spans="1:7" ht="15.75" customHeight="1" x14ac:dyDescent="0.25">
      <c r="A98" t="s">
        <v>714</v>
      </c>
      <c r="B98">
        <v>66612110</v>
      </c>
      <c r="C98">
        <v>14000000</v>
      </c>
      <c r="D98" s="13">
        <v>46127</v>
      </c>
      <c r="E98" s="67">
        <v>46167</v>
      </c>
      <c r="F98" s="40">
        <f t="shared" si="1"/>
        <v>46169</v>
      </c>
      <c r="G98" s="27"/>
    </row>
    <row r="99" spans="1:7" ht="15.75" customHeight="1" x14ac:dyDescent="0.25">
      <c r="A99" t="s">
        <v>710</v>
      </c>
      <c r="B99">
        <v>66487132</v>
      </c>
      <c r="C99">
        <v>4796000</v>
      </c>
      <c r="D99" s="13">
        <v>46127</v>
      </c>
      <c r="E99" s="67">
        <v>46167</v>
      </c>
      <c r="F99" s="40">
        <f t="shared" si="1"/>
        <v>46169</v>
      </c>
      <c r="G99" s="27"/>
    </row>
    <row r="100" spans="1:7" ht="15.75" customHeight="1" x14ac:dyDescent="0.25">
      <c r="A100" t="s">
        <v>702</v>
      </c>
      <c r="B100">
        <v>78055897</v>
      </c>
      <c r="C100">
        <v>907700</v>
      </c>
      <c r="D100" s="13">
        <v>46127</v>
      </c>
      <c r="E100" s="67">
        <v>46168</v>
      </c>
      <c r="F100" s="40">
        <f t="shared" si="1"/>
        <v>46170</v>
      </c>
      <c r="G100" s="27"/>
    </row>
    <row r="101" spans="1:7" ht="15.75" customHeight="1" x14ac:dyDescent="0.25">
      <c r="A101" t="s">
        <v>702</v>
      </c>
      <c r="B101">
        <v>78055902</v>
      </c>
      <c r="C101">
        <v>960000</v>
      </c>
      <c r="D101" s="13">
        <v>46127</v>
      </c>
      <c r="E101" s="67">
        <v>46168</v>
      </c>
      <c r="F101" s="40">
        <f t="shared" si="1"/>
        <v>46170</v>
      </c>
      <c r="G101" s="27"/>
    </row>
    <row r="102" spans="1:7" ht="15.75" customHeight="1" x14ac:dyDescent="0.25">
      <c r="A102" t="s">
        <v>708</v>
      </c>
      <c r="B102">
        <v>4716</v>
      </c>
      <c r="C102">
        <v>1300000</v>
      </c>
      <c r="D102" s="13">
        <v>46127</v>
      </c>
      <c r="E102" s="67">
        <v>46168</v>
      </c>
      <c r="F102" s="40">
        <f t="shared" si="1"/>
        <v>46170</v>
      </c>
      <c r="G102" s="27"/>
    </row>
    <row r="103" spans="1:7" ht="15.75" customHeight="1" x14ac:dyDescent="0.25">
      <c r="A103" t="s">
        <v>708</v>
      </c>
      <c r="B103">
        <v>4633</v>
      </c>
      <c r="C103">
        <v>1162600</v>
      </c>
      <c r="D103" s="13">
        <v>46127</v>
      </c>
      <c r="E103" s="67">
        <v>46168</v>
      </c>
      <c r="F103" s="40">
        <f t="shared" si="1"/>
        <v>46170</v>
      </c>
      <c r="G103" s="27"/>
    </row>
    <row r="104" spans="1:7" ht="15.75" customHeight="1" x14ac:dyDescent="0.25">
      <c r="A104" t="s">
        <v>708</v>
      </c>
      <c r="B104">
        <v>4742</v>
      </c>
      <c r="C104">
        <v>1200000</v>
      </c>
      <c r="D104" s="13">
        <v>46127</v>
      </c>
      <c r="E104" s="67">
        <v>46168</v>
      </c>
      <c r="F104" s="40">
        <f t="shared" si="1"/>
        <v>46170</v>
      </c>
      <c r="G104" s="27"/>
    </row>
    <row r="105" spans="1:7" ht="15.75" customHeight="1" x14ac:dyDescent="0.25">
      <c r="A105" t="s">
        <v>702</v>
      </c>
      <c r="B105">
        <v>78055908</v>
      </c>
      <c r="C105">
        <v>1130000</v>
      </c>
      <c r="D105" s="13">
        <v>46127</v>
      </c>
      <c r="E105" s="67">
        <v>46168</v>
      </c>
      <c r="F105" s="40">
        <f t="shared" si="1"/>
        <v>46170</v>
      </c>
      <c r="G105" s="27"/>
    </row>
    <row r="106" spans="1:7" ht="15.75" customHeight="1" x14ac:dyDescent="0.25">
      <c r="A106" t="s">
        <v>717</v>
      </c>
      <c r="B106">
        <v>16</v>
      </c>
      <c r="C106">
        <v>19042210</v>
      </c>
      <c r="D106" s="13">
        <v>46127</v>
      </c>
      <c r="E106" s="67">
        <v>46169</v>
      </c>
      <c r="F106" s="40">
        <f t="shared" si="1"/>
        <v>46171</v>
      </c>
      <c r="G106" s="27"/>
    </row>
    <row r="107" spans="1:7" ht="15.75" customHeight="1" x14ac:dyDescent="0.25">
      <c r="A107" t="s">
        <v>710</v>
      </c>
      <c r="B107">
        <v>66486893</v>
      </c>
      <c r="C107">
        <v>5000000</v>
      </c>
      <c r="D107" s="13">
        <v>46127</v>
      </c>
      <c r="E107" s="67">
        <v>46169</v>
      </c>
      <c r="F107" s="40">
        <f t="shared" si="1"/>
        <v>46171</v>
      </c>
      <c r="G107" s="27"/>
    </row>
    <row r="108" spans="1:7" ht="15.75" customHeight="1" x14ac:dyDescent="0.25">
      <c r="A108" t="s">
        <v>702</v>
      </c>
      <c r="B108">
        <v>78055903</v>
      </c>
      <c r="C108">
        <v>960000</v>
      </c>
      <c r="D108" s="13">
        <v>46127</v>
      </c>
      <c r="E108" s="67">
        <v>46169</v>
      </c>
      <c r="F108" s="40">
        <f t="shared" si="1"/>
        <v>46171</v>
      </c>
      <c r="G108" s="27"/>
    </row>
    <row r="109" spans="1:7" ht="15.75" customHeight="1" x14ac:dyDescent="0.25">
      <c r="A109" t="s">
        <v>708</v>
      </c>
      <c r="B109">
        <v>4717</v>
      </c>
      <c r="C109">
        <v>1300000</v>
      </c>
      <c r="D109" s="13">
        <v>46127</v>
      </c>
      <c r="E109" s="67">
        <v>46169</v>
      </c>
      <c r="F109" s="40">
        <f t="shared" si="1"/>
        <v>46171</v>
      </c>
      <c r="G109" s="27"/>
    </row>
    <row r="110" spans="1:7" ht="15.75" customHeight="1" x14ac:dyDescent="0.25">
      <c r="A110" t="s">
        <v>708</v>
      </c>
      <c r="B110">
        <v>4743</v>
      </c>
      <c r="C110">
        <v>1200000</v>
      </c>
      <c r="D110" s="13">
        <v>46127</v>
      </c>
      <c r="E110" s="67">
        <v>46169</v>
      </c>
      <c r="F110" s="40">
        <f t="shared" si="1"/>
        <v>46171</v>
      </c>
      <c r="G110" s="27"/>
    </row>
    <row r="111" spans="1:7" ht="15.75" customHeight="1" x14ac:dyDescent="0.25">
      <c r="A111" t="s">
        <v>708</v>
      </c>
      <c r="B111">
        <v>4772</v>
      </c>
      <c r="C111">
        <v>1300000</v>
      </c>
      <c r="D111" s="13">
        <v>46127</v>
      </c>
      <c r="E111" s="67">
        <v>46169</v>
      </c>
      <c r="F111" s="40">
        <f t="shared" si="1"/>
        <v>46171</v>
      </c>
      <c r="G111" s="27"/>
    </row>
    <row r="112" spans="1:7" ht="15.75" customHeight="1" x14ac:dyDescent="0.25">
      <c r="A112" t="s">
        <v>702</v>
      </c>
      <c r="B112">
        <v>78055909</v>
      </c>
      <c r="C112">
        <v>1130000</v>
      </c>
      <c r="D112" s="13">
        <v>46127</v>
      </c>
      <c r="E112" s="67">
        <v>46169</v>
      </c>
      <c r="F112" s="40">
        <f t="shared" si="1"/>
        <v>46171</v>
      </c>
      <c r="G112" s="27"/>
    </row>
    <row r="113" spans="1:7" ht="15.75" customHeight="1" x14ac:dyDescent="0.25">
      <c r="A113" t="s">
        <v>707</v>
      </c>
      <c r="B113">
        <v>29153824</v>
      </c>
      <c r="C113">
        <v>8049582.4500000002</v>
      </c>
      <c r="D113" s="13">
        <v>46127</v>
      </c>
      <c r="E113" s="67">
        <v>46170</v>
      </c>
      <c r="F113" s="40">
        <f t="shared" si="1"/>
        <v>46172</v>
      </c>
      <c r="G113" s="27"/>
    </row>
    <row r="114" spans="1:7" ht="15.75" customHeight="1" x14ac:dyDescent="0.25">
      <c r="A114" t="s">
        <v>702</v>
      </c>
      <c r="B114">
        <v>78055904</v>
      </c>
      <c r="C114">
        <v>960000</v>
      </c>
      <c r="D114" s="13">
        <v>46127</v>
      </c>
      <c r="E114" s="67">
        <v>46170</v>
      </c>
      <c r="F114" s="40">
        <f t="shared" si="1"/>
        <v>46172</v>
      </c>
      <c r="G114" s="27"/>
    </row>
    <row r="115" spans="1:7" ht="15.75" customHeight="1" x14ac:dyDescent="0.25">
      <c r="A115" t="s">
        <v>702</v>
      </c>
      <c r="B115">
        <v>78055910</v>
      </c>
      <c r="C115">
        <v>1130000</v>
      </c>
      <c r="D115" s="13">
        <v>46127</v>
      </c>
      <c r="E115" s="67">
        <v>46170</v>
      </c>
      <c r="F115" s="40">
        <f t="shared" si="1"/>
        <v>46172</v>
      </c>
      <c r="G115" s="27"/>
    </row>
    <row r="116" spans="1:7" ht="15.75" customHeight="1" x14ac:dyDescent="0.25">
      <c r="A116" t="s">
        <v>704</v>
      </c>
      <c r="B116">
        <v>5221</v>
      </c>
      <c r="C116">
        <v>1626750</v>
      </c>
      <c r="D116" s="13">
        <v>46127</v>
      </c>
      <c r="E116" s="67">
        <v>46171</v>
      </c>
      <c r="F116" s="40">
        <f t="shared" si="1"/>
        <v>46173</v>
      </c>
      <c r="G116" s="27"/>
    </row>
    <row r="117" spans="1:7" ht="15.75" customHeight="1" x14ac:dyDescent="0.25">
      <c r="A117" t="s">
        <v>702</v>
      </c>
      <c r="B117">
        <v>78055905</v>
      </c>
      <c r="C117">
        <v>960000</v>
      </c>
      <c r="D117" s="13">
        <v>46127</v>
      </c>
      <c r="E117" s="67">
        <v>46171</v>
      </c>
      <c r="F117" s="40">
        <f t="shared" si="1"/>
        <v>46173</v>
      </c>
      <c r="G117" s="27"/>
    </row>
    <row r="118" spans="1:7" ht="15.75" customHeight="1" x14ac:dyDescent="0.25">
      <c r="A118" t="s">
        <v>708</v>
      </c>
      <c r="B118">
        <v>4718</v>
      </c>
      <c r="C118">
        <v>1300000</v>
      </c>
      <c r="D118" s="13">
        <v>46127</v>
      </c>
      <c r="E118" s="67">
        <v>46171</v>
      </c>
      <c r="F118" s="40">
        <f t="shared" si="1"/>
        <v>46173</v>
      </c>
      <c r="G118" s="27"/>
    </row>
    <row r="119" spans="1:7" ht="15.75" customHeight="1" x14ac:dyDescent="0.25">
      <c r="A119" t="s">
        <v>708</v>
      </c>
      <c r="B119">
        <v>4744</v>
      </c>
      <c r="C119">
        <v>1200000</v>
      </c>
      <c r="D119" s="13">
        <v>46127</v>
      </c>
      <c r="E119" s="67">
        <v>46171</v>
      </c>
      <c r="F119" s="40">
        <f t="shared" si="1"/>
        <v>46173</v>
      </c>
      <c r="G119" s="27"/>
    </row>
    <row r="120" spans="1:7" ht="15.75" customHeight="1" x14ac:dyDescent="0.25">
      <c r="A120" t="s">
        <v>708</v>
      </c>
      <c r="B120">
        <v>4773</v>
      </c>
      <c r="C120">
        <v>1300000</v>
      </c>
      <c r="D120" s="13">
        <v>46127</v>
      </c>
      <c r="E120" s="67">
        <v>46171</v>
      </c>
      <c r="F120" s="40">
        <f t="shared" si="1"/>
        <v>46173</v>
      </c>
      <c r="G120" s="27"/>
    </row>
    <row r="121" spans="1:7" ht="15.75" customHeight="1" x14ac:dyDescent="0.25">
      <c r="A121" t="s">
        <v>707</v>
      </c>
      <c r="B121">
        <v>29253319</v>
      </c>
      <c r="C121">
        <v>10000000</v>
      </c>
      <c r="D121" s="13">
        <v>46127</v>
      </c>
      <c r="E121" s="67">
        <v>46171</v>
      </c>
      <c r="F121" s="40">
        <f t="shared" si="1"/>
        <v>46173</v>
      </c>
      <c r="G121" s="27"/>
    </row>
    <row r="122" spans="1:7" ht="15.75" customHeight="1" x14ac:dyDescent="0.25">
      <c r="A122" t="s">
        <v>715</v>
      </c>
      <c r="B122">
        <v>29265630</v>
      </c>
      <c r="C122">
        <v>9197760</v>
      </c>
      <c r="D122" s="13">
        <v>46127</v>
      </c>
      <c r="E122" s="67">
        <v>46171</v>
      </c>
      <c r="F122" s="40">
        <f t="shared" si="1"/>
        <v>46173</v>
      </c>
      <c r="G122" s="27"/>
    </row>
    <row r="123" spans="1:7" ht="15.75" customHeight="1" x14ac:dyDescent="0.25">
      <c r="A123" t="s">
        <v>702</v>
      </c>
      <c r="B123">
        <v>78055911</v>
      </c>
      <c r="C123">
        <v>1130000</v>
      </c>
      <c r="D123" s="13">
        <v>46127</v>
      </c>
      <c r="E123" s="67">
        <v>46171</v>
      </c>
      <c r="F123" s="40">
        <f t="shared" si="1"/>
        <v>46173</v>
      </c>
      <c r="G123" s="27"/>
    </row>
    <row r="124" spans="1:7" ht="15.75" customHeight="1" x14ac:dyDescent="0.25">
      <c r="A124" t="s">
        <v>705</v>
      </c>
      <c r="B124">
        <v>6894</v>
      </c>
      <c r="C124">
        <v>19015040</v>
      </c>
      <c r="D124" s="13">
        <v>46127</v>
      </c>
      <c r="E124" s="67">
        <v>46174</v>
      </c>
      <c r="F124" s="40">
        <f t="shared" si="1"/>
        <v>46176</v>
      </c>
      <c r="G124" s="27"/>
    </row>
    <row r="125" spans="1:7" ht="15.75" customHeight="1" x14ac:dyDescent="0.25">
      <c r="A125" t="s">
        <v>702</v>
      </c>
      <c r="B125">
        <v>78055906</v>
      </c>
      <c r="C125">
        <v>960000</v>
      </c>
      <c r="D125" s="13">
        <v>46127</v>
      </c>
      <c r="E125" s="67">
        <v>46174</v>
      </c>
      <c r="F125" s="40">
        <f t="shared" si="1"/>
        <v>46176</v>
      </c>
      <c r="G125" s="27"/>
    </row>
    <row r="126" spans="1:7" ht="15.75" customHeight="1" x14ac:dyDescent="0.25">
      <c r="A126" t="s">
        <v>717</v>
      </c>
      <c r="B126">
        <v>9845350</v>
      </c>
      <c r="C126">
        <v>10000000</v>
      </c>
      <c r="D126" s="13">
        <v>46127</v>
      </c>
      <c r="E126" s="67">
        <v>46174</v>
      </c>
      <c r="F126" s="40">
        <f t="shared" si="1"/>
        <v>46176</v>
      </c>
      <c r="G126" s="27"/>
    </row>
    <row r="127" spans="1:7" ht="15.75" customHeight="1" x14ac:dyDescent="0.25">
      <c r="A127" t="s">
        <v>717</v>
      </c>
      <c r="B127">
        <v>9845351</v>
      </c>
      <c r="C127">
        <v>12575630</v>
      </c>
      <c r="D127" s="13">
        <v>46127</v>
      </c>
      <c r="E127" s="67">
        <v>46174</v>
      </c>
      <c r="F127" s="40">
        <f t="shared" si="1"/>
        <v>46176</v>
      </c>
      <c r="G127" s="27"/>
    </row>
    <row r="128" spans="1:7" ht="15.75" customHeight="1" x14ac:dyDescent="0.25">
      <c r="A128" t="s">
        <v>708</v>
      </c>
      <c r="B128">
        <v>4782</v>
      </c>
      <c r="C128">
        <v>1300000</v>
      </c>
      <c r="D128" s="13">
        <v>46127</v>
      </c>
      <c r="E128" s="67">
        <v>46174</v>
      </c>
      <c r="F128" s="40">
        <f t="shared" si="1"/>
        <v>46176</v>
      </c>
      <c r="G128" s="27"/>
    </row>
    <row r="129" spans="1:7" ht="15.75" customHeight="1" x14ac:dyDescent="0.25">
      <c r="A129" t="s">
        <v>707</v>
      </c>
      <c r="B129">
        <v>29253321</v>
      </c>
      <c r="C129">
        <v>10000000</v>
      </c>
      <c r="D129" s="13">
        <v>46127</v>
      </c>
      <c r="E129" s="67">
        <v>46174</v>
      </c>
      <c r="F129" s="40">
        <f t="shared" si="1"/>
        <v>46176</v>
      </c>
      <c r="G129" s="27"/>
    </row>
    <row r="130" spans="1:7" ht="15.75" customHeight="1" x14ac:dyDescent="0.25">
      <c r="A130" t="s">
        <v>702</v>
      </c>
      <c r="B130">
        <v>78055912</v>
      </c>
      <c r="C130">
        <v>1130000</v>
      </c>
      <c r="D130" s="13">
        <v>46127</v>
      </c>
      <c r="E130" s="67">
        <v>46174</v>
      </c>
      <c r="F130" s="40">
        <f t="shared" si="1"/>
        <v>46176</v>
      </c>
      <c r="G130" s="27"/>
    </row>
    <row r="131" spans="1:7" ht="15.75" customHeight="1" x14ac:dyDescent="0.25">
      <c r="A131" t="s">
        <v>710</v>
      </c>
      <c r="B131">
        <v>66643962</v>
      </c>
      <c r="C131">
        <v>4457800</v>
      </c>
      <c r="D131" s="13">
        <v>46127</v>
      </c>
      <c r="E131" s="67">
        <v>46175</v>
      </c>
      <c r="F131" s="40">
        <f t="shared" si="1"/>
        <v>46177</v>
      </c>
      <c r="G131" s="27"/>
    </row>
    <row r="132" spans="1:7" ht="15.75" customHeight="1" x14ac:dyDescent="0.25">
      <c r="A132" t="s">
        <v>702</v>
      </c>
      <c r="B132">
        <v>78055907</v>
      </c>
      <c r="C132">
        <v>943200</v>
      </c>
      <c r="D132" s="13">
        <v>46127</v>
      </c>
      <c r="E132" s="67">
        <v>46175</v>
      </c>
      <c r="F132" s="40">
        <f t="shared" si="1"/>
        <v>46177</v>
      </c>
      <c r="G132" s="27"/>
    </row>
    <row r="133" spans="1:7" ht="15.75" customHeight="1" x14ac:dyDescent="0.25">
      <c r="A133" t="s">
        <v>708</v>
      </c>
      <c r="B133">
        <v>4783</v>
      </c>
      <c r="C133">
        <v>1300000</v>
      </c>
      <c r="D133" s="13">
        <v>46127</v>
      </c>
      <c r="E133" s="67">
        <v>46175</v>
      </c>
      <c r="F133" s="40">
        <f t="shared" ref="F133:F162" si="2">IF(E133="","",E133+2)</f>
        <v>46177</v>
      </c>
      <c r="G133" s="27"/>
    </row>
    <row r="134" spans="1:7" ht="15.75" customHeight="1" x14ac:dyDescent="0.25">
      <c r="A134" t="s">
        <v>702</v>
      </c>
      <c r="B134">
        <v>78055913</v>
      </c>
      <c r="C134">
        <v>1130000</v>
      </c>
      <c r="D134" s="13">
        <v>46127</v>
      </c>
      <c r="E134" s="67">
        <v>46175</v>
      </c>
      <c r="F134" s="40">
        <f t="shared" si="2"/>
        <v>46177</v>
      </c>
      <c r="G134" s="27"/>
    </row>
    <row r="135" spans="1:7" ht="15.75" customHeight="1" x14ac:dyDescent="0.25">
      <c r="A135" t="s">
        <v>710</v>
      </c>
      <c r="B135">
        <v>66643850</v>
      </c>
      <c r="C135">
        <v>4400000</v>
      </c>
      <c r="D135" s="13">
        <v>46127</v>
      </c>
      <c r="E135" s="67">
        <v>46176</v>
      </c>
      <c r="F135" s="40">
        <f t="shared" si="2"/>
        <v>46178</v>
      </c>
      <c r="G135" s="27"/>
    </row>
    <row r="136" spans="1:7" ht="15.75" customHeight="1" x14ac:dyDescent="0.25">
      <c r="A136" t="s">
        <v>708</v>
      </c>
      <c r="B136">
        <v>4745</v>
      </c>
      <c r="C136">
        <v>1200000</v>
      </c>
      <c r="D136" s="13">
        <v>46127</v>
      </c>
      <c r="E136" s="67">
        <v>46176</v>
      </c>
      <c r="F136" s="40">
        <f t="shared" si="2"/>
        <v>46178</v>
      </c>
      <c r="G136" s="27"/>
    </row>
    <row r="137" spans="1:7" ht="15.75" customHeight="1" x14ac:dyDescent="0.25">
      <c r="A137" t="s">
        <v>708</v>
      </c>
      <c r="B137">
        <v>4784</v>
      </c>
      <c r="C137">
        <v>1300000</v>
      </c>
      <c r="D137" s="13">
        <v>46127</v>
      </c>
      <c r="E137" s="67">
        <v>46176</v>
      </c>
      <c r="F137" s="40">
        <f t="shared" si="2"/>
        <v>46178</v>
      </c>
      <c r="G137" s="27"/>
    </row>
    <row r="138" spans="1:7" ht="15.75" customHeight="1" x14ac:dyDescent="0.25">
      <c r="A138" t="s">
        <v>715</v>
      </c>
      <c r="B138">
        <v>29265625</v>
      </c>
      <c r="C138">
        <v>11202048</v>
      </c>
      <c r="D138" s="13">
        <v>46127</v>
      </c>
      <c r="E138" s="67">
        <v>46176</v>
      </c>
      <c r="F138" s="40">
        <f t="shared" si="2"/>
        <v>46178</v>
      </c>
      <c r="G138" s="27"/>
    </row>
    <row r="139" spans="1:7" ht="15.75" customHeight="1" x14ac:dyDescent="0.25">
      <c r="A139" t="s">
        <v>708</v>
      </c>
      <c r="B139">
        <v>4746</v>
      </c>
      <c r="C139">
        <v>1200000</v>
      </c>
      <c r="D139" s="13">
        <v>46127</v>
      </c>
      <c r="E139" s="67">
        <v>46177</v>
      </c>
      <c r="F139" s="40">
        <f t="shared" si="2"/>
        <v>46179</v>
      </c>
      <c r="G139" s="27"/>
    </row>
    <row r="140" spans="1:7" ht="15.75" customHeight="1" x14ac:dyDescent="0.25">
      <c r="A140" t="s">
        <v>707</v>
      </c>
      <c r="B140">
        <v>29253322</v>
      </c>
      <c r="C140">
        <v>10000000</v>
      </c>
      <c r="D140" s="13">
        <v>46127</v>
      </c>
      <c r="E140" s="67">
        <v>46177</v>
      </c>
      <c r="F140" s="40">
        <f t="shared" si="2"/>
        <v>46179</v>
      </c>
      <c r="G140" s="27"/>
    </row>
    <row r="141" spans="1:7" ht="15.75" customHeight="1" x14ac:dyDescent="0.25">
      <c r="A141" t="s">
        <v>705</v>
      </c>
      <c r="B141">
        <v>6948</v>
      </c>
      <c r="C141">
        <v>17842880</v>
      </c>
      <c r="D141" s="13">
        <v>46127</v>
      </c>
      <c r="E141" s="67">
        <v>46178</v>
      </c>
      <c r="F141" s="40">
        <f t="shared" si="2"/>
        <v>46180</v>
      </c>
      <c r="G141" s="27"/>
    </row>
    <row r="142" spans="1:7" ht="15.75" customHeight="1" x14ac:dyDescent="0.25">
      <c r="A142" t="s">
        <v>708</v>
      </c>
      <c r="B142">
        <v>4719</v>
      </c>
      <c r="C142">
        <v>1300000</v>
      </c>
      <c r="D142" s="13">
        <v>46127</v>
      </c>
      <c r="E142" s="67">
        <v>46178</v>
      </c>
      <c r="F142" s="40">
        <f t="shared" si="2"/>
        <v>46180</v>
      </c>
      <c r="G142" s="27"/>
    </row>
    <row r="143" spans="1:7" ht="15.75" customHeight="1" x14ac:dyDescent="0.25">
      <c r="A143" t="s">
        <v>708</v>
      </c>
      <c r="B143">
        <v>4747</v>
      </c>
      <c r="C143">
        <v>953100</v>
      </c>
      <c r="D143" s="13">
        <v>46127</v>
      </c>
      <c r="E143" s="67">
        <v>46178</v>
      </c>
      <c r="F143" s="40">
        <f t="shared" si="2"/>
        <v>46180</v>
      </c>
      <c r="G143" s="27"/>
    </row>
    <row r="144" spans="1:7" ht="15.75" customHeight="1" x14ac:dyDescent="0.25">
      <c r="A144" t="s">
        <v>707</v>
      </c>
      <c r="B144">
        <v>29253320</v>
      </c>
      <c r="C144">
        <v>8077630</v>
      </c>
      <c r="D144" s="13">
        <v>46127</v>
      </c>
      <c r="E144" s="67">
        <v>46178</v>
      </c>
      <c r="F144" s="40">
        <f t="shared" si="2"/>
        <v>46180</v>
      </c>
      <c r="G144" s="27"/>
    </row>
    <row r="145" spans="1:7" ht="15.75" customHeight="1" x14ac:dyDescent="0.25">
      <c r="A145" t="s">
        <v>715</v>
      </c>
      <c r="B145">
        <v>29265626</v>
      </c>
      <c r="C145">
        <v>10296000</v>
      </c>
      <c r="D145" s="13">
        <v>46127</v>
      </c>
      <c r="E145" s="67">
        <v>46178</v>
      </c>
      <c r="F145" s="40">
        <f t="shared" si="2"/>
        <v>46180</v>
      </c>
      <c r="G145" s="27"/>
    </row>
    <row r="146" spans="1:7" ht="15.75" customHeight="1" x14ac:dyDescent="0.25">
      <c r="A146" t="s">
        <v>702</v>
      </c>
      <c r="B146">
        <v>78055915</v>
      </c>
      <c r="C146">
        <v>1130000</v>
      </c>
      <c r="D146" s="13">
        <v>46127</v>
      </c>
      <c r="E146" s="67">
        <v>46178</v>
      </c>
      <c r="F146" s="40">
        <f t="shared" si="2"/>
        <v>46180</v>
      </c>
      <c r="G146" s="27"/>
    </row>
    <row r="147" spans="1:7" ht="15.75" customHeight="1" x14ac:dyDescent="0.25">
      <c r="A147" t="s">
        <v>708</v>
      </c>
      <c r="B147">
        <v>4720</v>
      </c>
      <c r="C147">
        <v>949750</v>
      </c>
      <c r="D147" s="13">
        <v>46127</v>
      </c>
      <c r="E147" s="67">
        <v>46181</v>
      </c>
      <c r="F147" s="40">
        <f t="shared" si="2"/>
        <v>46183</v>
      </c>
      <c r="G147" s="27"/>
    </row>
    <row r="148" spans="1:7" ht="15.75" customHeight="1" x14ac:dyDescent="0.25">
      <c r="A148" t="s">
        <v>708</v>
      </c>
      <c r="B148">
        <v>4774</v>
      </c>
      <c r="C148">
        <v>1300000</v>
      </c>
      <c r="D148" s="13">
        <v>46127</v>
      </c>
      <c r="E148" s="67">
        <v>46181</v>
      </c>
      <c r="F148" s="40">
        <f t="shared" si="2"/>
        <v>46183</v>
      </c>
      <c r="G148" s="27"/>
    </row>
    <row r="149" spans="1:7" ht="15.75" customHeight="1" x14ac:dyDescent="0.25">
      <c r="A149" t="s">
        <v>708</v>
      </c>
      <c r="B149">
        <v>4785</v>
      </c>
      <c r="C149">
        <v>1300000</v>
      </c>
      <c r="D149" s="13">
        <v>46127</v>
      </c>
      <c r="E149" s="67">
        <v>46181</v>
      </c>
      <c r="F149" s="40">
        <f t="shared" si="2"/>
        <v>46183</v>
      </c>
      <c r="G149" s="27"/>
    </row>
    <row r="150" spans="1:7" ht="15.75" customHeight="1" x14ac:dyDescent="0.25">
      <c r="A150" t="s">
        <v>717</v>
      </c>
      <c r="B150">
        <v>9845354</v>
      </c>
      <c r="C150">
        <v>18288270</v>
      </c>
      <c r="D150" s="13">
        <v>46127</v>
      </c>
      <c r="E150" s="67">
        <v>46181</v>
      </c>
      <c r="F150" s="40">
        <f t="shared" si="2"/>
        <v>46183</v>
      </c>
      <c r="G150" s="27"/>
    </row>
    <row r="151" spans="1:7" ht="15.75" customHeight="1" x14ac:dyDescent="0.25">
      <c r="A151" t="s">
        <v>715</v>
      </c>
      <c r="B151">
        <v>29265628</v>
      </c>
      <c r="C151">
        <v>14826240</v>
      </c>
      <c r="D151" s="13">
        <v>46127</v>
      </c>
      <c r="E151" s="67">
        <v>46181</v>
      </c>
      <c r="F151" s="40">
        <f t="shared" si="2"/>
        <v>46183</v>
      </c>
      <c r="G151" s="27"/>
    </row>
    <row r="152" spans="1:7" ht="15.75" customHeight="1" x14ac:dyDescent="0.25">
      <c r="A152" t="s">
        <v>702</v>
      </c>
      <c r="B152">
        <v>78055916</v>
      </c>
      <c r="C152">
        <v>1130000</v>
      </c>
      <c r="D152" s="13">
        <v>46127</v>
      </c>
      <c r="E152" s="67">
        <v>46181</v>
      </c>
      <c r="F152" s="40">
        <f t="shared" si="2"/>
        <v>46183</v>
      </c>
      <c r="G152" s="27"/>
    </row>
    <row r="153" spans="1:7" ht="15.75" customHeight="1" x14ac:dyDescent="0.25">
      <c r="A153" t="s">
        <v>708</v>
      </c>
      <c r="B153">
        <v>4775</v>
      </c>
      <c r="C153">
        <v>1300000</v>
      </c>
      <c r="D153" s="13">
        <v>46127</v>
      </c>
      <c r="E153" s="67">
        <v>46182</v>
      </c>
      <c r="F153" s="40">
        <f t="shared" si="2"/>
        <v>46184</v>
      </c>
      <c r="G153" s="27"/>
    </row>
    <row r="154" spans="1:7" ht="15.75" customHeight="1" x14ac:dyDescent="0.25">
      <c r="A154" t="s">
        <v>708</v>
      </c>
      <c r="B154">
        <v>4786</v>
      </c>
      <c r="C154">
        <v>1300000</v>
      </c>
      <c r="D154" s="13">
        <v>46127</v>
      </c>
      <c r="E154" s="67">
        <v>46182</v>
      </c>
      <c r="F154" s="40">
        <f t="shared" si="2"/>
        <v>46184</v>
      </c>
      <c r="G154" s="27"/>
    </row>
    <row r="155" spans="1:7" ht="15.75" customHeight="1" x14ac:dyDescent="0.25">
      <c r="A155" t="s">
        <v>702</v>
      </c>
      <c r="B155">
        <v>78055917</v>
      </c>
      <c r="C155">
        <v>1143500</v>
      </c>
      <c r="D155" s="13">
        <v>46127</v>
      </c>
      <c r="E155" s="67">
        <v>46182</v>
      </c>
      <c r="F155" s="40">
        <f t="shared" si="2"/>
        <v>46184</v>
      </c>
      <c r="G155" s="27"/>
    </row>
    <row r="156" spans="1:7" ht="15.75" customHeight="1" x14ac:dyDescent="0.25">
      <c r="A156" t="s">
        <v>708</v>
      </c>
      <c r="B156">
        <v>4776</v>
      </c>
      <c r="C156">
        <v>1300000</v>
      </c>
      <c r="D156" s="13">
        <v>46127</v>
      </c>
      <c r="E156" s="67">
        <v>46183</v>
      </c>
      <c r="F156" s="40">
        <f t="shared" si="2"/>
        <v>46185</v>
      </c>
      <c r="G156" s="27"/>
    </row>
    <row r="157" spans="1:7" ht="15.75" customHeight="1" x14ac:dyDescent="0.25">
      <c r="A157" t="s">
        <v>708</v>
      </c>
      <c r="B157">
        <v>4787</v>
      </c>
      <c r="C157">
        <v>1162600</v>
      </c>
      <c r="D157" s="13">
        <v>46127</v>
      </c>
      <c r="E157" s="67">
        <v>46183</v>
      </c>
      <c r="F157" s="40">
        <f t="shared" si="2"/>
        <v>46185</v>
      </c>
      <c r="G157" s="27"/>
    </row>
    <row r="158" spans="1:7" ht="15.75" customHeight="1" x14ac:dyDescent="0.25">
      <c r="A158" t="s">
        <v>719</v>
      </c>
      <c r="B158">
        <v>6760642</v>
      </c>
      <c r="C158">
        <v>24824194.600000001</v>
      </c>
      <c r="D158" s="13">
        <v>46127</v>
      </c>
      <c r="E158" s="67">
        <v>46185</v>
      </c>
      <c r="F158" s="40">
        <f t="shared" si="2"/>
        <v>46187</v>
      </c>
      <c r="G158" s="27"/>
    </row>
    <row r="159" spans="1:7" ht="15.75" customHeight="1" x14ac:dyDescent="0.25">
      <c r="A159" t="s">
        <v>708</v>
      </c>
      <c r="B159">
        <v>4777</v>
      </c>
      <c r="C159">
        <v>1269025</v>
      </c>
      <c r="D159" s="13">
        <v>46127</v>
      </c>
      <c r="E159" s="67">
        <v>46185</v>
      </c>
      <c r="F159" s="40">
        <f t="shared" si="2"/>
        <v>46187</v>
      </c>
      <c r="G159" s="27"/>
    </row>
    <row r="160" spans="1:7" ht="15.75" customHeight="1" x14ac:dyDescent="0.25">
      <c r="A160" t="s">
        <v>705</v>
      </c>
      <c r="B160">
        <v>6973</v>
      </c>
      <c r="C160">
        <v>43814020</v>
      </c>
      <c r="D160" s="13">
        <v>46127</v>
      </c>
      <c r="E160" s="67">
        <v>46185</v>
      </c>
      <c r="F160" s="40">
        <f t="shared" si="2"/>
        <v>46187</v>
      </c>
      <c r="G160" s="27"/>
    </row>
    <row r="161" spans="1:7" ht="15.75" customHeight="1" x14ac:dyDescent="0.25">
      <c r="A161" t="s">
        <v>712</v>
      </c>
      <c r="B161">
        <v>9487748</v>
      </c>
      <c r="C161">
        <v>9263100</v>
      </c>
      <c r="D161" s="13">
        <v>46127</v>
      </c>
      <c r="E161" s="67">
        <v>46188</v>
      </c>
      <c r="F161" s="40">
        <f t="shared" si="2"/>
        <v>46190</v>
      </c>
      <c r="G161" s="27"/>
    </row>
    <row r="162" spans="1:7" ht="15.75" customHeight="1" x14ac:dyDescent="0.25">
      <c r="A162" t="s">
        <v>711</v>
      </c>
      <c r="B162">
        <v>3436588</v>
      </c>
      <c r="C162">
        <v>1934482.85</v>
      </c>
      <c r="D162" s="13">
        <v>46127</v>
      </c>
      <c r="E162" s="67">
        <v>46223</v>
      </c>
      <c r="F162" s="40">
        <f t="shared" si="2"/>
        <v>46225</v>
      </c>
      <c r="G162" s="27"/>
    </row>
    <row r="163" spans="1:7" ht="18" customHeight="1" x14ac:dyDescent="0.25">
      <c r="A163" s="41" t="s">
        <v>155</v>
      </c>
      <c r="B163" s="42"/>
      <c r="C163" s="43">
        <f>SUM(C4:C162)</f>
        <v>850726335.86000013</v>
      </c>
      <c r="D163" s="42"/>
      <c r="E163" s="42"/>
      <c r="F163" s="42"/>
      <c r="G163" s="42"/>
    </row>
    <row r="164" spans="1:7" ht="15.75" customHeight="1" x14ac:dyDescent="0.25">
      <c r="A164" s="44"/>
      <c r="B164" s="44"/>
      <c r="C164" s="45"/>
      <c r="D164" s="46"/>
      <c r="E164" s="46"/>
      <c r="F164" s="47" t="str">
        <f>IF(E164="","",E164+2)</f>
        <v/>
      </c>
      <c r="G164" s="44"/>
    </row>
    <row r="165" spans="1:7" ht="15.75" customHeight="1" x14ac:dyDescent="0.25">
      <c r="A165" s="44"/>
      <c r="B165" s="44"/>
      <c r="C165" s="45"/>
      <c r="D165" s="46"/>
      <c r="E165" s="46"/>
      <c r="F165" s="47" t="str">
        <f>IF(E165="","",E165+2)</f>
        <v/>
      </c>
      <c r="G165" s="44"/>
    </row>
    <row r="166" spans="1:7" ht="15.75" customHeight="1" x14ac:dyDescent="0.25">
      <c r="A166" s="44"/>
      <c r="B166" s="44"/>
      <c r="C166" s="45"/>
      <c r="D166" s="46"/>
      <c r="E166" s="46"/>
      <c r="F166" s="47" t="str">
        <f>IF(E166="","",E166+2)</f>
        <v/>
      </c>
      <c r="G166" s="44"/>
    </row>
    <row r="167" spans="1:7" ht="15.75" customHeight="1" x14ac:dyDescent="0.25">
      <c r="A167" s="44"/>
      <c r="B167" s="44"/>
      <c r="C167" s="45"/>
      <c r="D167" s="46"/>
      <c r="E167" s="46"/>
      <c r="F167" s="47" t="str">
        <f>IF(E167="","",E167+2)</f>
        <v/>
      </c>
      <c r="G167" s="44"/>
    </row>
    <row r="168" spans="1:7" ht="15.75" customHeight="1" x14ac:dyDescent="0.25">
      <c r="A168" s="44"/>
      <c r="B168" s="44"/>
      <c r="C168" s="45"/>
      <c r="D168" s="46"/>
      <c r="E168" s="46"/>
      <c r="F168" s="47" t="str">
        <f>IF(E168="","",E168+2)</f>
        <v/>
      </c>
      <c r="G168" s="44"/>
    </row>
    <row r="170" spans="1:7" ht="15" customHeight="1" x14ac:dyDescent="0.25">
      <c r="A170" s="79" t="s">
        <v>156</v>
      </c>
      <c r="B170" s="79"/>
      <c r="C170" s="79"/>
      <c r="D170" s="79"/>
      <c r="E170" s="79"/>
      <c r="F170" s="79"/>
      <c r="G170" s="79"/>
    </row>
  </sheetData>
  <mergeCells count="3">
    <mergeCell ref="A1:G1"/>
    <mergeCell ref="A2:G2"/>
    <mergeCell ref="A170:G17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67"/>
  <sheetViews>
    <sheetView showGridLines="0" zoomScaleNormal="100" workbookViewId="0">
      <pane ySplit="4" topLeftCell="A252" activePane="bottomLeft" state="frozen"/>
      <selection pane="bottomLeft" activeCell="F273" sqref="F273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8" t="s">
        <v>157</v>
      </c>
      <c r="B1" s="68"/>
      <c r="C1" s="68"/>
      <c r="D1" s="68"/>
      <c r="E1" s="68"/>
      <c r="F1" s="68"/>
    </row>
    <row r="2" spans="1:6" ht="15.75" customHeight="1" x14ac:dyDescent="0.25">
      <c r="A2" s="78" t="s">
        <v>158</v>
      </c>
      <c r="B2" s="78"/>
      <c r="C2" s="78"/>
      <c r="D2" s="78"/>
      <c r="E2" s="78"/>
      <c r="F2" s="78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">
        <v>183</v>
      </c>
      <c r="B5" t="s">
        <v>182</v>
      </c>
      <c r="C5">
        <v>2507113.61</v>
      </c>
      <c r="D5" s="24">
        <f t="shared" ref="D5:D265" si="0">IFERROR(C5/$D$3,0)</f>
        <v>1790.7954357142855</v>
      </c>
      <c r="E5" s="50">
        <f t="shared" ref="E5:E68" si="1">IFERROR(C5/SUM($C$5:$C$264),0)</f>
        <v>4.2371864482422777E-4</v>
      </c>
      <c r="F5" s="51"/>
    </row>
    <row r="6" spans="1:6" ht="15.75" customHeight="1" x14ac:dyDescent="0.25">
      <c r="A6" t="s">
        <v>185</v>
      </c>
      <c r="B6" t="s">
        <v>184</v>
      </c>
      <c r="C6">
        <v>26791605.850000001</v>
      </c>
      <c r="D6" s="24">
        <f t="shared" si="0"/>
        <v>19136.861321428572</v>
      </c>
      <c r="E6" s="50">
        <f t="shared" si="1"/>
        <v>4.5279571209486807E-3</v>
      </c>
      <c r="F6" s="51"/>
    </row>
    <row r="7" spans="1:6" ht="15.75" customHeight="1" x14ac:dyDescent="0.25">
      <c r="A7" t="s">
        <v>187</v>
      </c>
      <c r="B7" t="s">
        <v>186</v>
      </c>
      <c r="C7">
        <v>1978800.27</v>
      </c>
      <c r="D7" s="24">
        <f t="shared" si="0"/>
        <v>1413.4287642857144</v>
      </c>
      <c r="E7" s="50">
        <f t="shared" si="1"/>
        <v>3.3443022503564011E-4</v>
      </c>
      <c r="F7" s="51"/>
    </row>
    <row r="8" spans="1:6" ht="15.75" customHeight="1" x14ac:dyDescent="0.25">
      <c r="A8" t="s">
        <v>189</v>
      </c>
      <c r="B8" t="s">
        <v>188</v>
      </c>
      <c r="C8">
        <v>9043485.2799999993</v>
      </c>
      <c r="D8" s="24">
        <f t="shared" si="0"/>
        <v>6459.6323428571422</v>
      </c>
      <c r="E8" s="50">
        <f t="shared" si="1"/>
        <v>1.528408330617874E-3</v>
      </c>
      <c r="F8" s="51"/>
    </row>
    <row r="9" spans="1:6" ht="15.75" customHeight="1" x14ac:dyDescent="0.25">
      <c r="A9" t="s">
        <v>191</v>
      </c>
      <c r="B9" t="s">
        <v>190</v>
      </c>
      <c r="C9">
        <v>4765597.2</v>
      </c>
      <c r="D9" s="24">
        <f t="shared" si="0"/>
        <v>3403.998</v>
      </c>
      <c r="E9" s="50">
        <f t="shared" si="1"/>
        <v>8.0541718544702666E-4</v>
      </c>
      <c r="F9" s="51"/>
    </row>
    <row r="10" spans="1:6" ht="15.75" customHeight="1" x14ac:dyDescent="0.25">
      <c r="A10" t="s">
        <v>193</v>
      </c>
      <c r="B10" t="s">
        <v>192</v>
      </c>
      <c r="C10">
        <v>1.08</v>
      </c>
      <c r="D10" s="24">
        <f t="shared" si="0"/>
        <v>7.7142857142857145E-4</v>
      </c>
      <c r="E10" s="50">
        <f t="shared" si="1"/>
        <v>1.8252708396815175E-10</v>
      </c>
      <c r="F10" s="51"/>
    </row>
    <row r="11" spans="1:6" ht="15.75" customHeight="1" x14ac:dyDescent="0.25">
      <c r="A11" t="s">
        <v>195</v>
      </c>
      <c r="B11" t="s">
        <v>194</v>
      </c>
      <c r="C11">
        <v>534552.59</v>
      </c>
      <c r="D11" s="24">
        <f t="shared" si="0"/>
        <v>381.82327857142855</v>
      </c>
      <c r="E11" s="50">
        <f t="shared" si="1"/>
        <v>9.0342893963262015E-5</v>
      </c>
      <c r="F11" s="51"/>
    </row>
    <row r="12" spans="1:6" ht="15.75" customHeight="1" x14ac:dyDescent="0.25">
      <c r="A12" t="s">
        <v>197</v>
      </c>
      <c r="B12" t="s">
        <v>196</v>
      </c>
      <c r="C12">
        <v>175000</v>
      </c>
      <c r="D12" s="24">
        <f t="shared" si="0"/>
        <v>125</v>
      </c>
      <c r="E12" s="50">
        <f t="shared" si="1"/>
        <v>2.9576147865209771E-5</v>
      </c>
      <c r="F12" s="51"/>
    </row>
    <row r="13" spans="1:6" ht="15.75" customHeight="1" x14ac:dyDescent="0.25">
      <c r="A13" t="s">
        <v>199</v>
      </c>
      <c r="B13" t="s">
        <v>198</v>
      </c>
      <c r="C13">
        <v>2072796</v>
      </c>
      <c r="D13" s="24">
        <f t="shared" si="0"/>
        <v>1480.5685714285714</v>
      </c>
      <c r="E13" s="50">
        <f t="shared" si="1"/>
        <v>3.503161199452306E-4</v>
      </c>
      <c r="F13" s="51"/>
    </row>
    <row r="14" spans="1:6" ht="15.75" customHeight="1" x14ac:dyDescent="0.25">
      <c r="A14" t="s">
        <v>201</v>
      </c>
      <c r="B14" t="s">
        <v>200</v>
      </c>
      <c r="C14">
        <v>6559198.25</v>
      </c>
      <c r="D14" s="24">
        <f t="shared" si="0"/>
        <v>4685.1416071428575</v>
      </c>
      <c r="E14" s="50">
        <f t="shared" si="1"/>
        <v>1.1085475275384295E-3</v>
      </c>
      <c r="F14" s="51"/>
    </row>
    <row r="15" spans="1:6" ht="15.75" customHeight="1" x14ac:dyDescent="0.25">
      <c r="A15" t="s">
        <v>203</v>
      </c>
      <c r="B15" t="s">
        <v>202</v>
      </c>
      <c r="C15">
        <v>560000</v>
      </c>
      <c r="D15" s="24">
        <f t="shared" si="0"/>
        <v>400</v>
      </c>
      <c r="E15" s="50">
        <f t="shared" si="1"/>
        <v>9.4643673168671273E-5</v>
      </c>
      <c r="F15" s="51"/>
    </row>
    <row r="16" spans="1:6" ht="15.75" customHeight="1" x14ac:dyDescent="0.25">
      <c r="A16" t="s">
        <v>205</v>
      </c>
      <c r="B16" t="s">
        <v>204</v>
      </c>
      <c r="C16">
        <v>4663385.3099999996</v>
      </c>
      <c r="D16" s="24">
        <f t="shared" si="0"/>
        <v>3330.9895071428568</v>
      </c>
      <c r="E16" s="50">
        <f t="shared" si="1"/>
        <v>7.8814270560575485E-4</v>
      </c>
      <c r="F16" s="51"/>
    </row>
    <row r="17" spans="1:6" ht="15.75" customHeight="1" x14ac:dyDescent="0.25">
      <c r="A17" t="s">
        <v>207</v>
      </c>
      <c r="B17" t="s">
        <v>206</v>
      </c>
      <c r="C17">
        <v>134319.67999999999</v>
      </c>
      <c r="D17" s="24">
        <f t="shared" si="0"/>
        <v>95.942628571428571</v>
      </c>
      <c r="E17" s="50">
        <f t="shared" si="1"/>
        <v>2.2700906953643768E-5</v>
      </c>
      <c r="F17" s="51"/>
    </row>
    <row r="18" spans="1:6" ht="15.75" customHeight="1" x14ac:dyDescent="0.25">
      <c r="A18" t="s">
        <v>209</v>
      </c>
      <c r="B18" t="s">
        <v>208</v>
      </c>
      <c r="C18">
        <v>1706201.05</v>
      </c>
      <c r="D18" s="24">
        <f t="shared" si="0"/>
        <v>1218.7150357142857</v>
      </c>
      <c r="E18" s="50">
        <f t="shared" si="1"/>
        <v>2.8835916881472096E-4</v>
      </c>
      <c r="F18" s="51"/>
    </row>
    <row r="19" spans="1:6" ht="15.75" customHeight="1" x14ac:dyDescent="0.25">
      <c r="A19" t="s">
        <v>211</v>
      </c>
      <c r="B19" t="s">
        <v>210</v>
      </c>
      <c r="C19">
        <v>1396945.29</v>
      </c>
      <c r="D19" s="24">
        <f t="shared" si="0"/>
        <v>997.81806428571429</v>
      </c>
      <c r="E19" s="50">
        <f t="shared" si="1"/>
        <v>2.3609291689513339E-4</v>
      </c>
      <c r="F19" s="51"/>
    </row>
    <row r="20" spans="1:6" ht="15.75" customHeight="1" x14ac:dyDescent="0.25">
      <c r="A20" t="s">
        <v>213</v>
      </c>
      <c r="B20" t="s">
        <v>212</v>
      </c>
      <c r="C20">
        <v>2286763.0299999998</v>
      </c>
      <c r="D20" s="24">
        <f t="shared" si="0"/>
        <v>1633.4021642857142</v>
      </c>
      <c r="E20" s="50">
        <f t="shared" si="1"/>
        <v>3.8647795147414354E-4</v>
      </c>
      <c r="F20" s="51"/>
    </row>
    <row r="21" spans="1:6" ht="15.75" customHeight="1" x14ac:dyDescent="0.25">
      <c r="A21" t="s">
        <v>215</v>
      </c>
      <c r="B21" t="s">
        <v>214</v>
      </c>
      <c r="C21">
        <v>3165000</v>
      </c>
      <c r="D21" s="24">
        <f t="shared" si="0"/>
        <v>2260.7142857142858</v>
      </c>
      <c r="E21" s="50">
        <f t="shared" si="1"/>
        <v>5.349057599622224E-4</v>
      </c>
      <c r="F21" s="51"/>
    </row>
    <row r="22" spans="1:6" ht="15.75" customHeight="1" x14ac:dyDescent="0.25">
      <c r="A22" t="s">
        <v>217</v>
      </c>
      <c r="B22" t="s">
        <v>216</v>
      </c>
      <c r="C22">
        <v>28069976.960000001</v>
      </c>
      <c r="D22" s="24">
        <f t="shared" si="0"/>
        <v>20049.983542857142</v>
      </c>
      <c r="E22" s="50">
        <f t="shared" si="1"/>
        <v>4.7440102236685228E-3</v>
      </c>
      <c r="F22" s="51"/>
    </row>
    <row r="23" spans="1:6" ht="15.75" customHeight="1" x14ac:dyDescent="0.25">
      <c r="A23" t="s">
        <v>219</v>
      </c>
      <c r="B23" t="s">
        <v>218</v>
      </c>
      <c r="C23">
        <v>3092058.01</v>
      </c>
      <c r="D23" s="24">
        <f t="shared" si="0"/>
        <v>2208.6128642857143</v>
      </c>
      <c r="E23" s="50">
        <f t="shared" si="1"/>
        <v>5.2257808520895014E-4</v>
      </c>
      <c r="F23" s="51"/>
    </row>
    <row r="24" spans="1:6" ht="15.75" customHeight="1" x14ac:dyDescent="0.25">
      <c r="A24" t="s">
        <v>221</v>
      </c>
      <c r="B24" t="s">
        <v>220</v>
      </c>
      <c r="C24">
        <v>1394000.03</v>
      </c>
      <c r="D24" s="24">
        <f t="shared" si="0"/>
        <v>995.71430714285714</v>
      </c>
      <c r="E24" s="50">
        <f t="shared" si="1"/>
        <v>2.3559514863649632E-4</v>
      </c>
      <c r="F24" s="51"/>
    </row>
    <row r="25" spans="1:6" ht="15.75" customHeight="1" x14ac:dyDescent="0.25">
      <c r="A25" t="s">
        <v>223</v>
      </c>
      <c r="B25" t="s">
        <v>222</v>
      </c>
      <c r="C25">
        <v>559955.12</v>
      </c>
      <c r="D25" s="24">
        <f t="shared" si="0"/>
        <v>399.96794285714287</v>
      </c>
      <c r="E25" s="50">
        <f t="shared" si="1"/>
        <v>9.4636088154293035E-5</v>
      </c>
      <c r="F25" s="51"/>
    </row>
    <row r="26" spans="1:6" ht="15.75" customHeight="1" x14ac:dyDescent="0.25">
      <c r="A26" t="s">
        <v>225</v>
      </c>
      <c r="B26" t="s">
        <v>224</v>
      </c>
      <c r="C26">
        <v>4477000</v>
      </c>
      <c r="D26" s="24">
        <f t="shared" si="0"/>
        <v>3197.8571428571427</v>
      </c>
      <c r="E26" s="50">
        <f t="shared" si="1"/>
        <v>7.5664236567168084E-4</v>
      </c>
      <c r="F26" s="51"/>
    </row>
    <row r="27" spans="1:6" ht="15.75" customHeight="1" x14ac:dyDescent="0.25">
      <c r="A27" t="s">
        <v>227</v>
      </c>
      <c r="B27" t="s">
        <v>226</v>
      </c>
      <c r="C27">
        <v>1612628.48</v>
      </c>
      <c r="D27" s="24">
        <f t="shared" si="0"/>
        <v>1151.8774857142857</v>
      </c>
      <c r="E27" s="50">
        <f t="shared" si="1"/>
        <v>2.7254479072073417E-4</v>
      </c>
      <c r="F27" s="51"/>
    </row>
    <row r="28" spans="1:6" ht="15.75" customHeight="1" x14ac:dyDescent="0.25">
      <c r="A28" t="s">
        <v>229</v>
      </c>
      <c r="B28" t="s">
        <v>228</v>
      </c>
      <c r="C28">
        <v>1233477.24</v>
      </c>
      <c r="D28" s="24">
        <f t="shared" si="0"/>
        <v>881.05517142857138</v>
      </c>
      <c r="E28" s="50">
        <f t="shared" si="1"/>
        <v>2.0846574422063338E-4</v>
      </c>
      <c r="F28" s="51"/>
    </row>
    <row r="29" spans="1:6" ht="15.75" customHeight="1" x14ac:dyDescent="0.25">
      <c r="A29" t="s">
        <v>231</v>
      </c>
      <c r="B29" t="s">
        <v>230</v>
      </c>
      <c r="C29">
        <v>4531450</v>
      </c>
      <c r="D29" s="24">
        <f t="shared" si="0"/>
        <v>3236.75</v>
      </c>
      <c r="E29" s="50">
        <f t="shared" si="1"/>
        <v>7.6584477282174183E-4</v>
      </c>
      <c r="F29" s="51"/>
    </row>
    <row r="30" spans="1:6" ht="15.75" customHeight="1" x14ac:dyDescent="0.25">
      <c r="A30" t="s">
        <v>233</v>
      </c>
      <c r="B30" t="s">
        <v>232</v>
      </c>
      <c r="C30">
        <v>1854029.87</v>
      </c>
      <c r="D30" s="24">
        <f t="shared" si="0"/>
        <v>1324.3070500000001</v>
      </c>
      <c r="E30" s="50">
        <f t="shared" si="1"/>
        <v>3.13343209037918E-4</v>
      </c>
      <c r="F30" s="51"/>
    </row>
    <row r="31" spans="1:6" ht="15.75" customHeight="1" x14ac:dyDescent="0.25">
      <c r="A31" t="s">
        <v>235</v>
      </c>
      <c r="B31" t="s">
        <v>234</v>
      </c>
      <c r="C31">
        <v>433400</v>
      </c>
      <c r="D31" s="24">
        <f t="shared" si="0"/>
        <v>309.57142857142856</v>
      </c>
      <c r="E31" s="50">
        <f t="shared" si="1"/>
        <v>7.3247442770182374E-5</v>
      </c>
      <c r="F31" s="51"/>
    </row>
    <row r="32" spans="1:6" ht="15.75" customHeight="1" x14ac:dyDescent="0.25">
      <c r="A32" t="s">
        <v>237</v>
      </c>
      <c r="B32" t="s">
        <v>236</v>
      </c>
      <c r="C32">
        <v>477360</v>
      </c>
      <c r="D32" s="24">
        <f t="shared" si="0"/>
        <v>340.97142857142859</v>
      </c>
      <c r="E32" s="50">
        <f t="shared" si="1"/>
        <v>8.0676971113923066E-5</v>
      </c>
      <c r="F32" s="51"/>
    </row>
    <row r="33" spans="1:6" ht="15.75" customHeight="1" x14ac:dyDescent="0.25">
      <c r="A33" t="s">
        <v>239</v>
      </c>
      <c r="B33" t="s">
        <v>238</v>
      </c>
      <c r="C33">
        <v>3000000</v>
      </c>
      <c r="D33" s="24">
        <f t="shared" si="0"/>
        <v>2142.8571428571427</v>
      </c>
      <c r="E33" s="50">
        <f t="shared" si="1"/>
        <v>5.0701967768931031E-4</v>
      </c>
      <c r="F33" s="51"/>
    </row>
    <row r="34" spans="1:6" ht="15.75" customHeight="1" x14ac:dyDescent="0.25">
      <c r="A34" t="s">
        <v>241</v>
      </c>
      <c r="B34" t="s">
        <v>240</v>
      </c>
      <c r="C34">
        <v>33774428.299999997</v>
      </c>
      <c r="D34" s="24">
        <f t="shared" si="0"/>
        <v>24124.59164285714</v>
      </c>
      <c r="E34" s="50">
        <f t="shared" si="1"/>
        <v>5.7080999169355738E-3</v>
      </c>
      <c r="F34" s="51"/>
    </row>
    <row r="35" spans="1:6" ht="15.75" customHeight="1" x14ac:dyDescent="0.25">
      <c r="A35" t="s">
        <v>243</v>
      </c>
      <c r="B35" t="s">
        <v>242</v>
      </c>
      <c r="C35">
        <v>3668831.4</v>
      </c>
      <c r="D35" s="24">
        <f t="shared" si="0"/>
        <v>2620.5938571428569</v>
      </c>
      <c r="E35" s="50">
        <f t="shared" si="1"/>
        <v>6.2005657130814046E-4</v>
      </c>
      <c r="F35" s="51"/>
    </row>
    <row r="36" spans="1:6" ht="15.75" customHeight="1" x14ac:dyDescent="0.25">
      <c r="A36" t="s">
        <v>245</v>
      </c>
      <c r="B36" t="s">
        <v>244</v>
      </c>
      <c r="C36">
        <v>1907010.82</v>
      </c>
      <c r="D36" s="24">
        <f t="shared" si="0"/>
        <v>1362.1505857142859</v>
      </c>
      <c r="E36" s="50">
        <f t="shared" si="1"/>
        <v>3.2229733710214251E-4</v>
      </c>
      <c r="F36" s="51"/>
    </row>
    <row r="37" spans="1:6" ht="15.75" customHeight="1" x14ac:dyDescent="0.25">
      <c r="A37" t="s">
        <v>247</v>
      </c>
      <c r="B37" t="s">
        <v>246</v>
      </c>
      <c r="C37">
        <v>721266.29</v>
      </c>
      <c r="D37" s="24">
        <f t="shared" si="0"/>
        <v>515.19020714285716</v>
      </c>
      <c r="E37" s="50">
        <f t="shared" si="1"/>
        <v>1.2189873396132156E-4</v>
      </c>
      <c r="F37" s="51"/>
    </row>
    <row r="38" spans="1:6" ht="15.75" customHeight="1" x14ac:dyDescent="0.25">
      <c r="A38" t="s">
        <v>249</v>
      </c>
      <c r="B38" t="s">
        <v>248</v>
      </c>
      <c r="C38">
        <v>4835529.37</v>
      </c>
      <c r="D38" s="24">
        <f t="shared" si="0"/>
        <v>3453.9495500000003</v>
      </c>
      <c r="E38" s="50">
        <f t="shared" si="1"/>
        <v>8.1723618087819799E-4</v>
      </c>
      <c r="F38" s="51"/>
    </row>
    <row r="39" spans="1:6" ht="15.75" customHeight="1" x14ac:dyDescent="0.25">
      <c r="A39" t="s">
        <v>251</v>
      </c>
      <c r="B39" t="s">
        <v>250</v>
      </c>
      <c r="C39">
        <v>-0.01</v>
      </c>
      <c r="D39" s="24">
        <f t="shared" si="0"/>
        <v>-7.1428571428571427E-6</v>
      </c>
      <c r="E39" s="50">
        <f t="shared" si="1"/>
        <v>-1.6900655922977012E-12</v>
      </c>
      <c r="F39" s="51"/>
    </row>
    <row r="40" spans="1:6" ht="15.75" customHeight="1" x14ac:dyDescent="0.25">
      <c r="A40" t="s">
        <v>253</v>
      </c>
      <c r="B40" t="s">
        <v>252</v>
      </c>
      <c r="C40">
        <v>778635</v>
      </c>
      <c r="D40" s="24">
        <f t="shared" si="0"/>
        <v>556.16785714285709</v>
      </c>
      <c r="E40" s="50">
        <f t="shared" si="1"/>
        <v>1.3159442224587204E-4</v>
      </c>
      <c r="F40" s="51"/>
    </row>
    <row r="41" spans="1:6" ht="15.75" customHeight="1" x14ac:dyDescent="0.25">
      <c r="A41" t="s">
        <v>255</v>
      </c>
      <c r="B41" t="s">
        <v>254</v>
      </c>
      <c r="C41">
        <v>2363325.2999999998</v>
      </c>
      <c r="D41" s="24">
        <f t="shared" si="0"/>
        <v>1688.0894999999998</v>
      </c>
      <c r="E41" s="50">
        <f t="shared" si="1"/>
        <v>3.9941747729366423E-4</v>
      </c>
      <c r="F41" s="51"/>
    </row>
    <row r="42" spans="1:6" ht="15.75" customHeight="1" x14ac:dyDescent="0.25">
      <c r="A42" t="s">
        <v>257</v>
      </c>
      <c r="B42" t="s">
        <v>256</v>
      </c>
      <c r="C42">
        <v>10709450.09</v>
      </c>
      <c r="D42" s="24">
        <f t="shared" si="0"/>
        <v>7649.6072071428571</v>
      </c>
      <c r="E42" s="50">
        <f t="shared" si="1"/>
        <v>1.8099673109538519E-3</v>
      </c>
      <c r="F42" s="51"/>
    </row>
    <row r="43" spans="1:6" ht="15.75" customHeight="1" x14ac:dyDescent="0.25">
      <c r="A43" t="s">
        <v>259</v>
      </c>
      <c r="B43" t="s">
        <v>258</v>
      </c>
      <c r="C43">
        <v>12913260.359999999</v>
      </c>
      <c r="D43" s="24">
        <f t="shared" si="0"/>
        <v>9223.7574000000004</v>
      </c>
      <c r="E43" s="50">
        <f t="shared" si="1"/>
        <v>2.1824257018817827E-3</v>
      </c>
      <c r="F43" s="51"/>
    </row>
    <row r="44" spans="1:6" ht="15.75" customHeight="1" x14ac:dyDescent="0.25">
      <c r="A44" t="s">
        <v>261</v>
      </c>
      <c r="B44" t="s">
        <v>260</v>
      </c>
      <c r="C44">
        <v>1149177.07</v>
      </c>
      <c r="D44" s="24">
        <f t="shared" si="0"/>
        <v>820.84076428571439</v>
      </c>
      <c r="E44" s="50">
        <f t="shared" si="1"/>
        <v>1.942184625464487E-4</v>
      </c>
      <c r="F44" s="51"/>
    </row>
    <row r="45" spans="1:6" ht="15.75" customHeight="1" x14ac:dyDescent="0.25">
      <c r="A45" t="s">
        <v>263</v>
      </c>
      <c r="B45" t="s">
        <v>262</v>
      </c>
      <c r="C45">
        <v>217</v>
      </c>
      <c r="D45" s="24">
        <f t="shared" si="0"/>
        <v>0.155</v>
      </c>
      <c r="E45" s="50">
        <f t="shared" si="1"/>
        <v>3.6674423352860116E-8</v>
      </c>
      <c r="F45" s="51"/>
    </row>
    <row r="46" spans="1:6" ht="15.75" customHeight="1" x14ac:dyDescent="0.25">
      <c r="A46" t="s">
        <v>265</v>
      </c>
      <c r="B46" t="s">
        <v>264</v>
      </c>
      <c r="C46">
        <v>3201085.01</v>
      </c>
      <c r="D46" s="24">
        <f t="shared" si="0"/>
        <v>2286.4892928571426</v>
      </c>
      <c r="E46" s="50">
        <f t="shared" si="1"/>
        <v>5.4100436334209424E-4</v>
      </c>
      <c r="F46" s="51"/>
    </row>
    <row r="47" spans="1:6" ht="15.75" customHeight="1" x14ac:dyDescent="0.25">
      <c r="A47" t="s">
        <v>267</v>
      </c>
      <c r="B47" t="s">
        <v>266</v>
      </c>
      <c r="C47">
        <v>2715120</v>
      </c>
      <c r="D47" s="24">
        <f t="shared" si="0"/>
        <v>1939.3714285714286</v>
      </c>
      <c r="E47" s="50">
        <f t="shared" si="1"/>
        <v>4.5887308909593343E-4</v>
      </c>
      <c r="F47" s="51"/>
    </row>
    <row r="48" spans="1:6" ht="15.75" customHeight="1" x14ac:dyDescent="0.25">
      <c r="A48" t="s">
        <v>269</v>
      </c>
      <c r="B48" t="s">
        <v>268</v>
      </c>
      <c r="C48">
        <v>13110797</v>
      </c>
      <c r="D48" s="24">
        <f t="shared" si="0"/>
        <v>9364.8549999999996</v>
      </c>
      <c r="E48" s="50">
        <f t="shared" si="1"/>
        <v>2.2158106897299922E-3</v>
      </c>
      <c r="F48" s="51"/>
    </row>
    <row r="49" spans="1:6" ht="15.75" customHeight="1" x14ac:dyDescent="0.25">
      <c r="A49" t="s">
        <v>271</v>
      </c>
      <c r="B49" t="s">
        <v>270</v>
      </c>
      <c r="C49">
        <v>3732608</v>
      </c>
      <c r="D49" s="24">
        <f t="shared" si="0"/>
        <v>2666.1485714285714</v>
      </c>
      <c r="E49" s="50">
        <f t="shared" si="1"/>
        <v>6.3083523503351376E-4</v>
      </c>
      <c r="F49" s="51"/>
    </row>
    <row r="50" spans="1:6" ht="15.75" customHeight="1" x14ac:dyDescent="0.25">
      <c r="A50" t="s">
        <v>273</v>
      </c>
      <c r="B50" t="s">
        <v>272</v>
      </c>
      <c r="C50">
        <v>253827150</v>
      </c>
      <c r="D50" s="24">
        <f t="shared" si="0"/>
        <v>181305.10714285713</v>
      </c>
      <c r="E50" s="50">
        <f t="shared" si="1"/>
        <v>4.2898453260598747E-2</v>
      </c>
      <c r="F50" s="51"/>
    </row>
    <row r="51" spans="1:6" ht="15.75" customHeight="1" x14ac:dyDescent="0.25">
      <c r="A51" t="s">
        <v>275</v>
      </c>
      <c r="B51" t="s">
        <v>274</v>
      </c>
      <c r="C51">
        <v>404951737.51999998</v>
      </c>
      <c r="D51" s="24">
        <f t="shared" si="0"/>
        <v>289251.24108571425</v>
      </c>
      <c r="E51" s="50">
        <f t="shared" si="1"/>
        <v>6.8439499812372198E-2</v>
      </c>
      <c r="F51" s="51"/>
    </row>
    <row r="52" spans="1:6" ht="15.75" customHeight="1" x14ac:dyDescent="0.25">
      <c r="A52" t="s">
        <v>275</v>
      </c>
      <c r="B52" t="s">
        <v>276</v>
      </c>
      <c r="C52">
        <v>138466008.34</v>
      </c>
      <c r="D52" s="24">
        <f t="shared" si="0"/>
        <v>98904.291671428567</v>
      </c>
      <c r="E52" s="50">
        <f t="shared" si="1"/>
        <v>2.3401663639824054E-2</v>
      </c>
      <c r="F52" s="51"/>
    </row>
    <row r="53" spans="1:6" ht="15.75" customHeight="1" x14ac:dyDescent="0.25">
      <c r="A53" t="s">
        <v>275</v>
      </c>
      <c r="B53" t="s">
        <v>277</v>
      </c>
      <c r="C53">
        <v>450370242.94999999</v>
      </c>
      <c r="D53" s="24">
        <f t="shared" si="0"/>
        <v>321693.03067857143</v>
      </c>
      <c r="E53" s="50">
        <f t="shared" si="1"/>
        <v>7.6115525140455137E-2</v>
      </c>
      <c r="F53" s="51"/>
    </row>
    <row r="54" spans="1:6" ht="15.75" customHeight="1" x14ac:dyDescent="0.25">
      <c r="A54" t="s">
        <v>279</v>
      </c>
      <c r="B54" t="s">
        <v>278</v>
      </c>
      <c r="C54">
        <v>4157535.95</v>
      </c>
      <c r="D54" s="24">
        <f t="shared" si="0"/>
        <v>2969.668535714286</v>
      </c>
      <c r="E54" s="50">
        <f t="shared" si="1"/>
        <v>7.0265084578357358E-4</v>
      </c>
      <c r="F54" s="51"/>
    </row>
    <row r="55" spans="1:6" ht="15.75" customHeight="1" x14ac:dyDescent="0.25">
      <c r="A55" t="s">
        <v>281</v>
      </c>
      <c r="B55" t="s">
        <v>280</v>
      </c>
      <c r="C55">
        <v>4971931.2</v>
      </c>
      <c r="D55" s="24">
        <f t="shared" si="0"/>
        <v>3551.3794285714289</v>
      </c>
      <c r="E55" s="50">
        <f t="shared" si="1"/>
        <v>8.40288984839142E-4</v>
      </c>
      <c r="F55" s="51"/>
    </row>
    <row r="56" spans="1:6" ht="15.75" customHeight="1" x14ac:dyDescent="0.25">
      <c r="A56" t="s">
        <v>283</v>
      </c>
      <c r="B56" t="s">
        <v>282</v>
      </c>
      <c r="C56">
        <v>25886</v>
      </c>
      <c r="D56" s="24">
        <f t="shared" si="0"/>
        <v>18.489999999999998</v>
      </c>
      <c r="E56" s="50">
        <f t="shared" si="1"/>
        <v>4.3749037922218291E-6</v>
      </c>
      <c r="F56" s="51"/>
    </row>
    <row r="57" spans="1:6" ht="15.75" customHeight="1" x14ac:dyDescent="0.25">
      <c r="A57" t="s">
        <v>285</v>
      </c>
      <c r="B57" t="s">
        <v>284</v>
      </c>
      <c r="C57">
        <v>2431084.48</v>
      </c>
      <c r="D57" s="24">
        <f t="shared" si="0"/>
        <v>1736.4889142857144</v>
      </c>
      <c r="E57" s="50">
        <f t="shared" si="1"/>
        <v>4.1086922316169487E-4</v>
      </c>
      <c r="F57" s="51"/>
    </row>
    <row r="58" spans="1:6" ht="15.75" customHeight="1" x14ac:dyDescent="0.25">
      <c r="A58" t="s">
        <v>287</v>
      </c>
      <c r="B58" t="s">
        <v>286</v>
      </c>
      <c r="C58">
        <v>-204.43</v>
      </c>
      <c r="D58" s="24">
        <f t="shared" si="0"/>
        <v>-0.14602142857142858</v>
      </c>
      <c r="E58" s="50">
        <f t="shared" si="1"/>
        <v>-3.4550010903341909E-8</v>
      </c>
      <c r="F58" s="51"/>
    </row>
    <row r="59" spans="1:6" ht="15.75" customHeight="1" x14ac:dyDescent="0.25">
      <c r="A59" t="s">
        <v>289</v>
      </c>
      <c r="B59" t="s">
        <v>288</v>
      </c>
      <c r="C59">
        <v>4667405.5999999996</v>
      </c>
      <c r="D59" s="24">
        <f t="shared" si="0"/>
        <v>3333.8611428571426</v>
      </c>
      <c r="E59" s="50">
        <f t="shared" si="1"/>
        <v>7.8882216098576064E-4</v>
      </c>
      <c r="F59" s="51"/>
    </row>
    <row r="60" spans="1:6" ht="15.75" customHeight="1" x14ac:dyDescent="0.25">
      <c r="A60" t="s">
        <v>291</v>
      </c>
      <c r="B60" t="s">
        <v>290</v>
      </c>
      <c r="C60">
        <v>15334966.48</v>
      </c>
      <c r="D60" s="24">
        <f t="shared" si="0"/>
        <v>10953.547485714285</v>
      </c>
      <c r="E60" s="50">
        <f t="shared" si="1"/>
        <v>2.5917099206886596E-3</v>
      </c>
      <c r="F60" s="51"/>
    </row>
    <row r="61" spans="1:6" ht="15.75" customHeight="1" x14ac:dyDescent="0.25">
      <c r="A61" t="s">
        <v>293</v>
      </c>
      <c r="B61" t="s">
        <v>292</v>
      </c>
      <c r="C61">
        <v>-106108.29</v>
      </c>
      <c r="D61" s="24">
        <f t="shared" si="0"/>
        <v>-75.791635714285704</v>
      </c>
      <c r="E61" s="50">
        <f t="shared" si="1"/>
        <v>-1.7932996998654625E-5</v>
      </c>
      <c r="F61" s="51"/>
    </row>
    <row r="62" spans="1:6" ht="15.75" customHeight="1" x14ac:dyDescent="0.25">
      <c r="A62" t="s">
        <v>295</v>
      </c>
      <c r="B62" t="s">
        <v>294</v>
      </c>
      <c r="C62">
        <v>2391716.25</v>
      </c>
      <c r="D62" s="24">
        <f t="shared" si="0"/>
        <v>1708.3687500000001</v>
      </c>
      <c r="E62" s="50">
        <f t="shared" si="1"/>
        <v>4.0421573406642866E-4</v>
      </c>
      <c r="F62" s="51"/>
    </row>
    <row r="63" spans="1:6" ht="15.75" customHeight="1" x14ac:dyDescent="0.25">
      <c r="A63" t="s">
        <v>297</v>
      </c>
      <c r="B63" t="s">
        <v>296</v>
      </c>
      <c r="C63">
        <v>9210716.3300000001</v>
      </c>
      <c r="D63" s="24">
        <f t="shared" si="0"/>
        <v>6579.0830928571431</v>
      </c>
      <c r="E63" s="50">
        <f t="shared" si="1"/>
        <v>1.5566714749747558E-3</v>
      </c>
      <c r="F63" s="51"/>
    </row>
    <row r="64" spans="1:6" ht="15.75" customHeight="1" x14ac:dyDescent="0.25">
      <c r="A64" t="s">
        <v>299</v>
      </c>
      <c r="B64" t="s">
        <v>298</v>
      </c>
      <c r="C64">
        <v>2743859.76</v>
      </c>
      <c r="D64" s="24">
        <f t="shared" si="0"/>
        <v>1959.8998285714283</v>
      </c>
      <c r="E64" s="50">
        <f t="shared" si="1"/>
        <v>4.6373029704662279E-4</v>
      </c>
      <c r="F64" s="51"/>
    </row>
    <row r="65" spans="1:6" ht="15.75" customHeight="1" x14ac:dyDescent="0.25">
      <c r="A65" t="s">
        <v>301</v>
      </c>
      <c r="B65" t="s">
        <v>300</v>
      </c>
      <c r="C65">
        <v>2710054.36</v>
      </c>
      <c r="D65" s="24">
        <f t="shared" si="0"/>
        <v>1935.7531142857142</v>
      </c>
      <c r="E65" s="50">
        <f t="shared" si="1"/>
        <v>4.5801696270923671E-4</v>
      </c>
      <c r="F65" s="51"/>
    </row>
    <row r="66" spans="1:6" ht="15.75" customHeight="1" x14ac:dyDescent="0.25">
      <c r="A66" t="s">
        <v>303</v>
      </c>
      <c r="B66" t="s">
        <v>302</v>
      </c>
      <c r="C66">
        <v>880173.3</v>
      </c>
      <c r="D66" s="24">
        <f t="shared" si="0"/>
        <v>628.69521428571431</v>
      </c>
      <c r="E66" s="50">
        <f t="shared" si="1"/>
        <v>1.4875506095891224E-4</v>
      </c>
      <c r="F66" s="51"/>
    </row>
    <row r="67" spans="1:6" ht="15.75" customHeight="1" x14ac:dyDescent="0.25">
      <c r="A67" t="s">
        <v>305</v>
      </c>
      <c r="B67" t="s">
        <v>304</v>
      </c>
      <c r="C67">
        <v>2543157.7999999998</v>
      </c>
      <c r="D67" s="24">
        <f t="shared" si="0"/>
        <v>1816.5412857142856</v>
      </c>
      <c r="E67" s="50">
        <f t="shared" si="1"/>
        <v>4.2981034935635182E-4</v>
      </c>
      <c r="F67" s="51"/>
    </row>
    <row r="68" spans="1:6" ht="15.75" customHeight="1" x14ac:dyDescent="0.25">
      <c r="A68" t="s">
        <v>307</v>
      </c>
      <c r="B68" t="s">
        <v>306</v>
      </c>
      <c r="C68">
        <v>11170000</v>
      </c>
      <c r="D68" s="24">
        <f t="shared" si="0"/>
        <v>7978.5714285714284</v>
      </c>
      <c r="E68" s="50">
        <f t="shared" si="1"/>
        <v>1.8878032665965321E-3</v>
      </c>
      <c r="F68" s="51"/>
    </row>
    <row r="69" spans="1:6" ht="15.75" customHeight="1" x14ac:dyDescent="0.25">
      <c r="A69" t="s">
        <v>309</v>
      </c>
      <c r="B69" t="s">
        <v>308</v>
      </c>
      <c r="C69">
        <v>83682231.069999993</v>
      </c>
      <c r="D69" s="24">
        <f t="shared" si="0"/>
        <v>59773.022192857141</v>
      </c>
      <c r="E69" s="50">
        <f t="shared" ref="E69:E132" si="2">IFERROR(C69/SUM($C$5:$C$264),0)</f>
        <v>1.4142845941811264E-2</v>
      </c>
      <c r="F69" s="51"/>
    </row>
    <row r="70" spans="1:6" ht="15.75" customHeight="1" x14ac:dyDescent="0.25">
      <c r="A70" t="s">
        <v>311</v>
      </c>
      <c r="B70" t="s">
        <v>310</v>
      </c>
      <c r="C70">
        <v>2275000</v>
      </c>
      <c r="D70" s="24">
        <f t="shared" si="0"/>
        <v>1625</v>
      </c>
      <c r="E70" s="50">
        <f t="shared" si="2"/>
        <v>3.8448992224772704E-4</v>
      </c>
      <c r="F70" s="51"/>
    </row>
    <row r="71" spans="1:6" ht="15.75" customHeight="1" x14ac:dyDescent="0.25">
      <c r="A71" t="s">
        <v>313</v>
      </c>
      <c r="B71" t="s">
        <v>312</v>
      </c>
      <c r="C71">
        <v>8621717.0500000007</v>
      </c>
      <c r="D71" s="24">
        <f t="shared" si="0"/>
        <v>6158.3693214285722</v>
      </c>
      <c r="E71" s="50">
        <f t="shared" si="2"/>
        <v>1.457126733273144E-3</v>
      </c>
      <c r="F71" s="51"/>
    </row>
    <row r="72" spans="1:6" ht="15.75" customHeight="1" x14ac:dyDescent="0.25">
      <c r="A72" t="s">
        <v>315</v>
      </c>
      <c r="B72" t="s">
        <v>314</v>
      </c>
      <c r="C72">
        <v>112999.99</v>
      </c>
      <c r="D72" s="24">
        <f t="shared" si="0"/>
        <v>80.714278571428579</v>
      </c>
      <c r="E72" s="50">
        <f t="shared" si="2"/>
        <v>1.9097739502898431E-5</v>
      </c>
      <c r="F72" s="51"/>
    </row>
    <row r="73" spans="1:6" ht="15.75" customHeight="1" x14ac:dyDescent="0.25">
      <c r="A73" t="s">
        <v>317</v>
      </c>
      <c r="B73" t="s">
        <v>316</v>
      </c>
      <c r="C73">
        <v>23412309.359999999</v>
      </c>
      <c r="D73" s="24">
        <f t="shared" si="0"/>
        <v>16723.078114285712</v>
      </c>
      <c r="E73" s="50">
        <f t="shared" si="2"/>
        <v>3.9568338485565409E-3</v>
      </c>
      <c r="F73" s="51"/>
    </row>
    <row r="74" spans="1:6" ht="15.75" customHeight="1" x14ac:dyDescent="0.25">
      <c r="A74" t="s">
        <v>319</v>
      </c>
      <c r="B74" t="s">
        <v>318</v>
      </c>
      <c r="C74">
        <v>2445776.4500000002</v>
      </c>
      <c r="D74" s="24">
        <f t="shared" si="0"/>
        <v>1746.9831785714287</v>
      </c>
      <c r="E74" s="50">
        <f t="shared" si="2"/>
        <v>4.1335226245970194E-4</v>
      </c>
      <c r="F74" s="51"/>
    </row>
    <row r="75" spans="1:6" ht="15.75" customHeight="1" x14ac:dyDescent="0.25">
      <c r="A75" t="s">
        <v>321</v>
      </c>
      <c r="B75" t="s">
        <v>320</v>
      </c>
      <c r="C75">
        <v>169308.72</v>
      </c>
      <c r="D75" s="24">
        <f t="shared" si="0"/>
        <v>120.9348</v>
      </c>
      <c r="E75" s="50">
        <f t="shared" si="2"/>
        <v>2.8614284214796565E-5</v>
      </c>
      <c r="F75" s="51"/>
    </row>
    <row r="76" spans="1:6" ht="15.75" customHeight="1" x14ac:dyDescent="0.25">
      <c r="A76" t="s">
        <v>323</v>
      </c>
      <c r="B76" t="s">
        <v>322</v>
      </c>
      <c r="C76">
        <v>119425130.18000001</v>
      </c>
      <c r="D76" s="24">
        <f t="shared" si="0"/>
        <v>85303.664414285726</v>
      </c>
      <c r="E76" s="50">
        <f t="shared" si="2"/>
        <v>2.0183630337289177E-2</v>
      </c>
      <c r="F76" s="51"/>
    </row>
    <row r="77" spans="1:6" ht="15.75" customHeight="1" x14ac:dyDescent="0.25">
      <c r="A77" t="s">
        <v>325</v>
      </c>
      <c r="B77" t="s">
        <v>324</v>
      </c>
      <c r="C77">
        <v>6710966.5700000003</v>
      </c>
      <c r="D77" s="24">
        <f t="shared" si="0"/>
        <v>4793.5475500000002</v>
      </c>
      <c r="E77" s="50">
        <f t="shared" si="2"/>
        <v>1.1341973691017123E-3</v>
      </c>
      <c r="F77" s="51"/>
    </row>
    <row r="78" spans="1:6" ht="15.75" customHeight="1" x14ac:dyDescent="0.25">
      <c r="A78" t="s">
        <v>327</v>
      </c>
      <c r="B78" t="s">
        <v>326</v>
      </c>
      <c r="C78">
        <v>268684.15999999997</v>
      </c>
      <c r="D78" s="24">
        <f t="shared" si="0"/>
        <v>191.91725714285712</v>
      </c>
      <c r="E78" s="50">
        <f t="shared" si="2"/>
        <v>4.5409385401141026E-5</v>
      </c>
      <c r="F78" s="51"/>
    </row>
    <row r="79" spans="1:6" ht="15.75" customHeight="1" x14ac:dyDescent="0.25">
      <c r="A79" t="s">
        <v>329</v>
      </c>
      <c r="B79" t="s">
        <v>328</v>
      </c>
      <c r="C79">
        <v>3080000</v>
      </c>
      <c r="D79" s="24">
        <f t="shared" si="0"/>
        <v>2200</v>
      </c>
      <c r="E79" s="50">
        <f t="shared" si="2"/>
        <v>5.2054020242769201E-4</v>
      </c>
      <c r="F79" s="51"/>
    </row>
    <row r="80" spans="1:6" ht="15.75" customHeight="1" x14ac:dyDescent="0.25">
      <c r="A80" t="s">
        <v>331</v>
      </c>
      <c r="B80" t="s">
        <v>330</v>
      </c>
      <c r="C80">
        <v>21628003.43</v>
      </c>
      <c r="D80" s="24">
        <f t="shared" si="0"/>
        <v>15448.573878571427</v>
      </c>
      <c r="E80" s="50">
        <f t="shared" si="2"/>
        <v>3.6552744427139662E-3</v>
      </c>
      <c r="F80" s="51"/>
    </row>
    <row r="81" spans="1:6" ht="15.75" customHeight="1" x14ac:dyDescent="0.25">
      <c r="A81" t="s">
        <v>333</v>
      </c>
      <c r="B81" t="s">
        <v>332</v>
      </c>
      <c r="C81">
        <v>11288387.76</v>
      </c>
      <c r="D81" s="24">
        <f t="shared" si="0"/>
        <v>8063.1341142857145</v>
      </c>
      <c r="E81" s="50">
        <f t="shared" si="2"/>
        <v>1.907811574569052E-3</v>
      </c>
      <c r="F81" s="51"/>
    </row>
    <row r="82" spans="1:6" ht="15.75" customHeight="1" x14ac:dyDescent="0.25">
      <c r="A82" t="s">
        <v>335</v>
      </c>
      <c r="B82" t="s">
        <v>334</v>
      </c>
      <c r="C82">
        <v>148940</v>
      </c>
      <c r="D82" s="24">
        <f t="shared" si="0"/>
        <v>106.38571428571429</v>
      </c>
      <c r="E82" s="50">
        <f t="shared" si="2"/>
        <v>2.5171836931681961E-5</v>
      </c>
      <c r="F82" s="51"/>
    </row>
    <row r="83" spans="1:6" ht="15.75" customHeight="1" x14ac:dyDescent="0.25">
      <c r="A83" t="s">
        <v>337</v>
      </c>
      <c r="B83" t="s">
        <v>336</v>
      </c>
      <c r="C83">
        <v>6109530.6600000001</v>
      </c>
      <c r="D83" s="24">
        <f t="shared" si="0"/>
        <v>4363.9504714285713</v>
      </c>
      <c r="E83" s="50">
        <f t="shared" si="2"/>
        <v>1.0325507553553864E-3</v>
      </c>
      <c r="F83" s="51"/>
    </row>
    <row r="84" spans="1:6" ht="15.75" customHeight="1" x14ac:dyDescent="0.25">
      <c r="A84" t="s">
        <v>339</v>
      </c>
      <c r="B84" t="s">
        <v>338</v>
      </c>
      <c r="C84">
        <v>2382427.46</v>
      </c>
      <c r="D84" s="24">
        <f t="shared" si="0"/>
        <v>1701.7338999999999</v>
      </c>
      <c r="E84" s="50">
        <f t="shared" si="2"/>
        <v>4.0264586762912076E-4</v>
      </c>
      <c r="F84" s="51"/>
    </row>
    <row r="85" spans="1:6" ht="15.75" customHeight="1" x14ac:dyDescent="0.25">
      <c r="A85" t="s">
        <v>341</v>
      </c>
      <c r="B85" t="s">
        <v>340</v>
      </c>
      <c r="C85">
        <v>135043.53</v>
      </c>
      <c r="D85" s="24">
        <f t="shared" si="0"/>
        <v>96.459664285714283</v>
      </c>
      <c r="E85" s="50">
        <f t="shared" si="2"/>
        <v>2.2823242351542238E-5</v>
      </c>
      <c r="F85" s="51"/>
    </row>
    <row r="86" spans="1:6" ht="15.75" customHeight="1" x14ac:dyDescent="0.25">
      <c r="A86" t="s">
        <v>343</v>
      </c>
      <c r="B86" t="s">
        <v>342</v>
      </c>
      <c r="C86">
        <v>90750</v>
      </c>
      <c r="D86" s="24">
        <f t="shared" si="0"/>
        <v>64.821428571428569</v>
      </c>
      <c r="E86" s="50">
        <f t="shared" si="2"/>
        <v>1.5337345250101639E-5</v>
      </c>
      <c r="F86" s="51"/>
    </row>
    <row r="87" spans="1:6" ht="15.75" customHeight="1" x14ac:dyDescent="0.25">
      <c r="A87" t="s">
        <v>345</v>
      </c>
      <c r="B87" t="s">
        <v>344</v>
      </c>
      <c r="C87">
        <v>979083.87</v>
      </c>
      <c r="D87" s="24">
        <f t="shared" si="0"/>
        <v>699.34562142857146</v>
      </c>
      <c r="E87" s="50">
        <f t="shared" si="2"/>
        <v>1.6547159606606756E-4</v>
      </c>
      <c r="F87" s="51"/>
    </row>
    <row r="88" spans="1:6" ht="15.75" customHeight="1" x14ac:dyDescent="0.25">
      <c r="A88" t="s">
        <v>347</v>
      </c>
      <c r="B88" t="s">
        <v>346</v>
      </c>
      <c r="C88">
        <v>715981.2</v>
      </c>
      <c r="D88" s="24">
        <f t="shared" si="0"/>
        <v>511.41514285714283</v>
      </c>
      <c r="E88" s="50">
        <f t="shared" si="2"/>
        <v>1.2100551908520188E-4</v>
      </c>
      <c r="F88" s="51"/>
    </row>
    <row r="89" spans="1:6" ht="15.75" customHeight="1" x14ac:dyDescent="0.25">
      <c r="A89" t="s">
        <v>349</v>
      </c>
      <c r="B89" t="s">
        <v>348</v>
      </c>
      <c r="C89">
        <v>290181.01</v>
      </c>
      <c r="D89" s="24">
        <f t="shared" si="0"/>
        <v>207.27215000000001</v>
      </c>
      <c r="E89" s="50">
        <f t="shared" si="2"/>
        <v>4.9042494053919516E-5</v>
      </c>
      <c r="F89" s="51"/>
    </row>
    <row r="90" spans="1:6" ht="15.75" customHeight="1" x14ac:dyDescent="0.25">
      <c r="A90" t="s">
        <v>351</v>
      </c>
      <c r="B90" t="s">
        <v>350</v>
      </c>
      <c r="C90">
        <v>4611894.3</v>
      </c>
      <c r="D90" s="24">
        <f t="shared" si="0"/>
        <v>3294.2102142857143</v>
      </c>
      <c r="E90" s="50">
        <f t="shared" si="2"/>
        <v>7.7944038717438918E-4</v>
      </c>
      <c r="F90" s="51"/>
    </row>
    <row r="91" spans="1:6" ht="15.75" customHeight="1" x14ac:dyDescent="0.25">
      <c r="A91" t="s">
        <v>353</v>
      </c>
      <c r="B91" t="s">
        <v>352</v>
      </c>
      <c r="C91">
        <v>2322602.6</v>
      </c>
      <c r="D91" s="24">
        <f t="shared" si="0"/>
        <v>1659.0018571428573</v>
      </c>
      <c r="E91" s="50">
        <f t="shared" si="2"/>
        <v>3.9253507388411807E-4</v>
      </c>
      <c r="F91" s="51"/>
    </row>
    <row r="92" spans="1:6" ht="15.75" customHeight="1" x14ac:dyDescent="0.25">
      <c r="A92" t="s">
        <v>355</v>
      </c>
      <c r="B92" t="s">
        <v>354</v>
      </c>
      <c r="C92">
        <v>86993905.680000007</v>
      </c>
      <c r="D92" s="24">
        <f t="shared" si="0"/>
        <v>62138.504057142862</v>
      </c>
      <c r="E92" s="50">
        <f t="shared" si="2"/>
        <v>1.4702540672935957E-2</v>
      </c>
      <c r="F92" s="51"/>
    </row>
    <row r="93" spans="1:6" ht="15.75" customHeight="1" x14ac:dyDescent="0.25">
      <c r="A93" t="s">
        <v>357</v>
      </c>
      <c r="B93" t="s">
        <v>356</v>
      </c>
      <c r="C93">
        <v>1935493.25</v>
      </c>
      <c r="D93" s="24">
        <f t="shared" si="0"/>
        <v>1382.4951785714286</v>
      </c>
      <c r="E93" s="50">
        <f t="shared" si="2"/>
        <v>3.2711105459494526E-4</v>
      </c>
      <c r="F93" s="51"/>
    </row>
    <row r="94" spans="1:6" ht="15.75" customHeight="1" x14ac:dyDescent="0.25">
      <c r="A94" t="s">
        <v>359</v>
      </c>
      <c r="B94" t="s">
        <v>358</v>
      </c>
      <c r="C94">
        <v>12698434.35</v>
      </c>
      <c r="D94" s="24">
        <f t="shared" si="0"/>
        <v>9070.3102500000005</v>
      </c>
      <c r="E94" s="50">
        <f t="shared" si="2"/>
        <v>2.1461186970986226E-3</v>
      </c>
      <c r="F94" s="51"/>
    </row>
    <row r="95" spans="1:6" ht="15.75" customHeight="1" x14ac:dyDescent="0.25">
      <c r="A95" t="s">
        <v>361</v>
      </c>
      <c r="B95" t="s">
        <v>360</v>
      </c>
      <c r="C95">
        <v>1024284.15</v>
      </c>
      <c r="D95" s="24">
        <f t="shared" si="0"/>
        <v>731.63153571428575</v>
      </c>
      <c r="E95" s="50">
        <f t="shared" si="2"/>
        <v>1.7311073986508974E-4</v>
      </c>
      <c r="F95" s="51"/>
    </row>
    <row r="96" spans="1:6" ht="15.75" customHeight="1" x14ac:dyDescent="0.25">
      <c r="A96" t="s">
        <v>363</v>
      </c>
      <c r="B96" t="s">
        <v>362</v>
      </c>
      <c r="C96">
        <v>780000</v>
      </c>
      <c r="D96" s="24">
        <f t="shared" si="0"/>
        <v>557.14285714285711</v>
      </c>
      <c r="E96" s="50">
        <f t="shared" si="2"/>
        <v>1.318251161992207E-4</v>
      </c>
      <c r="F96" s="51"/>
    </row>
    <row r="97" spans="1:6" ht="15.75" customHeight="1" x14ac:dyDescent="0.25">
      <c r="A97" t="s">
        <v>365</v>
      </c>
      <c r="B97" t="s">
        <v>364</v>
      </c>
      <c r="C97">
        <v>180000</v>
      </c>
      <c r="D97" s="24">
        <f t="shared" si="0"/>
        <v>128.57142857142858</v>
      </c>
      <c r="E97" s="50">
        <f t="shared" si="2"/>
        <v>3.042118066135862E-5</v>
      </c>
      <c r="F97" s="51"/>
    </row>
    <row r="98" spans="1:6" ht="15.75" customHeight="1" x14ac:dyDescent="0.25">
      <c r="A98" t="s">
        <v>367</v>
      </c>
      <c r="B98" t="s">
        <v>366</v>
      </c>
      <c r="C98">
        <v>0.02</v>
      </c>
      <c r="D98" s="24">
        <f t="shared" si="0"/>
        <v>1.4285714285714285E-5</v>
      </c>
      <c r="E98" s="50">
        <f t="shared" si="2"/>
        <v>3.3801311845954025E-12</v>
      </c>
      <c r="F98" s="51"/>
    </row>
    <row r="99" spans="1:6" ht="15.75" customHeight="1" x14ac:dyDescent="0.25">
      <c r="A99" t="s">
        <v>369</v>
      </c>
      <c r="B99" t="s">
        <v>368</v>
      </c>
      <c r="C99">
        <v>5409389.7000000002</v>
      </c>
      <c r="D99" s="24">
        <f t="shared" si="0"/>
        <v>3863.8497857142856</v>
      </c>
      <c r="E99" s="50">
        <f t="shared" si="2"/>
        <v>9.1422234072995848E-4</v>
      </c>
      <c r="F99" s="51"/>
    </row>
    <row r="100" spans="1:6" ht="15.75" customHeight="1" x14ac:dyDescent="0.25">
      <c r="A100" t="s">
        <v>371</v>
      </c>
      <c r="B100" t="s">
        <v>370</v>
      </c>
      <c r="C100">
        <v>12993119.15</v>
      </c>
      <c r="D100" s="24">
        <f t="shared" si="0"/>
        <v>9280.7993928571432</v>
      </c>
      <c r="E100" s="50">
        <f t="shared" si="2"/>
        <v>2.1959223612039356E-3</v>
      </c>
      <c r="F100" s="51"/>
    </row>
    <row r="101" spans="1:6" ht="15.75" customHeight="1" x14ac:dyDescent="0.25">
      <c r="A101" t="s">
        <v>373</v>
      </c>
      <c r="B101" t="s">
        <v>372</v>
      </c>
      <c r="C101">
        <v>449540.05</v>
      </c>
      <c r="D101" s="24">
        <f t="shared" si="0"/>
        <v>321.1000357142857</v>
      </c>
      <c r="E101" s="50">
        <f t="shared" si="2"/>
        <v>7.5975217086478815E-5</v>
      </c>
      <c r="F101" s="51"/>
    </row>
    <row r="102" spans="1:6" ht="15.75" customHeight="1" x14ac:dyDescent="0.25">
      <c r="A102" t="s">
        <v>375</v>
      </c>
      <c r="B102" t="s">
        <v>374</v>
      </c>
      <c r="C102">
        <v>2886939</v>
      </c>
      <c r="D102" s="24">
        <f t="shared" si="0"/>
        <v>2062.0992857142855</v>
      </c>
      <c r="E102" s="50">
        <f t="shared" si="2"/>
        <v>4.8791162709623334E-4</v>
      </c>
      <c r="F102" s="51"/>
    </row>
    <row r="103" spans="1:6" ht="15.75" customHeight="1" x14ac:dyDescent="0.25">
      <c r="A103" t="s">
        <v>377</v>
      </c>
      <c r="B103" t="s">
        <v>376</v>
      </c>
      <c r="C103">
        <v>-3904.38</v>
      </c>
      <c r="D103" s="24">
        <f t="shared" si="0"/>
        <v>-2.7888428571428574</v>
      </c>
      <c r="E103" s="50">
        <f t="shared" si="2"/>
        <v>-6.5986582972552983E-7</v>
      </c>
      <c r="F103" s="51"/>
    </row>
    <row r="104" spans="1:6" ht="15.75" customHeight="1" x14ac:dyDescent="0.25">
      <c r="A104" t="s">
        <v>379</v>
      </c>
      <c r="B104" t="s">
        <v>378</v>
      </c>
      <c r="C104">
        <v>740671.25</v>
      </c>
      <c r="D104" s="24">
        <f t="shared" si="0"/>
        <v>529.05089285714291</v>
      </c>
      <c r="E104" s="50">
        <f t="shared" si="2"/>
        <v>1.2517829948291287E-4</v>
      </c>
      <c r="F104" s="51"/>
    </row>
    <row r="105" spans="1:6" ht="15.75" customHeight="1" x14ac:dyDescent="0.25">
      <c r="A105" t="s">
        <v>381</v>
      </c>
      <c r="B105" t="s">
        <v>380</v>
      </c>
      <c r="C105">
        <v>1728535.96</v>
      </c>
      <c r="D105" s="24">
        <f t="shared" si="0"/>
        <v>1234.6685428571429</v>
      </c>
      <c r="E105" s="50">
        <f t="shared" si="2"/>
        <v>2.9213391510452756E-4</v>
      </c>
      <c r="F105" s="51"/>
    </row>
    <row r="106" spans="1:6" ht="15.75" customHeight="1" x14ac:dyDescent="0.25">
      <c r="A106" t="s">
        <v>383</v>
      </c>
      <c r="B106" t="s">
        <v>382</v>
      </c>
      <c r="C106">
        <v>1971402.62</v>
      </c>
      <c r="D106" s="24">
        <f t="shared" si="0"/>
        <v>1408.1447285714287</v>
      </c>
      <c r="E106" s="50">
        <f t="shared" si="2"/>
        <v>3.3317997366275401E-4</v>
      </c>
      <c r="F106" s="51"/>
    </row>
    <row r="107" spans="1:6" ht="15.75" customHeight="1" x14ac:dyDescent="0.25">
      <c r="A107" t="s">
        <v>385</v>
      </c>
      <c r="B107" t="s">
        <v>384</v>
      </c>
      <c r="C107">
        <v>40367.35</v>
      </c>
      <c r="D107" s="24">
        <f t="shared" si="0"/>
        <v>28.833821428571426</v>
      </c>
      <c r="E107" s="50">
        <f t="shared" si="2"/>
        <v>6.8223469287238607E-6</v>
      </c>
      <c r="F107" s="51"/>
    </row>
    <row r="108" spans="1:6" ht="15.75" customHeight="1" x14ac:dyDescent="0.25">
      <c r="A108" t="s">
        <v>387</v>
      </c>
      <c r="B108" t="s">
        <v>386</v>
      </c>
      <c r="C108">
        <v>6287988.8499999996</v>
      </c>
      <c r="D108" s="24">
        <f t="shared" si="0"/>
        <v>4491.4206071428571</v>
      </c>
      <c r="E108" s="50">
        <f t="shared" si="2"/>
        <v>1.0627113600136591E-3</v>
      </c>
      <c r="F108" s="51"/>
    </row>
    <row r="109" spans="1:6" ht="15.75" customHeight="1" x14ac:dyDescent="0.25">
      <c r="A109" t="s">
        <v>389</v>
      </c>
      <c r="B109" t="s">
        <v>388</v>
      </c>
      <c r="C109">
        <v>6500000</v>
      </c>
      <c r="D109" s="24">
        <f t="shared" si="0"/>
        <v>4642.8571428571431</v>
      </c>
      <c r="E109" s="50">
        <f t="shared" si="2"/>
        <v>1.0985426349935058E-3</v>
      </c>
      <c r="F109" s="51"/>
    </row>
    <row r="110" spans="1:6" ht="15.75" customHeight="1" x14ac:dyDescent="0.25">
      <c r="A110" t="s">
        <v>391</v>
      </c>
      <c r="B110" t="s">
        <v>390</v>
      </c>
      <c r="C110">
        <v>38279371.049999997</v>
      </c>
      <c r="D110" s="24">
        <f t="shared" si="0"/>
        <v>27342.40789285714</v>
      </c>
      <c r="E110" s="50">
        <f t="shared" si="2"/>
        <v>6.4694647906401717E-3</v>
      </c>
      <c r="F110" s="51"/>
    </row>
    <row r="111" spans="1:6" ht="15.75" customHeight="1" x14ac:dyDescent="0.25">
      <c r="A111" t="s">
        <v>393</v>
      </c>
      <c r="B111" t="s">
        <v>392</v>
      </c>
      <c r="C111">
        <v>374025.21</v>
      </c>
      <c r="D111" s="24">
        <f t="shared" si="0"/>
        <v>267.1608642857143</v>
      </c>
      <c r="E111" s="50">
        <f t="shared" si="2"/>
        <v>6.3212713807292209E-5</v>
      </c>
      <c r="F111" s="51"/>
    </row>
    <row r="112" spans="1:6" ht="15.75" customHeight="1" x14ac:dyDescent="0.25">
      <c r="A112" t="s">
        <v>395</v>
      </c>
      <c r="B112" t="s">
        <v>394</v>
      </c>
      <c r="C112">
        <v>2785280.85</v>
      </c>
      <c r="D112" s="24">
        <f t="shared" si="0"/>
        <v>1989.4863214285715</v>
      </c>
      <c r="E112" s="50">
        <f t="shared" si="2"/>
        <v>4.7073073294706945E-4</v>
      </c>
      <c r="F112" s="51"/>
    </row>
    <row r="113" spans="1:6" ht="15.75" customHeight="1" x14ac:dyDescent="0.25">
      <c r="A113" t="s">
        <v>397</v>
      </c>
      <c r="B113" t="s">
        <v>396</v>
      </c>
      <c r="C113">
        <v>44102.080000000002</v>
      </c>
      <c r="D113" s="24">
        <f t="shared" si="0"/>
        <v>31.501485714285714</v>
      </c>
      <c r="E113" s="50">
        <f t="shared" si="2"/>
        <v>7.4535407956760608E-6</v>
      </c>
      <c r="F113" s="51"/>
    </row>
    <row r="114" spans="1:6" ht="15.75" customHeight="1" x14ac:dyDescent="0.25">
      <c r="A114" t="s">
        <v>399</v>
      </c>
      <c r="B114" t="s">
        <v>398</v>
      </c>
      <c r="C114">
        <v>680000</v>
      </c>
      <c r="D114" s="24">
        <f t="shared" si="0"/>
        <v>485.71428571428572</v>
      </c>
      <c r="E114" s="50">
        <f t="shared" si="2"/>
        <v>1.1492446027624369E-4</v>
      </c>
      <c r="F114" s="51"/>
    </row>
    <row r="115" spans="1:6" ht="15.75" customHeight="1" x14ac:dyDescent="0.25">
      <c r="A115" t="s">
        <v>401</v>
      </c>
      <c r="B115" t="s">
        <v>400</v>
      </c>
      <c r="C115">
        <v>871200</v>
      </c>
      <c r="D115" s="24">
        <f t="shared" si="0"/>
        <v>622.28571428571433</v>
      </c>
      <c r="E115" s="50">
        <f t="shared" si="2"/>
        <v>1.4723851440097573E-4</v>
      </c>
      <c r="F115" s="51"/>
    </row>
    <row r="116" spans="1:6" ht="15.75" customHeight="1" x14ac:dyDescent="0.25">
      <c r="A116" t="s">
        <v>403</v>
      </c>
      <c r="B116" t="s">
        <v>402</v>
      </c>
      <c r="C116">
        <v>2287582.5699999998</v>
      </c>
      <c r="D116" s="24">
        <f t="shared" si="0"/>
        <v>1633.9875499999998</v>
      </c>
      <c r="E116" s="50">
        <f t="shared" si="2"/>
        <v>3.8661645910969471E-4</v>
      </c>
      <c r="F116" s="51"/>
    </row>
    <row r="117" spans="1:6" ht="15.75" customHeight="1" x14ac:dyDescent="0.25">
      <c r="A117" t="s">
        <v>405</v>
      </c>
      <c r="B117" t="s">
        <v>404</v>
      </c>
      <c r="C117">
        <v>21780</v>
      </c>
      <c r="D117" s="24">
        <f t="shared" si="0"/>
        <v>15.557142857142857</v>
      </c>
      <c r="E117" s="50">
        <f t="shared" si="2"/>
        <v>3.6809628600243932E-6</v>
      </c>
      <c r="F117" s="51"/>
    </row>
    <row r="118" spans="1:6" ht="15.75" customHeight="1" x14ac:dyDescent="0.25">
      <c r="A118" t="s">
        <v>407</v>
      </c>
      <c r="B118" t="s">
        <v>406</v>
      </c>
      <c r="C118">
        <v>5996947.8300000001</v>
      </c>
      <c r="D118" s="24">
        <f t="shared" si="0"/>
        <v>4283.5341642857147</v>
      </c>
      <c r="E118" s="50">
        <f t="shared" si="2"/>
        <v>1.0135235186287364E-3</v>
      </c>
      <c r="F118" s="51"/>
    </row>
    <row r="119" spans="1:6" ht="15.75" customHeight="1" x14ac:dyDescent="0.25">
      <c r="A119" t="s">
        <v>409</v>
      </c>
      <c r="B119" t="s">
        <v>408</v>
      </c>
      <c r="C119">
        <v>232994.79</v>
      </c>
      <c r="D119" s="24">
        <f t="shared" si="0"/>
        <v>166.42484999999999</v>
      </c>
      <c r="E119" s="50">
        <f t="shared" si="2"/>
        <v>3.937764777636285E-5</v>
      </c>
      <c r="F119" s="51"/>
    </row>
    <row r="120" spans="1:6" ht="15.75" customHeight="1" x14ac:dyDescent="0.25">
      <c r="A120" t="s">
        <v>411</v>
      </c>
      <c r="B120" t="s">
        <v>410</v>
      </c>
      <c r="C120">
        <v>1332000</v>
      </c>
      <c r="D120" s="24">
        <f t="shared" si="0"/>
        <v>951.42857142857144</v>
      </c>
      <c r="E120" s="50">
        <f t="shared" si="2"/>
        <v>2.2511673689405381E-4</v>
      </c>
      <c r="F120" s="51"/>
    </row>
    <row r="121" spans="1:6" ht="15.75" customHeight="1" x14ac:dyDescent="0.25">
      <c r="A121" t="s">
        <v>413</v>
      </c>
      <c r="B121" t="s">
        <v>412</v>
      </c>
      <c r="C121">
        <v>67479400.010000005</v>
      </c>
      <c r="D121" s="24">
        <f t="shared" si="0"/>
        <v>48199.571435714286</v>
      </c>
      <c r="E121" s="50">
        <f t="shared" si="2"/>
        <v>1.1404461214579416E-2</v>
      </c>
      <c r="F121" s="51"/>
    </row>
    <row r="122" spans="1:6" ht="15.75" customHeight="1" x14ac:dyDescent="0.25">
      <c r="A122" t="s">
        <v>415</v>
      </c>
      <c r="B122" t="s">
        <v>414</v>
      </c>
      <c r="C122">
        <v>31047.5</v>
      </c>
      <c r="D122" s="24">
        <f t="shared" si="0"/>
        <v>22.176785714285714</v>
      </c>
      <c r="E122" s="50">
        <f t="shared" si="2"/>
        <v>5.2472311476862881E-6</v>
      </c>
      <c r="F122" s="51"/>
    </row>
    <row r="123" spans="1:6" ht="15.75" customHeight="1" x14ac:dyDescent="0.25">
      <c r="A123" t="s">
        <v>417</v>
      </c>
      <c r="B123" t="s">
        <v>416</v>
      </c>
      <c r="C123">
        <v>1382140.65</v>
      </c>
      <c r="D123" s="24">
        <f t="shared" si="0"/>
        <v>987.24332142857133</v>
      </c>
      <c r="E123" s="50">
        <f t="shared" si="2"/>
        <v>2.3359083562809796E-4</v>
      </c>
      <c r="F123" s="51"/>
    </row>
    <row r="124" spans="1:6" ht="15.75" customHeight="1" x14ac:dyDescent="0.25">
      <c r="A124" t="s">
        <v>419</v>
      </c>
      <c r="B124" t="s">
        <v>418</v>
      </c>
      <c r="C124">
        <v>701943.97</v>
      </c>
      <c r="D124" s="24">
        <f t="shared" si="0"/>
        <v>501.38854999999995</v>
      </c>
      <c r="E124" s="50">
        <f t="shared" si="2"/>
        <v>1.1863313514178497E-4</v>
      </c>
      <c r="F124" s="51"/>
    </row>
    <row r="125" spans="1:6" ht="15.75" customHeight="1" x14ac:dyDescent="0.25">
      <c r="A125" t="s">
        <v>421</v>
      </c>
      <c r="B125" t="s">
        <v>420</v>
      </c>
      <c r="C125">
        <v>9283832.0099999998</v>
      </c>
      <c r="D125" s="24">
        <f t="shared" si="0"/>
        <v>6631.3085785714284</v>
      </c>
      <c r="E125" s="50">
        <f t="shared" si="2"/>
        <v>1.5690285044773007E-3</v>
      </c>
      <c r="F125" s="51"/>
    </row>
    <row r="126" spans="1:6" ht="15.75" customHeight="1" x14ac:dyDescent="0.25">
      <c r="A126" t="s">
        <v>423</v>
      </c>
      <c r="B126" t="s">
        <v>422</v>
      </c>
      <c r="C126">
        <v>8039722.8899999997</v>
      </c>
      <c r="D126" s="24">
        <f t="shared" si="0"/>
        <v>5742.6592071428568</v>
      </c>
      <c r="E126" s="50">
        <f t="shared" si="2"/>
        <v>1.3587659027997235E-3</v>
      </c>
      <c r="F126" s="51"/>
    </row>
    <row r="127" spans="1:6" ht="15.75" customHeight="1" x14ac:dyDescent="0.25">
      <c r="A127" t="s">
        <v>425</v>
      </c>
      <c r="B127" t="s">
        <v>424</v>
      </c>
      <c r="C127">
        <v>2384391.27</v>
      </c>
      <c r="D127" s="24">
        <f t="shared" si="0"/>
        <v>1703.1366214285715</v>
      </c>
      <c r="E127" s="50">
        <f t="shared" si="2"/>
        <v>4.0297776440020177E-4</v>
      </c>
      <c r="F127" s="51"/>
    </row>
    <row r="128" spans="1:6" ht="15.75" customHeight="1" x14ac:dyDescent="0.25">
      <c r="A128" t="s">
        <v>427</v>
      </c>
      <c r="B128" t="s">
        <v>426</v>
      </c>
      <c r="C128">
        <v>45230.85</v>
      </c>
      <c r="D128" s="24">
        <f t="shared" si="0"/>
        <v>32.307749999999999</v>
      </c>
      <c r="E128" s="50">
        <f t="shared" si="2"/>
        <v>7.6443103295378476E-6</v>
      </c>
      <c r="F128" s="51"/>
    </row>
    <row r="129" spans="1:6" ht="15.75" customHeight="1" x14ac:dyDescent="0.25">
      <c r="A129" t="s">
        <v>429</v>
      </c>
      <c r="B129" t="s">
        <v>428</v>
      </c>
      <c r="C129">
        <v>60525832.450000003</v>
      </c>
      <c r="D129" s="24">
        <f t="shared" si="0"/>
        <v>43232.737464285718</v>
      </c>
      <c r="E129" s="50">
        <f t="shared" si="2"/>
        <v>1.0229262686892067E-2</v>
      </c>
      <c r="F129" s="51"/>
    </row>
    <row r="130" spans="1:6" ht="15.75" customHeight="1" x14ac:dyDescent="0.25">
      <c r="A130" t="s">
        <v>431</v>
      </c>
      <c r="B130" t="s">
        <v>430</v>
      </c>
      <c r="C130">
        <v>-258135.9</v>
      </c>
      <c r="D130" s="24">
        <f t="shared" si="0"/>
        <v>-184.38278571428572</v>
      </c>
      <c r="E130" s="50">
        <f t="shared" si="2"/>
        <v>-4.3626660272680015E-5</v>
      </c>
      <c r="F130" s="51"/>
    </row>
    <row r="131" spans="1:6" ht="15.75" customHeight="1" x14ac:dyDescent="0.25">
      <c r="A131" t="s">
        <v>433</v>
      </c>
      <c r="B131" t="s">
        <v>432</v>
      </c>
      <c r="C131">
        <v>5462358</v>
      </c>
      <c r="D131" s="24">
        <f t="shared" si="0"/>
        <v>3901.6842857142856</v>
      </c>
      <c r="E131" s="50">
        <f t="shared" si="2"/>
        <v>9.2317433086120868E-4</v>
      </c>
      <c r="F131" s="51"/>
    </row>
    <row r="132" spans="1:6" ht="15.75" customHeight="1" x14ac:dyDescent="0.25">
      <c r="A132" t="s">
        <v>435</v>
      </c>
      <c r="B132" t="s">
        <v>434</v>
      </c>
      <c r="C132">
        <v>359370</v>
      </c>
      <c r="D132" s="24">
        <f t="shared" si="0"/>
        <v>256.69285714285712</v>
      </c>
      <c r="E132" s="50">
        <f t="shared" si="2"/>
        <v>6.073588719040249E-5</v>
      </c>
      <c r="F132" s="51"/>
    </row>
    <row r="133" spans="1:6" ht="15.75" customHeight="1" x14ac:dyDescent="0.25">
      <c r="A133" t="s">
        <v>437</v>
      </c>
      <c r="B133" t="s">
        <v>436</v>
      </c>
      <c r="C133">
        <v>173843.20000000001</v>
      </c>
      <c r="D133" s="24">
        <f t="shared" si="0"/>
        <v>124.1737142857143</v>
      </c>
      <c r="E133" s="50">
        <f t="shared" ref="E133:E196" si="3">IFERROR(C133/SUM($C$5:$C$264),0)</f>
        <v>2.9380641077492774E-5</v>
      </c>
      <c r="F133" s="51"/>
    </row>
    <row r="134" spans="1:6" ht="15.75" customHeight="1" x14ac:dyDescent="0.25">
      <c r="A134" t="s">
        <v>439</v>
      </c>
      <c r="B134" t="s">
        <v>438</v>
      </c>
      <c r="C134">
        <v>1366662.33</v>
      </c>
      <c r="D134" s="24">
        <f t="shared" si="0"/>
        <v>976.18737857142867</v>
      </c>
      <c r="E134" s="50">
        <f t="shared" si="3"/>
        <v>2.3097489802224064E-4</v>
      </c>
      <c r="F134" s="51"/>
    </row>
    <row r="135" spans="1:6" ht="15.75" customHeight="1" x14ac:dyDescent="0.25">
      <c r="A135" t="s">
        <v>441</v>
      </c>
      <c r="B135" t="s">
        <v>440</v>
      </c>
      <c r="C135">
        <v>1181383.5</v>
      </c>
      <c r="D135" s="24">
        <f t="shared" si="0"/>
        <v>843.8453571428571</v>
      </c>
      <c r="E135" s="50">
        <f t="shared" si="3"/>
        <v>1.9966156046582312E-4</v>
      </c>
      <c r="F135" s="51"/>
    </row>
    <row r="136" spans="1:6" ht="15.75" customHeight="1" x14ac:dyDescent="0.25">
      <c r="A136" t="s">
        <v>443</v>
      </c>
      <c r="B136" t="s">
        <v>442</v>
      </c>
      <c r="C136">
        <v>88538261.290000007</v>
      </c>
      <c r="D136" s="24">
        <f t="shared" si="0"/>
        <v>63241.615207142859</v>
      </c>
      <c r="E136" s="50">
        <f t="shared" si="3"/>
        <v>1.496354690080925E-2</v>
      </c>
      <c r="F136" s="51"/>
    </row>
    <row r="137" spans="1:6" ht="15.75" customHeight="1" x14ac:dyDescent="0.25">
      <c r="A137" t="s">
        <v>445</v>
      </c>
      <c r="B137" t="s">
        <v>444</v>
      </c>
      <c r="C137">
        <v>5896891</v>
      </c>
      <c r="D137" s="24">
        <f t="shared" si="0"/>
        <v>4212.0649999999996</v>
      </c>
      <c r="E137" s="50">
        <f t="shared" si="3"/>
        <v>9.9661325806299841E-4</v>
      </c>
      <c r="F137" s="51"/>
    </row>
    <row r="138" spans="1:6" ht="15.75" customHeight="1" x14ac:dyDescent="0.25">
      <c r="A138" t="s">
        <v>447</v>
      </c>
      <c r="B138" t="s">
        <v>446</v>
      </c>
      <c r="C138">
        <v>13218589.529999999</v>
      </c>
      <c r="D138" s="24">
        <f t="shared" si="0"/>
        <v>9441.8496642857135</v>
      </c>
      <c r="E138" s="50">
        <f t="shared" si="3"/>
        <v>2.2340283343359642E-3</v>
      </c>
      <c r="F138" s="51"/>
    </row>
    <row r="139" spans="1:6" ht="15.75" customHeight="1" x14ac:dyDescent="0.25">
      <c r="A139" t="s">
        <v>449</v>
      </c>
      <c r="B139" t="s">
        <v>448</v>
      </c>
      <c r="C139">
        <v>4033491.61</v>
      </c>
      <c r="D139" s="24">
        <f t="shared" si="0"/>
        <v>2881.0654357142857</v>
      </c>
      <c r="E139" s="50">
        <f t="shared" si="3"/>
        <v>6.8168653868824584E-4</v>
      </c>
      <c r="F139" s="51"/>
    </row>
    <row r="140" spans="1:6" ht="15.75" customHeight="1" x14ac:dyDescent="0.25">
      <c r="A140" t="s">
        <v>451</v>
      </c>
      <c r="B140" t="s">
        <v>450</v>
      </c>
      <c r="C140">
        <v>1055215.28</v>
      </c>
      <c r="D140" s="24">
        <f t="shared" si="0"/>
        <v>753.72519999999997</v>
      </c>
      <c r="E140" s="50">
        <f t="shared" si="3"/>
        <v>1.7833830371947847E-4</v>
      </c>
      <c r="F140" s="51"/>
    </row>
    <row r="141" spans="1:6" ht="15.75" customHeight="1" x14ac:dyDescent="0.25">
      <c r="A141" t="s">
        <v>453</v>
      </c>
      <c r="B141" t="s">
        <v>452</v>
      </c>
      <c r="C141">
        <v>-0.01</v>
      </c>
      <c r="D141" s="24">
        <f t="shared" si="0"/>
        <v>-7.1428571428571427E-6</v>
      </c>
      <c r="E141" s="50">
        <f t="shared" si="3"/>
        <v>-1.6900655922977012E-12</v>
      </c>
      <c r="F141" s="51"/>
    </row>
    <row r="142" spans="1:6" ht="15.75" customHeight="1" x14ac:dyDescent="0.25">
      <c r="A142" t="s">
        <v>455</v>
      </c>
      <c r="B142" t="s">
        <v>454</v>
      </c>
      <c r="C142">
        <v>63249720.049999997</v>
      </c>
      <c r="D142" s="24">
        <f t="shared" si="0"/>
        <v>45178.371464285716</v>
      </c>
      <c r="E142" s="50">
        <f t="shared" si="3"/>
        <v>1.0689617557896703E-2</v>
      </c>
      <c r="F142" s="51"/>
    </row>
    <row r="143" spans="1:6" ht="15.75" customHeight="1" x14ac:dyDescent="0.25">
      <c r="A143" t="s">
        <v>457</v>
      </c>
      <c r="B143" t="s">
        <v>456</v>
      </c>
      <c r="C143">
        <v>2603161.33</v>
      </c>
      <c r="D143" s="24">
        <f t="shared" si="0"/>
        <v>1859.40095</v>
      </c>
      <c r="E143" s="50">
        <f t="shared" si="3"/>
        <v>4.3995133950329218E-4</v>
      </c>
      <c r="F143" s="51"/>
    </row>
    <row r="144" spans="1:6" ht="15.75" customHeight="1" x14ac:dyDescent="0.25">
      <c r="A144" t="s">
        <v>459</v>
      </c>
      <c r="B144" t="s">
        <v>458</v>
      </c>
      <c r="C144">
        <v>452721.8</v>
      </c>
      <c r="D144" s="24">
        <f t="shared" si="0"/>
        <v>323.37271428571427</v>
      </c>
      <c r="E144" s="50">
        <f t="shared" si="3"/>
        <v>7.6512953706308142E-5</v>
      </c>
      <c r="F144" s="51"/>
    </row>
    <row r="145" spans="1:6" ht="15.75" customHeight="1" x14ac:dyDescent="0.25">
      <c r="A145" t="s">
        <v>461</v>
      </c>
      <c r="B145" t="s">
        <v>460</v>
      </c>
      <c r="C145">
        <v>7858853.3499999996</v>
      </c>
      <c r="D145" s="24">
        <f t="shared" si="0"/>
        <v>5613.466678571428</v>
      </c>
      <c r="E145" s="50">
        <f t="shared" si="3"/>
        <v>1.3281977641748522E-3</v>
      </c>
      <c r="F145" s="51"/>
    </row>
    <row r="146" spans="1:6" ht="15.75" customHeight="1" x14ac:dyDescent="0.25">
      <c r="A146" t="s">
        <v>463</v>
      </c>
      <c r="B146" t="s">
        <v>462</v>
      </c>
      <c r="C146">
        <v>1265660</v>
      </c>
      <c r="D146" s="24">
        <f t="shared" si="0"/>
        <v>904.04285714285709</v>
      </c>
      <c r="E146" s="50">
        <f t="shared" si="3"/>
        <v>2.1390484175475084E-4</v>
      </c>
      <c r="F146" s="51"/>
    </row>
    <row r="147" spans="1:6" ht="15.75" customHeight="1" x14ac:dyDescent="0.25">
      <c r="A147" t="s">
        <v>465</v>
      </c>
      <c r="B147" t="s">
        <v>464</v>
      </c>
      <c r="C147">
        <v>128842778.56</v>
      </c>
      <c r="D147" s="24">
        <f t="shared" si="0"/>
        <v>92030.556114285719</v>
      </c>
      <c r="E147" s="50">
        <f t="shared" si="3"/>
        <v>2.1775274686028797E-2</v>
      </c>
      <c r="F147" s="51"/>
    </row>
    <row r="148" spans="1:6" ht="15.75" customHeight="1" x14ac:dyDescent="0.25">
      <c r="A148" t="s">
        <v>467</v>
      </c>
      <c r="B148" t="s">
        <v>466</v>
      </c>
      <c r="C148">
        <v>335045.59999999998</v>
      </c>
      <c r="D148" s="24">
        <f t="shared" si="0"/>
        <v>239.31828571428571</v>
      </c>
      <c r="E148" s="50">
        <f t="shared" si="3"/>
        <v>5.6624904041073866E-5</v>
      </c>
      <c r="F148" s="51"/>
    </row>
    <row r="149" spans="1:6" ht="15.75" customHeight="1" x14ac:dyDescent="0.25">
      <c r="A149" t="s">
        <v>469</v>
      </c>
      <c r="B149" t="s">
        <v>468</v>
      </c>
      <c r="C149">
        <v>1782642.4</v>
      </c>
      <c r="D149" s="24">
        <f t="shared" si="0"/>
        <v>1273.316</v>
      </c>
      <c r="E149" s="50">
        <f t="shared" si="3"/>
        <v>3.0127825836109953E-4</v>
      </c>
      <c r="F149" s="51"/>
    </row>
    <row r="150" spans="1:6" ht="15.75" customHeight="1" x14ac:dyDescent="0.25">
      <c r="A150" t="s">
        <v>471</v>
      </c>
      <c r="B150" t="s">
        <v>470</v>
      </c>
      <c r="C150">
        <v>1665850</v>
      </c>
      <c r="D150" s="24">
        <f t="shared" si="0"/>
        <v>1189.8928571428571</v>
      </c>
      <c r="E150" s="50">
        <f t="shared" si="3"/>
        <v>2.8153957669291253E-4</v>
      </c>
      <c r="F150" s="51"/>
    </row>
    <row r="151" spans="1:6" ht="15.75" customHeight="1" x14ac:dyDescent="0.25">
      <c r="A151" t="s">
        <v>473</v>
      </c>
      <c r="B151" t="s">
        <v>472</v>
      </c>
      <c r="C151">
        <v>2600000</v>
      </c>
      <c r="D151" s="24">
        <f t="shared" si="0"/>
        <v>1857.1428571428571</v>
      </c>
      <c r="E151" s="50">
        <f t="shared" si="3"/>
        <v>4.394170539974023E-4</v>
      </c>
      <c r="F151" s="51"/>
    </row>
    <row r="152" spans="1:6" ht="15.75" customHeight="1" x14ac:dyDescent="0.25">
      <c r="A152" t="s">
        <v>475</v>
      </c>
      <c r="B152" t="s">
        <v>474</v>
      </c>
      <c r="C152">
        <v>1565959</v>
      </c>
      <c r="D152" s="24">
        <f t="shared" si="0"/>
        <v>1118.5421428571428</v>
      </c>
      <c r="E152" s="50">
        <f t="shared" si="3"/>
        <v>2.6465734248489159E-4</v>
      </c>
      <c r="F152" s="51"/>
    </row>
    <row r="153" spans="1:6" ht="15.75" customHeight="1" x14ac:dyDescent="0.25">
      <c r="A153" t="s">
        <v>477</v>
      </c>
      <c r="B153" t="s">
        <v>476</v>
      </c>
      <c r="C153">
        <v>93436.56</v>
      </c>
      <c r="D153" s="24">
        <f t="shared" si="0"/>
        <v>66.740399999999994</v>
      </c>
      <c r="E153" s="50">
        <f t="shared" si="3"/>
        <v>1.5791391511865969E-5</v>
      </c>
      <c r="F153" s="51"/>
    </row>
    <row r="154" spans="1:6" ht="15.75" customHeight="1" x14ac:dyDescent="0.25">
      <c r="A154" t="s">
        <v>479</v>
      </c>
      <c r="B154" t="s">
        <v>478</v>
      </c>
      <c r="C154">
        <v>151250</v>
      </c>
      <c r="D154" s="24">
        <f t="shared" si="0"/>
        <v>108.03571428571429</v>
      </c>
      <c r="E154" s="50">
        <f t="shared" si="3"/>
        <v>2.5562242083502729E-5</v>
      </c>
      <c r="F154" s="51"/>
    </row>
    <row r="155" spans="1:6" ht="15.75" customHeight="1" x14ac:dyDescent="0.25">
      <c r="A155" t="s">
        <v>481</v>
      </c>
      <c r="B155" t="s">
        <v>480</v>
      </c>
      <c r="C155">
        <v>742500</v>
      </c>
      <c r="D155" s="24">
        <f t="shared" si="0"/>
        <v>530.35714285714289</v>
      </c>
      <c r="E155" s="50">
        <f t="shared" si="3"/>
        <v>1.254873702281043E-4</v>
      </c>
      <c r="F155" s="51"/>
    </row>
    <row r="156" spans="1:6" ht="15.75" customHeight="1" x14ac:dyDescent="0.25">
      <c r="A156" t="s">
        <v>483</v>
      </c>
      <c r="B156" t="s">
        <v>482</v>
      </c>
      <c r="C156">
        <v>1054000</v>
      </c>
      <c r="D156" s="24">
        <f t="shared" si="0"/>
        <v>752.85714285714289</v>
      </c>
      <c r="E156" s="50">
        <f t="shared" si="3"/>
        <v>1.7813291342817769E-4</v>
      </c>
      <c r="F156" s="51"/>
    </row>
    <row r="157" spans="1:6" ht="15.75" customHeight="1" x14ac:dyDescent="0.25">
      <c r="A157" t="s">
        <v>485</v>
      </c>
      <c r="B157" t="s">
        <v>484</v>
      </c>
      <c r="C157">
        <v>4770000</v>
      </c>
      <c r="D157" s="24">
        <f t="shared" si="0"/>
        <v>3407.1428571428573</v>
      </c>
      <c r="E157" s="50">
        <f t="shared" si="3"/>
        <v>8.0616128752600345E-4</v>
      </c>
      <c r="F157" s="51"/>
    </row>
    <row r="158" spans="1:6" ht="15.75" customHeight="1" x14ac:dyDescent="0.25">
      <c r="A158" t="s">
        <v>487</v>
      </c>
      <c r="B158" t="s">
        <v>486</v>
      </c>
      <c r="C158">
        <v>5593000</v>
      </c>
      <c r="D158" s="24">
        <f t="shared" si="0"/>
        <v>3995</v>
      </c>
      <c r="E158" s="50">
        <f t="shared" si="3"/>
        <v>9.4525368577210432E-4</v>
      </c>
      <c r="F158" s="51"/>
    </row>
    <row r="159" spans="1:6" ht="15.75" customHeight="1" x14ac:dyDescent="0.25">
      <c r="A159" t="s">
        <v>489</v>
      </c>
      <c r="B159" t="s">
        <v>488</v>
      </c>
      <c r="C159">
        <v>3076930</v>
      </c>
      <c r="D159" s="24">
        <f t="shared" si="0"/>
        <v>2197.8071428571429</v>
      </c>
      <c r="E159" s="50">
        <f t="shared" si="3"/>
        <v>5.200213522908566E-4</v>
      </c>
      <c r="F159" s="51"/>
    </row>
    <row r="160" spans="1:6" ht="15.75" customHeight="1" x14ac:dyDescent="0.25">
      <c r="A160" t="s">
        <v>491</v>
      </c>
      <c r="B160" t="s">
        <v>490</v>
      </c>
      <c r="C160">
        <v>4058469.23</v>
      </c>
      <c r="D160" s="24">
        <f t="shared" si="0"/>
        <v>2898.9065928571426</v>
      </c>
      <c r="E160" s="50">
        <f t="shared" si="3"/>
        <v>6.8590792030219451E-4</v>
      </c>
      <c r="F160" s="51"/>
    </row>
    <row r="161" spans="1:6" ht="15.75" customHeight="1" x14ac:dyDescent="0.25">
      <c r="A161" t="s">
        <v>493</v>
      </c>
      <c r="B161" t="s">
        <v>492</v>
      </c>
      <c r="C161">
        <v>29199369.989999998</v>
      </c>
      <c r="D161" s="24">
        <f t="shared" si="0"/>
        <v>20856.692849999999</v>
      </c>
      <c r="E161" s="50">
        <f t="shared" si="3"/>
        <v>4.9348850536869064E-3</v>
      </c>
      <c r="F161" s="51"/>
    </row>
    <row r="162" spans="1:6" ht="15.75" customHeight="1" x14ac:dyDescent="0.25">
      <c r="A162" t="s">
        <v>495</v>
      </c>
      <c r="B162" t="s">
        <v>494</v>
      </c>
      <c r="C162">
        <v>2779691</v>
      </c>
      <c r="D162" s="24">
        <f t="shared" si="0"/>
        <v>1985.4935714285714</v>
      </c>
      <c r="E162" s="50">
        <f t="shared" si="3"/>
        <v>4.6978601163195894E-4</v>
      </c>
      <c r="F162" s="51"/>
    </row>
    <row r="163" spans="1:6" ht="15.75" customHeight="1" x14ac:dyDescent="0.25">
      <c r="A163" t="s">
        <v>497</v>
      </c>
      <c r="B163" t="s">
        <v>496</v>
      </c>
      <c r="C163">
        <v>386200</v>
      </c>
      <c r="D163" s="24">
        <f t="shared" si="0"/>
        <v>275.85714285714283</v>
      </c>
      <c r="E163" s="50">
        <f t="shared" si="3"/>
        <v>6.5270333174537225E-5</v>
      </c>
      <c r="F163" s="51"/>
    </row>
    <row r="164" spans="1:6" ht="15.75" customHeight="1" x14ac:dyDescent="0.25">
      <c r="A164" t="s">
        <v>499</v>
      </c>
      <c r="B164" t="s">
        <v>498</v>
      </c>
      <c r="C164">
        <v>11845076.42</v>
      </c>
      <c r="D164" s="24">
        <f t="shared" si="0"/>
        <v>8460.7688714285705</v>
      </c>
      <c r="E164" s="50">
        <f t="shared" si="3"/>
        <v>2.0018956095578834E-3</v>
      </c>
      <c r="F164" s="51"/>
    </row>
    <row r="165" spans="1:6" ht="15.75" customHeight="1" x14ac:dyDescent="0.25">
      <c r="A165" t="s">
        <v>501</v>
      </c>
      <c r="B165" t="s">
        <v>500</v>
      </c>
      <c r="C165">
        <v>295783092.91000003</v>
      </c>
      <c r="D165" s="24">
        <f t="shared" si="0"/>
        <v>211273.63779285716</v>
      </c>
      <c r="E165" s="50">
        <f t="shared" si="3"/>
        <v>4.9989282811058515E-2</v>
      </c>
      <c r="F165" s="51"/>
    </row>
    <row r="166" spans="1:6" ht="15.75" customHeight="1" x14ac:dyDescent="0.25">
      <c r="A166" t="s">
        <v>503</v>
      </c>
      <c r="B166" t="s">
        <v>502</v>
      </c>
      <c r="C166">
        <v>630252.1</v>
      </c>
      <c r="D166" s="24">
        <f t="shared" si="0"/>
        <v>450.18007142857141</v>
      </c>
      <c r="E166" s="50">
        <f t="shared" si="3"/>
        <v>1.0651673886833699E-4</v>
      </c>
      <c r="F166" s="51"/>
    </row>
    <row r="167" spans="1:6" ht="15.75" customHeight="1" x14ac:dyDescent="0.25">
      <c r="A167" t="s">
        <v>505</v>
      </c>
      <c r="B167" t="s">
        <v>504</v>
      </c>
      <c r="C167">
        <v>3670293</v>
      </c>
      <c r="D167" s="24">
        <f t="shared" si="0"/>
        <v>2621.6378571428572</v>
      </c>
      <c r="E167" s="50">
        <f t="shared" si="3"/>
        <v>6.2030359129511064E-4</v>
      </c>
      <c r="F167" s="51"/>
    </row>
    <row r="168" spans="1:6" ht="15.75" customHeight="1" x14ac:dyDescent="0.25">
      <c r="A168" t="s">
        <v>507</v>
      </c>
      <c r="B168" t="s">
        <v>506</v>
      </c>
      <c r="C168">
        <v>35394057.5</v>
      </c>
      <c r="D168" s="24">
        <f t="shared" si="0"/>
        <v>25281.469642857144</v>
      </c>
      <c r="E168" s="50">
        <f t="shared" si="3"/>
        <v>5.9818278752556391E-3</v>
      </c>
      <c r="F168" s="51"/>
    </row>
    <row r="169" spans="1:6" ht="15.75" customHeight="1" x14ac:dyDescent="0.25">
      <c r="A169" t="s">
        <v>509</v>
      </c>
      <c r="B169" t="s">
        <v>508</v>
      </c>
      <c r="C169">
        <v>12427272</v>
      </c>
      <c r="D169" s="24">
        <f t="shared" si="0"/>
        <v>8876.6228571428564</v>
      </c>
      <c r="E169" s="50">
        <f t="shared" si="3"/>
        <v>2.1002904813324638E-3</v>
      </c>
      <c r="F169" s="51"/>
    </row>
    <row r="170" spans="1:6" ht="15.75" customHeight="1" x14ac:dyDescent="0.25">
      <c r="A170" t="s">
        <v>511</v>
      </c>
      <c r="B170" t="s">
        <v>510</v>
      </c>
      <c r="C170">
        <v>82539.429999999993</v>
      </c>
      <c r="D170" s="24">
        <f t="shared" si="0"/>
        <v>58.956735714285706</v>
      </c>
      <c r="E170" s="50">
        <f t="shared" si="3"/>
        <v>1.3949705065086464E-5</v>
      </c>
      <c r="F170" s="51"/>
    </row>
    <row r="171" spans="1:6" ht="15.75" customHeight="1" x14ac:dyDescent="0.25">
      <c r="A171" t="s">
        <v>513</v>
      </c>
      <c r="B171" t="s">
        <v>512</v>
      </c>
      <c r="C171">
        <v>1101100</v>
      </c>
      <c r="D171" s="24">
        <f t="shared" si="0"/>
        <v>786.5</v>
      </c>
      <c r="E171" s="50">
        <f t="shared" si="3"/>
        <v>1.8609312236789988E-4</v>
      </c>
      <c r="F171" s="51"/>
    </row>
    <row r="172" spans="1:6" ht="15.75" customHeight="1" x14ac:dyDescent="0.25">
      <c r="A172" t="s">
        <v>515</v>
      </c>
      <c r="B172" t="s">
        <v>514</v>
      </c>
      <c r="C172">
        <v>97471753.400000006</v>
      </c>
      <c r="D172" s="24">
        <f t="shared" si="0"/>
        <v>69622.681000000011</v>
      </c>
      <c r="E172" s="50">
        <f t="shared" si="3"/>
        <v>1.647336566422665E-2</v>
      </c>
      <c r="F172" s="51"/>
    </row>
    <row r="173" spans="1:6" ht="15.75" customHeight="1" x14ac:dyDescent="0.25">
      <c r="A173" t="s">
        <v>517</v>
      </c>
      <c r="B173" t="s">
        <v>516</v>
      </c>
      <c r="C173">
        <v>5555528.6799999997</v>
      </c>
      <c r="D173" s="24">
        <f t="shared" si="0"/>
        <v>3968.2347714285711</v>
      </c>
      <c r="E173" s="50">
        <f t="shared" si="3"/>
        <v>9.3892078690910655E-4</v>
      </c>
      <c r="F173" s="51"/>
    </row>
    <row r="174" spans="1:6" ht="15.75" customHeight="1" x14ac:dyDescent="0.25">
      <c r="A174" t="s">
        <v>519</v>
      </c>
      <c r="B174" t="s">
        <v>518</v>
      </c>
      <c r="C174">
        <v>24548000</v>
      </c>
      <c r="D174" s="24">
        <f t="shared" si="0"/>
        <v>17534.285714285714</v>
      </c>
      <c r="E174" s="50">
        <f t="shared" si="3"/>
        <v>4.1487730159723967E-3</v>
      </c>
      <c r="F174" s="51"/>
    </row>
    <row r="175" spans="1:6" ht="15.75" customHeight="1" x14ac:dyDescent="0.25">
      <c r="A175" t="s">
        <v>521</v>
      </c>
      <c r="B175" t="s">
        <v>520</v>
      </c>
      <c r="C175">
        <v>58760</v>
      </c>
      <c r="D175" s="24">
        <f t="shared" si="0"/>
        <v>41.971428571428568</v>
      </c>
      <c r="E175" s="50">
        <f t="shared" si="3"/>
        <v>9.9308254203412926E-6</v>
      </c>
      <c r="F175" s="51"/>
    </row>
    <row r="176" spans="1:6" ht="15.75" customHeight="1" x14ac:dyDescent="0.25">
      <c r="A176" t="s">
        <v>523</v>
      </c>
      <c r="B176" t="s">
        <v>522</v>
      </c>
      <c r="C176">
        <v>0.01</v>
      </c>
      <c r="D176" s="24">
        <f t="shared" si="0"/>
        <v>7.1428571428571427E-6</v>
      </c>
      <c r="E176" s="50">
        <f t="shared" si="3"/>
        <v>1.6900655922977012E-12</v>
      </c>
      <c r="F176" s="51"/>
    </row>
    <row r="177" spans="1:6" ht="15.75" customHeight="1" x14ac:dyDescent="0.25">
      <c r="A177" t="s">
        <v>525</v>
      </c>
      <c r="B177" t="s">
        <v>524</v>
      </c>
      <c r="C177">
        <v>29639057.420000002</v>
      </c>
      <c r="D177" s="24">
        <f t="shared" si="0"/>
        <v>21170.755300000001</v>
      </c>
      <c r="E177" s="50">
        <f t="shared" si="3"/>
        <v>5.0091951133677875E-3</v>
      </c>
      <c r="F177" s="51"/>
    </row>
    <row r="178" spans="1:6" ht="15.75" customHeight="1" x14ac:dyDescent="0.25">
      <c r="A178" t="s">
        <v>527</v>
      </c>
      <c r="B178" t="s">
        <v>526</v>
      </c>
      <c r="C178">
        <v>56013184.390000001</v>
      </c>
      <c r="D178" s="24">
        <f t="shared" si="0"/>
        <v>40009.417421428574</v>
      </c>
      <c r="E178" s="50">
        <f t="shared" si="3"/>
        <v>9.4665955652565702E-3</v>
      </c>
      <c r="F178" s="51"/>
    </row>
    <row r="179" spans="1:6" ht="15.75" customHeight="1" x14ac:dyDescent="0.25">
      <c r="A179" t="s">
        <v>529</v>
      </c>
      <c r="B179" t="s">
        <v>528</v>
      </c>
      <c r="C179">
        <v>3185145.01</v>
      </c>
      <c r="D179" s="24">
        <f t="shared" si="0"/>
        <v>2275.1035785714284</v>
      </c>
      <c r="E179" s="50">
        <f t="shared" si="3"/>
        <v>5.3831039878797168E-4</v>
      </c>
      <c r="F179" s="51"/>
    </row>
    <row r="180" spans="1:6" ht="15.75" customHeight="1" x14ac:dyDescent="0.25">
      <c r="A180" t="s">
        <v>531</v>
      </c>
      <c r="B180" t="s">
        <v>530</v>
      </c>
      <c r="C180">
        <v>1560000</v>
      </c>
      <c r="D180" s="24">
        <f t="shared" si="0"/>
        <v>1114.2857142857142</v>
      </c>
      <c r="E180" s="50">
        <f t="shared" si="3"/>
        <v>2.636502323984414E-4</v>
      </c>
      <c r="F180" s="51"/>
    </row>
    <row r="181" spans="1:6" ht="15.75" customHeight="1" x14ac:dyDescent="0.25">
      <c r="A181" t="s">
        <v>533</v>
      </c>
      <c r="B181" t="s">
        <v>532</v>
      </c>
      <c r="C181">
        <v>154138.26999999999</v>
      </c>
      <c r="D181" s="24">
        <f t="shared" si="0"/>
        <v>110.09876428571428</v>
      </c>
      <c r="E181" s="50">
        <f t="shared" si="3"/>
        <v>2.6050378658329298E-5</v>
      </c>
      <c r="F181" s="51"/>
    </row>
    <row r="182" spans="1:6" ht="15.75" customHeight="1" x14ac:dyDescent="0.25">
      <c r="A182" t="s">
        <v>535</v>
      </c>
      <c r="B182" t="s">
        <v>534</v>
      </c>
      <c r="C182">
        <v>13351649.470000001</v>
      </c>
      <c r="D182" s="24">
        <f t="shared" si="0"/>
        <v>9536.8924785714298</v>
      </c>
      <c r="E182" s="50">
        <f t="shared" si="3"/>
        <v>2.2565163369666838E-3</v>
      </c>
      <c r="F182" s="51"/>
    </row>
    <row r="183" spans="1:6" ht="15.75" customHeight="1" x14ac:dyDescent="0.25">
      <c r="A183" t="s">
        <v>537</v>
      </c>
      <c r="B183" t="s">
        <v>536</v>
      </c>
      <c r="C183">
        <v>2259877.2999999998</v>
      </c>
      <c r="D183" s="24">
        <f t="shared" si="0"/>
        <v>1614.1980714285712</v>
      </c>
      <c r="E183" s="50">
        <f t="shared" si="3"/>
        <v>3.8193408675446294E-4</v>
      </c>
      <c r="F183" s="51"/>
    </row>
    <row r="184" spans="1:6" ht="15.75" customHeight="1" x14ac:dyDescent="0.25">
      <c r="A184" t="s">
        <v>539</v>
      </c>
      <c r="B184" t="s">
        <v>538</v>
      </c>
      <c r="C184">
        <v>4530000</v>
      </c>
      <c r="D184" s="24">
        <f t="shared" si="0"/>
        <v>3235.7142857142858</v>
      </c>
      <c r="E184" s="50">
        <f t="shared" si="3"/>
        <v>7.6559971331085868E-4</v>
      </c>
      <c r="F184" s="51"/>
    </row>
    <row r="185" spans="1:6" ht="15.75" customHeight="1" x14ac:dyDescent="0.25">
      <c r="A185" t="s">
        <v>541</v>
      </c>
      <c r="B185" t="s">
        <v>540</v>
      </c>
      <c r="C185">
        <v>22247747.440000001</v>
      </c>
      <c r="D185" s="24">
        <f t="shared" si="0"/>
        <v>15891.248171428573</v>
      </c>
      <c r="E185" s="50">
        <f t="shared" si="3"/>
        <v>3.7600152454473268E-3</v>
      </c>
      <c r="F185" s="51"/>
    </row>
    <row r="186" spans="1:6" ht="15.75" customHeight="1" x14ac:dyDescent="0.25">
      <c r="A186" t="s">
        <v>543</v>
      </c>
      <c r="B186" t="s">
        <v>542</v>
      </c>
      <c r="C186">
        <v>2731347</v>
      </c>
      <c r="D186" s="24">
        <f t="shared" si="0"/>
        <v>1950.9621428571429</v>
      </c>
      <c r="E186" s="50">
        <f t="shared" si="3"/>
        <v>4.6161555853255491E-4</v>
      </c>
      <c r="F186" s="51"/>
    </row>
    <row r="187" spans="1:6" ht="15.75" customHeight="1" x14ac:dyDescent="0.25">
      <c r="A187" t="s">
        <v>545</v>
      </c>
      <c r="B187" t="s">
        <v>544</v>
      </c>
      <c r="C187">
        <v>916817</v>
      </c>
      <c r="D187" s="24">
        <f t="shared" si="0"/>
        <v>654.86928571428575</v>
      </c>
      <c r="E187" s="50">
        <f t="shared" si="3"/>
        <v>1.5494808661336014E-4</v>
      </c>
      <c r="F187" s="51"/>
    </row>
    <row r="188" spans="1:6" ht="15.75" customHeight="1" x14ac:dyDescent="0.25">
      <c r="A188" t="s">
        <v>547</v>
      </c>
      <c r="B188" t="s">
        <v>546</v>
      </c>
      <c r="C188">
        <v>23342950.5</v>
      </c>
      <c r="D188" s="24">
        <f t="shared" si="0"/>
        <v>16673.536071428571</v>
      </c>
      <c r="E188" s="50">
        <f t="shared" si="3"/>
        <v>3.9451117462758417E-3</v>
      </c>
      <c r="F188" s="51"/>
    </row>
    <row r="189" spans="1:6" ht="15.75" customHeight="1" x14ac:dyDescent="0.25">
      <c r="A189" t="s">
        <v>549</v>
      </c>
      <c r="B189" t="s">
        <v>548</v>
      </c>
      <c r="C189">
        <v>2662000</v>
      </c>
      <c r="D189" s="24">
        <f t="shared" si="0"/>
        <v>1901.4285714285713</v>
      </c>
      <c r="E189" s="50">
        <f t="shared" si="3"/>
        <v>4.4989546066964806E-4</v>
      </c>
      <c r="F189" s="51"/>
    </row>
    <row r="190" spans="1:6" ht="15.75" customHeight="1" x14ac:dyDescent="0.25">
      <c r="A190" t="s">
        <v>551</v>
      </c>
      <c r="B190" t="s">
        <v>550</v>
      </c>
      <c r="C190">
        <v>18607213.84</v>
      </c>
      <c r="D190" s="24">
        <f t="shared" si="0"/>
        <v>13290.867028571429</v>
      </c>
      <c r="E190" s="50">
        <f t="shared" si="3"/>
        <v>3.1447411879509581E-3</v>
      </c>
      <c r="F190" s="51"/>
    </row>
    <row r="191" spans="1:6" ht="15.75" customHeight="1" x14ac:dyDescent="0.25">
      <c r="A191" t="s">
        <v>553</v>
      </c>
      <c r="B191" t="s">
        <v>552</v>
      </c>
      <c r="C191">
        <v>1920600</v>
      </c>
      <c r="D191" s="24">
        <f t="shared" si="0"/>
        <v>1371.8571428571429</v>
      </c>
      <c r="E191" s="50">
        <f t="shared" si="3"/>
        <v>3.2459399765669649E-4</v>
      </c>
      <c r="F191" s="51"/>
    </row>
    <row r="192" spans="1:6" ht="15.75" customHeight="1" x14ac:dyDescent="0.25">
      <c r="A192" t="s">
        <v>555</v>
      </c>
      <c r="B192" t="s">
        <v>554</v>
      </c>
      <c r="C192">
        <v>45041007.939999998</v>
      </c>
      <c r="D192" s="24">
        <f t="shared" si="0"/>
        <v>32172.148528571426</v>
      </c>
      <c r="E192" s="50">
        <f t="shared" si="3"/>
        <v>7.612225776180156E-3</v>
      </c>
      <c r="F192" s="51"/>
    </row>
    <row r="193" spans="1:6" ht="15.75" customHeight="1" x14ac:dyDescent="0.25">
      <c r="A193" t="s">
        <v>557</v>
      </c>
      <c r="B193" t="s">
        <v>556</v>
      </c>
      <c r="C193">
        <v>-2698.26</v>
      </c>
      <c r="D193" s="24">
        <f t="shared" si="0"/>
        <v>-1.9273285714285715</v>
      </c>
      <c r="E193" s="50">
        <f t="shared" si="3"/>
        <v>-4.5602363850731958E-7</v>
      </c>
      <c r="F193" s="51"/>
    </row>
    <row r="194" spans="1:6" ht="15.75" customHeight="1" x14ac:dyDescent="0.25">
      <c r="A194" t="s">
        <v>559</v>
      </c>
      <c r="B194" t="s">
        <v>558</v>
      </c>
      <c r="C194">
        <v>33731950</v>
      </c>
      <c r="D194" s="24">
        <f t="shared" si="0"/>
        <v>24094.25</v>
      </c>
      <c r="E194" s="50">
        <f t="shared" si="3"/>
        <v>5.7009208056106441E-3</v>
      </c>
      <c r="F194" s="51"/>
    </row>
    <row r="195" spans="1:6" ht="15.75" customHeight="1" x14ac:dyDescent="0.25">
      <c r="A195" t="s">
        <v>561</v>
      </c>
      <c r="B195" t="s">
        <v>560</v>
      </c>
      <c r="C195">
        <v>568116.64</v>
      </c>
      <c r="D195" s="24">
        <f t="shared" si="0"/>
        <v>405.79759999999999</v>
      </c>
      <c r="E195" s="50">
        <f t="shared" si="3"/>
        <v>9.6015438567577987E-5</v>
      </c>
      <c r="F195" s="51"/>
    </row>
    <row r="196" spans="1:6" ht="15.75" customHeight="1" x14ac:dyDescent="0.25">
      <c r="A196" t="s">
        <v>563</v>
      </c>
      <c r="B196" t="s">
        <v>562</v>
      </c>
      <c r="C196">
        <v>10682153.33</v>
      </c>
      <c r="D196" s="24">
        <f t="shared" si="0"/>
        <v>7630.1095214285715</v>
      </c>
      <c r="E196" s="50">
        <f t="shared" si="3"/>
        <v>1.8053539794681312E-3</v>
      </c>
      <c r="F196" s="51"/>
    </row>
    <row r="197" spans="1:6" ht="15.75" customHeight="1" x14ac:dyDescent="0.25">
      <c r="A197" t="s">
        <v>565</v>
      </c>
      <c r="B197" t="s">
        <v>564</v>
      </c>
      <c r="C197">
        <v>65283500</v>
      </c>
      <c r="D197" s="24">
        <f t="shared" si="0"/>
        <v>46631.071428571428</v>
      </c>
      <c r="E197" s="50">
        <f t="shared" ref="E197:E264" si="4">IFERROR(C197/SUM($C$5:$C$264),0)</f>
        <v>1.1033339709476698E-2</v>
      </c>
      <c r="F197" s="51"/>
    </row>
    <row r="198" spans="1:6" ht="15.75" customHeight="1" x14ac:dyDescent="0.25">
      <c r="A198" t="s">
        <v>567</v>
      </c>
      <c r="B198" t="s">
        <v>566</v>
      </c>
      <c r="C198">
        <v>24200000</v>
      </c>
      <c r="D198" s="24">
        <f t="shared" si="0"/>
        <v>17285.714285714286</v>
      </c>
      <c r="E198" s="50">
        <f t="shared" si="4"/>
        <v>4.0899587333604369E-3</v>
      </c>
      <c r="F198" s="51"/>
    </row>
    <row r="199" spans="1:6" ht="15.75" customHeight="1" x14ac:dyDescent="0.25">
      <c r="A199" t="s">
        <v>569</v>
      </c>
      <c r="B199" t="s">
        <v>568</v>
      </c>
      <c r="C199">
        <v>170385951.56</v>
      </c>
      <c r="D199" s="24">
        <f t="shared" si="0"/>
        <v>121704.25111428571</v>
      </c>
      <c r="E199" s="50">
        <f t="shared" si="4"/>
        <v>2.8796343414245883E-2</v>
      </c>
      <c r="F199" s="51"/>
    </row>
    <row r="200" spans="1:6" ht="15.75" customHeight="1" x14ac:dyDescent="0.25">
      <c r="A200" t="s">
        <v>571</v>
      </c>
      <c r="B200" t="s">
        <v>570</v>
      </c>
      <c r="C200">
        <v>3115909.61</v>
      </c>
      <c r="D200" s="24">
        <f t="shared" si="0"/>
        <v>2225.6497214285714</v>
      </c>
      <c r="E200" s="50">
        <f t="shared" si="4"/>
        <v>5.2660916205707494E-4</v>
      </c>
      <c r="F200" s="51"/>
    </row>
    <row r="201" spans="1:6" ht="15.75" customHeight="1" x14ac:dyDescent="0.25">
      <c r="A201" t="s">
        <v>573</v>
      </c>
      <c r="B201" t="s">
        <v>572</v>
      </c>
      <c r="C201">
        <v>13151812.220000001</v>
      </c>
      <c r="D201" s="24">
        <f t="shared" si="0"/>
        <v>9394.1515857142858</v>
      </c>
      <c r="E201" s="50">
        <f t="shared" si="4"/>
        <v>2.2227425309382445E-3</v>
      </c>
      <c r="F201" s="51"/>
    </row>
    <row r="202" spans="1:6" ht="15.75" customHeight="1" x14ac:dyDescent="0.25">
      <c r="A202" t="s">
        <v>575</v>
      </c>
      <c r="B202" t="s">
        <v>574</v>
      </c>
      <c r="C202">
        <v>2477263.9</v>
      </c>
      <c r="D202" s="24">
        <f t="shared" si="0"/>
        <v>1769.4742142857142</v>
      </c>
      <c r="E202" s="50">
        <f t="shared" si="4"/>
        <v>4.1867384804312129E-4</v>
      </c>
      <c r="F202" s="51"/>
    </row>
    <row r="203" spans="1:6" ht="15.75" customHeight="1" x14ac:dyDescent="0.25">
      <c r="A203" t="s">
        <v>577</v>
      </c>
      <c r="B203" t="s">
        <v>576</v>
      </c>
      <c r="C203">
        <v>155106.26999999999</v>
      </c>
      <c r="D203" s="24">
        <f t="shared" si="0"/>
        <v>110.79019285714286</v>
      </c>
      <c r="E203" s="50">
        <f t="shared" si="4"/>
        <v>2.6213977007663714E-5</v>
      </c>
      <c r="F203" s="51"/>
    </row>
    <row r="204" spans="1:6" ht="15.75" customHeight="1" x14ac:dyDescent="0.25">
      <c r="A204" t="s">
        <v>579</v>
      </c>
      <c r="B204" t="s">
        <v>578</v>
      </c>
      <c r="C204">
        <v>24624750</v>
      </c>
      <c r="D204" s="24">
        <f t="shared" si="0"/>
        <v>17589.107142857141</v>
      </c>
      <c r="E204" s="50">
        <f t="shared" si="4"/>
        <v>4.1617442693932813E-3</v>
      </c>
      <c r="F204" s="51"/>
    </row>
    <row r="205" spans="1:6" ht="15.75" customHeight="1" x14ac:dyDescent="0.25">
      <c r="A205" t="s">
        <v>581</v>
      </c>
      <c r="B205" t="s">
        <v>580</v>
      </c>
      <c r="C205">
        <v>724029.73</v>
      </c>
      <c r="D205" s="24">
        <f t="shared" si="0"/>
        <v>517.1640928571428</v>
      </c>
      <c r="E205" s="50">
        <f t="shared" si="4"/>
        <v>1.2236577344735947E-4</v>
      </c>
      <c r="F205" s="51"/>
    </row>
    <row r="206" spans="1:6" ht="15.75" customHeight="1" x14ac:dyDescent="0.25">
      <c r="A206" t="s">
        <v>583</v>
      </c>
      <c r="B206" t="s">
        <v>582</v>
      </c>
      <c r="C206">
        <v>2141772.6</v>
      </c>
      <c r="D206" s="24">
        <f t="shared" si="0"/>
        <v>1529.8375714285714</v>
      </c>
      <c r="E206" s="50">
        <f t="shared" si="4"/>
        <v>3.6197361777859876E-4</v>
      </c>
      <c r="F206" s="51"/>
    </row>
    <row r="207" spans="1:6" ht="15.75" customHeight="1" x14ac:dyDescent="0.25">
      <c r="A207" t="s">
        <v>585</v>
      </c>
      <c r="B207" t="s">
        <v>584</v>
      </c>
      <c r="C207">
        <v>13720988.6</v>
      </c>
      <c r="D207" s="24">
        <f t="shared" si="0"/>
        <v>9800.7061428571433</v>
      </c>
      <c r="E207" s="50">
        <f t="shared" si="4"/>
        <v>2.3189370725169006E-3</v>
      </c>
      <c r="F207" s="51"/>
    </row>
    <row r="208" spans="1:6" ht="15.75" customHeight="1" x14ac:dyDescent="0.25">
      <c r="A208" t="s">
        <v>587</v>
      </c>
      <c r="B208" t="s">
        <v>586</v>
      </c>
      <c r="C208">
        <v>5422248.3799999999</v>
      </c>
      <c r="D208" s="24">
        <f t="shared" si="0"/>
        <v>3873.034557142857</v>
      </c>
      <c r="E208" s="50">
        <f t="shared" si="4"/>
        <v>9.1639554199299505E-4</v>
      </c>
      <c r="F208" s="51"/>
    </row>
    <row r="209" spans="1:6" ht="15.75" customHeight="1" x14ac:dyDescent="0.25">
      <c r="A209" t="s">
        <v>589</v>
      </c>
      <c r="B209" t="s">
        <v>588</v>
      </c>
      <c r="C209">
        <v>13309393.5</v>
      </c>
      <c r="D209" s="24">
        <f t="shared" si="0"/>
        <v>9506.7096428571422</v>
      </c>
      <c r="E209" s="50">
        <f t="shared" si="4"/>
        <v>2.2493748008700675E-3</v>
      </c>
      <c r="F209" s="51"/>
    </row>
    <row r="210" spans="1:6" ht="15.75" customHeight="1" x14ac:dyDescent="0.25">
      <c r="A210" t="s">
        <v>591</v>
      </c>
      <c r="B210" t="s">
        <v>590</v>
      </c>
      <c r="C210">
        <v>370986</v>
      </c>
      <c r="D210" s="24">
        <f t="shared" si="0"/>
        <v>264.99</v>
      </c>
      <c r="E210" s="50">
        <f t="shared" si="4"/>
        <v>6.2699067382415501E-5</v>
      </c>
      <c r="F210" s="51"/>
    </row>
    <row r="211" spans="1:6" ht="15.75" customHeight="1" x14ac:dyDescent="0.25">
      <c r="A211" t="s">
        <v>593</v>
      </c>
      <c r="B211" t="s">
        <v>592</v>
      </c>
      <c r="C211">
        <v>13467900.16</v>
      </c>
      <c r="D211" s="24">
        <f t="shared" si="0"/>
        <v>9619.9286857142852</v>
      </c>
      <c r="E211" s="50">
        <f t="shared" si="4"/>
        <v>2.2761634660916704E-3</v>
      </c>
      <c r="F211" s="51"/>
    </row>
    <row r="212" spans="1:6" ht="15.75" customHeight="1" x14ac:dyDescent="0.25">
      <c r="A212" t="s">
        <v>595</v>
      </c>
      <c r="B212" t="s">
        <v>594</v>
      </c>
      <c r="C212">
        <v>3182300</v>
      </c>
      <c r="D212" s="24">
        <f t="shared" si="0"/>
        <v>2273.0714285714284</v>
      </c>
      <c r="E212" s="50">
        <f t="shared" si="4"/>
        <v>5.3782957343689744E-4</v>
      </c>
      <c r="F212" s="51"/>
    </row>
    <row r="213" spans="1:6" ht="15.75" customHeight="1" x14ac:dyDescent="0.25">
      <c r="A213" t="s">
        <v>597</v>
      </c>
      <c r="B213" t="s">
        <v>596</v>
      </c>
      <c r="C213">
        <v>1920158.73</v>
      </c>
      <c r="D213" s="24">
        <f t="shared" si="0"/>
        <v>1371.54195</v>
      </c>
      <c r="E213" s="50">
        <f t="shared" si="4"/>
        <v>3.2451942013230514E-4</v>
      </c>
      <c r="F213" s="51"/>
    </row>
    <row r="214" spans="1:6" ht="15.75" customHeight="1" x14ac:dyDescent="0.25">
      <c r="A214" t="s">
        <v>599</v>
      </c>
      <c r="B214" t="s">
        <v>598</v>
      </c>
      <c r="C214">
        <v>3589214.14</v>
      </c>
      <c r="D214" s="24">
        <f t="shared" si="0"/>
        <v>2563.7243857142857</v>
      </c>
      <c r="E214" s="50">
        <f t="shared" si="4"/>
        <v>6.0660073214023841E-4</v>
      </c>
      <c r="F214" s="51"/>
    </row>
    <row r="215" spans="1:6" ht="15.75" customHeight="1" x14ac:dyDescent="0.25">
      <c r="A215" t="s">
        <v>601</v>
      </c>
      <c r="B215" t="s">
        <v>600</v>
      </c>
      <c r="C215">
        <v>16855300</v>
      </c>
      <c r="D215" s="24">
        <f t="shared" si="0"/>
        <v>12039.5</v>
      </c>
      <c r="E215" s="50">
        <f t="shared" si="4"/>
        <v>2.8486562577855444E-3</v>
      </c>
      <c r="F215" s="51"/>
    </row>
    <row r="216" spans="1:6" ht="15.75" customHeight="1" x14ac:dyDescent="0.25">
      <c r="A216" t="s">
        <v>603</v>
      </c>
      <c r="B216" t="s">
        <v>602</v>
      </c>
      <c r="C216">
        <v>647250</v>
      </c>
      <c r="D216" s="24">
        <f t="shared" si="0"/>
        <v>462.32142857142856</v>
      </c>
      <c r="E216" s="50">
        <f t="shared" si="4"/>
        <v>1.0938949546146871E-4</v>
      </c>
      <c r="F216" s="51"/>
    </row>
    <row r="217" spans="1:6" ht="15.75" customHeight="1" x14ac:dyDescent="0.25">
      <c r="A217" t="s">
        <v>605</v>
      </c>
      <c r="B217" t="s">
        <v>604</v>
      </c>
      <c r="C217">
        <v>197068.42</v>
      </c>
      <c r="D217" s="24">
        <f t="shared" si="0"/>
        <v>140.76315714285715</v>
      </c>
      <c r="E217" s="50">
        <f t="shared" si="4"/>
        <v>3.3305855597047218E-5</v>
      </c>
      <c r="F217" s="51"/>
    </row>
    <row r="218" spans="1:6" ht="15.75" customHeight="1" x14ac:dyDescent="0.25">
      <c r="A218" t="s">
        <v>607</v>
      </c>
      <c r="B218" t="s">
        <v>606</v>
      </c>
      <c r="C218">
        <v>17693998</v>
      </c>
      <c r="D218" s="24">
        <f t="shared" si="0"/>
        <v>12638.57</v>
      </c>
      <c r="E218" s="50">
        <f t="shared" si="4"/>
        <v>2.9904017209984339E-3</v>
      </c>
      <c r="F218" s="51"/>
    </row>
    <row r="219" spans="1:6" ht="15.75" customHeight="1" x14ac:dyDescent="0.25">
      <c r="A219" t="s">
        <v>609</v>
      </c>
      <c r="B219" t="s">
        <v>608</v>
      </c>
      <c r="C219">
        <v>3584279.55</v>
      </c>
      <c r="D219" s="24">
        <f t="shared" si="0"/>
        <v>2560.1996785714286</v>
      </c>
      <c r="E219" s="50">
        <f t="shared" si="4"/>
        <v>6.0576675406312877E-4</v>
      </c>
      <c r="F219" s="51"/>
    </row>
    <row r="220" spans="1:6" ht="15.75" customHeight="1" x14ac:dyDescent="0.25">
      <c r="A220" t="s">
        <v>611</v>
      </c>
      <c r="B220" t="s">
        <v>610</v>
      </c>
      <c r="C220">
        <v>1851080</v>
      </c>
      <c r="D220" s="24">
        <f t="shared" si="0"/>
        <v>1322.2</v>
      </c>
      <c r="E220" s="50">
        <f t="shared" si="4"/>
        <v>3.1284466165904288E-4</v>
      </c>
      <c r="F220" s="51"/>
    </row>
    <row r="221" spans="1:6" ht="15.75" customHeight="1" x14ac:dyDescent="0.25">
      <c r="A221" t="s">
        <v>613</v>
      </c>
      <c r="B221" t="s">
        <v>612</v>
      </c>
      <c r="C221">
        <v>34820587.490000002</v>
      </c>
      <c r="D221" s="24">
        <f t="shared" si="0"/>
        <v>24871.848207142859</v>
      </c>
      <c r="E221" s="50">
        <f t="shared" si="4"/>
        <v>5.8849076820440775E-3</v>
      </c>
      <c r="F221" s="51"/>
    </row>
    <row r="222" spans="1:6" ht="15.75" customHeight="1" x14ac:dyDescent="0.25">
      <c r="A222" t="s">
        <v>615</v>
      </c>
      <c r="B222" t="s">
        <v>614</v>
      </c>
      <c r="C222">
        <v>1074310</v>
      </c>
      <c r="D222" s="24">
        <f t="shared" si="0"/>
        <v>767.36428571428576</v>
      </c>
      <c r="E222" s="50">
        <f t="shared" si="4"/>
        <v>1.8156543664613433E-4</v>
      </c>
      <c r="F222" s="51"/>
    </row>
    <row r="223" spans="1:6" ht="15.75" customHeight="1" x14ac:dyDescent="0.25">
      <c r="A223" t="s">
        <v>617</v>
      </c>
      <c r="B223" t="s">
        <v>616</v>
      </c>
      <c r="C223">
        <v>14274975</v>
      </c>
      <c r="D223" s="24">
        <f t="shared" si="0"/>
        <v>10196.410714285714</v>
      </c>
      <c r="E223" s="50">
        <f t="shared" si="4"/>
        <v>2.4125644078409878E-3</v>
      </c>
      <c r="F223" s="51"/>
    </row>
    <row r="224" spans="1:6" ht="15.75" customHeight="1" x14ac:dyDescent="0.25">
      <c r="A224" t="s">
        <v>619</v>
      </c>
      <c r="B224" t="s">
        <v>618</v>
      </c>
      <c r="C224">
        <v>1271600</v>
      </c>
      <c r="D224" s="24">
        <f t="shared" si="0"/>
        <v>908.28571428571433</v>
      </c>
      <c r="E224" s="50">
        <f t="shared" si="4"/>
        <v>2.1490874071657568E-4</v>
      </c>
      <c r="F224" s="51"/>
    </row>
    <row r="225" spans="1:6" ht="15.75" customHeight="1" x14ac:dyDescent="0.25">
      <c r="A225" t="s">
        <v>621</v>
      </c>
      <c r="B225" t="s">
        <v>620</v>
      </c>
      <c r="C225">
        <v>925630.69</v>
      </c>
      <c r="D225" s="24">
        <f t="shared" si="0"/>
        <v>661.16477857142854</v>
      </c>
      <c r="E225" s="50">
        <f t="shared" si="4"/>
        <v>1.5643765803437798E-4</v>
      </c>
      <c r="F225" s="51"/>
    </row>
    <row r="226" spans="1:6" ht="15.75" customHeight="1" x14ac:dyDescent="0.25">
      <c r="A226" t="s">
        <v>623</v>
      </c>
      <c r="B226" t="s">
        <v>622</v>
      </c>
      <c r="C226">
        <v>21241550</v>
      </c>
      <c r="D226" s="24">
        <f t="shared" si="0"/>
        <v>15172.535714285714</v>
      </c>
      <c r="E226" s="50">
        <f t="shared" si="4"/>
        <v>3.5899612782071236E-3</v>
      </c>
      <c r="F226" s="51"/>
    </row>
    <row r="227" spans="1:6" ht="15.75" customHeight="1" x14ac:dyDescent="0.25">
      <c r="A227" t="s">
        <v>625</v>
      </c>
      <c r="B227" t="s">
        <v>624</v>
      </c>
      <c r="C227">
        <v>3618658.26</v>
      </c>
      <c r="D227" s="24">
        <f t="shared" si="0"/>
        <v>2584.7558999999997</v>
      </c>
      <c r="E227" s="50">
        <f t="shared" si="4"/>
        <v>6.1157698155098683E-4</v>
      </c>
      <c r="F227" s="51"/>
    </row>
    <row r="228" spans="1:6" ht="15.75" customHeight="1" x14ac:dyDescent="0.25">
      <c r="A228" t="s">
        <v>627</v>
      </c>
      <c r="B228" t="s">
        <v>626</v>
      </c>
      <c r="C228">
        <v>48990000</v>
      </c>
      <c r="D228" s="24">
        <f t="shared" si="0"/>
        <v>34992.857142857145</v>
      </c>
      <c r="E228" s="50">
        <f t="shared" si="4"/>
        <v>8.2796313366664386E-3</v>
      </c>
      <c r="F228" s="51"/>
    </row>
    <row r="229" spans="1:6" ht="15.75" customHeight="1" x14ac:dyDescent="0.25">
      <c r="A229" t="s">
        <v>629</v>
      </c>
      <c r="B229" t="s">
        <v>628</v>
      </c>
      <c r="C229">
        <v>8115779.6100000003</v>
      </c>
      <c r="D229" s="24">
        <f t="shared" si="0"/>
        <v>5796.9854357142858</v>
      </c>
      <c r="E229" s="50">
        <f t="shared" si="4"/>
        <v>1.3716199873532258E-3</v>
      </c>
      <c r="F229" s="51"/>
    </row>
    <row r="230" spans="1:6" ht="15.75" customHeight="1" x14ac:dyDescent="0.25">
      <c r="A230" t="s">
        <v>631</v>
      </c>
      <c r="B230" t="s">
        <v>630</v>
      </c>
      <c r="C230">
        <v>8034400</v>
      </c>
      <c r="D230" s="24">
        <f t="shared" si="0"/>
        <v>5738.8571428571431</v>
      </c>
      <c r="E230" s="50">
        <f t="shared" si="4"/>
        <v>1.3578662994756651E-3</v>
      </c>
      <c r="F230" s="51"/>
    </row>
    <row r="231" spans="1:6" ht="15.75" customHeight="1" x14ac:dyDescent="0.25">
      <c r="A231" t="s">
        <v>633</v>
      </c>
      <c r="B231" t="s">
        <v>632</v>
      </c>
      <c r="C231">
        <v>37422880</v>
      </c>
      <c r="D231" s="24">
        <f t="shared" si="0"/>
        <v>26730.628571428573</v>
      </c>
      <c r="E231" s="50">
        <f t="shared" si="4"/>
        <v>6.3247121852685797E-3</v>
      </c>
      <c r="F231" s="51"/>
    </row>
    <row r="232" spans="1:6" ht="15.75" customHeight="1" x14ac:dyDescent="0.25">
      <c r="A232" t="s">
        <v>635</v>
      </c>
      <c r="B232" t="s">
        <v>634</v>
      </c>
      <c r="C232">
        <v>25876207.34</v>
      </c>
      <c r="D232" s="24">
        <f t="shared" si="0"/>
        <v>18483.005242857143</v>
      </c>
      <c r="E232" s="50">
        <f t="shared" si="4"/>
        <v>4.3732487684495225E-3</v>
      </c>
      <c r="F232" s="51"/>
    </row>
    <row r="233" spans="1:6" ht="15.75" customHeight="1" x14ac:dyDescent="0.25">
      <c r="A233" t="s">
        <v>637</v>
      </c>
      <c r="B233" t="s">
        <v>636</v>
      </c>
      <c r="C233">
        <v>1331</v>
      </c>
      <c r="D233" s="24">
        <f t="shared" si="0"/>
        <v>0.95071428571428573</v>
      </c>
      <c r="E233" s="50">
        <f t="shared" si="4"/>
        <v>2.2494773033482403E-7</v>
      </c>
      <c r="F233" s="51"/>
    </row>
    <row r="234" spans="1:6" ht="15.75" customHeight="1" x14ac:dyDescent="0.25">
      <c r="A234" t="s">
        <v>639</v>
      </c>
      <c r="B234" t="s">
        <v>638</v>
      </c>
      <c r="C234">
        <v>1616250.02</v>
      </c>
      <c r="D234" s="24">
        <f t="shared" si="0"/>
        <v>1154.4643000000001</v>
      </c>
      <c r="E234" s="50">
        <f t="shared" si="4"/>
        <v>2.7315685473524714E-4</v>
      </c>
      <c r="F234" s="51"/>
    </row>
    <row r="235" spans="1:6" ht="15.75" customHeight="1" x14ac:dyDescent="0.25">
      <c r="A235" t="s">
        <v>641</v>
      </c>
      <c r="B235" t="s">
        <v>640</v>
      </c>
      <c r="C235">
        <v>2591820</v>
      </c>
      <c r="D235" s="24">
        <f t="shared" si="0"/>
        <v>1851.3</v>
      </c>
      <c r="E235" s="50">
        <f t="shared" si="4"/>
        <v>4.3803458034290276E-4</v>
      </c>
      <c r="F235" s="51"/>
    </row>
    <row r="236" spans="1:6" ht="15.75" customHeight="1" x14ac:dyDescent="0.25">
      <c r="A236" t="s">
        <v>643</v>
      </c>
      <c r="B236" t="s">
        <v>642</v>
      </c>
      <c r="C236">
        <v>41362552</v>
      </c>
      <c r="D236" s="24">
        <f t="shared" si="0"/>
        <v>29544.68</v>
      </c>
      <c r="E236" s="50">
        <f t="shared" si="4"/>
        <v>6.9905425944824465E-3</v>
      </c>
      <c r="F236" s="51"/>
    </row>
    <row r="237" spans="1:6" ht="15.75" customHeight="1" x14ac:dyDescent="0.25">
      <c r="A237" t="s">
        <v>645</v>
      </c>
      <c r="B237" t="s">
        <v>644</v>
      </c>
      <c r="C237">
        <v>209215.09</v>
      </c>
      <c r="D237" s="24">
        <f t="shared" si="0"/>
        <v>149.43934999999999</v>
      </c>
      <c r="E237" s="50">
        <f t="shared" si="4"/>
        <v>3.5358722499846683E-5</v>
      </c>
      <c r="F237" s="51"/>
    </row>
    <row r="238" spans="1:6" ht="15.75" customHeight="1" x14ac:dyDescent="0.25">
      <c r="A238" t="s">
        <v>647</v>
      </c>
      <c r="B238" t="s">
        <v>646</v>
      </c>
      <c r="C238">
        <v>94650</v>
      </c>
      <c r="D238" s="24">
        <f t="shared" si="0"/>
        <v>67.607142857142861</v>
      </c>
      <c r="E238" s="50">
        <f t="shared" si="4"/>
        <v>1.5996470831097743E-5</v>
      </c>
      <c r="F238" s="51"/>
    </row>
    <row r="239" spans="1:6" ht="15.75" customHeight="1" x14ac:dyDescent="0.25">
      <c r="A239" t="s">
        <v>649</v>
      </c>
      <c r="B239" t="s">
        <v>648</v>
      </c>
      <c r="C239">
        <v>126965.3</v>
      </c>
      <c r="D239" s="24">
        <f t="shared" si="0"/>
        <v>90.689499999999995</v>
      </c>
      <c r="E239" s="50">
        <f t="shared" si="4"/>
        <v>2.1457968494575534E-5</v>
      </c>
      <c r="F239" s="51"/>
    </row>
    <row r="240" spans="1:6" ht="15.75" customHeight="1" x14ac:dyDescent="0.25">
      <c r="A240" t="s">
        <v>651</v>
      </c>
      <c r="B240" t="s">
        <v>650</v>
      </c>
      <c r="C240">
        <v>2607375.6</v>
      </c>
      <c r="D240" s="24">
        <f t="shared" si="0"/>
        <v>1862.411142857143</v>
      </c>
      <c r="E240" s="50">
        <f t="shared" si="4"/>
        <v>4.4066357877565744E-4</v>
      </c>
      <c r="F240" s="51"/>
    </row>
    <row r="241" spans="1:6" ht="15.75" customHeight="1" x14ac:dyDescent="0.25">
      <c r="A241" t="s">
        <v>653</v>
      </c>
      <c r="B241" t="s">
        <v>652</v>
      </c>
      <c r="C241">
        <v>25622590</v>
      </c>
      <c r="D241" s="24">
        <f t="shared" si="0"/>
        <v>18301.849999999999</v>
      </c>
      <c r="E241" s="50">
        <f t="shared" si="4"/>
        <v>4.3303857744551155E-3</v>
      </c>
      <c r="F241" s="51"/>
    </row>
    <row r="242" spans="1:6" ht="15.75" customHeight="1" x14ac:dyDescent="0.25">
      <c r="A242" t="s">
        <v>655</v>
      </c>
      <c r="B242" t="s">
        <v>654</v>
      </c>
      <c r="C242">
        <v>2083487.25</v>
      </c>
      <c r="D242" s="24">
        <f t="shared" si="0"/>
        <v>1488.2051785714286</v>
      </c>
      <c r="E242" s="50">
        <f t="shared" si="4"/>
        <v>3.5212301132159587E-4</v>
      </c>
      <c r="F242" s="51"/>
    </row>
    <row r="243" spans="1:6" ht="15.75" customHeight="1" x14ac:dyDescent="0.25">
      <c r="A243" t="s">
        <v>657</v>
      </c>
      <c r="B243" t="s">
        <v>656</v>
      </c>
      <c r="C243">
        <v>640000</v>
      </c>
      <c r="D243" s="24">
        <f t="shared" si="0"/>
        <v>457.14285714285717</v>
      </c>
      <c r="E243" s="50">
        <f t="shared" si="4"/>
        <v>1.0816419790705288E-4</v>
      </c>
      <c r="F243" s="51"/>
    </row>
    <row r="244" spans="1:6" ht="15.75" customHeight="1" x14ac:dyDescent="0.25">
      <c r="A244" t="s">
        <v>659</v>
      </c>
      <c r="B244" t="s">
        <v>658</v>
      </c>
      <c r="C244">
        <v>2791532.29</v>
      </c>
      <c r="D244" s="24">
        <f t="shared" si="0"/>
        <v>1993.9516357142857</v>
      </c>
      <c r="E244" s="50">
        <f t="shared" si="4"/>
        <v>4.7178726731170081E-4</v>
      </c>
      <c r="F244" s="51"/>
    </row>
    <row r="245" spans="1:6" ht="15.75" customHeight="1" x14ac:dyDescent="0.25">
      <c r="A245" t="s">
        <v>661</v>
      </c>
      <c r="B245" t="s">
        <v>660</v>
      </c>
      <c r="C245">
        <v>-0.01</v>
      </c>
      <c r="D245" s="24">
        <f t="shared" si="0"/>
        <v>-7.1428571428571427E-6</v>
      </c>
      <c r="E245" s="50">
        <f t="shared" si="4"/>
        <v>-1.6900655922977012E-12</v>
      </c>
      <c r="F245" s="51"/>
    </row>
    <row r="246" spans="1:6" ht="15.75" customHeight="1" x14ac:dyDescent="0.25">
      <c r="A246" t="s">
        <v>663</v>
      </c>
      <c r="B246" t="s">
        <v>662</v>
      </c>
      <c r="C246">
        <v>300000</v>
      </c>
      <c r="D246" s="24">
        <f t="shared" si="0"/>
        <v>214.28571428571428</v>
      </c>
      <c r="E246" s="50">
        <f t="shared" si="4"/>
        <v>5.0701967768931034E-5</v>
      </c>
      <c r="F246" s="51"/>
    </row>
    <row r="247" spans="1:6" ht="15.75" customHeight="1" x14ac:dyDescent="0.25">
      <c r="A247" t="s">
        <v>665</v>
      </c>
      <c r="B247" t="s">
        <v>664</v>
      </c>
      <c r="C247">
        <v>911493</v>
      </c>
      <c r="D247" s="24">
        <f t="shared" si="0"/>
        <v>651.06642857142856</v>
      </c>
      <c r="E247" s="50">
        <f t="shared" si="4"/>
        <v>1.5404829569202086E-4</v>
      </c>
      <c r="F247" s="51"/>
    </row>
    <row r="248" spans="1:6" ht="15.75" customHeight="1" x14ac:dyDescent="0.25">
      <c r="A248" t="s">
        <v>667</v>
      </c>
      <c r="B248" t="s">
        <v>666</v>
      </c>
      <c r="C248">
        <v>9389600</v>
      </c>
      <c r="D248" s="24">
        <f t="shared" si="0"/>
        <v>6706.8571428571431</v>
      </c>
      <c r="E248" s="50">
        <f t="shared" si="4"/>
        <v>1.5869039885438496E-3</v>
      </c>
      <c r="F248" s="51"/>
    </row>
    <row r="249" spans="1:6" ht="15.75" customHeight="1" x14ac:dyDescent="0.25">
      <c r="A249" t="s">
        <v>669</v>
      </c>
      <c r="B249" t="s">
        <v>668</v>
      </c>
      <c r="C249">
        <v>12821563.85</v>
      </c>
      <c r="D249" s="24">
        <f t="shared" ref="D249:D264" si="5">IFERROR(C249/$D$3,0)</f>
        <v>9158.2598928571424</v>
      </c>
      <c r="E249" s="50">
        <f t="shared" si="4"/>
        <v>2.1669283902333043E-3</v>
      </c>
      <c r="F249" s="51"/>
    </row>
    <row r="250" spans="1:6" ht="15.75" customHeight="1" x14ac:dyDescent="0.25">
      <c r="A250" t="s">
        <v>671</v>
      </c>
      <c r="B250" t="s">
        <v>670</v>
      </c>
      <c r="C250">
        <v>3824713.2</v>
      </c>
      <c r="D250" s="24">
        <f t="shared" si="5"/>
        <v>2731.9380000000001</v>
      </c>
      <c r="E250" s="50">
        <f t="shared" si="4"/>
        <v>6.4640161797268367E-4</v>
      </c>
      <c r="F250" s="51"/>
    </row>
    <row r="251" spans="1:6" ht="15.75" customHeight="1" x14ac:dyDescent="0.25">
      <c r="A251" t="s">
        <v>673</v>
      </c>
      <c r="B251" t="s">
        <v>672</v>
      </c>
      <c r="C251">
        <v>-358732.55</v>
      </c>
      <c r="D251" s="24">
        <f t="shared" si="5"/>
        <v>-256.23753571428568</v>
      </c>
      <c r="E251" s="50">
        <f t="shared" si="4"/>
        <v>-6.0628153959221466E-5</v>
      </c>
      <c r="F251" s="51"/>
    </row>
    <row r="252" spans="1:6" ht="15.75" customHeight="1" x14ac:dyDescent="0.25">
      <c r="A252" t="s">
        <v>675</v>
      </c>
      <c r="B252" t="s">
        <v>674</v>
      </c>
      <c r="C252">
        <v>580000</v>
      </c>
      <c r="D252" s="24">
        <f t="shared" si="5"/>
        <v>414.28571428571428</v>
      </c>
      <c r="E252" s="50">
        <f t="shared" si="4"/>
        <v>9.802380435326667E-5</v>
      </c>
      <c r="F252" s="51"/>
    </row>
    <row r="253" spans="1:6" ht="15.75" customHeight="1" x14ac:dyDescent="0.25">
      <c r="A253" t="s">
        <v>677</v>
      </c>
      <c r="B253" t="s">
        <v>676</v>
      </c>
      <c r="C253">
        <v>1255771.8799999999</v>
      </c>
      <c r="D253" s="24">
        <f t="shared" si="5"/>
        <v>896.97991428571424</v>
      </c>
      <c r="E253" s="50">
        <f t="shared" si="4"/>
        <v>2.1223368461629975E-4</v>
      </c>
      <c r="F253" s="51"/>
    </row>
    <row r="254" spans="1:6" ht="15.75" customHeight="1" x14ac:dyDescent="0.25">
      <c r="A254" t="s">
        <v>679</v>
      </c>
      <c r="B254" t="s">
        <v>678</v>
      </c>
      <c r="C254">
        <v>93996825.709999993</v>
      </c>
      <c r="D254" s="24">
        <f t="shared" si="5"/>
        <v>67140.589792857136</v>
      </c>
      <c r="E254" s="50">
        <f t="shared" si="4"/>
        <v>1.5886080091767493E-2</v>
      </c>
      <c r="F254" s="51"/>
    </row>
    <row r="255" spans="1:6" ht="15.75" customHeight="1" x14ac:dyDescent="0.25">
      <c r="A255" t="s">
        <v>681</v>
      </c>
      <c r="B255" t="s">
        <v>680</v>
      </c>
      <c r="C255">
        <v>787623.42</v>
      </c>
      <c r="D255" s="24">
        <f t="shared" si="5"/>
        <v>562.5881571428572</v>
      </c>
      <c r="E255" s="50">
        <f t="shared" si="4"/>
        <v>1.3311352418298413E-4</v>
      </c>
      <c r="F255" s="51"/>
    </row>
    <row r="256" spans="1:6" ht="15.75" customHeight="1" x14ac:dyDescent="0.25">
      <c r="A256" t="s">
        <v>683</v>
      </c>
      <c r="B256" t="s">
        <v>682</v>
      </c>
      <c r="C256">
        <v>33215596.800000001</v>
      </c>
      <c r="D256" s="24">
        <f t="shared" si="5"/>
        <v>23725.426285714286</v>
      </c>
      <c r="E256" s="50">
        <f t="shared" si="4"/>
        <v>5.6136537279313633E-3</v>
      </c>
      <c r="F256" s="51"/>
    </row>
    <row r="257" spans="1:6" ht="15.75" customHeight="1" x14ac:dyDescent="0.25">
      <c r="A257" t="s">
        <v>685</v>
      </c>
      <c r="B257" t="s">
        <v>684</v>
      </c>
      <c r="C257">
        <v>32201193.199999999</v>
      </c>
      <c r="D257" s="24">
        <f t="shared" si="5"/>
        <v>23000.852285714285</v>
      </c>
      <c r="E257" s="50">
        <f t="shared" si="4"/>
        <v>5.4422128658250706E-3</v>
      </c>
      <c r="F257" s="51"/>
    </row>
    <row r="258" spans="1:6" ht="15.75" customHeight="1" x14ac:dyDescent="0.25">
      <c r="A258" t="s">
        <v>687</v>
      </c>
      <c r="B258" t="s">
        <v>686</v>
      </c>
      <c r="C258">
        <v>17934662.559999999</v>
      </c>
      <c r="D258" s="24">
        <f t="shared" si="5"/>
        <v>12810.473257142856</v>
      </c>
      <c r="E258" s="50">
        <f t="shared" si="4"/>
        <v>3.0310756102125804E-3</v>
      </c>
      <c r="F258" s="51"/>
    </row>
    <row r="259" spans="1:6" ht="15.75" customHeight="1" x14ac:dyDescent="0.25">
      <c r="A259" t="s">
        <v>689</v>
      </c>
      <c r="B259" t="s">
        <v>688</v>
      </c>
      <c r="C259">
        <v>10422253.35</v>
      </c>
      <c r="D259" s="24">
        <f t="shared" si="5"/>
        <v>7444.466678571428</v>
      </c>
      <c r="E259" s="50">
        <f t="shared" si="4"/>
        <v>1.7614291781044449E-3</v>
      </c>
      <c r="F259" s="51"/>
    </row>
    <row r="260" spans="1:6" ht="15.75" customHeight="1" x14ac:dyDescent="0.25">
      <c r="A260" t="s">
        <v>691</v>
      </c>
      <c r="B260" t="s">
        <v>690</v>
      </c>
      <c r="C260">
        <v>144474</v>
      </c>
      <c r="D260" s="24">
        <f t="shared" si="5"/>
        <v>103.19571428571429</v>
      </c>
      <c r="E260" s="50">
        <f t="shared" si="4"/>
        <v>2.4417053638161807E-5</v>
      </c>
      <c r="F260" s="51"/>
    </row>
    <row r="261" spans="1:6" ht="15.75" customHeight="1" x14ac:dyDescent="0.25">
      <c r="A261" t="s">
        <v>693</v>
      </c>
      <c r="B261" t="s">
        <v>692</v>
      </c>
      <c r="C261">
        <v>6894110.8300000001</v>
      </c>
      <c r="D261" s="24">
        <f t="shared" si="5"/>
        <v>4924.3648785714286</v>
      </c>
      <c r="E261" s="50">
        <f t="shared" si="4"/>
        <v>1.1651499503269947E-3</v>
      </c>
      <c r="F261" s="51"/>
    </row>
    <row r="262" spans="1:6" ht="15.75" customHeight="1" x14ac:dyDescent="0.25">
      <c r="A262" t="s">
        <v>695</v>
      </c>
      <c r="B262" t="s">
        <v>694</v>
      </c>
      <c r="C262">
        <v>1485120</v>
      </c>
      <c r="D262" s="24">
        <f t="shared" si="5"/>
        <v>1060.8</v>
      </c>
      <c r="E262" s="50">
        <f t="shared" si="4"/>
        <v>2.5099502124331619E-4</v>
      </c>
      <c r="F262" s="51"/>
    </row>
    <row r="263" spans="1:6" ht="15.75" customHeight="1" x14ac:dyDescent="0.25">
      <c r="A263" t="s">
        <v>697</v>
      </c>
      <c r="B263" t="s">
        <v>696</v>
      </c>
      <c r="C263">
        <v>1682794419.28</v>
      </c>
      <c r="D263" s="24">
        <f t="shared" si="5"/>
        <v>1201996.0137714285</v>
      </c>
      <c r="E263" s="50">
        <f t="shared" si="4"/>
        <v>0.28440329469357195</v>
      </c>
      <c r="F263" s="51"/>
    </row>
    <row r="264" spans="1:6" ht="15.75" customHeight="1" x14ac:dyDescent="0.25">
      <c r="A264" t="s">
        <v>699</v>
      </c>
      <c r="B264" t="s">
        <v>698</v>
      </c>
      <c r="C264">
        <v>2271569.94</v>
      </c>
      <c r="D264" s="24">
        <f t="shared" si="5"/>
        <v>1622.549957142857</v>
      </c>
      <c r="E264" s="50">
        <f t="shared" si="4"/>
        <v>3.8391021960917536E-4</v>
      </c>
      <c r="F264" s="51"/>
    </row>
    <row r="265" spans="1:6" ht="18" customHeight="1" x14ac:dyDescent="0.25">
      <c r="A265" s="41" t="s">
        <v>166</v>
      </c>
      <c r="B265" s="42"/>
      <c r="C265" s="43">
        <f>SUM(C5:C264)</f>
        <v>5916930115.3599977</v>
      </c>
      <c r="D265" s="43">
        <f t="shared" si="0"/>
        <v>4226378.6538285697</v>
      </c>
      <c r="E265" s="53">
        <v>1</v>
      </c>
      <c r="F265" s="42"/>
    </row>
    <row r="267" spans="1:6" ht="15" customHeight="1" x14ac:dyDescent="0.25">
      <c r="A267" s="79" t="s">
        <v>167</v>
      </c>
      <c r="B267" s="79"/>
      <c r="C267" s="79"/>
      <c r="D267" s="79"/>
      <c r="E267" s="79"/>
      <c r="F267" s="79"/>
    </row>
  </sheetData>
  <mergeCells count="3">
    <mergeCell ref="A1:F1"/>
    <mergeCell ref="A2:F2"/>
    <mergeCell ref="A267:F26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I27" sqref="I27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8" t="s">
        <v>168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15.75" customHeight="1" x14ac:dyDescent="0.25">
      <c r="A2" s="78" t="s">
        <v>169</v>
      </c>
      <c r="B2" s="78"/>
      <c r="C2" s="78"/>
      <c r="D2" s="78"/>
      <c r="E2" s="78"/>
      <c r="F2" s="78"/>
      <c r="G2" s="78"/>
      <c r="H2" s="78"/>
      <c r="I2" s="78"/>
      <c r="J2" s="78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4" t="s">
        <v>179</v>
      </c>
      <c r="B5" s="14">
        <v>1000000</v>
      </c>
      <c r="C5" s="55">
        <v>4.4999999999999998E-2</v>
      </c>
      <c r="D5" s="13">
        <v>46101</v>
      </c>
      <c r="E5" s="13">
        <v>46281</v>
      </c>
      <c r="F5" s="56">
        <f>IFERROR(E5-D5,0)</f>
        <v>180</v>
      </c>
      <c r="G5" s="57">
        <f>IFERROR(B5*(C5/365)*F5,0)</f>
        <v>22191.780821917808</v>
      </c>
      <c r="H5" s="58">
        <f>IFERROR(B5+G5,0)</f>
        <v>1022191.7808219178</v>
      </c>
      <c r="I5" s="59">
        <f ca="1">IFERROR(E5-TODAY(),"Vencido")</f>
        <v>113</v>
      </c>
      <c r="J5" s="52"/>
    </row>
    <row r="6" spans="1:10" ht="18" customHeight="1" x14ac:dyDescent="0.25">
      <c r="A6" s="54" t="s">
        <v>179</v>
      </c>
      <c r="B6" s="14">
        <v>1000000</v>
      </c>
      <c r="C6" s="55">
        <v>3.9E-2</v>
      </c>
      <c r="D6" s="13">
        <v>46118</v>
      </c>
      <c r="E6" s="13">
        <v>46297</v>
      </c>
      <c r="F6" s="56">
        <f>IFERROR(E6-D6,0)</f>
        <v>179</v>
      </c>
      <c r="G6" s="57">
        <f>IFERROR(B6*(C6/365)*F6,0)</f>
        <v>19126.027397260274</v>
      </c>
      <c r="H6" s="58">
        <f>IFERROR(B6+G6,0)</f>
        <v>1019126.0273972603</v>
      </c>
      <c r="I6" s="59">
        <f ca="1">IFERROR(E6-TODAY(),"Vencido")</f>
        <v>129</v>
      </c>
      <c r="J6" s="51"/>
    </row>
    <row r="7" spans="1:10" ht="18" customHeight="1" x14ac:dyDescent="0.25">
      <c r="A7" s="54" t="s">
        <v>179</v>
      </c>
      <c r="B7" s="14">
        <v>1000000</v>
      </c>
      <c r="C7" s="55">
        <v>5.9499999999999997E-2</v>
      </c>
      <c r="D7" s="13">
        <v>46079</v>
      </c>
      <c r="E7" s="13">
        <v>46259</v>
      </c>
      <c r="F7" s="56">
        <f>IFERROR(E7-D7,0)</f>
        <v>180</v>
      </c>
      <c r="G7" s="57">
        <f>IFERROR(B7*(C7/365)*F7,0)</f>
        <v>29342.465753424651</v>
      </c>
      <c r="H7" s="58">
        <f>IFERROR(B7+G7,0)</f>
        <v>1029342.4657534247</v>
      </c>
      <c r="I7" s="59">
        <f ca="1">IFERROR(E7-TODAY(),"Vencido")</f>
        <v>91</v>
      </c>
      <c r="J7" s="52"/>
    </row>
    <row r="8" spans="1:10" ht="18" customHeight="1" x14ac:dyDescent="0.25">
      <c r="A8" s="54" t="s">
        <v>181</v>
      </c>
      <c r="B8" s="14">
        <v>1000000</v>
      </c>
      <c r="C8" s="55">
        <v>0.05</v>
      </c>
      <c r="D8" s="13">
        <v>46048</v>
      </c>
      <c r="E8" s="13">
        <v>46227</v>
      </c>
      <c r="F8" s="56">
        <f t="shared" ref="F8:F14" si="0">IFERROR(E8-D8,0)</f>
        <v>179</v>
      </c>
      <c r="G8" s="57">
        <f t="shared" ref="G8:G14" si="1">IFERROR(B8*(C8/365)*F8,0)</f>
        <v>24520.547945205486</v>
      </c>
      <c r="H8" s="58">
        <f t="shared" ref="H8:H14" si="2">IFERROR(B8+G8,0)</f>
        <v>1024520.5479452055</v>
      </c>
      <c r="I8" s="59">
        <f t="shared" ref="I8:I14" ca="1" si="3">IFERROR(E8-TODAY(),"Vencido")</f>
        <v>59</v>
      </c>
      <c r="J8" s="52"/>
    </row>
    <row r="9" spans="1:10" ht="18" customHeight="1" x14ac:dyDescent="0.25">
      <c r="A9" s="54" t="s">
        <v>181</v>
      </c>
      <c r="B9" s="14">
        <v>1000000</v>
      </c>
      <c r="C9" s="55">
        <v>3.2500000000000001E-2</v>
      </c>
      <c r="D9" s="13">
        <v>46013</v>
      </c>
      <c r="E9" s="13">
        <v>46178</v>
      </c>
      <c r="F9" s="56">
        <f t="shared" si="0"/>
        <v>165</v>
      </c>
      <c r="G9" s="57">
        <f t="shared" si="1"/>
        <v>14691.780821917808</v>
      </c>
      <c r="H9" s="58">
        <f t="shared" si="2"/>
        <v>1014691.7808219178</v>
      </c>
      <c r="I9" s="59">
        <f t="shared" ca="1" si="3"/>
        <v>10</v>
      </c>
      <c r="J9" s="52"/>
    </row>
    <row r="10" spans="1:10" ht="18" customHeight="1" x14ac:dyDescent="0.25">
      <c r="A10" s="54" t="s">
        <v>181</v>
      </c>
      <c r="B10" s="14">
        <v>1000000</v>
      </c>
      <c r="C10" s="55">
        <v>3.2500000000000001E-2</v>
      </c>
      <c r="D10" s="13">
        <v>45860</v>
      </c>
      <c r="E10" s="13">
        <v>46185</v>
      </c>
      <c r="F10" s="56">
        <f t="shared" si="0"/>
        <v>325</v>
      </c>
      <c r="G10" s="57">
        <f t="shared" si="1"/>
        <v>28938.35616438356</v>
      </c>
      <c r="H10" s="58">
        <f t="shared" si="2"/>
        <v>1028938.3561643836</v>
      </c>
      <c r="I10" s="59">
        <f t="shared" ca="1" si="3"/>
        <v>17</v>
      </c>
      <c r="J10" s="52"/>
    </row>
    <row r="11" spans="1:10" ht="18" customHeight="1" x14ac:dyDescent="0.25">
      <c r="A11" s="54" t="s">
        <v>181</v>
      </c>
      <c r="B11" s="14">
        <v>1000000</v>
      </c>
      <c r="C11" s="55">
        <v>3.2500000000000001E-2</v>
      </c>
      <c r="D11" s="13">
        <v>45860</v>
      </c>
      <c r="E11" s="13">
        <v>46192</v>
      </c>
      <c r="F11" s="56">
        <f t="shared" si="0"/>
        <v>332</v>
      </c>
      <c r="G11" s="57">
        <f t="shared" si="1"/>
        <v>29561.643835616436</v>
      </c>
      <c r="H11" s="58">
        <f t="shared" si="2"/>
        <v>1029561.6438356164</v>
      </c>
      <c r="I11" s="59">
        <f t="shared" ca="1" si="3"/>
        <v>24</v>
      </c>
      <c r="J11" s="52"/>
    </row>
    <row r="12" spans="1:10" ht="18" customHeight="1" x14ac:dyDescent="0.25">
      <c r="A12" s="54" t="s">
        <v>181</v>
      </c>
      <c r="B12" s="14">
        <v>1000000</v>
      </c>
      <c r="C12" s="55">
        <v>0.04</v>
      </c>
      <c r="D12" s="13">
        <v>46136</v>
      </c>
      <c r="E12" s="13">
        <v>46255</v>
      </c>
      <c r="F12" s="56">
        <f t="shared" si="0"/>
        <v>119</v>
      </c>
      <c r="G12" s="57">
        <f t="shared" si="1"/>
        <v>13041.095890410959</v>
      </c>
      <c r="H12" s="58">
        <f t="shared" si="2"/>
        <v>1013041.0958904109</v>
      </c>
      <c r="I12" s="59">
        <f t="shared" ca="1" si="3"/>
        <v>87</v>
      </c>
      <c r="J12" s="52"/>
    </row>
    <row r="13" spans="1:10" ht="18" customHeight="1" x14ac:dyDescent="0.25">
      <c r="A13" s="54" t="s">
        <v>181</v>
      </c>
      <c r="B13" s="14">
        <v>1000000</v>
      </c>
      <c r="C13" s="55">
        <v>3.9E-2</v>
      </c>
      <c r="D13" s="13">
        <v>46090</v>
      </c>
      <c r="E13" s="13">
        <v>46269</v>
      </c>
      <c r="F13" s="56">
        <f t="shared" si="0"/>
        <v>179</v>
      </c>
      <c r="G13" s="57">
        <f t="shared" si="1"/>
        <v>19126.027397260274</v>
      </c>
      <c r="H13" s="58">
        <f t="shared" si="2"/>
        <v>1019126.0273972603</v>
      </c>
      <c r="I13" s="59">
        <f t="shared" ca="1" si="3"/>
        <v>101</v>
      </c>
      <c r="J13" s="52"/>
    </row>
    <row r="14" spans="1:10" ht="18" customHeight="1" x14ac:dyDescent="0.25">
      <c r="A14" s="54" t="s">
        <v>181</v>
      </c>
      <c r="B14" s="14">
        <v>1000000</v>
      </c>
      <c r="C14" s="55">
        <v>3.9E-2</v>
      </c>
      <c r="D14" s="13">
        <v>46153</v>
      </c>
      <c r="E14" s="13">
        <v>46333</v>
      </c>
      <c r="F14" s="56">
        <f t="shared" si="0"/>
        <v>180</v>
      </c>
      <c r="G14" s="57">
        <f t="shared" si="1"/>
        <v>19232.876712328769</v>
      </c>
      <c r="H14" s="58">
        <f t="shared" si="2"/>
        <v>1019232.8767123288</v>
      </c>
      <c r="I14" s="59">
        <f t="shared" ca="1" si="3"/>
        <v>165</v>
      </c>
      <c r="J14" s="52"/>
    </row>
    <row r="15" spans="1:10" ht="19.5" customHeight="1" x14ac:dyDescent="0.25">
      <c r="A15" s="41" t="s">
        <v>155</v>
      </c>
      <c r="B15" s="60">
        <f>SUM(B5:B14)</f>
        <v>10000000</v>
      </c>
      <c r="C15" s="42"/>
      <c r="D15" s="42"/>
      <c r="E15" s="42"/>
      <c r="F15" s="42"/>
      <c r="G15" s="60">
        <f>SUM(G5:G14)</f>
        <v>219772.60273972608</v>
      </c>
      <c r="H15" s="60">
        <f>SUM(H5:H14)</f>
        <v>10219772.602739725</v>
      </c>
      <c r="I15" s="42"/>
      <c r="J15" s="42"/>
    </row>
    <row r="16" spans="1:10" ht="18" customHeight="1" x14ac:dyDescent="0.25">
      <c r="A16" s="44"/>
      <c r="B16" s="61"/>
      <c r="C16" s="62"/>
      <c r="D16" s="46"/>
      <c r="E16" s="46"/>
      <c r="F16" s="63">
        <f>IFERROR(E16-D16,0)</f>
        <v>0</v>
      </c>
      <c r="G16" s="64">
        <f>IFERROR(B16*(C16/365)*F16,0)</f>
        <v>0</v>
      </c>
      <c r="H16" s="64">
        <f>IFERROR(B16+G16,0)</f>
        <v>0</v>
      </c>
      <c r="I16" s="63">
        <f ca="1">IFERROR(E16-TODAY(),"")</f>
        <v>-46168</v>
      </c>
      <c r="J16" s="44"/>
    </row>
    <row r="17" spans="1:10" ht="18" customHeight="1" x14ac:dyDescent="0.25">
      <c r="A17" s="44"/>
      <c r="B17" s="61"/>
      <c r="C17" s="62"/>
      <c r="D17" s="46"/>
      <c r="E17" s="46"/>
      <c r="F17" s="63">
        <f>IFERROR(E17-D17,0)</f>
        <v>0</v>
      </c>
      <c r="G17" s="64">
        <f>IFERROR(B17*(C17/365)*F17,0)</f>
        <v>0</v>
      </c>
      <c r="H17" s="64">
        <f>IFERROR(B17+G17,0)</f>
        <v>0</v>
      </c>
      <c r="I17" s="63">
        <f ca="1">IFERROR(E17-TODAY(),"")</f>
        <v>-46168</v>
      </c>
      <c r="J17" s="44"/>
    </row>
    <row r="18" spans="1:10" ht="18" customHeight="1" x14ac:dyDescent="0.25">
      <c r="A18" s="44"/>
      <c r="B18" s="61"/>
      <c r="C18" s="62"/>
      <c r="D18" s="46"/>
      <c r="E18" s="46"/>
      <c r="F18" s="63">
        <f>IFERROR(E18-D18,0)</f>
        <v>0</v>
      </c>
      <c r="G18" s="64">
        <f>IFERROR(B18*(C18/365)*F18,0)</f>
        <v>0</v>
      </c>
      <c r="H18" s="64">
        <f>IFERROR(B18+G18,0)</f>
        <v>0</v>
      </c>
      <c r="I18" s="63">
        <f ca="1">IFERROR(E18-TODAY(),"")</f>
        <v>-46168</v>
      </c>
      <c r="J18" s="44"/>
    </row>
    <row r="19" spans="1:10" ht="18" customHeight="1" x14ac:dyDescent="0.25">
      <c r="A19" s="44"/>
      <c r="B19" s="61"/>
      <c r="C19" s="62"/>
      <c r="D19" s="46"/>
      <c r="E19" s="46"/>
      <c r="F19" s="63">
        <f>IFERROR(E19-D19,0)</f>
        <v>0</v>
      </c>
      <c r="G19" s="64">
        <f>IFERROR(B19*(C19/365)*F19,0)</f>
        <v>0</v>
      </c>
      <c r="H19" s="64">
        <f>IFERROR(B19+G19,0)</f>
        <v>0</v>
      </c>
      <c r="I19" s="63">
        <f ca="1">IFERROR(E19-TODAY(),"")</f>
        <v>-46168</v>
      </c>
      <c r="J19" s="44"/>
    </row>
    <row r="20" spans="1:10" ht="18" customHeight="1" x14ac:dyDescent="0.25">
      <c r="A20" s="44"/>
      <c r="B20" s="61"/>
      <c r="C20" s="62"/>
      <c r="D20" s="46"/>
      <c r="E20" s="46"/>
      <c r="F20" s="63">
        <f>IFERROR(E20-D20,0)</f>
        <v>0</v>
      </c>
      <c r="G20" s="64">
        <f>IFERROR(B20*(C20/365)*F20,0)</f>
        <v>0</v>
      </c>
      <c r="H20" s="64">
        <f>IFERROR(B20+G20,0)</f>
        <v>0</v>
      </c>
      <c r="I20" s="63">
        <f ca="1">IFERROR(E20-TODAY(),"")</f>
        <v>-46168</v>
      </c>
      <c r="J20" s="44"/>
    </row>
    <row r="22" spans="1:10" x14ac:dyDescent="0.25">
      <c r="A22" s="79" t="s">
        <v>180</v>
      </c>
      <c r="B22" s="79"/>
      <c r="C22" s="79"/>
      <c r="D22" s="79"/>
      <c r="E22" s="79"/>
      <c r="F22" s="79"/>
      <c r="G22" s="79"/>
      <c r="H22" s="79"/>
      <c r="I22" s="79"/>
      <c r="J22" s="79"/>
    </row>
    <row r="26" spans="1:10" x14ac:dyDescent="0.25">
      <c r="D26" s="66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2026-05-26T18:33:20Z</dcterms:modified>
  <dc:language>en-US</dc:language>
</cp:coreProperties>
</file>