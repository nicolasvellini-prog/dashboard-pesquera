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0328F98F-3CBD-4E83-BC44-6612D7EE7460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CHEQUES!$A$3:$K$29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82" i="2" l="1"/>
  <c r="AH182" i="2"/>
  <c r="AG182" i="2"/>
  <c r="AF182" i="2"/>
  <c r="AE182" i="2"/>
  <c r="AD182" i="2"/>
  <c r="AC182" i="2"/>
  <c r="AB182" i="2"/>
  <c r="AA182" i="2"/>
  <c r="Z182" i="2"/>
  <c r="Y182" i="2"/>
  <c r="X182" i="2"/>
  <c r="L182" i="2"/>
  <c r="J182" i="2"/>
  <c r="I182" i="2"/>
  <c r="H182" i="2"/>
  <c r="G182" i="2"/>
  <c r="F182" i="2"/>
  <c r="E182" i="2"/>
  <c r="D182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Q181" i="2"/>
  <c r="P181" i="2"/>
  <c r="J181" i="2"/>
  <c r="I181" i="2"/>
  <c r="G181" i="2"/>
  <c r="F181" i="2"/>
  <c r="E181" i="2"/>
  <c r="D181" i="2"/>
  <c r="AI180" i="2"/>
  <c r="AI179" i="2"/>
  <c r="AH180" i="2"/>
  <c r="AH179" i="2"/>
  <c r="AG180" i="2"/>
  <c r="AG179" i="2"/>
  <c r="AF180" i="2"/>
  <c r="AF179" i="2"/>
  <c r="AE180" i="2"/>
  <c r="AE179" i="2"/>
  <c r="AD180" i="2"/>
  <c r="AD179" i="2"/>
  <c r="AC180" i="2"/>
  <c r="AC179" i="2"/>
  <c r="AB180" i="2"/>
  <c r="AB179" i="2"/>
  <c r="Z180" i="2"/>
  <c r="Z179" i="2"/>
  <c r="D296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6" i="8"/>
  <c r="D7" i="8"/>
  <c r="C150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4" i="7"/>
  <c r="AI178" i="2"/>
  <c r="AI177" i="2"/>
  <c r="AI176" i="2"/>
  <c r="AI175" i="2"/>
  <c r="AH178" i="2"/>
  <c r="AH177" i="2"/>
  <c r="AH176" i="2"/>
  <c r="AH175" i="2"/>
  <c r="AG175" i="2"/>
  <c r="AG176" i="2" s="1"/>
  <c r="AG177" i="2" s="1"/>
  <c r="AG178" i="2" s="1"/>
  <c r="AF178" i="2"/>
  <c r="AF177" i="2"/>
  <c r="AF176" i="2"/>
  <c r="AF175" i="2"/>
  <c r="AD178" i="2"/>
  <c r="AD177" i="2"/>
  <c r="AD176" i="2"/>
  <c r="AD175" i="2"/>
  <c r="AC178" i="2"/>
  <c r="AC177" i="2"/>
  <c r="AC176" i="2"/>
  <c r="AC175" i="2"/>
  <c r="AI174" i="2"/>
  <c r="AI173" i="2"/>
  <c r="AI172" i="2"/>
  <c r="AI171" i="2"/>
  <c r="AI170" i="2"/>
  <c r="AH174" i="2"/>
  <c r="AH173" i="2"/>
  <c r="AH172" i="2"/>
  <c r="AH171" i="2"/>
  <c r="AH170" i="2"/>
  <c r="A170" i="2"/>
  <c r="A171" i="2" s="1"/>
  <c r="A172" i="2" s="1"/>
  <c r="A173" i="2" s="1"/>
  <c r="AI169" i="2"/>
  <c r="AH169" i="2"/>
  <c r="AG169" i="2"/>
  <c r="AG170" i="2" s="1"/>
  <c r="AG171" i="2" s="1"/>
  <c r="AG172" i="2" s="1"/>
  <c r="AG173" i="2" s="1"/>
  <c r="AG174" i="2" s="1"/>
  <c r="AF169" i="2"/>
  <c r="AC169" i="2"/>
  <c r="AC170" i="2" s="1"/>
  <c r="AC171" i="2" s="1"/>
  <c r="AC172" i="2" s="1"/>
  <c r="AC173" i="2" s="1"/>
  <c r="AC174" i="2" s="1"/>
  <c r="AA169" i="2"/>
  <c r="Z169" i="2"/>
  <c r="Z170" i="2" s="1"/>
  <c r="Z171" i="2" s="1"/>
  <c r="Z172" i="2" s="1"/>
  <c r="Z173" i="2" s="1"/>
  <c r="Z174" i="2" s="1"/>
  <c r="Z175" i="2" s="1"/>
  <c r="Z176" i="2" s="1"/>
  <c r="Z177" i="2" s="1"/>
  <c r="Z178" i="2" s="1"/>
  <c r="Y169" i="2"/>
  <c r="X169" i="2"/>
  <c r="V169" i="2"/>
  <c r="Q169" i="2"/>
  <c r="P169" i="2"/>
  <c r="J169" i="2"/>
  <c r="I169" i="2"/>
  <c r="H169" i="2"/>
  <c r="G169" i="2"/>
  <c r="F169" i="2"/>
  <c r="E169" i="2"/>
  <c r="D169" i="2"/>
  <c r="AI168" i="2"/>
  <c r="AI167" i="2"/>
  <c r="AH168" i="2"/>
  <c r="AH167" i="2"/>
  <c r="AG168" i="2"/>
  <c r="AG167" i="2"/>
  <c r="AF168" i="2"/>
  <c r="AF167" i="2"/>
  <c r="AC168" i="2"/>
  <c r="AC167" i="2"/>
  <c r="Z168" i="2"/>
  <c r="Z167" i="2"/>
  <c r="AI166" i="2"/>
  <c r="AH166" i="2"/>
  <c r="AF166" i="2"/>
  <c r="AD166" i="2"/>
  <c r="AD167" i="2" s="1"/>
  <c r="AD168" i="2" s="1"/>
  <c r="AD169" i="2" s="1"/>
  <c r="AD170" i="2" s="1"/>
  <c r="AD171" i="2" s="1"/>
  <c r="AD172" i="2" s="1"/>
  <c r="AD173" i="2" s="1"/>
  <c r="AD174" i="2" s="1"/>
  <c r="AC166" i="2"/>
  <c r="AA166" i="2"/>
  <c r="Y166" i="2"/>
  <c r="X166" i="2"/>
  <c r="Q166" i="2"/>
  <c r="P166" i="2"/>
  <c r="J166" i="2"/>
  <c r="I166" i="2"/>
  <c r="H166" i="2"/>
  <c r="G166" i="2"/>
  <c r="F166" i="2"/>
  <c r="E166" i="2"/>
  <c r="D166" i="2"/>
  <c r="AI165" i="2"/>
  <c r="AH165" i="2"/>
  <c r="AF165" i="2"/>
  <c r="AD165" i="2"/>
  <c r="AC165" i="2"/>
  <c r="AA165" i="2"/>
  <c r="Y165" i="2"/>
  <c r="X165" i="2"/>
  <c r="Q165" i="2"/>
  <c r="P165" i="2"/>
  <c r="L165" i="2"/>
  <c r="J165" i="2"/>
  <c r="I165" i="2"/>
  <c r="H165" i="2"/>
  <c r="G165" i="2"/>
  <c r="F165" i="2"/>
  <c r="E165" i="2"/>
  <c r="D165" i="2"/>
  <c r="B165" i="2"/>
  <c r="AI164" i="2"/>
  <c r="AH164" i="2"/>
  <c r="AF164" i="2"/>
  <c r="AD164" i="2"/>
  <c r="AC164" i="2"/>
  <c r="AA164" i="2"/>
  <c r="Y164" i="2"/>
  <c r="X164" i="2"/>
  <c r="Q164" i="2"/>
  <c r="P164" i="2"/>
  <c r="J164" i="2"/>
  <c r="I164" i="2"/>
  <c r="H164" i="2"/>
  <c r="G164" i="2"/>
  <c r="F164" i="2"/>
  <c r="E164" i="2"/>
  <c r="D164" i="2"/>
  <c r="AI163" i="2"/>
  <c r="AH163" i="2"/>
  <c r="AG163" i="2"/>
  <c r="AG164" i="2" s="1"/>
  <c r="AG165" i="2" s="1"/>
  <c r="AG166" i="2" s="1"/>
  <c r="AF163" i="2"/>
  <c r="AD163" i="2"/>
  <c r="AC163" i="2"/>
  <c r="AA163" i="2"/>
  <c r="Z163" i="2"/>
  <c r="Z164" i="2" s="1"/>
  <c r="Z165" i="2" s="1"/>
  <c r="Z166" i="2" s="1"/>
  <c r="Y163" i="2"/>
  <c r="X163" i="2"/>
  <c r="Q163" i="2"/>
  <c r="P163" i="2"/>
  <c r="J163" i="2"/>
  <c r="I163" i="2"/>
  <c r="H163" i="2"/>
  <c r="G163" i="2"/>
  <c r="F163" i="2"/>
  <c r="E163" i="2"/>
  <c r="D163" i="2"/>
  <c r="AJ162" i="2"/>
  <c r="AI162" i="2"/>
  <c r="AH162" i="2"/>
  <c r="AG162" i="2"/>
  <c r="AF162" i="2"/>
  <c r="AD162" i="2"/>
  <c r="AC162" i="2"/>
  <c r="AA162" i="2"/>
  <c r="Z162" i="2"/>
  <c r="Y162" i="2"/>
  <c r="X162" i="2"/>
  <c r="U162" i="2"/>
  <c r="Q162" i="2"/>
  <c r="P162" i="2"/>
  <c r="L162" i="2"/>
  <c r="J162" i="2"/>
  <c r="I162" i="2"/>
  <c r="H162" i="2"/>
  <c r="G162" i="2"/>
  <c r="F162" i="2"/>
  <c r="E162" i="2"/>
  <c r="D162" i="2"/>
  <c r="C296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AJ161" i="2"/>
  <c r="AI161" i="2"/>
  <c r="AH161" i="2"/>
  <c r="AF161" i="2"/>
  <c r="AD161" i="2"/>
  <c r="AC161" i="2"/>
  <c r="AB161" i="2"/>
  <c r="AB162" i="2" s="1"/>
  <c r="AB163" i="2" s="1"/>
  <c r="AB164" i="2" s="1"/>
  <c r="AB165" i="2" s="1"/>
  <c r="AB166" i="2" s="1"/>
  <c r="AB167" i="2" s="1"/>
  <c r="AB168" i="2" s="1"/>
  <c r="AB169" i="2" s="1"/>
  <c r="AB170" i="2" s="1"/>
  <c r="AB171" i="2" s="1"/>
  <c r="AB172" i="2" s="1"/>
  <c r="AB173" i="2" s="1"/>
  <c r="AB174" i="2" s="1"/>
  <c r="AA161" i="2"/>
  <c r="Y161" i="2"/>
  <c r="X161" i="2"/>
  <c r="Q161" i="2"/>
  <c r="P161" i="2"/>
  <c r="L161" i="2"/>
  <c r="J161" i="2"/>
  <c r="I161" i="2"/>
  <c r="H161" i="2"/>
  <c r="G161" i="2"/>
  <c r="F161" i="2"/>
  <c r="E161" i="2"/>
  <c r="D161" i="2"/>
  <c r="AI160" i="2"/>
  <c r="AH160" i="2"/>
  <c r="AF160" i="2"/>
  <c r="AE160" i="2"/>
  <c r="AD160" i="2"/>
  <c r="AC160" i="2"/>
  <c r="AA160" i="2"/>
  <c r="Y160" i="2"/>
  <c r="X160" i="2"/>
  <c r="V160" i="2"/>
  <c r="Q160" i="2"/>
  <c r="J160" i="2"/>
  <c r="I160" i="2"/>
  <c r="H160" i="2"/>
  <c r="G160" i="2"/>
  <c r="F160" i="2"/>
  <c r="E160" i="2"/>
  <c r="D160" i="2"/>
  <c r="B160" i="2"/>
  <c r="A160" i="2"/>
  <c r="AI159" i="2"/>
  <c r="AI158" i="2"/>
  <c r="AH159" i="2"/>
  <c r="AH158" i="2"/>
  <c r="AF159" i="2"/>
  <c r="AF158" i="2"/>
  <c r="AE159" i="2"/>
  <c r="AE158" i="2"/>
  <c r="AD159" i="2"/>
  <c r="AD158" i="2"/>
  <c r="AC159" i="2"/>
  <c r="AC158" i="2"/>
  <c r="Z157" i="2"/>
  <c r="Z158" i="2" s="1"/>
  <c r="Z159" i="2" s="1"/>
  <c r="Z160" i="2" s="1"/>
  <c r="Z161" i="2" s="1"/>
  <c r="AA157" i="2"/>
  <c r="A158" i="2"/>
  <c r="A159" i="2" s="1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AI157" i="2"/>
  <c r="AH157" i="2"/>
  <c r="AG157" i="2"/>
  <c r="AG158" i="2" s="1"/>
  <c r="AG159" i="2" s="1"/>
  <c r="AG160" i="2" s="1"/>
  <c r="AG161" i="2" s="1"/>
  <c r="AF157" i="2"/>
  <c r="AE157" i="2"/>
  <c r="AD151" i="2"/>
  <c r="AD152" i="2" s="1"/>
  <c r="AD153" i="2" s="1"/>
  <c r="AD154" i="2" s="1"/>
  <c r="AD155" i="2" s="1"/>
  <c r="AD156" i="2" s="1"/>
  <c r="AD157" i="2" s="1"/>
  <c r="AB157" i="2"/>
  <c r="AB158" i="2" s="1"/>
  <c r="AB159" i="2" s="1"/>
  <c r="AB160" i="2" s="1"/>
  <c r="Y157" i="2"/>
  <c r="X157" i="2"/>
  <c r="U157" i="2"/>
  <c r="Q157" i="2"/>
  <c r="L157" i="2"/>
  <c r="J157" i="2"/>
  <c r="I157" i="2"/>
  <c r="H157" i="2"/>
  <c r="G157" i="2"/>
  <c r="F157" i="2"/>
  <c r="E157" i="2"/>
  <c r="F21" i="9"/>
  <c r="G21" i="9" s="1"/>
  <c r="H21" i="9" s="1"/>
  <c r="I21" i="9"/>
  <c r="B22" i="9"/>
  <c r="F5" i="9"/>
  <c r="G5" i="9" s="1"/>
  <c r="H5" i="9" s="1"/>
  <c r="F6" i="9"/>
  <c r="F7" i="9"/>
  <c r="F8" i="9"/>
  <c r="F9" i="9"/>
  <c r="F10" i="9"/>
  <c r="F11" i="9"/>
  <c r="F12" i="9"/>
  <c r="F13" i="9"/>
  <c r="F14" i="9"/>
  <c r="G14" i="9" s="1"/>
  <c r="F15" i="9"/>
  <c r="G15" i="9" s="1"/>
  <c r="H15" i="9" s="1"/>
  <c r="F16" i="9"/>
  <c r="G16" i="9" s="1"/>
  <c r="H16" i="9" s="1"/>
  <c r="F17" i="9"/>
  <c r="G17" i="9" s="1"/>
  <c r="F18" i="9"/>
  <c r="G18" i="9" s="1"/>
  <c r="H18" i="9" s="1"/>
  <c r="F19" i="9"/>
  <c r="G19" i="9" s="1"/>
  <c r="H19" i="9" s="1"/>
  <c r="F20" i="9"/>
  <c r="G20" i="9" s="1"/>
  <c r="H20" i="9" s="1"/>
  <c r="I16" i="9"/>
  <c r="AI156" i="2"/>
  <c r="AI155" i="2"/>
  <c r="AH156" i="2"/>
  <c r="AH155" i="2"/>
  <c r="AG156" i="2"/>
  <c r="AG155" i="2"/>
  <c r="AF156" i="2"/>
  <c r="AF155" i="2"/>
  <c r="AE156" i="2"/>
  <c r="AE155" i="2"/>
  <c r="AB156" i="2"/>
  <c r="AB155" i="2"/>
  <c r="AA155" i="2"/>
  <c r="Z156" i="2"/>
  <c r="Z155" i="2"/>
  <c r="A155" i="2"/>
  <c r="A156" i="2" s="1"/>
  <c r="AJ153" i="2"/>
  <c r="AI154" i="2"/>
  <c r="AI153" i="2"/>
  <c r="AH154" i="2"/>
  <c r="AH153" i="2"/>
  <c r="AF154" i="2"/>
  <c r="AF153" i="2"/>
  <c r="AE154" i="2"/>
  <c r="AE153" i="2"/>
  <c r="AB154" i="2"/>
  <c r="AB153" i="2"/>
  <c r="A153" i="2"/>
  <c r="A154" i="2" s="1"/>
  <c r="AJ152" i="2"/>
  <c r="AI152" i="2"/>
  <c r="AH152" i="2"/>
  <c r="AF152" i="2"/>
  <c r="AE152" i="2"/>
  <c r="AC152" i="2"/>
  <c r="AC153" i="2" s="1"/>
  <c r="AC154" i="2" s="1"/>
  <c r="AC155" i="2" s="1"/>
  <c r="AC156" i="2" s="1"/>
  <c r="AC157" i="2" s="1"/>
  <c r="AB152" i="2"/>
  <c r="AA152" i="2"/>
  <c r="Y152" i="2"/>
  <c r="X152" i="2"/>
  <c r="Q152" i="2"/>
  <c r="O152" i="2"/>
  <c r="L152" i="2"/>
  <c r="J152" i="2"/>
  <c r="I152" i="2"/>
  <c r="H152" i="2"/>
  <c r="G152" i="2"/>
  <c r="F152" i="2"/>
  <c r="E152" i="2"/>
  <c r="D152" i="2"/>
  <c r="AJ151" i="2"/>
  <c r="AI151" i="2"/>
  <c r="AH151" i="2"/>
  <c r="AG151" i="2"/>
  <c r="AG152" i="2" s="1"/>
  <c r="AG153" i="2" s="1"/>
  <c r="AG154" i="2" s="1"/>
  <c r="AF151" i="2"/>
  <c r="AE151" i="2"/>
  <c r="AB151" i="2"/>
  <c r="AA151" i="2"/>
  <c r="Z151" i="2"/>
  <c r="Z152" i="2" s="1"/>
  <c r="Z153" i="2" s="1"/>
  <c r="Z154" i="2" s="1"/>
  <c r="Y151" i="2"/>
  <c r="X151" i="2"/>
  <c r="Q151" i="2"/>
  <c r="P151" i="2"/>
  <c r="L151" i="2"/>
  <c r="J151" i="2"/>
  <c r="I151" i="2"/>
  <c r="H151" i="2"/>
  <c r="G151" i="2"/>
  <c r="F151" i="2"/>
  <c r="E151" i="2"/>
  <c r="D151" i="2"/>
  <c r="AI150" i="2"/>
  <c r="AH150" i="2"/>
  <c r="AI149" i="2"/>
  <c r="AH149" i="2"/>
  <c r="AG150" i="2"/>
  <c r="AG149" i="2"/>
  <c r="AF150" i="2"/>
  <c r="AF149" i="2"/>
  <c r="AE150" i="2"/>
  <c r="AE149" i="2"/>
  <c r="AD150" i="2"/>
  <c r="AD149" i="2"/>
  <c r="AB150" i="2"/>
  <c r="AB149" i="2"/>
  <c r="Z150" i="2"/>
  <c r="Z149" i="2"/>
  <c r="AI148" i="2"/>
  <c r="AH148" i="2"/>
  <c r="AF148" i="2"/>
  <c r="AE148" i="2"/>
  <c r="AD148" i="2"/>
  <c r="AC148" i="2"/>
  <c r="AB148" i="2"/>
  <c r="AA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G148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Z148" i="2" s="1"/>
  <c r="L146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I20" i="9"/>
  <c r="I19" i="9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8" i="9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I17" i="9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I9" i="9"/>
  <c r="I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7" i="9" l="1"/>
  <c r="D5" i="8"/>
  <c r="H14" i="9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G12" i="9"/>
  <c r="H12" i="9" s="1"/>
  <c r="I12" i="9"/>
  <c r="I10" i="9"/>
  <c r="I11" i="9"/>
  <c r="G11" i="9"/>
  <c r="H11" i="9" s="1"/>
  <c r="I5" i="9"/>
  <c r="G6" i="9"/>
  <c r="I6" i="9"/>
  <c r="G7" i="9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6" i="9" l="1"/>
  <c r="G22" i="9"/>
  <c r="AE161" i="2" s="1"/>
  <c r="AE162" i="2" s="1"/>
  <c r="AE163" i="2" s="1"/>
  <c r="AE164" i="2" s="1"/>
  <c r="AE165" i="2" s="1"/>
  <c r="E46" i="8"/>
  <c r="E22" i="8"/>
  <c r="E39" i="8"/>
  <c r="E45" i="8"/>
  <c r="E49" i="8"/>
  <c r="E52" i="8"/>
  <c r="E55" i="8"/>
  <c r="E6" i="8"/>
  <c r="E8" i="8"/>
  <c r="E9" i="8"/>
  <c r="E11" i="8"/>
  <c r="E12" i="8"/>
  <c r="E13" i="8"/>
  <c r="E14" i="8"/>
  <c r="E15" i="8"/>
  <c r="E16" i="8"/>
  <c r="E17" i="8"/>
  <c r="E18" i="8"/>
  <c r="E19" i="8"/>
  <c r="E21" i="8"/>
  <c r="E24" i="8"/>
  <c r="E26" i="8"/>
  <c r="E28" i="8"/>
  <c r="E30" i="8"/>
  <c r="E32" i="8"/>
  <c r="E34" i="8"/>
  <c r="E36" i="8"/>
  <c r="E38" i="8"/>
  <c r="E40" i="8"/>
  <c r="E43" i="8"/>
  <c r="E48" i="8"/>
  <c r="E51" i="8"/>
  <c r="E54" i="8"/>
  <c r="E57" i="8"/>
  <c r="E10" i="8"/>
  <c r="E20" i="8"/>
  <c r="E23" i="8"/>
  <c r="E25" i="8"/>
  <c r="E27" i="8"/>
  <c r="E29" i="8"/>
  <c r="E31" i="8"/>
  <c r="E33" i="8"/>
  <c r="E35" i="8"/>
  <c r="E37" i="8"/>
  <c r="E41" i="8"/>
  <c r="E42" i="8"/>
  <c r="E44" i="8"/>
  <c r="E47" i="8"/>
  <c r="E50" i="8"/>
  <c r="E53" i="8"/>
  <c r="E56" i="8"/>
  <c r="E7" i="8"/>
  <c r="H22" i="9"/>
  <c r="AG112" i="2"/>
  <c r="C112" i="6" s="1"/>
  <c r="AG113" i="2"/>
  <c r="G10" i="9"/>
  <c r="H13" i="9"/>
  <c r="I27" i="9"/>
  <c r="F27" i="9"/>
  <c r="G27" i="9" s="1"/>
  <c r="H27" i="9" s="1"/>
  <c r="I26" i="9"/>
  <c r="F26" i="9"/>
  <c r="G26" i="9" s="1"/>
  <c r="H26" i="9" s="1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F155" i="7"/>
  <c r="F154" i="7"/>
  <c r="F153" i="7"/>
  <c r="F152" i="7"/>
  <c r="F151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E182" i="6"/>
  <c r="D182" i="6"/>
  <c r="C182" i="6"/>
  <c r="B182" i="6"/>
  <c r="A182" i="6"/>
  <c r="E181" i="6"/>
  <c r="D181" i="6"/>
  <c r="C181" i="6"/>
  <c r="B181" i="6"/>
  <c r="A181" i="6"/>
  <c r="E180" i="6"/>
  <c r="D180" i="6"/>
  <c r="C180" i="6"/>
  <c r="B180" i="6"/>
  <c r="A180" i="6"/>
  <c r="E179" i="6"/>
  <c r="D179" i="6"/>
  <c r="C179" i="6"/>
  <c r="B179" i="6"/>
  <c r="A179" i="6"/>
  <c r="E178" i="6"/>
  <c r="D178" i="6"/>
  <c r="C178" i="6"/>
  <c r="B178" i="6"/>
  <c r="A178" i="6"/>
  <c r="E177" i="6"/>
  <c r="D177" i="6"/>
  <c r="C177" i="6"/>
  <c r="B177" i="6"/>
  <c r="A177" i="6"/>
  <c r="E176" i="6"/>
  <c r="D176" i="6"/>
  <c r="C176" i="6"/>
  <c r="B176" i="6"/>
  <c r="A176" i="6"/>
  <c r="E175" i="6"/>
  <c r="D175" i="6"/>
  <c r="C175" i="6"/>
  <c r="B175" i="6"/>
  <c r="A175" i="6"/>
  <c r="D174" i="6"/>
  <c r="C174" i="6"/>
  <c r="B174" i="6"/>
  <c r="A174" i="6"/>
  <c r="D173" i="6"/>
  <c r="C173" i="6"/>
  <c r="B173" i="6"/>
  <c r="A173" i="6"/>
  <c r="D172" i="6"/>
  <c r="C172" i="6"/>
  <c r="B172" i="6"/>
  <c r="A172" i="6"/>
  <c r="D171" i="6"/>
  <c r="C171" i="6"/>
  <c r="B171" i="6"/>
  <c r="A171" i="6"/>
  <c r="D170" i="6"/>
  <c r="C170" i="6"/>
  <c r="B170" i="6"/>
  <c r="A170" i="6"/>
  <c r="D169" i="6"/>
  <c r="C169" i="6"/>
  <c r="B169" i="6"/>
  <c r="A169" i="6"/>
  <c r="D168" i="6"/>
  <c r="C168" i="6"/>
  <c r="B168" i="6"/>
  <c r="A168" i="6"/>
  <c r="D167" i="6"/>
  <c r="C167" i="6"/>
  <c r="B167" i="6"/>
  <c r="A167" i="6"/>
  <c r="D166" i="6"/>
  <c r="C166" i="6"/>
  <c r="B166" i="6"/>
  <c r="A166" i="6"/>
  <c r="D165" i="6"/>
  <c r="C165" i="6"/>
  <c r="B165" i="6"/>
  <c r="A165" i="6"/>
  <c r="E164" i="6"/>
  <c r="D164" i="6"/>
  <c r="C164" i="6"/>
  <c r="B164" i="6"/>
  <c r="A164" i="6"/>
  <c r="E163" i="6"/>
  <c r="D163" i="6"/>
  <c r="C163" i="6"/>
  <c r="B163" i="6"/>
  <c r="A163" i="6"/>
  <c r="E162" i="6"/>
  <c r="D162" i="6"/>
  <c r="C162" i="6"/>
  <c r="B162" i="6"/>
  <c r="A162" i="6"/>
  <c r="E161" i="6"/>
  <c r="D161" i="6"/>
  <c r="C161" i="6"/>
  <c r="B161" i="6"/>
  <c r="A161" i="6"/>
  <c r="E160" i="6"/>
  <c r="D160" i="6"/>
  <c r="C160" i="6"/>
  <c r="B160" i="6"/>
  <c r="A160" i="6"/>
  <c r="E159" i="6"/>
  <c r="D159" i="6"/>
  <c r="C159" i="6"/>
  <c r="B159" i="6"/>
  <c r="A159" i="6"/>
  <c r="E158" i="6"/>
  <c r="D158" i="6"/>
  <c r="C158" i="6"/>
  <c r="B158" i="6"/>
  <c r="A158" i="6"/>
  <c r="E157" i="6"/>
  <c r="D157" i="6"/>
  <c r="C157" i="6"/>
  <c r="B157" i="6"/>
  <c r="A157" i="6"/>
  <c r="E156" i="6"/>
  <c r="D156" i="6"/>
  <c r="C156" i="6"/>
  <c r="B156" i="6"/>
  <c r="A156" i="6"/>
  <c r="E155" i="6"/>
  <c r="D155" i="6"/>
  <c r="C155" i="6"/>
  <c r="B155" i="6"/>
  <c r="A155" i="6"/>
  <c r="E154" i="6"/>
  <c r="D154" i="6"/>
  <c r="C154" i="6"/>
  <c r="B154" i="6"/>
  <c r="A154" i="6"/>
  <c r="E153" i="6"/>
  <c r="D153" i="6"/>
  <c r="C153" i="6"/>
  <c r="B153" i="6"/>
  <c r="A153" i="6"/>
  <c r="E152" i="6"/>
  <c r="D152" i="6"/>
  <c r="C152" i="6"/>
  <c r="B152" i="6"/>
  <c r="A152" i="6"/>
  <c r="E151" i="6"/>
  <c r="D151" i="6"/>
  <c r="C151" i="6"/>
  <c r="B151" i="6"/>
  <c r="A151" i="6"/>
  <c r="E150" i="6"/>
  <c r="D150" i="6"/>
  <c r="C150" i="6"/>
  <c r="B150" i="6"/>
  <c r="A150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82" i="6" l="1"/>
  <c r="H181" i="6"/>
  <c r="H180" i="6"/>
  <c r="H179" i="6"/>
  <c r="AE166" i="2"/>
  <c r="E165" i="6"/>
  <c r="AE171" i="2"/>
  <c r="E170" i="6"/>
  <c r="H177" i="6"/>
  <c r="H176" i="6"/>
  <c r="H178" i="6"/>
  <c r="H74" i="6"/>
  <c r="H175" i="6"/>
  <c r="H170" i="6"/>
  <c r="H165" i="6"/>
  <c r="H164" i="6"/>
  <c r="H163" i="6"/>
  <c r="H162" i="6"/>
  <c r="H161" i="6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1" i="6"/>
  <c r="H142" i="6"/>
  <c r="H140" i="6"/>
  <c r="E263" i="8"/>
  <c r="E273" i="8"/>
  <c r="E277" i="8"/>
  <c r="E289" i="8"/>
  <c r="E295" i="8"/>
  <c r="E265" i="8"/>
  <c r="E274" i="8"/>
  <c r="E291" i="8"/>
  <c r="E268" i="8"/>
  <c r="E278" i="8"/>
  <c r="E259" i="8"/>
  <c r="E287" i="8"/>
  <c r="E294" i="8"/>
  <c r="E262" i="8"/>
  <c r="E271" i="8"/>
  <c r="E275" i="8"/>
  <c r="E281" i="8"/>
  <c r="E286" i="8"/>
  <c r="E261" i="8"/>
  <c r="E269" i="8"/>
  <c r="E280" i="8"/>
  <c r="E284" i="8"/>
  <c r="E266" i="8"/>
  <c r="E272" i="8"/>
  <c r="E285" i="8"/>
  <c r="E290" i="8"/>
  <c r="E267" i="8"/>
  <c r="E279" i="8"/>
  <c r="E293" i="8"/>
  <c r="E264" i="8"/>
  <c r="E276" i="8"/>
  <c r="E282" i="8"/>
  <c r="E260" i="8"/>
  <c r="E270" i="8"/>
  <c r="E283" i="8"/>
  <c r="E288" i="8"/>
  <c r="E292" i="8"/>
  <c r="E58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5" i="8"/>
  <c r="E137" i="8"/>
  <c r="E139" i="8"/>
  <c r="E141" i="8"/>
  <c r="E143" i="8"/>
  <c r="E145" i="8"/>
  <c r="E147" i="8"/>
  <c r="E149" i="8"/>
  <c r="E151" i="8"/>
  <c r="E153" i="8"/>
  <c r="E155" i="8"/>
  <c r="E157" i="8"/>
  <c r="E159" i="8"/>
  <c r="E161" i="8"/>
  <c r="E163" i="8"/>
  <c r="E165" i="8"/>
  <c r="E167" i="8"/>
  <c r="E169" i="8"/>
  <c r="E171" i="8"/>
  <c r="E173" i="8"/>
  <c r="E175" i="8"/>
  <c r="E177" i="8"/>
  <c r="E179" i="8"/>
  <c r="E181" i="8"/>
  <c r="E183" i="8"/>
  <c r="E186" i="8"/>
  <c r="E189" i="8"/>
  <c r="E192" i="8"/>
  <c r="E195" i="8"/>
  <c r="E198" i="8"/>
  <c r="E201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5" i="8"/>
  <c r="E187" i="8"/>
  <c r="E190" i="8"/>
  <c r="E193" i="8"/>
  <c r="E196" i="8"/>
  <c r="E199" i="8"/>
  <c r="E202" i="8"/>
  <c r="E59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6" i="8"/>
  <c r="E138" i="8"/>
  <c r="E140" i="8"/>
  <c r="E142" i="8"/>
  <c r="E144" i="8"/>
  <c r="E146" i="8"/>
  <c r="E148" i="8"/>
  <c r="E150" i="8"/>
  <c r="E152" i="8"/>
  <c r="E154" i="8"/>
  <c r="E156" i="8"/>
  <c r="E158" i="8"/>
  <c r="E160" i="8"/>
  <c r="E162" i="8"/>
  <c r="E164" i="8"/>
  <c r="E166" i="8"/>
  <c r="E168" i="8"/>
  <c r="E170" i="8"/>
  <c r="E172" i="8"/>
  <c r="E174" i="8"/>
  <c r="E176" i="8"/>
  <c r="E178" i="8"/>
  <c r="E180" i="8"/>
  <c r="E182" i="8"/>
  <c r="E184" i="8"/>
  <c r="E185" i="8"/>
  <c r="E188" i="8"/>
  <c r="E191" i="8"/>
  <c r="E194" i="8"/>
  <c r="E197" i="8"/>
  <c r="E200" i="8"/>
  <c r="H139" i="6"/>
  <c r="H137" i="6"/>
  <c r="H138" i="6"/>
  <c r="H136" i="6"/>
  <c r="H1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E166" i="6" l="1"/>
  <c r="H166" i="6" s="1"/>
  <c r="AE167" i="2"/>
  <c r="E171" i="6"/>
  <c r="H171" i="6" s="1"/>
  <c r="AE172" i="2"/>
  <c r="E296" i="8"/>
  <c r="C114" i="6"/>
  <c r="H114" i="6" s="1"/>
  <c r="AG115" i="2"/>
  <c r="E167" i="6" l="1"/>
  <c r="H167" i="6" s="1"/>
  <c r="AE168" i="2"/>
  <c r="E172" i="6"/>
  <c r="H172" i="6" s="1"/>
  <c r="AE173" i="2"/>
  <c r="C115" i="6"/>
  <c r="H115" i="6" s="1"/>
  <c r="AG116" i="2"/>
  <c r="E168" i="6" l="1"/>
  <c r="H168" i="6" s="1"/>
  <c r="AE169" i="2"/>
  <c r="E173" i="6"/>
  <c r="H173" i="6" s="1"/>
  <c r="AE174" i="2"/>
  <c r="C116" i="6"/>
  <c r="H116" i="6" s="1"/>
  <c r="AG117" i="2"/>
  <c r="E169" i="6" l="1"/>
  <c r="H169" i="6" s="1"/>
  <c r="AE170" i="2"/>
  <c r="E174" i="6"/>
  <c r="H174" i="6" s="1"/>
  <c r="AE175" i="2"/>
  <c r="AE176" i="2" s="1"/>
  <c r="AE177" i="2" s="1"/>
  <c r="AE178" i="2" s="1"/>
  <c r="C117" i="6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  <author>tc={CB4A9D17-B455-43D9-844C-4C140EF0EA8D}</author>
    <author>tc={A1FD2FDA-8D70-433B-9B2C-4CB6408357E6}</author>
    <author>tc={CE112429-4A74-43C8-AFF4-3A1BD903D685}</author>
    <author>tc={DC3867E3-1437-4886-9AFB-A5C51C89D662}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5" authorId="10" shapeId="0" xr:uid="{CB4A9D17-B455-43D9-844C-4C140EF0EA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6" authorId="11" shapeId="0" xr:uid="{A1FD2FDA-8D70-433B-9B2C-4CB640835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7" authorId="12" shapeId="0" xr:uid="{CE112429-4A74-43C8-AFF4-3A1BD903D6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8" authorId="13" shapeId="0" xr:uid="{DC3867E3-1437-4886-9AFB-A5C51C89D6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<sst xmlns="http://schemas.openxmlformats.org/spreadsheetml/2006/main" count="4381" uniqueCount="1327">
  <si>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</si>
  <si>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</si>
  <si>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</si>
  <si>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</si>
  <si>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</si>
  <si>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</si>
  <si>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</si>
  <si>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</si>
  <si>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</si>
  <si>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</si>
  <si>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</si>
  <si>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</si>
  <si>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</si>
  <si>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</si>
  <si>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</si>
  <si>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</si>
  <si>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</si>
  <si>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</si>
  <si>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</si>
  <si>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</si>
  <si>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</si>
  <si>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</si>
  <si>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</si>
  <si>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</si>
  <si>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</si>
  <si>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</si>
  <si>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</si>
  <si>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</si>
  <si>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</si>
  <si>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</si>
  <si>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</si>
  <si>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</si>
  <si>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</si>
  <si>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</si>
  <si>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</si>
  <si>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</si>
  <si>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</si>
  <si>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</si>
  <si>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</si>
  <si>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</si>
  <si>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</si>
  <si>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</si>
  <si>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</si>
  <si>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</si>
  <si>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</si>
  <si>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</si>
  <si>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</si>
  <si>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</si>
  <si>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</si>
  <si>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</si>
  <si>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</si>
  <si>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</si>
  <si>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</si>
  <si>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</si>
  <si>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</si>
  <si>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</si>
  <si>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</si>
  <si>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</si>
  <si>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</si>
  <si>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</si>
  <si>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</si>
  <si>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</si>
  <si>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</si>
  <si>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</si>
  <si>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</si>
  <si>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</si>
  <si>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</si>
  <si>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</si>
  <si>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</si>
  <si>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</si>
  <si>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</si>
  <si>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</si>
  <si>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</si>
  <si>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</si>
  <si>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</si>
  <si>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</si>
  <si>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</si>
  <si>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</si>
  <si>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</si>
  <si>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</si>
  <si>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</si>
  <si>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</si>
  <si>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</si>
  <si>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</si>
  <si>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</si>
  <si>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</si>
  <si>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</si>
  <si>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</si>
  <si>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</si>
  <si>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</si>
  <si>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</si>
  <si>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</si>
  <si>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</si>
  <si>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</si>
  <si>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</si>
  <si>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</si>
  <si>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</si>
  <si>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</si>
  <si>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</si>
  <si>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</si>
  <si>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</si>
  <si>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</si>
  <si>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</si>
  <si>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</si>
  <si>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</si>
  <si>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</si>
  <si>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</si>
  <si>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</si>
  <si>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</si>
  <si>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</si>
  <si>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</si>
  <si>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</si>
  <si>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</si>
  <si>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</si>
  <si>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</si>
  <si>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</si>
  <si>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</si>
  <si>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</si>
  <si>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</si>
  <si>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</si>
  <si>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</si>
  <si>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</si>
  <si>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</si>
  <si>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</si>
  <si>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</si>
  <si>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</si>
  <si>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</si>
  <si>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</si>
  <si>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</si>
  <si>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</si>
  <si>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</si>
  <si>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</si>
  <si>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</si>
  <si>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</si>
  <si>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</si>
  <si>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</si>
  <si>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</si>
  <si>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</si>
  <si>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</si>
  <si>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</si>
  <si>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</si>
  <si>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</si>
  <si>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</si>
  <si>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</si>
  <si>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</si>
  <si>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</si>
  <si>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</si>
  <si>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</si>
  <si>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</si>
  <si>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</si>
  <si>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</si>
  <si>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</si>
  <si>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</si>
  <si>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</si>
  <si>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</si>
  <si>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</si>
  <si>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</si>
  <si>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</si>
  <si>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</si>
  <si>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</si>
  <si>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</si>
  <si>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</si>
  <si>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</si>
  <si>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</si>
  <si>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</si>
  <si>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</si>
  <si>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</si>
  <si>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</si>
  <si>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</si>
  <si>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</si>
  <si>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</si>
  <si>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</si>
  <si>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</si>
  <si>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</si>
  <si>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</si>
  <si>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</si>
  <si>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</si>
  <si>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</si>
  <si>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</si>
  <si>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</si>
  <si>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</si>
  <si>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</si>
  <si>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</si>
  <si>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</si>
  <si>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</si>
  <si>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</si>
  <si>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</si>
  <si>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</si>
  <si>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</si>
  <si>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</si>
  <si>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</si>
  <si>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</si>
  <si>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</si>
  <si>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</si>
  <si>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</si>
  <si>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</si>
  <si>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</si>
  <si>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</si>
  <si>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</si>
  <si>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</si>
  <si>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</si>
  <si>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</si>
  <si>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</si>
  <si>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</si>
  <si>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</si>
  <si>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</si>
  <si>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</si>
  <si>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</si>
  <si>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</si>
  <si>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</si>
  <si>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</si>
  <si>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</si>
  <si>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</si>
  <si>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</si>
  <si>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</si>
  <si>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</si>
  <si>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</si>
  <si>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</si>
  <si>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</si>
  <si>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</si>
  <si>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</si>
  <si>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</si>
  <si>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</si>
  <si>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</si>
  <si>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</si>
  <si>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</si>
  <si>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</si>
  <si>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</si>
  <si>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</si>
  <si>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</si>
  <si>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</si>
  <si>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</si>
  <si>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</si>
  <si>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</si>
  <si>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</si>
  <si>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</si>
  <si>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</si>
  <si>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</si>
  <si>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</si>
  <si>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</si>
  <si>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</si>
  <si>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</si>
  <si>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</si>
  <si>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</si>
  <si>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</si>
  <si>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</si>
  <si>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</si>
  <si>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</si>
  <si>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</si>
  <si>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</si>
  <si>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</si>
  <si>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</si>
  <si>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</si>
  <si>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</si>
  <si>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</si>
  <si>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</si>
  <si>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</si>
  <si>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</si>
  <si>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</si>
  <si>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</si>
  <si>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</si>
  <si>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</si>
  <si>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</si>
  <si>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</si>
  <si>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</si>
  <si>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</si>
  <si>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</si>
  <si>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</si>
  <si>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</si>
  <si>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</si>
  <si>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</si>
  <si>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</si>
  <si>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</si>
  <si>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</si>
  <si>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</si>
  <si>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</si>
  <si>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</si>
  <si>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</si>
  <si>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</si>
  <si>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</si>
  <si>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</si>
  <si>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</si>
  <si>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</si>
  <si>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</si>
  <si>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</si>
  <si>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</si>
  <si>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</si>
  <si>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</si>
  <si>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</si>
  <si>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</si>
  <si>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</si>
  <si>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</si>
  <si>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</si>
  <si>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</si>
  <si>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</si>
  <si>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</si>
  <si>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</si>
  <si>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</si>
  <si>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</si>
  <si>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</si>
  <si>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</si>
  <si>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</si>
  <si>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</si>
  <si>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</si>
  <si>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</si>
  <si>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</si>
  <si>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</si>
  <si>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</si>
  <si>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</si>
  <si>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</si>
  <si>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</si>
  <si>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</si>
  <si>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</si>
  <si>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</si>
  <si>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</si>
  <si>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</si>
  <si>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</si>
  <si>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</si>
  <si>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</si>
  <si>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</si>
  <si>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</si>
  <si>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</si>
  <si>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</si>
  <si>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</si>
  <si>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</si>
  <si>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</si>
  <si>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</si>
  <si>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</si>
  <si>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</si>
  <si>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</si>
  <si>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</si>
  <si>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</si>
  <si>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</si>
  <si>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</si>
  <si>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</si>
  <si>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</si>
  <si>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</si>
  <si>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</si>
  <si>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</si>
  <si>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</si>
  <si>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</si>
  <si>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</si>
  <si>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</si>
  <si>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</si>
  <si>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</si>
  <si>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</si>
  <si>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</si>
  <si>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</si>
  <si>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</si>
  <si>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</si>
  <si>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</si>
  <si>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</si>
  <si>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</si>
  <si>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</si>
  <si>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</si>
  <si>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</si>
  <si>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</si>
  <si>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</si>
  <si>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</si>
  <si>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</si>
  <si>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</si>
  <si>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</si>
  <si>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</si>
  <si>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</si>
  <si>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</si>
  <si>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</si>
  <si>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</si>
  <si>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</si>
  <si>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</si>
  <si>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</si>
  <si>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</si>
  <si>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</si>
  <si>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</si>
  <si>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</si>
  <si>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</si>
  <si>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</si>
  <si>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</si>
  <si>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</si>
  <si>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</si>
  <si>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</si>
  <si>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</si>
  <si>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</si>
  <si>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</si>
  <si>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</si>
  <si>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</si>
  <si>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</si>
  <si>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</si>
  <si>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</si>
  <si>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</si>
  <si>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</si>
  <si>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</si>
  <si>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</si>
  <si>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</si>
  <si>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</si>
  <si>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</si>
  <si>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</si>
  <si>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</si>
  <si>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</si>
  <si>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</si>
  <si>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</si>
  <si>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</si>
  <si>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</si>
  <si>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</si>
  <si>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</si>
  <si>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</si>
  <si>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</si>
  <si>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</si>
  <si>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</si>
  <si>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</si>
  <si>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</si>
  <si>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</si>
  <si>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</si>
  <si>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</si>
  <si>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</si>
  <si>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</si>
  <si>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</si>
  <si>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</si>
  <si>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</si>
  <si>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</si>
  <si>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</si>
  <si>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</si>
  <si>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</si>
  <si>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</si>
  <si>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</si>
  <si>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</si>
  <si>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</si>
  <si>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</si>
  <si>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</si>
  <si>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</si>
  <si>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</si>
  <si>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</si>
  <si>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</si>
  <si>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</si>
  <si>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</si>
  <si>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</si>
  <si>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</si>
  <si>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</si>
  <si>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</si>
  <si>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</si>
  <si>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</si>
  <si>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</si>
  <si>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</si>
  <si>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</si>
  <si>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</si>
  <si>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</si>
  <si>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</si>
  <si>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</si>
  <si>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</si>
  <si>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</si>
  <si>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</si>
  <si>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</si>
  <si>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</si>
  <si>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</si>
  <si>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</si>
  <si>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</si>
  <si>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</si>
  <si>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</si>
  <si>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</si>
  <si>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</si>
  <si>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</si>
  <si>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</si>
  <si>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</si>
  <si>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</si>
  <si>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</si>
  <si>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</si>
  <si>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</si>
  <si>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</si>
  <si>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</si>
  <si>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</si>
  <si>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</si>
  <si>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</si>
  <si>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</si>
  <si>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</si>
  <si>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</si>
  <si>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</si>
  <si>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</si>
  <si>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</si>
  <si>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</si>
  <si>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</si>
  <si>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</si>
  <si>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</si>
  <si>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</si>
  <si>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</si>
  <si>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</si>
  <si>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</si>
  <si>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</si>
  <si>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</si>
  <si>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</si>
  <si>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</si>
  <si>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</si>
  <si>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</si>
  <si>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</si>
  <si>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</si>
  <si>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</si>
  <si>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</si>
  <si>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</si>
  <si>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</si>
  <si>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</si>
  <si>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</si>
  <si>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</si>
  <si>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</si>
  <si>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</si>
  <si>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</si>
  <si>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</si>
  <si>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</si>
  <si>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</si>
  <si>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</si>
  <si>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</si>
  <si>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</si>
  <si>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</si>
  <si>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</si>
  <si>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</si>
  <si>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</si>
  <si>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</si>
  <si>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</si>
  <si>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</si>
  <si>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</si>
  <si>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</si>
  <si>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</si>
  <si>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</si>
  <si>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</si>
  <si>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</si>
  <si>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</si>
  <si>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</si>
  <si>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</si>
  <si>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</si>
  <si>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</si>
  <si>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</si>
  <si>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</si>
  <si>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</si>
  <si>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</si>
  <si>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</si>
  <si>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</si>
  <si>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</si>
  <si>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</si>
  <si>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</si>
  <si>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</si>
  <si>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</si>
  <si>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</si>
  <si>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</si>
  <si>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</si>
  <si>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</si>
  <si>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</si>
  <si>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</si>
  <si>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</si>
  <si>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</si>
  <si>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</si>
  <si>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</si>
  <si>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</si>
  <si>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</si>
  <si>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</si>
  <si>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</si>
  <si>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</si>
  <si>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</si>
  <si>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</si>
  <si>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</si>
  <si>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</si>
  <si>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</si>
  <si>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</si>
  <si>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</si>
  <si>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</si>
  <si>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</si>
  <si>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</si>
  <si>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</si>
  <si>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</si>
  <si>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</si>
  <si>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</si>
  <si>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</si>
  <si>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</si>
  <si>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</si>
  <si>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</si>
  <si>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</si>
  <si>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</si>
  <si>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</si>
  <si>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</si>
  <si>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</si>
  <si>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</si>
  <si>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</si>
  <si>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</si>
  <si>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</si>
  <si>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</si>
  <si>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</si>
  <si>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</si>
  <si>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</si>
  <si>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</si>
  <si>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</si>
  <si>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</si>
  <si>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</si>
  <si>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</si>
  <si>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</si>
  <si>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</si>
  <si>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</si>
  <si>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</si>
  <si>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</si>
  <si>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</si>
  <si>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</si>
  <si>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</si>
  <si>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</si>
  <si>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</si>
  <si>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</si>
  <si>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</si>
  <si>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</si>
  <si>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</si>
  <si>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</si>
  <si>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</si>
  <si>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</si>
  <si>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</si>
  <si>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</si>
  <si>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</si>
  <si>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</si>
  <si>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</si>
  <si>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</si>
  <si>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</si>
  <si>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</si>
  <si>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</si>
  <si>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</si>
  <si>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</si>
  <si>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</si>
  <si>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</si>
  <si>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</si>
  <si>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</si>
  <si>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</si>
  <si>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</si>
  <si>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</si>
  <si>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</si>
  <si>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</si>
  <si>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</si>
  <si>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</si>
  <si>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</si>
  <si>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</si>
  <si>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</si>
  <si>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</si>
  <si>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</si>
  <si>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</si>
  <si>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</si>
  <si>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</si>
  <si>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</si>
  <si>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</si>
  <si>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</si>
  <si>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</si>
  <si>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</si>
  <si>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</si>
  <si>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</si>
  <si>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</si>
  <si>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</si>
  <si>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</si>
  <si>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</si>
  <si>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</si>
  <si>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</si>
  <si>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</si>
  <si>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</si>
  <si>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</si>
  <si>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</si>
  <si>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</si>
  <si>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</si>
  <si>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</si>
  <si>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</si>
  <si>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</si>
  <si>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</si>
  <si>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</si>
  <si>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</si>
  <si>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</si>
  <si>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</si>
  <si>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</si>
  <si>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</si>
  <si>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</si>
  <si>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</si>
  <si>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</si>
  <si>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</si>
  <si>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</si>
  <si>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</si>
  <si>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</si>
  <si>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</si>
  <si>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</si>
  <si>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</si>
  <si>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</si>
  <si>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</si>
  <si>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</si>
  <si>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</si>
  <si>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</si>
  <si>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</si>
  <si>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</si>
  <si>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</si>
  <si>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</si>
  <si>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</si>
  <si>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</si>
  <si>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</si>
  <si>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</si>
  <si>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</si>
  <si>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</si>
  <si>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</si>
  <si>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</si>
  <si>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</si>
  <si>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</si>
  <si>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</si>
  <si>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</si>
  <si>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</si>
  <si>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</si>
  <si>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</si>
  <si>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</si>
  <si>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</si>
  <si>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</si>
  <si>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</si>
  <si>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</si>
  <si>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</si>
  <si>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</si>
  <si>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</si>
  <si>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</si>
  <si>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</si>
  <si>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</si>
  <si>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</si>
  <si>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</si>
  <si>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</si>
  <si>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</si>
  <si>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</si>
  <si>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</si>
  <si>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</si>
  <si>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</si>
  <si>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</si>
  <si>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</si>
  <si>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</si>
  <si>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</si>
  <si>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</si>
  <si>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</si>
  <si>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</si>
  <si>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</si>
  <si>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</si>
  <si>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</si>
  <si>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</si>
  <si>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</si>
  <si>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</si>
  <si>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</si>
  <si>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</si>
  <si>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</si>
  <si>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</si>
  <si>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</si>
  <si>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</si>
  <si>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</si>
  <si>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</si>
  <si>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</si>
  <si>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</si>
  <si>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</si>
  <si>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</si>
  <si>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</si>
  <si>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</si>
  <si>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</si>
  <si>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</si>
  <si>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</si>
  <si>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</si>
  <si>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</si>
  <si>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</si>
  <si>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</si>
  <si>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</si>
  <si>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</si>
  <si>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</si>
  <si>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</si>
  <si>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</si>
  <si>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</si>
  <si>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</si>
  <si>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</si>
  <si>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</si>
  <si>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</si>
  <si>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</si>
  <si>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</si>
  <si>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</si>
  <si>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</si>
  <si>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</si>
  <si>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</si>
  <si>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</si>
  <si>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</si>
  <si>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</si>
  <si>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</si>
  <si>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</si>
  <si>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</si>
  <si>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</si>
  <si>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</si>
  <si>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</si>
  <si>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</si>
  <si>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</si>
  <si>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</si>
  <si>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</si>
  <si>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</si>
  <si>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</si>
  <si>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</si>
  <si>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</si>
  <si>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</si>
  <si>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</si>
  <si>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</si>
  <si>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</si>
  <si>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</si>
  <si>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</si>
  <si>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</si>
  <si>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</si>
  <si>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</si>
  <si>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</si>
  <si>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</si>
  <si>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</si>
  <si>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</si>
  <si>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</si>
  <si>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</si>
  <si>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</si>
  <si>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</si>
  <si>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</si>
  <si>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</si>
  <si>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</si>
  <si>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</si>
  <si>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</si>
  <si>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</si>
  <si>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</si>
  <si>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</si>
  <si>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</si>
  <si>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</si>
  <si>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</si>
  <si>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</si>
  <si>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</si>
  <si>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</si>
  <si>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</si>
  <si>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</si>
  <si>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</si>
  <si>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</si>
  <si>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</si>
  <si>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</si>
  <si>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</si>
  <si>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</si>
  <si>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</si>
  <si>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</si>
  <si>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</si>
  <si>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</si>
  <si>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</si>
  <si>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</si>
  <si>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</si>
  <si>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</si>
  <si>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</si>
  <si>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</si>
  <si>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</si>
  <si>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</si>
  <si>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</si>
  <si>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</si>
  <si>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</si>
  <si>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</si>
  <si>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</si>
  <si>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</si>
  <si>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</si>
  <si>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</si>
  <si>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</si>
  <si>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</si>
  <si>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</si>
  <si>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</si>
  <si>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</si>
  <si>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</si>
  <si>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</si>
  <si>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</si>
  <si>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</si>
  <si>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</si>
  <si>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</si>
  <si>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</si>
  <si>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</si>
  <si>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</si>
  <si>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</si>
  <si>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</si>
  <si>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</si>
  <si>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</si>
  <si>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</si>
  <si>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</si>
  <si>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</si>
  <si>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</si>
  <si>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</si>
  <si>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</si>
  <si>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</si>
  <si>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</si>
  <si>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</si>
  <si>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</si>
  <si>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</si>
  <si>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</si>
  <si>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</si>
  <si>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</si>
  <si>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</si>
  <si>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</si>
  <si>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</si>
  <si>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</si>
  <si>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</si>
  <si>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</si>
  <si>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</si>
  <si>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</si>
  <si>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</si>
  <si>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</si>
  <si>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</si>
  <si>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</si>
  <si>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</si>
  <si>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</si>
  <si>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</si>
  <si>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</si>
  <si>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</si>
  <si>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</si>
  <si>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</si>
  <si>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</si>
  <si>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</si>
  <si>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</si>
  <si>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</si>
  <si>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</si>
  <si>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</si>
  <si>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</si>
  <si>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</si>
  <si>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</si>
  <si>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</si>
  <si>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</si>
  <si>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</si>
  <si>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</si>
  <si>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</si>
  <si>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</si>
  <si>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</si>
  <si>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</si>
  <si>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</si>
  <si>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</si>
  <si>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</si>
  <si>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</si>
  <si>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</si>
  <si>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</si>
  <si>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</si>
  <si>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</si>
  <si>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</si>
  <si>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</si>
  <si>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</si>
  <si>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</si>
  <si>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</si>
  <si>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</si>
  <si>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</si>
  <si>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</si>
  <si>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</si>
  <si>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</si>
  <si>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ABB S.A.U.</t>
  </si>
  <si>
    <t>ALPAHELI S.R.L.</t>
  </si>
  <si>
    <t>BALIÑA GERARDO DANIEL</t>
  </si>
  <si>
    <t>BUIZ LEONARDO RAUL</t>
  </si>
  <si>
    <t>DISTRIBUIDORA LEBENSHON 8061</t>
  </si>
  <si>
    <t>FEADAR S.A.</t>
  </si>
  <si>
    <t>FIREFISH SA</t>
  </si>
  <si>
    <t>G4 CONSULTING SA</t>
  </si>
  <si>
    <t>GERAHARD HNOS SOCIEDAD DE RESPONSABILIDAD LIMITADA EN FORMACION</t>
  </si>
  <si>
    <t>GOGNIAT SOLDADURA SA</t>
  </si>
  <si>
    <t>GRAMAJO PABLO MARTIN</t>
  </si>
  <si>
    <t>HERNANDEZ CORTES MIGUEL</t>
  </si>
  <si>
    <t>MALEVO MEDINA BUZOS S.R.L.</t>
  </si>
  <si>
    <t>MOENS PABLO ENRIQUE</t>
  </si>
  <si>
    <t>NSM FOODS &amp; LOG S.R.L</t>
  </si>
  <si>
    <t>PM REFRIGERACION INDUSTRIAL S.A</t>
  </si>
  <si>
    <t>SAMLOG S.R.L.</t>
  </si>
  <si>
    <t>SERVICIOS PORTUARIOS INTEGRADOS S.A.</t>
  </si>
  <si>
    <t>SUCESION DE ARCAMONE ANA</t>
  </si>
  <si>
    <t>TELEFONICA MOVILES ARGENTINA SA</t>
  </si>
  <si>
    <t>TRANSPORTE FORTUNA DEL MAR SA</t>
  </si>
  <si>
    <t>TRANSPORTES SCORDINA SA</t>
  </si>
  <si>
    <t>VILLAGRA DAVID ERNESTO</t>
  </si>
  <si>
    <t>WEMAR S R L</t>
  </si>
  <si>
    <t>Banco Santander</t>
  </si>
  <si>
    <t>SISTEMAS INFORMATICOS</t>
  </si>
  <si>
    <t>PR067</t>
  </si>
  <si>
    <t>CAPIZZANO ALEJANDRO LUIS</t>
  </si>
  <si>
    <t>08608</t>
  </si>
  <si>
    <t>D ALBIS DARIO OSVALDO</t>
  </si>
  <si>
    <t>08262</t>
  </si>
  <si>
    <t>07017</t>
  </si>
  <si>
    <t>08225</t>
  </si>
  <si>
    <t>06074</t>
  </si>
  <si>
    <t>09053</t>
  </si>
  <si>
    <t>05571</t>
  </si>
  <si>
    <t>08744</t>
  </si>
  <si>
    <t>SERVICIO DE LAVADO</t>
  </si>
  <si>
    <t>PR002</t>
  </si>
  <si>
    <t>07485</t>
  </si>
  <si>
    <t>INSTALACIONES PLANTA FRIGORIFICA</t>
  </si>
  <si>
    <t>PR029</t>
  </si>
  <si>
    <t>08048</t>
  </si>
  <si>
    <t>J KOSTZER LIBRERIA LURO S R L</t>
  </si>
  <si>
    <t>06934</t>
  </si>
  <si>
    <t>LAMAZON GILDO WERFIL</t>
  </si>
  <si>
    <t>06972</t>
  </si>
  <si>
    <t>LUMATEC SRL</t>
  </si>
  <si>
    <t>07259</t>
  </si>
  <si>
    <t>BALANZAS Y SISTEMAS DE PESAJES</t>
  </si>
  <si>
    <t>PR152</t>
  </si>
  <si>
    <t>04293</t>
  </si>
  <si>
    <t>08485</t>
  </si>
  <si>
    <t>SERVICIOS DE GESTION Y LOGISTICA</t>
  </si>
  <si>
    <t>PR151</t>
  </si>
  <si>
    <t>03916</t>
  </si>
  <si>
    <t>00196</t>
  </si>
  <si>
    <t>SALVADOR MALVICA S.R.L.</t>
  </si>
  <si>
    <t>07655</t>
  </si>
  <si>
    <t>REPARACIONES Y MANTENIMIENTO BUQUES</t>
  </si>
  <si>
    <t>PR186</t>
  </si>
  <si>
    <t>00192</t>
  </si>
  <si>
    <t>02467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</si>
  <si>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</si>
  <si>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</si>
  <si>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</si>
  <si>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</si>
  <si>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</si>
  <si>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</si>
  <si>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</si>
  <si>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</si>
  <si>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</si>
  <si>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</si>
  <si>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</si>
  <si>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09109</t>
  </si>
  <si>
    <t>COMERCIAL DEL MAR S.A.</t>
  </si>
  <si>
    <t> </t>
  </si>
  <si>
    <t>HONORARIOS MEDICOS</t>
  </si>
  <si>
    <t>PR072</t>
  </si>
  <si>
    <t>CARGAS MARITIMAS INTERNACIONALES SA</t>
  </si>
  <si>
    <t>CONSTRUCCIONES Y PROYECTOS NAVAL. TEC.S.A.</t>
  </si>
  <si>
    <t>09155</t>
  </si>
  <si>
    <t>GLAN S.R.L.</t>
  </si>
  <si>
    <t>HANDLER 04 MDP S.A.S</t>
  </si>
  <si>
    <t>07636</t>
  </si>
  <si>
    <t>IBARGAS SRL</t>
  </si>
  <si>
    <t>09649</t>
  </si>
  <si>
    <t>LUGO MAXIMILIANO JAVIER</t>
  </si>
  <si>
    <t>REPARACION DE GRUA</t>
  </si>
  <si>
    <t>PR213</t>
  </si>
  <si>
    <t>07498</t>
  </si>
  <si>
    <t>NAUTICAL SRL</t>
  </si>
  <si>
    <t>SERVICIO DE REMOLQUE</t>
  </si>
  <si>
    <t>PR155</t>
  </si>
  <si>
    <t>09197</t>
  </si>
  <si>
    <t>OCCUPATIONAL MEDICINAE PUERTO MAR DEL PLATA S.R.L.</t>
  </si>
  <si>
    <t>SALEM ALDO ALBERTO Y AICARDI DERNANDO SEBASTIAN S H</t>
  </si>
  <si>
    <t>06779</t>
  </si>
  <si>
    <t>SIDERSA SA</t>
  </si>
  <si>
    <t>05609</t>
  </si>
  <si>
    <t>TALLER CENTRO UNION S.A.</t>
  </si>
  <si>
    <t>Parámetros</t>
  </si>
  <si>
    <t>Código de proveedor   desde:     hasta: </t>
  </si>
  <si>
    <t>No incluye   valor: PR006</t>
  </si>
  <si>
    <t>BENEDETTO PELOSI S. A</t>
  </si>
  <si>
    <t> MODOC S.A</t>
  </si>
  <si>
    <t>ALLENDE Y BREA SOCIEDAD CIVIL</t>
  </si>
  <si>
    <t>07745</t>
  </si>
  <si>
    <t>DATCOM SOLUCIONES TECNOLOGICAS S.A.</t>
  </si>
  <si>
    <t>09643</t>
  </si>
  <si>
    <t>H L RODRIGUEZ SRL</t>
  </si>
  <si>
    <t>09658</t>
  </si>
  <si>
    <t>MANGIATERRA SANTIAGO EZEQUIEL</t>
  </si>
  <si>
    <t>SERVICIOS DE TERCEROS-PESADAS</t>
  </si>
  <si>
    <t>PR0103</t>
  </si>
  <si>
    <t>01086</t>
  </si>
  <si>
    <t>NAUTIQ SERVICE S.A.</t>
  </si>
  <si>
    <t>MATERIALES Y EQUIPOS PARA SALVAMENTO</t>
  </si>
  <si>
    <t>PR033</t>
  </si>
  <si>
    <t>03874</t>
  </si>
  <si>
    <t>NAVAL STAR SA</t>
  </si>
  <si>
    <t>08781</t>
  </si>
  <si>
    <t>RECFIMAR S.A</t>
  </si>
  <si>
    <t>COMERCIAL INAL 2005 SA</t>
  </si>
  <si>
    <t>LUMELL SA</t>
  </si>
  <si>
    <t>INDUSTRIAS EL CORSARIO SA</t>
  </si>
  <si>
    <t>CONGELADOS ARTICO SA</t>
  </si>
  <si>
    <t>MARDI SA</t>
  </si>
  <si>
    <t>LACAR FISH SA</t>
  </si>
  <si>
    <t>MARISQUERIA SANTA RITA SRL</t>
  </si>
  <si>
    <t>FRIGOSUR SRL</t>
  </si>
  <si>
    <t>27 DE NOVIEMBRE SA</t>
  </si>
  <si>
    <t>FRIO SUR SRL</t>
  </si>
  <si>
    <t xml:space="preserve">COOP DE TRABAJO CA#AMAR LTDA            </t>
  </si>
  <si>
    <t>ANTONIO MIRALLES S.A</t>
  </si>
  <si>
    <t>ANTONIO MIRALLES S A</t>
  </si>
  <si>
    <t>COOPERATIVA DE TRABAJO DO#A FRANCISCA LIMITADA</t>
  </si>
  <si>
    <t>PROYECTOS DEL MAR SRL</t>
  </si>
  <si>
    <t>LUDAPEZ SA LUDAPEZ SA</t>
  </si>
  <si>
    <t>La Isolana S.R.L.</t>
  </si>
  <si>
    <t>COOPERATIVA DOÑA FRANCISCA</t>
  </si>
  <si>
    <t>COOP TRABAJO CANAMAR LTDA</t>
  </si>
  <si>
    <t>00020414</t>
  </si>
  <si>
    <t>00020416</t>
  </si>
  <si>
    <t>00020415</t>
  </si>
  <si>
    <t>00020417</t>
  </si>
  <si>
    <t>78057909</t>
  </si>
  <si>
    <t>78057919</t>
  </si>
  <si>
    <t>78057920</t>
  </si>
  <si>
    <t>00005676</t>
  </si>
  <si>
    <t>11191011</t>
  </si>
  <si>
    <t>00001071</t>
  </si>
  <si>
    <t>90000223</t>
  </si>
  <si>
    <t>69705278</t>
  </si>
  <si>
    <t>00001346</t>
  </si>
  <si>
    <t>30073742</t>
  </si>
  <si>
    <t>00001598</t>
  </si>
  <si>
    <t>40930332</t>
  </si>
  <si>
    <t>78057951</t>
  </si>
  <si>
    <t>90000196</t>
  </si>
  <si>
    <t>78057921</t>
  </si>
  <si>
    <t>90000153</t>
  </si>
  <si>
    <t>78057912</t>
  </si>
  <si>
    <t>11191015</t>
  </si>
  <si>
    <t>00002923</t>
  </si>
  <si>
    <t>10756150</t>
  </si>
  <si>
    <t>78057656</t>
  </si>
  <si>
    <t>78057952</t>
  </si>
  <si>
    <t>78057922</t>
  </si>
  <si>
    <t>14514685</t>
  </si>
  <si>
    <t>00000135</t>
  </si>
  <si>
    <t>00341071</t>
  </si>
  <si>
    <t>11191016</t>
  </si>
  <si>
    <t>78057913</t>
  </si>
  <si>
    <t>10756149</t>
  </si>
  <si>
    <t>78057657</t>
  </si>
  <si>
    <t>11426254</t>
  </si>
  <si>
    <t>11230259</t>
  </si>
  <si>
    <t>10756148</t>
  </si>
  <si>
    <t>78057923</t>
  </si>
  <si>
    <t>78057914</t>
  </si>
  <si>
    <t>10756147</t>
  </si>
  <si>
    <t>78057658</t>
  </si>
  <si>
    <t>78057924</t>
  </si>
  <si>
    <t>90000197</t>
  </si>
  <si>
    <t>00000136</t>
  </si>
  <si>
    <t>78057953</t>
  </si>
  <si>
    <t>00002695</t>
  </si>
  <si>
    <t>78057915</t>
  </si>
  <si>
    <t>10756146</t>
  </si>
  <si>
    <t>00007777</t>
  </si>
  <si>
    <t>11150859</t>
  </si>
  <si>
    <t>00006604</t>
  </si>
  <si>
    <t>11150860</t>
  </si>
  <si>
    <t>11150857</t>
  </si>
  <si>
    <t>11150861</t>
  </si>
  <si>
    <t>11150858</t>
  </si>
  <si>
    <t>00001083</t>
  </si>
  <si>
    <t>00001084</t>
  </si>
  <si>
    <t>00001086</t>
  </si>
  <si>
    <t>00001085</t>
  </si>
  <si>
    <t>11191017</t>
  </si>
  <si>
    <t>00005634</t>
  </si>
  <si>
    <t>11319758</t>
  </si>
  <si>
    <t>00000323</t>
  </si>
  <si>
    <t>00000321</t>
  </si>
  <si>
    <t>11150834</t>
  </si>
  <si>
    <t>00000322</t>
  </si>
  <si>
    <t>11150833</t>
  </si>
  <si>
    <t>11150832</t>
  </si>
  <si>
    <t>00000324</t>
  </si>
  <si>
    <t>11191018</t>
  </si>
  <si>
    <t>00020418</t>
  </si>
  <si>
    <t>00020419</t>
  </si>
  <si>
    <t>00020421</t>
  </si>
  <si>
    <t>00020420</t>
  </si>
  <si>
    <t>00020422</t>
  </si>
  <si>
    <t>78057925</t>
  </si>
  <si>
    <t>78057954</t>
  </si>
  <si>
    <t>00005635</t>
  </si>
  <si>
    <t>78057916</t>
  </si>
  <si>
    <t>78057926</t>
  </si>
  <si>
    <t>78057955</t>
  </si>
  <si>
    <t>78057917</t>
  </si>
  <si>
    <t>00002696</t>
  </si>
  <si>
    <t>78057918</t>
  </si>
  <si>
    <t>14654406</t>
  </si>
  <si>
    <t>78057927</t>
  </si>
  <si>
    <t>78057956</t>
  </si>
  <si>
    <t>14654407</t>
  </si>
  <si>
    <t>78057928</t>
  </si>
  <si>
    <t>11191036</t>
  </si>
  <si>
    <t>78057957</t>
  </si>
  <si>
    <t>90018182</t>
  </si>
  <si>
    <t>00002697</t>
  </si>
  <si>
    <t>14654408</t>
  </si>
  <si>
    <t>00007822</t>
  </si>
  <si>
    <t>11443860</t>
  </si>
  <si>
    <t>00001006</t>
  </si>
  <si>
    <t>11191035</t>
  </si>
  <si>
    <t>00001010</t>
  </si>
  <si>
    <t>00001009</t>
  </si>
  <si>
    <t>00001008</t>
  </si>
  <si>
    <t>11443862</t>
  </si>
  <si>
    <t>00001007</t>
  </si>
  <si>
    <t>11443861</t>
  </si>
  <si>
    <t>11443863</t>
  </si>
  <si>
    <t>11443859</t>
  </si>
  <si>
    <t>11319762</t>
  </si>
  <si>
    <t>14654409</t>
  </si>
  <si>
    <t>00000332</t>
  </si>
  <si>
    <t>00000334</t>
  </si>
  <si>
    <t>00000333</t>
  </si>
  <si>
    <t>14654410</t>
  </si>
  <si>
    <t>78057958</t>
  </si>
  <si>
    <t>00007833</t>
  </si>
  <si>
    <t>14654465</t>
  </si>
  <si>
    <t>78057959</t>
  </si>
  <si>
    <t>14654466</t>
  </si>
  <si>
    <t>78057960</t>
  </si>
  <si>
    <t>00000336</t>
  </si>
  <si>
    <t>40930692</t>
  </si>
  <si>
    <t>00002698</t>
  </si>
  <si>
    <t>00000338</t>
  </si>
  <si>
    <t>00000335</t>
  </si>
  <si>
    <t>00000337</t>
  </si>
  <si>
    <t>00007616</t>
  </si>
  <si>
    <t>00007602</t>
  </si>
  <si>
    <t>14654467</t>
  </si>
  <si>
    <t>40930704</t>
  </si>
  <si>
    <t>14654468</t>
  </si>
  <si>
    <t>00007840</t>
  </si>
  <si>
    <t>40943278</t>
  </si>
  <si>
    <t>00001011</t>
  </si>
  <si>
    <t>00001014</t>
  </si>
  <si>
    <t>14654469</t>
  </si>
  <si>
    <t>00001013</t>
  </si>
  <si>
    <t>00001012</t>
  </si>
  <si>
    <t>00001015</t>
  </si>
  <si>
    <t>00001016</t>
  </si>
  <si>
    <t>14654470</t>
  </si>
  <si>
    <t>14654471</t>
  </si>
  <si>
    <t>14654472</t>
  </si>
  <si>
    <t>00000349</t>
  </si>
  <si>
    <t>00000350</t>
  </si>
  <si>
    <t>00007859</t>
  </si>
  <si>
    <t>00000351</t>
  </si>
  <si>
    <t>00007847</t>
  </si>
  <si>
    <t> AGROLOG S.A</t>
  </si>
  <si>
    <t> ARG SEAMAN ELECTRONICS S.A.</t>
  </si>
  <si>
    <t>A.I.M.A. ELECROMECANICA SOCIEDAD DE HECHO</t>
  </si>
  <si>
    <t>ALVAREZ DIEGO FERNANDO</t>
  </si>
  <si>
    <t>ASCENSORES ULTRA S R L</t>
  </si>
  <si>
    <t>SERVICIO DE TELECOMUNICACIONES</t>
  </si>
  <si>
    <t>PR 237</t>
  </si>
  <si>
    <t>BELLONIO JOSE LUIS</t>
  </si>
  <si>
    <t>BIOSEGUR SRL</t>
  </si>
  <si>
    <t>BLOCK PABLO DANIEL Y BLOCK MIGUEL ANGEL S H</t>
  </si>
  <si>
    <t>BUCETA SOLANGE</t>
  </si>
  <si>
    <t>CAMUZZI GAS  (O.ZARATE)</t>
  </si>
  <si>
    <t>CAMUZZI GAS PAMPEANA TORRE AZUL Nº 508832/3</t>
  </si>
  <si>
    <t>CERROSUD S.A. (CAE)</t>
  </si>
  <si>
    <t>CILENTO MECANIZADOS Y REPUESTOS</t>
  </si>
  <si>
    <t>COMPAÑIA GRAFICA AUTOADHESIVA E INDUMENTARIAS.A.</t>
  </si>
  <si>
    <t>COOP. DE TRABAJO PRACTICAJE Y PILOTAJE BS. AS. LTDA.</t>
  </si>
  <si>
    <t>04859</t>
  </si>
  <si>
    <t>COSTANERA UNO SA</t>
  </si>
  <si>
    <t>07330</t>
  </si>
  <si>
    <t>CURCI CLAUDIO OMAR</t>
  </si>
  <si>
    <t>ACRILICOS BUQUES/PLANTA</t>
  </si>
  <si>
    <t>PR065</t>
  </si>
  <si>
    <t>06351</t>
  </si>
  <si>
    <t>DADANTE FEDERICO</t>
  </si>
  <si>
    <t>08433</t>
  </si>
  <si>
    <t>DELTA BLUE LANCHAS SRL</t>
  </si>
  <si>
    <t>02252</t>
  </si>
  <si>
    <t>EDEA S.A. (O.ZARATE)</t>
  </si>
  <si>
    <t>DISTRIB. ENERGIA ELECTRICA</t>
  </si>
  <si>
    <t>PR095</t>
  </si>
  <si>
    <t>02254</t>
  </si>
  <si>
    <t>EDEA S.A. Nº 622787(MUELL</t>
  </si>
  <si>
    <t>06895</t>
  </si>
  <si>
    <t>ESQUIVEL MARCOS ALBERTO</t>
  </si>
  <si>
    <t>09046</t>
  </si>
  <si>
    <t>FERNANDEZ MARCELA EDITH</t>
  </si>
  <si>
    <t>01750</t>
  </si>
  <si>
    <t>FRIOPACK S.A.</t>
  </si>
  <si>
    <t>09504</t>
  </si>
  <si>
    <t>FUNDACION FARO ARGENTINA</t>
  </si>
  <si>
    <t>07747</t>
  </si>
  <si>
    <t>GARCIA ERNESTO HORACIO</t>
  </si>
  <si>
    <t>03748</t>
  </si>
  <si>
    <t>GIAMBARTOLOMEI ROSANA NATALIA</t>
  </si>
  <si>
    <t>07477</t>
  </si>
  <si>
    <t>GRECO Y GRECO HNOS.</t>
  </si>
  <si>
    <t>05673</t>
  </si>
  <si>
    <t>GRUPO NUCLEO S.A.</t>
  </si>
  <si>
    <t>07286</t>
  </si>
  <si>
    <t>GUILLERMO SIMONE S A C I F Y A</t>
  </si>
  <si>
    <t>VENTA DE AUTOS, CAMIONETAS Y UTILITARIOS NUEVOS</t>
  </si>
  <si>
    <t>PR146</t>
  </si>
  <si>
    <t>06085</t>
  </si>
  <si>
    <t>HERRAJES VERONA SRL</t>
  </si>
  <si>
    <t>09666</t>
  </si>
  <si>
    <t>HIERROS DEL MAR S. R. L.</t>
  </si>
  <si>
    <t>02726</t>
  </si>
  <si>
    <t>HOTELES Y TURISMO S.A.</t>
  </si>
  <si>
    <t>07646</t>
  </si>
  <si>
    <t>INA INGENIERIA SRL</t>
  </si>
  <si>
    <t>01336</t>
  </si>
  <si>
    <t>LA NUEVA ASTURIANA S.A.</t>
  </si>
  <si>
    <t>08322</t>
  </si>
  <si>
    <t>MANGI- SEGU INDUSTRIAS S.R.L</t>
  </si>
  <si>
    <t>07303</t>
  </si>
  <si>
    <t>NORIOC SERVICIO DE ASISTENCIA TECNICA S.A.</t>
  </si>
  <si>
    <t>REPARACIONES ELECTRONICAS PLANTA FRIGORIFICA</t>
  </si>
  <si>
    <t>PR187</t>
  </si>
  <si>
    <t>05446</t>
  </si>
  <si>
    <t>PARTES INFORMATICAS . COM   S.A.</t>
  </si>
  <si>
    <t>07885</t>
  </si>
  <si>
    <t>PINTURAS DISTRIBUCION Y APLICACION SRL</t>
  </si>
  <si>
    <t>01179</t>
  </si>
  <si>
    <t>PLUS TEL SRL</t>
  </si>
  <si>
    <t>09307</t>
  </si>
  <si>
    <t>PLUSCARGO FEDERAL S.A</t>
  </si>
  <si>
    <t>07546</t>
  </si>
  <si>
    <t>PONTEMAR SRL</t>
  </si>
  <si>
    <t>07732</t>
  </si>
  <si>
    <t>PUNTO TRUCK S.A.</t>
  </si>
  <si>
    <t>07703</t>
  </si>
  <si>
    <t>ROJAS HORACIO DANIEL</t>
  </si>
  <si>
    <t>MANT. PARQUE FABRICA</t>
  </si>
  <si>
    <t>PR127</t>
  </si>
  <si>
    <t>09190</t>
  </si>
  <si>
    <t>ROLLOS Y ETIQUETAS MAR DEL PLATA S.A</t>
  </si>
  <si>
    <t>MAT. Y EQUIPOS PARA FRIGORIFICO</t>
  </si>
  <si>
    <t>PR204</t>
  </si>
  <si>
    <t>09679</t>
  </si>
  <si>
    <t>SAFFARANO MARIA LORENA</t>
  </si>
  <si>
    <t>08419</t>
  </si>
  <si>
    <t>SAN MARCOS E. S.A.</t>
  </si>
  <si>
    <t>SERVICIOS DE INFORMACION PARA ACTIVIDAD PESQUERA</t>
  </si>
  <si>
    <t>PR237</t>
  </si>
  <si>
    <t>08597</t>
  </si>
  <si>
    <t>SEMAVE S R L</t>
  </si>
  <si>
    <t>05136</t>
  </si>
  <si>
    <t>SOLUCIONES NAVALES S.R.L</t>
  </si>
  <si>
    <t>08915</t>
  </si>
  <si>
    <t>SUBIROS IGNACIO JAVIER</t>
  </si>
  <si>
    <t>04989</t>
  </si>
  <si>
    <t>TRANSPORTADORA "EL DIRECTO" S.R.L.</t>
  </si>
  <si>
    <t>06724</t>
  </si>
  <si>
    <t>UNION DE TRABAJADORES DEL TURISMO HOTELEROS Y GASTRONOMICOS DE LA REPUBLICA ARGENTINA UTHGRA</t>
  </si>
  <si>
    <t>06324</t>
  </si>
  <si>
    <t>UNIVERSIDAD NACIONAL DE MAR DEL PLATA</t>
  </si>
  <si>
    <t>Deuda al día   valor: 20261019</t>
  </si>
  <si>
    <t>Se paga en 12 cuotas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</si>
</sst>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4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23" fillId="13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24" fillId="13" borderId="0" xfId="0" applyFont="1" applyFill="1" applyAlignment="1">
      <alignment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  <cell r="FG1">
            <v>46269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  <cell r="FG2">
            <v>1505.5</v>
          </cell>
          <cell r="FL2">
            <v>1509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  <cell r="EX10">
            <v>808785000</v>
          </cell>
          <cell r="EY10">
            <v>822623000</v>
          </cell>
          <cell r="FG10">
            <v>190280000</v>
          </cell>
          <cell r="FH10">
            <v>204000000</v>
          </cell>
          <cell r="FI10">
            <v>415424000</v>
          </cell>
          <cell r="FJ10">
            <v>306408000</v>
          </cell>
          <cell r="FK10">
            <v>197414000</v>
          </cell>
          <cell r="FL10">
            <v>358410581</v>
          </cell>
          <cell r="FM10">
            <v>257838877</v>
          </cell>
          <cell r="FU10">
            <v>424267959</v>
          </cell>
          <cell r="GH10">
            <v>1156221059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  <cell r="EX13">
            <v>-149731000</v>
          </cell>
          <cell r="EY13">
            <v>141038000</v>
          </cell>
          <cell r="FD13">
            <v>604000</v>
          </cell>
          <cell r="FG13">
            <v>58017000</v>
          </cell>
          <cell r="FH13">
            <v>113928000</v>
          </cell>
          <cell r="FI13">
            <v>164014000</v>
          </cell>
          <cell r="FJ13">
            <v>83668000</v>
          </cell>
          <cell r="FK13">
            <v>29553000</v>
          </cell>
          <cell r="FL13">
            <v>58387000</v>
          </cell>
          <cell r="FM13">
            <v>64789000</v>
          </cell>
          <cell r="FU13">
            <v>84597000</v>
          </cell>
          <cell r="GG13">
            <v>54527000</v>
          </cell>
          <cell r="GH13">
            <v>54630000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  <cell r="EX14">
            <v>853000</v>
          </cell>
          <cell r="EY14">
            <v>2397000</v>
          </cell>
          <cell r="FD14">
            <v>8107000</v>
          </cell>
          <cell r="FG14">
            <v>44344000</v>
          </cell>
          <cell r="FH14">
            <v>41937000</v>
          </cell>
          <cell r="FI14">
            <v>4649000</v>
          </cell>
          <cell r="FJ14">
            <v>7582000</v>
          </cell>
          <cell r="FK14">
            <v>10200000</v>
          </cell>
          <cell r="FL14">
            <v>6513000</v>
          </cell>
          <cell r="FM14">
            <v>6569000</v>
          </cell>
          <cell r="FU14">
            <v>12270000</v>
          </cell>
          <cell r="GG14">
            <v>31357000</v>
          </cell>
          <cell r="GH14">
            <v>33833000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  <cell r="EX15">
            <v>277343000</v>
          </cell>
          <cell r="EY15">
            <v>7343000</v>
          </cell>
          <cell r="FD15">
            <v>2967000</v>
          </cell>
          <cell r="FG15">
            <v>2203000</v>
          </cell>
          <cell r="FH15">
            <v>3370000</v>
          </cell>
          <cell r="FI15">
            <v>12518000</v>
          </cell>
          <cell r="FJ15">
            <v>12518000</v>
          </cell>
          <cell r="FK15">
            <v>5230000</v>
          </cell>
          <cell r="FL15">
            <v>4141000</v>
          </cell>
          <cell r="FM15">
            <v>3637000</v>
          </cell>
          <cell r="FU15">
            <v>1251000</v>
          </cell>
          <cell r="GH15">
            <v>400000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  <cell r="EX16">
            <v>22000000</v>
          </cell>
          <cell r="EY16">
            <v>24000000</v>
          </cell>
          <cell r="FG16">
            <v>3821000</v>
          </cell>
          <cell r="FH16">
            <v>4016000</v>
          </cell>
          <cell r="FI16">
            <v>4441000</v>
          </cell>
          <cell r="FJ16">
            <v>39458000</v>
          </cell>
          <cell r="FK16">
            <v>33460000</v>
          </cell>
          <cell r="FL16">
            <v>3800000</v>
          </cell>
          <cell r="FM16">
            <v>3807000</v>
          </cell>
          <cell r="FU16">
            <v>5305000</v>
          </cell>
          <cell r="GG16">
            <v>126829000</v>
          </cell>
          <cell r="GH16">
            <v>6647000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  <cell r="EX22">
            <v>1179389844</v>
          </cell>
          <cell r="EY22">
            <v>1165551444</v>
          </cell>
          <cell r="FD22">
            <v>1387349000</v>
          </cell>
          <cell r="FG22">
            <v>1127963988</v>
          </cell>
          <cell r="FH22">
            <v>1386769447</v>
          </cell>
          <cell r="FI22">
            <v>1142598325</v>
          </cell>
          <cell r="FJ22">
            <v>896745000</v>
          </cell>
          <cell r="FK22">
            <v>896745000</v>
          </cell>
          <cell r="FL22">
            <v>1107000000</v>
          </cell>
          <cell r="FM22">
            <v>1107165633</v>
          </cell>
          <cell r="FU22">
            <v>1325977000</v>
          </cell>
          <cell r="GG22">
            <v>1026690000</v>
          </cell>
          <cell r="GH22">
            <v>940503000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  <cell r="EV24">
            <v>472985460</v>
          </cell>
          <cell r="EW24">
            <v>516789540</v>
          </cell>
          <cell r="EX24">
            <v>171460404</v>
          </cell>
          <cell r="EY24">
            <v>610691375</v>
          </cell>
          <cell r="EZ24">
            <v>611908700</v>
          </cell>
          <cell r="FA24">
            <v>2192218000</v>
          </cell>
          <cell r="FB24">
            <v>2509165490</v>
          </cell>
          <cell r="FC24">
            <v>2849935875</v>
          </cell>
          <cell r="FD24">
            <v>2740130856</v>
          </cell>
          <cell r="FE24">
            <v>2305085022</v>
          </cell>
          <cell r="FF24">
            <v>2612678073</v>
          </cell>
          <cell r="FG24">
            <v>2874777843.5</v>
          </cell>
          <cell r="FH24">
            <v>975267296</v>
          </cell>
          <cell r="FI24">
            <v>978509541</v>
          </cell>
          <cell r="FJ24">
            <v>5503254381.5</v>
          </cell>
          <cell r="FK24">
            <v>3264171921</v>
          </cell>
          <cell r="FL24">
            <v>2688933879</v>
          </cell>
          <cell r="FM24">
            <v>2082674000</v>
          </cell>
          <cell r="FS24">
            <v>2324382126</v>
          </cell>
          <cell r="FT24">
            <v>2335130460</v>
          </cell>
          <cell r="FU24">
            <v>1725254720</v>
          </cell>
          <cell r="FV24">
            <v>3638285098</v>
          </cell>
          <cell r="FW24">
            <v>3130897770</v>
          </cell>
          <cell r="FX24">
            <v>2882106926</v>
          </cell>
          <cell r="FY24">
            <v>3255406245</v>
          </cell>
          <cell r="FZ24">
            <v>2036319587.5</v>
          </cell>
          <cell r="GA24">
            <v>1921312112.5</v>
          </cell>
          <cell r="GB24">
            <v>1522816848</v>
          </cell>
          <cell r="GC24">
            <v>683661363</v>
          </cell>
          <cell r="GD24">
            <v>1192386600</v>
          </cell>
          <cell r="GE24">
            <v>1180068720</v>
          </cell>
          <cell r="GF24">
            <v>1364029906.5</v>
          </cell>
          <cell r="GG24">
            <v>564909844.5</v>
          </cell>
          <cell r="GH24">
            <v>696001328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  <cell r="EV25">
            <v>316557684</v>
          </cell>
          <cell r="EW25">
            <v>472985460</v>
          </cell>
          <cell r="EZ25">
            <v>88579920</v>
          </cell>
          <cell r="FA25">
            <v>175160000</v>
          </cell>
          <cell r="FB25">
            <v>300302760</v>
          </cell>
          <cell r="FC25">
            <v>300402198</v>
          </cell>
          <cell r="FD25">
            <v>299507256</v>
          </cell>
          <cell r="FE25">
            <v>342543000</v>
          </cell>
          <cell r="FF25">
            <v>258039000</v>
          </cell>
          <cell r="FG25">
            <v>211015396.5</v>
          </cell>
          <cell r="FH25">
            <v>317193600</v>
          </cell>
          <cell r="FI25">
            <v>333338100</v>
          </cell>
          <cell r="FJ25">
            <v>255935000</v>
          </cell>
          <cell r="FK25">
            <v>453900000</v>
          </cell>
          <cell r="FL25">
            <v>325944000</v>
          </cell>
          <cell r="FM25">
            <v>331540000</v>
          </cell>
          <cell r="FS25">
            <v>109462200</v>
          </cell>
          <cell r="FT25">
            <v>109968300</v>
          </cell>
          <cell r="FU25">
            <v>564254400</v>
          </cell>
          <cell r="FV25">
            <v>351348973.5</v>
          </cell>
          <cell r="FW25">
            <v>486648030</v>
          </cell>
          <cell r="FX25">
            <v>625219597.5</v>
          </cell>
          <cell r="FY25">
            <v>323319180</v>
          </cell>
          <cell r="FZ25">
            <v>390181137.5</v>
          </cell>
          <cell r="GA25">
            <v>390181137.5</v>
          </cell>
          <cell r="GB25">
            <v>390052152</v>
          </cell>
          <cell r="GC25">
            <v>169571751</v>
          </cell>
          <cell r="GD25">
            <v>169515620</v>
          </cell>
          <cell r="GE25">
            <v>293487680</v>
          </cell>
          <cell r="GF25">
            <v>293584222</v>
          </cell>
          <cell r="GG25">
            <v>527741222</v>
          </cell>
          <cell r="GH25">
            <v>376580465.5</v>
          </cell>
        </row>
        <row r="26">
          <cell r="GH26">
            <v>142693200</v>
          </cell>
        </row>
        <row r="28">
          <cell r="GG28">
            <v>2025070322.5</v>
          </cell>
          <cell r="GH28">
            <v>2030397702.5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  <cell r="EV29">
            <v>9477118782</v>
          </cell>
          <cell r="EW29">
            <v>9477118782</v>
          </cell>
          <cell r="EX29">
            <v>9505917126</v>
          </cell>
          <cell r="EY29">
            <v>9291260475</v>
          </cell>
          <cell r="EZ29">
            <v>9349600000</v>
          </cell>
          <cell r="FA29">
            <v>8568276050</v>
          </cell>
          <cell r="FB29">
            <v>8519420000</v>
          </cell>
          <cell r="FC29">
            <v>8712974856</v>
          </cell>
          <cell r="FD29">
            <v>8628895068</v>
          </cell>
          <cell r="FE29">
            <v>8734117653</v>
          </cell>
          <cell r="FF29">
            <v>8097476589</v>
          </cell>
          <cell r="FG29">
            <v>8070931302</v>
          </cell>
          <cell r="FH29">
            <v>9475210528</v>
          </cell>
          <cell r="FI29">
            <v>9314471508</v>
          </cell>
          <cell r="FJ29">
            <v>8877075365</v>
          </cell>
          <cell r="FK29">
            <v>9498361329</v>
          </cell>
          <cell r="FL29">
            <v>9129388131</v>
          </cell>
          <cell r="FM29">
            <v>9117288213</v>
          </cell>
          <cell r="FS29">
            <v>15720346480</v>
          </cell>
          <cell r="FT29">
            <v>15756099840</v>
          </cell>
          <cell r="FU29">
            <v>16813510400</v>
          </cell>
          <cell r="FV29">
            <v>15781697137.5</v>
          </cell>
          <cell r="FW29">
            <v>15326361006</v>
          </cell>
          <cell r="FX29">
            <v>15721030500</v>
          </cell>
          <cell r="FY29">
            <v>15286824195</v>
          </cell>
          <cell r="FZ29">
            <v>15497787387.5</v>
          </cell>
          <cell r="GA29">
            <v>14949550000</v>
          </cell>
          <cell r="GB29">
            <v>14943478536</v>
          </cell>
          <cell r="GC29">
            <v>14928271500</v>
          </cell>
          <cell r="GD29">
            <v>13933978000</v>
          </cell>
          <cell r="GE29">
            <v>14026256000</v>
          </cell>
          <cell r="GF29">
            <v>13678684087.5</v>
          </cell>
          <cell r="GG29">
            <v>13678684087.5</v>
          </cell>
          <cell r="GH29">
            <v>13654999857.5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  <cell r="EX31">
            <v>1191838968</v>
          </cell>
          <cell r="EY31">
            <v>692194923</v>
          </cell>
          <cell r="EZ31">
            <v>342368000</v>
          </cell>
          <cell r="FH31">
            <v>1507317626</v>
          </cell>
          <cell r="FI31">
            <v>607633370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  <cell r="EX43">
            <v>306425692</v>
          </cell>
          <cell r="EY43">
            <v>57614176</v>
          </cell>
          <cell r="FD43">
            <v>181112077</v>
          </cell>
          <cell r="FG43">
            <v>45290335</v>
          </cell>
          <cell r="FH43">
            <v>336815052</v>
          </cell>
          <cell r="FI43">
            <v>424319420</v>
          </cell>
          <cell r="FJ43">
            <v>2939544</v>
          </cell>
          <cell r="FK43">
            <v>63214078</v>
          </cell>
          <cell r="FL43">
            <v>121593571</v>
          </cell>
          <cell r="FM43">
            <v>421929408</v>
          </cell>
          <cell r="FU43">
            <v>400324888</v>
          </cell>
          <cell r="GG43">
            <v>187282014</v>
          </cell>
          <cell r="GH43">
            <v>209580438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  <cell r="EX46">
            <v>46132000</v>
          </cell>
          <cell r="EY46">
            <v>158407969</v>
          </cell>
          <cell r="FD46">
            <v>51477136</v>
          </cell>
          <cell r="FH46">
            <v>212885656</v>
          </cell>
          <cell r="FI46">
            <v>19575338</v>
          </cell>
          <cell r="FL46">
            <v>6074370</v>
          </cell>
          <cell r="GH46">
            <v>43082759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  <cell r="EY49">
            <v>7495412</v>
          </cell>
          <cell r="FL49">
            <v>2199600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  <cell r="EX50">
            <v>20950945</v>
          </cell>
          <cell r="FH50">
            <v>12611780</v>
          </cell>
          <cell r="FI50">
            <v>31902411</v>
          </cell>
          <cell r="FJ50">
            <v>2227081286</v>
          </cell>
          <cell r="FK50">
            <v>159022936</v>
          </cell>
          <cell r="FM50">
            <v>11201980</v>
          </cell>
          <cell r="FU50">
            <v>100748053</v>
          </cell>
          <cell r="GG50">
            <v>53320371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  <cell r="EX51">
            <v>107854200</v>
          </cell>
          <cell r="EY51">
            <v>20850000</v>
          </cell>
          <cell r="FD51">
            <v>169418024</v>
          </cell>
          <cell r="FG51">
            <v>688777988</v>
          </cell>
          <cell r="FH51">
            <v>338853719</v>
          </cell>
          <cell r="FI51">
            <v>156151989</v>
          </cell>
          <cell r="FJ51">
            <v>257288219</v>
          </cell>
          <cell r="FK51">
            <v>564628974</v>
          </cell>
          <cell r="FL51">
            <v>516948396</v>
          </cell>
          <cell r="FM51">
            <v>240753608</v>
          </cell>
          <cell r="FU51">
            <v>146353825</v>
          </cell>
          <cell r="GG51">
            <v>3611906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  <cell r="FI59">
            <v>160000000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  <cell r="FD60">
            <v>180000000</v>
          </cell>
        </row>
        <row r="61">
          <cell r="CJ61">
            <v>0</v>
          </cell>
        </row>
        <row r="68">
          <cell r="CJ68">
            <v>0</v>
          </cell>
        </row>
        <row r="73">
          <cell r="FG73">
            <v>130500000</v>
          </cell>
          <cell r="FU73">
            <v>131116450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35688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18385776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  <cell r="EV97">
            <v>35762061.762999997</v>
          </cell>
          <cell r="EW97">
            <v>34024200.174000002</v>
          </cell>
          <cell r="EX97">
            <v>34329322.403999999</v>
          </cell>
          <cell r="EY97">
            <v>35001309.556000002</v>
          </cell>
          <cell r="EZ97">
            <v>32475209.347000003</v>
          </cell>
          <cell r="FA97">
            <v>32880196.405000001</v>
          </cell>
          <cell r="FB97">
            <v>32912551.405000001</v>
          </cell>
          <cell r="FC97">
            <v>33013997.166000001</v>
          </cell>
          <cell r="FD97">
            <v>34505019.689000003</v>
          </cell>
          <cell r="FE97">
            <v>36005238.718999997</v>
          </cell>
          <cell r="FF97">
            <v>33243348.778999999</v>
          </cell>
          <cell r="FG97">
            <v>32031098.270000003</v>
          </cell>
          <cell r="FH97">
            <v>31412096.869999997</v>
          </cell>
          <cell r="FI97">
            <v>32336779.435999997</v>
          </cell>
          <cell r="FJ97">
            <v>33644452.497500002</v>
          </cell>
          <cell r="FK97">
            <v>30931429.434500001</v>
          </cell>
          <cell r="FL97">
            <v>31810521.982500002</v>
          </cell>
          <cell r="FM97">
            <v>32543316.3825</v>
          </cell>
          <cell r="FS97">
            <v>20019979.761999998</v>
          </cell>
          <cell r="FT97">
            <v>20145675.958000001</v>
          </cell>
          <cell r="FU97">
            <v>18320136.857999999</v>
          </cell>
          <cell r="GA97">
            <v>17389013.649</v>
          </cell>
          <cell r="GB97">
            <v>17298912.278999999</v>
          </cell>
          <cell r="GC97">
            <v>16712000.329</v>
          </cell>
          <cell r="GD97">
            <v>15603011.429000001</v>
          </cell>
          <cell r="GE97">
            <v>17806558.879000001</v>
          </cell>
          <cell r="GF97">
            <v>18181792.929000001</v>
          </cell>
          <cell r="GG97">
            <v>17813275</v>
          </cell>
          <cell r="GH97">
            <v>17957000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  <cell r="EX100">
            <v>512637872.16000003</v>
          </cell>
          <cell r="EY100">
            <v>609168000</v>
          </cell>
          <cell r="FD100">
            <v>706516864</v>
          </cell>
          <cell r="FG100">
            <v>1504790455</v>
          </cell>
          <cell r="FH100">
            <v>1248071376</v>
          </cell>
          <cell r="FI100">
            <v>865293563</v>
          </cell>
          <cell r="FJ100">
            <v>989741585</v>
          </cell>
          <cell r="FK100">
            <v>1451865442.78</v>
          </cell>
          <cell r="FL100">
            <v>1852178279</v>
          </cell>
          <cell r="FM100">
            <v>1779462460</v>
          </cell>
          <cell r="FU100">
            <v>1139790764.1199999</v>
          </cell>
          <cell r="GG100">
            <v>1109216000</v>
          </cell>
          <cell r="GH100">
            <v>972612348.80999994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  <cell r="EX101">
            <v>6504858243</v>
          </cell>
          <cell r="EY101">
            <v>6923980045</v>
          </cell>
          <cell r="FD101">
            <v>13329945213</v>
          </cell>
          <cell r="FG101">
            <v>12353842398</v>
          </cell>
          <cell r="FH101">
            <v>11735279712</v>
          </cell>
          <cell r="FI101">
            <v>11387545619</v>
          </cell>
          <cell r="FJ101">
            <v>8774851720</v>
          </cell>
          <cell r="FK101">
            <v>7581875038</v>
          </cell>
          <cell r="FL101">
            <v>7471140512</v>
          </cell>
          <cell r="FM101">
            <v>6505310688</v>
          </cell>
          <cell r="FU101">
            <v>6949854020</v>
          </cell>
          <cell r="GG101">
            <v>3073819000</v>
          </cell>
          <cell r="GH101">
            <v>3090737000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  <cell r="EX102">
            <v>8284777830</v>
          </cell>
          <cell r="EY102">
            <v>7816267342</v>
          </cell>
          <cell r="FD102">
            <v>7550543000</v>
          </cell>
          <cell r="FH102">
            <v>6953976045.9499998</v>
          </cell>
          <cell r="FI102">
            <v>6960467958</v>
          </cell>
          <cell r="FJ102">
            <v>6796061384</v>
          </cell>
          <cell r="FK102">
            <v>7878950730</v>
          </cell>
          <cell r="FL102">
            <v>7301555646</v>
          </cell>
          <cell r="FM102">
            <v>7447795635</v>
          </cell>
          <cell r="FU102">
            <v>5456915233</v>
          </cell>
          <cell r="GG102">
            <v>5909439000</v>
          </cell>
          <cell r="GH102">
            <v>5943000000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  <cell r="FH103">
            <v>1745997.6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  <threadedComment ref="AB175" dT="2026-03-13T15:00:33.59" personId="{BAFC73A4-64A0-45BC-9DF9-E4CD86354757}" id="{CB4A9D17-B455-43D9-844C-4C140EF0EA8D}">
    <text>La reduccion de la deuda de impo se debe al pago de USD 818 mil dolares abonados a YANMAR</text>
  </threadedComment>
  <threadedComment ref="AB176" dT="2026-03-13T15:00:33.59" personId="{BAFC73A4-64A0-45BC-9DF9-E4CD86354757}" id="{A1FD2FDA-8D70-433B-9B2C-4CB6408357E6}">
    <text>La reduccion de la deuda de impo se debe al pago de USD 818 mil dolares abonados a YANMAR</text>
  </threadedComment>
  <threadedComment ref="AB177" dT="2026-03-13T15:00:33.59" personId="{BAFC73A4-64A0-45BC-9DF9-E4CD86354757}" id="{CE112429-4A74-43C8-AFF4-3A1BD903D685}">
    <text>La reduccion de la deuda de impo se debe al pago de USD 818 mil dolares abonados a YANMAR</text>
  </threadedComment>
  <threadedComment ref="AB178" dT="2026-03-13T15:00:33.59" personId="{BAFC73A4-64A0-45BC-9DF9-E4CD86354757}" id="{DC3867E3-1437-4886-9AFB-A5C51C89D662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8" t="s">
        <v>0</v>
      </c>
      <c r="B1" s="78"/>
      <c r="C1" s="78"/>
      <c r="D1" s="78"/>
      <c r="E1" s="78"/>
      <c r="F1" s="78"/>
    </row>
    <row r="2" spans="1:6" ht="19.5" customHeight="1" x14ac:dyDescent="0.25">
      <c r="A2" s="79" t="s">
        <v>1</v>
      </c>
      <c r="B2" s="79"/>
      <c r="C2" s="79"/>
      <c r="D2" s="79"/>
      <c r="E2" s="79"/>
      <c r="F2" s="79"/>
    </row>
    <row r="5" spans="1:6" ht="15" customHeight="1" x14ac:dyDescent="0.25">
      <c r="A5" s="2"/>
      <c r="B5" s="3"/>
    </row>
    <row r="6" spans="1:6" ht="15" customHeight="1" x14ac:dyDescent="0.25">
      <c r="A6" s="77" t="s">
        <v>2</v>
      </c>
      <c r="B6" s="77"/>
      <c r="C6" s="77"/>
      <c r="D6" s="77"/>
      <c r="E6" s="77"/>
      <c r="F6" s="77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7" t="s">
        <v>21</v>
      </c>
      <c r="B17" s="77"/>
      <c r="C17" s="77"/>
      <c r="D17" s="77"/>
      <c r="E17" s="77"/>
      <c r="F17" s="77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7" t="s">
        <v>32</v>
      </c>
      <c r="B24" s="77"/>
      <c r="C24" s="77"/>
      <c r="D24" s="77"/>
      <c r="E24" s="77"/>
      <c r="F24" s="77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7" t="s">
        <v>47</v>
      </c>
      <c r="B33" s="77"/>
      <c r="C33" s="77"/>
      <c r="D33" s="77"/>
      <c r="E33" s="77"/>
      <c r="F33" s="77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165" activePane="bottomLeft" state="frozen"/>
      <selection activeCell="A3" sqref="A3"/>
      <selection pane="bottomLeft" activeCell="A188" sqref="A188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5.2851562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2" width="13.7109375" bestFit="1" customWidth="1"/>
    <col min="23" max="23" width="6.5703125" bestFit="1" customWidth="1"/>
    <col min="24" max="24" width="15.28515625" bestFit="1" customWidth="1"/>
    <col min="25" max="25" width="16.425781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2" t="s">
        <v>54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spans="1:37" ht="21.75" hidden="1" customHeight="1" x14ac:dyDescent="0.25">
      <c r="A2" s="5" t="s">
        <v>55</v>
      </c>
      <c r="B2" s="5" t="s">
        <v>56</v>
      </c>
      <c r="C2" s="73" t="s">
        <v>57</v>
      </c>
      <c r="D2" s="73"/>
      <c r="E2" s="73"/>
      <c r="F2" s="73"/>
      <c r="G2" s="73"/>
      <c r="H2" s="73"/>
      <c r="I2" s="73"/>
      <c r="J2" s="74" t="s">
        <v>58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5" t="s">
        <v>59</v>
      </c>
      <c r="X2" s="75"/>
      <c r="Y2" s="75"/>
      <c r="Z2" s="75"/>
      <c r="AA2" s="75"/>
      <c r="AB2" s="75"/>
      <c r="AC2" s="75"/>
      <c r="AD2" s="75"/>
      <c r="AE2" s="75"/>
      <c r="AF2" s="1"/>
      <c r="AG2" s="76"/>
      <c r="AH2" s="76"/>
      <c r="AI2" s="76"/>
      <c r="AJ2" s="76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35688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18385776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 t="shared" ref="AE144:AE150" si="32"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 t="shared" ref="Z145:Z150" si="33"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 t="shared" si="32"/>
        <v>280000</v>
      </c>
      <c r="AF145" s="63">
        <v>32411352</v>
      </c>
      <c r="AG145" s="63">
        <f t="shared" ref="AG145:AG150" si="34"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 t="shared" si="33"/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 t="shared" si="32"/>
        <v>280000</v>
      </c>
      <c r="AF146" s="63">
        <v>32294565</v>
      </c>
      <c r="AG146" s="63">
        <f t="shared" si="34"/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 t="shared" si="33"/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 t="shared" ref="AD147:AD152" si="35">+AD146</f>
        <v>245288.76712328769</v>
      </c>
      <c r="AE147" s="63">
        <f t="shared" si="32"/>
        <v>280000</v>
      </c>
      <c r="AF147" s="63">
        <f>+'[1]CF Dia V1'!$ET$97</f>
        <v>33167571.769000001</v>
      </c>
      <c r="AG147" s="63">
        <f t="shared" si="34"/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 t="shared" si="33"/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 t="shared" si="35"/>
        <v>245288.76712328769</v>
      </c>
      <c r="AE148" s="63">
        <f t="shared" si="32"/>
        <v>280000</v>
      </c>
      <c r="AF148" s="63">
        <f>+'[1]CF Dia V1'!$EU$97</f>
        <v>32207178.398999996</v>
      </c>
      <c r="AG148" s="63">
        <f t="shared" si="34"/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>
        <v>46254</v>
      </c>
      <c r="B149" s="63">
        <v>1494</v>
      </c>
      <c r="C149" s="14"/>
      <c r="D149" s="14">
        <v>652234000</v>
      </c>
      <c r="E149" s="14">
        <v>106188000</v>
      </c>
      <c r="F149" s="14">
        <v>23454000</v>
      </c>
      <c r="G149" s="14">
        <v>5373000</v>
      </c>
      <c r="H149" s="14">
        <v>887898000</v>
      </c>
      <c r="I149" s="14">
        <v>1562105837</v>
      </c>
      <c r="J149" s="14">
        <v>497678816</v>
      </c>
      <c r="K149" s="14"/>
      <c r="L149" s="14">
        <v>4951414</v>
      </c>
      <c r="M149" s="14"/>
      <c r="N149" s="14"/>
      <c r="O149" s="14"/>
      <c r="P149" s="14">
        <v>0</v>
      </c>
      <c r="Q149" s="14">
        <v>45507216</v>
      </c>
      <c r="R149" s="14"/>
      <c r="S149" s="14"/>
      <c r="T149" s="14"/>
      <c r="U149" s="14"/>
      <c r="V149" s="14"/>
      <c r="W149" s="14"/>
      <c r="X149" s="14">
        <v>900747754</v>
      </c>
      <c r="Y149" s="14">
        <v>7370445877</v>
      </c>
      <c r="Z149" s="14">
        <f t="shared" si="33"/>
        <v>179326122.93125013</v>
      </c>
      <c r="AA149" s="63">
        <v>6456273353</v>
      </c>
      <c r="AB149" s="63">
        <f t="shared" ref="AB149:AB154" si="36">+AB148</f>
        <v>1562000</v>
      </c>
      <c r="AC149" s="63">
        <v>16800000</v>
      </c>
      <c r="AD149" s="63">
        <f t="shared" si="35"/>
        <v>245288.76712328769</v>
      </c>
      <c r="AE149" s="63">
        <f t="shared" si="32"/>
        <v>280000</v>
      </c>
      <c r="AF149" s="63">
        <f>+'[1]CF Dia V1'!$EV$97</f>
        <v>35762061.762999997</v>
      </c>
      <c r="AG149" s="63">
        <f t="shared" si="34"/>
        <v>5582721359</v>
      </c>
      <c r="AH149" s="14">
        <f>+'[1]CF Dia V1'!$EV$24+'[1]CF Dia V1'!$EV$25</f>
        <v>789543144</v>
      </c>
      <c r="AI149" s="14">
        <f>+'[1]CF Dia V1'!$EV$29</f>
        <v>9477118782</v>
      </c>
      <c r="AJ149" s="14"/>
      <c r="AK149" s="16"/>
    </row>
    <row r="150" spans="1:37" ht="15.75" customHeight="1" x14ac:dyDescent="0.25">
      <c r="A150" s="13">
        <v>46255</v>
      </c>
      <c r="B150" s="63">
        <v>1494</v>
      </c>
      <c r="C150" s="14"/>
      <c r="D150" s="14">
        <v>842000000</v>
      </c>
      <c r="E150" s="14">
        <v>48084000</v>
      </c>
      <c r="F150" s="14">
        <v>22551000</v>
      </c>
      <c r="G150" s="14">
        <v>30000000</v>
      </c>
      <c r="H150" s="14">
        <v>277343000</v>
      </c>
      <c r="I150" s="14">
        <v>1556464612</v>
      </c>
      <c r="J150" s="14">
        <v>369070003</v>
      </c>
      <c r="K150" s="14"/>
      <c r="L150" s="14">
        <v>0</v>
      </c>
      <c r="M150" s="14"/>
      <c r="N150" s="14"/>
      <c r="O150" s="14"/>
      <c r="P150" s="14">
        <v>935838954</v>
      </c>
      <c r="Q150" s="14">
        <v>17791074</v>
      </c>
      <c r="R150" s="14"/>
      <c r="S150" s="14"/>
      <c r="T150" s="14"/>
      <c r="U150" s="14"/>
      <c r="V150" s="14"/>
      <c r="W150" s="14"/>
      <c r="X150" s="14">
        <v>556318566</v>
      </c>
      <c r="Y150" s="14">
        <v>6558923582</v>
      </c>
      <c r="Z150" s="14">
        <f t="shared" si="33"/>
        <v>179326122.93125013</v>
      </c>
      <c r="AA150" s="63">
        <v>6755356465</v>
      </c>
      <c r="AB150" s="63">
        <f t="shared" si="36"/>
        <v>1562000</v>
      </c>
      <c r="AC150" s="63">
        <v>16800000</v>
      </c>
      <c r="AD150" s="63">
        <f t="shared" si="35"/>
        <v>245288.76712328769</v>
      </c>
      <c r="AE150" s="63">
        <f t="shared" si="32"/>
        <v>280000</v>
      </c>
      <c r="AF150" s="63">
        <f>+'[1]CF Dia V1'!$EW$97</f>
        <v>34024200.174000002</v>
      </c>
      <c r="AG150" s="63">
        <f t="shared" si="34"/>
        <v>5582721359</v>
      </c>
      <c r="AH150" s="14">
        <f>+'[1]CF Dia V1'!$EW$24+'[1]CF Dia V1'!$EW$25</f>
        <v>989775000</v>
      </c>
      <c r="AI150" s="14">
        <f>+'[1]CF Dia V1'!$EW$29</f>
        <v>9477118782</v>
      </c>
      <c r="AJ150" s="14"/>
      <c r="AK150" s="16"/>
    </row>
    <row r="151" spans="1:37" ht="15.75" customHeight="1" x14ac:dyDescent="0.25">
      <c r="A151" s="13">
        <v>46258</v>
      </c>
      <c r="B151" s="63">
        <v>1494</v>
      </c>
      <c r="C151" s="14"/>
      <c r="D151" s="14">
        <f>+'[1]CF Dia V1'!$EX$10</f>
        <v>808785000</v>
      </c>
      <c r="E151" s="14">
        <f>+'[1]CF Dia V1'!$EX$13</f>
        <v>-149731000</v>
      </c>
      <c r="F151" s="14">
        <f>+'[1]CF Dia V1'!$EX$16</f>
        <v>22000000</v>
      </c>
      <c r="G151" s="14">
        <f>+'[1]CF Dia V1'!$EX$14</f>
        <v>853000</v>
      </c>
      <c r="H151" s="14">
        <f>+'[1]CF Dia V1'!$EX$15</f>
        <v>277343000</v>
      </c>
      <c r="I151" s="14">
        <f>+'[1]CF Dia V1'!$EX$22</f>
        <v>1179389844</v>
      </c>
      <c r="J151" s="14">
        <f>+'[1]CF Dia V1'!$EX$43</f>
        <v>306425692</v>
      </c>
      <c r="K151" s="14"/>
      <c r="L151" s="14">
        <f>+'[1]CF Dia V1'!$EX$46</f>
        <v>46132000</v>
      </c>
      <c r="M151" s="14"/>
      <c r="N151" s="14"/>
      <c r="O151" s="14"/>
      <c r="P151" s="14">
        <f>+'[1]CF Dia V1'!$EX$50</f>
        <v>20950945</v>
      </c>
      <c r="Q151" s="14">
        <f>+'[1]CF Dia V1'!$EX$51</f>
        <v>107854200</v>
      </c>
      <c r="R151" s="14"/>
      <c r="S151" s="14"/>
      <c r="T151" s="14"/>
      <c r="U151" s="14"/>
      <c r="V151" s="14"/>
      <c r="W151" s="14"/>
      <c r="X151" s="14">
        <f>+'[1]CF Dia V1'!$EX$100</f>
        <v>512637872.16000003</v>
      </c>
      <c r="Y151" s="14">
        <f>+'[1]CF Dia V1'!$EX$101</f>
        <v>6504858243</v>
      </c>
      <c r="Z151" s="14">
        <f t="shared" ref="Z151:Z156" si="37">+Z150</f>
        <v>179326122.93125013</v>
      </c>
      <c r="AA151" s="63">
        <f>+'[1]CF Dia V1'!$EX$102</f>
        <v>8284777830</v>
      </c>
      <c r="AB151" s="63">
        <f t="shared" si="36"/>
        <v>1562000</v>
      </c>
      <c r="AC151" s="63">
        <v>17800000</v>
      </c>
      <c r="AD151" s="63">
        <f>+AD150</f>
        <v>245288.76712328769</v>
      </c>
      <c r="AE151" s="63">
        <f t="shared" ref="AE151:AE156" si="38">+AE150</f>
        <v>280000</v>
      </c>
      <c r="AF151" s="63">
        <f>+'[1]CF Dia V1'!$EX$97</f>
        <v>34329322.403999999</v>
      </c>
      <c r="AG151" s="63">
        <f t="shared" ref="AG151:AG156" si="39">+AG150</f>
        <v>5582721359</v>
      </c>
      <c r="AH151" s="14">
        <f>+'[1]CF Dia V1'!$EX$24</f>
        <v>171460404</v>
      </c>
      <c r="AI151" s="14">
        <f>+'[1]CF Dia V1'!$EX$29</f>
        <v>9505917126</v>
      </c>
      <c r="AJ151" s="14">
        <f>+'[1]CF Dia V1'!$EX$31</f>
        <v>1191838968</v>
      </c>
      <c r="AK151" s="16"/>
    </row>
    <row r="152" spans="1:37" ht="15.75" customHeight="1" x14ac:dyDescent="0.25">
      <c r="A152" s="13">
        <v>46259</v>
      </c>
      <c r="B152" s="63">
        <v>1505</v>
      </c>
      <c r="C152" s="14"/>
      <c r="D152" s="14">
        <f>+'[1]CF Dia V1'!$EY$10</f>
        <v>822623000</v>
      </c>
      <c r="E152" s="14">
        <f>+'[1]CF Dia V1'!$EY$13</f>
        <v>141038000</v>
      </c>
      <c r="F152" s="14">
        <f>+'[1]CF Dia V1'!$EY$16</f>
        <v>24000000</v>
      </c>
      <c r="G152" s="14">
        <f>+'[1]CF Dia V1'!$EY$14</f>
        <v>2397000</v>
      </c>
      <c r="H152" s="14">
        <f>+'[1]CF Dia V1'!$EY$15</f>
        <v>7343000</v>
      </c>
      <c r="I152" s="14">
        <f>+'[1]CF Dia V1'!$EY$22</f>
        <v>1165551444</v>
      </c>
      <c r="J152" s="14">
        <f>+'[1]CF Dia V1'!$EY$43</f>
        <v>57614176</v>
      </c>
      <c r="K152" s="14"/>
      <c r="L152" s="14">
        <f>+'[1]CF Dia V1'!$EY$46</f>
        <v>158407969</v>
      </c>
      <c r="M152" s="14"/>
      <c r="N152" s="14"/>
      <c r="O152" s="14">
        <f>+'[1]CF Dia V1'!$EY$49</f>
        <v>7495412</v>
      </c>
      <c r="P152" s="14"/>
      <c r="Q152" s="14">
        <f>+'[1]CF Dia V1'!$EY$51</f>
        <v>20850000</v>
      </c>
      <c r="R152" s="14"/>
      <c r="S152" s="14"/>
      <c r="T152" s="14"/>
      <c r="U152" s="14"/>
      <c r="V152" s="14"/>
      <c r="W152" s="14"/>
      <c r="X152" s="14">
        <f>+'[1]CF Dia V1'!$EY$100</f>
        <v>609168000</v>
      </c>
      <c r="Y152" s="14">
        <f>+'[1]CF Dia V1'!$EY$101</f>
        <v>6923980045</v>
      </c>
      <c r="Z152" s="14">
        <f t="shared" si="37"/>
        <v>179326122.93125013</v>
      </c>
      <c r="AA152" s="63">
        <f>+'[1]CF Dia V1'!$EY$102</f>
        <v>7816267342</v>
      </c>
      <c r="AB152" s="63">
        <f t="shared" si="36"/>
        <v>1562000</v>
      </c>
      <c r="AC152" s="63">
        <f t="shared" ref="AC152:AC156" si="40">+AC151</f>
        <v>17800000</v>
      </c>
      <c r="AD152" s="63">
        <f t="shared" si="35"/>
        <v>245288.76712328769</v>
      </c>
      <c r="AE152" s="63">
        <f t="shared" si="38"/>
        <v>280000</v>
      </c>
      <c r="AF152" s="63">
        <f>+'[1]CF Dia V1'!$EY$97</f>
        <v>35001309.556000002</v>
      </c>
      <c r="AG152" s="63">
        <f t="shared" si="39"/>
        <v>5582721359</v>
      </c>
      <c r="AH152" s="14">
        <f>+'[1]CF Dia V1'!$EY$24</f>
        <v>610691375</v>
      </c>
      <c r="AI152" s="14">
        <f>+'[1]CF Dia V1'!$EY$29</f>
        <v>9291260475</v>
      </c>
      <c r="AJ152" s="14">
        <f>+'[1]CF Dia V1'!$EY$31</f>
        <v>692194923</v>
      </c>
      <c r="AK152" s="16"/>
    </row>
    <row r="153" spans="1:37" ht="15.75" customHeight="1" x14ac:dyDescent="0.25">
      <c r="A153" s="13">
        <f>+A152+1</f>
        <v>46260</v>
      </c>
      <c r="B153" s="63">
        <v>1508</v>
      </c>
      <c r="C153" s="14"/>
      <c r="D153" s="14">
        <v>503000000</v>
      </c>
      <c r="E153" s="14">
        <v>249951000</v>
      </c>
      <c r="F153" s="14">
        <v>980000000</v>
      </c>
      <c r="G153" s="14">
        <v>2219000</v>
      </c>
      <c r="H153" s="14">
        <v>5524000</v>
      </c>
      <c r="I153" s="14">
        <v>1165000000</v>
      </c>
      <c r="J153" s="14">
        <v>235962163</v>
      </c>
      <c r="K153" s="14"/>
      <c r="L153" s="14">
        <v>5123717</v>
      </c>
      <c r="M153" s="14"/>
      <c r="N153" s="14"/>
      <c r="O153" s="14">
        <v>4487184</v>
      </c>
      <c r="P153" s="14">
        <v>236749728</v>
      </c>
      <c r="Q153" s="14">
        <v>229759453</v>
      </c>
      <c r="R153" s="14"/>
      <c r="S153" s="14"/>
      <c r="T153" s="14"/>
      <c r="U153" s="14"/>
      <c r="V153" s="14"/>
      <c r="W153" s="14"/>
      <c r="X153" s="14">
        <v>944817063</v>
      </c>
      <c r="Y153" s="14">
        <v>6433854244</v>
      </c>
      <c r="Z153" s="14">
        <f t="shared" si="37"/>
        <v>179326122.93125013</v>
      </c>
      <c r="AA153" s="63">
        <v>8027776486.46</v>
      </c>
      <c r="AB153" s="63">
        <f t="shared" si="36"/>
        <v>1562000</v>
      </c>
      <c r="AC153" s="63">
        <f t="shared" si="40"/>
        <v>17800000</v>
      </c>
      <c r="AD153" s="63">
        <f t="shared" ref="AD153:AD159" si="41">+AD152</f>
        <v>245288.76712328769</v>
      </c>
      <c r="AE153" s="63">
        <f t="shared" si="38"/>
        <v>280000</v>
      </c>
      <c r="AF153" s="63">
        <f>+'[1]CF Dia V1'!$EZ$97</f>
        <v>32475209.347000003</v>
      </c>
      <c r="AG153" s="63">
        <f t="shared" si="39"/>
        <v>5582721359</v>
      </c>
      <c r="AH153" s="14">
        <f>+'[1]CF Dia V1'!$EZ$24+'[1]CF Dia V1'!$EZ$25</f>
        <v>700488620</v>
      </c>
      <c r="AI153" s="14">
        <f>+'[1]CF Dia V1'!$EZ$29</f>
        <v>9349600000</v>
      </c>
      <c r="AJ153" s="14">
        <f>+'[1]CF Dia V1'!$EZ$31</f>
        <v>342368000</v>
      </c>
      <c r="AK153" s="16"/>
    </row>
    <row r="154" spans="1:37" ht="15.75" customHeight="1" x14ac:dyDescent="0.25">
      <c r="A154" s="13">
        <f>+A153+1</f>
        <v>46261</v>
      </c>
      <c r="B154" s="63">
        <v>1510</v>
      </c>
      <c r="C154" s="14"/>
      <c r="D154" s="14">
        <v>108000000</v>
      </c>
      <c r="E154" s="14">
        <v>139773000</v>
      </c>
      <c r="F154" s="14">
        <v>983000000</v>
      </c>
      <c r="G154" s="14">
        <v>2547000</v>
      </c>
      <c r="H154" s="14">
        <v>5524000</v>
      </c>
      <c r="I154" s="14">
        <v>1502000000</v>
      </c>
      <c r="J154" s="14">
        <v>213862279</v>
      </c>
      <c r="K154" s="14"/>
      <c r="L154" s="14">
        <v>14148020</v>
      </c>
      <c r="M154" s="14"/>
      <c r="N154" s="14"/>
      <c r="O154" s="14">
        <v>2199600</v>
      </c>
      <c r="P154" s="14"/>
      <c r="Q154" s="14">
        <v>121642988</v>
      </c>
      <c r="R154" s="14"/>
      <c r="S154" s="14"/>
      <c r="T154" s="14"/>
      <c r="U154" s="14"/>
      <c r="V154" s="14"/>
      <c r="W154" s="14"/>
      <c r="X154" s="14">
        <v>786422165</v>
      </c>
      <c r="Y154" s="14">
        <v>6553854244</v>
      </c>
      <c r="Z154" s="14">
        <f t="shared" si="37"/>
        <v>179326122.93125013</v>
      </c>
      <c r="AA154" s="63">
        <v>7969027248</v>
      </c>
      <c r="AB154" s="63">
        <f t="shared" si="36"/>
        <v>1562000</v>
      </c>
      <c r="AC154" s="63">
        <f t="shared" si="40"/>
        <v>17800000</v>
      </c>
      <c r="AD154" s="63">
        <f t="shared" si="41"/>
        <v>245288.76712328769</v>
      </c>
      <c r="AE154" s="63">
        <f t="shared" si="38"/>
        <v>280000</v>
      </c>
      <c r="AF154" s="63">
        <f>+'[1]CF Dia V1'!$FA$97</f>
        <v>32880196.405000001</v>
      </c>
      <c r="AG154" s="63">
        <f t="shared" si="39"/>
        <v>5582721359</v>
      </c>
      <c r="AH154" s="14">
        <f>+'[1]CF Dia V1'!$FA$24+'[1]CF Dia V1'!$FA$25</f>
        <v>2367378000</v>
      </c>
      <c r="AI154" s="14">
        <f>+'[1]CF Dia V1'!$FA$29</f>
        <v>8568276050</v>
      </c>
      <c r="AJ154" s="14"/>
      <c r="AK154" s="16"/>
    </row>
    <row r="155" spans="1:37" ht="15.75" customHeight="1" x14ac:dyDescent="0.25">
      <c r="A155" s="13">
        <f>+A154+1</f>
        <v>46262</v>
      </c>
      <c r="B155" s="63">
        <v>1510</v>
      </c>
      <c r="C155" s="14"/>
      <c r="D155" s="14">
        <v>144000000</v>
      </c>
      <c r="E155" s="14">
        <v>27615107</v>
      </c>
      <c r="F155" s="14">
        <v>623000000</v>
      </c>
      <c r="G155" s="14">
        <v>1948000</v>
      </c>
      <c r="H155" s="14">
        <v>5422000</v>
      </c>
      <c r="I155" s="14">
        <v>1411612000</v>
      </c>
      <c r="J155" s="14">
        <v>316999977</v>
      </c>
      <c r="K155" s="14"/>
      <c r="L155" s="14">
        <v>0</v>
      </c>
      <c r="M155" s="14"/>
      <c r="N155" s="14"/>
      <c r="O155" s="14"/>
      <c r="P155" s="14"/>
      <c r="Q155" s="14">
        <v>318251478</v>
      </c>
      <c r="R155" s="14"/>
      <c r="S155" s="14"/>
      <c r="T155" s="14"/>
      <c r="U155" s="14"/>
      <c r="V155" s="14"/>
      <c r="W155" s="14"/>
      <c r="X155" s="14">
        <v>786422165</v>
      </c>
      <c r="Y155" s="14">
        <v>6886479895</v>
      </c>
      <c r="Z155" s="14">
        <f t="shared" si="37"/>
        <v>179326122.93125013</v>
      </c>
      <c r="AA155" s="63">
        <f>+AA154</f>
        <v>7969027248</v>
      </c>
      <c r="AB155" s="63">
        <f>+AB154</f>
        <v>1562000</v>
      </c>
      <c r="AC155" s="63">
        <f t="shared" si="40"/>
        <v>17800000</v>
      </c>
      <c r="AD155" s="63">
        <f t="shared" si="41"/>
        <v>245288.76712328769</v>
      </c>
      <c r="AE155" s="63">
        <f t="shared" si="38"/>
        <v>280000</v>
      </c>
      <c r="AF155" s="63">
        <f>+'[1]CF Dia V1'!$FB$97</f>
        <v>32912551.405000001</v>
      </c>
      <c r="AG155" s="63">
        <f t="shared" si="39"/>
        <v>5582721359</v>
      </c>
      <c r="AH155" s="14">
        <f>+'[1]CF Dia V1'!$FB$24+'[1]CF Dia V1'!$FB$25</f>
        <v>2809468250</v>
      </c>
      <c r="AI155" s="14">
        <f>+'[1]CF Dia V1'!$FB$29</f>
        <v>8519420000</v>
      </c>
      <c r="AJ155" s="14"/>
      <c r="AK155" s="16"/>
    </row>
    <row r="156" spans="1:37" ht="15.75" customHeight="1" x14ac:dyDescent="0.25">
      <c r="A156" s="13">
        <f>+A155+3</f>
        <v>46265</v>
      </c>
      <c r="B156" s="63">
        <v>1510.5</v>
      </c>
      <c r="C156" s="14"/>
      <c r="D156" s="14">
        <v>0</v>
      </c>
      <c r="E156" s="14">
        <v>274849000</v>
      </c>
      <c r="F156" s="14">
        <v>3924000</v>
      </c>
      <c r="G156" s="14">
        <v>9554000</v>
      </c>
      <c r="H156" s="14">
        <v>969000</v>
      </c>
      <c r="I156" s="14">
        <v>1387349000</v>
      </c>
      <c r="J156" s="14">
        <v>332625651</v>
      </c>
      <c r="K156" s="14"/>
      <c r="L156" s="14">
        <v>11135485</v>
      </c>
      <c r="M156" s="14"/>
      <c r="N156" s="14"/>
      <c r="O156" s="14"/>
      <c r="P156" s="14"/>
      <c r="Q156" s="14">
        <v>213884973</v>
      </c>
      <c r="R156" s="14"/>
      <c r="S156" s="14"/>
      <c r="T156" s="14"/>
      <c r="U156" s="14"/>
      <c r="V156" s="14"/>
      <c r="W156" s="14"/>
      <c r="X156" s="14">
        <v>726565688</v>
      </c>
      <c r="Y156" s="14">
        <v>13577822892</v>
      </c>
      <c r="Z156" s="14">
        <f t="shared" si="37"/>
        <v>179326122.93125013</v>
      </c>
      <c r="AA156" s="63">
        <v>7678749522</v>
      </c>
      <c r="AB156" s="63">
        <f>+AB155</f>
        <v>1562000</v>
      </c>
      <c r="AC156" s="63">
        <f t="shared" si="40"/>
        <v>17800000</v>
      </c>
      <c r="AD156" s="63">
        <f t="shared" si="41"/>
        <v>245288.76712328769</v>
      </c>
      <c r="AE156" s="63">
        <f t="shared" si="38"/>
        <v>280000</v>
      </c>
      <c r="AF156" s="63">
        <f>+'[1]CF Dia V1'!$FC$97</f>
        <v>33013997.166000001</v>
      </c>
      <c r="AG156" s="63">
        <f t="shared" si="39"/>
        <v>5582721359</v>
      </c>
      <c r="AH156" s="14">
        <f>+'[1]CF Dia V1'!$FC$24+'[1]CF Dia V1'!$FC$25</f>
        <v>3150338073</v>
      </c>
      <c r="AI156" s="14">
        <f>+'[1]CF Dia V1'!$FC$29</f>
        <v>8712974856</v>
      </c>
      <c r="AJ156" s="14"/>
      <c r="AK156" s="16"/>
    </row>
    <row r="157" spans="1:37" ht="15.75" customHeight="1" x14ac:dyDescent="0.25">
      <c r="A157" s="13">
        <v>46266</v>
      </c>
      <c r="B157" s="63">
        <v>1506</v>
      </c>
      <c r="C157" s="14"/>
      <c r="D157" s="14">
        <v>16000000</v>
      </c>
      <c r="E157" s="14">
        <f>+'[1]CF Dia V1'!$FD$13</f>
        <v>604000</v>
      </c>
      <c r="F157" s="14">
        <f>+F156</f>
        <v>3924000</v>
      </c>
      <c r="G157" s="14">
        <f>+'[1]CF Dia V1'!$FD$14</f>
        <v>8107000</v>
      </c>
      <c r="H157" s="14">
        <f>+'[1]CF Dia V1'!$FD$15</f>
        <v>2967000</v>
      </c>
      <c r="I157" s="14">
        <f>+'[1]CF Dia V1'!$FD$22</f>
        <v>1387349000</v>
      </c>
      <c r="J157" s="14">
        <f>+'[1]CF Dia V1'!$FD$43</f>
        <v>181112077</v>
      </c>
      <c r="K157" s="14"/>
      <c r="L157" s="14">
        <f>+'[1]CF Dia V1'!$FD$46</f>
        <v>51477136</v>
      </c>
      <c r="M157" s="14"/>
      <c r="N157" s="14"/>
      <c r="O157" s="14"/>
      <c r="P157" s="14"/>
      <c r="Q157" s="14">
        <f>+'[1]CF Dia V1'!$FD$51</f>
        <v>169418024</v>
      </c>
      <c r="R157" s="14"/>
      <c r="S157" s="14"/>
      <c r="T157" s="14"/>
      <c r="U157" s="14">
        <f>+'[1]CF Dia V1'!$FD$60</f>
        <v>180000000</v>
      </c>
      <c r="V157" s="14"/>
      <c r="W157" s="14"/>
      <c r="X157" s="14">
        <f>+'[1]CF Dia V1'!$FD$100</f>
        <v>706516864</v>
      </c>
      <c r="Y157" s="14">
        <f>+'[1]CF Dia V1'!$FD$101</f>
        <v>13329945213</v>
      </c>
      <c r="Z157" s="14">
        <f t="shared" ref="Z157:Z162" si="42">+Z156</f>
        <v>179326122.93125013</v>
      </c>
      <c r="AA157" s="63">
        <f>+'[1]CF Dia V1'!$FD$102</f>
        <v>7550543000</v>
      </c>
      <c r="AB157" s="63">
        <f>+AB156</f>
        <v>1562000</v>
      </c>
      <c r="AC157" s="63">
        <f t="shared" ref="AC157:AC162" si="43">+AC156</f>
        <v>17800000</v>
      </c>
      <c r="AD157" s="63">
        <f t="shared" si="41"/>
        <v>245288.76712328769</v>
      </c>
      <c r="AE157" s="63">
        <f>+AE156</f>
        <v>280000</v>
      </c>
      <c r="AF157" s="63">
        <f>+'[1]CF Dia V1'!$FD$97</f>
        <v>34505019.689000003</v>
      </c>
      <c r="AG157" s="63">
        <f t="shared" ref="AG157:AG162" si="44">+AG156</f>
        <v>5582721359</v>
      </c>
      <c r="AH157" s="14">
        <f>+'[1]CF Dia V1'!$FD$24+'[1]CF Dia V1'!$FD$25</f>
        <v>3039638112</v>
      </c>
      <c r="AI157" s="14">
        <f>+'[1]CF Dia V1'!$FD$29</f>
        <v>8628895068</v>
      </c>
      <c r="AJ157" s="14"/>
      <c r="AK157" s="16"/>
    </row>
    <row r="158" spans="1:37" ht="15.75" customHeight="1" x14ac:dyDescent="0.25">
      <c r="A158" s="13">
        <f>+A157+1</f>
        <v>46267</v>
      </c>
      <c r="B158" s="63">
        <v>1509</v>
      </c>
      <c r="C158" s="14"/>
      <c r="D158" s="14">
        <v>37490000</v>
      </c>
      <c r="E158" s="14">
        <v>340432000</v>
      </c>
      <c r="F158" s="14">
        <v>3821000</v>
      </c>
      <c r="G158" s="14">
        <v>3760000</v>
      </c>
      <c r="H158" s="14">
        <v>118000</v>
      </c>
      <c r="I158" s="14">
        <v>1422868000</v>
      </c>
      <c r="J158" s="14">
        <v>274322161</v>
      </c>
      <c r="K158" s="14"/>
      <c r="L158" s="14">
        <v>52009050</v>
      </c>
      <c r="M158" s="14"/>
      <c r="N158" s="14"/>
      <c r="O158" s="14"/>
      <c r="P158" s="14">
        <v>0</v>
      </c>
      <c r="Q158" s="14">
        <v>167270769</v>
      </c>
      <c r="R158" s="14"/>
      <c r="S158" s="14"/>
      <c r="T158" s="14"/>
      <c r="U158" s="14">
        <v>85000000</v>
      </c>
      <c r="V158" s="14"/>
      <c r="W158" s="14"/>
      <c r="X158" s="14">
        <v>1645569309.77</v>
      </c>
      <c r="Y158" s="14">
        <v>13225547662</v>
      </c>
      <c r="Z158" s="14">
        <f t="shared" si="42"/>
        <v>179326122.93125013</v>
      </c>
      <c r="AA158" s="63">
        <v>7550543000</v>
      </c>
      <c r="AB158" s="63">
        <f>+AB157</f>
        <v>1562000</v>
      </c>
      <c r="AC158" s="63">
        <f t="shared" si="43"/>
        <v>17800000</v>
      </c>
      <c r="AD158" s="63">
        <f t="shared" si="41"/>
        <v>245288.76712328769</v>
      </c>
      <c r="AE158" s="63">
        <f>+AE157</f>
        <v>280000</v>
      </c>
      <c r="AF158" s="63">
        <f>+'[1]CF Dia V1'!$FE$97</f>
        <v>36005238.718999997</v>
      </c>
      <c r="AG158" s="63">
        <f t="shared" si="44"/>
        <v>5582721359</v>
      </c>
      <c r="AH158" s="14">
        <f>+'[1]CF Dia V1'!$FE$24+'[1]CF Dia V1'!$FE$25</f>
        <v>2647628022</v>
      </c>
      <c r="AI158" s="14">
        <f>+'[1]CF Dia V1'!$FE$29</f>
        <v>8734117653</v>
      </c>
      <c r="AJ158" s="14"/>
      <c r="AK158" s="16"/>
    </row>
    <row r="159" spans="1:37" ht="15.75" customHeight="1" x14ac:dyDescent="0.25">
      <c r="A159" s="13">
        <f>+A158+1</f>
        <v>46268</v>
      </c>
      <c r="B159" s="63">
        <v>1509</v>
      </c>
      <c r="C159" s="14"/>
      <c r="D159" s="14">
        <v>190280000</v>
      </c>
      <c r="E159" s="14">
        <v>190272000</v>
      </c>
      <c r="F159" s="14">
        <v>3821000</v>
      </c>
      <c r="G159" s="14">
        <v>4220000</v>
      </c>
      <c r="H159" s="14">
        <v>594000</v>
      </c>
      <c r="I159" s="14">
        <v>1127963988</v>
      </c>
      <c r="J159" s="14">
        <v>178000000</v>
      </c>
      <c r="K159" s="14"/>
      <c r="L159" s="14">
        <v>17421610</v>
      </c>
      <c r="M159" s="14"/>
      <c r="N159" s="14"/>
      <c r="O159" s="14"/>
      <c r="P159" s="14">
        <v>8931568</v>
      </c>
      <c r="Q159" s="14">
        <v>172415674</v>
      </c>
      <c r="R159" s="14"/>
      <c r="S159" s="14"/>
      <c r="T159" s="14"/>
      <c r="U159" s="14">
        <v>0</v>
      </c>
      <c r="V159" s="14"/>
      <c r="W159" s="14"/>
      <c r="X159" s="14">
        <v>1458973143.2</v>
      </c>
      <c r="Y159" s="14">
        <v>13058165815</v>
      </c>
      <c r="Z159" s="14">
        <f t="shared" si="42"/>
        <v>179326122.93125013</v>
      </c>
      <c r="AA159" s="63">
        <v>7127444966</v>
      </c>
      <c r="AB159" s="63">
        <f>+AB158</f>
        <v>1562000</v>
      </c>
      <c r="AC159" s="63">
        <f t="shared" si="43"/>
        <v>17800000</v>
      </c>
      <c r="AD159" s="63">
        <f t="shared" si="41"/>
        <v>245288.76712328769</v>
      </c>
      <c r="AE159" s="63">
        <f>+AE158</f>
        <v>280000</v>
      </c>
      <c r="AF159" s="63">
        <f>+'[1]CF Dia V1'!$FF$97</f>
        <v>33243348.778999999</v>
      </c>
      <c r="AG159" s="63">
        <f t="shared" si="44"/>
        <v>5582721359</v>
      </c>
      <c r="AH159" s="14">
        <f>+'[1]CF Dia V1'!$FF$24+'[1]CF Dia V1'!$FF$25</f>
        <v>2870717073</v>
      </c>
      <c r="AI159" s="14">
        <f>+'[1]CF Dia V1'!$FF$29</f>
        <v>8097476589</v>
      </c>
      <c r="AJ159" s="14"/>
      <c r="AK159" s="16"/>
    </row>
    <row r="160" spans="1:37" ht="15.75" customHeight="1" x14ac:dyDescent="0.25">
      <c r="A160" s="13">
        <f>+'[1]CF Dia V1'!$FG$1</f>
        <v>46269</v>
      </c>
      <c r="B160" s="63">
        <f>+'[1]CF Dia V1'!$FG$2</f>
        <v>1505.5</v>
      </c>
      <c r="C160" s="14"/>
      <c r="D160" s="14">
        <f>+'[1]CF Dia V1'!$FG$10</f>
        <v>190280000</v>
      </c>
      <c r="E160" s="14">
        <f>+'[1]CF Dia V1'!$FG$13</f>
        <v>58017000</v>
      </c>
      <c r="F160" s="14">
        <f>+'[1]CF Dia V1'!$FG$16</f>
        <v>3821000</v>
      </c>
      <c r="G160" s="14">
        <f>+'[1]CF Dia V1'!$FG$14</f>
        <v>44344000</v>
      </c>
      <c r="H160" s="14">
        <f>+'[1]CF Dia V1'!$FG$15</f>
        <v>2203000</v>
      </c>
      <c r="I160" s="14">
        <f>+'[1]CF Dia V1'!$FG$22</f>
        <v>1127963988</v>
      </c>
      <c r="J160" s="14">
        <f>+'[1]CF Dia V1'!$FG$43</f>
        <v>45290335</v>
      </c>
      <c r="K160" s="14"/>
      <c r="L160" s="14"/>
      <c r="M160" s="14"/>
      <c r="N160" s="14"/>
      <c r="O160" s="14"/>
      <c r="P160" s="14"/>
      <c r="Q160" s="14">
        <f>+'[1]CF Dia V1'!$FG$51</f>
        <v>688777988</v>
      </c>
      <c r="R160" s="14"/>
      <c r="S160" s="14"/>
      <c r="T160" s="14"/>
      <c r="U160" s="14"/>
      <c r="V160" s="14">
        <f>+'[1]CF Dia V1'!$FG$73</f>
        <v>130500000</v>
      </c>
      <c r="W160" s="14"/>
      <c r="X160" s="14">
        <f>+'[1]CF Dia V1'!$FG$100</f>
        <v>1504790455</v>
      </c>
      <c r="Y160" s="14">
        <f>+'[1]CF Dia V1'!$FG$101</f>
        <v>12353842398</v>
      </c>
      <c r="Z160" s="14">
        <f t="shared" si="42"/>
        <v>179326122.93125013</v>
      </c>
      <c r="AA160" s="63">
        <f>+AA159</f>
        <v>7127444966</v>
      </c>
      <c r="AB160" s="63">
        <f>+AB159</f>
        <v>1562000</v>
      </c>
      <c r="AC160" s="63">
        <f t="shared" si="43"/>
        <v>17800000</v>
      </c>
      <c r="AD160" s="63">
        <f t="shared" ref="AD160:AD165" si="45">+AD159</f>
        <v>245288.76712328769</v>
      </c>
      <c r="AE160" s="63">
        <f>+AE159</f>
        <v>280000</v>
      </c>
      <c r="AF160" s="63">
        <f>+'[1]CF Dia V1'!$FG$97</f>
        <v>32031098.270000003</v>
      </c>
      <c r="AG160" s="63">
        <f t="shared" si="44"/>
        <v>5582721359</v>
      </c>
      <c r="AH160" s="14">
        <f>+'[1]CF Dia V1'!$FG$24+'[1]CF Dia V1'!$FG$25</f>
        <v>3085793240</v>
      </c>
      <c r="AI160" s="14">
        <f>+'[1]CF Dia V1'!$FG$29</f>
        <v>8070931302</v>
      </c>
      <c r="AJ160" s="14"/>
      <c r="AK160" s="16"/>
    </row>
    <row r="161" spans="1:37" ht="15.75" customHeight="1" x14ac:dyDescent="0.25">
      <c r="A161" s="13">
        <v>46272</v>
      </c>
      <c r="B161" s="63">
        <v>1504</v>
      </c>
      <c r="C161" s="14"/>
      <c r="D161" s="14">
        <f>+'[1]CF Dia V1'!$FH$10</f>
        <v>204000000</v>
      </c>
      <c r="E161" s="14">
        <f>+'[1]CF Dia V1'!$FH$13</f>
        <v>113928000</v>
      </c>
      <c r="F161" s="14">
        <f>+'[1]CF Dia V1'!$FH$16</f>
        <v>4016000</v>
      </c>
      <c r="G161" s="14">
        <f>+'[1]CF Dia V1'!$FH$14</f>
        <v>41937000</v>
      </c>
      <c r="H161" s="14">
        <f>+'[1]CF Dia V1'!$FH$15</f>
        <v>3370000</v>
      </c>
      <c r="I161" s="14">
        <f>+'[1]CF Dia V1'!$FH$22</f>
        <v>1386769447</v>
      </c>
      <c r="J161" s="14">
        <f>+'[1]CF Dia V1'!$FH$43</f>
        <v>336815052</v>
      </c>
      <c r="K161" s="14"/>
      <c r="L161" s="14">
        <f>+'[1]CF Dia V1'!$FH$46</f>
        <v>212885656</v>
      </c>
      <c r="M161" s="14"/>
      <c r="N161" s="14"/>
      <c r="O161" s="14"/>
      <c r="P161" s="14">
        <f>+'[1]CF Dia V1'!$FH$50</f>
        <v>12611780</v>
      </c>
      <c r="Q161" s="14">
        <f>+'[1]CF Dia V1'!$FH$51</f>
        <v>338853719</v>
      </c>
      <c r="R161" s="14"/>
      <c r="S161" s="14"/>
      <c r="T161" s="14"/>
      <c r="U161" s="14"/>
      <c r="V161" s="14"/>
      <c r="W161" s="14"/>
      <c r="X161" s="14">
        <f>+'[1]CF Dia V1'!$FH$100</f>
        <v>1248071376</v>
      </c>
      <c r="Y161" s="14">
        <f>+'[1]CF Dia V1'!$FH$101</f>
        <v>11735279712</v>
      </c>
      <c r="Z161" s="14">
        <f t="shared" si="42"/>
        <v>179326122.93125013</v>
      </c>
      <c r="AA161" s="63">
        <f>+'[1]CF Dia V1'!$FH$102</f>
        <v>6953976045.9499998</v>
      </c>
      <c r="AB161" s="63">
        <f>+'[1]CF Dia V1'!$FH$103</f>
        <v>1745997.6</v>
      </c>
      <c r="AC161" s="63">
        <f t="shared" si="43"/>
        <v>17800000</v>
      </c>
      <c r="AD161" s="63">
        <f t="shared" si="45"/>
        <v>245288.76712328769</v>
      </c>
      <c r="AE161" s="63">
        <f>+PRESTAMOS_USD!G22</f>
        <v>324663.09794520552</v>
      </c>
      <c r="AF161" s="63">
        <f>+'[1]CF Dia V1'!$FH$97</f>
        <v>31412096.869999997</v>
      </c>
      <c r="AG161" s="63">
        <f t="shared" si="44"/>
        <v>5582721359</v>
      </c>
      <c r="AH161" s="14">
        <f>+'[1]CF Dia V1'!$FH$24+'[1]CF Dia V1'!$FH$25</f>
        <v>1292460896</v>
      </c>
      <c r="AI161" s="14">
        <f>+'[1]CF Dia V1'!$FH$29</f>
        <v>9475210528</v>
      </c>
      <c r="AJ161" s="14">
        <f>+'[1]CF Dia V1'!$FH$31</f>
        <v>1507317626</v>
      </c>
      <c r="AK161" s="16"/>
    </row>
    <row r="162" spans="1:37" ht="15.75" customHeight="1" x14ac:dyDescent="0.25">
      <c r="A162" s="13">
        <v>46273</v>
      </c>
      <c r="B162" s="63">
        <v>1509</v>
      </c>
      <c r="C162" s="14"/>
      <c r="D162" s="14">
        <f>+'[1]CF Dia V1'!$FI$10</f>
        <v>415424000</v>
      </c>
      <c r="E162" s="14">
        <f>+'[1]CF Dia V1'!$FI$13</f>
        <v>164014000</v>
      </c>
      <c r="F162" s="14">
        <f>+'[1]CF Dia V1'!$FI$16</f>
        <v>4441000</v>
      </c>
      <c r="G162" s="14">
        <f>+'[1]CF Dia V1'!$FI$14</f>
        <v>4649000</v>
      </c>
      <c r="H162" s="14">
        <f>+'[1]CF Dia V1'!$FI$15</f>
        <v>12518000</v>
      </c>
      <c r="I162" s="14">
        <f>+'[1]CF Dia V1'!$FI$22</f>
        <v>1142598325</v>
      </c>
      <c r="J162" s="14">
        <f>+'[1]CF Dia V1'!$FI$43</f>
        <v>424319420</v>
      </c>
      <c r="K162" s="14"/>
      <c r="L162" s="14">
        <f>+'[1]CF Dia V1'!$FI$46</f>
        <v>19575338</v>
      </c>
      <c r="M162" s="14"/>
      <c r="N162" s="14"/>
      <c r="O162" s="14"/>
      <c r="P162" s="14">
        <f>+'[1]CF Dia V1'!$FI$50</f>
        <v>31902411</v>
      </c>
      <c r="Q162" s="14">
        <f>+'[1]CF Dia V1'!$FI$51</f>
        <v>156151989</v>
      </c>
      <c r="R162" s="14"/>
      <c r="S162" s="14"/>
      <c r="T162" s="14"/>
      <c r="U162" s="14">
        <f>+'[1]CF Dia V1'!$FI$59</f>
        <v>160000000</v>
      </c>
      <c r="V162" s="14"/>
      <c r="W162" s="14"/>
      <c r="X162" s="14">
        <f>+'[1]CF Dia V1'!$FI$100</f>
        <v>865293563</v>
      </c>
      <c r="Y162" s="14">
        <f>+'[1]CF Dia V1'!$FI$101</f>
        <v>11387545619</v>
      </c>
      <c r="Z162" s="14">
        <f t="shared" si="42"/>
        <v>179326122.93125013</v>
      </c>
      <c r="AA162" s="63">
        <f>+'[1]CF Dia V1'!$FI$102</f>
        <v>6960467958</v>
      </c>
      <c r="AB162" s="63">
        <f t="shared" ref="AB162:AB168" si="46">+AB161</f>
        <v>1745997.6</v>
      </c>
      <c r="AC162" s="63">
        <f t="shared" si="43"/>
        <v>17800000</v>
      </c>
      <c r="AD162" s="63">
        <f t="shared" si="45"/>
        <v>245288.76712328769</v>
      </c>
      <c r="AE162" s="63">
        <f t="shared" ref="AE162:AE168" si="47">+AE161</f>
        <v>324663.09794520552</v>
      </c>
      <c r="AF162" s="63">
        <f>+'[1]CF Dia V1'!$FI$97</f>
        <v>32336779.435999997</v>
      </c>
      <c r="AG162" s="63">
        <f t="shared" si="44"/>
        <v>5582721359</v>
      </c>
      <c r="AH162" s="14">
        <f>+'[1]CF Dia V1'!$FI$24+'[1]CF Dia V1'!$FI$25</f>
        <v>1311847641</v>
      </c>
      <c r="AI162" s="14">
        <f>+'[1]CF Dia V1'!$FI$29</f>
        <v>9314471508</v>
      </c>
      <c r="AJ162" s="14">
        <f>+'[1]CF Dia V1'!$FI$31</f>
        <v>607633370</v>
      </c>
      <c r="AK162" s="16"/>
    </row>
    <row r="163" spans="1:37" ht="15.75" customHeight="1" x14ac:dyDescent="0.25">
      <c r="A163" s="13">
        <v>46274</v>
      </c>
      <c r="B163" s="63">
        <v>1505.5</v>
      </c>
      <c r="C163" s="14"/>
      <c r="D163" s="14">
        <f>+'[1]CF Dia V1'!$FJ$10</f>
        <v>306408000</v>
      </c>
      <c r="E163" s="14">
        <f>+'[1]CF Dia V1'!$FJ$13</f>
        <v>83668000</v>
      </c>
      <c r="F163" s="14">
        <f>+'[1]CF Dia V1'!$FJ$16</f>
        <v>39458000</v>
      </c>
      <c r="G163" s="14">
        <f>+'[1]CF Dia V1'!$FJ$14</f>
        <v>7582000</v>
      </c>
      <c r="H163" s="14">
        <f>+'[1]CF Dia V1'!$FJ$15</f>
        <v>12518000</v>
      </c>
      <c r="I163" s="14">
        <f>+'[1]CF Dia V1'!$FJ$22</f>
        <v>896745000</v>
      </c>
      <c r="J163" s="14">
        <f>+'[1]CF Dia V1'!$FJ$43</f>
        <v>2939544</v>
      </c>
      <c r="K163" s="14"/>
      <c r="L163" s="14"/>
      <c r="M163" s="14"/>
      <c r="N163" s="14"/>
      <c r="O163" s="14"/>
      <c r="P163" s="14">
        <f>+'[1]CF Dia V1'!$FJ$50</f>
        <v>2227081286</v>
      </c>
      <c r="Q163" s="14">
        <f>+'[1]CF Dia V1'!$FJ$51</f>
        <v>257288219</v>
      </c>
      <c r="R163" s="14"/>
      <c r="S163" s="14"/>
      <c r="T163" s="14"/>
      <c r="U163" s="14"/>
      <c r="V163" s="14"/>
      <c r="W163" s="14"/>
      <c r="X163" s="14">
        <f>+'[1]CF Dia V1'!$FJ$100</f>
        <v>989741585</v>
      </c>
      <c r="Y163" s="14">
        <f>+'[1]CF Dia V1'!$FJ$101</f>
        <v>8774851720</v>
      </c>
      <c r="Z163" s="14">
        <f t="shared" ref="Z163:Z168" si="48">+Z162</f>
        <v>179326122.93125013</v>
      </c>
      <c r="AA163" s="63">
        <f>+'[1]CF Dia V1'!$FJ$102</f>
        <v>6796061384</v>
      </c>
      <c r="AB163" s="63">
        <f t="shared" si="46"/>
        <v>1745997.6</v>
      </c>
      <c r="AC163" s="63">
        <f t="shared" ref="AC163:AC168" si="49">+AC162</f>
        <v>17800000</v>
      </c>
      <c r="AD163" s="63">
        <f t="shared" si="45"/>
        <v>245288.76712328769</v>
      </c>
      <c r="AE163" s="63">
        <f t="shared" si="47"/>
        <v>324663.09794520552</v>
      </c>
      <c r="AF163" s="63">
        <f>+'[1]CF Dia V1'!$FJ$97</f>
        <v>33644452.497500002</v>
      </c>
      <c r="AG163" s="63">
        <f t="shared" ref="AG163:AG168" si="50">+AG162</f>
        <v>5582721359</v>
      </c>
      <c r="AH163" s="14">
        <f>+'[1]CF Dia V1'!$FJ$24+'[1]CF Dia V1'!$FJ$25</f>
        <v>5759189381.5</v>
      </c>
      <c r="AI163" s="14">
        <f>+'[1]CF Dia V1'!$FJ$29</f>
        <v>8877075365</v>
      </c>
      <c r="AJ163" s="14"/>
      <c r="AK163" s="16"/>
    </row>
    <row r="164" spans="1:37" ht="15.75" customHeight="1" x14ac:dyDescent="0.25">
      <c r="A164" s="13">
        <v>46275</v>
      </c>
      <c r="B164" s="63">
        <v>1513</v>
      </c>
      <c r="C164" s="14"/>
      <c r="D164" s="14">
        <f>+'[1]CF Dia V1'!$FK$10</f>
        <v>197414000</v>
      </c>
      <c r="E164" s="14">
        <f>+'[1]CF Dia V1'!$FK$13</f>
        <v>29553000</v>
      </c>
      <c r="F164" s="14">
        <f>+'[1]CF Dia V1'!$FK$16</f>
        <v>33460000</v>
      </c>
      <c r="G164" s="14">
        <f>+'[1]CF Dia V1'!$FK$14</f>
        <v>10200000</v>
      </c>
      <c r="H164" s="14">
        <f>+'[1]CF Dia V1'!$FK$15</f>
        <v>5230000</v>
      </c>
      <c r="I164" s="14">
        <f>+'[1]CF Dia V1'!$FK$22</f>
        <v>896745000</v>
      </c>
      <c r="J164" s="14">
        <f>+'[1]CF Dia V1'!$FK$43</f>
        <v>63214078</v>
      </c>
      <c r="K164" s="14"/>
      <c r="L164" s="14"/>
      <c r="M164" s="14"/>
      <c r="N164" s="14"/>
      <c r="O164" s="14"/>
      <c r="P164" s="14">
        <f>+'[1]CF Dia V1'!$FK$50</f>
        <v>159022936</v>
      </c>
      <c r="Q164" s="14">
        <f>+'[1]CF Dia V1'!$FK$51</f>
        <v>564628974</v>
      </c>
      <c r="R164" s="14"/>
      <c r="S164" s="14"/>
      <c r="T164" s="14"/>
      <c r="U164" s="14"/>
      <c r="V164" s="14"/>
      <c r="W164" s="14"/>
      <c r="X164" s="14">
        <f>+'[1]CF Dia V1'!$FK$100</f>
        <v>1451865442.78</v>
      </c>
      <c r="Y164" s="14">
        <f>+'[1]CF Dia V1'!$FK$101</f>
        <v>7581875038</v>
      </c>
      <c r="Z164" s="14">
        <f t="shared" si="48"/>
        <v>179326122.93125013</v>
      </c>
      <c r="AA164" s="63">
        <f>+'[1]CF Dia V1'!$FK$102</f>
        <v>7878950730</v>
      </c>
      <c r="AB164" s="63">
        <f t="shared" si="46"/>
        <v>1745997.6</v>
      </c>
      <c r="AC164" s="63">
        <f t="shared" si="49"/>
        <v>17800000</v>
      </c>
      <c r="AD164" s="63">
        <f t="shared" si="45"/>
        <v>245288.76712328769</v>
      </c>
      <c r="AE164" s="63">
        <f t="shared" si="47"/>
        <v>324663.09794520552</v>
      </c>
      <c r="AF164" s="63">
        <f>+'[1]CF Dia V1'!$FK$97</f>
        <v>30931429.434500001</v>
      </c>
      <c r="AG164" s="63">
        <f t="shared" si="50"/>
        <v>5582721359</v>
      </c>
      <c r="AH164" s="14">
        <f>+'[1]CF Dia V1'!$FK$24+'[1]CF Dia V1'!$FK$25</f>
        <v>3718071921</v>
      </c>
      <c r="AI164" s="14">
        <f>+'[1]CF Dia V1'!$FK$29</f>
        <v>9498361329</v>
      </c>
      <c r="AJ164" s="14"/>
      <c r="AK164" s="16"/>
    </row>
    <row r="165" spans="1:37" ht="15.75" customHeight="1" x14ac:dyDescent="0.25">
      <c r="A165" s="13">
        <v>46276</v>
      </c>
      <c r="B165" s="63">
        <f>+'[1]CF Dia V1'!$FL$2</f>
        <v>1509</v>
      </c>
      <c r="C165" s="14"/>
      <c r="D165" s="14">
        <f>+'[1]CF Dia V1'!$FL$10</f>
        <v>358410581</v>
      </c>
      <c r="E165" s="14">
        <f>+'[1]CF Dia V1'!$FL$13</f>
        <v>58387000</v>
      </c>
      <c r="F165" s="14">
        <f>+'[1]CF Dia V1'!$FL$16</f>
        <v>3800000</v>
      </c>
      <c r="G165" s="14">
        <f>+'[1]CF Dia V1'!$FL$14</f>
        <v>6513000</v>
      </c>
      <c r="H165" s="14">
        <f>+'[1]CF Dia V1'!$FL$15</f>
        <v>4141000</v>
      </c>
      <c r="I165" s="14">
        <f>+'[1]CF Dia V1'!$FL$22</f>
        <v>1107000000</v>
      </c>
      <c r="J165" s="14">
        <f>+'[1]CF Dia V1'!$FL$43</f>
        <v>121593571</v>
      </c>
      <c r="K165" s="14"/>
      <c r="L165" s="14">
        <f>+'[1]CF Dia V1'!$FL$46</f>
        <v>6074370</v>
      </c>
      <c r="M165" s="14"/>
      <c r="N165" s="14"/>
      <c r="O165" s="14"/>
      <c r="P165" s="14">
        <f>+'[1]CF Dia V1'!$FL$49</f>
        <v>2199600</v>
      </c>
      <c r="Q165" s="14">
        <f>+'[1]CF Dia V1'!$FL$51</f>
        <v>516948396</v>
      </c>
      <c r="R165" s="14"/>
      <c r="S165" s="14"/>
      <c r="T165" s="14"/>
      <c r="U165" s="14"/>
      <c r="V165" s="14"/>
      <c r="W165" s="14"/>
      <c r="X165" s="14">
        <f>+'[1]CF Dia V1'!$FL$100</f>
        <v>1852178279</v>
      </c>
      <c r="Y165" s="14">
        <f>+'[1]CF Dia V1'!$FL$101</f>
        <v>7471140512</v>
      </c>
      <c r="Z165" s="14">
        <f t="shared" si="48"/>
        <v>179326122.93125013</v>
      </c>
      <c r="AA165" s="63">
        <f>+'[1]CF Dia V1'!$FL$102</f>
        <v>7301555646</v>
      </c>
      <c r="AB165" s="63">
        <f t="shared" si="46"/>
        <v>1745997.6</v>
      </c>
      <c r="AC165" s="63">
        <f t="shared" si="49"/>
        <v>17800000</v>
      </c>
      <c r="AD165" s="63">
        <f t="shared" si="45"/>
        <v>245288.76712328769</v>
      </c>
      <c r="AE165" s="63">
        <f t="shared" si="47"/>
        <v>324663.09794520552</v>
      </c>
      <c r="AF165" s="63">
        <f>+'[1]CF Dia V1'!$FL$97</f>
        <v>31810521.982500002</v>
      </c>
      <c r="AG165" s="63">
        <f t="shared" si="50"/>
        <v>5582721359</v>
      </c>
      <c r="AH165" s="14">
        <f>+'[1]CF Dia V1'!$FL$24+'[1]CF Dia V1'!$FL$25</f>
        <v>3014877879</v>
      </c>
      <c r="AI165" s="14">
        <f>+'[1]CF Dia V1'!$FL$29</f>
        <v>9129388131</v>
      </c>
      <c r="AJ165" s="14"/>
      <c r="AK165" s="16"/>
    </row>
    <row r="166" spans="1:37" ht="15.75" customHeight="1" x14ac:dyDescent="0.25">
      <c r="A166" s="13">
        <v>46279</v>
      </c>
      <c r="B166" s="63">
        <v>1505</v>
      </c>
      <c r="C166" s="14"/>
      <c r="D166" s="14">
        <f>+'[1]CF Dia V1'!$FM$10</f>
        <v>257838877</v>
      </c>
      <c r="E166" s="14">
        <f>+'[1]CF Dia V1'!$FM$13</f>
        <v>64789000</v>
      </c>
      <c r="F166" s="14">
        <f>+'[1]CF Dia V1'!$FM$16</f>
        <v>3807000</v>
      </c>
      <c r="G166" s="14">
        <f>+'[1]CF Dia V1'!$FM$14</f>
        <v>6569000</v>
      </c>
      <c r="H166" s="14">
        <f>+'[1]CF Dia V1'!$FM$15</f>
        <v>3637000</v>
      </c>
      <c r="I166" s="14">
        <f>+'[1]CF Dia V1'!$FM$22</f>
        <v>1107165633</v>
      </c>
      <c r="J166" s="14">
        <f>+'[1]CF Dia V1'!$FM$43</f>
        <v>421929408</v>
      </c>
      <c r="K166" s="14"/>
      <c r="L166" s="14"/>
      <c r="M166" s="14"/>
      <c r="N166" s="14"/>
      <c r="O166" s="14"/>
      <c r="P166" s="14">
        <f>+'[1]CF Dia V1'!$FM$50</f>
        <v>11201980</v>
      </c>
      <c r="Q166" s="14">
        <f>+'[1]CF Dia V1'!$FM$51</f>
        <v>240753608</v>
      </c>
      <c r="R166" s="14"/>
      <c r="S166" s="14"/>
      <c r="T166" s="14"/>
      <c r="U166" s="14"/>
      <c r="V166" s="14"/>
      <c r="W166" s="14"/>
      <c r="X166" s="14">
        <f>+'[1]CF Dia V1'!$FM$100</f>
        <v>1779462460</v>
      </c>
      <c r="Y166" s="14">
        <f>+'[1]CF Dia V1'!$FM$101</f>
        <v>6505310688</v>
      </c>
      <c r="Z166" s="14">
        <f t="shared" si="48"/>
        <v>179326122.93125013</v>
      </c>
      <c r="AA166" s="63">
        <f>+'[1]CF Dia V1'!$FM$102</f>
        <v>7447795635</v>
      </c>
      <c r="AB166" s="63">
        <f t="shared" si="46"/>
        <v>1745997.6</v>
      </c>
      <c r="AC166" s="63">
        <f t="shared" si="49"/>
        <v>17800000</v>
      </c>
      <c r="AD166" s="63">
        <f t="shared" ref="AD166:AD174" si="51">+AD165</f>
        <v>245288.76712328769</v>
      </c>
      <c r="AE166" s="63">
        <f t="shared" si="47"/>
        <v>324663.09794520552</v>
      </c>
      <c r="AF166" s="63">
        <f>+'[1]CF Dia V1'!$FM$97</f>
        <v>32543316.3825</v>
      </c>
      <c r="AG166" s="63">
        <f t="shared" si="50"/>
        <v>5582721359</v>
      </c>
      <c r="AH166" s="14">
        <f>+'[1]CF Dia V1'!$FM$24+'[1]CF Dia V1'!$FM$25</f>
        <v>2414214000</v>
      </c>
      <c r="AI166" s="14">
        <f>+'[1]CF Dia V1'!$FM$29</f>
        <v>9117288213</v>
      </c>
      <c r="AJ166" s="14"/>
      <c r="AK166" s="16"/>
    </row>
    <row r="167" spans="1:37" ht="15.75" customHeight="1" x14ac:dyDescent="0.25">
      <c r="A167" s="13">
        <v>46296</v>
      </c>
      <c r="B167" s="63">
        <v>1514</v>
      </c>
      <c r="C167" s="14"/>
      <c r="D167" s="14">
        <v>382663029</v>
      </c>
      <c r="E167" s="14">
        <v>2304000</v>
      </c>
      <c r="F167" s="14">
        <v>189000</v>
      </c>
      <c r="G167" s="14">
        <v>33089000</v>
      </c>
      <c r="H167" s="14">
        <v>1251000</v>
      </c>
      <c r="I167" s="14">
        <v>1319764000</v>
      </c>
      <c r="J167" s="14">
        <v>458410000</v>
      </c>
      <c r="K167" s="14"/>
      <c r="L167" s="14"/>
      <c r="M167" s="14"/>
      <c r="N167" s="14"/>
      <c r="O167" s="14"/>
      <c r="P167" s="14">
        <v>0</v>
      </c>
      <c r="Q167" s="14">
        <v>58600000</v>
      </c>
      <c r="R167" s="14"/>
      <c r="S167" s="14"/>
      <c r="T167" s="14"/>
      <c r="U167" s="14">
        <v>100000000</v>
      </c>
      <c r="V167" s="14"/>
      <c r="W167" s="14"/>
      <c r="X167" s="14">
        <v>1762654040</v>
      </c>
      <c r="Y167" s="14">
        <v>7190495192</v>
      </c>
      <c r="Z167" s="14">
        <f t="shared" si="48"/>
        <v>179326122.93125013</v>
      </c>
      <c r="AA167" s="63">
        <v>5377945521</v>
      </c>
      <c r="AB167" s="63">
        <f t="shared" si="46"/>
        <v>1745997.6</v>
      </c>
      <c r="AC167" s="63">
        <f t="shared" si="49"/>
        <v>17800000</v>
      </c>
      <c r="AD167" s="63">
        <f t="shared" si="51"/>
        <v>245288.76712328769</v>
      </c>
      <c r="AE167" s="63">
        <f t="shared" si="47"/>
        <v>324663.09794520552</v>
      </c>
      <c r="AF167" s="63">
        <f>+'[1]CF Dia V1'!$FS$97</f>
        <v>20019979.761999998</v>
      </c>
      <c r="AG167" s="63">
        <f t="shared" si="50"/>
        <v>5582721359</v>
      </c>
      <c r="AH167" s="14">
        <f>+'[1]CF Dia V1'!$FS$24+'[1]CF Dia V1'!$FS$25</f>
        <v>2433844326</v>
      </c>
      <c r="AI167" s="14">
        <f>+'[1]CF Dia V1'!$FS$29</f>
        <v>15720346480</v>
      </c>
      <c r="AJ167" s="14"/>
      <c r="AK167" s="16"/>
    </row>
    <row r="168" spans="1:37" ht="15.75" customHeight="1" x14ac:dyDescent="0.25">
      <c r="A168" s="13">
        <v>46297</v>
      </c>
      <c r="B168" s="63">
        <v>1521</v>
      </c>
      <c r="C168" s="14"/>
      <c r="D168" s="14">
        <v>453263709</v>
      </c>
      <c r="E168" s="14">
        <v>84597000</v>
      </c>
      <c r="F168" s="14">
        <v>4366000</v>
      </c>
      <c r="G168" s="14">
        <v>12489000</v>
      </c>
      <c r="H168" s="14">
        <v>1251000</v>
      </c>
      <c r="I168" s="14">
        <v>1027798000</v>
      </c>
      <c r="J168" s="14">
        <v>478806931</v>
      </c>
      <c r="K168" s="14"/>
      <c r="L168" s="14"/>
      <c r="M168" s="14"/>
      <c r="N168" s="14"/>
      <c r="O168" s="14"/>
      <c r="P168" s="14">
        <v>7666512</v>
      </c>
      <c r="Q168" s="14">
        <v>3500000</v>
      </c>
      <c r="R168" s="14"/>
      <c r="S168" s="14"/>
      <c r="T168" s="14"/>
      <c r="U168" s="14"/>
      <c r="V168" s="14"/>
      <c r="W168" s="14"/>
      <c r="X168" s="14">
        <v>1503400000</v>
      </c>
      <c r="Y168" s="14">
        <v>7079921684</v>
      </c>
      <c r="Z168" s="14">
        <f t="shared" si="48"/>
        <v>179326122.93125013</v>
      </c>
      <c r="AA168" s="63">
        <v>5279874156</v>
      </c>
      <c r="AB168" s="63">
        <f t="shared" si="46"/>
        <v>1745997.6</v>
      </c>
      <c r="AC168" s="63">
        <f t="shared" si="49"/>
        <v>17800000</v>
      </c>
      <c r="AD168" s="63">
        <f t="shared" si="51"/>
        <v>245288.76712328769</v>
      </c>
      <c r="AE168" s="63">
        <f t="shared" si="47"/>
        <v>324663.09794520552</v>
      </c>
      <c r="AF168" s="63">
        <f>+'[1]CF Dia V1'!$FT$97</f>
        <v>20145675.958000001</v>
      </c>
      <c r="AG168" s="63">
        <f t="shared" si="50"/>
        <v>5582721359</v>
      </c>
      <c r="AH168" s="14">
        <f>+'[1]CF Dia V1'!$FT$24+'[1]CF Dia V1'!$FT$25</f>
        <v>2445098760</v>
      </c>
      <c r="AI168" s="14">
        <f>+'[1]CF Dia V1'!$FT$29</f>
        <v>15756099840</v>
      </c>
      <c r="AJ168" s="14"/>
      <c r="AK168" s="16"/>
    </row>
    <row r="169" spans="1:37" ht="15.75" customHeight="1" x14ac:dyDescent="0.25">
      <c r="A169" s="13">
        <v>46300</v>
      </c>
      <c r="B169" s="63">
        <v>1520</v>
      </c>
      <c r="C169" s="14"/>
      <c r="D169" s="14">
        <f>+'[1]CF Dia V1'!$FU$10</f>
        <v>424267959</v>
      </c>
      <c r="E169" s="14">
        <f>+'[1]CF Dia V1'!$FU$13</f>
        <v>84597000</v>
      </c>
      <c r="F169" s="14">
        <f>+'[1]CF Dia V1'!$FU$16</f>
        <v>5305000</v>
      </c>
      <c r="G169" s="14">
        <f>+'[1]CF Dia V1'!$FU$14</f>
        <v>12270000</v>
      </c>
      <c r="H169" s="14">
        <f>+'[1]CF Dia V1'!$FU$15</f>
        <v>1251000</v>
      </c>
      <c r="I169" s="14">
        <f>+'[1]CF Dia V1'!$FU$22</f>
        <v>1325977000</v>
      </c>
      <c r="J169" s="14">
        <f>+'[1]CF Dia V1'!$FU$43</f>
        <v>400324888</v>
      </c>
      <c r="K169" s="14"/>
      <c r="L169" s="14"/>
      <c r="M169" s="14"/>
      <c r="N169" s="14"/>
      <c r="O169" s="14"/>
      <c r="P169" s="14">
        <f>+'[1]CF Dia V1'!$FU$50</f>
        <v>100748053</v>
      </c>
      <c r="Q169" s="14">
        <f>+'[1]CF Dia V1'!$FU$51</f>
        <v>146353825</v>
      </c>
      <c r="R169" s="14"/>
      <c r="S169" s="14"/>
      <c r="T169" s="14"/>
      <c r="U169" s="14"/>
      <c r="V169" s="14">
        <f>+'[1]CF Dia V1'!$FU$73</f>
        <v>131116450</v>
      </c>
      <c r="W169" s="14"/>
      <c r="X169" s="14">
        <f>+'[1]CF Dia V1'!$FU$100</f>
        <v>1139790764.1199999</v>
      </c>
      <c r="Y169" s="14">
        <f>+'[1]CF Dia V1'!$FU$101</f>
        <v>6949854020</v>
      </c>
      <c r="Z169" s="14">
        <f t="shared" ref="Z169:Z174" si="52">+Z168</f>
        <v>179326122.93125013</v>
      </c>
      <c r="AA169" s="63">
        <f>+'[1]CF Dia V1'!$FU$102</f>
        <v>5456915233</v>
      </c>
      <c r="AB169" s="63">
        <f t="shared" ref="AB169:AC174" si="53">+AB168</f>
        <v>1745997.6</v>
      </c>
      <c r="AC169" s="63">
        <f t="shared" si="53"/>
        <v>17800000</v>
      </c>
      <c r="AD169" s="63">
        <f t="shared" si="51"/>
        <v>245288.76712328769</v>
      </c>
      <c r="AE169" s="63">
        <f t="shared" ref="AE169:AE174" si="54">+AE168</f>
        <v>324663.09794520552</v>
      </c>
      <c r="AF169" s="63">
        <f>+'[1]CF Dia V1'!$FU$97</f>
        <v>18320136.857999999</v>
      </c>
      <c r="AG169" s="63">
        <f t="shared" ref="AG169:AG174" si="55">+AG168</f>
        <v>5582721359</v>
      </c>
      <c r="AH169" s="14">
        <f>+'[1]CF Dia V1'!$FU$24+'[1]CF Dia V1'!$FU$25</f>
        <v>2289509120</v>
      </c>
      <c r="AI169" s="14">
        <f>+'[1]CF Dia V1'!$FU$29</f>
        <v>16813510400</v>
      </c>
      <c r="AJ169" s="14"/>
      <c r="AK169" s="16"/>
    </row>
    <row r="170" spans="1:37" ht="15.75" customHeight="1" x14ac:dyDescent="0.25">
      <c r="A170" s="13">
        <f>+A169+1</f>
        <v>46301</v>
      </c>
      <c r="B170" s="63">
        <v>1515.5</v>
      </c>
      <c r="C170" s="14"/>
      <c r="D170" s="14">
        <v>500074013</v>
      </c>
      <c r="E170" s="14">
        <v>15027000</v>
      </c>
      <c r="F170" s="14">
        <v>5305000</v>
      </c>
      <c r="G170" s="14">
        <v>31178000</v>
      </c>
      <c r="H170" s="14">
        <v>748000</v>
      </c>
      <c r="I170" s="14">
        <v>1312927000</v>
      </c>
      <c r="J170" s="14">
        <v>55927147</v>
      </c>
      <c r="K170" s="14"/>
      <c r="L170" s="14"/>
      <c r="M170" s="14"/>
      <c r="N170" s="14"/>
      <c r="O170" s="14"/>
      <c r="P170" s="14">
        <v>50469898</v>
      </c>
      <c r="Q170" s="14">
        <v>471943552</v>
      </c>
      <c r="R170" s="14"/>
      <c r="S170" s="14"/>
      <c r="T170" s="14"/>
      <c r="U170" s="14"/>
      <c r="V170" s="14"/>
      <c r="W170" s="14"/>
      <c r="X170" s="14">
        <v>1152089528</v>
      </c>
      <c r="Y170" s="14">
        <v>6264887034</v>
      </c>
      <c r="Z170" s="14">
        <f t="shared" si="52"/>
        <v>179326122.93125013</v>
      </c>
      <c r="AA170" s="63">
        <v>5764029700</v>
      </c>
      <c r="AB170" s="63">
        <f t="shared" si="53"/>
        <v>1745997.6</v>
      </c>
      <c r="AC170" s="63">
        <f t="shared" si="53"/>
        <v>17800000</v>
      </c>
      <c r="AD170" s="63">
        <f t="shared" si="51"/>
        <v>245288.76712328769</v>
      </c>
      <c r="AE170" s="63">
        <f t="shared" si="54"/>
        <v>324663.09794520552</v>
      </c>
      <c r="AF170" s="63">
        <v>18055632.261</v>
      </c>
      <c r="AG170" s="63">
        <f t="shared" si="55"/>
        <v>5582721359</v>
      </c>
      <c r="AH170" s="14">
        <f>+'[1]CF Dia V1'!$FV$24+'[1]CF Dia V1'!$FV$25</f>
        <v>3989634071.5</v>
      </c>
      <c r="AI170" s="14">
        <f>+'[1]CF Dia V1'!$FV$29</f>
        <v>15781697137.5</v>
      </c>
      <c r="AJ170" s="14"/>
      <c r="AK170" s="16"/>
    </row>
    <row r="171" spans="1:37" ht="15.75" customHeight="1" x14ac:dyDescent="0.25">
      <c r="A171" s="13">
        <f>+A170+1</f>
        <v>46302</v>
      </c>
      <c r="B171" s="63">
        <v>1518</v>
      </c>
      <c r="C171" s="14"/>
      <c r="D171" s="14">
        <v>478863879</v>
      </c>
      <c r="E171" s="14">
        <v>62612000</v>
      </c>
      <c r="F171" s="14">
        <v>5305000</v>
      </c>
      <c r="G171" s="14">
        <v>27178000</v>
      </c>
      <c r="H171" s="14">
        <v>1724000</v>
      </c>
      <c r="I171" s="14">
        <v>1258414000</v>
      </c>
      <c r="J171" s="14">
        <v>442232576</v>
      </c>
      <c r="K171" s="14"/>
      <c r="L171" s="14">
        <v>7809210</v>
      </c>
      <c r="M171" s="14"/>
      <c r="N171" s="14"/>
      <c r="O171" s="14"/>
      <c r="P171" s="14">
        <v>0</v>
      </c>
      <c r="Q171" s="14">
        <v>0</v>
      </c>
      <c r="R171" s="14"/>
      <c r="S171" s="14"/>
      <c r="T171" s="14"/>
      <c r="U171" s="14"/>
      <c r="V171" s="14"/>
      <c r="W171" s="14"/>
      <c r="X171" s="14">
        <v>1510638274</v>
      </c>
      <c r="Y171" s="14">
        <v>6665822260</v>
      </c>
      <c r="Z171" s="14">
        <f t="shared" si="52"/>
        <v>179326122.93125013</v>
      </c>
      <c r="AA171" s="63">
        <v>5098108219</v>
      </c>
      <c r="AB171" s="63">
        <f t="shared" si="53"/>
        <v>1745997.6</v>
      </c>
      <c r="AC171" s="63">
        <f t="shared" si="53"/>
        <v>17800000</v>
      </c>
      <c r="AD171" s="63">
        <f t="shared" si="51"/>
        <v>245288.76712328769</v>
      </c>
      <c r="AE171" s="63">
        <f t="shared" si="54"/>
        <v>324663.09794520552</v>
      </c>
      <c r="AF171" s="63">
        <v>18240358.517000001</v>
      </c>
      <c r="AG171" s="63">
        <f t="shared" si="55"/>
        <v>5582721359</v>
      </c>
      <c r="AH171" s="14">
        <f>+'[1]CF Dia V1'!$FW$24+'[1]CF Dia V1'!$FW$25</f>
        <v>3617545800</v>
      </c>
      <c r="AI171" s="14">
        <f>+'[1]CF Dia V1'!$FW$29</f>
        <v>15326361006</v>
      </c>
      <c r="AJ171" s="14"/>
      <c r="AK171" s="16"/>
    </row>
    <row r="172" spans="1:37" ht="15.75" customHeight="1" x14ac:dyDescent="0.25">
      <c r="A172" s="13">
        <f>+A171+1</f>
        <v>46303</v>
      </c>
      <c r="B172" s="63">
        <v>1518.5</v>
      </c>
      <c r="C172" s="14"/>
      <c r="D172" s="14">
        <v>340217000</v>
      </c>
      <c r="E172" s="14">
        <v>147465000</v>
      </c>
      <c r="F172" s="14">
        <v>33194000</v>
      </c>
      <c r="G172" s="14">
        <v>15430000</v>
      </c>
      <c r="H172" s="14">
        <v>1724000</v>
      </c>
      <c r="I172" s="14">
        <v>1429682000</v>
      </c>
      <c r="J172" s="14">
        <v>360457806</v>
      </c>
      <c r="K172" s="14"/>
      <c r="L172" s="14"/>
      <c r="M172" s="14"/>
      <c r="N172" s="14"/>
      <c r="O172" s="14"/>
      <c r="P172" s="14">
        <v>59527807</v>
      </c>
      <c r="Q172" s="14">
        <v>86750000</v>
      </c>
      <c r="R172" s="14"/>
      <c r="S172" s="14"/>
      <c r="T172" s="14"/>
      <c r="U172" s="14">
        <v>165000000</v>
      </c>
      <c r="V172" s="14"/>
      <c r="W172" s="14"/>
      <c r="X172" s="14">
        <v>1531710486</v>
      </c>
      <c r="Y172" s="14">
        <v>6782907549</v>
      </c>
      <c r="Z172" s="14">
        <f t="shared" si="52"/>
        <v>179326122.93125013</v>
      </c>
      <c r="AA172" s="63">
        <v>4968994036</v>
      </c>
      <c r="AB172" s="63">
        <f t="shared" si="53"/>
        <v>1745997.6</v>
      </c>
      <c r="AC172" s="63">
        <f t="shared" si="53"/>
        <v>17800000</v>
      </c>
      <c r="AD172" s="63">
        <f t="shared" si="51"/>
        <v>245288.76712328769</v>
      </c>
      <c r="AE172" s="63">
        <f t="shared" si="54"/>
        <v>324663.09794520552</v>
      </c>
      <c r="AF172" s="63">
        <v>18110456.116999999</v>
      </c>
      <c r="AG172" s="63">
        <f t="shared" si="55"/>
        <v>5582721359</v>
      </c>
      <c r="AH172" s="14">
        <f>+'[1]CF Dia V1'!$FX$24+'[1]CF Dia V1'!$FX$25</f>
        <v>3507326523.5</v>
      </c>
      <c r="AI172" s="14">
        <f>+'[1]CF Dia V1'!$FX$29</f>
        <v>15721030500</v>
      </c>
      <c r="AJ172" s="14"/>
      <c r="AK172" s="16"/>
    </row>
    <row r="173" spans="1:37" ht="15.75" customHeight="1" x14ac:dyDescent="0.25">
      <c r="A173" s="13">
        <f>+A172+1</f>
        <v>46304</v>
      </c>
      <c r="B173" s="63">
        <v>1515</v>
      </c>
      <c r="C173" s="14"/>
      <c r="D173" s="14">
        <v>452730154</v>
      </c>
      <c r="E173" s="14">
        <v>42531000</v>
      </c>
      <c r="F173" s="14">
        <v>30830000</v>
      </c>
      <c r="G173" s="14">
        <v>15011000</v>
      </c>
      <c r="H173" s="14">
        <v>1721000</v>
      </c>
      <c r="I173" s="14">
        <v>1206229000</v>
      </c>
      <c r="J173" s="14">
        <v>46350291</v>
      </c>
      <c r="K173" s="14"/>
      <c r="L173" s="14"/>
      <c r="M173" s="14"/>
      <c r="N173" s="14"/>
      <c r="O173" s="14"/>
      <c r="P173" s="14">
        <v>1251871918</v>
      </c>
      <c r="Q173" s="14">
        <v>9434748</v>
      </c>
      <c r="R173" s="14"/>
      <c r="S173" s="14"/>
      <c r="T173" s="14"/>
      <c r="U173" s="14"/>
      <c r="V173" s="14"/>
      <c r="W173" s="14"/>
      <c r="X173" s="14">
        <v>1481240897</v>
      </c>
      <c r="Y173" s="14">
        <v>5666631031</v>
      </c>
      <c r="Z173" s="14">
        <f t="shared" si="52"/>
        <v>179326122.93125013</v>
      </c>
      <c r="AA173" s="63">
        <v>5008781104</v>
      </c>
      <c r="AB173" s="63">
        <f t="shared" si="53"/>
        <v>1745997.6</v>
      </c>
      <c r="AC173" s="63">
        <f t="shared" si="53"/>
        <v>17800000</v>
      </c>
      <c r="AD173" s="63">
        <f t="shared" si="51"/>
        <v>245288.76712328769</v>
      </c>
      <c r="AE173" s="63">
        <f t="shared" si="54"/>
        <v>324663.09794520552</v>
      </c>
      <c r="AF173" s="63">
        <v>18402837.916999999</v>
      </c>
      <c r="AG173" s="63">
        <f t="shared" si="55"/>
        <v>5582721359</v>
      </c>
      <c r="AH173" s="14">
        <f>+'[1]CF Dia V1'!$FY$24+'[1]CF Dia V1'!$FY$25</f>
        <v>3578725425</v>
      </c>
      <c r="AI173" s="14">
        <f>+'[1]CF Dia V1'!$FY$29</f>
        <v>15286824195</v>
      </c>
      <c r="AJ173" s="14"/>
      <c r="AK173" s="16"/>
    </row>
    <row r="174" spans="1:37" ht="15.75" customHeight="1" x14ac:dyDescent="0.25">
      <c r="A174" s="13">
        <v>46308</v>
      </c>
      <c r="B174" s="63">
        <v>1512.5</v>
      </c>
      <c r="C174" s="14"/>
      <c r="D174" s="14">
        <v>295560649</v>
      </c>
      <c r="E174" s="14">
        <v>6705000</v>
      </c>
      <c r="F174" s="14">
        <v>58371000</v>
      </c>
      <c r="G174" s="14">
        <v>109000</v>
      </c>
      <c r="H174" s="14">
        <v>1486000</v>
      </c>
      <c r="I174" s="14">
        <v>1301599000</v>
      </c>
      <c r="J174" s="14">
        <v>217450706</v>
      </c>
      <c r="K174" s="14"/>
      <c r="L174" s="14"/>
      <c r="M174" s="14"/>
      <c r="N174" s="14"/>
      <c r="O174" s="14"/>
      <c r="P174" s="14">
        <v>98091029</v>
      </c>
      <c r="Q174" s="14">
        <v>312350131</v>
      </c>
      <c r="R174" s="14"/>
      <c r="S174" s="14"/>
      <c r="T174" s="14"/>
      <c r="U174" s="14"/>
      <c r="V174" s="14"/>
      <c r="W174" s="14"/>
      <c r="X174" s="14">
        <v>1373080000</v>
      </c>
      <c r="Y174" s="14">
        <v>5260488633</v>
      </c>
      <c r="Z174" s="14">
        <f t="shared" si="52"/>
        <v>179326122.93125013</v>
      </c>
      <c r="AA174" s="63">
        <v>5192997629</v>
      </c>
      <c r="AB174" s="63">
        <f t="shared" si="53"/>
        <v>1745997.6</v>
      </c>
      <c r="AC174" s="63">
        <f t="shared" si="53"/>
        <v>17800000</v>
      </c>
      <c r="AD174" s="63">
        <f t="shared" si="51"/>
        <v>245288.76712328769</v>
      </c>
      <c r="AE174" s="63">
        <f t="shared" si="54"/>
        <v>324663.09794520552</v>
      </c>
      <c r="AF174" s="63">
        <v>18113616.579</v>
      </c>
      <c r="AG174" s="63">
        <f t="shared" si="55"/>
        <v>5582721359</v>
      </c>
      <c r="AH174" s="14">
        <f>+'[1]CF Dia V1'!$FZ$24+'[1]CF Dia V1'!$FZ$25</f>
        <v>2426500725</v>
      </c>
      <c r="AI174" s="14">
        <f>+'[1]CF Dia V1'!$FZ$29</f>
        <v>15497787387.5</v>
      </c>
      <c r="AJ174" s="14"/>
      <c r="AK174" s="16"/>
    </row>
    <row r="175" spans="1:37" ht="15.75" customHeight="1" x14ac:dyDescent="0.25">
      <c r="A175" s="13">
        <v>46309</v>
      </c>
      <c r="B175" s="63">
        <v>1512.5</v>
      </c>
      <c r="C175" s="14"/>
      <c r="D175" s="14">
        <v>800000000</v>
      </c>
      <c r="E175" s="14">
        <v>255778000</v>
      </c>
      <c r="F175" s="14">
        <v>8028000</v>
      </c>
      <c r="G175" s="14">
        <v>42667000</v>
      </c>
      <c r="H175" s="14">
        <v>2343000</v>
      </c>
      <c r="I175" s="14">
        <v>771590000</v>
      </c>
      <c r="J175" s="14">
        <v>459934993</v>
      </c>
      <c r="K175" s="14"/>
      <c r="L175" s="14"/>
      <c r="M175" s="14"/>
      <c r="N175" s="14"/>
      <c r="O175" s="14"/>
      <c r="P175" s="14">
        <v>57124570</v>
      </c>
      <c r="Q175" s="14">
        <v>89961084</v>
      </c>
      <c r="R175" s="14"/>
      <c r="S175" s="14"/>
      <c r="T175" s="14"/>
      <c r="U175" s="14"/>
      <c r="V175" s="14"/>
      <c r="W175" s="14"/>
      <c r="X175" s="14">
        <v>2044776652</v>
      </c>
      <c r="Y175" s="14">
        <v>5411365576</v>
      </c>
      <c r="Z175" s="14">
        <f t="shared" ref="Z175:Z180" si="56">+Z174</f>
        <v>179326122.93125013</v>
      </c>
      <c r="AA175" s="63">
        <v>6184142577</v>
      </c>
      <c r="AB175" s="63">
        <v>1374034.35</v>
      </c>
      <c r="AC175" s="63">
        <f t="shared" ref="AC175:AE178" si="57">+AC174</f>
        <v>17800000</v>
      </c>
      <c r="AD175" s="63">
        <f t="shared" si="57"/>
        <v>245288.76712328769</v>
      </c>
      <c r="AE175" s="63">
        <f t="shared" si="57"/>
        <v>324663.09794520552</v>
      </c>
      <c r="AF175" s="63">
        <f>+'[1]CF Dia V1'!$GA$97</f>
        <v>17389013.649</v>
      </c>
      <c r="AG175" s="63">
        <f t="shared" ref="AG175:AG180" si="58">+AG174</f>
        <v>5582721359</v>
      </c>
      <c r="AH175" s="14">
        <f>+'[1]CF Dia V1'!$GA$24+'[1]CF Dia V1'!$GA$25</f>
        <v>2311493250</v>
      </c>
      <c r="AI175" s="14">
        <f>+'[1]CF Dia V1'!$GA$29</f>
        <v>14949550000</v>
      </c>
      <c r="AJ175" s="14"/>
      <c r="AK175" s="16"/>
    </row>
    <row r="176" spans="1:37" ht="15.75" customHeight="1" x14ac:dyDescent="0.25">
      <c r="A176" s="13">
        <v>46310</v>
      </c>
      <c r="B176" s="63">
        <v>1512</v>
      </c>
      <c r="C176" s="14"/>
      <c r="D176" s="14">
        <v>788932000</v>
      </c>
      <c r="E176" s="14">
        <v>11315000</v>
      </c>
      <c r="F176" s="14">
        <v>70090000</v>
      </c>
      <c r="G176" s="14">
        <v>39861000</v>
      </c>
      <c r="H176" s="14">
        <v>2343000</v>
      </c>
      <c r="I176" s="14">
        <v>1066418000</v>
      </c>
      <c r="J176" s="14">
        <v>510470820</v>
      </c>
      <c r="K176" s="14"/>
      <c r="L176" s="14"/>
      <c r="M176" s="14"/>
      <c r="N176" s="14"/>
      <c r="O176" s="14"/>
      <c r="P176" s="14">
        <v>164313430</v>
      </c>
      <c r="Q176" s="14">
        <v>348213687</v>
      </c>
      <c r="R176" s="14"/>
      <c r="S176" s="14"/>
      <c r="T176" s="14"/>
      <c r="U176" s="14"/>
      <c r="V176" s="14"/>
      <c r="W176" s="14"/>
      <c r="X176" s="14">
        <v>1810854000</v>
      </c>
      <c r="Y176" s="14">
        <v>4190000000</v>
      </c>
      <c r="Z176" s="14">
        <f t="shared" si="56"/>
        <v>179326122.93125013</v>
      </c>
      <c r="AA176" s="63">
        <v>6180350000</v>
      </c>
      <c r="AB176" s="63">
        <v>1374034.35</v>
      </c>
      <c r="AC176" s="63">
        <f t="shared" si="57"/>
        <v>17800000</v>
      </c>
      <c r="AD176" s="63">
        <f t="shared" si="57"/>
        <v>245288.76712328769</v>
      </c>
      <c r="AE176" s="63">
        <f t="shared" si="57"/>
        <v>324663.09794520552</v>
      </c>
      <c r="AF176" s="63">
        <f>+'[1]CF Dia V1'!$GB$97</f>
        <v>17298912.278999999</v>
      </c>
      <c r="AG176" s="63">
        <f t="shared" si="58"/>
        <v>5582721359</v>
      </c>
      <c r="AH176" s="14">
        <f>+'[1]CF Dia V1'!$GB$24+'[1]CF Dia V1'!$GB$25</f>
        <v>1912869000</v>
      </c>
      <c r="AI176" s="14">
        <f>+'[1]CF Dia V1'!$GB$29</f>
        <v>14943478536</v>
      </c>
      <c r="AJ176" s="14"/>
      <c r="AK176" s="16"/>
    </row>
    <row r="177" spans="1:37" ht="15.75" customHeight="1" x14ac:dyDescent="0.25">
      <c r="A177" s="13">
        <v>46311</v>
      </c>
      <c r="B177" s="63">
        <v>1510.5</v>
      </c>
      <c r="C177" s="14"/>
      <c r="D177" s="14">
        <v>788932000</v>
      </c>
      <c r="E177" s="14">
        <v>35362000</v>
      </c>
      <c r="F177" s="14">
        <v>1016000</v>
      </c>
      <c r="G177" s="14">
        <v>11730000</v>
      </c>
      <c r="H177" s="14">
        <v>404000</v>
      </c>
      <c r="I177" s="14">
        <v>1377121000</v>
      </c>
      <c r="J177" s="14">
        <v>244100763</v>
      </c>
      <c r="K177" s="14"/>
      <c r="L177" s="14"/>
      <c r="M177" s="14"/>
      <c r="N177" s="14"/>
      <c r="O177" s="14"/>
      <c r="P177" s="14">
        <v>0</v>
      </c>
      <c r="Q177" s="14">
        <v>249605382</v>
      </c>
      <c r="R177" s="14"/>
      <c r="S177" s="14"/>
      <c r="T177" s="14"/>
      <c r="U177" s="14"/>
      <c r="V177" s="14"/>
      <c r="W177" s="14"/>
      <c r="X177" s="14">
        <v>1558257000</v>
      </c>
      <c r="Y177" s="14">
        <v>4023136000</v>
      </c>
      <c r="Z177" s="14">
        <f t="shared" si="56"/>
        <v>179326122.93125013</v>
      </c>
      <c r="AA177" s="63">
        <v>6180350000</v>
      </c>
      <c r="AB177" s="63">
        <v>1374034.35</v>
      </c>
      <c r="AC177" s="63">
        <f t="shared" si="57"/>
        <v>17800000</v>
      </c>
      <c r="AD177" s="63">
        <f t="shared" si="57"/>
        <v>245288.76712328769</v>
      </c>
      <c r="AE177" s="63">
        <f t="shared" si="57"/>
        <v>324663.09794520552</v>
      </c>
      <c r="AF177" s="63">
        <f>+'[1]CF Dia V1'!$GC$97</f>
        <v>16712000.329</v>
      </c>
      <c r="AG177" s="63">
        <f t="shared" si="58"/>
        <v>5582721359</v>
      </c>
      <c r="AH177" s="14">
        <f>+'[1]CF Dia V1'!$GC$24+'[1]CF Dia V1'!$GC$25</f>
        <v>853233114</v>
      </c>
      <c r="AI177" s="14">
        <f>+'[1]CF Dia V1'!$GC$29</f>
        <v>14928271500</v>
      </c>
      <c r="AJ177" s="14"/>
      <c r="AK177" s="16"/>
    </row>
    <row r="178" spans="1:37" ht="15.75" customHeight="1" x14ac:dyDescent="0.25">
      <c r="A178" s="13">
        <v>46314</v>
      </c>
      <c r="B178" s="63">
        <v>1510</v>
      </c>
      <c r="C178" s="14"/>
      <c r="D178" s="14">
        <v>1092601000</v>
      </c>
      <c r="E178" s="14">
        <v>131311000</v>
      </c>
      <c r="F178" s="14">
        <v>37764000</v>
      </c>
      <c r="G178" s="14">
        <v>41643000</v>
      </c>
      <c r="H178" s="14">
        <v>404000</v>
      </c>
      <c r="I178" s="14">
        <v>1602754000</v>
      </c>
      <c r="J178" s="14">
        <v>286865278</v>
      </c>
      <c r="K178" s="14"/>
      <c r="L178" s="14"/>
      <c r="M178" s="14"/>
      <c r="N178" s="14"/>
      <c r="O178" s="14"/>
      <c r="P178" s="14">
        <v>212997662</v>
      </c>
      <c r="Q178" s="14">
        <v>6281802</v>
      </c>
      <c r="R178" s="14"/>
      <c r="S178" s="14"/>
      <c r="T178" s="14"/>
      <c r="U178" s="14"/>
      <c r="V178" s="14"/>
      <c r="W178" s="14"/>
      <c r="X178" s="14">
        <v>1078384000</v>
      </c>
      <c r="Y178" s="14">
        <v>3810138000</v>
      </c>
      <c r="Z178" s="14">
        <f t="shared" si="56"/>
        <v>179326122.93125013</v>
      </c>
      <c r="AA178" s="63">
        <v>6184142757</v>
      </c>
      <c r="AB178" s="63">
        <v>1374034.35</v>
      </c>
      <c r="AC178" s="63">
        <f t="shared" si="57"/>
        <v>17800000</v>
      </c>
      <c r="AD178" s="63">
        <f t="shared" si="57"/>
        <v>245288.76712328769</v>
      </c>
      <c r="AE178" s="63">
        <f t="shared" si="57"/>
        <v>324663.09794520552</v>
      </c>
      <c r="AF178" s="63">
        <f>+'[1]CF Dia V1'!$GD$97</f>
        <v>15603011.429000001</v>
      </c>
      <c r="AG178" s="63">
        <f t="shared" si="58"/>
        <v>5582721359</v>
      </c>
      <c r="AH178" s="14">
        <f>+'[1]CF Dia V1'!$GD$24+'[1]CF Dia V1'!$GD$25</f>
        <v>1361902220</v>
      </c>
      <c r="AI178" s="14">
        <f>+'[1]CF Dia V1'!$GD$29</f>
        <v>13933978000</v>
      </c>
      <c r="AJ178" s="14"/>
      <c r="AK178" s="16"/>
    </row>
    <row r="179" spans="1:37" ht="15.75" customHeight="1" x14ac:dyDescent="0.25">
      <c r="A179" s="13">
        <v>46315</v>
      </c>
      <c r="B179" s="63">
        <v>1520</v>
      </c>
      <c r="C179" s="14"/>
      <c r="D179" s="14">
        <v>1109337000</v>
      </c>
      <c r="E179" s="14">
        <v>72028000</v>
      </c>
      <c r="F179" s="14">
        <v>47500000</v>
      </c>
      <c r="G179" s="14">
        <v>143521000</v>
      </c>
      <c r="H179" s="14">
        <v>3651000</v>
      </c>
      <c r="I179" s="14">
        <v>1287841000</v>
      </c>
      <c r="J179" s="14">
        <v>226468938</v>
      </c>
      <c r="K179" s="14"/>
      <c r="L179" s="14">
        <v>232750043</v>
      </c>
      <c r="M179" s="14"/>
      <c r="N179" s="14"/>
      <c r="O179" s="14"/>
      <c r="P179" s="14">
        <v>41333255</v>
      </c>
      <c r="Q179" s="14">
        <v>64386868</v>
      </c>
      <c r="R179" s="14"/>
      <c r="S179" s="14"/>
      <c r="T179" s="14"/>
      <c r="U179" s="14"/>
      <c r="V179" s="14">
        <v>105000000</v>
      </c>
      <c r="W179" s="14"/>
      <c r="X179" s="14">
        <v>1043088000</v>
      </c>
      <c r="Y179" s="14">
        <v>3201397000</v>
      </c>
      <c r="Z179" s="14">
        <f t="shared" si="56"/>
        <v>179326122.93125013</v>
      </c>
      <c r="AA179" s="63">
        <v>6175150000</v>
      </c>
      <c r="AB179" s="63">
        <f t="shared" ref="AB179:AE180" si="59">+AB178</f>
        <v>1374034.35</v>
      </c>
      <c r="AC179" s="63">
        <f t="shared" si="59"/>
        <v>17800000</v>
      </c>
      <c r="AD179" s="63">
        <f t="shared" si="59"/>
        <v>245288.76712328769</v>
      </c>
      <c r="AE179" s="63">
        <f t="shared" si="59"/>
        <v>324663.09794520552</v>
      </c>
      <c r="AF179" s="63">
        <f>+'[1]CF Dia V1'!$GE$97</f>
        <v>17806558.879000001</v>
      </c>
      <c r="AG179" s="63">
        <f t="shared" si="58"/>
        <v>5582721359</v>
      </c>
      <c r="AH179" s="14">
        <f>+'[1]CF Dia V1'!$GE$24+'[1]CF Dia V1'!$GE$25</f>
        <v>1473556400</v>
      </c>
      <c r="AI179" s="14">
        <f>+'[1]CF Dia V1'!$GE$29</f>
        <v>14026256000</v>
      </c>
      <c r="AJ179" s="14"/>
      <c r="AK179" s="16"/>
    </row>
    <row r="180" spans="1:37" ht="15.75" customHeight="1" x14ac:dyDescent="0.25">
      <c r="A180" s="13">
        <v>46316</v>
      </c>
      <c r="B180" s="63">
        <v>1520.5</v>
      </c>
      <c r="C180" s="14"/>
      <c r="D180" s="14">
        <v>1202903000</v>
      </c>
      <c r="E180" s="14">
        <v>33884000</v>
      </c>
      <c r="F180" s="14">
        <v>16637000</v>
      </c>
      <c r="G180" s="14">
        <v>36521000</v>
      </c>
      <c r="H180" s="14">
        <v>105701000</v>
      </c>
      <c r="I180" s="14">
        <v>1106215000</v>
      </c>
      <c r="J180" s="14">
        <v>158155647</v>
      </c>
      <c r="K180" s="14"/>
      <c r="L180" s="14">
        <v>239849900</v>
      </c>
      <c r="M180" s="14"/>
      <c r="N180" s="14"/>
      <c r="O180" s="14"/>
      <c r="P180" s="14">
        <v>189490155</v>
      </c>
      <c r="Q180" s="14">
        <v>166923129</v>
      </c>
      <c r="R180" s="14"/>
      <c r="S180" s="14"/>
      <c r="T180" s="14"/>
      <c r="U180" s="14"/>
      <c r="V180" s="14"/>
      <c r="W180" s="14"/>
      <c r="X180" s="14">
        <v>1225804000</v>
      </c>
      <c r="Y180" s="14">
        <v>3168735415</v>
      </c>
      <c r="Z180" s="14">
        <f t="shared" si="56"/>
        <v>179326122.93125013</v>
      </c>
      <c r="AA180" s="63">
        <v>6230779000</v>
      </c>
      <c r="AB180" s="63">
        <f t="shared" si="59"/>
        <v>1374034.35</v>
      </c>
      <c r="AC180" s="63">
        <f t="shared" si="59"/>
        <v>17800000</v>
      </c>
      <c r="AD180" s="63">
        <f t="shared" si="59"/>
        <v>245288.76712328769</v>
      </c>
      <c r="AE180" s="63">
        <f t="shared" si="59"/>
        <v>324663.09794520552</v>
      </c>
      <c r="AF180" s="63">
        <f>+'[1]CF Dia V1'!$GF$97</f>
        <v>18181792.929000001</v>
      </c>
      <c r="AG180" s="63">
        <f t="shared" si="58"/>
        <v>5582721359</v>
      </c>
      <c r="AH180" s="14">
        <f>+'[1]CF Dia V1'!$GF$24+'[1]CF Dia V1'!$GF$25</f>
        <v>1657614128.5</v>
      </c>
      <c r="AI180" s="14">
        <f>+'[1]CF Dia V1'!$GF$29</f>
        <v>13678684087.5</v>
      </c>
      <c r="AJ180" s="14"/>
      <c r="AK180" s="16"/>
    </row>
    <row r="181" spans="1:37" ht="15.75" customHeight="1" x14ac:dyDescent="0.25">
      <c r="A181" s="13">
        <v>46317</v>
      </c>
      <c r="B181" s="63">
        <v>1520.5</v>
      </c>
      <c r="C181" s="14"/>
      <c r="D181" s="14">
        <f>+D180</f>
        <v>1202903000</v>
      </c>
      <c r="E181" s="14">
        <f>+'[1]CF Dia V1'!$GG$13</f>
        <v>54527000</v>
      </c>
      <c r="F181" s="14">
        <f>+'[1]CF Dia V1'!$GG$16</f>
        <v>126829000</v>
      </c>
      <c r="G181" s="14">
        <f>+'[1]CF Dia V1'!$GG$14</f>
        <v>31357000</v>
      </c>
      <c r="H181" s="14">
        <v>400000</v>
      </c>
      <c r="I181" s="14">
        <f>+'[1]CF Dia V1'!$GG$22</f>
        <v>1026690000</v>
      </c>
      <c r="J181" s="14">
        <f>+'[1]CF Dia V1'!$GG$43</f>
        <v>187282014</v>
      </c>
      <c r="K181" s="14"/>
      <c r="L181" s="14"/>
      <c r="M181" s="14"/>
      <c r="N181" s="14"/>
      <c r="O181" s="14"/>
      <c r="P181" s="14">
        <f>+'[1]CF Dia V1'!$GG$50</f>
        <v>53320371</v>
      </c>
      <c r="Q181" s="14">
        <f>+'[1]CF Dia V1'!$GG$51</f>
        <v>3611906</v>
      </c>
      <c r="R181" s="14"/>
      <c r="S181" s="14"/>
      <c r="T181" s="14"/>
      <c r="U181" s="14"/>
      <c r="V181" s="14"/>
      <c r="W181" s="14"/>
      <c r="X181" s="14">
        <f>+'[1]CF Dia V1'!$GG$100</f>
        <v>1109216000</v>
      </c>
      <c r="Y181" s="14">
        <f>+'[1]CF Dia V1'!$GG$101</f>
        <v>3073819000</v>
      </c>
      <c r="Z181" s="14">
        <f>+Z180</f>
        <v>179326122.93125013</v>
      </c>
      <c r="AA181" s="63">
        <f>+'[1]CF Dia V1'!$GG$102</f>
        <v>5909439000</v>
      </c>
      <c r="AB181" s="63">
        <f>+AB180</f>
        <v>1374034.35</v>
      </c>
      <c r="AC181" s="63">
        <f>+AC180</f>
        <v>17800000</v>
      </c>
      <c r="AD181" s="63">
        <f>+AD180</f>
        <v>245288.76712328769</v>
      </c>
      <c r="AE181" s="63">
        <f>+AE180</f>
        <v>324663.09794520552</v>
      </c>
      <c r="AF181" s="63">
        <f>+'[1]CF Dia V1'!$GG$97</f>
        <v>17813275</v>
      </c>
      <c r="AG181" s="63">
        <f>+AG180</f>
        <v>5582721359</v>
      </c>
      <c r="AH181" s="14">
        <f>+'[1]CF Dia V1'!$GG$24+'[1]CF Dia V1'!$GG$25+'[1]CF Dia V1'!$GG$27+'[1]CF Dia V1'!$GG$28</f>
        <v>3117721389</v>
      </c>
      <c r="AI181" s="14">
        <f>+'[1]CF Dia V1'!$GG$29</f>
        <v>13678684087.5</v>
      </c>
      <c r="AJ181" s="14"/>
      <c r="AK181" s="16"/>
    </row>
    <row r="182" spans="1:37" ht="15.75" customHeight="1" x14ac:dyDescent="0.25">
      <c r="A182" s="13">
        <v>46318</v>
      </c>
      <c r="B182" s="63">
        <v>1524.5</v>
      </c>
      <c r="C182" s="14"/>
      <c r="D182" s="14">
        <f>+'[1]CF Dia V1'!$GH$10</f>
        <v>1156221059</v>
      </c>
      <c r="E182" s="14">
        <f>+'[1]CF Dia V1'!$GH$13</f>
        <v>54630000</v>
      </c>
      <c r="F182" s="14">
        <f>+'[1]CF Dia V1'!$GH$16</f>
        <v>6647000</v>
      </c>
      <c r="G182" s="14">
        <f>+'[1]CF Dia V1'!$GH$14</f>
        <v>33833000</v>
      </c>
      <c r="H182" s="14">
        <f>+'[1]CF Dia V1'!$GH$15</f>
        <v>400000</v>
      </c>
      <c r="I182" s="14">
        <f>+'[1]CF Dia V1'!$GH$22</f>
        <v>940503000</v>
      </c>
      <c r="J182" s="14">
        <f>+'[1]CF Dia V1'!$GH$43</f>
        <v>209580438</v>
      </c>
      <c r="K182" s="14"/>
      <c r="L182" s="14">
        <f>+'[1]CF Dia V1'!$GH$46</f>
        <v>43082759</v>
      </c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>
        <f>+'[1]CF Dia V1'!$GH$100</f>
        <v>972612348.80999994</v>
      </c>
      <c r="Y182" s="14">
        <f>+'[1]CF Dia V1'!$GH$101</f>
        <v>3090737000</v>
      </c>
      <c r="Z182" s="14">
        <f>+Z181</f>
        <v>179326122.93125013</v>
      </c>
      <c r="AA182" s="63">
        <f>+'[1]CF Dia V1'!$GH$102</f>
        <v>5943000000</v>
      </c>
      <c r="AB182" s="63">
        <f>+AB181</f>
        <v>1374034.35</v>
      </c>
      <c r="AC182" s="63">
        <f>+AC181</f>
        <v>17800000</v>
      </c>
      <c r="AD182" s="63">
        <f>+AD181</f>
        <v>245288.76712328769</v>
      </c>
      <c r="AE182" s="63">
        <f>+AE181</f>
        <v>324663.09794520552</v>
      </c>
      <c r="AF182" s="63">
        <f>+'[1]CF Dia V1'!$GH$97</f>
        <v>17957000</v>
      </c>
      <c r="AG182" s="63">
        <f>+AG181</f>
        <v>5582721359</v>
      </c>
      <c r="AH182" s="14">
        <f>+'[1]CF Dia V1'!$GH$24+'[1]CF Dia V1'!$GH$25+'[1]CF Dia V1'!$GH$26+'[1]CF Dia V1'!$GH$28</f>
        <v>3245672696</v>
      </c>
      <c r="AI182" s="14">
        <f>+'[1]CF Dia V1'!$GH$29</f>
        <v>13654999857.5</v>
      </c>
      <c r="AJ182" s="14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2" t="s">
        <v>96</v>
      </c>
      <c r="B1" s="72"/>
      <c r="C1" s="72"/>
      <c r="D1" s="72"/>
      <c r="E1" s="72"/>
      <c r="F1" s="72"/>
      <c r="G1" s="72"/>
      <c r="H1" s="72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-161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-146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-135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-125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2" t="s">
        <v>115</v>
      </c>
      <c r="B1" s="72"/>
      <c r="C1" s="72"/>
      <c r="D1" s="72"/>
      <c r="E1" s="72"/>
      <c r="F1" s="72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2" t="s">
        <v>121</v>
      </c>
      <c r="B1" s="72"/>
      <c r="C1" s="72"/>
      <c r="D1" s="72"/>
      <c r="E1" s="72"/>
      <c r="F1" s="72"/>
      <c r="G1" s="72"/>
    </row>
    <row r="2" spans="1:7" ht="15.75" customHeight="1" x14ac:dyDescent="0.25">
      <c r="A2" s="80" t="s">
        <v>122</v>
      </c>
      <c r="B2" s="80"/>
      <c r="C2" s="80"/>
      <c r="D2" s="80"/>
      <c r="E2" s="80"/>
      <c r="F2" s="80"/>
      <c r="G2" s="80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86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2" t="s">
        <v>138</v>
      </c>
      <c r="B1" s="72"/>
      <c r="C1" s="72"/>
      <c r="D1" s="72"/>
      <c r="E1" s="72"/>
      <c r="F1" s="72"/>
      <c r="G1" s="72"/>
      <c r="H1" s="72"/>
    </row>
    <row r="2" spans="1:8" ht="18" customHeight="1" x14ac:dyDescent="0.25">
      <c r="A2" s="81" t="s">
        <v>139</v>
      </c>
      <c r="B2" s="81"/>
      <c r="C2" s="81"/>
      <c r="D2" s="81"/>
      <c r="E2" s="81"/>
      <c r="F2" s="81"/>
      <c r="G2" s="81"/>
      <c r="H2" s="81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14753534.532662639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-2215560.6538122687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30886657.558458403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12433591.53694668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>
        <f>IF(CARGA_DIARIA!A149="","",CARGA_DIARIA!A149)</f>
        <v>46254</v>
      </c>
      <c r="B149" s="34">
        <f>IF(CARGA_DIARIA!A149="","",CARGA_DIARIA!B149)</f>
        <v>1494</v>
      </c>
      <c r="C149" s="35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>48537587.949077636</v>
      </c>
      <c r="D149" s="36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>366892.53413654619</v>
      </c>
      <c r="E149" s="36">
        <f>IF(CARGA_DIARIA!A149="","",IF(CARGA_DIARIA!B149=0,0,(CARGA_DIARIA!X149+CARGA_DIARIA!Y149+CARGA_DIARIA!Z149+CARGA_DIARIA!AA149)/CARGA_DIARIA!B149+CARGA_DIARIA!AB149+CARGA_DIARIA!AC149+CARGA_DIARIA!AD149+CARGA_DIARIA!AE149))</f>
        <v>28865061.931066565</v>
      </c>
      <c r="F149" s="39" t="s">
        <v>146</v>
      </c>
      <c r="G149" s="39" t="s">
        <v>146</v>
      </c>
      <c r="H149" s="38">
        <f>IF(CARGA_DIARIA!A149="","",C149-D149-E149)</f>
        <v>19305633.483874522</v>
      </c>
    </row>
    <row r="150" spans="1:8" ht="15.75" customHeight="1" x14ac:dyDescent="0.25">
      <c r="A150" s="33">
        <f>IF(CARGA_DIARIA!A150="","",CARGA_DIARIA!A150)</f>
        <v>46255</v>
      </c>
      <c r="B150" s="34">
        <f>IF(CARGA_DIARIA!A150="","",CARGA_DIARIA!B150)</f>
        <v>1494</v>
      </c>
      <c r="C150" s="35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>46625309.78109505</v>
      </c>
      <c r="D150" s="36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>885341.38621151273</v>
      </c>
      <c r="E150" s="36">
        <f>IF(CARGA_DIARIA!A150="","",IF(CARGA_DIARIA!B150=0,0,(CARGA_DIARIA!X150+CARGA_DIARIA!Y150+CARGA_DIARIA!Z150+CARGA_DIARIA!AA150)/CARGA_DIARIA!B150+CARGA_DIARIA!AB150+CARGA_DIARIA!AC150+CARGA_DIARIA!AD150+CARGA_DIARIA!AE150))</f>
        <v>28291522.191441394</v>
      </c>
      <c r="F150" s="39" t="s">
        <v>146</v>
      </c>
      <c r="G150" s="39" t="s">
        <v>146</v>
      </c>
      <c r="H150" s="38">
        <f>IF(CARGA_DIARIA!A150="","",C150-D150-E150)</f>
        <v>17448446.203442141</v>
      </c>
    </row>
    <row r="151" spans="1:8" ht="15.75" customHeight="1" x14ac:dyDescent="0.25">
      <c r="A151" s="33">
        <f>IF(CARGA_DIARIA!A151="","",CARGA_DIARIA!A151)</f>
        <v>46258</v>
      </c>
      <c r="B151" s="34">
        <f>IF(CARGA_DIARIA!A151="","",CARGA_DIARIA!B151)</f>
        <v>1494</v>
      </c>
      <c r="C151" s="35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>46772814.841081657</v>
      </c>
      <c r="D151" s="36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>322197.34738955821</v>
      </c>
      <c r="E151" s="36">
        <f>IF(CARGA_DIARIA!A151="","",IF(CARGA_DIARIA!B151=0,0,(CARGA_DIARIA!X151+CARGA_DIARIA!Y151+CARGA_DIARIA!Z151+CARGA_DIARIA!AA151)/CARGA_DIARIA!B151+CARGA_DIARIA!AB151+CARGA_DIARIA!AC151+CARGA_DIARIA!AD151+CARGA_DIARIA!AE151))</f>
        <v>30249805.546300836</v>
      </c>
      <c r="F151" s="39" t="s">
        <v>146</v>
      </c>
      <c r="G151" s="39" t="s">
        <v>146</v>
      </c>
      <c r="H151" s="38">
        <f>IF(CARGA_DIARIA!A151="","",C151-D151-E151)</f>
        <v>16200811.947391264</v>
      </c>
    </row>
    <row r="152" spans="1:8" ht="15.75" customHeight="1" x14ac:dyDescent="0.25">
      <c r="A152" s="33">
        <f>IF(CARGA_DIARIA!A152="","",CARGA_DIARIA!A152)</f>
        <v>46259</v>
      </c>
      <c r="B152" s="34">
        <f>IF(CARGA_DIARIA!A152="","",CARGA_DIARIA!B152)</f>
        <v>1505</v>
      </c>
      <c r="C152" s="35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>47187236.84902326</v>
      </c>
      <c r="D152" s="36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>162370.46976744186</v>
      </c>
      <c r="E152" s="36">
        <f>IF(CARGA_DIARIA!A152="","",IF(CARGA_DIARIA!B152=0,0,(CARGA_DIARIA!X152+CARGA_DIARIA!Y152+CARGA_DIARIA!Z152+CARGA_DIARIA!AA152)/CARGA_DIARIA!B152+CARGA_DIARIA!AB152+CARGA_DIARIA!AC152+CARGA_DIARIA!AD152+CARGA_DIARIA!AE152))</f>
        <v>30205389.438173957</v>
      </c>
      <c r="F152" s="39" t="s">
        <v>146</v>
      </c>
      <c r="G152" s="39" t="s">
        <v>146</v>
      </c>
      <c r="H152" s="38">
        <f>IF(CARGA_DIARIA!A152="","",C152-D152-E152)</f>
        <v>16819476.941081859</v>
      </c>
    </row>
    <row r="153" spans="1:8" ht="15.75" customHeight="1" x14ac:dyDescent="0.25">
      <c r="A153" s="33">
        <f>IF(CARGA_DIARIA!A153="","",CARGA_DIARIA!A153)</f>
        <v>46260</v>
      </c>
      <c r="B153" s="34">
        <f>IF(CARGA_DIARIA!A153="","",CARGA_DIARIA!B153)</f>
        <v>1508</v>
      </c>
      <c r="C153" s="35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>44995681.481615387</v>
      </c>
      <c r="D153" s="36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>472203.0802387268</v>
      </c>
      <c r="E153" s="36">
        <f>IF(CARGA_DIARIA!A153="","",IF(CARGA_DIARIA!B153=0,0,(CARGA_DIARIA!X153+CARGA_DIARIA!Y153+CARGA_DIARIA!Z153+CARGA_DIARIA!AA153)/CARGA_DIARIA!B153+CARGA_DIARIA!AB153+CARGA_DIARIA!AC153+CARGA_DIARIA!AD153+CARGA_DIARIA!AE153))</f>
        <v>30222682.610884063</v>
      </c>
      <c r="F153" s="39" t="s">
        <v>146</v>
      </c>
      <c r="G153" s="39" t="s">
        <v>146</v>
      </c>
      <c r="H153" s="38">
        <f>IF(CARGA_DIARIA!A153="","",C153-D153-E153)</f>
        <v>14300795.790492594</v>
      </c>
    </row>
    <row r="154" spans="1:8" ht="15.75" customHeight="1" x14ac:dyDescent="0.25">
      <c r="A154" s="33">
        <f>IF(CARGA_DIARIA!A154="","",CARGA_DIARIA!A154)</f>
        <v>46261</v>
      </c>
      <c r="B154" s="34">
        <f>IF(CARGA_DIARIA!A154="","",CARGA_DIARIA!B154)</f>
        <v>1510</v>
      </c>
      <c r="C154" s="35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>45634646.344735101</v>
      </c>
      <c r="D154" s="36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>233015.15695364238</v>
      </c>
      <c r="E154" s="36">
        <f>IF(CARGA_DIARIA!A154="","",IF(CARGA_DIARIA!B154=0,0,(CARGA_DIARIA!X154+CARGA_DIARIA!Y154+CARGA_DIARIA!Z154+CARGA_DIARIA!AA154)/CARGA_DIARIA!B154+CARGA_DIARIA!AB154+CARGA_DIARIA!AC154+CARGA_DIARIA!AD154+CARGA_DIARIA!AE154))</f>
        <v>30144659.48230955</v>
      </c>
      <c r="F154" s="39" t="s">
        <v>146</v>
      </c>
      <c r="G154" s="39" t="s">
        <v>146</v>
      </c>
      <c r="H154" s="38">
        <f>IF(CARGA_DIARIA!A154="","",C154-D154-E154)</f>
        <v>15256971.705471911</v>
      </c>
    </row>
    <row r="155" spans="1:8" ht="15.75" customHeight="1" x14ac:dyDescent="0.25">
      <c r="A155" s="33">
        <f>IF(CARGA_DIARIA!A155="","",CARGA_DIARIA!A155)</f>
        <v>46262</v>
      </c>
      <c r="B155" s="34">
        <f>IF(CARGA_DIARIA!A155="","",CARGA_DIARIA!B155)</f>
        <v>1510</v>
      </c>
      <c r="C155" s="35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>45578251.216920532</v>
      </c>
      <c r="D155" s="36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>420696.32781456952</v>
      </c>
      <c r="E155" s="36">
        <f>IF(CARGA_DIARIA!A155="","",IF(CARGA_DIARIA!B155=0,0,(CARGA_DIARIA!X155+CARGA_DIARIA!Y155+CARGA_DIARIA!Z155+CARGA_DIARIA!AA155)/CARGA_DIARIA!B155+CARGA_DIARIA!AB155+CARGA_DIARIA!AC155+CARGA_DIARIA!AD155+CARGA_DIARIA!AE155))</f>
        <v>30364941.370389018</v>
      </c>
      <c r="F155" s="39" t="s">
        <v>146</v>
      </c>
      <c r="G155" s="39" t="s">
        <v>146</v>
      </c>
      <c r="H155" s="38">
        <f>IF(CARGA_DIARIA!A155="","",C155-D155-E155)</f>
        <v>14792613.518716943</v>
      </c>
    </row>
    <row r="156" spans="1:8" ht="15.75" customHeight="1" x14ac:dyDescent="0.25">
      <c r="A156" s="33">
        <f>IF(CARGA_DIARIA!A156="","",CARGA_DIARIA!A156)</f>
        <v>46265</v>
      </c>
      <c r="B156" s="34">
        <f>IF(CARGA_DIARIA!A156="","",CARGA_DIARIA!B156)</f>
        <v>1510.5</v>
      </c>
      <c r="C156" s="35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>45673831.186523005</v>
      </c>
      <c r="D156" s="36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>369179.81396888447</v>
      </c>
      <c r="E156" s="36">
        <f>IF(CARGA_DIARIA!A156="","",IF(CARGA_DIARIA!B156=0,0,(CARGA_DIARIA!X156+CARGA_DIARIA!Y156+CARGA_DIARIA!Z156+CARGA_DIARIA!AA156)/CARGA_DIARIA!B156+CARGA_DIARIA!AB156+CARGA_DIARIA!AC156+CARGA_DIARIA!AD156+CARGA_DIARIA!AE156))</f>
        <v>34559559.025270425</v>
      </c>
      <c r="F156" s="39" t="s">
        <v>146</v>
      </c>
      <c r="G156" s="39" t="s">
        <v>146</v>
      </c>
      <c r="H156" s="38">
        <f>IF(CARGA_DIARIA!A156="","",C156-D156-E156)</f>
        <v>10745092.347283699</v>
      </c>
    </row>
    <row r="157" spans="1:8" ht="15.75" customHeight="1" x14ac:dyDescent="0.25">
      <c r="A157" s="33">
        <f>IF(CARGA_DIARIA!A157="","",CARGA_DIARIA!A157)</f>
        <v>46266</v>
      </c>
      <c r="B157" s="34">
        <f>IF(CARGA_DIARIA!A157="","",CARGA_DIARIA!B157)</f>
        <v>1506</v>
      </c>
      <c r="C157" s="35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>46902234.522333339</v>
      </c>
      <c r="D157" s="36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>386458.9887118194</v>
      </c>
      <c r="E157" s="36">
        <f>IF(CARGA_DIARIA!A157="","",IF(CARGA_DIARIA!B157=0,0,(CARGA_DIARIA!X157+CARGA_DIARIA!Y157+CARGA_DIARIA!Z157+CARGA_DIARIA!AA157)/CARGA_DIARIA!B157+CARGA_DIARIA!AB157+CARGA_DIARIA!AC157+CARGA_DIARIA!AD157+CARGA_DIARIA!AE157))</f>
        <v>34340363.933080293</v>
      </c>
      <c r="F157" s="39" t="s">
        <v>146</v>
      </c>
      <c r="G157" s="39" t="s">
        <v>146</v>
      </c>
      <c r="H157" s="38">
        <f>IF(CARGA_DIARIA!A157="","",C157-D157-E157)</f>
        <v>12175411.600541227</v>
      </c>
    </row>
    <row r="158" spans="1:8" ht="15.75" customHeight="1" x14ac:dyDescent="0.25">
      <c r="A158" s="33">
        <f>IF(CARGA_DIARIA!A158="","",CARGA_DIARIA!A158)</f>
        <v>46267</v>
      </c>
      <c r="B158" s="34">
        <f>IF(CARGA_DIARIA!A158="","",CARGA_DIARIA!B158)</f>
        <v>1509</v>
      </c>
      <c r="C158" s="35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>48445898.781292908</v>
      </c>
      <c r="D158" s="36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>383434.04903909873</v>
      </c>
      <c r="E158" s="36">
        <f>IF(CARGA_DIARIA!A158="","",IF(CARGA_DIARIA!B158=0,0,(CARGA_DIARIA!X158+CARGA_DIARIA!Y158+CARGA_DIARIA!Z158+CARGA_DIARIA!AA158)/CARGA_DIARIA!B158+CARGA_DIARIA!AB158+CARGA_DIARIA!AC158+CARGA_DIARIA!AD158+CARGA_DIARIA!AE158))</f>
        <v>34864748.074413709</v>
      </c>
      <c r="F158" s="39" t="s">
        <v>146</v>
      </c>
      <c r="G158" s="39" t="s">
        <v>146</v>
      </c>
      <c r="H158" s="38">
        <f>IF(CARGA_DIARIA!A158="","",C158-D158-E158)</f>
        <v>13197716.657840103</v>
      </c>
    </row>
    <row r="159" spans="1:8" ht="15.75" customHeight="1" x14ac:dyDescent="0.25">
      <c r="A159" s="33">
        <f>IF(CARGA_DIARIA!A159="","",CARGA_DIARIA!A159)</f>
        <v>46268</v>
      </c>
      <c r="B159" s="34">
        <f>IF(CARGA_DIARIA!A159="","",CARGA_DIARIA!B159)</f>
        <v>1509</v>
      </c>
      <c r="C159" s="35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>45216884.901597746</v>
      </c>
      <c r="D159" s="36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>249681.14777998676</v>
      </c>
      <c r="E159" s="36">
        <f>IF(CARGA_DIARIA!A159="","",IF(CARGA_DIARIA!B159=0,0,(CARGA_DIARIA!X159+CARGA_DIARIA!Y159+CARGA_DIARIA!Z159+CARGA_DIARIA!AA159)/CARGA_DIARIA!B159+CARGA_DIARIA!AB159+CARGA_DIARIA!AC159+CARGA_DIARIA!AD159+CARGA_DIARIA!AE159))</f>
        <v>34349787.141630411</v>
      </c>
      <c r="F159" s="39" t="s">
        <v>146</v>
      </c>
      <c r="G159" s="39" t="s">
        <v>146</v>
      </c>
      <c r="H159" s="38">
        <f>IF(CARGA_DIARIA!A159="","",C159-D159-E159)</f>
        <v>10617416.612187348</v>
      </c>
    </row>
    <row r="160" spans="1:8" ht="15.75" customHeight="1" x14ac:dyDescent="0.25">
      <c r="A160" s="33">
        <f>IF(CARGA_DIARIA!A160="","",CARGA_DIARIA!A160)</f>
        <v>46269</v>
      </c>
      <c r="B160" s="34">
        <f>IF(CARGA_DIARIA!A160="","",CARGA_DIARIA!B160)</f>
        <v>1505.5</v>
      </c>
      <c r="C160" s="35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>44097571.128850885</v>
      </c>
      <c r="D160" s="36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>574273.21355031547</v>
      </c>
      <c r="E160" s="36">
        <f>IF(CARGA_DIARIA!A160="","",IF(CARGA_DIARIA!B160=0,0,(CARGA_DIARIA!X160+CARGA_DIARIA!Y160+CARGA_DIARIA!Z160+CARGA_DIARIA!AA160)/CARGA_DIARIA!B160+CARGA_DIARIA!AB160+CARGA_DIARIA!AC160+CARGA_DIARIA!AD160+CARGA_DIARIA!AE160))</f>
        <v>33946009.419352613</v>
      </c>
      <c r="F160" s="39" t="s">
        <v>146</v>
      </c>
      <c r="G160" s="39" t="s">
        <v>146</v>
      </c>
      <c r="H160" s="38">
        <f>IF(CARGA_DIARIA!A160="","",C160-D160-E160)</f>
        <v>9577288.495947957</v>
      </c>
    </row>
    <row r="161" spans="1:8" ht="15.75" customHeight="1" x14ac:dyDescent="0.25">
      <c r="A161" s="33">
        <f>IF(CARGA_DIARIA!A161="","",CARGA_DIARIA!A161)</f>
        <v>46272</v>
      </c>
      <c r="B161" s="34">
        <f>IF(CARGA_DIARIA!A161="","",CARGA_DIARIA!B161)</f>
        <v>1504</v>
      </c>
      <c r="C161" s="35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>44451811.534893617</v>
      </c>
      <c r="D161" s="36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>599179.6589095745</v>
      </c>
      <c r="E161" s="36">
        <f>IF(CARGA_DIARIA!A161="","",IF(CARGA_DIARIA!B161=0,0,(CARGA_DIARIA!X161+CARGA_DIARIA!Y161+CARGA_DIARIA!Z161+CARGA_DIARIA!AA161)/CARGA_DIARIA!B161+CARGA_DIARIA!AB161+CARGA_DIARIA!AC161+CARGA_DIARIA!AD161+CARGA_DIARIA!AE161))</f>
        <v>33491383.81139911</v>
      </c>
      <c r="F161" s="39" t="s">
        <v>146</v>
      </c>
      <c r="G161" s="39" t="s">
        <v>146</v>
      </c>
      <c r="H161" s="38">
        <f>IF(CARGA_DIARIA!A161="","",C161-D161-E161)</f>
        <v>10361248.064584933</v>
      </c>
    </row>
    <row r="162" spans="1:8" ht="15.75" customHeight="1" x14ac:dyDescent="0.25">
      <c r="A162" s="33">
        <f>IF(CARGA_DIARIA!A162="","",CARGA_DIARIA!A162)</f>
        <v>46273</v>
      </c>
      <c r="B162" s="34">
        <f>IF(CARGA_DIARIA!A162="","",CARGA_DIARIA!B162)</f>
        <v>1509</v>
      </c>
      <c r="C162" s="35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>44636526.422746189</v>
      </c>
      <c r="D162" s="36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>524817.2021206097</v>
      </c>
      <c r="E162" s="36">
        <f>IF(CARGA_DIARIA!A162="","",IF(CARGA_DIARIA!B162=0,0,(CARGA_DIARIA!X162+CARGA_DIARIA!Y162+CARGA_DIARIA!Z162+CARGA_DIARIA!AA162)/CARGA_DIARIA!B162+CARGA_DIARIA!AB162+CARGA_DIARIA!AC162+CARGA_DIARIA!AD162+CARGA_DIARIA!AE162))</f>
        <v>32967263.754618697</v>
      </c>
      <c r="F162" s="39" t="s">
        <v>146</v>
      </c>
      <c r="G162" s="39" t="s">
        <v>146</v>
      </c>
      <c r="H162" s="38">
        <f>IF(CARGA_DIARIA!A162="","",C162-D162-E162)</f>
        <v>11144445.466006882</v>
      </c>
    </row>
    <row r="163" spans="1:8" ht="15.75" customHeight="1" x14ac:dyDescent="0.25">
      <c r="A163" s="33">
        <f>IF(CARGA_DIARIA!A163="","",CARGA_DIARIA!A163)</f>
        <v>46274</v>
      </c>
      <c r="B163" s="34">
        <f>IF(CARGA_DIARIA!A163="","",CARGA_DIARIA!B163)</f>
        <v>1505.5</v>
      </c>
      <c r="C163" s="35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>47968839.814338259</v>
      </c>
      <c r="D163" s="36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>1652148.1560943208</v>
      </c>
      <c r="E163" s="36">
        <f>IF(CARGA_DIARIA!A163="","",IF(CARGA_DIARIA!B163=0,0,(CARGA_DIARIA!X163+CARGA_DIARIA!Y163+CARGA_DIARIA!Z163+CARGA_DIARIA!AA163)/CARGA_DIARIA!B163+CARGA_DIARIA!AB163+CARGA_DIARIA!AC163+CARGA_DIARIA!AD163+CARGA_DIARIA!AE163))</f>
        <v>31235166.211618643</v>
      </c>
      <c r="F163" s="39" t="s">
        <v>146</v>
      </c>
      <c r="G163" s="39" t="s">
        <v>146</v>
      </c>
      <c r="H163" s="38">
        <f>IF(CARGA_DIARIA!A163="","",C163-D163-E163)</f>
        <v>15081525.446625296</v>
      </c>
    </row>
    <row r="164" spans="1:8" ht="15.75" customHeight="1" x14ac:dyDescent="0.25">
      <c r="A164" s="33">
        <f>IF(CARGA_DIARIA!A164="","",CARGA_DIARIA!A164)</f>
        <v>46275</v>
      </c>
      <c r="B164" s="34">
        <f>IF(CARGA_DIARIA!A164="","",CARGA_DIARIA!B164)</f>
        <v>1513</v>
      </c>
      <c r="C164" s="35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>44131532.943422675</v>
      </c>
      <c r="D164" s="36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>520070.05155320553</v>
      </c>
      <c r="E164" s="36">
        <f>IF(CARGA_DIARIA!A164="","",IF(CARGA_DIARIA!B164=0,0,(CARGA_DIARIA!X164+CARGA_DIARIA!Y164+CARGA_DIARIA!Z164+CARGA_DIARIA!AA164)/CARGA_DIARIA!B164+CARGA_DIARIA!AB164+CARGA_DIARIA!AC164+CARGA_DIARIA!AD164+CARGA_DIARIA!AE164))</f>
        <v>31412722.322775863</v>
      </c>
      <c r="F164" s="39" t="s">
        <v>146</v>
      </c>
      <c r="G164" s="39" t="s">
        <v>146</v>
      </c>
      <c r="H164" s="38">
        <f>IF(CARGA_DIARIA!A164="","",C164-D164-E164)</f>
        <v>12198740.569093607</v>
      </c>
    </row>
    <row r="165" spans="1:8" ht="15.75" customHeight="1" x14ac:dyDescent="0.25">
      <c r="A165" s="33">
        <f>IF(CARGA_DIARIA!A165="","",CARGA_DIARIA!A165)</f>
        <v>46276</v>
      </c>
      <c r="B165" s="34">
        <f>IF(CARGA_DIARIA!A165="","",CARGA_DIARIA!B165)</f>
        <v>1509</v>
      </c>
      <c r="C165" s="35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>44577413.268119618</v>
      </c>
      <c r="D165" s="36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>428638.79191517562</v>
      </c>
      <c r="E165" s="36">
        <f>IF(CARGA_DIARIA!A165="","",IF(CARGA_DIARIA!B165=0,0,(CARGA_DIARIA!X165+CARGA_DIARIA!Y165+CARGA_DIARIA!Z165+CARGA_DIARIA!AA165)/CARGA_DIARIA!B165+CARGA_DIARIA!AB165+CARGA_DIARIA!AC165+CARGA_DIARIA!AD165+CARGA_DIARIA!AE165))</f>
        <v>31251933.931557063</v>
      </c>
      <c r="F165" s="39" t="s">
        <v>146</v>
      </c>
      <c r="G165" s="39" t="s">
        <v>146</v>
      </c>
      <c r="H165" s="38">
        <f>IF(CARGA_DIARIA!A165="","",C165-D165-E165)</f>
        <v>12896840.544647377</v>
      </c>
    </row>
    <row r="166" spans="1:8" ht="15.75" customHeight="1" x14ac:dyDescent="0.25">
      <c r="A166" s="33">
        <f>IF(CARGA_DIARIA!A166="","",CARGA_DIARIA!A166)</f>
        <v>46279</v>
      </c>
      <c r="B166" s="34">
        <f>IF(CARGA_DIARIA!A166="","",CARGA_DIARIA!B166)</f>
        <v>1505</v>
      </c>
      <c r="C166" s="35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>44874233.380506642</v>
      </c>
      <c r="D166" s="36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>447764.1169435216</v>
      </c>
      <c r="E166" s="36">
        <f>IF(CARGA_DIARIA!A166="","",IF(CARGA_DIARIA!B166=0,0,(CARGA_DIARIA!X166+CARGA_DIARIA!Y166+CARGA_DIARIA!Z166+CARGA_DIARIA!AA166)/CARGA_DIARIA!B166+CARGA_DIARIA!AB166+CARGA_DIARIA!AC166+CARGA_DIARIA!AD166+CARGA_DIARIA!AE166))</f>
        <v>30688637.110205539</v>
      </c>
      <c r="F166" s="39" t="s">
        <v>146</v>
      </c>
      <c r="G166" s="39" t="s">
        <v>146</v>
      </c>
      <c r="H166" s="38">
        <f>IF(CARGA_DIARIA!A166="","",C166-D166-E166)</f>
        <v>13737832.15335758</v>
      </c>
    </row>
    <row r="167" spans="1:8" ht="15.75" customHeight="1" x14ac:dyDescent="0.25">
      <c r="A167" s="33">
        <f>IF(CARGA_DIARIA!A167="","",CARGA_DIARIA!A167)</f>
        <v>46296</v>
      </c>
      <c r="B167" s="34">
        <f>IF(CARGA_DIARIA!A167="","",CARGA_DIARIA!B167)</f>
        <v>1514</v>
      </c>
      <c r="C167" s="35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>36847041.977323644</v>
      </c>
      <c r="D167" s="36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>407536.3276089828</v>
      </c>
      <c r="E167" s="36">
        <f>IF(CARGA_DIARIA!A167="","",IF(CARGA_DIARIA!B167=0,0,(CARGA_DIARIA!X167+CARGA_DIARIA!Y167+CARGA_DIARIA!Z167+CARGA_DIARIA!AA167)/CARGA_DIARIA!B167+CARGA_DIARIA!AB167+CARGA_DIARIA!AC167+CARGA_DIARIA!AD167+CARGA_DIARIA!AE167))</f>
        <v>29700111.206106309</v>
      </c>
      <c r="F167" s="39" t="s">
        <v>146</v>
      </c>
      <c r="G167" s="39" t="s">
        <v>146</v>
      </c>
      <c r="H167" s="38">
        <f>IF(CARGA_DIARIA!A167="","",C167-D167-E167)</f>
        <v>6739394.4436083548</v>
      </c>
    </row>
    <row r="168" spans="1:8" ht="15.75" customHeight="1" x14ac:dyDescent="0.25">
      <c r="A168" s="33">
        <f>IF(CARGA_DIARIA!A168="","",CARGA_DIARIA!A168)</f>
        <v>46297</v>
      </c>
      <c r="B168" s="34">
        <f>IF(CARGA_DIARIA!A168="","",CARGA_DIARIA!B168)</f>
        <v>1521</v>
      </c>
      <c r="C168" s="35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>36823969.62532413</v>
      </c>
      <c r="D168" s="36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>322139.01577909268</v>
      </c>
      <c r="E168" s="36">
        <f>IF(CARGA_DIARIA!A168="","",IF(CARGA_DIARIA!B168=0,0,(CARGA_DIARIA!X168+CARGA_DIARIA!Y168+CARGA_DIARIA!Z168+CARGA_DIARIA!AA168)/CARGA_DIARIA!B168+CARGA_DIARIA!AB168+CARGA_DIARIA!AC168+CARGA_DIARIA!AD168+CARGA_DIARIA!AE168))</f>
        <v>29348376.791124545</v>
      </c>
      <c r="F168" s="39" t="s">
        <v>146</v>
      </c>
      <c r="G168" s="39" t="s">
        <v>146</v>
      </c>
      <c r="H168" s="38">
        <f>IF(CARGA_DIARIA!A168="","",C168-D168-E168)</f>
        <v>7153453.8184204921</v>
      </c>
    </row>
    <row r="169" spans="1:8" ht="15.75" customHeight="1" x14ac:dyDescent="0.25">
      <c r="A169" s="33">
        <f>IF(CARGA_DIARIA!A169="","",CARGA_DIARIA!A169)</f>
        <v>46300</v>
      </c>
      <c r="B169" s="34">
        <f>IF(CARGA_DIARIA!A169="","",CARGA_DIARIA!B169)</f>
        <v>1520</v>
      </c>
      <c r="C169" s="35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>35780274.251421049</v>
      </c>
      <c r="D169" s="36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>512199.48421052634</v>
      </c>
      <c r="E169" s="36">
        <f>IF(CARGA_DIARIA!A169="","",IF(CARGA_DIARIA!B169=0,0,(CARGA_DIARIA!X169+CARGA_DIARIA!Y169+CARGA_DIARIA!Z169+CARGA_DIARIA!AA169)/CARGA_DIARIA!B169+CARGA_DIARIA!AB169+CARGA_DIARIA!AC169+CARGA_DIARIA!AD169+CARGA_DIARIA!AE169))</f>
        <v>29146137.715102211</v>
      </c>
      <c r="F169" s="39" t="s">
        <v>146</v>
      </c>
      <c r="G169" s="39" t="s">
        <v>146</v>
      </c>
      <c r="H169" s="38">
        <f>IF(CARGA_DIARIA!A169="","",C169-D169-E169)</f>
        <v>6121937.0521083102</v>
      </c>
    </row>
    <row r="170" spans="1:8" ht="15.75" customHeight="1" x14ac:dyDescent="0.25">
      <c r="A170" s="33">
        <f>IF(CARGA_DIARIA!A170="","",CARGA_DIARIA!A170)</f>
        <v>46301</v>
      </c>
      <c r="B170" s="34">
        <f>IF(CARGA_DIARIA!A170="","",CARGA_DIARIA!B170)</f>
        <v>1515.5</v>
      </c>
      <c r="C170" s="35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>36016246.963078521</v>
      </c>
      <c r="D170" s="36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>381617.02210491587</v>
      </c>
      <c r="E170" s="36">
        <f>IF(CARGA_DIARIA!A170="","",IF(CARGA_DIARIA!B170=0,0,(CARGA_DIARIA!X170+CARGA_DIARIA!Y170+CARGA_DIARIA!Z170+CARGA_DIARIA!AA170)/CARGA_DIARIA!B170+CARGA_DIARIA!AB170+CARGA_DIARIA!AC170+CARGA_DIARIA!AD170+CARGA_DIARIA!AE170))</f>
        <v>28931741.207022473</v>
      </c>
      <c r="F170" s="39" t="s">
        <v>146</v>
      </c>
      <c r="G170" s="39" t="s">
        <v>146</v>
      </c>
      <c r="H170" s="38">
        <f>IF(CARGA_DIARIA!A170="","",C170-D170-E170)</f>
        <v>6702888.733951129</v>
      </c>
    </row>
    <row r="171" spans="1:8" ht="15.75" customHeight="1" x14ac:dyDescent="0.25">
      <c r="A171" s="33">
        <f>IF(CARGA_DIARIA!A171="","",CARGA_DIARIA!A171)</f>
        <v>46302</v>
      </c>
      <c r="B171" s="34">
        <f>IF(CARGA_DIARIA!A171="","",CARGA_DIARIA!B171)</f>
        <v>1518</v>
      </c>
      <c r="C171" s="35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>35605790.034786567</v>
      </c>
      <c r="D171" s="36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>296470.21475625824</v>
      </c>
      <c r="E171" s="36">
        <f>IF(CARGA_DIARIA!A171="","",IF(CARGA_DIARIA!B171=0,0,(CARGA_DIARIA!X171+CARGA_DIARIA!Y171+CARGA_DIARIA!Z171+CARGA_DIARIA!AA171)/CARGA_DIARIA!B171+CARGA_DIARIA!AB171+CARGA_DIARIA!AC171+CARGA_DIARIA!AD171+CARGA_DIARIA!AE171))</f>
        <v>28978857.815484338</v>
      </c>
      <c r="F171" s="39" t="s">
        <v>146</v>
      </c>
      <c r="G171" s="39" t="s">
        <v>146</v>
      </c>
      <c r="H171" s="38">
        <f>IF(CARGA_DIARIA!A171="","",C171-D171-E171)</f>
        <v>6330462.0045459718</v>
      </c>
    </row>
    <row r="172" spans="1:8" ht="15.75" customHeight="1" x14ac:dyDescent="0.25">
      <c r="A172" s="33">
        <f>IF(CARGA_DIARIA!A172="","",CARGA_DIARIA!A172)</f>
        <v>46303</v>
      </c>
      <c r="B172" s="34">
        <f>IF(CARGA_DIARIA!A172="","",CARGA_DIARIA!B172)</f>
        <v>1518.5</v>
      </c>
      <c r="C172" s="35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>35745484.357039511</v>
      </c>
      <c r="D172" s="36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>442367.87158379977</v>
      </c>
      <c r="E172" s="36">
        <f>IF(CARGA_DIARIA!A172="","",IF(CARGA_DIARIA!B172=0,0,(CARGA_DIARIA!X172+CARGA_DIARIA!Y172+CARGA_DIARIA!Z172+CARGA_DIARIA!AA172)/CARGA_DIARIA!B172+CARGA_DIARIA!AB172+CARGA_DIARIA!AC172+CARGA_DIARIA!AD172+CARGA_DIARIA!AE172))</f>
        <v>28981894.933577716</v>
      </c>
      <c r="F172" s="39" t="s">
        <v>146</v>
      </c>
      <c r="G172" s="39" t="s">
        <v>146</v>
      </c>
      <c r="H172" s="38">
        <f>IF(CARGA_DIARIA!A172="","",C172-D172-E172)</f>
        <v>6321221.5518779978</v>
      </c>
    </row>
    <row r="173" spans="1:8" ht="15.75" customHeight="1" x14ac:dyDescent="0.25">
      <c r="A173" s="33">
        <f>IF(CARGA_DIARIA!A173="","",CARGA_DIARIA!A173)</f>
        <v>46304</v>
      </c>
      <c r="B173" s="34">
        <f>IF(CARGA_DIARIA!A173="","",CARGA_DIARIA!B173)</f>
        <v>1515</v>
      </c>
      <c r="C173" s="35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>35694800.381026402</v>
      </c>
      <c r="D173" s="36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>863139.90561056102</v>
      </c>
      <c r="E173" s="36">
        <f>IF(CARGA_DIARIA!A173="","",IF(CARGA_DIARIA!B173=0,0,(CARGA_DIARIA!X173+CARGA_DIARIA!Y173+CARGA_DIARIA!Z173+CARGA_DIARIA!AA173)/CARGA_DIARIA!B173+CARGA_DIARIA!AB173+CARGA_DIARIA!AC173+CARGA_DIARIA!AD173+CARGA_DIARIA!AE173))</f>
        <v>28258509.963372953</v>
      </c>
      <c r="F173" s="39" t="s">
        <v>146</v>
      </c>
      <c r="G173" s="39" t="s">
        <v>146</v>
      </c>
      <c r="H173" s="38">
        <f>IF(CARGA_DIARIA!A173="","",C173-D173-E173)</f>
        <v>6573150.5120428875</v>
      </c>
    </row>
    <row r="174" spans="1:8" ht="15.75" customHeight="1" x14ac:dyDescent="0.25">
      <c r="A174" s="33">
        <f>IF(CARGA_DIARIA!A174="","",CARGA_DIARIA!A174)</f>
        <v>46308</v>
      </c>
      <c r="B174" s="34">
        <f>IF(CARGA_DIARIA!A174="","",CARGA_DIARIA!B174)</f>
        <v>1512.5</v>
      </c>
      <c r="C174" s="35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>34755494.344619833</v>
      </c>
      <c r="D174" s="36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>415135.1180165289</v>
      </c>
      <c r="E174" s="36">
        <f>IF(CARGA_DIARIA!A174="","",IF(CARGA_DIARIA!B174=0,0,(CARGA_DIARIA!X174+CARGA_DIARIA!Y174+CARGA_DIARIA!Z174+CARGA_DIARIA!AA174)/CARGA_DIARIA!B174+CARGA_DIARIA!AB174+CARGA_DIARIA!AC174+CARGA_DIARIA!AD174+CARGA_DIARIA!AE174))</f>
        <v>28053729.554279238</v>
      </c>
      <c r="F174" s="39" t="s">
        <v>146</v>
      </c>
      <c r="G174" s="39" t="s">
        <v>146</v>
      </c>
      <c r="H174" s="38">
        <f>IF(CARGA_DIARIA!A174="","",C174-D174-E174)</f>
        <v>6286629.6723240688</v>
      </c>
    </row>
    <row r="175" spans="1:8" ht="15.75" customHeight="1" x14ac:dyDescent="0.25">
      <c r="A175" s="33">
        <f>IF(CARGA_DIARIA!B175="","",CARGA_DIARIA!B175)</f>
        <v>1512.5</v>
      </c>
      <c r="B175" s="34" t="e">
        <f>IF(CARGA_DIARIA!B175="","",CARGA_DIARIA!#REF!)</f>
        <v>#REF!</v>
      </c>
      <c r="C175" s="35" t="e">
        <f>IF(CARGA_DIARIA!B175="","",IF(CARGA_DIARIA!#REF!=0,0,(CARGA_DIARIA!C175+CARGA_DIARIA!D175+CARGA_DIARIA!E175+CARGA_DIARIA!F175+CARGA_DIARIA!G175+CARGA_DIARIA!H175+CARGA_DIARIA!I175+CARGA_DIARIA!AG175+CARGA_DIARIA!AH175+CARGA_DIARIA!AI175+CARGA_DIARIA!AJ175)/CARGA_DIARIA!#REF!+CARGA_DIARIA!AF175))</f>
        <v>#REF!</v>
      </c>
      <c r="D175" s="36" t="e">
        <f>IF(CARGA_DIARIA!B175="","",IF(CARGA_DIARIA!#REF!=0,0,(CARGA_DIARIA!J175+CARGA_DIARIA!K175+CARGA_DIARIA!L175+CARGA_DIARIA!M175+CARGA_DIARIA!N175+CARGA_DIARIA!O175+CARGA_DIARIA!P175+CARGA_DIARIA!Q175+CARGA_DIARIA!R175+CARGA_DIARIA!S175+CARGA_DIARIA!T175+CARGA_DIARIA!U175+CARGA_DIARIA!V175+CARGA_DIARIA!W175)/CARGA_DIARIA!#REF!))</f>
        <v>#REF!</v>
      </c>
      <c r="E175" s="36" t="e">
        <f>IF(CARGA_DIARIA!B175="","",IF(CARGA_DIARIA!#REF!=0,0,(CARGA_DIARIA!X175+CARGA_DIARIA!Y175+CARGA_DIARIA!Z175+CARGA_DIARIA!AA175)/CARGA_DIARIA!#REF!+CARGA_DIARIA!AB175+CARGA_DIARIA!AC175+CARGA_DIARIA!AD175+CARGA_DIARIA!AE175))</f>
        <v>#REF!</v>
      </c>
      <c r="F175" s="39" t="s">
        <v>146</v>
      </c>
      <c r="G175" s="39" t="s">
        <v>146</v>
      </c>
      <c r="H175" s="38" t="e">
        <f>IF(CARGA_DIARIA!B175="","",C175-D175-E175)</f>
        <v>#REF!</v>
      </c>
    </row>
    <row r="176" spans="1:8" ht="15.75" customHeight="1" x14ac:dyDescent="0.25">
      <c r="A176" s="33">
        <f>IF(CARGA_DIARIA!B176="","",CARGA_DIARIA!B176)</f>
        <v>1512</v>
      </c>
      <c r="B176" s="34" t="e">
        <f>IF(CARGA_DIARIA!B176="","",CARGA_DIARIA!#REF!)</f>
        <v>#REF!</v>
      </c>
      <c r="C176" s="35" t="e">
        <f>IF(CARGA_DIARIA!B176="","",IF(CARGA_DIARIA!#REF!=0,0,(CARGA_DIARIA!C176+CARGA_DIARIA!D176+CARGA_DIARIA!E176+CARGA_DIARIA!F176+CARGA_DIARIA!G176+CARGA_DIARIA!H176+CARGA_DIARIA!I176+CARGA_DIARIA!AG176+CARGA_DIARIA!AH176+CARGA_DIARIA!AI176+CARGA_DIARIA!AJ176)/CARGA_DIARIA!#REF!+CARGA_DIARIA!AF176))</f>
        <v>#REF!</v>
      </c>
      <c r="D176" s="36" t="e">
        <f>IF(CARGA_DIARIA!B176="","",IF(CARGA_DIARIA!#REF!=0,0,(CARGA_DIARIA!J176+CARGA_DIARIA!K176+CARGA_DIARIA!L176+CARGA_DIARIA!M176+CARGA_DIARIA!N176+CARGA_DIARIA!O176+CARGA_DIARIA!P176+CARGA_DIARIA!Q176+CARGA_DIARIA!R176+CARGA_DIARIA!S176+CARGA_DIARIA!T176+CARGA_DIARIA!U176+CARGA_DIARIA!V176+CARGA_DIARIA!W176)/CARGA_DIARIA!#REF!))</f>
        <v>#REF!</v>
      </c>
      <c r="E176" s="36" t="e">
        <f>IF(CARGA_DIARIA!B176="","",IF(CARGA_DIARIA!#REF!=0,0,(CARGA_DIARIA!X176+CARGA_DIARIA!Y176+CARGA_DIARIA!Z176+CARGA_DIARIA!AA176)/CARGA_DIARIA!#REF!+CARGA_DIARIA!AB176+CARGA_DIARIA!AC176+CARGA_DIARIA!AD176+CARGA_DIARIA!AE176))</f>
        <v>#REF!</v>
      </c>
      <c r="F176" s="39" t="s">
        <v>146</v>
      </c>
      <c r="G176" s="39" t="s">
        <v>146</v>
      </c>
      <c r="H176" s="38" t="e">
        <f>IF(CARGA_DIARIA!B176="","",C176-D176-E176)</f>
        <v>#REF!</v>
      </c>
    </row>
    <row r="177" spans="1:8" ht="15.75" customHeight="1" x14ac:dyDescent="0.25">
      <c r="A177" s="33">
        <f>IF(CARGA_DIARIA!B177="","",CARGA_DIARIA!B177)</f>
        <v>1510.5</v>
      </c>
      <c r="B177" s="34" t="e">
        <f>IF(CARGA_DIARIA!B177="","",CARGA_DIARIA!#REF!)</f>
        <v>#REF!</v>
      </c>
      <c r="C177" s="35" t="e">
        <f>IF(CARGA_DIARIA!B177="","",IF(CARGA_DIARIA!#REF!=0,0,(CARGA_DIARIA!C177+CARGA_DIARIA!D177+CARGA_DIARIA!E177+CARGA_DIARIA!F177+CARGA_DIARIA!G177+CARGA_DIARIA!H177+CARGA_DIARIA!I177+CARGA_DIARIA!AG177+CARGA_DIARIA!AH177+CARGA_DIARIA!AI177+CARGA_DIARIA!AJ177)/CARGA_DIARIA!#REF!+CARGA_DIARIA!AF177))</f>
        <v>#REF!</v>
      </c>
      <c r="D177" s="36" t="e">
        <f>IF(CARGA_DIARIA!B177="","",IF(CARGA_DIARIA!#REF!=0,0,(CARGA_DIARIA!J177+CARGA_DIARIA!K177+CARGA_DIARIA!L177+CARGA_DIARIA!M177+CARGA_DIARIA!N177+CARGA_DIARIA!O177+CARGA_DIARIA!P177+CARGA_DIARIA!Q177+CARGA_DIARIA!R177+CARGA_DIARIA!S177+CARGA_DIARIA!T177+CARGA_DIARIA!U177+CARGA_DIARIA!V177+CARGA_DIARIA!W177)/CARGA_DIARIA!#REF!))</f>
        <v>#REF!</v>
      </c>
      <c r="E177" s="36" t="e">
        <f>IF(CARGA_DIARIA!B177="","",IF(CARGA_DIARIA!#REF!=0,0,(CARGA_DIARIA!X177+CARGA_DIARIA!Y177+CARGA_DIARIA!Z177+CARGA_DIARIA!AA177)/CARGA_DIARIA!#REF!+CARGA_DIARIA!AB177+CARGA_DIARIA!AC177+CARGA_DIARIA!AD177+CARGA_DIARIA!AE177))</f>
        <v>#REF!</v>
      </c>
      <c r="F177" s="39" t="s">
        <v>146</v>
      </c>
      <c r="G177" s="39" t="s">
        <v>146</v>
      </c>
      <c r="H177" s="38" t="e">
        <f>IF(CARGA_DIARIA!B177="","",C177-D177-E177)</f>
        <v>#REF!</v>
      </c>
    </row>
    <row r="178" spans="1:8" ht="15.75" customHeight="1" x14ac:dyDescent="0.25">
      <c r="A178" s="33">
        <f>IF(CARGA_DIARIA!B178="","",CARGA_DIARIA!B178)</f>
        <v>1510</v>
      </c>
      <c r="B178" s="34" t="e">
        <f>IF(CARGA_DIARIA!B178="","",CARGA_DIARIA!#REF!)</f>
        <v>#REF!</v>
      </c>
      <c r="C178" s="35" t="e">
        <f>IF(CARGA_DIARIA!B178="","",IF(CARGA_DIARIA!#REF!=0,0,(CARGA_DIARIA!C178+CARGA_DIARIA!D178+CARGA_DIARIA!E178+CARGA_DIARIA!F178+CARGA_DIARIA!G178+CARGA_DIARIA!H178+CARGA_DIARIA!I178+CARGA_DIARIA!AG178+CARGA_DIARIA!AH178+CARGA_DIARIA!AI178+CARGA_DIARIA!AJ178)/CARGA_DIARIA!#REF!+CARGA_DIARIA!AF178))</f>
        <v>#REF!</v>
      </c>
      <c r="D178" s="36" t="e">
        <f>IF(CARGA_DIARIA!B178="","",IF(CARGA_DIARIA!#REF!=0,0,(CARGA_DIARIA!J178+CARGA_DIARIA!K178+CARGA_DIARIA!L178+CARGA_DIARIA!M178+CARGA_DIARIA!N178+CARGA_DIARIA!O178+CARGA_DIARIA!P178+CARGA_DIARIA!Q178+CARGA_DIARIA!R178+CARGA_DIARIA!S178+CARGA_DIARIA!T178+CARGA_DIARIA!U178+CARGA_DIARIA!V178+CARGA_DIARIA!W178)/CARGA_DIARIA!#REF!))</f>
        <v>#REF!</v>
      </c>
      <c r="E178" s="36" t="e">
        <f>IF(CARGA_DIARIA!B178="","",IF(CARGA_DIARIA!#REF!=0,0,(CARGA_DIARIA!X178+CARGA_DIARIA!Y178+CARGA_DIARIA!Z178+CARGA_DIARIA!AA178)/CARGA_DIARIA!#REF!+CARGA_DIARIA!AB178+CARGA_DIARIA!AC178+CARGA_DIARIA!AD178+CARGA_DIARIA!AE178))</f>
        <v>#REF!</v>
      </c>
      <c r="F178" s="39" t="s">
        <v>146</v>
      </c>
      <c r="G178" s="39" t="s">
        <v>146</v>
      </c>
      <c r="H178" s="38" t="e">
        <f>IF(CARGA_DIARIA!B178="","",C178-D178-E178)</f>
        <v>#REF!</v>
      </c>
    </row>
    <row r="179" spans="1:8" ht="15.75" customHeight="1" x14ac:dyDescent="0.25">
      <c r="A179" s="33">
        <f>IF(CARGA_DIARIA!A179="","",CARGA_DIARIA!A179)</f>
        <v>46315</v>
      </c>
      <c r="B179" s="34">
        <f>IF(CARGA_DIARIA!A179="","",CARGA_DIARIA!B179)</f>
        <v>1520</v>
      </c>
      <c r="C179" s="35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>33429198.194131579</v>
      </c>
      <c r="D179" s="36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>440749.4105263158</v>
      </c>
      <c r="E179" s="36">
        <f>IF(CARGA_DIARIA!A179="","",IF(CARGA_DIARIA!B179=0,0,(CARGA_DIARIA!X179+CARGA_DIARIA!Y179+CARGA_DIARIA!Z179+CARGA_DIARIA!AA179)/CARGA_DIARIA!B179+CARGA_DIARIA!AB179+CARGA_DIARIA!AC179+CARGA_DIARIA!AD179+CARGA_DIARIA!AE179))</f>
        <v>26716986.953839056</v>
      </c>
      <c r="F179" s="39" t="s">
        <v>146</v>
      </c>
      <c r="G179" s="39" t="s">
        <v>146</v>
      </c>
      <c r="H179" s="38">
        <f>IF(CARGA_DIARIA!A179="","",C179-D179-E179)</f>
        <v>6271461.8297662064</v>
      </c>
    </row>
    <row r="180" spans="1:8" ht="15.75" customHeight="1" x14ac:dyDescent="0.25">
      <c r="A180" s="33">
        <f>IF(CARGA_DIARIA!A180="","",CARGA_DIARIA!A180)</f>
        <v>46316</v>
      </c>
      <c r="B180" s="34">
        <f>IF(CARGA_DIARIA!A180="","",CARGA_DIARIA!B180)</f>
        <v>1520.5</v>
      </c>
      <c r="C180" s="35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>33585200.081252553</v>
      </c>
      <c r="D180" s="36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>496164.96612956264</v>
      </c>
      <c r="E180" s="36">
        <f>IF(CARGA_DIARIA!A180="","",IF(CARGA_DIARIA!B180=0,0,(CARGA_DIARIA!X180+CARGA_DIARIA!Y180+CARGA_DIARIA!Z180+CARGA_DIARIA!AA180)/CARGA_DIARIA!B180+CARGA_DIARIA!AB180+CARGA_DIARIA!AC180+CARGA_DIARIA!AD180+CARGA_DIARIA!AE180))</f>
        <v>26849967.496180795</v>
      </c>
      <c r="F180" s="39" t="s">
        <v>146</v>
      </c>
      <c r="G180" s="39" t="s">
        <v>146</v>
      </c>
      <c r="H180" s="38">
        <f>IF(CARGA_DIARIA!A180="","",C180-D180-E180)</f>
        <v>6239067.6189421937</v>
      </c>
    </row>
    <row r="181" spans="1:8" ht="15.75" customHeight="1" x14ac:dyDescent="0.25">
      <c r="A181" s="33">
        <f>IF(CARGA_DIARIA!A181="","",CARGA_DIARIA!A181)</f>
        <v>46317</v>
      </c>
      <c r="B181" s="34">
        <f>IF(CARGA_DIARIA!A181="","",CARGA_DIARIA!B181)</f>
        <v>1520.5</v>
      </c>
      <c r="C181" s="35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>34138058.186780661</v>
      </c>
      <c r="D181" s="36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>160614.46300559025</v>
      </c>
      <c r="E181" s="36">
        <f>IF(CARGA_DIARIA!A181="","",IF(CARGA_DIARIA!B181=0,0,(CARGA_DIARIA!X181+CARGA_DIARIA!Y181+CARGA_DIARIA!Z181+CARGA_DIARIA!AA181)/CARGA_DIARIA!B181+CARGA_DIARIA!AB181+CARGA_DIARIA!AC181+CARGA_DIARIA!AD181+CARGA_DIARIA!AE181))</f>
        <v>26499527.236397829</v>
      </c>
      <c r="F181" s="39" t="s">
        <v>146</v>
      </c>
      <c r="G181" s="39" t="s">
        <v>146</v>
      </c>
      <c r="H181" s="38">
        <f>IF(CARGA_DIARIA!A181="","",C181-D181-E181)</f>
        <v>7477916.487377245</v>
      </c>
    </row>
    <row r="182" spans="1:8" ht="15.75" customHeight="1" x14ac:dyDescent="0.25">
      <c r="A182" s="33">
        <f>IF(CARGA_DIARIA!A182="","",CARGA_DIARIA!A182)</f>
        <v>46318</v>
      </c>
      <c r="B182" s="34">
        <f>IF(CARGA_DIARIA!A182="","",CARGA_DIARIA!B182)</f>
        <v>1524.5</v>
      </c>
      <c r="C182" s="35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>34143046.553952113</v>
      </c>
      <c r="D182" s="36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>165735.12430305019</v>
      </c>
      <c r="E182" s="36">
        <f>IF(CARGA_DIARIA!A182="","",IF(CARGA_DIARIA!B182=0,0,(CARGA_DIARIA!X182+CARGA_DIARIA!Y182+CARGA_DIARIA!Z182+CARGA_DIARIA!AA182)/CARGA_DIARIA!B182+CARGA_DIARIA!AB182+CARGA_DIARIA!AC182+CARGA_DIARIA!AD182+CARGA_DIARIA!AE182))</f>
        <v>26425308.269342847</v>
      </c>
      <c r="F182" s="39" t="s">
        <v>146</v>
      </c>
      <c r="G182" s="39" t="s">
        <v>146</v>
      </c>
      <c r="H182" s="38">
        <f>IF(CARGA_DIARIA!A182="","",C182-D182-E182)</f>
        <v>7552003.1603062153</v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620"/>
  <sheetViews>
    <sheetView showGridLines="0" zoomScale="80" zoomScaleNormal="80" workbookViewId="0">
      <pane ySplit="3" topLeftCell="A136" activePane="bottomLeft" state="frozen"/>
      <selection pane="bottomLeft" activeCell="C151" sqref="C151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69" t="s">
        <v>148</v>
      </c>
      <c r="B2" s="69"/>
      <c r="C2" s="69"/>
      <c r="D2" s="69"/>
      <c r="E2" s="69"/>
      <c r="F2" s="69"/>
      <c r="G2" s="69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1056</v>
      </c>
      <c r="B4" t="s">
        <v>1072</v>
      </c>
      <c r="C4" s="66">
        <v>10000000</v>
      </c>
      <c r="D4" s="64">
        <v>46310.504242476854</v>
      </c>
      <c r="E4" s="64">
        <v>46318.000138888892</v>
      </c>
      <c r="F4" s="40">
        <f>+E4+2</f>
        <v>46320.000138888892</v>
      </c>
      <c r="G4" s="27"/>
    </row>
    <row r="5" spans="1:7" ht="15.75" customHeight="1" x14ac:dyDescent="0.25">
      <c r="A5" t="s">
        <v>1056</v>
      </c>
      <c r="B5" t="s">
        <v>1073</v>
      </c>
      <c r="C5" s="66">
        <v>10000000</v>
      </c>
      <c r="D5" s="64">
        <v>46310.504246493052</v>
      </c>
      <c r="E5" s="64">
        <v>46318.000138888892</v>
      </c>
      <c r="F5" s="40">
        <f t="shared" ref="F5:F68" si="0">+E5+2</f>
        <v>46320.000138888892</v>
      </c>
      <c r="G5" s="27"/>
    </row>
    <row r="6" spans="1:7" ht="15.75" customHeight="1" x14ac:dyDescent="0.25">
      <c r="A6" t="s">
        <v>1056</v>
      </c>
      <c r="B6" t="s">
        <v>1074</v>
      </c>
      <c r="C6" s="66">
        <v>10000000</v>
      </c>
      <c r="D6" s="64">
        <v>46310.504246064818</v>
      </c>
      <c r="E6" s="64">
        <v>46318.000138888892</v>
      </c>
      <c r="F6" s="40">
        <f t="shared" si="0"/>
        <v>46320.000138888892</v>
      </c>
      <c r="G6" s="27"/>
    </row>
    <row r="7" spans="1:7" ht="15.75" customHeight="1" x14ac:dyDescent="0.25">
      <c r="A7" t="s">
        <v>1056</v>
      </c>
      <c r="B7" t="s">
        <v>1075</v>
      </c>
      <c r="C7" s="66">
        <v>10000000</v>
      </c>
      <c r="D7" s="64">
        <v>46310.50424869213</v>
      </c>
      <c r="E7" s="64">
        <v>46318.000138888892</v>
      </c>
      <c r="F7" s="40">
        <f t="shared" si="0"/>
        <v>46320.000138888892</v>
      </c>
      <c r="G7" s="27"/>
    </row>
    <row r="8" spans="1:7" ht="15.75" customHeight="1" x14ac:dyDescent="0.25">
      <c r="A8" t="s">
        <v>1058</v>
      </c>
      <c r="B8" t="s">
        <v>1076</v>
      </c>
      <c r="C8" s="66">
        <v>1700000</v>
      </c>
      <c r="D8" s="64">
        <v>46304.717643784723</v>
      </c>
      <c r="E8" s="64">
        <v>46322.000138888892</v>
      </c>
      <c r="F8" s="40">
        <f t="shared" si="0"/>
        <v>46324.000138888892</v>
      </c>
      <c r="G8" s="27"/>
    </row>
    <row r="9" spans="1:7" ht="15.75" customHeight="1" x14ac:dyDescent="0.25">
      <c r="A9" t="s">
        <v>1058</v>
      </c>
      <c r="B9" t="s">
        <v>1077</v>
      </c>
      <c r="C9" s="66">
        <v>1754000</v>
      </c>
      <c r="D9" s="64">
        <v>46308.601235335649</v>
      </c>
      <c r="E9" s="64">
        <v>46324.000138888892</v>
      </c>
      <c r="F9" s="40">
        <f t="shared" si="0"/>
        <v>46326.000138888892</v>
      </c>
      <c r="G9" s="27"/>
    </row>
    <row r="10" spans="1:7" ht="15.75" customHeight="1" x14ac:dyDescent="0.25">
      <c r="A10" t="s">
        <v>1058</v>
      </c>
      <c r="B10" t="s">
        <v>1078</v>
      </c>
      <c r="C10" s="66">
        <v>1754000</v>
      </c>
      <c r="D10" s="64">
        <v>46308.601240856478</v>
      </c>
      <c r="E10" s="64">
        <v>46325.000138888892</v>
      </c>
      <c r="F10" s="40">
        <f t="shared" si="0"/>
        <v>46327.000138888892</v>
      </c>
      <c r="G10" s="27"/>
    </row>
    <row r="11" spans="1:7" ht="15.75" customHeight="1" x14ac:dyDescent="0.25">
      <c r="A11" t="s">
        <v>1059</v>
      </c>
      <c r="B11" t="s">
        <v>1079</v>
      </c>
      <c r="C11" s="66">
        <v>1771900</v>
      </c>
      <c r="D11" s="64">
        <v>46293.3912375</v>
      </c>
      <c r="E11" s="64">
        <v>46325.000138888892</v>
      </c>
      <c r="F11" s="40">
        <f t="shared" si="0"/>
        <v>46327.000138888892</v>
      </c>
      <c r="G11" s="27"/>
    </row>
    <row r="12" spans="1:7" ht="15.75" customHeight="1" x14ac:dyDescent="0.25">
      <c r="A12" t="s">
        <v>1060</v>
      </c>
      <c r="B12" t="s">
        <v>1080</v>
      </c>
      <c r="C12" s="66">
        <v>16654085</v>
      </c>
      <c r="D12" s="64">
        <v>46301.571781562503</v>
      </c>
      <c r="E12" s="64">
        <v>46326.000138888892</v>
      </c>
      <c r="F12" s="40">
        <f t="shared" si="0"/>
        <v>46328.000138888892</v>
      </c>
      <c r="G12" s="27"/>
    </row>
    <row r="13" spans="1:7" ht="15.75" customHeight="1" x14ac:dyDescent="0.25">
      <c r="A13" t="s">
        <v>1061</v>
      </c>
      <c r="B13" t="s">
        <v>1081</v>
      </c>
      <c r="C13" s="66">
        <v>17614106.690000001</v>
      </c>
      <c r="D13" s="64">
        <v>46300.783764467589</v>
      </c>
      <c r="E13" s="64">
        <v>46326.000138888892</v>
      </c>
      <c r="F13" s="40">
        <f t="shared" si="0"/>
        <v>46328.000138888892</v>
      </c>
      <c r="G13" s="27"/>
    </row>
    <row r="14" spans="1:7" ht="15.75" customHeight="1" x14ac:dyDescent="0.25">
      <c r="A14" t="s">
        <v>1062</v>
      </c>
      <c r="B14" t="s">
        <v>1082</v>
      </c>
      <c r="C14" s="66">
        <v>2262000</v>
      </c>
      <c r="D14" s="64">
        <v>46265.420304016203</v>
      </c>
      <c r="E14" s="64">
        <v>46326.000138888892</v>
      </c>
      <c r="F14" s="40">
        <f t="shared" si="0"/>
        <v>46328.000138888892</v>
      </c>
      <c r="G14" s="27"/>
    </row>
    <row r="15" spans="1:7" ht="15.75" customHeight="1" x14ac:dyDescent="0.25">
      <c r="A15" t="s">
        <v>1062</v>
      </c>
      <c r="B15" t="s">
        <v>1083</v>
      </c>
      <c r="C15" s="66">
        <v>1800000</v>
      </c>
      <c r="D15" s="64">
        <v>46276.770449537034</v>
      </c>
      <c r="E15" s="64">
        <v>46326.000138888892</v>
      </c>
      <c r="F15" s="40">
        <f t="shared" si="0"/>
        <v>46328.000138888892</v>
      </c>
      <c r="G15" s="27"/>
    </row>
    <row r="16" spans="1:7" ht="15.75" customHeight="1" x14ac:dyDescent="0.25">
      <c r="A16" t="s">
        <v>1062</v>
      </c>
      <c r="B16" t="s">
        <v>1084</v>
      </c>
      <c r="C16" s="66">
        <v>390400</v>
      </c>
      <c r="D16" s="64">
        <v>46295.956086111109</v>
      </c>
      <c r="E16" s="64">
        <v>46326.000138888892</v>
      </c>
      <c r="F16" s="40">
        <f t="shared" si="0"/>
        <v>46328.000138888892</v>
      </c>
      <c r="G16" s="27"/>
    </row>
    <row r="17" spans="1:7" ht="15.75" customHeight="1" x14ac:dyDescent="0.25">
      <c r="A17" t="s">
        <v>1056</v>
      </c>
      <c r="B17" t="s">
        <v>1085</v>
      </c>
      <c r="C17" s="66">
        <v>58248723.880000003</v>
      </c>
      <c r="D17" s="64">
        <v>46300.600260497682</v>
      </c>
      <c r="E17" s="64">
        <v>46327.000138888892</v>
      </c>
      <c r="F17" s="40">
        <f t="shared" si="0"/>
        <v>46329.000138888892</v>
      </c>
      <c r="G17" s="27"/>
    </row>
    <row r="18" spans="1:7" ht="15.75" customHeight="1" x14ac:dyDescent="0.25">
      <c r="A18" t="s">
        <v>1063</v>
      </c>
      <c r="B18" t="s">
        <v>1086</v>
      </c>
      <c r="C18" s="66">
        <v>8544057</v>
      </c>
      <c r="D18" s="64">
        <v>46300.492625775463</v>
      </c>
      <c r="E18" s="64">
        <v>46327.000138888892</v>
      </c>
      <c r="F18" s="40">
        <f t="shared" si="0"/>
        <v>46329.000138888892</v>
      </c>
      <c r="G18" s="27"/>
    </row>
    <row r="19" spans="1:7" ht="15.75" customHeight="1" x14ac:dyDescent="0.25">
      <c r="A19" t="s">
        <v>1063</v>
      </c>
      <c r="B19" t="s">
        <v>1087</v>
      </c>
      <c r="C19" s="66">
        <v>485000</v>
      </c>
      <c r="D19" s="64">
        <v>46303.55599270833</v>
      </c>
      <c r="E19" s="64">
        <v>46327.000138888892</v>
      </c>
      <c r="F19" s="40">
        <f t="shared" si="0"/>
        <v>46329.000138888892</v>
      </c>
      <c r="G19" s="27"/>
    </row>
    <row r="20" spans="1:7" ht="15.75" customHeight="1" x14ac:dyDescent="0.25">
      <c r="A20" t="s">
        <v>1058</v>
      </c>
      <c r="B20" t="s">
        <v>1088</v>
      </c>
      <c r="C20" s="66">
        <v>1485000</v>
      </c>
      <c r="D20" s="64">
        <v>46311.554492164352</v>
      </c>
      <c r="E20" s="64">
        <v>46328.000138888892</v>
      </c>
      <c r="F20" s="40">
        <f t="shared" si="0"/>
        <v>46330.000138888892</v>
      </c>
      <c r="G20" s="27"/>
    </row>
    <row r="21" spans="1:7" ht="15.75" customHeight="1" x14ac:dyDescent="0.25">
      <c r="A21" t="s">
        <v>1064</v>
      </c>
      <c r="B21" t="s">
        <v>1089</v>
      </c>
      <c r="C21" s="66">
        <v>1000000</v>
      </c>
      <c r="D21" s="64">
        <v>46262.461913657404</v>
      </c>
      <c r="E21" s="64">
        <v>46328.000138888892</v>
      </c>
      <c r="F21" s="40">
        <f t="shared" si="0"/>
        <v>46330.000138888892</v>
      </c>
      <c r="G21" s="27"/>
    </row>
    <row r="22" spans="1:7" ht="15.75" customHeight="1" x14ac:dyDescent="0.25">
      <c r="A22" t="s">
        <v>1058</v>
      </c>
      <c r="B22" t="s">
        <v>1090</v>
      </c>
      <c r="C22" s="66">
        <v>1754000</v>
      </c>
      <c r="D22" s="64">
        <v>46308.601234456015</v>
      </c>
      <c r="E22" s="64">
        <v>46328.000138888892</v>
      </c>
      <c r="F22" s="40">
        <f t="shared" si="0"/>
        <v>46330.000138888892</v>
      </c>
      <c r="G22" s="27"/>
    </row>
    <row r="23" spans="1:7" ht="15.75" customHeight="1" x14ac:dyDescent="0.25">
      <c r="A23" t="s">
        <v>1064</v>
      </c>
      <c r="B23" t="s">
        <v>1091</v>
      </c>
      <c r="C23" s="66">
        <v>800000</v>
      </c>
      <c r="D23" s="64">
        <v>46262.435978819442</v>
      </c>
      <c r="E23" s="64">
        <v>46328.000138888892</v>
      </c>
      <c r="F23" s="40">
        <f t="shared" si="0"/>
        <v>46330.000138888892</v>
      </c>
      <c r="G23" s="27"/>
    </row>
    <row r="24" spans="1:7" ht="15.75" customHeight="1" x14ac:dyDescent="0.25">
      <c r="A24" t="s">
        <v>1058</v>
      </c>
      <c r="B24" t="s">
        <v>1092</v>
      </c>
      <c r="C24" s="66">
        <v>1700000</v>
      </c>
      <c r="D24" s="64">
        <v>46304.717641932868</v>
      </c>
      <c r="E24" s="64">
        <v>46328.000138888892</v>
      </c>
      <c r="F24" s="40">
        <f t="shared" si="0"/>
        <v>46330.000138888892</v>
      </c>
      <c r="G24" s="27"/>
    </row>
    <row r="25" spans="1:7" ht="15.75" customHeight="1" x14ac:dyDescent="0.25">
      <c r="A25" t="s">
        <v>1060</v>
      </c>
      <c r="B25" t="s">
        <v>1093</v>
      </c>
      <c r="C25" s="66">
        <v>12773880</v>
      </c>
      <c r="D25" s="64">
        <v>46304.524780752312</v>
      </c>
      <c r="E25" s="64">
        <v>46328.000138888892</v>
      </c>
      <c r="F25" s="40">
        <f t="shared" si="0"/>
        <v>46330.000138888892</v>
      </c>
      <c r="G25" s="27"/>
    </row>
    <row r="26" spans="1:7" ht="15.75" customHeight="1" x14ac:dyDescent="0.25">
      <c r="A26" t="s">
        <v>1056</v>
      </c>
      <c r="B26" t="s">
        <v>1094</v>
      </c>
      <c r="C26" s="66">
        <v>8044232.2000000002</v>
      </c>
      <c r="D26" s="64">
        <v>46241.62296403935</v>
      </c>
      <c r="E26" s="64">
        <v>46328.000138888892</v>
      </c>
      <c r="F26" s="40">
        <f t="shared" si="0"/>
        <v>46330.000138888892</v>
      </c>
      <c r="G26" s="27"/>
    </row>
    <row r="27" spans="1:7" ht="15.75" customHeight="1" x14ac:dyDescent="0.25">
      <c r="A27" t="s">
        <v>1065</v>
      </c>
      <c r="B27" t="s">
        <v>1095</v>
      </c>
      <c r="C27" s="66">
        <v>2045800</v>
      </c>
      <c r="D27" s="64">
        <v>46302.564663657409</v>
      </c>
      <c r="E27" s="64">
        <v>46328.000138888892</v>
      </c>
      <c r="F27" s="40">
        <f t="shared" si="0"/>
        <v>46330.000138888892</v>
      </c>
      <c r="G27" s="27"/>
    </row>
    <row r="28" spans="1:7" ht="15.75" customHeight="1" x14ac:dyDescent="0.25">
      <c r="A28" t="s">
        <v>1058</v>
      </c>
      <c r="B28" t="s">
        <v>1096</v>
      </c>
      <c r="C28" s="66">
        <v>915000</v>
      </c>
      <c r="D28" s="64">
        <v>46296.466718020834</v>
      </c>
      <c r="E28" s="64">
        <v>46328.000138888892</v>
      </c>
      <c r="F28" s="40">
        <f t="shared" si="0"/>
        <v>46330.000138888892</v>
      </c>
      <c r="G28" s="27"/>
    </row>
    <row r="29" spans="1:7" ht="15.75" customHeight="1" x14ac:dyDescent="0.25">
      <c r="A29" t="s">
        <v>1058</v>
      </c>
      <c r="B29" t="s">
        <v>1097</v>
      </c>
      <c r="C29" s="66">
        <v>1485000</v>
      </c>
      <c r="D29" s="64">
        <v>46311.554485497683</v>
      </c>
      <c r="E29" s="64">
        <v>46329.000138888892</v>
      </c>
      <c r="F29" s="40">
        <f t="shared" si="0"/>
        <v>46331.000138888892</v>
      </c>
      <c r="G29" s="27"/>
    </row>
    <row r="30" spans="1:7" ht="15.75" customHeight="1" x14ac:dyDescent="0.25">
      <c r="A30" t="s">
        <v>1058</v>
      </c>
      <c r="B30" t="s">
        <v>1098</v>
      </c>
      <c r="C30" s="66">
        <v>1754000</v>
      </c>
      <c r="D30" s="64">
        <v>46308.601234872687</v>
      </c>
      <c r="E30" s="64">
        <v>46329.000138888892</v>
      </c>
      <c r="F30" s="40">
        <f t="shared" si="0"/>
        <v>46331.000138888892</v>
      </c>
      <c r="G30" s="27"/>
    </row>
    <row r="31" spans="1:7" ht="15.75" customHeight="1" x14ac:dyDescent="0.25">
      <c r="A31" t="s">
        <v>1064</v>
      </c>
      <c r="B31" t="s">
        <v>1099</v>
      </c>
      <c r="C31" s="66">
        <v>3011400</v>
      </c>
      <c r="D31" s="64">
        <v>46294.885939039355</v>
      </c>
      <c r="E31" s="64">
        <v>46329.000138888892</v>
      </c>
      <c r="F31" s="40">
        <f t="shared" si="0"/>
        <v>46331.000138888892</v>
      </c>
      <c r="G31" s="27"/>
    </row>
    <row r="32" spans="1:7" ht="15.75" customHeight="1" x14ac:dyDescent="0.25">
      <c r="A32" t="s">
        <v>1064</v>
      </c>
      <c r="B32" t="s">
        <v>1100</v>
      </c>
      <c r="C32" s="66">
        <v>2700000</v>
      </c>
      <c r="D32" s="64">
        <v>46296.521674733798</v>
      </c>
      <c r="E32" s="64">
        <v>46329.000138888892</v>
      </c>
      <c r="F32" s="40">
        <f t="shared" si="0"/>
        <v>46331.000138888892</v>
      </c>
      <c r="G32" s="27"/>
    </row>
    <row r="33" spans="1:7" ht="15.75" customHeight="1" x14ac:dyDescent="0.25">
      <c r="A33" t="s">
        <v>1056</v>
      </c>
      <c r="B33" t="s">
        <v>1101</v>
      </c>
      <c r="C33" s="66">
        <v>16244271.640000001</v>
      </c>
      <c r="D33" s="64">
        <v>46279.072410069442</v>
      </c>
      <c r="E33" s="64">
        <v>46329.000138888892</v>
      </c>
      <c r="F33" s="40">
        <f t="shared" si="0"/>
        <v>46331.000138888892</v>
      </c>
      <c r="G33" s="27"/>
    </row>
    <row r="34" spans="1:7" ht="15.75" customHeight="1" x14ac:dyDescent="0.25">
      <c r="A34" t="s">
        <v>1060</v>
      </c>
      <c r="B34" t="s">
        <v>1102</v>
      </c>
      <c r="C34" s="66">
        <v>12773880</v>
      </c>
      <c r="D34" s="64">
        <v>46304.524860763886</v>
      </c>
      <c r="E34" s="64">
        <v>46329.000138888892</v>
      </c>
      <c r="F34" s="40">
        <f t="shared" si="0"/>
        <v>46331.000138888892</v>
      </c>
      <c r="G34" s="27"/>
    </row>
    <row r="35" spans="1:7" ht="15.75" customHeight="1" x14ac:dyDescent="0.25">
      <c r="A35" t="s">
        <v>1058</v>
      </c>
      <c r="B35" t="s">
        <v>1103</v>
      </c>
      <c r="C35" s="66">
        <v>1700000</v>
      </c>
      <c r="D35" s="64">
        <v>46304.717642442127</v>
      </c>
      <c r="E35" s="64">
        <v>46329.000138888892</v>
      </c>
      <c r="F35" s="40">
        <f t="shared" si="0"/>
        <v>46331.000138888892</v>
      </c>
      <c r="G35" s="27"/>
    </row>
    <row r="36" spans="1:7" ht="15.75" customHeight="1" x14ac:dyDescent="0.25">
      <c r="A36" t="s">
        <v>1065</v>
      </c>
      <c r="B36" t="s">
        <v>1104</v>
      </c>
      <c r="C36" s="66">
        <v>2045800</v>
      </c>
      <c r="D36" s="64">
        <v>46302.564585763888</v>
      </c>
      <c r="E36" s="64">
        <v>46329.000138888892</v>
      </c>
      <c r="F36" s="40">
        <f t="shared" si="0"/>
        <v>46331.000138888892</v>
      </c>
      <c r="G36" s="27"/>
    </row>
    <row r="37" spans="1:7" ht="15.75" customHeight="1" x14ac:dyDescent="0.25">
      <c r="A37" t="s">
        <v>1058</v>
      </c>
      <c r="B37" t="s">
        <v>1105</v>
      </c>
      <c r="C37" s="66">
        <v>915000</v>
      </c>
      <c r="D37" s="64">
        <v>46296.466717673611</v>
      </c>
      <c r="E37" s="64">
        <v>46329.000138888892</v>
      </c>
      <c r="F37" s="40">
        <f t="shared" si="0"/>
        <v>46331.000138888892</v>
      </c>
      <c r="G37" s="27"/>
    </row>
    <row r="38" spans="1:7" ht="15.75" customHeight="1" x14ac:dyDescent="0.25">
      <c r="A38" t="s">
        <v>1065</v>
      </c>
      <c r="B38" t="s">
        <v>1106</v>
      </c>
      <c r="C38" s="66">
        <v>949110</v>
      </c>
      <c r="D38" s="64">
        <v>46310.483104479164</v>
      </c>
      <c r="E38" s="64">
        <v>46330.000138888892</v>
      </c>
      <c r="F38" s="40">
        <f t="shared" si="0"/>
        <v>46332.000138888892</v>
      </c>
      <c r="G38" s="27"/>
    </row>
    <row r="39" spans="1:7" ht="15.75" customHeight="1" x14ac:dyDescent="0.25">
      <c r="A39" t="s">
        <v>1056</v>
      </c>
      <c r="B39" t="s">
        <v>1107</v>
      </c>
      <c r="C39" s="66">
        <v>6428211</v>
      </c>
      <c r="D39" s="64">
        <v>46297.603424421293</v>
      </c>
      <c r="E39" s="64">
        <v>46330.000138888892</v>
      </c>
      <c r="F39" s="40">
        <f t="shared" si="0"/>
        <v>46332.000138888892</v>
      </c>
      <c r="G39" s="27"/>
    </row>
    <row r="40" spans="1:7" ht="15.75" customHeight="1" x14ac:dyDescent="0.25">
      <c r="A40" t="s">
        <v>1065</v>
      </c>
      <c r="B40" t="s">
        <v>1108</v>
      </c>
      <c r="C40" s="66">
        <v>2045800</v>
      </c>
      <c r="D40" s="64">
        <v>46302.56436527778</v>
      </c>
      <c r="E40" s="64">
        <v>46330.000138888892</v>
      </c>
      <c r="F40" s="40">
        <f t="shared" si="0"/>
        <v>46332.000138888892</v>
      </c>
      <c r="G40" s="27"/>
    </row>
    <row r="41" spans="1:7" ht="15.75" customHeight="1" x14ac:dyDescent="0.25">
      <c r="A41" t="s">
        <v>1058</v>
      </c>
      <c r="B41" t="s">
        <v>1109</v>
      </c>
      <c r="C41" s="66">
        <v>1754000</v>
      </c>
      <c r="D41" s="64">
        <v>46308.601235497685</v>
      </c>
      <c r="E41" s="64">
        <v>46331.000138888892</v>
      </c>
      <c r="F41" s="40">
        <f t="shared" si="0"/>
        <v>46333.000138888892</v>
      </c>
      <c r="G41" s="27"/>
    </row>
    <row r="42" spans="1:7" ht="15.75" customHeight="1" x14ac:dyDescent="0.25">
      <c r="A42" t="s">
        <v>1058</v>
      </c>
      <c r="B42" t="s">
        <v>1110</v>
      </c>
      <c r="C42" s="66">
        <v>1700000</v>
      </c>
      <c r="D42" s="64">
        <v>46304.717643171294</v>
      </c>
      <c r="E42" s="64">
        <v>46331.000138888892</v>
      </c>
      <c r="F42" s="40">
        <f t="shared" si="0"/>
        <v>46333.000138888892</v>
      </c>
      <c r="G42" s="27"/>
    </row>
    <row r="43" spans="1:7" ht="15.75" customHeight="1" x14ac:dyDescent="0.25">
      <c r="A43" t="s">
        <v>1065</v>
      </c>
      <c r="B43" t="s">
        <v>1111</v>
      </c>
      <c r="C43" s="66">
        <v>2045800</v>
      </c>
      <c r="D43" s="64">
        <v>46302.564277002311</v>
      </c>
      <c r="E43" s="64">
        <v>46331.000138888892</v>
      </c>
      <c r="F43" s="40">
        <f t="shared" si="0"/>
        <v>46333.000138888892</v>
      </c>
      <c r="G43" s="27"/>
    </row>
    <row r="44" spans="1:7" ht="15.75" customHeight="1" x14ac:dyDescent="0.25">
      <c r="A44" t="s">
        <v>1058</v>
      </c>
      <c r="B44" t="s">
        <v>1112</v>
      </c>
      <c r="C44" s="66">
        <v>916380</v>
      </c>
      <c r="D44" s="64">
        <v>46296.466721261575</v>
      </c>
      <c r="E44" s="64">
        <v>46331.000138888892</v>
      </c>
      <c r="F44" s="40">
        <f t="shared" si="0"/>
        <v>46333.000138888892</v>
      </c>
      <c r="G44" s="27"/>
    </row>
    <row r="45" spans="1:7" ht="15.75" customHeight="1" x14ac:dyDescent="0.25">
      <c r="A45" t="s">
        <v>1058</v>
      </c>
      <c r="B45" t="s">
        <v>1113</v>
      </c>
      <c r="C45" s="66">
        <v>1754000</v>
      </c>
      <c r="D45" s="64">
        <v>46308.601230555556</v>
      </c>
      <c r="E45" s="64">
        <v>46332.000138888892</v>
      </c>
      <c r="F45" s="40">
        <f t="shared" si="0"/>
        <v>46334.000138888892</v>
      </c>
      <c r="G45" s="27"/>
    </row>
    <row r="46" spans="1:7" ht="15.75" customHeight="1" x14ac:dyDescent="0.25">
      <c r="A46" t="s">
        <v>1064</v>
      </c>
      <c r="B46" t="s">
        <v>1114</v>
      </c>
      <c r="C46" s="66">
        <v>1000000</v>
      </c>
      <c r="D46" s="64">
        <v>46262.461861956021</v>
      </c>
      <c r="E46" s="64">
        <v>46332.000138888892</v>
      </c>
      <c r="F46" s="40">
        <f t="shared" si="0"/>
        <v>46334.000138888892</v>
      </c>
      <c r="G46" s="27"/>
    </row>
    <row r="47" spans="1:7" ht="15.75" customHeight="1" x14ac:dyDescent="0.25">
      <c r="A47" t="s">
        <v>1064</v>
      </c>
      <c r="B47" t="s">
        <v>1115</v>
      </c>
      <c r="C47" s="66">
        <v>2700000</v>
      </c>
      <c r="D47" s="64">
        <v>46296.521634409721</v>
      </c>
      <c r="E47" s="64">
        <v>46332.000138888892</v>
      </c>
      <c r="F47" s="40">
        <f t="shared" si="0"/>
        <v>46334.000138888892</v>
      </c>
      <c r="G47" s="27"/>
    </row>
    <row r="48" spans="1:7" ht="15.75" customHeight="1" x14ac:dyDescent="0.25">
      <c r="A48" t="s">
        <v>1058</v>
      </c>
      <c r="B48" t="s">
        <v>1116</v>
      </c>
      <c r="C48" s="66">
        <v>1485000</v>
      </c>
      <c r="D48" s="64">
        <v>46311.554490972223</v>
      </c>
      <c r="E48" s="64">
        <v>46332.000138888892</v>
      </c>
      <c r="F48" s="40">
        <f t="shared" si="0"/>
        <v>46334.000138888892</v>
      </c>
      <c r="G48" s="27"/>
    </row>
    <row r="49" spans="1:7" ht="15.75" customHeight="1" x14ac:dyDescent="0.25">
      <c r="A49" t="s">
        <v>1057</v>
      </c>
      <c r="B49" t="s">
        <v>1117</v>
      </c>
      <c r="C49" s="66">
        <v>35000000</v>
      </c>
      <c r="D49" s="64">
        <v>46304.579483483794</v>
      </c>
      <c r="E49" s="64">
        <v>46332.000138888892</v>
      </c>
      <c r="F49" s="40">
        <f t="shared" si="0"/>
        <v>46334.000138888892</v>
      </c>
      <c r="G49" s="27"/>
    </row>
    <row r="50" spans="1:7" ht="15.75" customHeight="1" x14ac:dyDescent="0.25">
      <c r="A50" t="s">
        <v>1058</v>
      </c>
      <c r="B50" t="s">
        <v>1118</v>
      </c>
      <c r="C50" s="66">
        <v>1700000</v>
      </c>
      <c r="D50" s="64">
        <v>46304.717641747688</v>
      </c>
      <c r="E50" s="64">
        <v>46332.000138888892</v>
      </c>
      <c r="F50" s="40">
        <f t="shared" si="0"/>
        <v>46334.000138888892</v>
      </c>
      <c r="G50" s="27"/>
    </row>
    <row r="51" spans="1:7" ht="15.75" customHeight="1" x14ac:dyDescent="0.25">
      <c r="A51" t="s">
        <v>1065</v>
      </c>
      <c r="B51" t="s">
        <v>1119</v>
      </c>
      <c r="C51" s="66">
        <v>2045800</v>
      </c>
      <c r="D51" s="64">
        <v>46302.564211342593</v>
      </c>
      <c r="E51" s="64">
        <v>46332.000138888892</v>
      </c>
      <c r="F51" s="40">
        <f t="shared" si="0"/>
        <v>46334.000138888892</v>
      </c>
      <c r="G51" s="27"/>
    </row>
    <row r="52" spans="1:7" ht="15.75" customHeight="1" x14ac:dyDescent="0.25">
      <c r="A52" t="s">
        <v>1053</v>
      </c>
      <c r="B52" t="s">
        <v>1120</v>
      </c>
      <c r="C52" s="66">
        <v>24384920</v>
      </c>
      <c r="D52" s="64">
        <v>46290.503309988424</v>
      </c>
      <c r="E52" s="64">
        <v>46332.000138888892</v>
      </c>
      <c r="F52" s="40">
        <f t="shared" si="0"/>
        <v>46334.000138888892</v>
      </c>
      <c r="G52" s="27"/>
    </row>
    <row r="53" spans="1:7" ht="15.75" customHeight="1" x14ac:dyDescent="0.25">
      <c r="A53" t="s">
        <v>1066</v>
      </c>
      <c r="B53" t="s">
        <v>1121</v>
      </c>
      <c r="C53" s="66">
        <v>4500000</v>
      </c>
      <c r="D53" s="64">
        <v>46311.502724502316</v>
      </c>
      <c r="E53" s="64">
        <v>46333.000138888892</v>
      </c>
      <c r="F53" s="40">
        <f t="shared" si="0"/>
        <v>46335.000138888892</v>
      </c>
      <c r="G53" s="27"/>
    </row>
    <row r="54" spans="1:7" ht="15.75" customHeight="1" x14ac:dyDescent="0.25">
      <c r="A54" t="s">
        <v>1064</v>
      </c>
      <c r="B54" t="s">
        <v>1122</v>
      </c>
      <c r="C54" s="66">
        <v>2000000</v>
      </c>
      <c r="D54" s="64">
        <v>46290.600547569447</v>
      </c>
      <c r="E54" s="64">
        <v>46333.000138888892</v>
      </c>
      <c r="F54" s="40">
        <f t="shared" si="0"/>
        <v>46335.000138888892</v>
      </c>
      <c r="G54" s="27"/>
    </row>
    <row r="55" spans="1:7" ht="15.75" customHeight="1" x14ac:dyDescent="0.25">
      <c r="A55" t="s">
        <v>1066</v>
      </c>
      <c r="B55" t="s">
        <v>1123</v>
      </c>
      <c r="C55" s="66">
        <v>4500000</v>
      </c>
      <c r="D55" s="64">
        <v>46311.502724502316</v>
      </c>
      <c r="E55" s="64">
        <v>46333.000138888892</v>
      </c>
      <c r="F55" s="40">
        <f t="shared" si="0"/>
        <v>46335.000138888892</v>
      </c>
      <c r="G55" s="27"/>
    </row>
    <row r="56" spans="1:7" ht="15.75" customHeight="1" x14ac:dyDescent="0.25">
      <c r="A56" t="s">
        <v>1066</v>
      </c>
      <c r="B56" t="s">
        <v>1124</v>
      </c>
      <c r="C56" s="66">
        <v>5228800</v>
      </c>
      <c r="D56" s="64">
        <v>46311.502628506947</v>
      </c>
      <c r="E56" s="64">
        <v>46333.000138888892</v>
      </c>
      <c r="F56" s="40">
        <f t="shared" si="0"/>
        <v>46335.000138888892</v>
      </c>
      <c r="G56" s="27"/>
    </row>
    <row r="57" spans="1:7" ht="15.75" customHeight="1" x14ac:dyDescent="0.25">
      <c r="A57" t="s">
        <v>1066</v>
      </c>
      <c r="B57" t="s">
        <v>1125</v>
      </c>
      <c r="C57" s="66">
        <v>4500000</v>
      </c>
      <c r="D57" s="64">
        <v>46311.502724502316</v>
      </c>
      <c r="E57" s="64">
        <v>46333.000138888892</v>
      </c>
      <c r="F57" s="40">
        <f t="shared" si="0"/>
        <v>46335.000138888892</v>
      </c>
      <c r="G57" s="27"/>
    </row>
    <row r="58" spans="1:7" ht="15.75" customHeight="1" x14ac:dyDescent="0.25">
      <c r="A58" t="s">
        <v>1066</v>
      </c>
      <c r="B58" t="s">
        <v>1126</v>
      </c>
      <c r="C58" s="66">
        <v>4500000</v>
      </c>
      <c r="D58" s="64">
        <v>46311.502724502316</v>
      </c>
      <c r="E58" s="64">
        <v>46333.000138888892</v>
      </c>
      <c r="F58" s="40">
        <f t="shared" si="0"/>
        <v>46335.000138888892</v>
      </c>
      <c r="G58" s="27"/>
    </row>
    <row r="59" spans="1:7" ht="15.75" customHeight="1" x14ac:dyDescent="0.25">
      <c r="A59" t="s">
        <v>1061</v>
      </c>
      <c r="B59" t="s">
        <v>1127</v>
      </c>
      <c r="C59" s="66">
        <v>10000000</v>
      </c>
      <c r="D59" s="64">
        <v>46303.743935416664</v>
      </c>
      <c r="E59" s="64">
        <v>46333.000138888892</v>
      </c>
      <c r="F59" s="40">
        <f t="shared" si="0"/>
        <v>46335.000138888892</v>
      </c>
      <c r="G59" s="27"/>
    </row>
    <row r="60" spans="1:7" ht="15.75" customHeight="1" x14ac:dyDescent="0.25">
      <c r="A60" t="s">
        <v>1061</v>
      </c>
      <c r="B60" t="s">
        <v>1128</v>
      </c>
      <c r="C60" s="66">
        <v>10000000</v>
      </c>
      <c r="D60" s="64">
        <v>46303.743935844905</v>
      </c>
      <c r="E60" s="64">
        <v>46333.000138888892</v>
      </c>
      <c r="F60" s="40">
        <f t="shared" si="0"/>
        <v>46335.000138888892</v>
      </c>
      <c r="G60" s="27"/>
    </row>
    <row r="61" spans="1:7" ht="15.75" customHeight="1" x14ac:dyDescent="0.25">
      <c r="A61" t="s">
        <v>1061</v>
      </c>
      <c r="B61" t="s">
        <v>1129</v>
      </c>
      <c r="C61" s="66">
        <v>6589452.4000000004</v>
      </c>
      <c r="D61" s="64">
        <v>46303.743935798608</v>
      </c>
      <c r="E61" s="64">
        <v>46333.000138888892</v>
      </c>
      <c r="F61" s="40">
        <f t="shared" si="0"/>
        <v>46335.000138888892</v>
      </c>
      <c r="G61" s="27"/>
    </row>
    <row r="62" spans="1:7" ht="15.75" customHeight="1" x14ac:dyDescent="0.25">
      <c r="A62" t="s">
        <v>1061</v>
      </c>
      <c r="B62" t="s">
        <v>1130</v>
      </c>
      <c r="C62" s="66">
        <v>10000000</v>
      </c>
      <c r="D62" s="64">
        <v>46303.743936574072</v>
      </c>
      <c r="E62" s="64">
        <v>46333.000138888892</v>
      </c>
      <c r="F62" s="40">
        <f t="shared" si="0"/>
        <v>46335.000138888892</v>
      </c>
      <c r="G62" s="27"/>
    </row>
    <row r="63" spans="1:7" ht="15.75" customHeight="1" x14ac:dyDescent="0.25">
      <c r="A63" t="s">
        <v>1060</v>
      </c>
      <c r="B63" t="s">
        <v>1131</v>
      </c>
      <c r="C63" s="66">
        <v>12773880</v>
      </c>
      <c r="D63" s="64">
        <v>46304.524924386576</v>
      </c>
      <c r="E63" s="64">
        <v>46333.000138888892</v>
      </c>
      <c r="F63" s="40">
        <f t="shared" si="0"/>
        <v>46335.000138888892</v>
      </c>
      <c r="G63" s="27"/>
    </row>
    <row r="64" spans="1:7" ht="15.75" customHeight="1" x14ac:dyDescent="0.25">
      <c r="A64" t="s">
        <v>1055</v>
      </c>
      <c r="B64" t="s">
        <v>1132</v>
      </c>
      <c r="C64" s="66">
        <v>1253175</v>
      </c>
      <c r="D64" s="64">
        <v>46302.60627971065</v>
      </c>
      <c r="E64" s="64">
        <v>46333.000138888892</v>
      </c>
      <c r="F64" s="40">
        <f t="shared" si="0"/>
        <v>46335.000138888892</v>
      </c>
      <c r="G64" s="27"/>
    </row>
    <row r="65" spans="1:7" ht="15.75" customHeight="1" x14ac:dyDescent="0.25">
      <c r="A65" t="s">
        <v>1067</v>
      </c>
      <c r="B65" t="s">
        <v>1133</v>
      </c>
      <c r="C65" s="66">
        <v>11341100.560000001</v>
      </c>
      <c r="D65" s="64">
        <v>46300.447836377316</v>
      </c>
      <c r="E65" s="64">
        <v>46333.000138888892</v>
      </c>
      <c r="F65" s="40">
        <f t="shared" si="0"/>
        <v>46335.000138888892</v>
      </c>
      <c r="G65" s="27"/>
    </row>
    <row r="66" spans="1:7" ht="15.75" customHeight="1" x14ac:dyDescent="0.25">
      <c r="A66" t="s">
        <v>1054</v>
      </c>
      <c r="B66" t="s">
        <v>1134</v>
      </c>
      <c r="C66" s="66">
        <v>3051000</v>
      </c>
      <c r="D66" s="64">
        <v>46296.575393252315</v>
      </c>
      <c r="E66" s="64">
        <v>46333.000138888892</v>
      </c>
      <c r="F66" s="40">
        <f t="shared" si="0"/>
        <v>46335.000138888892</v>
      </c>
      <c r="G66" s="27"/>
    </row>
    <row r="67" spans="1:7" ht="15.75" customHeight="1" x14ac:dyDescent="0.25">
      <c r="A67" t="s">
        <v>1054</v>
      </c>
      <c r="B67" t="s">
        <v>1135</v>
      </c>
      <c r="C67" s="66">
        <v>3000800</v>
      </c>
      <c r="D67" s="64">
        <v>46296.575391932871</v>
      </c>
      <c r="E67" s="64">
        <v>46333.000138888892</v>
      </c>
      <c r="F67" s="40">
        <f t="shared" si="0"/>
        <v>46335.000138888892</v>
      </c>
      <c r="G67" s="27"/>
    </row>
    <row r="68" spans="1:7" ht="15.75" customHeight="1" x14ac:dyDescent="0.25">
      <c r="A68" t="s">
        <v>1066</v>
      </c>
      <c r="B68" t="s">
        <v>1136</v>
      </c>
      <c r="C68" s="66">
        <v>4500000</v>
      </c>
      <c r="D68" s="64">
        <v>46297.500973761576</v>
      </c>
      <c r="E68" s="64">
        <v>46333.000138888892</v>
      </c>
      <c r="F68" s="40">
        <f t="shared" si="0"/>
        <v>46335.000138888892</v>
      </c>
      <c r="G68" s="27"/>
    </row>
    <row r="69" spans="1:7" ht="15.75" customHeight="1" x14ac:dyDescent="0.25">
      <c r="A69" t="s">
        <v>1054</v>
      </c>
      <c r="B69" t="s">
        <v>1137</v>
      </c>
      <c r="C69" s="66">
        <v>3000040</v>
      </c>
      <c r="D69" s="64">
        <v>46296.575392245373</v>
      </c>
      <c r="E69" s="64">
        <v>46333.000138888892</v>
      </c>
      <c r="F69" s="40">
        <f t="shared" ref="F69:F132" si="1">+E69+2</f>
        <v>46335.000138888892</v>
      </c>
      <c r="G69" s="27"/>
    </row>
    <row r="70" spans="1:7" ht="15.75" customHeight="1" x14ac:dyDescent="0.25">
      <c r="A70" t="s">
        <v>1066</v>
      </c>
      <c r="B70" t="s">
        <v>1138</v>
      </c>
      <c r="C70" s="66">
        <v>4500000</v>
      </c>
      <c r="D70" s="64">
        <v>46297.500973761576</v>
      </c>
      <c r="E70" s="64">
        <v>46333.000138888892</v>
      </c>
      <c r="F70" s="40">
        <f t="shared" si="1"/>
        <v>46335.000138888892</v>
      </c>
      <c r="G70" s="27"/>
    </row>
    <row r="71" spans="1:7" ht="15.75" customHeight="1" x14ac:dyDescent="0.25">
      <c r="A71" t="s">
        <v>1066</v>
      </c>
      <c r="B71" t="s">
        <v>1139</v>
      </c>
      <c r="C71" s="66">
        <v>4607080</v>
      </c>
      <c r="D71" s="64">
        <v>46297.500867592593</v>
      </c>
      <c r="E71" s="64">
        <v>46333.000138888892</v>
      </c>
      <c r="F71" s="40">
        <f t="shared" si="1"/>
        <v>46335.000138888892</v>
      </c>
      <c r="G71" s="27"/>
    </row>
    <row r="72" spans="1:7" ht="15.75" customHeight="1" x14ac:dyDescent="0.25">
      <c r="A72" t="s">
        <v>1054</v>
      </c>
      <c r="B72" t="s">
        <v>1140</v>
      </c>
      <c r="C72" s="66">
        <v>1800000</v>
      </c>
      <c r="D72" s="64">
        <v>46296.575391817132</v>
      </c>
      <c r="E72" s="64">
        <v>46333.000138888892</v>
      </c>
      <c r="F72" s="40">
        <f t="shared" si="1"/>
        <v>46335.000138888892</v>
      </c>
      <c r="G72" s="27"/>
    </row>
    <row r="73" spans="1:7" ht="15.75" customHeight="1" x14ac:dyDescent="0.25">
      <c r="A73" t="s">
        <v>1060</v>
      </c>
      <c r="B73" t="s">
        <v>1141</v>
      </c>
      <c r="C73" s="66">
        <v>12773880</v>
      </c>
      <c r="D73" s="64">
        <v>46304.524987500001</v>
      </c>
      <c r="E73" s="64">
        <v>46334.000138888892</v>
      </c>
      <c r="F73" s="40">
        <f t="shared" si="1"/>
        <v>46336.000138888892</v>
      </c>
      <c r="G73" s="27"/>
    </row>
    <row r="74" spans="1:7" ht="15.75" customHeight="1" x14ac:dyDescent="0.25">
      <c r="A74" t="s">
        <v>1056</v>
      </c>
      <c r="B74" t="s">
        <v>1142</v>
      </c>
      <c r="C74" s="66">
        <v>10000000</v>
      </c>
      <c r="D74" s="64">
        <v>46310.504248263889</v>
      </c>
      <c r="E74" s="64">
        <v>46335.000138888892</v>
      </c>
      <c r="F74" s="40">
        <f t="shared" si="1"/>
        <v>46337.000138888892</v>
      </c>
      <c r="G74" s="27"/>
    </row>
    <row r="75" spans="1:7" ht="15.75" customHeight="1" x14ac:dyDescent="0.25">
      <c r="A75" t="s">
        <v>1056</v>
      </c>
      <c r="B75" t="s">
        <v>1143</v>
      </c>
      <c r="C75" s="66">
        <v>10000000</v>
      </c>
      <c r="D75" s="64">
        <v>46310.50424829861</v>
      </c>
      <c r="E75" s="64">
        <v>46335.000138888892</v>
      </c>
      <c r="F75" s="40">
        <f t="shared" si="1"/>
        <v>46337.000138888892</v>
      </c>
      <c r="G75" s="27"/>
    </row>
    <row r="76" spans="1:7" ht="15.75" customHeight="1" x14ac:dyDescent="0.25">
      <c r="A76" t="s">
        <v>1056</v>
      </c>
      <c r="B76" t="s">
        <v>1144</v>
      </c>
      <c r="C76" s="66">
        <v>10000000</v>
      </c>
      <c r="D76" s="64">
        <v>46310.504250196762</v>
      </c>
      <c r="E76" s="64">
        <v>46335.000138888892</v>
      </c>
      <c r="F76" s="40">
        <f t="shared" si="1"/>
        <v>46337.000138888892</v>
      </c>
      <c r="G76" s="27"/>
    </row>
    <row r="77" spans="1:7" ht="15.75" customHeight="1" x14ac:dyDescent="0.25">
      <c r="A77" t="s">
        <v>1056</v>
      </c>
      <c r="B77" t="s">
        <v>1145</v>
      </c>
      <c r="C77" s="66">
        <v>10000000</v>
      </c>
      <c r="D77" s="64">
        <v>46310.504250150465</v>
      </c>
      <c r="E77" s="64">
        <v>46335.000138888892</v>
      </c>
      <c r="F77" s="40">
        <f t="shared" si="1"/>
        <v>46337.000138888892</v>
      </c>
      <c r="G77" s="27"/>
    </row>
    <row r="78" spans="1:7" ht="15.75" customHeight="1" x14ac:dyDescent="0.25">
      <c r="A78" t="s">
        <v>1056</v>
      </c>
      <c r="B78" t="s">
        <v>1146</v>
      </c>
      <c r="C78" s="66">
        <v>11687269.310000001</v>
      </c>
      <c r="D78" s="64">
        <v>46310.504252118059</v>
      </c>
      <c r="E78" s="64">
        <v>46335.000138888892</v>
      </c>
      <c r="F78" s="40">
        <f t="shared" si="1"/>
        <v>46337.000138888892</v>
      </c>
      <c r="G78" s="27"/>
    </row>
    <row r="79" spans="1:7" ht="15.75" customHeight="1" x14ac:dyDescent="0.25">
      <c r="A79" t="s">
        <v>1058</v>
      </c>
      <c r="B79" t="s">
        <v>1147</v>
      </c>
      <c r="C79" s="66">
        <v>1754000</v>
      </c>
      <c r="D79" s="64">
        <v>46308.60123576389</v>
      </c>
      <c r="E79" s="64">
        <v>46335.000138888892</v>
      </c>
      <c r="F79" s="40">
        <f t="shared" si="1"/>
        <v>46337.000138888892</v>
      </c>
      <c r="G79" s="27"/>
    </row>
    <row r="80" spans="1:7" ht="15.75" customHeight="1" x14ac:dyDescent="0.25">
      <c r="A80" t="s">
        <v>1058</v>
      </c>
      <c r="B80" t="s">
        <v>1148</v>
      </c>
      <c r="C80" s="66">
        <v>1485000</v>
      </c>
      <c r="D80" s="64">
        <v>46311.554485844907</v>
      </c>
      <c r="E80" s="64">
        <v>46335.000138888892</v>
      </c>
      <c r="F80" s="40">
        <f t="shared" si="1"/>
        <v>46337.000138888892</v>
      </c>
      <c r="G80" s="27"/>
    </row>
    <row r="81" spans="1:7" ht="15.75" customHeight="1" x14ac:dyDescent="0.25">
      <c r="A81" t="s">
        <v>1055</v>
      </c>
      <c r="B81" t="s">
        <v>1149</v>
      </c>
      <c r="C81" s="66">
        <v>1595440</v>
      </c>
      <c r="D81" s="64">
        <v>46304.600299386577</v>
      </c>
      <c r="E81" s="64">
        <v>46335.000138888892</v>
      </c>
      <c r="F81" s="40">
        <f t="shared" si="1"/>
        <v>46337.000138888892</v>
      </c>
      <c r="G81" s="27"/>
    </row>
    <row r="82" spans="1:7" ht="15.75" customHeight="1" x14ac:dyDescent="0.25">
      <c r="A82" t="s">
        <v>1058</v>
      </c>
      <c r="B82" t="s">
        <v>1150</v>
      </c>
      <c r="C82" s="66">
        <v>1700000</v>
      </c>
      <c r="D82" s="64">
        <v>46304.717641550924</v>
      </c>
      <c r="E82" s="64">
        <v>46335.000138888892</v>
      </c>
      <c r="F82" s="40">
        <f t="shared" si="1"/>
        <v>46337.000138888892</v>
      </c>
      <c r="G82" s="27"/>
    </row>
    <row r="83" spans="1:7" ht="15.75" customHeight="1" x14ac:dyDescent="0.25">
      <c r="A83" t="s">
        <v>1058</v>
      </c>
      <c r="B83" t="s">
        <v>1151</v>
      </c>
      <c r="C83" s="66">
        <v>1754000</v>
      </c>
      <c r="D83" s="64">
        <v>46308.601238391202</v>
      </c>
      <c r="E83" s="64">
        <v>46336.000138888892</v>
      </c>
      <c r="F83" s="40">
        <f t="shared" si="1"/>
        <v>46338.000138888892</v>
      </c>
      <c r="G83" s="27"/>
    </row>
    <row r="84" spans="1:7" ht="15.75" customHeight="1" x14ac:dyDescent="0.25">
      <c r="A84" t="s">
        <v>1058</v>
      </c>
      <c r="B84" t="s">
        <v>1152</v>
      </c>
      <c r="C84" s="66">
        <v>1485000</v>
      </c>
      <c r="D84" s="64">
        <v>46311.554485729168</v>
      </c>
      <c r="E84" s="64">
        <v>46336.000138888892</v>
      </c>
      <c r="F84" s="40">
        <f t="shared" si="1"/>
        <v>46338.000138888892</v>
      </c>
      <c r="G84" s="27"/>
    </row>
    <row r="85" spans="1:7" ht="15.75" customHeight="1" x14ac:dyDescent="0.25">
      <c r="A85" t="s">
        <v>1058</v>
      </c>
      <c r="B85" t="s">
        <v>1153</v>
      </c>
      <c r="C85" s="66">
        <v>1700000</v>
      </c>
      <c r="D85" s="64">
        <v>46304.717641747688</v>
      </c>
      <c r="E85" s="64">
        <v>46336.000138888892</v>
      </c>
      <c r="F85" s="40">
        <f t="shared" si="1"/>
        <v>46338.000138888892</v>
      </c>
      <c r="G85" s="27"/>
    </row>
    <row r="86" spans="1:7" ht="15.75" customHeight="1" x14ac:dyDescent="0.25">
      <c r="A86" t="s">
        <v>1057</v>
      </c>
      <c r="B86" t="s">
        <v>1154</v>
      </c>
      <c r="C86" s="66">
        <v>40000000</v>
      </c>
      <c r="D86" s="64">
        <v>46304.579483217596</v>
      </c>
      <c r="E86" s="64">
        <v>46337.000138888892</v>
      </c>
      <c r="F86" s="40">
        <f t="shared" si="1"/>
        <v>46339.000138888892</v>
      </c>
      <c r="G86" s="27"/>
    </row>
    <row r="87" spans="1:7" ht="15.75" customHeight="1" x14ac:dyDescent="0.25">
      <c r="A87" t="s">
        <v>1058</v>
      </c>
      <c r="B87" t="s">
        <v>1155</v>
      </c>
      <c r="C87" s="66">
        <v>1731735</v>
      </c>
      <c r="D87" s="64">
        <v>46304.717643715281</v>
      </c>
      <c r="E87" s="64">
        <v>46337.000138888892</v>
      </c>
      <c r="F87" s="40">
        <f t="shared" si="1"/>
        <v>46339.000138888892</v>
      </c>
      <c r="G87" s="27"/>
    </row>
    <row r="88" spans="1:7" ht="15.75" customHeight="1" x14ac:dyDescent="0.25">
      <c r="A88" t="s">
        <v>1068</v>
      </c>
      <c r="B88" t="s">
        <v>1156</v>
      </c>
      <c r="C88" s="66">
        <v>3992800</v>
      </c>
      <c r="D88" s="64">
        <v>46301.600271678239</v>
      </c>
      <c r="E88" s="64">
        <v>46337.000138888892</v>
      </c>
      <c r="F88" s="40">
        <f t="shared" si="1"/>
        <v>46339.000138888892</v>
      </c>
      <c r="G88" s="27"/>
    </row>
    <row r="89" spans="1:7" ht="15.75" customHeight="1" x14ac:dyDescent="0.25">
      <c r="A89" t="s">
        <v>1058</v>
      </c>
      <c r="B89" t="s">
        <v>1157</v>
      </c>
      <c r="C89" s="66">
        <v>1754000</v>
      </c>
      <c r="D89" s="64">
        <v>46308.601235185182</v>
      </c>
      <c r="E89" s="64">
        <v>46338.000138888892</v>
      </c>
      <c r="F89" s="40">
        <f t="shared" si="1"/>
        <v>46340.000138888892</v>
      </c>
      <c r="G89" s="27"/>
    </row>
    <row r="90" spans="1:7" ht="15.75" customHeight="1" x14ac:dyDescent="0.25">
      <c r="A90" t="s">
        <v>1058</v>
      </c>
      <c r="B90" t="s">
        <v>1158</v>
      </c>
      <c r="C90" s="66">
        <v>1485000</v>
      </c>
      <c r="D90" s="64">
        <v>46311.554485497683</v>
      </c>
      <c r="E90" s="64">
        <v>46338.000138888892</v>
      </c>
      <c r="F90" s="40">
        <f t="shared" si="1"/>
        <v>46340.000138888892</v>
      </c>
      <c r="G90" s="27"/>
    </row>
    <row r="91" spans="1:7" ht="15.75" customHeight="1" x14ac:dyDescent="0.25">
      <c r="A91" t="s">
        <v>1068</v>
      </c>
      <c r="B91" t="s">
        <v>1159</v>
      </c>
      <c r="C91" s="66">
        <v>3500000</v>
      </c>
      <c r="D91" s="64">
        <v>46301.600274965276</v>
      </c>
      <c r="E91" s="64">
        <v>46338.000138888892</v>
      </c>
      <c r="F91" s="40">
        <f t="shared" si="1"/>
        <v>46340.000138888892</v>
      </c>
      <c r="G91" s="27"/>
    </row>
    <row r="92" spans="1:7" ht="15.75" customHeight="1" x14ac:dyDescent="0.25">
      <c r="A92" t="s">
        <v>1058</v>
      </c>
      <c r="B92" t="s">
        <v>1160</v>
      </c>
      <c r="C92" s="66">
        <v>1754145</v>
      </c>
      <c r="D92" s="64">
        <v>46308.601244710648</v>
      </c>
      <c r="E92" s="64">
        <v>46339.000138888892</v>
      </c>
      <c r="F92" s="40">
        <f t="shared" si="1"/>
        <v>46341.000138888892</v>
      </c>
      <c r="G92" s="27"/>
    </row>
    <row r="93" spans="1:7" ht="15.75" customHeight="1" x14ac:dyDescent="0.25">
      <c r="A93" t="s">
        <v>1060</v>
      </c>
      <c r="B93" t="s">
        <v>1161</v>
      </c>
      <c r="C93" s="66">
        <v>17902080</v>
      </c>
      <c r="D93" s="64">
        <v>46310.511365543978</v>
      </c>
      <c r="E93" s="64">
        <v>46339.000138888892</v>
      </c>
      <c r="F93" s="40">
        <f t="shared" si="1"/>
        <v>46341.000138888892</v>
      </c>
      <c r="G93" s="27"/>
    </row>
    <row r="94" spans="1:7" ht="15.75" customHeight="1" x14ac:dyDescent="0.25">
      <c r="A94" t="s">
        <v>1058</v>
      </c>
      <c r="B94" t="s">
        <v>1162</v>
      </c>
      <c r="C94" s="66">
        <v>1485000</v>
      </c>
      <c r="D94" s="64">
        <v>46311.554490196759</v>
      </c>
      <c r="E94" s="64">
        <v>46339.000138888892</v>
      </c>
      <c r="F94" s="40">
        <f t="shared" si="1"/>
        <v>46341.000138888892</v>
      </c>
      <c r="G94" s="27"/>
    </row>
    <row r="95" spans="1:7" ht="15.75" customHeight="1" x14ac:dyDescent="0.25">
      <c r="A95" t="s">
        <v>1069</v>
      </c>
      <c r="B95" t="s">
        <v>1163</v>
      </c>
      <c r="C95" s="66">
        <v>25038720</v>
      </c>
      <c r="D95" s="64">
        <v>46309.583436608795</v>
      </c>
      <c r="E95" s="64">
        <v>46339.000138888892</v>
      </c>
      <c r="F95" s="40">
        <f t="shared" si="1"/>
        <v>46341.000138888892</v>
      </c>
      <c r="G95" s="27"/>
    </row>
    <row r="96" spans="1:7" ht="15.75" customHeight="1" x14ac:dyDescent="0.25">
      <c r="A96" t="s">
        <v>1057</v>
      </c>
      <c r="B96" t="s">
        <v>1164</v>
      </c>
      <c r="C96" s="66">
        <v>37500000</v>
      </c>
      <c r="D96" s="64">
        <v>46304.579487847222</v>
      </c>
      <c r="E96" s="64">
        <v>46339.000138888892</v>
      </c>
      <c r="F96" s="40">
        <f t="shared" si="1"/>
        <v>46341.000138888892</v>
      </c>
      <c r="G96" s="27"/>
    </row>
    <row r="97" spans="1:7" ht="15.75" customHeight="1" x14ac:dyDescent="0.25">
      <c r="A97" t="s">
        <v>1068</v>
      </c>
      <c r="B97" t="s">
        <v>1165</v>
      </c>
      <c r="C97" s="66">
        <v>3500000</v>
      </c>
      <c r="D97" s="64">
        <v>46301.600277546298</v>
      </c>
      <c r="E97" s="64">
        <v>46339.000138888892</v>
      </c>
      <c r="F97" s="40">
        <f t="shared" si="1"/>
        <v>46341.000138888892</v>
      </c>
      <c r="G97" s="27"/>
    </row>
    <row r="98" spans="1:7" ht="15.75" customHeight="1" x14ac:dyDescent="0.25">
      <c r="A98" t="s">
        <v>1053</v>
      </c>
      <c r="B98" t="s">
        <v>1166</v>
      </c>
      <c r="C98" s="66">
        <v>33784275</v>
      </c>
      <c r="D98" s="64">
        <v>46300.50959814815</v>
      </c>
      <c r="E98" s="64">
        <v>46339.000138888892</v>
      </c>
      <c r="F98" s="40">
        <f t="shared" si="1"/>
        <v>46341.000138888892</v>
      </c>
      <c r="G98" s="27"/>
    </row>
    <row r="99" spans="1:7" ht="15.75" customHeight="1" x14ac:dyDescent="0.25">
      <c r="A99" t="s">
        <v>1066</v>
      </c>
      <c r="B99" t="s">
        <v>1167</v>
      </c>
      <c r="C99" s="66">
        <v>4500000</v>
      </c>
      <c r="D99" s="64">
        <v>46311.542538773145</v>
      </c>
      <c r="E99" s="64">
        <v>46340.000138888892</v>
      </c>
      <c r="F99" s="40">
        <f t="shared" si="1"/>
        <v>46342.000138888892</v>
      </c>
      <c r="G99" s="27"/>
    </row>
    <row r="100" spans="1:7" ht="15.75" customHeight="1" x14ac:dyDescent="0.25">
      <c r="A100" t="s">
        <v>1070</v>
      </c>
      <c r="B100" t="s">
        <v>1168</v>
      </c>
      <c r="C100" s="66">
        <v>4500000</v>
      </c>
      <c r="D100" s="64">
        <v>46311.522534143522</v>
      </c>
      <c r="E100" s="64">
        <v>46340.000138888892</v>
      </c>
      <c r="F100" s="40">
        <f t="shared" si="1"/>
        <v>46342.000138888892</v>
      </c>
      <c r="G100" s="27"/>
    </row>
    <row r="101" spans="1:7" ht="15.75" customHeight="1" x14ac:dyDescent="0.25">
      <c r="A101" t="s">
        <v>1060</v>
      </c>
      <c r="B101" t="s">
        <v>1169</v>
      </c>
      <c r="C101" s="66">
        <v>17902080</v>
      </c>
      <c r="D101" s="64">
        <v>46310.511280983796</v>
      </c>
      <c r="E101" s="64">
        <v>46340.000138888892</v>
      </c>
      <c r="F101" s="40">
        <f t="shared" si="1"/>
        <v>46342.000138888892</v>
      </c>
      <c r="G101" s="27"/>
    </row>
    <row r="102" spans="1:7" ht="15.75" customHeight="1" x14ac:dyDescent="0.25">
      <c r="A102" t="s">
        <v>1070</v>
      </c>
      <c r="B102" t="s">
        <v>1170</v>
      </c>
      <c r="C102" s="66">
        <v>4500000</v>
      </c>
      <c r="D102" s="64">
        <v>46311.522549687499</v>
      </c>
      <c r="E102" s="64">
        <v>46340.000138888892</v>
      </c>
      <c r="F102" s="40">
        <f t="shared" si="1"/>
        <v>46342.000138888892</v>
      </c>
      <c r="G102" s="27"/>
    </row>
    <row r="103" spans="1:7" ht="15.75" customHeight="1" x14ac:dyDescent="0.25">
      <c r="A103" t="s">
        <v>1070</v>
      </c>
      <c r="B103" t="s">
        <v>1171</v>
      </c>
      <c r="C103" s="66">
        <v>4500000</v>
      </c>
      <c r="D103" s="64">
        <v>46311.522546377317</v>
      </c>
      <c r="E103" s="64">
        <v>46340.000138888892</v>
      </c>
      <c r="F103" s="40">
        <f t="shared" si="1"/>
        <v>46342.000138888892</v>
      </c>
      <c r="G103" s="27"/>
    </row>
    <row r="104" spans="1:7" ht="15.75" customHeight="1" x14ac:dyDescent="0.25">
      <c r="A104" t="s">
        <v>1070</v>
      </c>
      <c r="B104" t="s">
        <v>1172</v>
      </c>
      <c r="C104" s="66">
        <v>5228800</v>
      </c>
      <c r="D104" s="64">
        <v>46311.52254027778</v>
      </c>
      <c r="E104" s="64">
        <v>46340.000138888892</v>
      </c>
      <c r="F104" s="40">
        <f t="shared" si="1"/>
        <v>46342.000138888892</v>
      </c>
      <c r="G104" s="27"/>
    </row>
    <row r="105" spans="1:7" ht="15.75" customHeight="1" x14ac:dyDescent="0.25">
      <c r="A105" t="s">
        <v>1066</v>
      </c>
      <c r="B105" t="s">
        <v>1173</v>
      </c>
      <c r="C105" s="66">
        <v>4500000</v>
      </c>
      <c r="D105" s="64">
        <v>46311.542538773145</v>
      </c>
      <c r="E105" s="64">
        <v>46340.000138888892</v>
      </c>
      <c r="F105" s="40">
        <f t="shared" si="1"/>
        <v>46342.000138888892</v>
      </c>
      <c r="G105" s="27"/>
    </row>
    <row r="106" spans="1:7" ht="15.75" customHeight="1" x14ac:dyDescent="0.25">
      <c r="A106" t="s">
        <v>1070</v>
      </c>
      <c r="B106" t="s">
        <v>1174</v>
      </c>
      <c r="C106" s="66">
        <v>4500000</v>
      </c>
      <c r="D106" s="64">
        <v>46311.522537384262</v>
      </c>
      <c r="E106" s="64">
        <v>46340.000138888892</v>
      </c>
      <c r="F106" s="40">
        <f t="shared" si="1"/>
        <v>46342.000138888892</v>
      </c>
      <c r="G106" s="27"/>
    </row>
    <row r="107" spans="1:7" ht="15.75" customHeight="1" x14ac:dyDescent="0.25">
      <c r="A107" t="s">
        <v>1066</v>
      </c>
      <c r="B107" t="s">
        <v>1175</v>
      </c>
      <c r="C107" s="66">
        <v>4500000</v>
      </c>
      <c r="D107" s="64">
        <v>46311.542538773145</v>
      </c>
      <c r="E107" s="64">
        <v>46340.000138888892</v>
      </c>
      <c r="F107" s="40">
        <f t="shared" si="1"/>
        <v>46342.000138888892</v>
      </c>
      <c r="G107" s="27"/>
    </row>
    <row r="108" spans="1:7" ht="15.75" customHeight="1" x14ac:dyDescent="0.25">
      <c r="A108" t="s">
        <v>1066</v>
      </c>
      <c r="B108" t="s">
        <v>1176</v>
      </c>
      <c r="C108" s="66">
        <v>4299684</v>
      </c>
      <c r="D108" s="64">
        <v>46311.542632557874</v>
      </c>
      <c r="E108" s="64">
        <v>46340.000138888892</v>
      </c>
      <c r="F108" s="40">
        <f t="shared" si="1"/>
        <v>46342.000138888892</v>
      </c>
      <c r="G108" s="27"/>
    </row>
    <row r="109" spans="1:7" ht="15.75" customHeight="1" x14ac:dyDescent="0.25">
      <c r="A109" t="s">
        <v>1066</v>
      </c>
      <c r="B109" t="s">
        <v>1177</v>
      </c>
      <c r="C109" s="66">
        <v>4500000</v>
      </c>
      <c r="D109" s="64">
        <v>46311.542538773145</v>
      </c>
      <c r="E109" s="64">
        <v>46340.000138888892</v>
      </c>
      <c r="F109" s="40">
        <f t="shared" si="1"/>
        <v>46342.000138888892</v>
      </c>
      <c r="G109" s="27"/>
    </row>
    <row r="110" spans="1:7" ht="15.75" customHeight="1" x14ac:dyDescent="0.25">
      <c r="A110" t="s">
        <v>1067</v>
      </c>
      <c r="B110" t="s">
        <v>1178</v>
      </c>
      <c r="C110" s="66">
        <v>29318860.039999999</v>
      </c>
      <c r="D110" s="64">
        <v>46307.307201388889</v>
      </c>
      <c r="E110" s="64">
        <v>46340.000138888892</v>
      </c>
      <c r="F110" s="40">
        <f t="shared" si="1"/>
        <v>46342.000138888892</v>
      </c>
      <c r="G110" s="27"/>
    </row>
    <row r="111" spans="1:7" ht="15.75" customHeight="1" x14ac:dyDescent="0.25">
      <c r="A111" t="s">
        <v>1068</v>
      </c>
      <c r="B111" t="s">
        <v>1179</v>
      </c>
      <c r="C111" s="66">
        <v>3500000</v>
      </c>
      <c r="D111" s="64">
        <v>46301.600280289349</v>
      </c>
      <c r="E111" s="64">
        <v>46340.000138888892</v>
      </c>
      <c r="F111" s="40">
        <f t="shared" si="1"/>
        <v>46342.000138888892</v>
      </c>
      <c r="G111" s="27"/>
    </row>
    <row r="112" spans="1:7" ht="15.75" customHeight="1" x14ac:dyDescent="0.25">
      <c r="A112" t="s">
        <v>1054</v>
      </c>
      <c r="B112" t="s">
        <v>1180</v>
      </c>
      <c r="C112" s="66">
        <v>3200000</v>
      </c>
      <c r="D112" s="64">
        <v>46303.64370980324</v>
      </c>
      <c r="E112" s="64">
        <v>46341.000138888892</v>
      </c>
      <c r="F112" s="40">
        <f t="shared" si="1"/>
        <v>46343.000138888892</v>
      </c>
      <c r="G112" s="27"/>
    </row>
    <row r="113" spans="1:7" ht="15.75" customHeight="1" x14ac:dyDescent="0.25">
      <c r="A113" t="s">
        <v>1054</v>
      </c>
      <c r="B113" t="s">
        <v>1181</v>
      </c>
      <c r="C113" s="66">
        <v>3000946</v>
      </c>
      <c r="D113" s="64">
        <v>46303.643710381948</v>
      </c>
      <c r="E113" s="64">
        <v>46341.000138888892</v>
      </c>
      <c r="F113" s="40">
        <f t="shared" si="1"/>
        <v>46343.000138888892</v>
      </c>
      <c r="G113" s="27"/>
    </row>
    <row r="114" spans="1:7" ht="15.75" customHeight="1" x14ac:dyDescent="0.25">
      <c r="A114" t="s">
        <v>1054</v>
      </c>
      <c r="B114" t="s">
        <v>1182</v>
      </c>
      <c r="C114" s="66">
        <v>3048000</v>
      </c>
      <c r="D114" s="64">
        <v>46303.643715543978</v>
      </c>
      <c r="E114" s="64">
        <v>46341.000138888892</v>
      </c>
      <c r="F114" s="40">
        <f t="shared" si="1"/>
        <v>46343.000138888892</v>
      </c>
      <c r="G114" s="27"/>
    </row>
    <row r="115" spans="1:7" ht="15.75" customHeight="1" x14ac:dyDescent="0.25">
      <c r="A115" t="s">
        <v>1068</v>
      </c>
      <c r="B115" t="s">
        <v>1183</v>
      </c>
      <c r="C115" s="66">
        <v>3500000</v>
      </c>
      <c r="D115" s="64">
        <v>46301.60028298611</v>
      </c>
      <c r="E115" s="64">
        <v>46341.000138888892</v>
      </c>
      <c r="F115" s="40">
        <f t="shared" si="1"/>
        <v>46343.000138888892</v>
      </c>
      <c r="G115" s="27"/>
    </row>
    <row r="116" spans="1:7" ht="15.75" customHeight="1" x14ac:dyDescent="0.25">
      <c r="A116" t="s">
        <v>1058</v>
      </c>
      <c r="B116" t="s">
        <v>1184</v>
      </c>
      <c r="C116" s="66">
        <v>1485000</v>
      </c>
      <c r="D116" s="64">
        <v>46311.554492708332</v>
      </c>
      <c r="E116" s="64">
        <v>46342.000138888892</v>
      </c>
      <c r="F116" s="40">
        <f t="shared" si="1"/>
        <v>46344.000138888892</v>
      </c>
      <c r="G116" s="27"/>
    </row>
    <row r="117" spans="1:7" ht="15.75" customHeight="1" x14ac:dyDescent="0.25">
      <c r="A117" t="s">
        <v>1053</v>
      </c>
      <c r="B117" t="s">
        <v>1185</v>
      </c>
      <c r="C117" s="66">
        <v>34809600</v>
      </c>
      <c r="D117" s="64">
        <v>46302.538388622685</v>
      </c>
      <c r="E117" s="64">
        <v>46342.000138888892</v>
      </c>
      <c r="F117" s="40">
        <f t="shared" si="1"/>
        <v>46344.000138888892</v>
      </c>
      <c r="G117" s="27"/>
    </row>
    <row r="118" spans="1:7" ht="15.75" customHeight="1" x14ac:dyDescent="0.25">
      <c r="A118" t="s">
        <v>1068</v>
      </c>
      <c r="B118" t="s">
        <v>1186</v>
      </c>
      <c r="C118" s="66">
        <v>3738000</v>
      </c>
      <c r="D118" s="64">
        <v>46308.626428391202</v>
      </c>
      <c r="E118" s="64">
        <v>46343.000138888892</v>
      </c>
      <c r="F118" s="40">
        <f t="shared" si="1"/>
        <v>46345.000138888892</v>
      </c>
      <c r="G118" s="27"/>
    </row>
    <row r="119" spans="1:7" ht="15.75" customHeight="1" x14ac:dyDescent="0.25">
      <c r="A119" t="s">
        <v>1058</v>
      </c>
      <c r="B119" t="s">
        <v>1187</v>
      </c>
      <c r="C119" s="66">
        <v>1485000</v>
      </c>
      <c r="D119" s="64">
        <v>46311.554491863426</v>
      </c>
      <c r="E119" s="64">
        <v>46343.000138888892</v>
      </c>
      <c r="F119" s="40">
        <f t="shared" si="1"/>
        <v>46345.000138888892</v>
      </c>
      <c r="G119" s="27"/>
    </row>
    <row r="120" spans="1:7" ht="15.75" customHeight="1" x14ac:dyDescent="0.25">
      <c r="A120" t="s">
        <v>1068</v>
      </c>
      <c r="B120" t="s">
        <v>1188</v>
      </c>
      <c r="C120" s="66">
        <v>3750000</v>
      </c>
      <c r="D120" s="64">
        <v>46308.626431018522</v>
      </c>
      <c r="E120" s="64">
        <v>46344.000138888892</v>
      </c>
      <c r="F120" s="40">
        <f t="shared" si="1"/>
        <v>46346.000138888892</v>
      </c>
      <c r="G120" s="27"/>
    </row>
    <row r="121" spans="1:7" ht="15.75" customHeight="1" x14ac:dyDescent="0.25">
      <c r="A121" t="s">
        <v>1058</v>
      </c>
      <c r="B121" t="s">
        <v>1189</v>
      </c>
      <c r="C121" s="66">
        <v>1463625</v>
      </c>
      <c r="D121" s="64">
        <v>46311.554494363423</v>
      </c>
      <c r="E121" s="64">
        <v>46344.000138888892</v>
      </c>
      <c r="F121" s="40">
        <f t="shared" si="1"/>
        <v>46346.000138888892</v>
      </c>
      <c r="G121" s="27"/>
    </row>
    <row r="122" spans="1:7" ht="15.75" customHeight="1" x14ac:dyDescent="0.25">
      <c r="A122" t="s">
        <v>1054</v>
      </c>
      <c r="B122" t="s">
        <v>1190</v>
      </c>
      <c r="C122" s="66">
        <v>3200000</v>
      </c>
      <c r="D122" s="64">
        <v>46303.643710069446</v>
      </c>
      <c r="E122" s="64">
        <v>46344.000138888892</v>
      </c>
      <c r="F122" s="40">
        <f t="shared" si="1"/>
        <v>46346.000138888892</v>
      </c>
      <c r="G122" s="27"/>
    </row>
    <row r="123" spans="1:7" ht="15.75" customHeight="1" x14ac:dyDescent="0.25">
      <c r="A123" t="s">
        <v>1071</v>
      </c>
      <c r="B123" t="s">
        <v>1191</v>
      </c>
      <c r="C123" s="66">
        <v>10000000</v>
      </c>
      <c r="D123" s="64">
        <v>46303.574404398147</v>
      </c>
      <c r="E123" s="64">
        <v>46344.000138888892</v>
      </c>
      <c r="F123" s="40">
        <f t="shared" si="1"/>
        <v>46346.000138888892</v>
      </c>
      <c r="G123" s="27"/>
    </row>
    <row r="124" spans="1:7" ht="15.75" customHeight="1" x14ac:dyDescent="0.25">
      <c r="A124" t="s">
        <v>1057</v>
      </c>
      <c r="B124" t="s">
        <v>1192</v>
      </c>
      <c r="C124" s="66">
        <v>38164871</v>
      </c>
      <c r="D124" s="64">
        <v>46304.579485335649</v>
      </c>
      <c r="E124" s="64">
        <v>46344.000138888892</v>
      </c>
      <c r="F124" s="40">
        <f t="shared" si="1"/>
        <v>46346.000138888892</v>
      </c>
      <c r="G124" s="27"/>
    </row>
    <row r="125" spans="1:7" ht="15.75" customHeight="1" x14ac:dyDescent="0.25">
      <c r="A125" t="s">
        <v>1054</v>
      </c>
      <c r="B125" t="s">
        <v>1193</v>
      </c>
      <c r="C125" s="66">
        <v>3000960</v>
      </c>
      <c r="D125" s="64">
        <v>46303.643709525466</v>
      </c>
      <c r="E125" s="64">
        <v>46344.000138888892</v>
      </c>
      <c r="F125" s="40">
        <f t="shared" si="1"/>
        <v>46346.000138888892</v>
      </c>
      <c r="G125" s="27"/>
    </row>
    <row r="126" spans="1:7" ht="15.75" customHeight="1" x14ac:dyDescent="0.25">
      <c r="A126" t="s">
        <v>1054</v>
      </c>
      <c r="B126" t="s">
        <v>1194</v>
      </c>
      <c r="C126" s="66">
        <v>2000014</v>
      </c>
      <c r="D126" s="64">
        <v>46303.643711458331</v>
      </c>
      <c r="E126" s="64">
        <v>46344.000138888892</v>
      </c>
      <c r="F126" s="40">
        <f t="shared" si="1"/>
        <v>46346.000138888892</v>
      </c>
      <c r="G126" s="27"/>
    </row>
    <row r="127" spans="1:7" ht="15.75" customHeight="1" x14ac:dyDescent="0.25">
      <c r="A127" t="s">
        <v>1054</v>
      </c>
      <c r="B127" t="s">
        <v>1195</v>
      </c>
      <c r="C127" s="66">
        <v>3048000</v>
      </c>
      <c r="D127" s="64">
        <v>46303.643710150463</v>
      </c>
      <c r="E127" s="64">
        <v>46344.000138888892</v>
      </c>
      <c r="F127" s="40">
        <f t="shared" si="1"/>
        <v>46346.000138888892</v>
      </c>
      <c r="G127" s="27"/>
    </row>
    <row r="128" spans="1:7" ht="15.75" customHeight="1" x14ac:dyDescent="0.25">
      <c r="A128" t="s">
        <v>1059</v>
      </c>
      <c r="B128" t="s">
        <v>1196</v>
      </c>
      <c r="C128" s="66">
        <v>8960700</v>
      </c>
      <c r="D128" s="64">
        <v>46302.383009490739</v>
      </c>
      <c r="E128" s="64">
        <v>46344.000138888892</v>
      </c>
      <c r="F128" s="40">
        <f t="shared" si="1"/>
        <v>46346.000138888892</v>
      </c>
      <c r="G128" s="27"/>
    </row>
    <row r="129" spans="1:7" ht="15.75" customHeight="1" x14ac:dyDescent="0.25">
      <c r="A129" t="s">
        <v>1059</v>
      </c>
      <c r="B129" t="s">
        <v>1197</v>
      </c>
      <c r="C129" s="66">
        <v>8697150</v>
      </c>
      <c r="D129" s="64">
        <v>46302.382993206018</v>
      </c>
      <c r="E129" s="64">
        <v>46344.000138888892</v>
      </c>
      <c r="F129" s="40">
        <f t="shared" si="1"/>
        <v>46346.000138888892</v>
      </c>
      <c r="G129" s="27"/>
    </row>
    <row r="130" spans="1:7" ht="15.75" customHeight="1" x14ac:dyDescent="0.25">
      <c r="A130" t="s">
        <v>1068</v>
      </c>
      <c r="B130" t="s">
        <v>1198</v>
      </c>
      <c r="C130" s="66">
        <v>3750000</v>
      </c>
      <c r="D130" s="64">
        <v>46308.626434224534</v>
      </c>
      <c r="E130" s="64">
        <v>46345.000138888892</v>
      </c>
      <c r="F130" s="40">
        <f t="shared" si="1"/>
        <v>46347.000138888892</v>
      </c>
      <c r="G130" s="27"/>
    </row>
    <row r="131" spans="1:7" ht="15.75" customHeight="1" x14ac:dyDescent="0.25">
      <c r="A131" t="s">
        <v>1071</v>
      </c>
      <c r="B131" t="s">
        <v>1199</v>
      </c>
      <c r="C131" s="66">
        <v>7682280</v>
      </c>
      <c r="D131" s="64">
        <v>46303.575356631947</v>
      </c>
      <c r="E131" s="64">
        <v>46345.000138888892</v>
      </c>
      <c r="F131" s="40">
        <f t="shared" si="1"/>
        <v>46347.000138888892</v>
      </c>
      <c r="G131" s="27"/>
    </row>
    <row r="132" spans="1:7" ht="15.75" customHeight="1" x14ac:dyDescent="0.25">
      <c r="A132" t="s">
        <v>1068</v>
      </c>
      <c r="B132" t="s">
        <v>1200</v>
      </c>
      <c r="C132" s="66">
        <v>3750000</v>
      </c>
      <c r="D132" s="64">
        <v>46308.626436921295</v>
      </c>
      <c r="E132" s="64">
        <v>46346.000138888892</v>
      </c>
      <c r="F132" s="40">
        <f t="shared" si="1"/>
        <v>46348.000138888892</v>
      </c>
      <c r="G132" s="27"/>
    </row>
    <row r="133" spans="1:7" ht="15.75" customHeight="1" x14ac:dyDescent="0.25">
      <c r="A133" t="s">
        <v>1053</v>
      </c>
      <c r="B133" t="s">
        <v>1201</v>
      </c>
      <c r="C133" s="66">
        <v>22792000</v>
      </c>
      <c r="D133" s="64">
        <v>46304.443173344909</v>
      </c>
      <c r="E133" s="64">
        <v>46346.000138888892</v>
      </c>
      <c r="F133" s="40">
        <f t="shared" ref="F133:F150" si="2">+E133+2</f>
        <v>46348.000138888892</v>
      </c>
      <c r="G133" s="27"/>
    </row>
    <row r="134" spans="1:7" ht="15.75" customHeight="1" x14ac:dyDescent="0.25">
      <c r="A134" t="s">
        <v>1071</v>
      </c>
      <c r="B134" t="s">
        <v>1202</v>
      </c>
      <c r="C134" s="66">
        <v>3397219.57</v>
      </c>
      <c r="D134" s="64">
        <v>46304.667654976853</v>
      </c>
      <c r="E134" s="64">
        <v>46346.000138888892</v>
      </c>
      <c r="F134" s="40">
        <f t="shared" si="2"/>
        <v>46348.000138888892</v>
      </c>
      <c r="G134" s="27"/>
    </row>
    <row r="135" spans="1:7" ht="15.75" customHeight="1" x14ac:dyDescent="0.25">
      <c r="A135" t="s">
        <v>1070</v>
      </c>
      <c r="B135" t="s">
        <v>1203</v>
      </c>
      <c r="C135" s="66">
        <v>2095200</v>
      </c>
      <c r="D135" s="64">
        <v>46311.557659641207</v>
      </c>
      <c r="E135" s="64">
        <v>46347.000138888892</v>
      </c>
      <c r="F135" s="40">
        <f t="shared" si="2"/>
        <v>46349.000138888892</v>
      </c>
      <c r="G135" s="27"/>
    </row>
    <row r="136" spans="1:7" ht="15.75" customHeight="1" x14ac:dyDescent="0.25">
      <c r="A136" t="s">
        <v>1070</v>
      </c>
      <c r="B136" t="s">
        <v>1204</v>
      </c>
      <c r="C136" s="66">
        <v>4500000</v>
      </c>
      <c r="D136" s="64">
        <v>46311.557680787038</v>
      </c>
      <c r="E136" s="64">
        <v>46347.000138888892</v>
      </c>
      <c r="F136" s="40">
        <f t="shared" si="2"/>
        <v>46349.000138888892</v>
      </c>
      <c r="G136" s="27"/>
    </row>
    <row r="137" spans="1:7" ht="15.75" customHeight="1" x14ac:dyDescent="0.25">
      <c r="A137" t="s">
        <v>1068</v>
      </c>
      <c r="B137" t="s">
        <v>1205</v>
      </c>
      <c r="C137" s="66">
        <v>3750000</v>
      </c>
      <c r="D137" s="64">
        <v>46308.62643935185</v>
      </c>
      <c r="E137" s="64">
        <v>46347.000138888892</v>
      </c>
      <c r="F137" s="40">
        <f t="shared" si="2"/>
        <v>46349.000138888892</v>
      </c>
      <c r="G137" s="27"/>
    </row>
    <row r="138" spans="1:7" ht="15.75" customHeight="1" x14ac:dyDescent="0.25">
      <c r="A138" t="s">
        <v>1070</v>
      </c>
      <c r="B138" t="s">
        <v>1206</v>
      </c>
      <c r="C138" s="66">
        <v>4500000</v>
      </c>
      <c r="D138" s="64">
        <v>46311.557666782406</v>
      </c>
      <c r="E138" s="64">
        <v>46347.000138888892</v>
      </c>
      <c r="F138" s="40">
        <f t="shared" si="2"/>
        <v>46349.000138888892</v>
      </c>
      <c r="G138" s="27"/>
    </row>
    <row r="139" spans="1:7" ht="15.75" customHeight="1" x14ac:dyDescent="0.25">
      <c r="A139" t="s">
        <v>1070</v>
      </c>
      <c r="B139" t="s">
        <v>1207</v>
      </c>
      <c r="C139" s="66">
        <v>4500000</v>
      </c>
      <c r="D139" s="64">
        <v>46311.557663078704</v>
      </c>
      <c r="E139" s="64">
        <v>46347.000138888892</v>
      </c>
      <c r="F139" s="40">
        <f t="shared" si="2"/>
        <v>46349.000138888892</v>
      </c>
      <c r="G139" s="27"/>
    </row>
    <row r="140" spans="1:7" ht="15.75" customHeight="1" x14ac:dyDescent="0.25">
      <c r="A140" t="s">
        <v>1070</v>
      </c>
      <c r="B140" t="s">
        <v>1208</v>
      </c>
      <c r="C140" s="66">
        <v>4500000</v>
      </c>
      <c r="D140" s="64">
        <v>46311.557686377317</v>
      </c>
      <c r="E140" s="64">
        <v>46347.000138888892</v>
      </c>
      <c r="F140" s="40">
        <f t="shared" si="2"/>
        <v>46349.000138888892</v>
      </c>
      <c r="G140" s="27"/>
    </row>
    <row r="141" spans="1:7" ht="15.75" customHeight="1" x14ac:dyDescent="0.25">
      <c r="A141" t="s">
        <v>1070</v>
      </c>
      <c r="B141" t="s">
        <v>1209</v>
      </c>
      <c r="C141" s="66">
        <v>4500000</v>
      </c>
      <c r="D141" s="64">
        <v>46311.557690358793</v>
      </c>
      <c r="E141" s="64">
        <v>46347.000138888892</v>
      </c>
      <c r="F141" s="40">
        <f t="shared" si="2"/>
        <v>46349.000138888892</v>
      </c>
      <c r="G141" s="27"/>
    </row>
    <row r="142" spans="1:7" ht="15.75" customHeight="1" x14ac:dyDescent="0.25">
      <c r="A142" t="s">
        <v>1068</v>
      </c>
      <c r="B142" t="s">
        <v>1210</v>
      </c>
      <c r="C142" s="66">
        <v>3750000</v>
      </c>
      <c r="D142" s="64">
        <v>46308.626442048611</v>
      </c>
      <c r="E142" s="64">
        <v>46348.000138888892</v>
      </c>
      <c r="F142" s="40">
        <f t="shared" si="2"/>
        <v>46350.000138888892</v>
      </c>
      <c r="G142" s="27"/>
    </row>
    <row r="143" spans="1:7" ht="15.75" customHeight="1" x14ac:dyDescent="0.25">
      <c r="A143" t="s">
        <v>1068</v>
      </c>
      <c r="B143" t="s">
        <v>1211</v>
      </c>
      <c r="C143" s="66">
        <v>3750000</v>
      </c>
      <c r="D143" s="64">
        <v>46308.626444409725</v>
      </c>
      <c r="E143" s="64">
        <v>46349.000138888892</v>
      </c>
      <c r="F143" s="40">
        <f t="shared" si="2"/>
        <v>46351.000138888892</v>
      </c>
      <c r="G143" s="27"/>
    </row>
    <row r="144" spans="1:7" ht="15.75" customHeight="1" x14ac:dyDescent="0.25">
      <c r="A144" t="s">
        <v>1068</v>
      </c>
      <c r="B144" t="s">
        <v>1212</v>
      </c>
      <c r="C144" s="66">
        <v>3750000</v>
      </c>
      <c r="D144" s="64">
        <v>46308.626447071758</v>
      </c>
      <c r="E144" s="64">
        <v>46350.000138888892</v>
      </c>
      <c r="F144" s="40">
        <f t="shared" si="2"/>
        <v>46352.000138888892</v>
      </c>
      <c r="G144" s="27"/>
    </row>
    <row r="145" spans="1:7" ht="15.75" customHeight="1" x14ac:dyDescent="0.25">
      <c r="A145" t="s">
        <v>1054</v>
      </c>
      <c r="B145" t="s">
        <v>1213</v>
      </c>
      <c r="C145" s="66">
        <v>4051000</v>
      </c>
      <c r="D145" s="64">
        <v>46310.562945057871</v>
      </c>
      <c r="E145" s="64">
        <v>46353.000138888892</v>
      </c>
      <c r="F145" s="40">
        <f t="shared" si="2"/>
        <v>46355.000138888892</v>
      </c>
      <c r="G145" s="27"/>
    </row>
    <row r="146" spans="1:7" ht="15.75" customHeight="1" x14ac:dyDescent="0.25">
      <c r="A146" t="s">
        <v>1054</v>
      </c>
      <c r="B146" t="s">
        <v>1214</v>
      </c>
      <c r="C146" s="66">
        <v>4000840</v>
      </c>
      <c r="D146" s="64">
        <v>46310.562932870373</v>
      </c>
      <c r="E146" s="64">
        <v>46353.000138888892</v>
      </c>
      <c r="F146" s="40">
        <f t="shared" si="2"/>
        <v>46355.000138888892</v>
      </c>
      <c r="G146" s="27"/>
    </row>
    <row r="147" spans="1:7" ht="15.75" customHeight="1" x14ac:dyDescent="0.25">
      <c r="A147" t="s">
        <v>1053</v>
      </c>
      <c r="B147" t="s">
        <v>1215</v>
      </c>
      <c r="C147" s="66">
        <v>47490240</v>
      </c>
      <c r="D147" s="64">
        <v>46311.45424846065</v>
      </c>
      <c r="E147" s="64">
        <v>46353.000138888892</v>
      </c>
      <c r="F147" s="40">
        <f t="shared" si="2"/>
        <v>46355.000138888892</v>
      </c>
      <c r="G147" s="27"/>
    </row>
    <row r="148" spans="1:7" ht="15.75" customHeight="1" x14ac:dyDescent="0.25">
      <c r="A148" t="s">
        <v>1054</v>
      </c>
      <c r="B148" t="s">
        <v>1216</v>
      </c>
      <c r="C148" s="66">
        <v>2800000</v>
      </c>
      <c r="D148" s="64">
        <v>46310.562932523149</v>
      </c>
      <c r="E148" s="64">
        <v>46353.000138888892</v>
      </c>
      <c r="F148" s="40">
        <f t="shared" si="2"/>
        <v>46355.000138888892</v>
      </c>
      <c r="G148" s="27"/>
    </row>
    <row r="149" spans="1:7" ht="15.75" customHeight="1" x14ac:dyDescent="0.25">
      <c r="A149" t="s">
        <v>1053</v>
      </c>
      <c r="B149" t="s">
        <v>1217</v>
      </c>
      <c r="C149" s="66">
        <v>47448800</v>
      </c>
      <c r="D149" s="64">
        <v>46309.495219444441</v>
      </c>
      <c r="E149" s="64">
        <v>46354.000138888892</v>
      </c>
      <c r="F149" s="40">
        <f t="shared" si="2"/>
        <v>46356.000138888892</v>
      </c>
      <c r="G149" s="27"/>
    </row>
    <row r="150" spans="1:7" ht="18" customHeight="1" x14ac:dyDescent="0.25">
      <c r="A150" s="41" t="s">
        <v>155</v>
      </c>
      <c r="B150" s="42"/>
      <c r="C150" s="43">
        <f>SUM(C4:C149)</f>
        <v>1092601099.29</v>
      </c>
      <c r="D150" s="42"/>
      <c r="E150" s="42"/>
      <c r="F150" s="40">
        <f t="shared" si="2"/>
        <v>2</v>
      </c>
      <c r="G150" s="42"/>
    </row>
    <row r="151" spans="1:7" ht="15.75" customHeight="1" x14ac:dyDescent="0.25">
      <c r="A151" s="44"/>
      <c r="B151" s="44"/>
      <c r="C151" s="45"/>
      <c r="D151" s="46"/>
      <c r="E151" s="46"/>
      <c r="F151" s="47" t="str">
        <f>IF(E151="","",E151+2)</f>
        <v/>
      </c>
      <c r="G151" s="44"/>
    </row>
    <row r="152" spans="1:7" ht="15.75" customHeight="1" x14ac:dyDescent="0.25">
      <c r="A152" s="44"/>
      <c r="B152" s="44"/>
      <c r="C152" s="45"/>
      <c r="D152" s="46"/>
      <c r="E152" s="46"/>
      <c r="F152" s="47" t="str">
        <f>IF(E152="","",E152+2)</f>
        <v/>
      </c>
      <c r="G152" s="44"/>
    </row>
    <row r="153" spans="1:7" ht="15.75" customHeight="1" x14ac:dyDescent="0.25">
      <c r="A153" s="44"/>
      <c r="B153" s="44"/>
      <c r="C153" s="45"/>
      <c r="D153" s="46"/>
      <c r="E153" s="46"/>
      <c r="F153" s="47" t="str">
        <f>IF(E153="","",E153+2)</f>
        <v/>
      </c>
      <c r="G153" s="44"/>
    </row>
    <row r="154" spans="1:7" ht="15.75" customHeight="1" x14ac:dyDescent="0.25">
      <c r="A154" s="44"/>
      <c r="B154" s="44"/>
      <c r="C154" s="45"/>
      <c r="D154" s="46"/>
      <c r="E154" s="46"/>
      <c r="F154" s="47" t="str">
        <f>IF(E154="","",E154+2)</f>
        <v/>
      </c>
      <c r="G154" s="44"/>
    </row>
    <row r="155" spans="1:7" ht="15.75" customHeight="1" x14ac:dyDescent="0.25">
      <c r="A155" s="44"/>
      <c r="B155" s="44"/>
      <c r="C155" s="45"/>
      <c r="D155" s="46"/>
      <c r="E155" s="46"/>
      <c r="F155" s="47" t="str">
        <f>IF(E155="","",E155+2)</f>
        <v/>
      </c>
      <c r="G155" s="44"/>
    </row>
    <row r="157" spans="1:7" ht="15" customHeight="1" x14ac:dyDescent="0.25">
      <c r="A157" s="71" t="s">
        <v>156</v>
      </c>
      <c r="B157" s="71"/>
      <c r="C157" s="71"/>
      <c r="D157" s="71"/>
      <c r="E157" s="71"/>
      <c r="F157" s="71"/>
      <c r="G157" s="71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3:3" x14ac:dyDescent="0.25">
      <c r="C513" s="65"/>
    </row>
    <row r="514" spans="3:3" x14ac:dyDescent="0.25">
      <c r="C514" s="65"/>
    </row>
    <row r="515" spans="3:3" x14ac:dyDescent="0.25">
      <c r="C515" s="65"/>
    </row>
    <row r="516" spans="3:3" x14ac:dyDescent="0.25">
      <c r="C516" s="65"/>
    </row>
    <row r="517" spans="3:3" x14ac:dyDescent="0.25">
      <c r="C517" s="65"/>
    </row>
    <row r="518" spans="3:3" x14ac:dyDescent="0.25">
      <c r="C518" s="65"/>
    </row>
    <row r="519" spans="3:3" x14ac:dyDescent="0.25">
      <c r="C519" s="65"/>
    </row>
    <row r="520" spans="3:3" x14ac:dyDescent="0.25">
      <c r="C520" s="65"/>
    </row>
    <row r="521" spans="3:3" x14ac:dyDescent="0.25">
      <c r="C521" s="65"/>
    </row>
    <row r="522" spans="3:3" x14ac:dyDescent="0.25">
      <c r="C522" s="65"/>
    </row>
    <row r="523" spans="3:3" x14ac:dyDescent="0.25">
      <c r="C523" s="65"/>
    </row>
    <row r="524" spans="3:3" x14ac:dyDescent="0.25">
      <c r="C524" s="65"/>
    </row>
    <row r="525" spans="3:3" x14ac:dyDescent="0.25">
      <c r="C525" s="65"/>
    </row>
    <row r="526" spans="3:3" x14ac:dyDescent="0.25">
      <c r="C526" s="65"/>
    </row>
    <row r="527" spans="3:3" x14ac:dyDescent="0.25">
      <c r="C527" s="65"/>
    </row>
    <row r="528" spans="3:3" x14ac:dyDescent="0.25">
      <c r="C528" s="65"/>
    </row>
    <row r="529" spans="3:3" x14ac:dyDescent="0.25">
      <c r="C529" s="65"/>
    </row>
    <row r="530" spans="3:3" x14ac:dyDescent="0.25">
      <c r="C530" s="65"/>
    </row>
    <row r="531" spans="3:3" x14ac:dyDescent="0.25">
      <c r="C531" s="65"/>
    </row>
    <row r="532" spans="3:3" x14ac:dyDescent="0.25">
      <c r="C532" s="65"/>
    </row>
    <row r="533" spans="3:3" x14ac:dyDescent="0.25">
      <c r="C533" s="65"/>
    </row>
    <row r="534" spans="3:3" x14ac:dyDescent="0.25">
      <c r="C534" s="65"/>
    </row>
    <row r="535" spans="3:3" x14ac:dyDescent="0.25">
      <c r="C535" s="65"/>
    </row>
    <row r="536" spans="3:3" x14ac:dyDescent="0.25">
      <c r="C536" s="65"/>
    </row>
    <row r="537" spans="3:3" x14ac:dyDescent="0.25">
      <c r="C537" s="65"/>
    </row>
    <row r="538" spans="3:3" x14ac:dyDescent="0.25">
      <c r="C538" s="65"/>
    </row>
    <row r="539" spans="3:3" x14ac:dyDescent="0.25">
      <c r="C539" s="65"/>
    </row>
    <row r="540" spans="3:3" x14ac:dyDescent="0.25">
      <c r="C540" s="65"/>
    </row>
    <row r="541" spans="3:3" x14ac:dyDescent="0.25">
      <c r="C541" s="65"/>
    </row>
    <row r="542" spans="3:3" x14ac:dyDescent="0.25">
      <c r="C542" s="65"/>
    </row>
    <row r="543" spans="3:3" x14ac:dyDescent="0.25">
      <c r="C543" s="65"/>
    </row>
    <row r="544" spans="3:3" x14ac:dyDescent="0.25">
      <c r="C544" s="65"/>
    </row>
    <row r="545" spans="3:3" x14ac:dyDescent="0.25">
      <c r="C545" s="65"/>
    </row>
    <row r="546" spans="3:3" x14ac:dyDescent="0.25">
      <c r="C546" s="65"/>
    </row>
    <row r="547" spans="3:3" x14ac:dyDescent="0.25">
      <c r="C547" s="65"/>
    </row>
    <row r="548" spans="3:3" x14ac:dyDescent="0.25">
      <c r="C548" s="65"/>
    </row>
    <row r="549" spans="3:3" x14ac:dyDescent="0.25">
      <c r="C549" s="65"/>
    </row>
    <row r="550" spans="3:3" x14ac:dyDescent="0.25">
      <c r="C550" s="65"/>
    </row>
    <row r="551" spans="3:3" x14ac:dyDescent="0.25">
      <c r="C551" s="65"/>
    </row>
    <row r="552" spans="3:3" x14ac:dyDescent="0.25">
      <c r="C552" s="65"/>
    </row>
    <row r="553" spans="3:3" x14ac:dyDescent="0.25">
      <c r="C553" s="65"/>
    </row>
    <row r="554" spans="3:3" x14ac:dyDescent="0.25">
      <c r="C554" s="65"/>
    </row>
    <row r="555" spans="3:3" x14ac:dyDescent="0.25">
      <c r="C555" s="65"/>
    </row>
    <row r="556" spans="3:3" x14ac:dyDescent="0.25">
      <c r="C556" s="65"/>
    </row>
    <row r="557" spans="3:3" x14ac:dyDescent="0.25">
      <c r="C557" s="65"/>
    </row>
    <row r="558" spans="3:3" x14ac:dyDescent="0.25">
      <c r="C558" s="65"/>
    </row>
    <row r="559" spans="3:3" x14ac:dyDescent="0.25">
      <c r="C559" s="65"/>
    </row>
    <row r="560" spans="3:3" x14ac:dyDescent="0.25">
      <c r="C560" s="65"/>
    </row>
    <row r="561" spans="3:3" x14ac:dyDescent="0.25">
      <c r="C561" s="65"/>
    </row>
    <row r="562" spans="3:3" x14ac:dyDescent="0.25">
      <c r="C562" s="65"/>
    </row>
    <row r="563" spans="3:3" x14ac:dyDescent="0.25">
      <c r="C563" s="65"/>
    </row>
    <row r="564" spans="3:3" x14ac:dyDescent="0.25">
      <c r="C564" s="65"/>
    </row>
    <row r="565" spans="3:3" x14ac:dyDescent="0.25">
      <c r="C565" s="65"/>
    </row>
    <row r="566" spans="3:3" x14ac:dyDescent="0.25">
      <c r="C566" s="65"/>
    </row>
    <row r="567" spans="3:3" x14ac:dyDescent="0.25">
      <c r="C567" s="65"/>
    </row>
    <row r="568" spans="3:3" x14ac:dyDescent="0.25">
      <c r="C568" s="65"/>
    </row>
    <row r="569" spans="3:3" x14ac:dyDescent="0.25">
      <c r="C569" s="65"/>
    </row>
    <row r="570" spans="3:3" x14ac:dyDescent="0.25">
      <c r="C570" s="65"/>
    </row>
    <row r="571" spans="3:3" x14ac:dyDescent="0.25">
      <c r="C571" s="65"/>
    </row>
    <row r="572" spans="3:3" x14ac:dyDescent="0.25">
      <c r="C572" s="65"/>
    </row>
    <row r="573" spans="3:3" x14ac:dyDescent="0.25">
      <c r="C573" s="65"/>
    </row>
    <row r="574" spans="3:3" x14ac:dyDescent="0.25">
      <c r="C574" s="65"/>
    </row>
    <row r="575" spans="3:3" x14ac:dyDescent="0.25">
      <c r="C575" s="65"/>
    </row>
    <row r="576" spans="3:3" x14ac:dyDescent="0.25">
      <c r="C576" s="65"/>
    </row>
    <row r="577" spans="3:3" x14ac:dyDescent="0.25">
      <c r="C577" s="65"/>
    </row>
    <row r="578" spans="3:3" x14ac:dyDescent="0.25">
      <c r="C578" s="65"/>
    </row>
    <row r="579" spans="3:3" x14ac:dyDescent="0.25">
      <c r="C579" s="65"/>
    </row>
    <row r="580" spans="3:3" x14ac:dyDescent="0.25">
      <c r="C580" s="65"/>
    </row>
    <row r="581" spans="3:3" x14ac:dyDescent="0.25">
      <c r="C581" s="65"/>
    </row>
    <row r="582" spans="3:3" x14ac:dyDescent="0.25">
      <c r="C582" s="65"/>
    </row>
    <row r="583" spans="3:3" x14ac:dyDescent="0.25">
      <c r="C583" s="65"/>
    </row>
    <row r="584" spans="3:3" x14ac:dyDescent="0.25">
      <c r="C584" s="65"/>
    </row>
    <row r="585" spans="3:3" x14ac:dyDescent="0.25">
      <c r="C585" s="65"/>
    </row>
    <row r="586" spans="3:3" x14ac:dyDescent="0.25">
      <c r="C586" s="65"/>
    </row>
    <row r="587" spans="3:3" x14ac:dyDescent="0.25">
      <c r="C587" s="65"/>
    </row>
    <row r="588" spans="3:3" x14ac:dyDescent="0.25">
      <c r="C588" s="65"/>
    </row>
    <row r="589" spans="3:3" x14ac:dyDescent="0.25">
      <c r="C589" s="65"/>
    </row>
    <row r="590" spans="3:3" x14ac:dyDescent="0.25">
      <c r="C590" s="65"/>
    </row>
    <row r="591" spans="3:3" x14ac:dyDescent="0.25">
      <c r="C591" s="65"/>
    </row>
    <row r="592" spans="3:3" x14ac:dyDescent="0.25">
      <c r="C592" s="65"/>
    </row>
    <row r="593" spans="3:3" x14ac:dyDescent="0.25">
      <c r="C593" s="65"/>
    </row>
    <row r="594" spans="3:3" x14ac:dyDescent="0.25">
      <c r="C594" s="65"/>
    </row>
    <row r="595" spans="3:3" x14ac:dyDescent="0.25">
      <c r="C595" s="65"/>
    </row>
    <row r="596" spans="3:3" x14ac:dyDescent="0.25">
      <c r="C596" s="65"/>
    </row>
    <row r="597" spans="3:3" x14ac:dyDescent="0.25">
      <c r="C597" s="65"/>
    </row>
    <row r="598" spans="3:3" x14ac:dyDescent="0.25">
      <c r="C598" s="65"/>
    </row>
    <row r="599" spans="3:3" x14ac:dyDescent="0.25">
      <c r="C599" s="65"/>
    </row>
    <row r="600" spans="3:3" x14ac:dyDescent="0.25">
      <c r="C600" s="65"/>
    </row>
    <row r="601" spans="3:3" x14ac:dyDescent="0.25">
      <c r="C601" s="65"/>
    </row>
    <row r="602" spans="3:3" x14ac:dyDescent="0.25">
      <c r="C602" s="65"/>
    </row>
    <row r="603" spans="3:3" x14ac:dyDescent="0.25">
      <c r="C603" s="65"/>
    </row>
    <row r="604" spans="3:3" x14ac:dyDescent="0.25">
      <c r="C604" s="65"/>
    </row>
    <row r="605" spans="3:3" x14ac:dyDescent="0.25">
      <c r="C605" s="65"/>
    </row>
    <row r="606" spans="3:3" x14ac:dyDescent="0.25">
      <c r="C606" s="65"/>
    </row>
    <row r="607" spans="3:3" x14ac:dyDescent="0.25">
      <c r="C607" s="65"/>
    </row>
    <row r="608" spans="3:3" x14ac:dyDescent="0.25">
      <c r="C608" s="65"/>
    </row>
    <row r="609" spans="1:3" x14ac:dyDescent="0.25">
      <c r="C609" s="65"/>
    </row>
    <row r="610" spans="1:3" x14ac:dyDescent="0.25">
      <c r="C610" s="65"/>
    </row>
    <row r="611" spans="1:3" x14ac:dyDescent="0.25">
      <c r="C611" s="65"/>
    </row>
    <row r="612" spans="1:3" x14ac:dyDescent="0.25">
      <c r="C612" s="65"/>
    </row>
    <row r="613" spans="1:3" x14ac:dyDescent="0.25">
      <c r="C613" s="65"/>
    </row>
    <row r="614" spans="1:3" x14ac:dyDescent="0.25">
      <c r="C614" s="65"/>
    </row>
    <row r="615" spans="1:3" x14ac:dyDescent="0.25">
      <c r="C615" s="65"/>
    </row>
    <row r="616" spans="1:3" x14ac:dyDescent="0.25">
      <c r="C616" s="65"/>
    </row>
    <row r="619" spans="1:3" x14ac:dyDescent="0.25">
      <c r="A619" t="s">
        <v>927</v>
      </c>
    </row>
    <row r="620" spans="1:3" x14ac:dyDescent="0.25">
      <c r="A620" t="s">
        <v>928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532"/>
  <sheetViews>
    <sheetView showGridLines="0" zoomScaleNormal="100" workbookViewId="0">
      <pane ySplit="4" topLeftCell="A5" activePane="bottomLeft" state="frozen"/>
      <selection pane="bottomLeft" activeCell="E295" sqref="E295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2" t="s">
        <v>157</v>
      </c>
      <c r="B1" s="72"/>
      <c r="C1" s="72"/>
      <c r="D1" s="72"/>
      <c r="E1" s="72"/>
      <c r="F1" s="72"/>
    </row>
    <row r="2" spans="1:6" ht="15.75" customHeight="1" x14ac:dyDescent="0.25">
      <c r="A2" s="82" t="s">
        <v>158</v>
      </c>
      <c r="B2" s="82"/>
      <c r="C2" s="82"/>
      <c r="D2" s="82"/>
      <c r="E2" s="82"/>
      <c r="F2" s="82"/>
    </row>
    <row r="3" spans="1:6" ht="19.5" customHeight="1" x14ac:dyDescent="0.25">
      <c r="A3" s="41" t="s">
        <v>159</v>
      </c>
      <c r="B3" s="48">
        <v>46314</v>
      </c>
      <c r="C3" s="41" t="s">
        <v>160</v>
      </c>
      <c r="D3" s="49">
        <v>1520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1218</v>
      </c>
      <c r="C5">
        <v>2736007.57</v>
      </c>
      <c r="D5" s="24">
        <f>+C5/$D$3</f>
        <v>1800.0049802631577</v>
      </c>
      <c r="E5" s="50">
        <f t="shared" ref="E5:E68" si="0">+D5/$D$296</f>
        <v>4.4242310685421184E-4</v>
      </c>
      <c r="F5" s="51"/>
    </row>
    <row r="6" spans="1:6" ht="15.75" customHeight="1" x14ac:dyDescent="0.25">
      <c r="A6" t="s">
        <v>1219</v>
      </c>
      <c r="C6">
        <v>69169.649999999994</v>
      </c>
      <c r="D6" s="24">
        <f t="shared" ref="D6:D57" si="1">+C6/$D$3</f>
        <v>45.506348684210522</v>
      </c>
      <c r="E6" s="50">
        <f t="shared" si="0"/>
        <v>1.1185002479002071E-5</v>
      </c>
      <c r="F6" s="51"/>
    </row>
    <row r="7" spans="1:6" ht="15.75" customHeight="1" x14ac:dyDescent="0.25">
      <c r="A7" t="s">
        <v>183</v>
      </c>
      <c r="C7">
        <v>15201014.77</v>
      </c>
      <c r="D7" s="24">
        <f t="shared" si="1"/>
        <v>10000.667611842106</v>
      </c>
      <c r="E7" s="50">
        <f t="shared" si="0"/>
        <v>2.4580634409137117E-3</v>
      </c>
      <c r="F7" s="51"/>
    </row>
    <row r="8" spans="1:6" ht="15.75" customHeight="1" x14ac:dyDescent="0.25">
      <c r="A8" t="s">
        <v>1035</v>
      </c>
      <c r="C8">
        <v>497341.47</v>
      </c>
      <c r="D8" s="24">
        <f t="shared" si="1"/>
        <v>327.19833552631576</v>
      </c>
      <c r="E8" s="50">
        <f t="shared" si="0"/>
        <v>8.0422057576705024E-5</v>
      </c>
      <c r="F8" s="51"/>
    </row>
    <row r="9" spans="1:6" ht="15.75" customHeight="1" x14ac:dyDescent="0.25">
      <c r="A9" t="s">
        <v>836</v>
      </c>
      <c r="C9">
        <v>899999</v>
      </c>
      <c r="D9" s="24">
        <f t="shared" si="1"/>
        <v>592.10460526315785</v>
      </c>
      <c r="E9" s="50">
        <f t="shared" si="0"/>
        <v>1.4553335236045558E-4</v>
      </c>
      <c r="F9" s="51"/>
    </row>
    <row r="10" spans="1:6" ht="15.75" customHeight="1" x14ac:dyDescent="0.25">
      <c r="A10" t="s">
        <v>1220</v>
      </c>
      <c r="C10">
        <v>1021542.5</v>
      </c>
      <c r="D10" s="24">
        <f t="shared" si="1"/>
        <v>672.06743421052636</v>
      </c>
      <c r="E10" s="50">
        <f t="shared" si="0"/>
        <v>1.6518741087899065E-4</v>
      </c>
      <c r="F10" s="51"/>
    </row>
    <row r="11" spans="1:6" ht="15.75" customHeight="1" x14ac:dyDescent="0.25">
      <c r="A11" t="s">
        <v>930</v>
      </c>
      <c r="C11">
        <v>8509292.3000000007</v>
      </c>
      <c r="D11" s="24">
        <f t="shared" si="1"/>
        <v>5598.2186184210532</v>
      </c>
      <c r="E11" s="50">
        <f t="shared" si="0"/>
        <v>1.3759857895775569E-3</v>
      </c>
      <c r="F11" s="51"/>
    </row>
    <row r="12" spans="1:6" ht="15.75" customHeight="1" x14ac:dyDescent="0.25">
      <c r="A12" t="s">
        <v>191</v>
      </c>
      <c r="C12">
        <v>8345753.0899999999</v>
      </c>
      <c r="D12" s="24">
        <f t="shared" si="1"/>
        <v>5490.6270328947367</v>
      </c>
      <c r="E12" s="50">
        <f t="shared" si="0"/>
        <v>1.3495408607791018E-3</v>
      </c>
      <c r="F12" s="51"/>
    </row>
    <row r="13" spans="1:6" ht="15.75" customHeight="1" x14ac:dyDescent="0.25">
      <c r="A13" t="s">
        <v>713</v>
      </c>
      <c r="C13">
        <v>17959737.699999999</v>
      </c>
      <c r="D13" s="24">
        <f t="shared" si="1"/>
        <v>11815.616907894737</v>
      </c>
      <c r="E13" s="50">
        <f t="shared" si="0"/>
        <v>2.9041597101724091E-3</v>
      </c>
      <c r="F13" s="51"/>
    </row>
    <row r="14" spans="1:6" ht="15.75" customHeight="1" x14ac:dyDescent="0.25">
      <c r="A14" t="s">
        <v>801</v>
      </c>
      <c r="C14">
        <v>4065600</v>
      </c>
      <c r="D14" s="24">
        <f t="shared" si="1"/>
        <v>2674.7368421052633</v>
      </c>
      <c r="E14" s="50">
        <f t="shared" si="0"/>
        <v>6.5742339420006937E-4</v>
      </c>
      <c r="F14" s="51"/>
    </row>
    <row r="15" spans="1:6" ht="15.75" customHeight="1" x14ac:dyDescent="0.25">
      <c r="A15" t="s">
        <v>486</v>
      </c>
      <c r="C15">
        <v>1019788</v>
      </c>
      <c r="D15" s="24">
        <f t="shared" si="1"/>
        <v>670.91315789473686</v>
      </c>
      <c r="E15" s="50">
        <f t="shared" si="0"/>
        <v>1.649037013785174E-4</v>
      </c>
      <c r="F15" s="51"/>
    </row>
    <row r="16" spans="1:6" ht="15.75" customHeight="1" x14ac:dyDescent="0.25">
      <c r="A16" t="s">
        <v>838</v>
      </c>
      <c r="C16">
        <v>199650</v>
      </c>
      <c r="D16" s="24">
        <f t="shared" si="1"/>
        <v>131.34868421052633</v>
      </c>
      <c r="E16" s="50">
        <f t="shared" si="0"/>
        <v>3.2284184536610552E-5</v>
      </c>
      <c r="F16" s="51"/>
    </row>
    <row r="17" spans="1:6" ht="15.75" customHeight="1" x14ac:dyDescent="0.25">
      <c r="A17" t="s">
        <v>1036</v>
      </c>
      <c r="C17">
        <v>13078095.060000001</v>
      </c>
      <c r="D17" s="24">
        <f t="shared" si="1"/>
        <v>8604.0099078947369</v>
      </c>
      <c r="E17" s="50">
        <f t="shared" si="0"/>
        <v>2.1147790348328313E-3</v>
      </c>
      <c r="F17" s="51"/>
    </row>
    <row r="18" spans="1:6" ht="15.75" customHeight="1" x14ac:dyDescent="0.25">
      <c r="A18" t="s">
        <v>931</v>
      </c>
      <c r="C18">
        <v>5051000</v>
      </c>
      <c r="D18" s="24">
        <f t="shared" si="1"/>
        <v>3323.0263157894738</v>
      </c>
      <c r="E18" s="50">
        <f t="shared" si="0"/>
        <v>8.1676642171009211E-4</v>
      </c>
      <c r="F18" s="51"/>
    </row>
    <row r="19" spans="1:6" ht="15.75" customHeight="1" x14ac:dyDescent="0.25">
      <c r="A19" t="s">
        <v>193</v>
      </c>
      <c r="C19">
        <v>1505880.73</v>
      </c>
      <c r="D19" s="24">
        <f t="shared" si="1"/>
        <v>990.71100657894738</v>
      </c>
      <c r="E19" s="50">
        <f t="shared" si="0"/>
        <v>2.4350679377633762E-4</v>
      </c>
      <c r="F19" s="51"/>
    </row>
    <row r="20" spans="1:6" ht="15.75" customHeight="1" x14ac:dyDescent="0.25">
      <c r="A20" t="s">
        <v>1221</v>
      </c>
      <c r="C20">
        <v>140000</v>
      </c>
      <c r="D20" s="24">
        <f t="shared" si="1"/>
        <v>92.10526315789474</v>
      </c>
      <c r="E20" s="50">
        <f t="shared" si="0"/>
        <v>2.2638546632233794E-5</v>
      </c>
      <c r="F20" s="51"/>
    </row>
    <row r="21" spans="1:6" ht="15.75" customHeight="1" x14ac:dyDescent="0.25">
      <c r="A21" t="s">
        <v>195</v>
      </c>
      <c r="C21">
        <v>4210841.9800000004</v>
      </c>
      <c r="D21" s="24">
        <f t="shared" si="1"/>
        <v>2770.2907763157896</v>
      </c>
      <c r="E21" s="50">
        <f t="shared" si="0"/>
        <v>6.8090958946569777E-4</v>
      </c>
      <c r="F21" s="51"/>
    </row>
    <row r="22" spans="1:6" ht="15.75" customHeight="1" x14ac:dyDescent="0.25">
      <c r="A22" t="s">
        <v>842</v>
      </c>
      <c r="C22">
        <v>166980</v>
      </c>
      <c r="D22" s="24">
        <f t="shared" si="1"/>
        <v>109.85526315789474</v>
      </c>
      <c r="E22" s="50">
        <f t="shared" si="0"/>
        <v>2.7001317976074278E-5</v>
      </c>
      <c r="F22" s="51"/>
    </row>
    <row r="23" spans="1:6" ht="15.75" customHeight="1" x14ac:dyDescent="0.25">
      <c r="A23" t="s">
        <v>1222</v>
      </c>
      <c r="C23">
        <v>222775.01</v>
      </c>
      <c r="D23" s="24">
        <f t="shared" si="1"/>
        <v>146.56250657894736</v>
      </c>
      <c r="E23" s="50">
        <f t="shared" si="0"/>
        <v>3.6023588945581069E-5</v>
      </c>
      <c r="F23" s="51"/>
    </row>
    <row r="24" spans="1:6" ht="15.75" customHeight="1" x14ac:dyDescent="0.25">
      <c r="A24" t="s">
        <v>488</v>
      </c>
      <c r="C24">
        <v>371470</v>
      </c>
      <c r="D24" s="24">
        <f t="shared" si="1"/>
        <v>244.38815789473685</v>
      </c>
      <c r="E24" s="50">
        <f t="shared" si="0"/>
        <v>6.0068149410542052E-5</v>
      </c>
      <c r="F24" s="51"/>
    </row>
    <row r="25" spans="1:6" ht="15.75" customHeight="1" x14ac:dyDescent="0.25">
      <c r="A25" t="s">
        <v>844</v>
      </c>
      <c r="C25">
        <v>16248700</v>
      </c>
      <c r="D25" s="24">
        <f t="shared" si="1"/>
        <v>10689.934210526315</v>
      </c>
      <c r="E25" s="50">
        <f t="shared" si="0"/>
        <v>2.6274782333084085E-3</v>
      </c>
      <c r="F25" s="51"/>
    </row>
    <row r="26" spans="1:6" ht="15.75" customHeight="1" x14ac:dyDescent="0.25">
      <c r="A26" t="s">
        <v>199</v>
      </c>
      <c r="C26">
        <v>37139250.880000003</v>
      </c>
      <c r="D26" s="24">
        <f t="shared" si="1"/>
        <v>24433.717684210529</v>
      </c>
      <c r="E26" s="50">
        <f t="shared" si="0"/>
        <v>6.0055618780936433E-3</v>
      </c>
      <c r="F26" s="51"/>
    </row>
    <row r="27" spans="1:6" ht="15.75" customHeight="1" x14ac:dyDescent="0.25">
      <c r="A27" t="s">
        <v>723</v>
      </c>
      <c r="C27">
        <v>2113195.98</v>
      </c>
      <c r="D27" s="24">
        <f t="shared" si="1"/>
        <v>1390.2605131578948</v>
      </c>
      <c r="E27" s="50">
        <f t="shared" si="0"/>
        <v>3.4171204097342136E-4</v>
      </c>
      <c r="F27" s="51"/>
    </row>
    <row r="28" spans="1:6" ht="15.75" customHeight="1" x14ac:dyDescent="0.25">
      <c r="A28" t="s">
        <v>932</v>
      </c>
      <c r="C28">
        <v>330000</v>
      </c>
      <c r="D28" s="24">
        <f t="shared" si="1"/>
        <v>217.10526315789474</v>
      </c>
      <c r="E28" s="50">
        <f t="shared" si="0"/>
        <v>5.336228849026537E-5</v>
      </c>
      <c r="F28" s="51"/>
    </row>
    <row r="29" spans="1:6" ht="15.75" customHeight="1" x14ac:dyDescent="0.25">
      <c r="A29" t="s">
        <v>803</v>
      </c>
      <c r="C29">
        <v>299928.76</v>
      </c>
      <c r="D29" s="24">
        <f t="shared" si="1"/>
        <v>197.32155263157895</v>
      </c>
      <c r="E29" s="50">
        <f t="shared" si="0"/>
        <v>4.8499651568628984E-5</v>
      </c>
      <c r="F29" s="51"/>
    </row>
    <row r="30" spans="1:6" ht="15.75" customHeight="1" x14ac:dyDescent="0.25">
      <c r="A30" t="s">
        <v>725</v>
      </c>
      <c r="C30">
        <v>141000</v>
      </c>
      <c r="D30" s="24">
        <f t="shared" si="1"/>
        <v>92.763157894736835</v>
      </c>
      <c r="E30" s="50">
        <f t="shared" si="0"/>
        <v>2.2800250536749748E-5</v>
      </c>
      <c r="F30" s="51"/>
    </row>
    <row r="31" spans="1:6" ht="15.75" customHeight="1" x14ac:dyDescent="0.25">
      <c r="A31" t="s">
        <v>850</v>
      </c>
      <c r="C31">
        <v>1149036.6599999999</v>
      </c>
      <c r="D31" s="24">
        <f t="shared" si="1"/>
        <v>755.94517105263151</v>
      </c>
      <c r="E31" s="50">
        <f t="shared" si="0"/>
        <v>1.858037143539726E-4</v>
      </c>
      <c r="F31" s="51"/>
    </row>
    <row r="32" spans="1:6" ht="15.75" customHeight="1" x14ac:dyDescent="0.25">
      <c r="A32" t="s">
        <v>727</v>
      </c>
      <c r="C32">
        <v>1855038.99</v>
      </c>
      <c r="D32" s="24">
        <f t="shared" si="1"/>
        <v>1220.4203881578946</v>
      </c>
      <c r="E32" s="50">
        <f t="shared" si="0"/>
        <v>2.9996704771233484E-4</v>
      </c>
      <c r="F32" s="51"/>
    </row>
    <row r="33" spans="1:6" ht="15.75" customHeight="1" x14ac:dyDescent="0.25">
      <c r="A33" t="s">
        <v>1225</v>
      </c>
      <c r="C33">
        <v>609999.74</v>
      </c>
      <c r="D33" s="24">
        <f t="shared" si="1"/>
        <v>401.31561842105265</v>
      </c>
      <c r="E33" s="50">
        <f t="shared" si="0"/>
        <v>9.8639339711717783E-5</v>
      </c>
      <c r="F33" s="51"/>
    </row>
    <row r="34" spans="1:6" ht="15.75" customHeight="1" x14ac:dyDescent="0.25">
      <c r="A34" t="s">
        <v>1034</v>
      </c>
      <c r="C34">
        <v>1706862.55</v>
      </c>
      <c r="D34" s="24">
        <f t="shared" si="1"/>
        <v>1122.9358881578949</v>
      </c>
      <c r="E34" s="50">
        <f t="shared" si="0"/>
        <v>2.7600633880706061E-4</v>
      </c>
      <c r="F34" s="51"/>
    </row>
    <row r="35" spans="1:6" ht="15.75" customHeight="1" x14ac:dyDescent="0.25">
      <c r="A35" t="s">
        <v>568</v>
      </c>
      <c r="C35">
        <v>3181056.12</v>
      </c>
      <c r="D35" s="24">
        <f t="shared" si="1"/>
        <v>2092.8000789473685</v>
      </c>
      <c r="E35" s="50">
        <f t="shared" si="0"/>
        <v>5.1438919508837641E-4</v>
      </c>
      <c r="F35" s="51"/>
    </row>
    <row r="36" spans="1:6" ht="15.75" customHeight="1" x14ac:dyDescent="0.25">
      <c r="A36" t="s">
        <v>203</v>
      </c>
      <c r="C36">
        <v>6882722</v>
      </c>
      <c r="D36" s="24">
        <f t="shared" si="1"/>
        <v>4528.1065789473687</v>
      </c>
      <c r="E36" s="50">
        <f t="shared" si="0"/>
        <v>1.1129630210978674E-3</v>
      </c>
      <c r="F36" s="51"/>
    </row>
    <row r="37" spans="1:6" ht="15.75" customHeight="1" x14ac:dyDescent="0.25">
      <c r="A37" t="s">
        <v>205</v>
      </c>
      <c r="C37">
        <v>1981433.44</v>
      </c>
      <c r="D37" s="24">
        <f t="shared" si="1"/>
        <v>1303.5746315789472</v>
      </c>
      <c r="E37" s="50">
        <f t="shared" si="0"/>
        <v>3.2040552378648153E-4</v>
      </c>
      <c r="F37" s="51"/>
    </row>
    <row r="38" spans="1:6" ht="15.75" customHeight="1" x14ac:dyDescent="0.25">
      <c r="A38" t="s">
        <v>1226</v>
      </c>
      <c r="C38">
        <v>283714.05</v>
      </c>
      <c r="D38" s="24">
        <f t="shared" si="1"/>
        <v>186.65398026315788</v>
      </c>
      <c r="E38" s="50">
        <f t="shared" si="0"/>
        <v>4.5877669651035064E-5</v>
      </c>
      <c r="F38" s="51"/>
    </row>
    <row r="39" spans="1:6" ht="15.75" customHeight="1" x14ac:dyDescent="0.25">
      <c r="A39" t="s">
        <v>1227</v>
      </c>
      <c r="C39">
        <v>65761249.399999999</v>
      </c>
      <c r="D39" s="24">
        <f t="shared" si="1"/>
        <v>43263.979868421055</v>
      </c>
      <c r="E39" s="50">
        <f t="shared" si="0"/>
        <v>1.0633850793827547E-2</v>
      </c>
      <c r="F39" s="51"/>
    </row>
    <row r="40" spans="1:6" ht="15.75" customHeight="1" x14ac:dyDescent="0.25">
      <c r="A40" t="s">
        <v>1228</v>
      </c>
      <c r="C40">
        <v>740000</v>
      </c>
      <c r="D40" s="24">
        <f t="shared" si="1"/>
        <v>486.84210526315792</v>
      </c>
      <c r="E40" s="50">
        <f t="shared" si="0"/>
        <v>1.1966088934180719E-4</v>
      </c>
      <c r="F40" s="51"/>
    </row>
    <row r="41" spans="1:6" ht="15.75" customHeight="1" x14ac:dyDescent="0.25">
      <c r="A41" t="s">
        <v>490</v>
      </c>
      <c r="C41">
        <v>304703.83</v>
      </c>
      <c r="D41" s="24">
        <f t="shared" si="1"/>
        <v>200.4630460526316</v>
      </c>
      <c r="E41" s="50">
        <f t="shared" si="0"/>
        <v>4.9271799031965989E-5</v>
      </c>
      <c r="F41" s="51"/>
    </row>
    <row r="42" spans="1:6" ht="15.75" customHeight="1" x14ac:dyDescent="0.25">
      <c r="A42" t="s">
        <v>933</v>
      </c>
      <c r="C42">
        <v>7673390.6299999999</v>
      </c>
      <c r="D42" s="24">
        <f t="shared" si="1"/>
        <v>5048.2833092105266</v>
      </c>
      <c r="E42" s="50">
        <f t="shared" si="0"/>
        <v>1.240817225747149E-3</v>
      </c>
      <c r="F42" s="51"/>
    </row>
    <row r="43" spans="1:6" ht="15.75" customHeight="1" x14ac:dyDescent="0.25">
      <c r="A43" t="s">
        <v>209</v>
      </c>
      <c r="C43">
        <v>29098804.289999999</v>
      </c>
      <c r="D43" s="24">
        <f t="shared" si="1"/>
        <v>19143.950190789474</v>
      </c>
      <c r="E43" s="50">
        <f t="shared" si="0"/>
        <v>4.7053902704386414E-3</v>
      </c>
      <c r="F43" s="51"/>
    </row>
    <row r="44" spans="1:6" ht="15.75" customHeight="1" x14ac:dyDescent="0.25">
      <c r="A44" t="s">
        <v>852</v>
      </c>
      <c r="C44">
        <v>3255255.99</v>
      </c>
      <c r="D44" s="24">
        <f t="shared" si="1"/>
        <v>2141.6157828947371</v>
      </c>
      <c r="E44" s="50">
        <f t="shared" si="0"/>
        <v>5.2638760378195283E-4</v>
      </c>
      <c r="F44" s="51"/>
    </row>
    <row r="45" spans="1:6" ht="15.75" customHeight="1" x14ac:dyDescent="0.25">
      <c r="A45" t="s">
        <v>211</v>
      </c>
      <c r="C45">
        <v>2220973.15</v>
      </c>
      <c r="D45" s="24">
        <f t="shared" si="1"/>
        <v>1461.1665460526315</v>
      </c>
      <c r="E45" s="50">
        <f t="shared" si="0"/>
        <v>3.5914003018010124E-4</v>
      </c>
      <c r="F45" s="51"/>
    </row>
    <row r="46" spans="1:6" ht="15.75" customHeight="1" x14ac:dyDescent="0.25">
      <c r="A46" t="s">
        <v>1229</v>
      </c>
      <c r="C46">
        <v>2826777.5</v>
      </c>
      <c r="D46" s="24">
        <f t="shared" si="1"/>
        <v>1859.7220394736842</v>
      </c>
      <c r="E46" s="50">
        <f t="shared" si="0"/>
        <v>4.5710095894785184E-4</v>
      </c>
      <c r="F46" s="51"/>
    </row>
    <row r="47" spans="1:6" ht="15.75" customHeight="1" x14ac:dyDescent="0.25">
      <c r="A47" t="s">
        <v>1230</v>
      </c>
      <c r="C47">
        <v>168661.75</v>
      </c>
      <c r="D47" s="24">
        <f t="shared" si="1"/>
        <v>110.96167763157895</v>
      </c>
      <c r="E47" s="50">
        <f t="shared" si="0"/>
        <v>2.7273263517493987E-5</v>
      </c>
      <c r="F47" s="51"/>
    </row>
    <row r="48" spans="1:6" ht="15.75" customHeight="1" x14ac:dyDescent="0.25">
      <c r="A48" t="s">
        <v>213</v>
      </c>
      <c r="C48">
        <v>9908153.0700000003</v>
      </c>
      <c r="D48" s="24">
        <f t="shared" si="1"/>
        <v>6518.5217565789471</v>
      </c>
      <c r="E48" s="50">
        <f t="shared" si="0"/>
        <v>1.602187037960753E-3</v>
      </c>
      <c r="F48" s="51"/>
    </row>
    <row r="49" spans="1:6" ht="15.75" customHeight="1" x14ac:dyDescent="0.25">
      <c r="A49" t="s">
        <v>957</v>
      </c>
      <c r="C49">
        <v>5013538.2</v>
      </c>
      <c r="D49" s="24">
        <f t="shared" si="1"/>
        <v>3298.3803947368424</v>
      </c>
      <c r="E49" s="50">
        <f t="shared" si="0"/>
        <v>8.1070870237989626E-4</v>
      </c>
      <c r="F49" s="51"/>
    </row>
    <row r="50" spans="1:6" ht="15.75" customHeight="1" x14ac:dyDescent="0.25">
      <c r="A50" t="s">
        <v>1009</v>
      </c>
      <c r="C50">
        <v>6019771.5199999996</v>
      </c>
      <c r="D50" s="24">
        <f t="shared" si="1"/>
        <v>3960.3759999999997</v>
      </c>
      <c r="E50" s="50">
        <f t="shared" si="0"/>
        <v>9.7342055907794921E-4</v>
      </c>
      <c r="F50" s="51"/>
    </row>
    <row r="51" spans="1:6" ht="15.75" customHeight="1" x14ac:dyDescent="0.25">
      <c r="A51" t="s">
        <v>215</v>
      </c>
      <c r="C51">
        <v>-0.01</v>
      </c>
      <c r="D51" s="24">
        <f t="shared" si="1"/>
        <v>-6.578947368421053E-6</v>
      </c>
      <c r="E51" s="50">
        <f t="shared" si="0"/>
        <v>-1.6170390451595568E-12</v>
      </c>
      <c r="F51" s="51"/>
    </row>
    <row r="52" spans="1:6" ht="15.75" customHeight="1" x14ac:dyDescent="0.25">
      <c r="A52" t="s">
        <v>731</v>
      </c>
      <c r="C52">
        <v>56824374.359999999</v>
      </c>
      <c r="D52" s="24">
        <f t="shared" si="1"/>
        <v>37384.456815789476</v>
      </c>
      <c r="E52" s="50">
        <f t="shared" si="0"/>
        <v>9.1887232056883598E-3</v>
      </c>
      <c r="F52" s="51"/>
    </row>
    <row r="53" spans="1:6" ht="15.75" customHeight="1" x14ac:dyDescent="0.25">
      <c r="A53" t="s">
        <v>217</v>
      </c>
      <c r="C53">
        <v>20641486.800000001</v>
      </c>
      <c r="D53" s="24">
        <f t="shared" si="1"/>
        <v>13579.92552631579</v>
      </c>
      <c r="E53" s="50">
        <f t="shared" si="0"/>
        <v>3.3378090105745592E-3</v>
      </c>
      <c r="F53" s="51"/>
    </row>
    <row r="54" spans="1:6" ht="15.75" customHeight="1" x14ac:dyDescent="0.25">
      <c r="A54" t="s">
        <v>584</v>
      </c>
      <c r="C54">
        <v>1794572.78</v>
      </c>
      <c r="D54" s="24">
        <f t="shared" si="1"/>
        <v>1180.6399868421054</v>
      </c>
      <c r="E54" s="50">
        <f t="shared" si="0"/>
        <v>2.9018942546405314E-4</v>
      </c>
      <c r="F54" s="51"/>
    </row>
    <row r="55" spans="1:6" ht="15.75" customHeight="1" x14ac:dyDescent="0.25">
      <c r="A55" t="s">
        <v>1231</v>
      </c>
      <c r="C55">
        <v>349905.27</v>
      </c>
      <c r="D55" s="24">
        <f t="shared" si="1"/>
        <v>230.20083552631581</v>
      </c>
      <c r="E55" s="50">
        <f t="shared" si="0"/>
        <v>5.6581048369709692E-5</v>
      </c>
      <c r="F55" s="51"/>
    </row>
    <row r="56" spans="1:6" ht="15.75" customHeight="1" x14ac:dyDescent="0.25">
      <c r="A56" t="s">
        <v>1232</v>
      </c>
      <c r="C56">
        <v>1583164</v>
      </c>
      <c r="D56" s="24">
        <f t="shared" si="1"/>
        <v>1041.5552631578948</v>
      </c>
      <c r="E56" s="50">
        <f t="shared" si="0"/>
        <v>2.5600380028909848E-4</v>
      </c>
      <c r="F56" s="51"/>
    </row>
    <row r="57" spans="1:6" ht="15.75" customHeight="1" x14ac:dyDescent="0.25">
      <c r="A57" t="s">
        <v>1005</v>
      </c>
      <c r="C57">
        <v>965653.02</v>
      </c>
      <c r="D57" s="24">
        <f t="shared" si="1"/>
        <v>635.29803947368418</v>
      </c>
      <c r="E57" s="50">
        <f t="shared" si="0"/>
        <v>1.5614986374162422E-4</v>
      </c>
      <c r="F57" s="51"/>
    </row>
    <row r="58" spans="1:6" ht="15.75" customHeight="1" x14ac:dyDescent="0.25">
      <c r="A58" t="s">
        <v>1233</v>
      </c>
      <c r="C58">
        <v>11277805</v>
      </c>
      <c r="D58" s="24">
        <f t="shared" ref="D58:D119" si="2">+C58/$D$3</f>
        <v>7419.6085526315792</v>
      </c>
      <c r="E58" s="50">
        <f t="shared" si="0"/>
        <v>1.8236651028695674E-3</v>
      </c>
      <c r="F58" s="51"/>
    </row>
    <row r="59" spans="1:6" ht="15.75" customHeight="1" x14ac:dyDescent="0.25">
      <c r="A59" t="s">
        <v>221</v>
      </c>
      <c r="C59">
        <v>159836.16</v>
      </c>
      <c r="D59" s="24">
        <f t="shared" si="2"/>
        <v>105.15536842105263</v>
      </c>
      <c r="E59" s="50">
        <f t="shared" si="0"/>
        <v>2.5846131154837011E-5</v>
      </c>
      <c r="F59" s="51"/>
    </row>
    <row r="60" spans="1:6" ht="15.75" customHeight="1" x14ac:dyDescent="0.25">
      <c r="A60" t="s">
        <v>223</v>
      </c>
      <c r="C60">
        <v>13921684.02</v>
      </c>
      <c r="D60" s="24">
        <f t="shared" si="2"/>
        <v>9159.0026447368418</v>
      </c>
      <c r="E60" s="50">
        <f t="shared" si="0"/>
        <v>2.2511906634713856E-3</v>
      </c>
      <c r="F60" s="51"/>
    </row>
    <row r="61" spans="1:6" ht="15.75" customHeight="1" x14ac:dyDescent="0.25">
      <c r="A61" t="s">
        <v>1010</v>
      </c>
      <c r="C61">
        <v>5222753.25</v>
      </c>
      <c r="D61" s="24">
        <f t="shared" si="2"/>
        <v>3436.0218749999999</v>
      </c>
      <c r="E61" s="50">
        <f t="shared" si="0"/>
        <v>8.4453959284839706E-4</v>
      </c>
      <c r="F61" s="51"/>
    </row>
    <row r="62" spans="1:6" ht="15.75" customHeight="1" x14ac:dyDescent="0.25">
      <c r="A62" t="s">
        <v>733</v>
      </c>
      <c r="C62">
        <v>5820826</v>
      </c>
      <c r="D62" s="24">
        <f t="shared" si="2"/>
        <v>3829.4907894736843</v>
      </c>
      <c r="E62" s="50">
        <f t="shared" si="0"/>
        <v>9.4125029170799221E-4</v>
      </c>
      <c r="F62" s="51"/>
    </row>
    <row r="63" spans="1:6" ht="15.75" customHeight="1" x14ac:dyDescent="0.25">
      <c r="A63" t="s">
        <v>1234</v>
      </c>
      <c r="C63">
        <v>12511515</v>
      </c>
      <c r="D63" s="24">
        <f t="shared" si="2"/>
        <v>8231.2598684210534</v>
      </c>
      <c r="E63" s="50">
        <f t="shared" si="0"/>
        <v>2.0231608269099472E-3</v>
      </c>
      <c r="F63" s="51"/>
    </row>
    <row r="64" spans="1:6" ht="15.75" customHeight="1" x14ac:dyDescent="0.25">
      <c r="A64" t="s">
        <v>225</v>
      </c>
      <c r="C64">
        <v>188162000</v>
      </c>
      <c r="D64" s="24">
        <f t="shared" si="2"/>
        <v>123790.78947368421</v>
      </c>
      <c r="E64" s="50">
        <f t="shared" si="0"/>
        <v>3.0426530081531251E-2</v>
      </c>
      <c r="F64" s="51"/>
    </row>
    <row r="65" spans="1:6" ht="15.75" customHeight="1" x14ac:dyDescent="0.25">
      <c r="A65" t="s">
        <v>227</v>
      </c>
      <c r="C65">
        <v>72096293.780000001</v>
      </c>
      <c r="D65" s="24">
        <f t="shared" si="2"/>
        <v>47431.772223684209</v>
      </c>
      <c r="E65" s="50">
        <f t="shared" si="0"/>
        <v>1.1658252205355407E-2</v>
      </c>
      <c r="F65" s="51"/>
    </row>
    <row r="66" spans="1:6" ht="15.75" customHeight="1" x14ac:dyDescent="0.25">
      <c r="A66" t="s">
        <v>227</v>
      </c>
      <c r="C66">
        <v>73352280.769999996</v>
      </c>
      <c r="D66" s="24">
        <f t="shared" si="2"/>
        <v>48258.079453947365</v>
      </c>
      <c r="E66" s="50">
        <f t="shared" si="0"/>
        <v>1.186135020565965E-2</v>
      </c>
      <c r="F66" s="51"/>
    </row>
    <row r="67" spans="1:6" ht="15.75" customHeight="1" x14ac:dyDescent="0.25">
      <c r="A67" t="s">
        <v>1236</v>
      </c>
      <c r="C67">
        <v>560405.35</v>
      </c>
      <c r="D67" s="24">
        <f t="shared" si="2"/>
        <v>368.6877302631579</v>
      </c>
      <c r="E67" s="50">
        <f t="shared" si="0"/>
        <v>9.0619733206630712E-5</v>
      </c>
      <c r="F67" s="51"/>
    </row>
    <row r="68" spans="1:6" ht="15.75" customHeight="1" x14ac:dyDescent="0.25">
      <c r="A68" t="s">
        <v>862</v>
      </c>
      <c r="C68">
        <v>9751089.7300000004</v>
      </c>
      <c r="D68" s="24">
        <f t="shared" si="2"/>
        <v>6415.1906118421057</v>
      </c>
      <c r="E68" s="50">
        <f t="shared" si="0"/>
        <v>1.576789282626436E-3</v>
      </c>
      <c r="F68" s="51"/>
    </row>
    <row r="69" spans="1:6" ht="15.75" customHeight="1" x14ac:dyDescent="0.25">
      <c r="A69" t="s">
        <v>233</v>
      </c>
      <c r="C69">
        <v>15626465.92</v>
      </c>
      <c r="D69" s="24">
        <f t="shared" si="2"/>
        <v>10280.569684210526</v>
      </c>
      <c r="E69" s="50">
        <f t="shared" ref="E69:E132" si="3">+D69/$D$296</f>
        <v>2.5268605530495152E-3</v>
      </c>
      <c r="F69" s="51"/>
    </row>
    <row r="70" spans="1:6" ht="15.75" customHeight="1" x14ac:dyDescent="0.25">
      <c r="A70" t="s">
        <v>1238</v>
      </c>
      <c r="C70">
        <v>119200</v>
      </c>
      <c r="D70" s="24">
        <f t="shared" si="2"/>
        <v>78.421052631578945</v>
      </c>
      <c r="E70" s="50">
        <f t="shared" si="3"/>
        <v>1.9275105418301913E-5</v>
      </c>
      <c r="F70" s="51"/>
    </row>
    <row r="71" spans="1:6" ht="15.75" customHeight="1" x14ac:dyDescent="0.25">
      <c r="A71" t="s">
        <v>235</v>
      </c>
      <c r="C71">
        <v>-204.43</v>
      </c>
      <c r="D71" s="24">
        <f t="shared" si="2"/>
        <v>-0.1344934210526316</v>
      </c>
      <c r="E71" s="50">
        <f t="shared" si="3"/>
        <v>-3.305712920019682E-8</v>
      </c>
      <c r="F71" s="51"/>
    </row>
    <row r="72" spans="1:6" ht="15.75" customHeight="1" x14ac:dyDescent="0.25">
      <c r="A72" t="s">
        <v>959</v>
      </c>
      <c r="C72">
        <v>204974</v>
      </c>
      <c r="D72" s="24">
        <f t="shared" si="2"/>
        <v>134.85131578947369</v>
      </c>
      <c r="E72" s="50">
        <f t="shared" si="3"/>
        <v>3.3145096124253497E-5</v>
      </c>
      <c r="F72" s="51"/>
    </row>
    <row r="73" spans="1:6" ht="15.75" customHeight="1" x14ac:dyDescent="0.25">
      <c r="A73" t="s">
        <v>1242</v>
      </c>
      <c r="C73">
        <v>1290000</v>
      </c>
      <c r="D73" s="24">
        <f t="shared" si="2"/>
        <v>848.68421052631584</v>
      </c>
      <c r="E73" s="50">
        <f t="shared" si="3"/>
        <v>2.0859803682558281E-4</v>
      </c>
      <c r="F73" s="51"/>
    </row>
    <row r="74" spans="1:6" ht="15.75" customHeight="1" x14ac:dyDescent="0.25">
      <c r="A74" t="s">
        <v>237</v>
      </c>
      <c r="C74">
        <v>5986113.9800000004</v>
      </c>
      <c r="D74" s="24">
        <f t="shared" si="2"/>
        <v>3938.2328815789479</v>
      </c>
      <c r="E74" s="50">
        <f t="shared" si="3"/>
        <v>9.679780034435474E-4</v>
      </c>
      <c r="F74" s="51"/>
    </row>
    <row r="75" spans="1:6" ht="15.75" customHeight="1" x14ac:dyDescent="0.25">
      <c r="A75" t="s">
        <v>1038</v>
      </c>
      <c r="C75">
        <v>4450622</v>
      </c>
      <c r="D75" s="24">
        <f t="shared" si="2"/>
        <v>2928.0407894736841</v>
      </c>
      <c r="E75" s="50">
        <f t="shared" si="3"/>
        <v>7.1968295492461163E-4</v>
      </c>
      <c r="F75" s="51"/>
    </row>
    <row r="76" spans="1:6" ht="15.75" customHeight="1" x14ac:dyDescent="0.25">
      <c r="A76" t="s">
        <v>239</v>
      </c>
      <c r="C76">
        <v>1055132.1200000001</v>
      </c>
      <c r="D76" s="24">
        <f t="shared" si="2"/>
        <v>694.16586842105266</v>
      </c>
      <c r="E76" s="50">
        <f t="shared" si="3"/>
        <v>1.7061898358419788E-4</v>
      </c>
      <c r="F76" s="51"/>
    </row>
    <row r="77" spans="1:6" ht="15.75" customHeight="1" x14ac:dyDescent="0.25">
      <c r="A77" t="s">
        <v>1244</v>
      </c>
      <c r="C77">
        <v>5858336</v>
      </c>
      <c r="D77" s="24">
        <f t="shared" si="2"/>
        <v>3854.1684210526314</v>
      </c>
      <c r="E77" s="50">
        <f t="shared" si="3"/>
        <v>9.4731580516638561E-4</v>
      </c>
      <c r="F77" s="51"/>
    </row>
    <row r="78" spans="1:6" ht="15.75" customHeight="1" x14ac:dyDescent="0.25">
      <c r="A78" t="s">
        <v>241</v>
      </c>
      <c r="C78">
        <v>16488096.689999999</v>
      </c>
      <c r="D78" s="24">
        <f t="shared" si="2"/>
        <v>10847.432032894736</v>
      </c>
      <c r="E78" s="50">
        <f t="shared" si="3"/>
        <v>2.6661896128096045E-3</v>
      </c>
      <c r="F78" s="51"/>
    </row>
    <row r="79" spans="1:6" ht="15.75" customHeight="1" x14ac:dyDescent="0.25">
      <c r="A79" t="s">
        <v>243</v>
      </c>
      <c r="C79">
        <v>1122980.99</v>
      </c>
      <c r="D79" s="24">
        <f t="shared" si="2"/>
        <v>738.80328289473687</v>
      </c>
      <c r="E79" s="50">
        <f t="shared" si="3"/>
        <v>1.8159041078019336E-4</v>
      </c>
      <c r="F79" s="51"/>
    </row>
    <row r="80" spans="1:6" ht="15.75" customHeight="1" x14ac:dyDescent="0.25">
      <c r="A80" t="s">
        <v>245</v>
      </c>
      <c r="C80">
        <v>1021026.21</v>
      </c>
      <c r="D80" s="24">
        <f t="shared" si="2"/>
        <v>671.72776973684211</v>
      </c>
      <c r="E80" s="50">
        <f t="shared" si="3"/>
        <v>1.6510392477012809E-4</v>
      </c>
      <c r="F80" s="51"/>
    </row>
    <row r="81" spans="1:6" ht="15.75" customHeight="1" x14ac:dyDescent="0.25">
      <c r="A81" t="s">
        <v>247</v>
      </c>
      <c r="C81">
        <v>1684417.3</v>
      </c>
      <c r="D81" s="24">
        <f t="shared" si="2"/>
        <v>1108.1692763157896</v>
      </c>
      <c r="E81" s="50">
        <f t="shared" si="3"/>
        <v>2.7237685424422387E-4</v>
      </c>
      <c r="F81" s="51"/>
    </row>
    <row r="82" spans="1:6" ht="15.75" customHeight="1" x14ac:dyDescent="0.25">
      <c r="A82" t="s">
        <v>249</v>
      </c>
      <c r="C82">
        <v>2055259.54</v>
      </c>
      <c r="D82" s="24">
        <f t="shared" si="2"/>
        <v>1352.1444342105262</v>
      </c>
      <c r="E82" s="50">
        <f t="shared" si="3"/>
        <v>3.3234349241166697E-4</v>
      </c>
      <c r="F82" s="51"/>
    </row>
    <row r="83" spans="1:6" ht="15.75" customHeight="1" x14ac:dyDescent="0.25">
      <c r="A83" t="s">
        <v>934</v>
      </c>
      <c r="C83">
        <v>2732223</v>
      </c>
      <c r="D83" s="24">
        <f t="shared" si="2"/>
        <v>1797.5151315789474</v>
      </c>
      <c r="E83" s="50">
        <f t="shared" si="3"/>
        <v>4.4181112710829792E-4</v>
      </c>
      <c r="F83" s="51"/>
    </row>
    <row r="84" spans="1:6" ht="15.75" customHeight="1" x14ac:dyDescent="0.25">
      <c r="A84" t="s">
        <v>614</v>
      </c>
      <c r="C84">
        <v>5448610</v>
      </c>
      <c r="D84" s="24">
        <f t="shared" si="2"/>
        <v>3584.6118421052633</v>
      </c>
      <c r="E84" s="50">
        <f t="shared" si="3"/>
        <v>8.8106151118468121E-4</v>
      </c>
      <c r="F84" s="51"/>
    </row>
    <row r="85" spans="1:6" ht="15.75" customHeight="1" x14ac:dyDescent="0.25">
      <c r="A85" t="s">
        <v>251</v>
      </c>
      <c r="C85">
        <v>21810533.25</v>
      </c>
      <c r="D85" s="24">
        <f t="shared" si="2"/>
        <v>14349.035032894737</v>
      </c>
      <c r="E85" s="50">
        <f t="shared" si="3"/>
        <v>3.5268483861000764E-3</v>
      </c>
      <c r="F85" s="51"/>
    </row>
    <row r="86" spans="1:6" ht="15.75" customHeight="1" x14ac:dyDescent="0.25">
      <c r="A86" t="s">
        <v>739</v>
      </c>
      <c r="C86">
        <v>207018.74</v>
      </c>
      <c r="D86" s="24">
        <f t="shared" si="2"/>
        <v>136.1965394736842</v>
      </c>
      <c r="E86" s="50">
        <f t="shared" si="3"/>
        <v>3.3475738565973449E-5</v>
      </c>
      <c r="F86" s="51"/>
    </row>
    <row r="87" spans="1:6" ht="15.75" customHeight="1" x14ac:dyDescent="0.25">
      <c r="A87" t="s">
        <v>257</v>
      </c>
      <c r="C87">
        <v>12705363</v>
      </c>
      <c r="D87" s="24">
        <f t="shared" si="2"/>
        <v>8358.7914473684214</v>
      </c>
      <c r="E87" s="50">
        <f t="shared" si="3"/>
        <v>2.0545068053925562E-3</v>
      </c>
      <c r="F87" s="51"/>
    </row>
    <row r="88" spans="1:6" ht="15.75" customHeight="1" x14ac:dyDescent="0.25">
      <c r="A88" t="s">
        <v>1246</v>
      </c>
      <c r="C88">
        <v>224585038.05000001</v>
      </c>
      <c r="D88" s="24">
        <f t="shared" si="2"/>
        <v>147753.31450657896</v>
      </c>
      <c r="E88" s="50">
        <f t="shared" si="3"/>
        <v>3.6316277548549471E-2</v>
      </c>
      <c r="F88" s="51"/>
    </row>
    <row r="89" spans="1:6" ht="15.75" customHeight="1" x14ac:dyDescent="0.25">
      <c r="A89" t="s">
        <v>1250</v>
      </c>
      <c r="C89">
        <v>14857649.17</v>
      </c>
      <c r="D89" s="24">
        <f t="shared" si="2"/>
        <v>9774.7691907894732</v>
      </c>
      <c r="E89" s="50">
        <f t="shared" si="3"/>
        <v>2.4025398827172478E-3</v>
      </c>
      <c r="F89" s="51"/>
    </row>
    <row r="90" spans="1:6" ht="15.75" customHeight="1" x14ac:dyDescent="0.25">
      <c r="A90" t="s">
        <v>259</v>
      </c>
      <c r="C90">
        <v>2090000</v>
      </c>
      <c r="D90" s="24">
        <f t="shared" si="2"/>
        <v>1375</v>
      </c>
      <c r="E90" s="50">
        <f t="shared" si="3"/>
        <v>3.3796116043834735E-4</v>
      </c>
      <c r="F90" s="51"/>
    </row>
    <row r="91" spans="1:6" ht="15.75" customHeight="1" x14ac:dyDescent="0.25">
      <c r="A91" t="s">
        <v>261</v>
      </c>
      <c r="C91">
        <v>23422002.670000002</v>
      </c>
      <c r="D91" s="24">
        <f t="shared" si="2"/>
        <v>15409.212282894738</v>
      </c>
      <c r="E91" s="50">
        <f t="shared" si="3"/>
        <v>3.7874292833221389E-3</v>
      </c>
      <c r="F91" s="51"/>
    </row>
    <row r="92" spans="1:6" ht="15.75" customHeight="1" x14ac:dyDescent="0.25">
      <c r="A92" t="s">
        <v>263</v>
      </c>
      <c r="C92">
        <v>2736857.6</v>
      </c>
      <c r="D92" s="24">
        <f t="shared" si="2"/>
        <v>1800.5642105263159</v>
      </c>
      <c r="E92" s="50">
        <f t="shared" si="3"/>
        <v>4.425605600241676E-4</v>
      </c>
      <c r="F92" s="51"/>
    </row>
    <row r="93" spans="1:6" ht="15.75" customHeight="1" x14ac:dyDescent="0.25">
      <c r="A93" t="s">
        <v>265</v>
      </c>
      <c r="C93">
        <v>39258810.829999998</v>
      </c>
      <c r="D93" s="24">
        <f t="shared" si="2"/>
        <v>25828.16501973684</v>
      </c>
      <c r="E93" s="50">
        <f t="shared" si="3"/>
        <v>6.3483029978642852E-3</v>
      </c>
      <c r="F93" s="51"/>
    </row>
    <row r="94" spans="1:6" ht="15.75" customHeight="1" x14ac:dyDescent="0.25">
      <c r="A94" t="s">
        <v>267</v>
      </c>
      <c r="C94">
        <v>7377007.5899999999</v>
      </c>
      <c r="D94" s="24">
        <f t="shared" si="2"/>
        <v>4853.2944671052628</v>
      </c>
      <c r="E94" s="50">
        <f t="shared" si="3"/>
        <v>1.1928909309468401E-3</v>
      </c>
      <c r="F94" s="51"/>
    </row>
    <row r="95" spans="1:6" ht="15.75" customHeight="1" x14ac:dyDescent="0.25">
      <c r="A95" t="s">
        <v>1252</v>
      </c>
      <c r="C95">
        <v>459800</v>
      </c>
      <c r="D95" s="24">
        <f t="shared" si="2"/>
        <v>302.5</v>
      </c>
      <c r="E95" s="50">
        <f t="shared" si="3"/>
        <v>7.435145529643641E-5</v>
      </c>
      <c r="F95" s="51"/>
    </row>
    <row r="96" spans="1:6" ht="15.75" customHeight="1" x14ac:dyDescent="0.25">
      <c r="A96" t="s">
        <v>271</v>
      </c>
      <c r="C96">
        <v>290181.01</v>
      </c>
      <c r="D96" s="24">
        <f t="shared" si="2"/>
        <v>190.90855921052633</v>
      </c>
      <c r="E96" s="50">
        <f t="shared" si="3"/>
        <v>4.692340233338358E-5</v>
      </c>
      <c r="F96" s="51"/>
    </row>
    <row r="97" spans="1:6" ht="15.75" customHeight="1" x14ac:dyDescent="0.25">
      <c r="A97" t="s">
        <v>275</v>
      </c>
      <c r="C97">
        <v>914205.47</v>
      </c>
      <c r="D97" s="24">
        <f t="shared" si="2"/>
        <v>601.45096710526309</v>
      </c>
      <c r="E97" s="50">
        <f t="shared" si="3"/>
        <v>1.4783059402884434E-4</v>
      </c>
      <c r="F97" s="51"/>
    </row>
    <row r="98" spans="1:6" ht="15.75" customHeight="1" x14ac:dyDescent="0.25">
      <c r="A98" t="s">
        <v>277</v>
      </c>
      <c r="C98">
        <v>111632762.66</v>
      </c>
      <c r="D98" s="24">
        <f t="shared" si="2"/>
        <v>73442.607013157889</v>
      </c>
      <c r="E98" s="50">
        <f t="shared" si="3"/>
        <v>1.8051453594024981E-2</v>
      </c>
      <c r="F98" s="51"/>
    </row>
    <row r="99" spans="1:6" ht="15.75" customHeight="1" x14ac:dyDescent="0.25">
      <c r="A99" t="s">
        <v>811</v>
      </c>
      <c r="C99">
        <v>1545453.35</v>
      </c>
      <c r="D99" s="24">
        <f t="shared" si="2"/>
        <v>1016.745625</v>
      </c>
      <c r="E99" s="50">
        <f t="shared" si="3"/>
        <v>2.4990584094226382E-4</v>
      </c>
      <c r="F99" s="51"/>
    </row>
    <row r="100" spans="1:6" ht="15.75" customHeight="1" x14ac:dyDescent="0.25">
      <c r="A100" t="s">
        <v>743</v>
      </c>
      <c r="C100">
        <v>156668.35999999999</v>
      </c>
      <c r="D100" s="24">
        <f t="shared" si="2"/>
        <v>103.0712894736842</v>
      </c>
      <c r="E100" s="50">
        <f t="shared" si="3"/>
        <v>2.5333885526111365E-5</v>
      </c>
      <c r="F100" s="51"/>
    </row>
    <row r="101" spans="1:6" ht="15.75" customHeight="1" x14ac:dyDescent="0.25">
      <c r="A101" t="s">
        <v>935</v>
      </c>
      <c r="C101">
        <v>5641522.7599999998</v>
      </c>
      <c r="D101" s="24">
        <f t="shared" si="2"/>
        <v>3711.5281315789471</v>
      </c>
      <c r="E101" s="50">
        <f t="shared" si="3"/>
        <v>9.1225625770763059E-4</v>
      </c>
      <c r="F101" s="51"/>
    </row>
    <row r="102" spans="1:6" ht="15.75" customHeight="1" x14ac:dyDescent="0.25">
      <c r="A102" t="s">
        <v>281</v>
      </c>
      <c r="C102">
        <v>1560000</v>
      </c>
      <c r="D102" s="24">
        <f t="shared" si="2"/>
        <v>1026.3157894736842</v>
      </c>
      <c r="E102" s="50">
        <f t="shared" si="3"/>
        <v>2.5225809104489081E-4</v>
      </c>
      <c r="F102" s="51"/>
    </row>
    <row r="103" spans="1:6" ht="15.75" customHeight="1" x14ac:dyDescent="0.25">
      <c r="A103" t="s">
        <v>283</v>
      </c>
      <c r="C103">
        <v>250000</v>
      </c>
      <c r="D103" s="24">
        <f t="shared" si="2"/>
        <v>164.47368421052633</v>
      </c>
      <c r="E103" s="50">
        <f t="shared" si="3"/>
        <v>4.0425976128988918E-5</v>
      </c>
      <c r="F103" s="51"/>
    </row>
    <row r="104" spans="1:6" ht="15.75" customHeight="1" x14ac:dyDescent="0.25">
      <c r="A104" t="s">
        <v>1254</v>
      </c>
      <c r="C104">
        <v>745360</v>
      </c>
      <c r="D104" s="24">
        <f t="shared" si="2"/>
        <v>490.36842105263156</v>
      </c>
      <c r="E104" s="50">
        <f t="shared" si="3"/>
        <v>1.2052762227001271E-4</v>
      </c>
      <c r="F104" s="51"/>
    </row>
    <row r="105" spans="1:6" ht="15.75" customHeight="1" x14ac:dyDescent="0.25">
      <c r="A105" t="s">
        <v>287</v>
      </c>
      <c r="C105">
        <v>7832148.5</v>
      </c>
      <c r="D105" s="24">
        <f t="shared" si="2"/>
        <v>5152.7292763157893</v>
      </c>
      <c r="E105" s="50">
        <f t="shared" si="3"/>
        <v>1.2664889931987854E-3</v>
      </c>
      <c r="F105" s="51"/>
    </row>
    <row r="106" spans="1:6" ht="15.75" customHeight="1" x14ac:dyDescent="0.25">
      <c r="A106" t="s">
        <v>291</v>
      </c>
      <c r="C106">
        <v>1529377.63</v>
      </c>
      <c r="D106" s="24">
        <f t="shared" si="2"/>
        <v>1006.1694934210526</v>
      </c>
      <c r="E106" s="50">
        <f t="shared" si="3"/>
        <v>2.4730633425035855E-4</v>
      </c>
      <c r="F106" s="51"/>
    </row>
    <row r="107" spans="1:6" ht="15.75" customHeight="1" x14ac:dyDescent="0.25">
      <c r="A107" t="s">
        <v>747</v>
      </c>
      <c r="C107">
        <v>8286456.2400000002</v>
      </c>
      <c r="D107" s="24">
        <f t="shared" si="2"/>
        <v>5451.6159473684211</v>
      </c>
      <c r="E107" s="50">
        <f t="shared" si="3"/>
        <v>1.3399523286086049E-3</v>
      </c>
      <c r="F107" s="51"/>
    </row>
    <row r="108" spans="1:6" ht="15.75" customHeight="1" x14ac:dyDescent="0.25">
      <c r="A108" t="s">
        <v>293</v>
      </c>
      <c r="C108">
        <v>4607922.3</v>
      </c>
      <c r="D108" s="24">
        <f t="shared" si="2"/>
        <v>3031.5278289473681</v>
      </c>
      <c r="E108" s="50">
        <f t="shared" si="3"/>
        <v>7.451190276161427E-4</v>
      </c>
      <c r="F108" s="51"/>
    </row>
    <row r="109" spans="1:6" ht="15.75" customHeight="1" x14ac:dyDescent="0.25">
      <c r="A109" t="s">
        <v>295</v>
      </c>
      <c r="C109">
        <v>65517308.210000001</v>
      </c>
      <c r="D109" s="24">
        <f t="shared" si="2"/>
        <v>43103.492243421053</v>
      </c>
      <c r="E109" s="50">
        <f t="shared" si="3"/>
        <v>1.0594404550932279E-2</v>
      </c>
      <c r="F109" s="51"/>
    </row>
    <row r="110" spans="1:6" ht="15.75" customHeight="1" x14ac:dyDescent="0.25">
      <c r="A110" t="s">
        <v>936</v>
      </c>
      <c r="C110">
        <v>754435</v>
      </c>
      <c r="D110" s="24">
        <f t="shared" si="2"/>
        <v>496.3388157894737</v>
      </c>
      <c r="E110" s="50">
        <f t="shared" si="3"/>
        <v>1.2199508520349502E-4</v>
      </c>
      <c r="F110" s="51"/>
    </row>
    <row r="111" spans="1:6" ht="15.75" customHeight="1" x14ac:dyDescent="0.25">
      <c r="A111" t="s">
        <v>297</v>
      </c>
      <c r="C111">
        <v>162033.51999999999</v>
      </c>
      <c r="D111" s="24">
        <f t="shared" si="2"/>
        <v>106.601</v>
      </c>
      <c r="E111" s="50">
        <f t="shared" si="3"/>
        <v>2.6201452846464194E-5</v>
      </c>
      <c r="F111" s="51"/>
    </row>
    <row r="112" spans="1:6" ht="15.75" customHeight="1" x14ac:dyDescent="0.25">
      <c r="A112" t="s">
        <v>301</v>
      </c>
      <c r="C112">
        <v>40367.35</v>
      </c>
      <c r="D112" s="24">
        <f t="shared" si="2"/>
        <v>26.557467105263157</v>
      </c>
      <c r="E112" s="50">
        <f t="shared" si="3"/>
        <v>6.5275581099621629E-6</v>
      </c>
      <c r="F112" s="51"/>
    </row>
    <row r="113" spans="1:6" ht="15.75" customHeight="1" x14ac:dyDescent="0.25">
      <c r="A113" t="s">
        <v>1256</v>
      </c>
      <c r="C113">
        <v>-34358145.119999997</v>
      </c>
      <c r="D113" s="24">
        <f t="shared" si="2"/>
        <v>-22604.04284210526</v>
      </c>
      <c r="E113" s="50">
        <f t="shared" si="3"/>
        <v>-5.5558462178298277E-3</v>
      </c>
      <c r="F113" s="51"/>
    </row>
    <row r="114" spans="1:6" ht="15.75" customHeight="1" x14ac:dyDescent="0.25">
      <c r="A114" t="s">
        <v>1258</v>
      </c>
      <c r="C114">
        <v>30700000</v>
      </c>
      <c r="D114" s="24">
        <f t="shared" si="2"/>
        <v>20197.36842105263</v>
      </c>
      <c r="E114" s="50">
        <f t="shared" si="3"/>
        <v>4.9643098686398381E-3</v>
      </c>
      <c r="F114" s="51"/>
    </row>
    <row r="115" spans="1:6" ht="15.75" customHeight="1" x14ac:dyDescent="0.25">
      <c r="A115" t="s">
        <v>937</v>
      </c>
      <c r="C115">
        <v>6522747</v>
      </c>
      <c r="D115" s="24">
        <f t="shared" si="2"/>
        <v>4291.2809210526311</v>
      </c>
      <c r="E115" s="50">
        <f t="shared" si="3"/>
        <v>1.0547536580697361E-3</v>
      </c>
      <c r="F115" s="51"/>
    </row>
    <row r="116" spans="1:6" ht="15.75" customHeight="1" x14ac:dyDescent="0.25">
      <c r="A116" t="s">
        <v>500</v>
      </c>
      <c r="C116">
        <v>1410085.6</v>
      </c>
      <c r="D116" s="24">
        <f t="shared" si="2"/>
        <v>927.68789473684217</v>
      </c>
      <c r="E116" s="50">
        <f t="shared" si="3"/>
        <v>2.2801634722172408E-4</v>
      </c>
      <c r="F116" s="51"/>
    </row>
    <row r="117" spans="1:6" ht="15.75" customHeight="1" x14ac:dyDescent="0.25">
      <c r="A117" t="s">
        <v>303</v>
      </c>
      <c r="C117">
        <v>4078750</v>
      </c>
      <c r="D117" s="24">
        <f t="shared" si="2"/>
        <v>2683.3881578947367</v>
      </c>
      <c r="E117" s="50">
        <f t="shared" si="3"/>
        <v>6.5954980054445413E-4</v>
      </c>
      <c r="F117" s="51"/>
    </row>
    <row r="118" spans="1:6" ht="15.75" customHeight="1" x14ac:dyDescent="0.25">
      <c r="A118" t="s">
        <v>1260</v>
      </c>
      <c r="C118">
        <v>19500000</v>
      </c>
      <c r="D118" s="24">
        <f t="shared" si="2"/>
        <v>12828.947368421053</v>
      </c>
      <c r="E118" s="50">
        <f t="shared" si="3"/>
        <v>3.1532261380611357E-3</v>
      </c>
      <c r="F118" s="51"/>
    </row>
    <row r="119" spans="1:6" ht="15.75" customHeight="1" x14ac:dyDescent="0.25">
      <c r="A119" t="s">
        <v>307</v>
      </c>
      <c r="C119">
        <v>-387219.15</v>
      </c>
      <c r="D119" s="24">
        <f t="shared" si="2"/>
        <v>-254.74944078947371</v>
      </c>
      <c r="E119" s="50">
        <f t="shared" si="3"/>
        <v>-6.2614848458349525E-5</v>
      </c>
      <c r="F119" s="51"/>
    </row>
    <row r="120" spans="1:6" ht="15.75" customHeight="1" x14ac:dyDescent="0.25">
      <c r="A120" t="s">
        <v>309</v>
      </c>
      <c r="C120">
        <v>3453147.61</v>
      </c>
      <c r="D120" s="24">
        <f t="shared" ref="D120:D183" si="4">+C120/$D$3</f>
        <v>2271.8076381578949</v>
      </c>
      <c r="E120" s="50">
        <f t="shared" si="3"/>
        <v>5.5838745140694051E-4</v>
      </c>
      <c r="F120" s="51"/>
    </row>
    <row r="121" spans="1:6" ht="15.75" customHeight="1" x14ac:dyDescent="0.25">
      <c r="A121" t="s">
        <v>311</v>
      </c>
      <c r="C121">
        <v>1016400</v>
      </c>
      <c r="D121" s="24">
        <f t="shared" si="4"/>
        <v>668.68421052631584</v>
      </c>
      <c r="E121" s="50">
        <f t="shared" si="3"/>
        <v>1.6435584855001734E-4</v>
      </c>
      <c r="F121" s="51"/>
    </row>
    <row r="122" spans="1:6" ht="15.75" customHeight="1" x14ac:dyDescent="0.25">
      <c r="A122" t="s">
        <v>938</v>
      </c>
      <c r="C122">
        <v>28817984.609999999</v>
      </c>
      <c r="D122" s="24">
        <f t="shared" si="4"/>
        <v>18959.200401315789</v>
      </c>
      <c r="E122" s="50">
        <f t="shared" si="3"/>
        <v>4.65998063171772E-3</v>
      </c>
      <c r="F122" s="51"/>
    </row>
    <row r="123" spans="1:6" ht="15.75" customHeight="1" x14ac:dyDescent="0.25">
      <c r="A123" t="s">
        <v>1262</v>
      </c>
      <c r="C123">
        <v>24805</v>
      </c>
      <c r="D123" s="24">
        <f t="shared" si="4"/>
        <v>16.319078947368421</v>
      </c>
      <c r="E123" s="50">
        <f t="shared" si="3"/>
        <v>4.0110653515182806E-6</v>
      </c>
      <c r="F123" s="51"/>
    </row>
    <row r="124" spans="1:6" ht="15.75" customHeight="1" x14ac:dyDescent="0.25">
      <c r="A124" t="s">
        <v>313</v>
      </c>
      <c r="C124">
        <v>1347352.93</v>
      </c>
      <c r="D124" s="24">
        <f t="shared" si="4"/>
        <v>886.41640131578947</v>
      </c>
      <c r="E124" s="50">
        <f t="shared" si="3"/>
        <v>2.1787222954201309E-4</v>
      </c>
      <c r="F124" s="51"/>
    </row>
    <row r="125" spans="1:6" ht="15.75" customHeight="1" x14ac:dyDescent="0.25">
      <c r="A125" t="s">
        <v>1012</v>
      </c>
      <c r="C125">
        <v>2300000</v>
      </c>
      <c r="D125" s="24">
        <f t="shared" si="4"/>
        <v>1513.1578947368421</v>
      </c>
      <c r="E125" s="50">
        <f t="shared" si="3"/>
        <v>3.7191898038669804E-4</v>
      </c>
      <c r="F125" s="51"/>
    </row>
    <row r="126" spans="1:6" ht="15.75" customHeight="1" x14ac:dyDescent="0.25">
      <c r="A126" t="s">
        <v>939</v>
      </c>
      <c r="C126">
        <v>3486321.41</v>
      </c>
      <c r="D126" s="24">
        <f t="shared" si="4"/>
        <v>2293.6325065789474</v>
      </c>
      <c r="E126" s="50">
        <f t="shared" si="3"/>
        <v>5.637517843945719E-4</v>
      </c>
      <c r="F126" s="51"/>
    </row>
    <row r="127" spans="1:6" ht="15.75" customHeight="1" x14ac:dyDescent="0.25">
      <c r="A127" t="s">
        <v>813</v>
      </c>
      <c r="C127">
        <v>1766503.2</v>
      </c>
      <c r="D127" s="24">
        <f t="shared" si="4"/>
        <v>1162.1731578947367</v>
      </c>
      <c r="E127" s="50">
        <f t="shared" si="3"/>
        <v>2.8565046477993012E-4</v>
      </c>
      <c r="F127" s="51"/>
    </row>
    <row r="128" spans="1:6" ht="15.75" customHeight="1" x14ac:dyDescent="0.25">
      <c r="A128" t="s">
        <v>502</v>
      </c>
      <c r="C128">
        <v>1820000</v>
      </c>
      <c r="D128" s="24">
        <f t="shared" si="4"/>
        <v>1197.3684210526317</v>
      </c>
      <c r="E128" s="50">
        <f t="shared" si="3"/>
        <v>2.9430110621903933E-4</v>
      </c>
      <c r="F128" s="51"/>
    </row>
    <row r="129" spans="1:6" ht="15.75" customHeight="1" x14ac:dyDescent="0.25">
      <c r="A129" t="s">
        <v>940</v>
      </c>
      <c r="C129">
        <v>3444500</v>
      </c>
      <c r="D129" s="24">
        <f t="shared" si="4"/>
        <v>2266.1184210526317</v>
      </c>
      <c r="E129" s="50">
        <f t="shared" si="3"/>
        <v>5.5698909910520931E-4</v>
      </c>
      <c r="F129" s="51"/>
    </row>
    <row r="130" spans="1:6" ht="15.75" customHeight="1" x14ac:dyDescent="0.25">
      <c r="A130" t="s">
        <v>315</v>
      </c>
      <c r="C130">
        <v>763000</v>
      </c>
      <c r="D130" s="24">
        <f t="shared" si="4"/>
        <v>501.9736842105263</v>
      </c>
      <c r="E130" s="50">
        <f t="shared" si="3"/>
        <v>1.2338007914567417E-4</v>
      </c>
      <c r="F130" s="51"/>
    </row>
    <row r="131" spans="1:6" ht="15.75" customHeight="1" x14ac:dyDescent="0.25">
      <c r="A131" t="s">
        <v>1264</v>
      </c>
      <c r="C131">
        <v>664878.84</v>
      </c>
      <c r="D131" s="24">
        <f t="shared" si="4"/>
        <v>437.42028947368419</v>
      </c>
      <c r="E131" s="50">
        <f t="shared" si="3"/>
        <v>1.0751350445803936E-4</v>
      </c>
      <c r="F131" s="51"/>
    </row>
    <row r="132" spans="1:6" ht="15.75" customHeight="1" x14ac:dyDescent="0.25">
      <c r="A132" t="s">
        <v>317</v>
      </c>
      <c r="C132">
        <v>341629.6</v>
      </c>
      <c r="D132" s="24">
        <f t="shared" si="4"/>
        <v>224.75631578947366</v>
      </c>
      <c r="E132" s="50">
        <f t="shared" si="3"/>
        <v>5.5242840218224122E-5</v>
      </c>
      <c r="F132" s="51"/>
    </row>
    <row r="133" spans="1:6" ht="15.75" customHeight="1" x14ac:dyDescent="0.25">
      <c r="A133" t="s">
        <v>1266</v>
      </c>
      <c r="C133">
        <v>729826.74</v>
      </c>
      <c r="D133" s="24">
        <f t="shared" si="4"/>
        <v>480.14917105263157</v>
      </c>
      <c r="E133" s="50">
        <f t="shared" ref="E133:E196" si="5">+D133/$D$296</f>
        <v>1.180158334781512E-4</v>
      </c>
      <c r="F133" s="51"/>
    </row>
    <row r="134" spans="1:6" ht="15.75" customHeight="1" x14ac:dyDescent="0.25">
      <c r="A134" t="s">
        <v>319</v>
      </c>
      <c r="C134">
        <v>4409062.88</v>
      </c>
      <c r="D134" s="24">
        <f t="shared" si="4"/>
        <v>2900.6992631578946</v>
      </c>
      <c r="E134" s="50">
        <f t="shared" si="5"/>
        <v>7.1296268295236451E-4</v>
      </c>
      <c r="F134" s="51"/>
    </row>
    <row r="135" spans="1:6" ht="15.75" customHeight="1" x14ac:dyDescent="0.25">
      <c r="A135" t="s">
        <v>751</v>
      </c>
      <c r="C135">
        <v>134916750.69</v>
      </c>
      <c r="D135" s="24">
        <f t="shared" si="4"/>
        <v>88761.020190789466</v>
      </c>
      <c r="E135" s="50">
        <f t="shared" si="5"/>
        <v>2.1816565371178754E-2</v>
      </c>
      <c r="F135" s="51"/>
    </row>
    <row r="136" spans="1:6" ht="15.75" customHeight="1" x14ac:dyDescent="0.25">
      <c r="A136" t="s">
        <v>1268</v>
      </c>
      <c r="C136">
        <v>581506.67000000004</v>
      </c>
      <c r="D136" s="24">
        <f t="shared" si="4"/>
        <v>382.57017763157899</v>
      </c>
      <c r="E136" s="50">
        <f t="shared" si="5"/>
        <v>9.4031899041071348E-5</v>
      </c>
      <c r="F136" s="51"/>
    </row>
    <row r="137" spans="1:6" ht="15.75" customHeight="1" x14ac:dyDescent="0.25">
      <c r="A137" t="s">
        <v>1040</v>
      </c>
      <c r="C137">
        <v>300330.5</v>
      </c>
      <c r="D137" s="24">
        <f t="shared" si="4"/>
        <v>197.5858552631579</v>
      </c>
      <c r="E137" s="50">
        <f t="shared" si="5"/>
        <v>4.8564614495229221E-5</v>
      </c>
      <c r="F137" s="51"/>
    </row>
    <row r="138" spans="1:6" ht="15.75" customHeight="1" x14ac:dyDescent="0.25">
      <c r="A138" t="s">
        <v>1013</v>
      </c>
      <c r="C138">
        <v>8330764.04</v>
      </c>
      <c r="D138" s="24">
        <f t="shared" si="4"/>
        <v>5480.7658157894739</v>
      </c>
      <c r="E138" s="50">
        <f t="shared" si="5"/>
        <v>1.3471170728691171E-3</v>
      </c>
      <c r="F138" s="51"/>
    </row>
    <row r="139" spans="1:6" ht="15.75" customHeight="1" x14ac:dyDescent="0.25">
      <c r="A139" t="s">
        <v>504</v>
      </c>
      <c r="C139">
        <v>1625181.25</v>
      </c>
      <c r="D139" s="24">
        <f t="shared" si="4"/>
        <v>1069.1981907894738</v>
      </c>
      <c r="E139" s="50">
        <f t="shared" si="5"/>
        <v>2.6279815367112147E-4</v>
      </c>
      <c r="F139" s="51"/>
    </row>
    <row r="140" spans="1:6" ht="15.75" customHeight="1" x14ac:dyDescent="0.25">
      <c r="A140" t="s">
        <v>321</v>
      </c>
      <c r="C140">
        <v>4708620.08</v>
      </c>
      <c r="D140" s="24">
        <f t="shared" si="4"/>
        <v>3097.7763684210527</v>
      </c>
      <c r="E140" s="50">
        <f t="shared" si="5"/>
        <v>7.6140225181823152E-4</v>
      </c>
      <c r="F140" s="51"/>
    </row>
    <row r="141" spans="1:6" ht="15.75" customHeight="1" x14ac:dyDescent="0.25">
      <c r="A141" t="s">
        <v>941</v>
      </c>
      <c r="C141">
        <v>4819000</v>
      </c>
      <c r="D141" s="24">
        <f t="shared" si="4"/>
        <v>3170.3947368421054</v>
      </c>
      <c r="E141" s="50">
        <f t="shared" si="5"/>
        <v>7.7925111586239044E-4</v>
      </c>
      <c r="F141" s="51"/>
    </row>
    <row r="142" spans="1:6" ht="15.75" customHeight="1" x14ac:dyDescent="0.25">
      <c r="A142" t="s">
        <v>1272</v>
      </c>
      <c r="C142">
        <v>218520.33</v>
      </c>
      <c r="D142" s="24">
        <f t="shared" si="4"/>
        <v>143.763375</v>
      </c>
      <c r="E142" s="50">
        <f t="shared" si="5"/>
        <v>3.5335590577115118E-5</v>
      </c>
      <c r="F142" s="51"/>
    </row>
    <row r="143" spans="1:6" ht="15.75" customHeight="1" x14ac:dyDescent="0.25">
      <c r="A143" t="s">
        <v>323</v>
      </c>
      <c r="C143">
        <v>1393806.3</v>
      </c>
      <c r="D143" s="24">
        <f t="shared" si="4"/>
        <v>916.97782894736849</v>
      </c>
      <c r="E143" s="50">
        <f t="shared" si="5"/>
        <v>2.2538392084893747E-4</v>
      </c>
      <c r="F143" s="51"/>
    </row>
    <row r="144" spans="1:6" ht="15.75" customHeight="1" x14ac:dyDescent="0.25">
      <c r="A144" t="s">
        <v>327</v>
      </c>
      <c r="C144">
        <v>22688262.640000001</v>
      </c>
      <c r="D144" s="24">
        <f t="shared" si="4"/>
        <v>14926.488578947368</v>
      </c>
      <c r="E144" s="50">
        <f t="shared" si="5"/>
        <v>3.6687806555714842E-3</v>
      </c>
      <c r="F144" s="51"/>
    </row>
    <row r="145" spans="1:6" ht="15.75" customHeight="1" x14ac:dyDescent="0.25">
      <c r="A145" t="s">
        <v>1274</v>
      </c>
      <c r="C145">
        <v>346185.54</v>
      </c>
      <c r="D145" s="24">
        <f t="shared" si="4"/>
        <v>227.75364473684209</v>
      </c>
      <c r="E145" s="50">
        <f t="shared" si="5"/>
        <v>5.5979553504964546E-5</v>
      </c>
      <c r="F145" s="51"/>
    </row>
    <row r="146" spans="1:6" ht="15.75" customHeight="1" x14ac:dyDescent="0.25">
      <c r="A146" t="s">
        <v>874</v>
      </c>
      <c r="C146">
        <v>3851515.38</v>
      </c>
      <c r="D146" s="24">
        <f t="shared" si="4"/>
        <v>2533.8916973684209</v>
      </c>
      <c r="E146" s="50">
        <f t="shared" si="5"/>
        <v>6.2280507524925467E-4</v>
      </c>
      <c r="F146" s="51"/>
    </row>
    <row r="147" spans="1:6" ht="15.75" customHeight="1" x14ac:dyDescent="0.25">
      <c r="A147" t="s">
        <v>1276</v>
      </c>
      <c r="C147">
        <v>916500</v>
      </c>
      <c r="D147" s="24">
        <f t="shared" si="4"/>
        <v>602.96052631578948</v>
      </c>
      <c r="E147" s="50">
        <f t="shared" si="5"/>
        <v>1.4820162848887337E-4</v>
      </c>
      <c r="F147" s="51"/>
    </row>
    <row r="148" spans="1:6" ht="15.75" customHeight="1" x14ac:dyDescent="0.25">
      <c r="A148" t="s">
        <v>1015</v>
      </c>
      <c r="C148">
        <v>2615148.7999999998</v>
      </c>
      <c r="D148" s="24">
        <f t="shared" si="4"/>
        <v>1720.4926315789473</v>
      </c>
      <c r="E148" s="50">
        <f t="shared" si="5"/>
        <v>4.2287977185021604E-4</v>
      </c>
      <c r="F148" s="51"/>
    </row>
    <row r="149" spans="1:6" ht="15.75" customHeight="1" x14ac:dyDescent="0.25">
      <c r="A149" t="s">
        <v>1278</v>
      </c>
      <c r="C149">
        <v>16397920</v>
      </c>
      <c r="D149" s="24">
        <f t="shared" si="4"/>
        <v>10788.105263157895</v>
      </c>
      <c r="E149" s="50">
        <f t="shared" si="5"/>
        <v>2.6516076899402797E-3</v>
      </c>
      <c r="F149" s="51"/>
    </row>
    <row r="150" spans="1:6" ht="15.75" customHeight="1" x14ac:dyDescent="0.25">
      <c r="A150" t="s">
        <v>331</v>
      </c>
      <c r="C150">
        <v>133048344.48999999</v>
      </c>
      <c r="D150" s="24">
        <f t="shared" si="4"/>
        <v>87531.805585526308</v>
      </c>
      <c r="E150" s="50">
        <f t="shared" si="5"/>
        <v>2.1514436793416934E-2</v>
      </c>
      <c r="F150" s="51"/>
    </row>
    <row r="151" spans="1:6" ht="15.75" customHeight="1" x14ac:dyDescent="0.25">
      <c r="A151" t="s">
        <v>876</v>
      </c>
      <c r="C151">
        <v>1766468.25</v>
      </c>
      <c r="D151" s="24">
        <f t="shared" si="4"/>
        <v>1162.1501644736843</v>
      </c>
      <c r="E151" s="50">
        <f t="shared" si="5"/>
        <v>2.8564481322846731E-4</v>
      </c>
      <c r="F151" s="51"/>
    </row>
    <row r="152" spans="1:6" ht="15.75" customHeight="1" x14ac:dyDescent="0.25">
      <c r="A152" t="s">
        <v>815</v>
      </c>
      <c r="C152">
        <v>628522.4</v>
      </c>
      <c r="D152" s="24">
        <f t="shared" si="4"/>
        <v>413.50157894736844</v>
      </c>
      <c r="E152" s="50">
        <f t="shared" si="5"/>
        <v>1.0163452615573929E-4</v>
      </c>
      <c r="F152" s="51"/>
    </row>
    <row r="153" spans="1:6" ht="15.75" customHeight="1" x14ac:dyDescent="0.25">
      <c r="A153" t="s">
        <v>333</v>
      </c>
      <c r="C153">
        <v>5896891</v>
      </c>
      <c r="D153" s="24">
        <f t="shared" si="4"/>
        <v>3879.5335526315789</v>
      </c>
      <c r="E153" s="50">
        <f t="shared" si="5"/>
        <v>9.5355029920499829E-4</v>
      </c>
      <c r="F153" s="51"/>
    </row>
    <row r="154" spans="1:6" ht="15.75" customHeight="1" x14ac:dyDescent="0.25">
      <c r="A154" t="s">
        <v>335</v>
      </c>
      <c r="C154">
        <v>637363.03</v>
      </c>
      <c r="D154" s="24">
        <f t="shared" si="4"/>
        <v>419.31778289473687</v>
      </c>
      <c r="E154" s="50">
        <f t="shared" si="5"/>
        <v>1.0306409054512019E-4</v>
      </c>
      <c r="F154" s="51"/>
    </row>
    <row r="155" spans="1:6" ht="15.75" customHeight="1" x14ac:dyDescent="0.25">
      <c r="A155" t="s">
        <v>753</v>
      </c>
      <c r="C155">
        <v>50703398</v>
      </c>
      <c r="D155" s="24">
        <f t="shared" si="4"/>
        <v>33357.498684210528</v>
      </c>
      <c r="E155" s="50">
        <f t="shared" si="5"/>
        <v>8.1989374288264985E-3</v>
      </c>
      <c r="F155" s="51"/>
    </row>
    <row r="156" spans="1:6" ht="15.75" customHeight="1" x14ac:dyDescent="0.25">
      <c r="A156" t="s">
        <v>755</v>
      </c>
      <c r="C156">
        <v>289395.7</v>
      </c>
      <c r="D156" s="24">
        <f t="shared" si="4"/>
        <v>190.39190789473685</v>
      </c>
      <c r="E156" s="50">
        <f t="shared" si="5"/>
        <v>4.6796414640128151E-5</v>
      </c>
      <c r="F156" s="51"/>
    </row>
    <row r="157" spans="1:6" ht="15.75" customHeight="1" x14ac:dyDescent="0.25">
      <c r="A157" t="s">
        <v>337</v>
      </c>
      <c r="C157">
        <v>380419.99</v>
      </c>
      <c r="D157" s="24">
        <f t="shared" si="4"/>
        <v>250.27630921052631</v>
      </c>
      <c r="E157" s="50">
        <f t="shared" si="5"/>
        <v>6.1515397738920802E-5</v>
      </c>
      <c r="F157" s="51"/>
    </row>
    <row r="158" spans="1:6" ht="15.75" customHeight="1" x14ac:dyDescent="0.25">
      <c r="A158" t="s">
        <v>339</v>
      </c>
      <c r="C158">
        <v>58003904.18</v>
      </c>
      <c r="D158" s="24">
        <f t="shared" si="4"/>
        <v>38160.463276315786</v>
      </c>
      <c r="E158" s="50">
        <f t="shared" si="5"/>
        <v>9.3794577830753605E-3</v>
      </c>
      <c r="F158" s="51"/>
    </row>
    <row r="159" spans="1:6" ht="15.75" customHeight="1" x14ac:dyDescent="0.25">
      <c r="A159" t="s">
        <v>973</v>
      </c>
      <c r="C159">
        <v>878490.13</v>
      </c>
      <c r="D159" s="24">
        <f t="shared" si="4"/>
        <v>577.95403289473688</v>
      </c>
      <c r="E159" s="50">
        <f t="shared" si="5"/>
        <v>1.4205528409972948E-4</v>
      </c>
      <c r="F159" s="51"/>
    </row>
    <row r="160" spans="1:6" ht="15.75" customHeight="1" x14ac:dyDescent="0.25">
      <c r="A160" t="s">
        <v>882</v>
      </c>
      <c r="C160">
        <v>1126510</v>
      </c>
      <c r="D160" s="24">
        <f t="shared" si="4"/>
        <v>741.125</v>
      </c>
      <c r="E160" s="50">
        <f t="shared" si="5"/>
        <v>1.821610654762692E-4</v>
      </c>
      <c r="F160" s="51"/>
    </row>
    <row r="161" spans="1:6" ht="15.75" customHeight="1" x14ac:dyDescent="0.25">
      <c r="A161" t="s">
        <v>343</v>
      </c>
      <c r="C161">
        <v>217278462.28999999</v>
      </c>
      <c r="D161" s="24">
        <f t="shared" si="4"/>
        <v>142946.35676973683</v>
      </c>
      <c r="E161" s="50">
        <f t="shared" si="5"/>
        <v>3.5134775719515829E-2</v>
      </c>
      <c r="F161" s="51"/>
    </row>
    <row r="162" spans="1:6" ht="15.75" customHeight="1" x14ac:dyDescent="0.25">
      <c r="A162" t="s">
        <v>345</v>
      </c>
      <c r="C162">
        <v>335045.59999999998</v>
      </c>
      <c r="D162" s="24">
        <f t="shared" si="4"/>
        <v>220.42473684210526</v>
      </c>
      <c r="E162" s="50">
        <f t="shared" si="5"/>
        <v>5.4178181710891073E-5</v>
      </c>
      <c r="F162" s="51"/>
    </row>
    <row r="163" spans="1:6" ht="15.75" customHeight="1" x14ac:dyDescent="0.25">
      <c r="A163" t="s">
        <v>347</v>
      </c>
      <c r="C163">
        <v>1782642.4</v>
      </c>
      <c r="D163" s="24">
        <f t="shared" si="4"/>
        <v>1172.7910526315789</v>
      </c>
      <c r="E163" s="50">
        <f t="shared" si="5"/>
        <v>2.8826023643569403E-4</v>
      </c>
      <c r="F163" s="51"/>
    </row>
    <row r="164" spans="1:6" ht="15.75" customHeight="1" x14ac:dyDescent="0.25">
      <c r="A164" t="s">
        <v>351</v>
      </c>
      <c r="C164">
        <v>4561311</v>
      </c>
      <c r="D164" s="24">
        <f t="shared" si="4"/>
        <v>3000.8625000000002</v>
      </c>
      <c r="E164" s="50">
        <f t="shared" si="5"/>
        <v>7.3758179841157824E-4</v>
      </c>
      <c r="F164" s="51"/>
    </row>
    <row r="165" spans="1:6" ht="15.75" customHeight="1" x14ac:dyDescent="0.25">
      <c r="A165" t="s">
        <v>1280</v>
      </c>
      <c r="C165">
        <v>1160426.3</v>
      </c>
      <c r="D165" s="24">
        <f t="shared" si="4"/>
        <v>763.43835526315797</v>
      </c>
      <c r="E165" s="50">
        <f t="shared" si="5"/>
        <v>1.8764546361300374E-4</v>
      </c>
      <c r="F165" s="51"/>
    </row>
    <row r="166" spans="1:6" ht="15.75" customHeight="1" x14ac:dyDescent="0.25">
      <c r="A166" t="s">
        <v>757</v>
      </c>
      <c r="C166">
        <v>2867911.2</v>
      </c>
      <c r="D166" s="24">
        <f t="shared" si="4"/>
        <v>1886.7836842105264</v>
      </c>
      <c r="E166" s="50">
        <f t="shared" si="5"/>
        <v>4.6375243884503984E-4</v>
      </c>
      <c r="F166" s="51"/>
    </row>
    <row r="167" spans="1:6" ht="15.75" customHeight="1" x14ac:dyDescent="0.25">
      <c r="A167" t="s">
        <v>975</v>
      </c>
      <c r="C167">
        <v>1851300</v>
      </c>
      <c r="D167" s="24">
        <f t="shared" si="4"/>
        <v>1217.9605263157894</v>
      </c>
      <c r="E167" s="50">
        <f t="shared" si="5"/>
        <v>2.9936243843038868E-4</v>
      </c>
      <c r="F167" s="51"/>
    </row>
    <row r="168" spans="1:6" ht="15.75" customHeight="1" x14ac:dyDescent="0.25">
      <c r="A168" t="s">
        <v>353</v>
      </c>
      <c r="C168">
        <v>7681890</v>
      </c>
      <c r="D168" s="24">
        <f t="shared" si="4"/>
        <v>5053.875</v>
      </c>
      <c r="E168" s="50">
        <f t="shared" si="5"/>
        <v>1.2421916070620746E-3</v>
      </c>
      <c r="F168" s="51"/>
    </row>
    <row r="169" spans="1:6" ht="15.75" customHeight="1" x14ac:dyDescent="0.25">
      <c r="A169" t="s">
        <v>819</v>
      </c>
      <c r="C169">
        <v>203700</v>
      </c>
      <c r="D169" s="24">
        <f t="shared" si="4"/>
        <v>134.01315789473685</v>
      </c>
      <c r="E169" s="50">
        <f t="shared" si="5"/>
        <v>3.2939085349900173E-5</v>
      </c>
      <c r="F169" s="51"/>
    </row>
    <row r="170" spans="1:6" ht="15.75" customHeight="1" x14ac:dyDescent="0.25">
      <c r="A170" t="s">
        <v>1017</v>
      </c>
      <c r="C170">
        <v>3913140</v>
      </c>
      <c r="D170" s="24">
        <f t="shared" si="4"/>
        <v>2574.4342105263158</v>
      </c>
      <c r="E170" s="50">
        <f t="shared" si="5"/>
        <v>6.327700169175668E-4</v>
      </c>
      <c r="F170" s="51"/>
    </row>
    <row r="171" spans="1:6" ht="15.75" customHeight="1" x14ac:dyDescent="0.25">
      <c r="A171" t="s">
        <v>977</v>
      </c>
      <c r="C171">
        <v>374765.85</v>
      </c>
      <c r="D171" s="24">
        <f t="shared" si="4"/>
        <v>246.55648026315788</v>
      </c>
      <c r="E171" s="50">
        <f t="shared" si="5"/>
        <v>6.0601101224240962E-5</v>
      </c>
      <c r="F171" s="51"/>
    </row>
    <row r="172" spans="1:6" ht="15.75" customHeight="1" x14ac:dyDescent="0.25">
      <c r="A172" t="s">
        <v>355</v>
      </c>
      <c r="C172">
        <v>911493</v>
      </c>
      <c r="D172" s="24">
        <f t="shared" si="4"/>
        <v>599.66644736842102</v>
      </c>
      <c r="E172" s="50">
        <f t="shared" si="5"/>
        <v>1.4739197703896197E-4</v>
      </c>
      <c r="F172" s="51"/>
    </row>
    <row r="173" spans="1:6" ht="15.75" customHeight="1" x14ac:dyDescent="0.25">
      <c r="A173" t="s">
        <v>357</v>
      </c>
      <c r="C173">
        <v>24106930.91</v>
      </c>
      <c r="D173" s="24">
        <f t="shared" si="4"/>
        <v>15859.822967105263</v>
      </c>
      <c r="E173" s="50">
        <f t="shared" si="5"/>
        <v>3.8981848540433801E-3</v>
      </c>
      <c r="F173" s="51"/>
    </row>
    <row r="174" spans="1:6" ht="15.75" customHeight="1" x14ac:dyDescent="0.25">
      <c r="A174" t="s">
        <v>359</v>
      </c>
      <c r="C174">
        <v>2918158.02</v>
      </c>
      <c r="D174" s="24">
        <f t="shared" si="4"/>
        <v>1919.840802631579</v>
      </c>
      <c r="E174" s="50">
        <f t="shared" si="5"/>
        <v>4.7187754582855027E-4</v>
      </c>
      <c r="F174" s="51"/>
    </row>
    <row r="175" spans="1:6" ht="15.75" customHeight="1" x14ac:dyDescent="0.25">
      <c r="A175" t="s">
        <v>942</v>
      </c>
      <c r="C175">
        <v>2850000</v>
      </c>
      <c r="D175" s="24">
        <f t="shared" si="4"/>
        <v>1875</v>
      </c>
      <c r="E175" s="50">
        <f t="shared" si="5"/>
        <v>4.6085612787047364E-4</v>
      </c>
      <c r="F175" s="51"/>
    </row>
    <row r="176" spans="1:6" ht="15.75" customHeight="1" x14ac:dyDescent="0.25">
      <c r="A176" t="s">
        <v>1282</v>
      </c>
      <c r="C176">
        <v>2239056.6</v>
      </c>
      <c r="D176" s="24">
        <f t="shared" si="4"/>
        <v>1473.0635526315791</v>
      </c>
      <c r="E176" s="50">
        <f t="shared" si="5"/>
        <v>3.6206419465222039E-4</v>
      </c>
      <c r="F176" s="51"/>
    </row>
    <row r="177" spans="1:6" ht="15.75" customHeight="1" x14ac:dyDescent="0.25">
      <c r="A177" t="s">
        <v>1042</v>
      </c>
      <c r="C177">
        <v>617600</v>
      </c>
      <c r="D177" s="24">
        <f t="shared" si="4"/>
        <v>406.31578947368422</v>
      </c>
      <c r="E177" s="50">
        <f t="shared" si="5"/>
        <v>9.9868331429054218E-5</v>
      </c>
      <c r="F177" s="51"/>
    </row>
    <row r="178" spans="1:6" ht="15.75" customHeight="1" x14ac:dyDescent="0.25">
      <c r="A178" t="s">
        <v>361</v>
      </c>
      <c r="C178">
        <v>14084315.91</v>
      </c>
      <c r="D178" s="24">
        <f t="shared" si="4"/>
        <v>9265.9973092105265</v>
      </c>
      <c r="E178" s="50">
        <f t="shared" si="5"/>
        <v>2.2774888750831954E-3</v>
      </c>
      <c r="F178" s="51"/>
    </row>
    <row r="179" spans="1:6" ht="15.75" customHeight="1" x14ac:dyDescent="0.25">
      <c r="A179" t="s">
        <v>363</v>
      </c>
      <c r="C179">
        <v>172332955.31</v>
      </c>
      <c r="D179" s="24">
        <f t="shared" si="4"/>
        <v>113376.94428289474</v>
      </c>
      <c r="E179" s="50">
        <f t="shared" si="5"/>
        <v>2.7866911750400694E-2</v>
      </c>
      <c r="F179" s="51"/>
    </row>
    <row r="180" spans="1:6" ht="15.75" customHeight="1" x14ac:dyDescent="0.25">
      <c r="A180" t="s">
        <v>365</v>
      </c>
      <c r="C180">
        <v>741661.27</v>
      </c>
      <c r="D180" s="24">
        <f t="shared" si="4"/>
        <v>487.93504605263161</v>
      </c>
      <c r="E180" s="50">
        <f t="shared" si="5"/>
        <v>1.1992952318726242E-4</v>
      </c>
      <c r="F180" s="51"/>
    </row>
    <row r="181" spans="1:6" ht="15.75" customHeight="1" x14ac:dyDescent="0.25">
      <c r="A181" t="s">
        <v>367</v>
      </c>
      <c r="C181">
        <v>68108715</v>
      </c>
      <c r="D181" s="24">
        <f t="shared" si="4"/>
        <v>44808.365131578947</v>
      </c>
      <c r="E181" s="50">
        <f t="shared" si="5"/>
        <v>1.1013445147064437E-2</v>
      </c>
      <c r="F181" s="51"/>
    </row>
    <row r="182" spans="1:6" ht="15.75" customHeight="1" x14ac:dyDescent="0.25">
      <c r="A182" t="s">
        <v>763</v>
      </c>
      <c r="C182">
        <v>37865048.829999998</v>
      </c>
      <c r="D182" s="24">
        <f t="shared" si="4"/>
        <v>24911.216335526315</v>
      </c>
      <c r="E182" s="50">
        <f t="shared" si="5"/>
        <v>6.1229262404983182E-3</v>
      </c>
      <c r="F182" s="51"/>
    </row>
    <row r="183" spans="1:6" ht="15.75" customHeight="1" x14ac:dyDescent="0.25">
      <c r="A183" t="s">
        <v>890</v>
      </c>
      <c r="C183">
        <v>8226592.46</v>
      </c>
      <c r="D183" s="24">
        <f t="shared" si="4"/>
        <v>5412.2318815789477</v>
      </c>
      <c r="E183" s="50">
        <f t="shared" si="5"/>
        <v>1.330272121643521E-3</v>
      </c>
      <c r="F183" s="51"/>
    </row>
    <row r="184" spans="1:6" ht="15.75" customHeight="1" x14ac:dyDescent="0.25">
      <c r="A184" t="s">
        <v>369</v>
      </c>
      <c r="C184">
        <v>215271.22</v>
      </c>
      <c r="D184" s="24">
        <f t="shared" ref="D184:D247" si="6">+C184/$D$3</f>
        <v>141.62580263157895</v>
      </c>
      <c r="E184" s="50">
        <f t="shared" si="5"/>
        <v>3.4810196803913288E-5</v>
      </c>
      <c r="F184" s="51"/>
    </row>
    <row r="185" spans="1:6" ht="15.75" customHeight="1" x14ac:dyDescent="0.25">
      <c r="A185" t="s">
        <v>506</v>
      </c>
      <c r="C185">
        <v>3165553.6</v>
      </c>
      <c r="D185" s="24">
        <f t="shared" si="6"/>
        <v>2082.601052631579</v>
      </c>
      <c r="E185" s="50">
        <f t="shared" si="5"/>
        <v>5.1188237707453974E-4</v>
      </c>
      <c r="F185" s="51"/>
    </row>
    <row r="186" spans="1:6" ht="15.75" customHeight="1" x14ac:dyDescent="0.25">
      <c r="A186" t="s">
        <v>379</v>
      </c>
      <c r="C186">
        <v>58760</v>
      </c>
      <c r="D186" s="24">
        <f t="shared" si="6"/>
        <v>38.657894736842103</v>
      </c>
      <c r="E186" s="50">
        <f t="shared" si="5"/>
        <v>9.5017214293575535E-6</v>
      </c>
      <c r="F186" s="51"/>
    </row>
    <row r="187" spans="1:6" ht="15.75" customHeight="1" x14ac:dyDescent="0.25">
      <c r="A187" t="s">
        <v>381</v>
      </c>
      <c r="C187">
        <v>3502522.18</v>
      </c>
      <c r="D187" s="24">
        <f t="shared" si="6"/>
        <v>2304.2909078947368</v>
      </c>
      <c r="E187" s="50">
        <f t="shared" si="5"/>
        <v>5.663715121597369E-4</v>
      </c>
      <c r="F187" s="51"/>
    </row>
    <row r="188" spans="1:6" ht="15.75" customHeight="1" x14ac:dyDescent="0.25">
      <c r="A188" t="s">
        <v>508</v>
      </c>
      <c r="C188">
        <v>71298.94</v>
      </c>
      <c r="D188" s="24">
        <f t="shared" si="6"/>
        <v>46.907197368421052</v>
      </c>
      <c r="E188" s="50">
        <f t="shared" si="5"/>
        <v>1.1529316985848852E-5</v>
      </c>
      <c r="F188" s="51"/>
    </row>
    <row r="189" spans="1:6" ht="15.75" customHeight="1" x14ac:dyDescent="0.25">
      <c r="A189" t="s">
        <v>383</v>
      </c>
      <c r="C189">
        <v>24180785.399999999</v>
      </c>
      <c r="D189" s="24">
        <f t="shared" si="6"/>
        <v>15908.41144736842</v>
      </c>
      <c r="E189" s="50">
        <f t="shared" si="5"/>
        <v>3.9101274134424142E-3</v>
      </c>
      <c r="F189" s="51"/>
    </row>
    <row r="190" spans="1:6" ht="15.75" customHeight="1" x14ac:dyDescent="0.25">
      <c r="A190" t="s">
        <v>943</v>
      </c>
      <c r="C190">
        <v>1531738.5</v>
      </c>
      <c r="D190" s="24">
        <f t="shared" si="6"/>
        <v>1007.7226973684211</v>
      </c>
      <c r="E190" s="50">
        <f t="shared" si="5"/>
        <v>2.4768809614741314E-4</v>
      </c>
      <c r="F190" s="51"/>
    </row>
    <row r="191" spans="1:6" ht="15.75" customHeight="1" x14ac:dyDescent="0.25">
      <c r="A191" t="s">
        <v>385</v>
      </c>
      <c r="C191">
        <v>60218770.789999999</v>
      </c>
      <c r="D191" s="24">
        <f t="shared" si="6"/>
        <v>39617.612361842104</v>
      </c>
      <c r="E191" s="50">
        <f t="shared" si="5"/>
        <v>9.7376103618943798E-3</v>
      </c>
      <c r="F191" s="51"/>
    </row>
    <row r="192" spans="1:6" ht="15.75" customHeight="1" x14ac:dyDescent="0.25">
      <c r="A192" t="s">
        <v>676</v>
      </c>
      <c r="C192">
        <v>1415700</v>
      </c>
      <c r="D192" s="24">
        <f t="shared" si="6"/>
        <v>931.38157894736844</v>
      </c>
      <c r="E192" s="50">
        <f t="shared" si="5"/>
        <v>2.2892421762323845E-4</v>
      </c>
      <c r="F192" s="51"/>
    </row>
    <row r="193" spans="1:6" ht="15.75" customHeight="1" x14ac:dyDescent="0.25">
      <c r="A193" t="s">
        <v>823</v>
      </c>
      <c r="C193">
        <v>323634.28000000003</v>
      </c>
      <c r="D193" s="24">
        <f t="shared" si="6"/>
        <v>212.91728947368424</v>
      </c>
      <c r="E193" s="50">
        <f t="shared" si="5"/>
        <v>5.2332926711210068E-5</v>
      </c>
      <c r="F193" s="51"/>
    </row>
    <row r="194" spans="1:6" ht="15.75" customHeight="1" x14ac:dyDescent="0.25">
      <c r="A194" t="s">
        <v>387</v>
      </c>
      <c r="C194">
        <v>6002983.5300000003</v>
      </c>
      <c r="D194" s="24">
        <f t="shared" si="6"/>
        <v>3949.3312697368424</v>
      </c>
      <c r="E194" s="50">
        <f t="shared" si="5"/>
        <v>9.7070587554597457E-4</v>
      </c>
      <c r="F194" s="51"/>
    </row>
    <row r="195" spans="1:6" ht="15.75" customHeight="1" x14ac:dyDescent="0.25">
      <c r="A195" t="s">
        <v>389</v>
      </c>
      <c r="C195">
        <v>13351649.470000001</v>
      </c>
      <c r="D195" s="24">
        <f t="shared" si="6"/>
        <v>8783.9799144736844</v>
      </c>
      <c r="E195" s="50">
        <f t="shared" si="5"/>
        <v>2.15901385102739E-3</v>
      </c>
      <c r="F195" s="51"/>
    </row>
    <row r="196" spans="1:6" ht="15.75" customHeight="1" x14ac:dyDescent="0.25">
      <c r="A196" t="s">
        <v>1021</v>
      </c>
      <c r="C196">
        <v>7347120</v>
      </c>
      <c r="D196" s="24">
        <f t="shared" si="6"/>
        <v>4833.6315789473683</v>
      </c>
      <c r="E196" s="50">
        <f t="shared" si="5"/>
        <v>1.1880579909472682E-3</v>
      </c>
      <c r="F196" s="51"/>
    </row>
    <row r="197" spans="1:6" ht="15.75" customHeight="1" x14ac:dyDescent="0.25">
      <c r="A197" t="s">
        <v>894</v>
      </c>
      <c r="C197">
        <v>3052186.9</v>
      </c>
      <c r="D197" s="24">
        <f t="shared" si="6"/>
        <v>2008.0176973684211</v>
      </c>
      <c r="E197" s="50">
        <f t="shared" ref="E197:E260" si="7">+D197/$D$296</f>
        <v>4.9355053904245069E-4</v>
      </c>
      <c r="F197" s="51"/>
    </row>
    <row r="198" spans="1:6" ht="15.75" customHeight="1" x14ac:dyDescent="0.25">
      <c r="A198" t="s">
        <v>1046</v>
      </c>
      <c r="C198">
        <v>306017.64</v>
      </c>
      <c r="D198" s="24">
        <f t="shared" si="6"/>
        <v>201.32739473684211</v>
      </c>
      <c r="E198" s="50">
        <f t="shared" si="7"/>
        <v>4.9484247238758095E-5</v>
      </c>
      <c r="F198" s="51"/>
    </row>
    <row r="199" spans="1:6" ht="15.75" customHeight="1" x14ac:dyDescent="0.25">
      <c r="A199" t="s">
        <v>1050</v>
      </c>
      <c r="C199">
        <v>10343660.449999999</v>
      </c>
      <c r="D199" s="24">
        <f t="shared" si="6"/>
        <v>6805.0397697368417</v>
      </c>
      <c r="E199" s="50">
        <f t="shared" si="7"/>
        <v>1.6726102817522669E-3</v>
      </c>
      <c r="F199" s="51"/>
    </row>
    <row r="200" spans="1:6" ht="15.75" customHeight="1" x14ac:dyDescent="0.25">
      <c r="A200" t="s">
        <v>393</v>
      </c>
      <c r="C200">
        <v>102549534.95999999</v>
      </c>
      <c r="D200" s="24">
        <f t="shared" si="6"/>
        <v>67466.799315789467</v>
      </c>
      <c r="E200" s="50">
        <f t="shared" si="7"/>
        <v>1.6582660209327495E-2</v>
      </c>
      <c r="F200" s="51"/>
    </row>
    <row r="201" spans="1:6" ht="15.75" customHeight="1" x14ac:dyDescent="0.25">
      <c r="A201" t="s">
        <v>1284</v>
      </c>
      <c r="C201">
        <v>515309.96</v>
      </c>
      <c r="D201" s="24">
        <f t="shared" si="6"/>
        <v>339.01971052631581</v>
      </c>
      <c r="E201" s="50">
        <f t="shared" si="7"/>
        <v>8.332763256796094E-5</v>
      </c>
      <c r="F201" s="51"/>
    </row>
    <row r="202" spans="1:6" ht="15.75" customHeight="1" x14ac:dyDescent="0.25">
      <c r="A202" t="s">
        <v>944</v>
      </c>
      <c r="C202">
        <v>31519080</v>
      </c>
      <c r="D202" s="24">
        <f t="shared" si="6"/>
        <v>20736.236842105263</v>
      </c>
      <c r="E202" s="50">
        <f t="shared" si="7"/>
        <v>5.0967583027507679E-3</v>
      </c>
      <c r="F202" s="51"/>
    </row>
    <row r="203" spans="1:6" ht="15.75" customHeight="1" x14ac:dyDescent="0.25">
      <c r="A203" t="s">
        <v>395</v>
      </c>
      <c r="C203">
        <v>22506802.969999999</v>
      </c>
      <c r="D203" s="24">
        <f t="shared" si="6"/>
        <v>14807.107217105262</v>
      </c>
      <c r="E203" s="50">
        <f t="shared" si="7"/>
        <v>3.639437918420307E-3</v>
      </c>
      <c r="F203" s="51"/>
    </row>
    <row r="204" spans="1:6" ht="15.75" customHeight="1" x14ac:dyDescent="0.25">
      <c r="A204" t="s">
        <v>896</v>
      </c>
      <c r="C204">
        <v>2339100</v>
      </c>
      <c r="D204" s="24">
        <f t="shared" si="6"/>
        <v>1538.8815789473683</v>
      </c>
      <c r="E204" s="50">
        <f t="shared" si="7"/>
        <v>3.782416030532719E-4</v>
      </c>
      <c r="F204" s="51"/>
    </row>
    <row r="205" spans="1:6" ht="15.75" customHeight="1" x14ac:dyDescent="0.25">
      <c r="A205" t="s">
        <v>397</v>
      </c>
      <c r="C205">
        <v>30547632.920000002</v>
      </c>
      <c r="D205" s="24">
        <f t="shared" si="6"/>
        <v>20097.126921052633</v>
      </c>
      <c r="E205" s="50">
        <f t="shared" si="7"/>
        <v>4.9396715168841445E-3</v>
      </c>
      <c r="F205" s="51"/>
    </row>
    <row r="206" spans="1:6" ht="15.75" customHeight="1" x14ac:dyDescent="0.25">
      <c r="A206" t="s">
        <v>769</v>
      </c>
      <c r="C206">
        <v>984016.73</v>
      </c>
      <c r="D206" s="24">
        <f t="shared" si="6"/>
        <v>647.37942763157889</v>
      </c>
      <c r="E206" s="50">
        <f t="shared" si="7"/>
        <v>1.5911934735002292E-4</v>
      </c>
      <c r="F206" s="51"/>
    </row>
    <row r="207" spans="1:6" ht="15.75" customHeight="1" x14ac:dyDescent="0.25">
      <c r="A207" t="s">
        <v>1025</v>
      </c>
      <c r="C207">
        <v>2162875</v>
      </c>
      <c r="D207" s="24">
        <f t="shared" si="6"/>
        <v>1422.9440789473683</v>
      </c>
      <c r="E207" s="50">
        <f t="shared" si="7"/>
        <v>3.4974533247994759E-4</v>
      </c>
      <c r="F207" s="51"/>
    </row>
    <row r="208" spans="1:6" ht="15.75" customHeight="1" x14ac:dyDescent="0.25">
      <c r="A208" t="s">
        <v>399</v>
      </c>
      <c r="C208">
        <v>-2698.26</v>
      </c>
      <c r="D208" s="24">
        <f t="shared" si="6"/>
        <v>-1.7751710526315791</v>
      </c>
      <c r="E208" s="50">
        <f t="shared" si="7"/>
        <v>-4.3631917739922257E-7</v>
      </c>
      <c r="F208" s="51"/>
    </row>
    <row r="209" spans="1:6" ht="15.75" customHeight="1" x14ac:dyDescent="0.25">
      <c r="A209" t="s">
        <v>771</v>
      </c>
      <c r="C209">
        <v>140867402.5</v>
      </c>
      <c r="D209" s="24">
        <f t="shared" si="6"/>
        <v>92675.922697368427</v>
      </c>
      <c r="E209" s="50">
        <f t="shared" si="7"/>
        <v>2.2778809003270697E-2</v>
      </c>
      <c r="F209" s="51"/>
    </row>
    <row r="210" spans="1:6" ht="15.75" customHeight="1" x14ac:dyDescent="0.25">
      <c r="A210" t="s">
        <v>1288</v>
      </c>
      <c r="C210">
        <v>10515298.130000001</v>
      </c>
      <c r="D210" s="24">
        <f t="shared" si="6"/>
        <v>6917.9592960526325</v>
      </c>
      <c r="E210" s="50">
        <f t="shared" si="7"/>
        <v>1.7003647647703274E-3</v>
      </c>
      <c r="F210" s="51"/>
    </row>
    <row r="211" spans="1:6" ht="15.75" customHeight="1" x14ac:dyDescent="0.25">
      <c r="A211" t="s">
        <v>401</v>
      </c>
      <c r="C211">
        <v>90409425</v>
      </c>
      <c r="D211" s="24">
        <f t="shared" si="6"/>
        <v>59479.884868421053</v>
      </c>
      <c r="E211" s="50">
        <f t="shared" si="7"/>
        <v>1.4619557027542454E-2</v>
      </c>
      <c r="F211" s="51"/>
    </row>
    <row r="212" spans="1:6" ht="15.75" customHeight="1" x14ac:dyDescent="0.25">
      <c r="A212" t="s">
        <v>1290</v>
      </c>
      <c r="C212">
        <v>1402016</v>
      </c>
      <c r="D212" s="24">
        <f t="shared" si="6"/>
        <v>922.37894736842111</v>
      </c>
      <c r="E212" s="50">
        <f t="shared" si="7"/>
        <v>2.267114613938421E-4</v>
      </c>
      <c r="F212" s="51"/>
    </row>
    <row r="213" spans="1:6" ht="15.75" customHeight="1" x14ac:dyDescent="0.25">
      <c r="A213" t="s">
        <v>403</v>
      </c>
      <c r="C213">
        <v>84824182.390000001</v>
      </c>
      <c r="D213" s="24">
        <f t="shared" si="6"/>
        <v>55805.383151315793</v>
      </c>
      <c r="E213" s="50">
        <f t="shared" si="7"/>
        <v>1.3716401489836568E-2</v>
      </c>
      <c r="F213" s="51"/>
    </row>
    <row r="214" spans="1:6" ht="15.75" customHeight="1" x14ac:dyDescent="0.25">
      <c r="A214" t="s">
        <v>405</v>
      </c>
      <c r="C214">
        <v>3026708.85</v>
      </c>
      <c r="D214" s="24">
        <f t="shared" si="6"/>
        <v>1991.2558223684211</v>
      </c>
      <c r="E214" s="50">
        <f t="shared" si="7"/>
        <v>4.8943063887799804E-4</v>
      </c>
      <c r="F214" s="51"/>
    </row>
    <row r="215" spans="1:6" ht="15.75" customHeight="1" x14ac:dyDescent="0.25">
      <c r="A215" t="s">
        <v>1292</v>
      </c>
      <c r="C215">
        <v>467667.20000000001</v>
      </c>
      <c r="D215" s="24">
        <f t="shared" si="6"/>
        <v>307.67578947368423</v>
      </c>
      <c r="E215" s="50">
        <f t="shared" si="7"/>
        <v>7.5623612254044342E-5</v>
      </c>
      <c r="F215" s="51"/>
    </row>
    <row r="216" spans="1:6" ht="15.75" customHeight="1" x14ac:dyDescent="0.25">
      <c r="A216" t="s">
        <v>1294</v>
      </c>
      <c r="C216">
        <v>2623383.75</v>
      </c>
      <c r="D216" s="24">
        <f t="shared" si="6"/>
        <v>1725.9103618421052</v>
      </c>
      <c r="E216" s="50">
        <f t="shared" si="7"/>
        <v>4.2421139541870968E-4</v>
      </c>
      <c r="F216" s="51"/>
    </row>
    <row r="217" spans="1:6" ht="15.75" customHeight="1" x14ac:dyDescent="0.25">
      <c r="A217" t="s">
        <v>945</v>
      </c>
      <c r="C217">
        <v>141515200</v>
      </c>
      <c r="D217" s="24">
        <f t="shared" si="6"/>
        <v>93102.105263157893</v>
      </c>
      <c r="E217" s="50">
        <f t="shared" si="7"/>
        <v>2.2883560388356369E-2</v>
      </c>
      <c r="F217" s="51"/>
    </row>
    <row r="218" spans="1:6" ht="15.75" customHeight="1" x14ac:dyDescent="0.25">
      <c r="A218" t="s">
        <v>908</v>
      </c>
      <c r="C218">
        <v>14280521.439999999</v>
      </c>
      <c r="D218" s="24">
        <f t="shared" si="6"/>
        <v>9395.0798947368421</v>
      </c>
      <c r="E218" s="50">
        <f t="shared" si="7"/>
        <v>2.3092160753718175E-3</v>
      </c>
      <c r="F218" s="51"/>
    </row>
    <row r="219" spans="1:6" ht="15.75" customHeight="1" x14ac:dyDescent="0.25">
      <c r="A219" t="s">
        <v>1296</v>
      </c>
      <c r="C219">
        <v>28974660</v>
      </c>
      <c r="D219" s="24">
        <f t="shared" si="6"/>
        <v>19062.276315789473</v>
      </c>
      <c r="E219" s="50">
        <f t="shared" si="7"/>
        <v>4.6853156540222797E-3</v>
      </c>
      <c r="F219" s="51"/>
    </row>
    <row r="220" spans="1:6" ht="15.75" customHeight="1" x14ac:dyDescent="0.25">
      <c r="A220" t="s">
        <v>407</v>
      </c>
      <c r="C220">
        <v>5022248.46</v>
      </c>
      <c r="D220" s="24">
        <f t="shared" si="6"/>
        <v>3304.1108289473682</v>
      </c>
      <c r="E220" s="50">
        <f t="shared" si="7"/>
        <v>8.1211718543124534E-4</v>
      </c>
      <c r="F220" s="51"/>
    </row>
    <row r="221" spans="1:6" ht="15.75" customHeight="1" x14ac:dyDescent="0.25">
      <c r="A221" t="s">
        <v>409</v>
      </c>
      <c r="C221">
        <v>40190000</v>
      </c>
      <c r="D221" s="24">
        <f t="shared" si="6"/>
        <v>26440.78947368421</v>
      </c>
      <c r="E221" s="50">
        <f t="shared" si="7"/>
        <v>6.4988799224962581E-3</v>
      </c>
      <c r="F221" s="51"/>
    </row>
    <row r="222" spans="1:6" ht="15.75" customHeight="1" x14ac:dyDescent="0.25">
      <c r="A222" t="s">
        <v>1298</v>
      </c>
      <c r="C222">
        <v>744766.66</v>
      </c>
      <c r="D222" s="24">
        <f t="shared" si="6"/>
        <v>489.9780657894737</v>
      </c>
      <c r="E222" s="50">
        <f t="shared" si="7"/>
        <v>1.2043167687530723E-4</v>
      </c>
      <c r="F222" s="51"/>
    </row>
    <row r="223" spans="1:6" ht="15.75" customHeight="1" x14ac:dyDescent="0.25">
      <c r="A223" t="s">
        <v>512</v>
      </c>
      <c r="C223">
        <v>212960</v>
      </c>
      <c r="D223" s="24">
        <f t="shared" si="6"/>
        <v>140.10526315789474</v>
      </c>
      <c r="E223" s="50">
        <f t="shared" si="7"/>
        <v>3.4436463505717918E-5</v>
      </c>
      <c r="F223" s="51"/>
    </row>
    <row r="224" spans="1:6" ht="15.75" customHeight="1" x14ac:dyDescent="0.25">
      <c r="A224" t="s">
        <v>1052</v>
      </c>
      <c r="C224">
        <v>16180000</v>
      </c>
      <c r="D224" s="24">
        <f t="shared" si="6"/>
        <v>10644.736842105263</v>
      </c>
      <c r="E224" s="50">
        <f t="shared" si="7"/>
        <v>2.6163691750681626E-3</v>
      </c>
      <c r="F224" s="51"/>
    </row>
    <row r="225" spans="1:6" ht="15.75" customHeight="1" x14ac:dyDescent="0.25">
      <c r="A225" t="s">
        <v>411</v>
      </c>
      <c r="C225">
        <v>17022159</v>
      </c>
      <c r="D225" s="24">
        <f t="shared" si="6"/>
        <v>11198.788815789474</v>
      </c>
      <c r="E225" s="50">
        <f t="shared" si="7"/>
        <v>2.7525495735914152E-3</v>
      </c>
      <c r="F225" s="51"/>
    </row>
    <row r="226" spans="1:6" ht="15.75" customHeight="1" x14ac:dyDescent="0.25">
      <c r="A226" t="s">
        <v>413</v>
      </c>
      <c r="C226">
        <v>15491514.25</v>
      </c>
      <c r="D226" s="24">
        <f t="shared" si="6"/>
        <v>10191.785690789473</v>
      </c>
      <c r="E226" s="50">
        <f t="shared" si="7"/>
        <v>2.5050383410895665E-3</v>
      </c>
      <c r="F226" s="51"/>
    </row>
    <row r="227" spans="1:6" ht="15.75" customHeight="1" x14ac:dyDescent="0.25">
      <c r="A227" t="s">
        <v>415</v>
      </c>
      <c r="C227">
        <v>41059335.850000001</v>
      </c>
      <c r="D227" s="24">
        <f t="shared" si="6"/>
        <v>27012.72095394737</v>
      </c>
      <c r="E227" s="50">
        <f t="shared" si="7"/>
        <v>6.6394549237769555E-3</v>
      </c>
      <c r="F227" s="51"/>
    </row>
    <row r="228" spans="1:6" ht="15.75" customHeight="1" x14ac:dyDescent="0.25">
      <c r="A228" t="s">
        <v>831</v>
      </c>
      <c r="C228">
        <v>8983947.5199999996</v>
      </c>
      <c r="D228" s="24">
        <f t="shared" si="6"/>
        <v>5910.4917894736836</v>
      </c>
      <c r="E228" s="50">
        <f t="shared" si="7"/>
        <v>1.4527393919504365E-3</v>
      </c>
      <c r="F228" s="51"/>
    </row>
    <row r="229" spans="1:6" ht="15.75" customHeight="1" x14ac:dyDescent="0.25">
      <c r="A229" t="s">
        <v>1300</v>
      </c>
      <c r="C229">
        <v>650000</v>
      </c>
      <c r="D229" s="24">
        <f t="shared" si="6"/>
        <v>427.63157894736844</v>
      </c>
      <c r="E229" s="50">
        <f t="shared" si="7"/>
        <v>1.0510753793537118E-4</v>
      </c>
      <c r="F229" s="51"/>
    </row>
    <row r="230" spans="1:6" ht="15.75" customHeight="1" x14ac:dyDescent="0.25">
      <c r="A230" t="s">
        <v>1304</v>
      </c>
      <c r="C230">
        <v>128865</v>
      </c>
      <c r="D230" s="24">
        <f t="shared" si="6"/>
        <v>84.77960526315789</v>
      </c>
      <c r="E230" s="50">
        <f t="shared" si="7"/>
        <v>2.0837973655448625E-5</v>
      </c>
      <c r="F230" s="51"/>
    </row>
    <row r="231" spans="1:6" ht="15.75" customHeight="1" x14ac:dyDescent="0.25">
      <c r="A231" t="s">
        <v>419</v>
      </c>
      <c r="C231">
        <v>495040.91</v>
      </c>
      <c r="D231" s="24">
        <f t="shared" si="6"/>
        <v>325.68480921052628</v>
      </c>
      <c r="E231" s="50">
        <f t="shared" si="7"/>
        <v>8.005004804213179E-5</v>
      </c>
      <c r="F231" s="51"/>
    </row>
    <row r="232" spans="1:6" ht="15.75" customHeight="1" x14ac:dyDescent="0.25">
      <c r="A232" t="s">
        <v>1308</v>
      </c>
      <c r="C232">
        <v>550000</v>
      </c>
      <c r="D232" s="24">
        <f t="shared" si="6"/>
        <v>361.84210526315792</v>
      </c>
      <c r="E232" s="50">
        <f t="shared" si="7"/>
        <v>8.8937147483775618E-5</v>
      </c>
      <c r="F232" s="51"/>
    </row>
    <row r="233" spans="1:6" ht="15.75" customHeight="1" x14ac:dyDescent="0.25">
      <c r="A233" t="s">
        <v>423</v>
      </c>
      <c r="C233">
        <v>795850</v>
      </c>
      <c r="D233" s="24">
        <f t="shared" si="6"/>
        <v>523.58552631578948</v>
      </c>
      <c r="E233" s="50">
        <f t="shared" si="7"/>
        <v>1.2869205240902332E-4</v>
      </c>
      <c r="F233" s="51"/>
    </row>
    <row r="234" spans="1:6" ht="15.75" customHeight="1" x14ac:dyDescent="0.25">
      <c r="A234" t="s">
        <v>1026</v>
      </c>
      <c r="C234">
        <v>2262397.5</v>
      </c>
      <c r="D234" s="24">
        <f t="shared" si="6"/>
        <v>1488.4194078947369</v>
      </c>
      <c r="E234" s="50">
        <f t="shared" si="7"/>
        <v>3.6583850931713681E-4</v>
      </c>
      <c r="F234" s="51"/>
    </row>
    <row r="235" spans="1:6" ht="15.75" customHeight="1" x14ac:dyDescent="0.25">
      <c r="A235" t="s">
        <v>987</v>
      </c>
      <c r="C235">
        <v>1257059.8700000001</v>
      </c>
      <c r="D235" s="24">
        <f t="shared" si="6"/>
        <v>827.01307236842115</v>
      </c>
      <c r="E235" s="50">
        <f t="shared" si="7"/>
        <v>2.0327148918931965E-4</v>
      </c>
      <c r="F235" s="51"/>
    </row>
    <row r="236" spans="1:6" ht="15.75" customHeight="1" x14ac:dyDescent="0.25">
      <c r="A236" t="s">
        <v>946</v>
      </c>
      <c r="C236">
        <v>14022391.68</v>
      </c>
      <c r="D236" s="24">
        <f t="shared" si="6"/>
        <v>9225.2576842105263</v>
      </c>
      <c r="E236" s="50">
        <f t="shared" si="7"/>
        <v>2.2674754853080513E-3</v>
      </c>
      <c r="F236" s="51"/>
    </row>
    <row r="237" spans="1:6" ht="15.75" customHeight="1" x14ac:dyDescent="0.25">
      <c r="A237" t="s">
        <v>425</v>
      </c>
      <c r="C237">
        <v>24873600</v>
      </c>
      <c r="D237" s="24">
        <f t="shared" si="6"/>
        <v>16364.21052631579</v>
      </c>
      <c r="E237" s="50">
        <f t="shared" si="7"/>
        <v>4.0221582393680753E-3</v>
      </c>
      <c r="F237" s="51"/>
    </row>
    <row r="238" spans="1:6" ht="15.75" customHeight="1" x14ac:dyDescent="0.25">
      <c r="A238" t="s">
        <v>1310</v>
      </c>
      <c r="C238">
        <v>1764000</v>
      </c>
      <c r="D238" s="24">
        <f t="shared" si="6"/>
        <v>1160.5263157894738</v>
      </c>
      <c r="E238" s="50">
        <f t="shared" si="7"/>
        <v>2.8524568756614583E-4</v>
      </c>
      <c r="F238" s="51"/>
    </row>
    <row r="239" spans="1:6" ht="15.75" customHeight="1" x14ac:dyDescent="0.25">
      <c r="A239" t="s">
        <v>427</v>
      </c>
      <c r="C239">
        <v>873454</v>
      </c>
      <c r="D239" s="24">
        <f t="shared" si="6"/>
        <v>574.64078947368421</v>
      </c>
      <c r="E239" s="50">
        <f t="shared" si="7"/>
        <v>1.4124092221507953E-4</v>
      </c>
      <c r="F239" s="51"/>
    </row>
    <row r="240" spans="1:6" ht="15.75" customHeight="1" x14ac:dyDescent="0.25">
      <c r="A240" t="s">
        <v>429</v>
      </c>
      <c r="C240">
        <v>3242048</v>
      </c>
      <c r="D240" s="24">
        <f t="shared" si="6"/>
        <v>2132.9263157894738</v>
      </c>
      <c r="E240" s="50">
        <f t="shared" si="7"/>
        <v>5.2425182022814505E-4</v>
      </c>
      <c r="F240" s="51"/>
    </row>
    <row r="241" spans="1:6" ht="15.75" customHeight="1" x14ac:dyDescent="0.25">
      <c r="A241" t="s">
        <v>431</v>
      </c>
      <c r="C241">
        <v>3537430.54</v>
      </c>
      <c r="D241" s="24">
        <f t="shared" si="6"/>
        <v>2327.2569342105262</v>
      </c>
      <c r="E241" s="50">
        <f t="shared" si="7"/>
        <v>5.7201633027198549E-4</v>
      </c>
      <c r="F241" s="51"/>
    </row>
    <row r="242" spans="1:6" ht="15.75" customHeight="1" x14ac:dyDescent="0.25">
      <c r="A242" t="s">
        <v>433</v>
      </c>
      <c r="C242">
        <v>1074310</v>
      </c>
      <c r="D242" s="24">
        <f t="shared" si="6"/>
        <v>706.78289473684208</v>
      </c>
      <c r="E242" s="50">
        <f t="shared" si="7"/>
        <v>1.7372012166053631E-4</v>
      </c>
      <c r="F242" s="51"/>
    </row>
    <row r="243" spans="1:6" ht="15.75" customHeight="1" x14ac:dyDescent="0.25">
      <c r="A243" t="s">
        <v>1314</v>
      </c>
      <c r="C243">
        <v>134000</v>
      </c>
      <c r="D243" s="24">
        <f t="shared" si="6"/>
        <v>88.15789473684211</v>
      </c>
      <c r="E243" s="50">
        <f t="shared" si="7"/>
        <v>2.1668323205138061E-5</v>
      </c>
      <c r="F243" s="51"/>
    </row>
    <row r="244" spans="1:6" ht="15.75" customHeight="1" x14ac:dyDescent="0.25">
      <c r="A244" t="s">
        <v>787</v>
      </c>
      <c r="C244">
        <v>1702352.52</v>
      </c>
      <c r="D244" s="24">
        <f t="shared" si="6"/>
        <v>1119.9687631578947</v>
      </c>
      <c r="E244" s="50">
        <f t="shared" si="7"/>
        <v>2.7527704934657651E-4</v>
      </c>
      <c r="F244" s="51"/>
    </row>
    <row r="245" spans="1:6" ht="15.75" customHeight="1" x14ac:dyDescent="0.25">
      <c r="A245" t="s">
        <v>789</v>
      </c>
      <c r="C245">
        <v>30158800</v>
      </c>
      <c r="D245" s="24">
        <f t="shared" si="6"/>
        <v>19841.315789473683</v>
      </c>
      <c r="E245" s="50">
        <f t="shared" si="7"/>
        <v>4.8767957155158035E-3</v>
      </c>
      <c r="F245" s="51"/>
    </row>
    <row r="246" spans="1:6" ht="15.75" customHeight="1" x14ac:dyDescent="0.25">
      <c r="A246" t="s">
        <v>947</v>
      </c>
      <c r="C246">
        <v>809020771.20000005</v>
      </c>
      <c r="D246" s="24">
        <f t="shared" si="6"/>
        <v>532250.50736842107</v>
      </c>
      <c r="E246" s="50">
        <f t="shared" si="7"/>
        <v>0.13082181753754962</v>
      </c>
      <c r="F246" s="51"/>
    </row>
    <row r="247" spans="1:6" ht="15.75" customHeight="1" x14ac:dyDescent="0.25">
      <c r="A247" t="s">
        <v>516</v>
      </c>
      <c r="C247">
        <v>2096688</v>
      </c>
      <c r="D247" s="24">
        <f t="shared" si="6"/>
        <v>1379.4</v>
      </c>
      <c r="E247" s="50">
        <f t="shared" si="7"/>
        <v>3.3904263615175005E-4</v>
      </c>
      <c r="F247" s="51"/>
    </row>
    <row r="248" spans="1:6" ht="15.75" customHeight="1" x14ac:dyDescent="0.25">
      <c r="A248" t="s">
        <v>435</v>
      </c>
      <c r="C248">
        <v>4259616.76</v>
      </c>
      <c r="D248" s="24">
        <f t="shared" ref="D248:D295" si="8">+C248/$D$3</f>
        <v>2802.3794473684211</v>
      </c>
      <c r="E248" s="50">
        <f t="shared" si="7"/>
        <v>6.887966618336044E-4</v>
      </c>
      <c r="F248" s="51"/>
    </row>
    <row r="249" spans="1:6" ht="15.75" customHeight="1" x14ac:dyDescent="0.25">
      <c r="A249" t="s">
        <v>1028</v>
      </c>
      <c r="C249">
        <v>37071990.369999997</v>
      </c>
      <c r="D249" s="24">
        <f t="shared" si="8"/>
        <v>24389.467348684208</v>
      </c>
      <c r="E249" s="50">
        <f t="shared" si="7"/>
        <v>5.9946855910069071E-3</v>
      </c>
      <c r="F249" s="51"/>
    </row>
    <row r="250" spans="1:6" ht="15.75" customHeight="1" x14ac:dyDescent="0.25">
      <c r="A250" t="s">
        <v>437</v>
      </c>
      <c r="C250">
        <v>143504000</v>
      </c>
      <c r="D250" s="24">
        <f t="shared" si="8"/>
        <v>94410.526315789481</v>
      </c>
      <c r="E250" s="50">
        <f t="shared" si="7"/>
        <v>2.3205157113657702E-2</v>
      </c>
      <c r="F250" s="51"/>
    </row>
    <row r="251" spans="1:6" ht="15.75" customHeight="1" x14ac:dyDescent="0.25">
      <c r="A251" t="s">
        <v>439</v>
      </c>
      <c r="C251">
        <v>8115779.6100000003</v>
      </c>
      <c r="D251" s="24">
        <f t="shared" si="8"/>
        <v>5339.3286907894735</v>
      </c>
      <c r="E251" s="50">
        <f t="shared" si="7"/>
        <v>1.3123532511279798E-3</v>
      </c>
      <c r="F251" s="51"/>
    </row>
    <row r="252" spans="1:6" ht="15.75" customHeight="1" x14ac:dyDescent="0.25">
      <c r="A252" t="s">
        <v>441</v>
      </c>
      <c r="C252">
        <v>8603100</v>
      </c>
      <c r="D252" s="24">
        <f t="shared" si="8"/>
        <v>5659.9342105263158</v>
      </c>
      <c r="E252" s="50">
        <f t="shared" si="7"/>
        <v>1.3911548609412182E-3</v>
      </c>
      <c r="F252" s="51"/>
    </row>
    <row r="253" spans="1:6" ht="15.75" customHeight="1" x14ac:dyDescent="0.25">
      <c r="A253" t="s">
        <v>518</v>
      </c>
      <c r="C253">
        <v>31395600</v>
      </c>
      <c r="D253" s="24">
        <f t="shared" si="8"/>
        <v>20655</v>
      </c>
      <c r="E253" s="50">
        <f t="shared" si="7"/>
        <v>5.0767911046211379E-3</v>
      </c>
      <c r="F253" s="51"/>
    </row>
    <row r="254" spans="1:6" ht="15.75" customHeight="1" x14ac:dyDescent="0.25">
      <c r="A254" t="s">
        <v>445</v>
      </c>
      <c r="C254">
        <v>25876207.34</v>
      </c>
      <c r="D254" s="24">
        <f t="shared" si="8"/>
        <v>17023.820618421054</v>
      </c>
      <c r="E254" s="50">
        <f t="shared" si="7"/>
        <v>4.184283760942431E-3</v>
      </c>
      <c r="F254" s="51"/>
    </row>
    <row r="255" spans="1:6" ht="15.75" customHeight="1" x14ac:dyDescent="0.25">
      <c r="A255" t="s">
        <v>520</v>
      </c>
      <c r="C255">
        <v>4404900</v>
      </c>
      <c r="D255" s="24">
        <f t="shared" si="8"/>
        <v>2897.9605263157896</v>
      </c>
      <c r="E255" s="50">
        <f t="shared" si="7"/>
        <v>7.1228952900233311E-4</v>
      </c>
      <c r="F255" s="51"/>
    </row>
    <row r="256" spans="1:6" ht="15.75" customHeight="1" x14ac:dyDescent="0.25">
      <c r="A256" t="s">
        <v>1316</v>
      </c>
      <c r="C256">
        <v>433451.04</v>
      </c>
      <c r="D256" s="24">
        <f t="shared" si="8"/>
        <v>285.16515789473681</v>
      </c>
      <c r="E256" s="50">
        <f t="shared" si="7"/>
        <v>7.0090725584501677E-5</v>
      </c>
      <c r="F256" s="51"/>
    </row>
    <row r="257" spans="1:6" ht="15.75" customHeight="1" x14ac:dyDescent="0.25">
      <c r="A257" t="s">
        <v>791</v>
      </c>
      <c r="C257">
        <v>133100</v>
      </c>
      <c r="D257" s="24">
        <f t="shared" si="8"/>
        <v>87.565789473684205</v>
      </c>
      <c r="E257" s="50">
        <f t="shared" si="7"/>
        <v>2.1522789691073697E-5</v>
      </c>
      <c r="F257" s="51"/>
    </row>
    <row r="258" spans="1:6" ht="15.75" customHeight="1" x14ac:dyDescent="0.25">
      <c r="A258" t="s">
        <v>1318</v>
      </c>
      <c r="C258">
        <v>5500000</v>
      </c>
      <c r="D258" s="24">
        <f t="shared" si="8"/>
        <v>3618.4210526315787</v>
      </c>
      <c r="E258" s="50">
        <f t="shared" si="7"/>
        <v>8.8937147483775605E-4</v>
      </c>
      <c r="F258" s="51"/>
    </row>
    <row r="259" spans="1:6" ht="15.75" customHeight="1" x14ac:dyDescent="0.25">
      <c r="A259" t="s">
        <v>948</v>
      </c>
      <c r="C259">
        <v>9360000</v>
      </c>
      <c r="D259" s="24">
        <f t="shared" si="8"/>
        <v>6157.894736842105</v>
      </c>
      <c r="E259" s="50">
        <f t="shared" si="7"/>
        <v>1.5135485462693448E-3</v>
      </c>
      <c r="F259" s="51"/>
    </row>
    <row r="260" spans="1:6" ht="15.75" customHeight="1" x14ac:dyDescent="0.25">
      <c r="A260" t="s">
        <v>449</v>
      </c>
      <c r="C260">
        <v>2169199.8199999998</v>
      </c>
      <c r="D260" s="24">
        <f t="shared" si="8"/>
        <v>1427.105144736842</v>
      </c>
      <c r="E260" s="50">
        <f t="shared" si="7"/>
        <v>3.5076808056930817E-4</v>
      </c>
      <c r="F260" s="51"/>
    </row>
    <row r="261" spans="1:6" ht="15.75" customHeight="1" x14ac:dyDescent="0.25">
      <c r="A261" t="s">
        <v>451</v>
      </c>
      <c r="C261">
        <v>2032800</v>
      </c>
      <c r="D261" s="24">
        <f t="shared" si="8"/>
        <v>1337.3684210526317</v>
      </c>
      <c r="E261" s="50">
        <f t="shared" ref="E261:E295" si="9">+D261/$D$296</f>
        <v>3.2871169710003468E-4</v>
      </c>
      <c r="F261" s="51"/>
    </row>
    <row r="262" spans="1:6" ht="15.75" customHeight="1" x14ac:dyDescent="0.25">
      <c r="A262" t="s">
        <v>1030</v>
      </c>
      <c r="C262">
        <v>620000</v>
      </c>
      <c r="D262" s="24">
        <f t="shared" si="8"/>
        <v>407.89473684210526</v>
      </c>
      <c r="E262" s="50">
        <f t="shared" si="9"/>
        <v>1.0025642079989251E-4</v>
      </c>
      <c r="F262" s="51"/>
    </row>
    <row r="263" spans="1:6" ht="15.75" customHeight="1" x14ac:dyDescent="0.25">
      <c r="A263" t="s">
        <v>453</v>
      </c>
      <c r="C263">
        <v>50716529.130000003</v>
      </c>
      <c r="D263" s="24">
        <f t="shared" si="8"/>
        <v>33366.137585526318</v>
      </c>
      <c r="E263" s="50">
        <f t="shared" si="9"/>
        <v>8.2010607838182044E-3</v>
      </c>
      <c r="F263" s="51"/>
    </row>
    <row r="264" spans="1:6" ht="15.75" customHeight="1" x14ac:dyDescent="0.25">
      <c r="A264" t="s">
        <v>795</v>
      </c>
      <c r="C264">
        <v>886096.57</v>
      </c>
      <c r="D264" s="24">
        <f t="shared" si="8"/>
        <v>582.95826973684211</v>
      </c>
      <c r="E264" s="50">
        <f t="shared" si="9"/>
        <v>1.4328527514719582E-4</v>
      </c>
      <c r="F264" s="51"/>
    </row>
    <row r="265" spans="1:6" ht="15.75" customHeight="1" x14ac:dyDescent="0.25">
      <c r="A265" t="s">
        <v>522</v>
      </c>
      <c r="C265">
        <v>4449843.9800000004</v>
      </c>
      <c r="D265" s="24">
        <f t="shared" si="8"/>
        <v>2927.5289342105266</v>
      </c>
      <c r="E265" s="50">
        <f t="shared" si="9"/>
        <v>7.1955714605282024E-4</v>
      </c>
      <c r="F265" s="51"/>
    </row>
    <row r="266" spans="1:6" ht="15.75" customHeight="1" x14ac:dyDescent="0.25">
      <c r="A266" t="s">
        <v>455</v>
      </c>
      <c r="C266">
        <v>68908</v>
      </c>
      <c r="D266" s="24">
        <f t="shared" si="8"/>
        <v>45.334210526315786</v>
      </c>
      <c r="E266" s="50">
        <f t="shared" si="9"/>
        <v>1.1142692652385473E-5</v>
      </c>
      <c r="F266" s="51"/>
    </row>
    <row r="267" spans="1:6" ht="15.75" customHeight="1" x14ac:dyDescent="0.25">
      <c r="A267" t="s">
        <v>459</v>
      </c>
      <c r="C267">
        <v>23140480.289999999</v>
      </c>
      <c r="D267" s="24">
        <f t="shared" si="8"/>
        <v>15224.000190789473</v>
      </c>
      <c r="E267" s="50">
        <f t="shared" si="9"/>
        <v>3.741906015267514E-3</v>
      </c>
      <c r="F267" s="51"/>
    </row>
    <row r="268" spans="1:6" ht="15.75" customHeight="1" x14ac:dyDescent="0.25">
      <c r="A268" t="s">
        <v>524</v>
      </c>
      <c r="C268">
        <v>1566653.54</v>
      </c>
      <c r="D268" s="24">
        <f t="shared" si="8"/>
        <v>1030.6931184210528</v>
      </c>
      <c r="E268" s="50">
        <f t="shared" si="9"/>
        <v>2.5333399444174397E-4</v>
      </c>
      <c r="F268" s="51"/>
    </row>
    <row r="269" spans="1:6" ht="15.75" customHeight="1" x14ac:dyDescent="0.25">
      <c r="A269" t="s">
        <v>949</v>
      </c>
      <c r="C269">
        <v>36072.33</v>
      </c>
      <c r="D269" s="24">
        <f t="shared" si="8"/>
        <v>23.73179605263158</v>
      </c>
      <c r="E269" s="50">
        <f t="shared" si="9"/>
        <v>5.8330366059880432E-6</v>
      </c>
      <c r="F269" s="51"/>
    </row>
    <row r="270" spans="1:6" ht="15.75" customHeight="1" x14ac:dyDescent="0.25">
      <c r="A270" t="s">
        <v>461</v>
      </c>
      <c r="C270">
        <v>1999405</v>
      </c>
      <c r="D270" s="24">
        <f t="shared" si="8"/>
        <v>1315.3980263157894</v>
      </c>
      <c r="E270" s="50">
        <f t="shared" si="9"/>
        <v>3.2331159520872433E-4</v>
      </c>
      <c r="F270" s="51"/>
    </row>
    <row r="271" spans="1:6" ht="15.75" customHeight="1" x14ac:dyDescent="0.25">
      <c r="A271" t="s">
        <v>701</v>
      </c>
      <c r="C271">
        <v>715288.64</v>
      </c>
      <c r="D271" s="24">
        <f t="shared" si="8"/>
        <v>470.58463157894738</v>
      </c>
      <c r="E271" s="50">
        <f t="shared" si="9"/>
        <v>1.1566496594390778E-4</v>
      </c>
      <c r="F271" s="51"/>
    </row>
    <row r="272" spans="1:6" ht="15.75" customHeight="1" x14ac:dyDescent="0.25">
      <c r="A272" t="s">
        <v>463</v>
      </c>
      <c r="C272">
        <v>1515774.35</v>
      </c>
      <c r="D272" s="24">
        <f t="shared" si="8"/>
        <v>997.21996710526321</v>
      </c>
      <c r="E272" s="50">
        <f t="shared" si="9"/>
        <v>2.4510663076013475E-4</v>
      </c>
      <c r="F272" s="51"/>
    </row>
    <row r="273" spans="1:6" ht="15.75" customHeight="1" x14ac:dyDescent="0.25">
      <c r="A273" t="s">
        <v>465</v>
      </c>
      <c r="C273">
        <v>-0.01</v>
      </c>
      <c r="D273" s="24">
        <f t="shared" si="8"/>
        <v>-6.578947368421053E-6</v>
      </c>
      <c r="E273" s="50">
        <f t="shared" si="9"/>
        <v>-1.6170390451595568E-12</v>
      </c>
      <c r="F273" s="51"/>
    </row>
    <row r="274" spans="1:6" ht="15.75" customHeight="1" x14ac:dyDescent="0.25">
      <c r="A274" t="s">
        <v>467</v>
      </c>
      <c r="C274">
        <v>1398760</v>
      </c>
      <c r="D274" s="24">
        <f t="shared" si="8"/>
        <v>920.23684210526312</v>
      </c>
      <c r="E274" s="50">
        <f t="shared" si="9"/>
        <v>2.2618495348073815E-4</v>
      </c>
      <c r="F274" s="51"/>
    </row>
    <row r="275" spans="1:6" ht="15.75" customHeight="1" x14ac:dyDescent="0.25">
      <c r="A275" t="s">
        <v>1320</v>
      </c>
      <c r="C275">
        <v>49265.25</v>
      </c>
      <c r="D275" s="24">
        <f t="shared" si="8"/>
        <v>32.411348684210523</v>
      </c>
      <c r="E275" s="50">
        <f t="shared" si="9"/>
        <v>7.9663832819546835E-6</v>
      </c>
      <c r="F275" s="51"/>
    </row>
    <row r="276" spans="1:6" ht="15.75" customHeight="1" x14ac:dyDescent="0.25">
      <c r="A276" t="s">
        <v>950</v>
      </c>
      <c r="C276">
        <v>9256500</v>
      </c>
      <c r="D276" s="24">
        <f t="shared" si="8"/>
        <v>6089.8026315789475</v>
      </c>
      <c r="E276" s="50">
        <f t="shared" si="9"/>
        <v>1.4968121921519436E-3</v>
      </c>
      <c r="F276" s="51"/>
    </row>
    <row r="277" spans="1:6" ht="15.75" customHeight="1" x14ac:dyDescent="0.25">
      <c r="A277" t="s">
        <v>951</v>
      </c>
      <c r="C277">
        <v>4540622.21</v>
      </c>
      <c r="D277" s="24">
        <f t="shared" si="8"/>
        <v>2987.2514539473682</v>
      </c>
      <c r="E277" s="50">
        <f t="shared" si="9"/>
        <v>7.3423634028886749E-4</v>
      </c>
      <c r="F277" s="51"/>
    </row>
    <row r="278" spans="1:6" ht="15.75" customHeight="1" x14ac:dyDescent="0.25">
      <c r="A278" t="s">
        <v>526</v>
      </c>
      <c r="C278">
        <v>6492515.7999999998</v>
      </c>
      <c r="D278" s="24">
        <f t="shared" si="8"/>
        <v>4271.3919736842108</v>
      </c>
      <c r="E278" s="50">
        <f t="shared" si="9"/>
        <v>1.0498651549915336E-3</v>
      </c>
      <c r="F278" s="51"/>
    </row>
    <row r="279" spans="1:6" ht="15.75" customHeight="1" x14ac:dyDescent="0.25">
      <c r="A279" t="s">
        <v>469</v>
      </c>
      <c r="C279">
        <v>-381975.11</v>
      </c>
      <c r="D279" s="24">
        <f t="shared" si="8"/>
        <v>-251.29941447368421</v>
      </c>
      <c r="E279" s="50">
        <f t="shared" si="9"/>
        <v>-6.1766866714911664E-5</v>
      </c>
      <c r="F279" s="51"/>
    </row>
    <row r="280" spans="1:6" ht="15.75" customHeight="1" x14ac:dyDescent="0.25">
      <c r="A280" t="s">
        <v>1322</v>
      </c>
      <c r="C280">
        <v>200000</v>
      </c>
      <c r="D280" s="24">
        <f t="shared" si="8"/>
        <v>131.57894736842104</v>
      </c>
      <c r="E280" s="50">
        <f t="shared" si="9"/>
        <v>3.2340780903191129E-5</v>
      </c>
      <c r="F280" s="51"/>
    </row>
    <row r="281" spans="1:6" ht="15.75" customHeight="1" x14ac:dyDescent="0.25">
      <c r="A281" t="s">
        <v>1324</v>
      </c>
      <c r="C281">
        <v>850000</v>
      </c>
      <c r="D281" s="24">
        <f t="shared" si="8"/>
        <v>559.21052631578948</v>
      </c>
      <c r="E281" s="50">
        <f t="shared" si="9"/>
        <v>1.3744831883856233E-4</v>
      </c>
      <c r="F281" s="51"/>
    </row>
    <row r="282" spans="1:6" ht="15.75" customHeight="1" x14ac:dyDescent="0.25">
      <c r="A282" t="s">
        <v>528</v>
      </c>
      <c r="C282">
        <v>1619601.19</v>
      </c>
      <c r="D282" s="24">
        <f t="shared" si="8"/>
        <v>1065.5270986842104</v>
      </c>
      <c r="E282" s="50">
        <f t="shared" si="9"/>
        <v>2.6189583618168813E-4</v>
      </c>
      <c r="F282" s="51"/>
    </row>
    <row r="283" spans="1:6" ht="15.75" customHeight="1" x14ac:dyDescent="0.25">
      <c r="A283" t="s">
        <v>471</v>
      </c>
      <c r="C283">
        <v>1292788.2</v>
      </c>
      <c r="D283" s="24">
        <f t="shared" si="8"/>
        <v>850.51855263157893</v>
      </c>
      <c r="E283" s="50">
        <f t="shared" si="9"/>
        <v>2.0904889965215419E-4</v>
      </c>
      <c r="F283" s="51"/>
    </row>
    <row r="284" spans="1:6" ht="15.75" customHeight="1" x14ac:dyDescent="0.25">
      <c r="A284" t="s">
        <v>473</v>
      </c>
      <c r="C284">
        <v>103368198.42</v>
      </c>
      <c r="D284" s="24">
        <f t="shared" si="8"/>
        <v>68005.393697368418</v>
      </c>
      <c r="E284" s="50">
        <f t="shared" si="9"/>
        <v>1.6715041287294039E-2</v>
      </c>
      <c r="F284" s="51"/>
    </row>
    <row r="285" spans="1:6" ht="15.75" customHeight="1" x14ac:dyDescent="0.25">
      <c r="A285" t="s">
        <v>996</v>
      </c>
      <c r="C285">
        <v>596640</v>
      </c>
      <c r="D285" s="24">
        <f t="shared" si="8"/>
        <v>392.5263157894737</v>
      </c>
      <c r="E285" s="50">
        <f t="shared" si="9"/>
        <v>9.6479017590399795E-5</v>
      </c>
      <c r="F285" s="51"/>
    </row>
    <row r="286" spans="1:6" ht="15.75" customHeight="1" x14ac:dyDescent="0.25">
      <c r="A286" t="s">
        <v>1000</v>
      </c>
      <c r="C286">
        <v>5436651</v>
      </c>
      <c r="D286" s="24">
        <f t="shared" si="8"/>
        <v>3576.7440789473685</v>
      </c>
      <c r="E286" s="50">
        <f t="shared" si="9"/>
        <v>8.7912769419057487E-4</v>
      </c>
      <c r="F286" s="51"/>
    </row>
    <row r="287" spans="1:6" ht="15.75" customHeight="1" x14ac:dyDescent="0.25">
      <c r="A287" t="s">
        <v>799</v>
      </c>
      <c r="C287">
        <v>194724.82</v>
      </c>
      <c r="D287" s="24">
        <f t="shared" si="8"/>
        <v>128.10843421052633</v>
      </c>
      <c r="E287" s="50">
        <f t="shared" si="9"/>
        <v>3.1487763700166656E-5</v>
      </c>
      <c r="F287" s="51"/>
    </row>
    <row r="288" spans="1:6" ht="15.75" customHeight="1" x14ac:dyDescent="0.25">
      <c r="A288" t="s">
        <v>952</v>
      </c>
      <c r="C288">
        <v>11100000</v>
      </c>
      <c r="D288" s="24">
        <f t="shared" si="8"/>
        <v>7302.6315789473683</v>
      </c>
      <c r="E288" s="50">
        <f t="shared" si="9"/>
        <v>1.7949133401271079E-3</v>
      </c>
      <c r="F288" s="51"/>
    </row>
    <row r="289" spans="1:21" ht="15.75" customHeight="1" x14ac:dyDescent="0.25">
      <c r="A289" t="s">
        <v>475</v>
      </c>
      <c r="C289">
        <v>37766536.020000003</v>
      </c>
      <c r="D289" s="24">
        <f t="shared" si="8"/>
        <v>24846.405276315792</v>
      </c>
      <c r="E289" s="50">
        <f t="shared" si="9"/>
        <v>6.1069963344764812E-3</v>
      </c>
      <c r="F289" s="51"/>
    </row>
    <row r="290" spans="1:21" ht="15.75" customHeight="1" x14ac:dyDescent="0.25">
      <c r="A290" t="s">
        <v>477</v>
      </c>
      <c r="C290">
        <v>542415177.77999997</v>
      </c>
      <c r="D290" s="24">
        <f t="shared" si="8"/>
        <v>356852.09064473683</v>
      </c>
      <c r="E290" s="50">
        <f t="shared" si="9"/>
        <v>8.7710652115742235E-2</v>
      </c>
      <c r="F290" s="51"/>
    </row>
    <row r="291" spans="1:21" ht="15.75" customHeight="1" x14ac:dyDescent="0.25">
      <c r="A291" t="s">
        <v>479</v>
      </c>
      <c r="C291">
        <v>356224</v>
      </c>
      <c r="D291" s="24">
        <f t="shared" si="8"/>
        <v>234.3578947368421</v>
      </c>
      <c r="E291" s="50">
        <f t="shared" si="9"/>
        <v>5.7602811682291788E-5</v>
      </c>
      <c r="F291" s="51"/>
    </row>
    <row r="292" spans="1:21" ht="15.75" customHeight="1" x14ac:dyDescent="0.25">
      <c r="A292" t="s">
        <v>530</v>
      </c>
      <c r="C292">
        <v>519345.07</v>
      </c>
      <c r="D292" s="24">
        <f t="shared" si="8"/>
        <v>341.67438815789473</v>
      </c>
      <c r="E292" s="50">
        <f t="shared" si="9"/>
        <v>8.398012561011231E-5</v>
      </c>
      <c r="F292" s="51"/>
    </row>
    <row r="293" spans="1:21" ht="15.75" customHeight="1" x14ac:dyDescent="0.25">
      <c r="A293" t="s">
        <v>834</v>
      </c>
      <c r="C293">
        <v>6484747.5199999996</v>
      </c>
      <c r="D293" s="24">
        <f t="shared" si="8"/>
        <v>4266.2812631578945</v>
      </c>
      <c r="E293" s="50">
        <f t="shared" si="9"/>
        <v>1.0486089937841601E-3</v>
      </c>
      <c r="F293" s="51"/>
    </row>
    <row r="294" spans="1:21" ht="15.75" customHeight="1" x14ac:dyDescent="0.25">
      <c r="A294" t="s">
        <v>953</v>
      </c>
      <c r="C294">
        <v>19422105</v>
      </c>
      <c r="D294" s="24">
        <f t="shared" si="8"/>
        <v>12777.700657894737</v>
      </c>
      <c r="E294" s="50">
        <f t="shared" si="9"/>
        <v>3.1406302124188652E-3</v>
      </c>
      <c r="F294" s="51"/>
    </row>
    <row r="295" spans="1:21" ht="15.75" customHeight="1" x14ac:dyDescent="0.25">
      <c r="A295" t="s">
        <v>484</v>
      </c>
      <c r="C295">
        <v>662692773.13999999</v>
      </c>
      <c r="D295" s="24">
        <f t="shared" si="8"/>
        <v>435982.08759210526</v>
      </c>
      <c r="E295" s="50">
        <f t="shared" si="9"/>
        <v>0.10716000891124443</v>
      </c>
      <c r="F295" s="51"/>
    </row>
    <row r="296" spans="1:21" ht="18" customHeight="1" x14ac:dyDescent="0.25">
      <c r="A296" s="41" t="s">
        <v>166</v>
      </c>
      <c r="B296" s="42"/>
      <c r="C296" s="43">
        <f>SUM(C5:C295)</f>
        <v>6184142572.1499977</v>
      </c>
      <c r="D296" s="43">
        <f>SUM(D5:D295)</f>
        <v>4068514.850098684</v>
      </c>
      <c r="E296" s="43">
        <f>SUM(E5:E295)</f>
        <v>0.99999999999999989</v>
      </c>
      <c r="F296" s="42"/>
      <c r="K296" t="s">
        <v>224</v>
      </c>
      <c r="L296" t="s">
        <v>225</v>
      </c>
      <c r="M296" t="s">
        <v>540</v>
      </c>
      <c r="N296" t="s">
        <v>595</v>
      </c>
      <c r="O296">
        <v>17200000</v>
      </c>
      <c r="P296" t="s">
        <v>596</v>
      </c>
      <c r="Q296">
        <v>81112000</v>
      </c>
      <c r="R296">
        <v>30000000</v>
      </c>
      <c r="S296">
        <v>0</v>
      </c>
      <c r="T296">
        <v>59850000</v>
      </c>
      <c r="U296">
        <v>188162000</v>
      </c>
    </row>
    <row r="297" spans="1:21" x14ac:dyDescent="0.25">
      <c r="K297" t="s">
        <v>228</v>
      </c>
      <c r="L297" t="s">
        <v>227</v>
      </c>
      <c r="M297" t="s">
        <v>540</v>
      </c>
      <c r="N297" t="s">
        <v>597</v>
      </c>
      <c r="O297">
        <v>0</v>
      </c>
      <c r="P297" t="s">
        <v>598</v>
      </c>
      <c r="Q297">
        <v>72096293.780000001</v>
      </c>
      <c r="R297">
        <v>0</v>
      </c>
      <c r="S297">
        <v>0</v>
      </c>
      <c r="T297">
        <v>0</v>
      </c>
      <c r="U297">
        <v>72096293.780000001</v>
      </c>
    </row>
    <row r="298" spans="1:21" ht="15" customHeight="1" x14ac:dyDescent="0.25">
      <c r="A298" s="83" t="s">
        <v>167</v>
      </c>
      <c r="B298" s="83"/>
      <c r="C298" s="83"/>
      <c r="D298" s="83"/>
      <c r="E298" s="83"/>
      <c r="F298" s="83"/>
      <c r="K298" t="s">
        <v>229</v>
      </c>
      <c r="L298" t="s">
        <v>227</v>
      </c>
      <c r="M298" t="s">
        <v>540</v>
      </c>
      <c r="N298" t="s">
        <v>597</v>
      </c>
      <c r="O298">
        <v>0</v>
      </c>
      <c r="P298" t="s">
        <v>598</v>
      </c>
      <c r="Q298">
        <v>73352280.769999996</v>
      </c>
      <c r="R298">
        <v>0</v>
      </c>
      <c r="S298">
        <v>0</v>
      </c>
      <c r="T298">
        <v>0</v>
      </c>
      <c r="U298">
        <v>73352280.769999996</v>
      </c>
    </row>
    <row r="299" spans="1:21" x14ac:dyDescent="0.25">
      <c r="K299" t="s">
        <v>1235</v>
      </c>
      <c r="L299" t="s">
        <v>1236</v>
      </c>
      <c r="M299" t="s">
        <v>540</v>
      </c>
      <c r="N299" t="s">
        <v>589</v>
      </c>
      <c r="O299">
        <v>560405.35</v>
      </c>
      <c r="P299" t="s">
        <v>590</v>
      </c>
      <c r="Q299">
        <v>0</v>
      </c>
      <c r="R299">
        <v>0</v>
      </c>
      <c r="S299">
        <v>0</v>
      </c>
      <c r="T299">
        <v>0</v>
      </c>
      <c r="U299">
        <v>560405.35</v>
      </c>
    </row>
    <row r="300" spans="1:21" x14ac:dyDescent="0.25">
      <c r="K300" t="s">
        <v>861</v>
      </c>
      <c r="L300" t="s">
        <v>862</v>
      </c>
      <c r="M300" t="s">
        <v>540</v>
      </c>
      <c r="N300" t="s">
        <v>863</v>
      </c>
      <c r="O300">
        <v>0</v>
      </c>
      <c r="P300" t="s">
        <v>864</v>
      </c>
      <c r="Q300">
        <v>2504920.48</v>
      </c>
      <c r="R300">
        <v>7246169.25</v>
      </c>
      <c r="S300">
        <v>0</v>
      </c>
      <c r="T300">
        <v>0</v>
      </c>
      <c r="U300">
        <v>9751089.7300000004</v>
      </c>
    </row>
    <row r="301" spans="1:21" x14ac:dyDescent="0.25">
      <c r="K301" t="s">
        <v>232</v>
      </c>
      <c r="L301" t="s">
        <v>233</v>
      </c>
      <c r="M301" t="s">
        <v>540</v>
      </c>
      <c r="N301" t="s">
        <v>601</v>
      </c>
      <c r="O301">
        <v>10003969.5</v>
      </c>
      <c r="P301" t="s">
        <v>602</v>
      </c>
      <c r="Q301">
        <v>5622496.4199999999</v>
      </c>
      <c r="R301">
        <v>0</v>
      </c>
      <c r="S301">
        <v>0</v>
      </c>
      <c r="T301">
        <v>0</v>
      </c>
      <c r="U301">
        <v>15626465.92</v>
      </c>
    </row>
    <row r="302" spans="1:21" x14ac:dyDescent="0.25">
      <c r="K302" t="s">
        <v>1237</v>
      </c>
      <c r="L302" t="s">
        <v>1238</v>
      </c>
      <c r="M302" t="s">
        <v>540</v>
      </c>
      <c r="N302" t="s">
        <v>1239</v>
      </c>
      <c r="O302">
        <v>119200</v>
      </c>
      <c r="P302" t="s">
        <v>1240</v>
      </c>
      <c r="Q302">
        <v>0</v>
      </c>
      <c r="R302">
        <v>0</v>
      </c>
      <c r="S302">
        <v>0</v>
      </c>
      <c r="T302">
        <v>0</v>
      </c>
      <c r="U302">
        <v>119200</v>
      </c>
    </row>
    <row r="303" spans="1:21" x14ac:dyDescent="0.25">
      <c r="K303" t="s">
        <v>234</v>
      </c>
      <c r="L303" t="s">
        <v>235</v>
      </c>
      <c r="M303" t="s">
        <v>540</v>
      </c>
      <c r="N303" t="s">
        <v>603</v>
      </c>
      <c r="O303">
        <v>0</v>
      </c>
      <c r="P303" t="s">
        <v>604</v>
      </c>
      <c r="Q303">
        <v>0</v>
      </c>
      <c r="R303">
        <v>0</v>
      </c>
      <c r="S303">
        <v>0</v>
      </c>
      <c r="T303">
        <v>-204.43</v>
      </c>
      <c r="U303">
        <v>-204.43</v>
      </c>
    </row>
    <row r="304" spans="1:21" x14ac:dyDescent="0.25">
      <c r="K304" t="s">
        <v>958</v>
      </c>
      <c r="L304" t="s">
        <v>959</v>
      </c>
      <c r="M304" t="s">
        <v>540</v>
      </c>
      <c r="N304" t="s">
        <v>569</v>
      </c>
      <c r="O304">
        <v>0</v>
      </c>
      <c r="P304" t="s">
        <v>570</v>
      </c>
      <c r="Q304">
        <v>0</v>
      </c>
      <c r="R304">
        <v>204974</v>
      </c>
      <c r="S304">
        <v>0</v>
      </c>
      <c r="T304">
        <v>0</v>
      </c>
      <c r="U304">
        <v>204974</v>
      </c>
    </row>
    <row r="305" spans="11:21" x14ac:dyDescent="0.25">
      <c r="K305" t="s">
        <v>1241</v>
      </c>
      <c r="L305" t="s">
        <v>1242</v>
      </c>
      <c r="M305" t="s">
        <v>540</v>
      </c>
      <c r="N305" t="s">
        <v>631</v>
      </c>
      <c r="O305">
        <v>1290000</v>
      </c>
      <c r="P305" t="s">
        <v>632</v>
      </c>
      <c r="Q305">
        <v>0</v>
      </c>
      <c r="R305">
        <v>0</v>
      </c>
      <c r="S305">
        <v>0</v>
      </c>
      <c r="T305">
        <v>0</v>
      </c>
      <c r="U305">
        <v>1290000</v>
      </c>
    </row>
    <row r="306" spans="11:21" x14ac:dyDescent="0.25">
      <c r="K306" t="s">
        <v>236</v>
      </c>
      <c r="L306" t="s">
        <v>237</v>
      </c>
      <c r="M306" t="s">
        <v>540</v>
      </c>
      <c r="N306" t="s">
        <v>553</v>
      </c>
      <c r="O306">
        <v>5986113.9800000004</v>
      </c>
      <c r="P306" t="s">
        <v>554</v>
      </c>
      <c r="Q306">
        <v>0</v>
      </c>
      <c r="R306">
        <v>0</v>
      </c>
      <c r="S306">
        <v>0</v>
      </c>
      <c r="T306">
        <v>0</v>
      </c>
      <c r="U306">
        <v>5986113.9800000004</v>
      </c>
    </row>
    <row r="307" spans="11:21" x14ac:dyDescent="0.25">
      <c r="K307" t="s">
        <v>1037</v>
      </c>
      <c r="L307" t="s">
        <v>1038</v>
      </c>
      <c r="M307" t="s">
        <v>540</v>
      </c>
      <c r="N307" t="s">
        <v>955</v>
      </c>
      <c r="O307">
        <v>4450622</v>
      </c>
      <c r="P307" t="s">
        <v>956</v>
      </c>
      <c r="Q307">
        <v>0</v>
      </c>
      <c r="R307">
        <v>0</v>
      </c>
      <c r="S307">
        <v>0</v>
      </c>
      <c r="T307">
        <v>0</v>
      </c>
      <c r="U307">
        <v>4450622</v>
      </c>
    </row>
    <row r="308" spans="11:21" x14ac:dyDescent="0.25">
      <c r="K308" t="s">
        <v>238</v>
      </c>
      <c r="L308" t="s">
        <v>239</v>
      </c>
      <c r="M308" t="s">
        <v>540</v>
      </c>
      <c r="N308" t="s">
        <v>605</v>
      </c>
      <c r="O308">
        <v>0</v>
      </c>
      <c r="P308" t="s">
        <v>606</v>
      </c>
      <c r="Q308">
        <v>561415.81000000006</v>
      </c>
      <c r="R308">
        <v>493716.31</v>
      </c>
      <c r="S308">
        <v>0</v>
      </c>
      <c r="T308">
        <v>0</v>
      </c>
      <c r="U308">
        <v>1055132.1200000001</v>
      </c>
    </row>
    <row r="309" spans="11:21" x14ac:dyDescent="0.25">
      <c r="K309" t="s">
        <v>1243</v>
      </c>
      <c r="L309" t="s">
        <v>1244</v>
      </c>
      <c r="M309" t="s">
        <v>540</v>
      </c>
      <c r="N309" t="s">
        <v>710</v>
      </c>
      <c r="O309">
        <v>2934008</v>
      </c>
      <c r="P309" t="s">
        <v>711</v>
      </c>
      <c r="Q309">
        <v>2924328</v>
      </c>
      <c r="R309">
        <v>0</v>
      </c>
      <c r="S309">
        <v>0</v>
      </c>
      <c r="T309">
        <v>0</v>
      </c>
      <c r="U309">
        <v>5858336</v>
      </c>
    </row>
    <row r="310" spans="11:21" x14ac:dyDescent="0.25">
      <c r="K310" t="s">
        <v>240</v>
      </c>
      <c r="L310" t="s">
        <v>241</v>
      </c>
      <c r="M310" t="s">
        <v>540</v>
      </c>
      <c r="N310" t="s">
        <v>607</v>
      </c>
      <c r="O310">
        <v>4818624.34</v>
      </c>
      <c r="P310" t="s">
        <v>608</v>
      </c>
      <c r="Q310">
        <v>11669472.35</v>
      </c>
      <c r="R310">
        <v>0</v>
      </c>
      <c r="S310">
        <v>0</v>
      </c>
      <c r="T310">
        <v>0</v>
      </c>
      <c r="U310">
        <v>16488096.689999999</v>
      </c>
    </row>
    <row r="311" spans="11:21" x14ac:dyDescent="0.25">
      <c r="K311" t="s">
        <v>242</v>
      </c>
      <c r="L311" t="s">
        <v>243</v>
      </c>
      <c r="M311" t="s">
        <v>540</v>
      </c>
      <c r="N311" t="s">
        <v>609</v>
      </c>
      <c r="O311">
        <v>1122980.99</v>
      </c>
      <c r="P311" t="s">
        <v>610</v>
      </c>
      <c r="Q311">
        <v>0</v>
      </c>
      <c r="R311">
        <v>0</v>
      </c>
      <c r="S311">
        <v>0</v>
      </c>
      <c r="T311">
        <v>0</v>
      </c>
      <c r="U311">
        <v>1122980.99</v>
      </c>
    </row>
    <row r="312" spans="11:21" x14ac:dyDescent="0.25">
      <c r="K312" t="s">
        <v>244</v>
      </c>
      <c r="L312" t="s">
        <v>245</v>
      </c>
      <c r="M312" t="s">
        <v>540</v>
      </c>
      <c r="N312" t="s">
        <v>573</v>
      </c>
      <c r="O312">
        <v>93482.1</v>
      </c>
      <c r="P312" t="s">
        <v>574</v>
      </c>
      <c r="Q312">
        <v>927544.11</v>
      </c>
      <c r="R312">
        <v>0</v>
      </c>
      <c r="S312">
        <v>0</v>
      </c>
      <c r="T312">
        <v>0</v>
      </c>
      <c r="U312">
        <v>1021026.21</v>
      </c>
    </row>
    <row r="313" spans="11:21" x14ac:dyDescent="0.25">
      <c r="K313" t="s">
        <v>246</v>
      </c>
      <c r="L313" t="s">
        <v>247</v>
      </c>
      <c r="M313" t="s">
        <v>540</v>
      </c>
      <c r="N313" t="s">
        <v>553</v>
      </c>
      <c r="O313">
        <v>1684417.3</v>
      </c>
      <c r="P313" t="s">
        <v>554</v>
      </c>
      <c r="Q313">
        <v>0</v>
      </c>
      <c r="R313">
        <v>0</v>
      </c>
      <c r="S313">
        <v>0</v>
      </c>
      <c r="T313">
        <v>0</v>
      </c>
      <c r="U313">
        <v>1684417.3</v>
      </c>
    </row>
    <row r="314" spans="11:21" x14ac:dyDescent="0.25">
      <c r="K314" t="s">
        <v>248</v>
      </c>
      <c r="L314" t="s">
        <v>249</v>
      </c>
      <c r="M314" t="s">
        <v>540</v>
      </c>
      <c r="N314" t="s">
        <v>553</v>
      </c>
      <c r="O314">
        <v>2055259.54</v>
      </c>
      <c r="P314" t="s">
        <v>554</v>
      </c>
      <c r="Q314">
        <v>0</v>
      </c>
      <c r="R314">
        <v>0</v>
      </c>
      <c r="S314">
        <v>0</v>
      </c>
      <c r="T314">
        <v>0</v>
      </c>
      <c r="U314">
        <v>2055259.54</v>
      </c>
    </row>
    <row r="315" spans="11:21" x14ac:dyDescent="0.25">
      <c r="K315" t="s">
        <v>960</v>
      </c>
      <c r="L315" t="s">
        <v>934</v>
      </c>
      <c r="M315" t="s">
        <v>540</v>
      </c>
      <c r="N315" t="s">
        <v>615</v>
      </c>
      <c r="O315">
        <v>0</v>
      </c>
      <c r="P315" t="s">
        <v>616</v>
      </c>
      <c r="Q315">
        <v>2732223</v>
      </c>
      <c r="R315">
        <v>0</v>
      </c>
      <c r="S315">
        <v>0</v>
      </c>
      <c r="T315">
        <v>0</v>
      </c>
      <c r="U315">
        <v>2732223</v>
      </c>
    </row>
    <row r="316" spans="11:21" x14ac:dyDescent="0.25">
      <c r="K316" t="s">
        <v>613</v>
      </c>
      <c r="L316" t="s">
        <v>614</v>
      </c>
      <c r="M316" t="s">
        <v>540</v>
      </c>
      <c r="N316" t="s">
        <v>615</v>
      </c>
      <c r="O316">
        <v>0</v>
      </c>
      <c r="P316" t="s">
        <v>616</v>
      </c>
      <c r="Q316">
        <v>5448610</v>
      </c>
      <c r="R316">
        <v>0</v>
      </c>
      <c r="S316">
        <v>0</v>
      </c>
      <c r="T316">
        <v>0</v>
      </c>
      <c r="U316">
        <v>5448610</v>
      </c>
    </row>
    <row r="317" spans="11:21" x14ac:dyDescent="0.25">
      <c r="K317" t="s">
        <v>250</v>
      </c>
      <c r="L317" t="s">
        <v>251</v>
      </c>
      <c r="M317" t="s">
        <v>540</v>
      </c>
      <c r="N317" t="s">
        <v>617</v>
      </c>
      <c r="O317">
        <v>3824226.56</v>
      </c>
      <c r="P317" t="s">
        <v>618</v>
      </c>
      <c r="Q317">
        <v>1089440.77</v>
      </c>
      <c r="R317">
        <v>0</v>
      </c>
      <c r="S317">
        <v>0</v>
      </c>
      <c r="T317">
        <v>16896865.920000002</v>
      </c>
      <c r="U317">
        <v>21810533.25</v>
      </c>
    </row>
    <row r="318" spans="11:21" x14ac:dyDescent="0.25">
      <c r="K318" t="s">
        <v>738</v>
      </c>
      <c r="L318" t="s">
        <v>739</v>
      </c>
      <c r="M318" t="s">
        <v>540</v>
      </c>
      <c r="N318" t="s">
        <v>740</v>
      </c>
      <c r="O318">
        <v>129011.68</v>
      </c>
      <c r="P318" t="s">
        <v>741</v>
      </c>
      <c r="Q318">
        <v>78007.06</v>
      </c>
      <c r="R318">
        <v>0</v>
      </c>
      <c r="S318">
        <v>0</v>
      </c>
      <c r="T318">
        <v>0</v>
      </c>
      <c r="U318">
        <v>207018.74</v>
      </c>
    </row>
    <row r="319" spans="11:21" x14ac:dyDescent="0.25">
      <c r="K319" t="s">
        <v>256</v>
      </c>
      <c r="L319" t="s">
        <v>257</v>
      </c>
      <c r="M319" t="s">
        <v>540</v>
      </c>
      <c r="N319" t="s">
        <v>585</v>
      </c>
      <c r="O319">
        <v>4525763</v>
      </c>
      <c r="P319" t="s">
        <v>586</v>
      </c>
      <c r="Q319">
        <v>8179600</v>
      </c>
      <c r="R319">
        <v>0</v>
      </c>
      <c r="S319">
        <v>0</v>
      </c>
      <c r="T319">
        <v>0</v>
      </c>
      <c r="U319">
        <v>12705363</v>
      </c>
    </row>
    <row r="320" spans="11:21" x14ac:dyDescent="0.25">
      <c r="K320" t="s">
        <v>1245</v>
      </c>
      <c r="L320" t="s">
        <v>1246</v>
      </c>
      <c r="M320" t="s">
        <v>540</v>
      </c>
      <c r="N320" t="s">
        <v>1247</v>
      </c>
      <c r="O320">
        <v>224585038.05000001</v>
      </c>
      <c r="P320" t="s">
        <v>1248</v>
      </c>
      <c r="Q320">
        <v>0</v>
      </c>
      <c r="R320">
        <v>0</v>
      </c>
      <c r="S320">
        <v>0</v>
      </c>
      <c r="T320">
        <v>0</v>
      </c>
      <c r="U320">
        <v>224585038.05000001</v>
      </c>
    </row>
    <row r="321" spans="11:21" x14ac:dyDescent="0.25">
      <c r="K321" t="s">
        <v>1249</v>
      </c>
      <c r="L321" t="s">
        <v>1250</v>
      </c>
      <c r="M321" t="s">
        <v>540</v>
      </c>
      <c r="N321" t="s">
        <v>1247</v>
      </c>
      <c r="O321">
        <v>14857649.17</v>
      </c>
      <c r="P321" t="s">
        <v>1248</v>
      </c>
      <c r="Q321">
        <v>0</v>
      </c>
      <c r="R321">
        <v>0</v>
      </c>
      <c r="S321">
        <v>0</v>
      </c>
      <c r="T321">
        <v>0</v>
      </c>
      <c r="U321">
        <v>14857649.17</v>
      </c>
    </row>
    <row r="322" spans="11:21" x14ac:dyDescent="0.25">
      <c r="K322" t="s">
        <v>258</v>
      </c>
      <c r="L322" t="s">
        <v>259</v>
      </c>
      <c r="M322" t="s">
        <v>540</v>
      </c>
      <c r="N322" t="s">
        <v>563</v>
      </c>
      <c r="O322">
        <v>0</v>
      </c>
      <c r="P322" t="s">
        <v>564</v>
      </c>
      <c r="Q322">
        <v>2090000</v>
      </c>
      <c r="R322">
        <v>0</v>
      </c>
      <c r="S322">
        <v>0</v>
      </c>
      <c r="T322">
        <v>0</v>
      </c>
      <c r="U322">
        <v>2090000</v>
      </c>
    </row>
    <row r="323" spans="11:21" x14ac:dyDescent="0.25">
      <c r="K323" t="s">
        <v>260</v>
      </c>
      <c r="L323" t="s">
        <v>261</v>
      </c>
      <c r="M323" t="s">
        <v>540</v>
      </c>
      <c r="N323" t="s">
        <v>615</v>
      </c>
      <c r="O323">
        <v>8190001.1600000001</v>
      </c>
      <c r="P323" t="s">
        <v>616</v>
      </c>
      <c r="Q323">
        <v>15232001.51</v>
      </c>
      <c r="R323">
        <v>0</v>
      </c>
      <c r="S323">
        <v>0</v>
      </c>
      <c r="T323">
        <v>0</v>
      </c>
      <c r="U323">
        <v>23422002.670000002</v>
      </c>
    </row>
    <row r="324" spans="11:21" x14ac:dyDescent="0.25">
      <c r="K324" t="s">
        <v>262</v>
      </c>
      <c r="L324" t="s">
        <v>263</v>
      </c>
      <c r="M324" t="s">
        <v>540</v>
      </c>
      <c r="N324" t="s">
        <v>621</v>
      </c>
      <c r="O324">
        <v>900600.15</v>
      </c>
      <c r="P324" t="s">
        <v>622</v>
      </c>
      <c r="Q324">
        <v>1836257.45</v>
      </c>
      <c r="R324">
        <v>0</v>
      </c>
      <c r="S324">
        <v>0</v>
      </c>
      <c r="T324">
        <v>0</v>
      </c>
      <c r="U324">
        <v>2736857.6</v>
      </c>
    </row>
    <row r="325" spans="11:21" x14ac:dyDescent="0.25">
      <c r="K325" t="s">
        <v>264</v>
      </c>
      <c r="L325" t="s">
        <v>265</v>
      </c>
      <c r="M325" t="s">
        <v>540</v>
      </c>
      <c r="N325" t="s">
        <v>623</v>
      </c>
      <c r="O325">
        <v>7883556.4299999997</v>
      </c>
      <c r="P325" t="s">
        <v>624</v>
      </c>
      <c r="Q325">
        <v>22850026.02</v>
      </c>
      <c r="R325">
        <v>8525228.3800000008</v>
      </c>
      <c r="S325">
        <v>0</v>
      </c>
      <c r="T325">
        <v>0</v>
      </c>
      <c r="U325">
        <v>39258810.829999998</v>
      </c>
    </row>
    <row r="326" spans="11:21" x14ac:dyDescent="0.25">
      <c r="K326" t="s">
        <v>266</v>
      </c>
      <c r="L326" t="s">
        <v>267</v>
      </c>
      <c r="M326" t="s">
        <v>540</v>
      </c>
      <c r="N326" t="s">
        <v>545</v>
      </c>
      <c r="O326">
        <v>1323534.06</v>
      </c>
      <c r="P326" t="s">
        <v>546</v>
      </c>
      <c r="Q326">
        <v>5751816.5</v>
      </c>
      <c r="R326">
        <v>301657.03000000003</v>
      </c>
      <c r="S326">
        <v>0</v>
      </c>
      <c r="T326">
        <v>0</v>
      </c>
      <c r="U326">
        <v>7377007.5899999999</v>
      </c>
    </row>
    <row r="327" spans="11:21" x14ac:dyDescent="0.25">
      <c r="K327" t="s">
        <v>1251</v>
      </c>
      <c r="L327" t="s">
        <v>1252</v>
      </c>
      <c r="M327" t="s">
        <v>540</v>
      </c>
      <c r="N327" t="s">
        <v>563</v>
      </c>
      <c r="O327">
        <v>0</v>
      </c>
      <c r="P327" t="s">
        <v>564</v>
      </c>
      <c r="Q327">
        <v>459800</v>
      </c>
      <c r="R327">
        <v>0</v>
      </c>
      <c r="S327">
        <v>0</v>
      </c>
      <c r="T327">
        <v>0</v>
      </c>
      <c r="U327">
        <v>459800</v>
      </c>
    </row>
    <row r="328" spans="11:21" x14ac:dyDescent="0.25">
      <c r="K328" t="s">
        <v>270</v>
      </c>
      <c r="L328" t="s">
        <v>271</v>
      </c>
      <c r="M328" t="s">
        <v>540</v>
      </c>
      <c r="N328" t="s">
        <v>601</v>
      </c>
      <c r="O328">
        <v>0</v>
      </c>
      <c r="P328" t="s">
        <v>602</v>
      </c>
      <c r="Q328">
        <v>0</v>
      </c>
      <c r="R328">
        <v>0</v>
      </c>
      <c r="S328">
        <v>0</v>
      </c>
      <c r="T328">
        <v>290181.01</v>
      </c>
      <c r="U328">
        <v>290181.01</v>
      </c>
    </row>
    <row r="329" spans="11:21" x14ac:dyDescent="0.25">
      <c r="K329" t="s">
        <v>274</v>
      </c>
      <c r="L329" t="s">
        <v>275</v>
      </c>
      <c r="M329" t="s">
        <v>540</v>
      </c>
      <c r="N329" t="s">
        <v>577</v>
      </c>
      <c r="O329">
        <v>914205.47</v>
      </c>
      <c r="P329" t="s">
        <v>578</v>
      </c>
      <c r="Q329">
        <v>0</v>
      </c>
      <c r="R329">
        <v>0</v>
      </c>
      <c r="S329">
        <v>0</v>
      </c>
      <c r="T329">
        <v>0</v>
      </c>
      <c r="U329">
        <v>914205.47</v>
      </c>
    </row>
    <row r="330" spans="11:21" x14ac:dyDescent="0.25">
      <c r="K330" t="s">
        <v>276</v>
      </c>
      <c r="L330" t="s">
        <v>277</v>
      </c>
      <c r="M330" t="s">
        <v>540</v>
      </c>
      <c r="N330" t="s">
        <v>627</v>
      </c>
      <c r="O330">
        <v>74314302.409999996</v>
      </c>
      <c r="P330" t="s">
        <v>628</v>
      </c>
      <c r="Q330">
        <v>37318460.25</v>
      </c>
      <c r="R330">
        <v>0</v>
      </c>
      <c r="S330">
        <v>0</v>
      </c>
      <c r="T330">
        <v>0</v>
      </c>
      <c r="U330">
        <v>111632762.66</v>
      </c>
    </row>
    <row r="331" spans="11:21" x14ac:dyDescent="0.25">
      <c r="K331" t="s">
        <v>810</v>
      </c>
      <c r="L331" t="s">
        <v>811</v>
      </c>
      <c r="M331" t="s">
        <v>540</v>
      </c>
      <c r="N331" t="s">
        <v>589</v>
      </c>
      <c r="O331">
        <v>0</v>
      </c>
      <c r="P331" t="s">
        <v>590</v>
      </c>
      <c r="Q331">
        <v>1545453.35</v>
      </c>
      <c r="R331">
        <v>0</v>
      </c>
      <c r="S331">
        <v>0</v>
      </c>
      <c r="T331">
        <v>0</v>
      </c>
      <c r="U331">
        <v>1545453.35</v>
      </c>
    </row>
    <row r="332" spans="11:21" x14ac:dyDescent="0.25">
      <c r="K332" t="s">
        <v>742</v>
      </c>
      <c r="L332" t="s">
        <v>743</v>
      </c>
      <c r="M332" t="s">
        <v>540</v>
      </c>
      <c r="N332" t="s">
        <v>623</v>
      </c>
      <c r="O332">
        <v>156668.35999999999</v>
      </c>
      <c r="P332" t="s">
        <v>624</v>
      </c>
      <c r="Q332">
        <v>0</v>
      </c>
      <c r="R332">
        <v>0</v>
      </c>
      <c r="S332">
        <v>0</v>
      </c>
      <c r="T332">
        <v>0</v>
      </c>
      <c r="U332">
        <v>156668.35999999999</v>
      </c>
    </row>
    <row r="333" spans="11:21" x14ac:dyDescent="0.25">
      <c r="K333" t="s">
        <v>961</v>
      </c>
      <c r="L333" t="s">
        <v>935</v>
      </c>
      <c r="M333" t="s">
        <v>540</v>
      </c>
      <c r="N333" t="s">
        <v>551</v>
      </c>
      <c r="O333">
        <v>0</v>
      </c>
      <c r="P333" t="s">
        <v>552</v>
      </c>
      <c r="Q333">
        <v>5641522.7599999998</v>
      </c>
      <c r="R333">
        <v>0</v>
      </c>
      <c r="S333">
        <v>0</v>
      </c>
      <c r="T333">
        <v>0</v>
      </c>
      <c r="U333">
        <v>5641522.7599999998</v>
      </c>
    </row>
    <row r="334" spans="11:21" x14ac:dyDescent="0.25">
      <c r="K334" t="s">
        <v>280</v>
      </c>
      <c r="L334" t="s">
        <v>281</v>
      </c>
      <c r="M334" t="s">
        <v>540</v>
      </c>
      <c r="N334" t="s">
        <v>559</v>
      </c>
      <c r="O334">
        <v>780000</v>
      </c>
      <c r="P334" t="s">
        <v>560</v>
      </c>
      <c r="Q334">
        <v>780000</v>
      </c>
      <c r="R334">
        <v>0</v>
      </c>
      <c r="S334">
        <v>0</v>
      </c>
      <c r="T334">
        <v>0</v>
      </c>
      <c r="U334">
        <v>1560000</v>
      </c>
    </row>
    <row r="335" spans="11:21" x14ac:dyDescent="0.25">
      <c r="K335" t="s">
        <v>282</v>
      </c>
      <c r="L335" t="s">
        <v>283</v>
      </c>
      <c r="M335" t="s">
        <v>540</v>
      </c>
      <c r="N335" t="s">
        <v>631</v>
      </c>
      <c r="O335">
        <v>0</v>
      </c>
      <c r="P335" t="s">
        <v>632</v>
      </c>
      <c r="Q335">
        <v>250000</v>
      </c>
      <c r="R335">
        <v>0</v>
      </c>
      <c r="S335">
        <v>0</v>
      </c>
      <c r="T335">
        <v>0</v>
      </c>
      <c r="U335">
        <v>250000</v>
      </c>
    </row>
    <row r="336" spans="11:21" x14ac:dyDescent="0.25">
      <c r="K336" t="s">
        <v>1253</v>
      </c>
      <c r="L336" t="s">
        <v>1254</v>
      </c>
      <c r="M336" t="s">
        <v>540</v>
      </c>
      <c r="N336" t="s">
        <v>601</v>
      </c>
      <c r="O336">
        <v>745360</v>
      </c>
      <c r="P336" t="s">
        <v>602</v>
      </c>
      <c r="Q336">
        <v>0</v>
      </c>
      <c r="R336">
        <v>0</v>
      </c>
      <c r="S336">
        <v>0</v>
      </c>
      <c r="T336">
        <v>0</v>
      </c>
      <c r="U336">
        <v>745360</v>
      </c>
    </row>
    <row r="337" spans="11:21" x14ac:dyDescent="0.25">
      <c r="K337" t="s">
        <v>286</v>
      </c>
      <c r="L337" t="s">
        <v>287</v>
      </c>
      <c r="M337" t="s">
        <v>540</v>
      </c>
      <c r="N337" t="s">
        <v>635</v>
      </c>
      <c r="O337">
        <v>2284782.5</v>
      </c>
      <c r="P337" t="s">
        <v>636</v>
      </c>
      <c r="Q337">
        <v>5547366</v>
      </c>
      <c r="R337">
        <v>0</v>
      </c>
      <c r="S337">
        <v>0</v>
      </c>
      <c r="T337">
        <v>0</v>
      </c>
      <c r="U337">
        <v>7832148.5</v>
      </c>
    </row>
    <row r="338" spans="11:21" x14ac:dyDescent="0.25">
      <c r="K338" t="s">
        <v>290</v>
      </c>
      <c r="L338" t="s">
        <v>291</v>
      </c>
      <c r="M338" t="s">
        <v>540</v>
      </c>
      <c r="N338" t="s">
        <v>623</v>
      </c>
      <c r="O338">
        <v>203054.78</v>
      </c>
      <c r="P338" t="s">
        <v>624</v>
      </c>
      <c r="Q338">
        <v>315110.03999999998</v>
      </c>
      <c r="R338">
        <v>1011212.81</v>
      </c>
      <c r="S338">
        <v>0</v>
      </c>
      <c r="T338">
        <v>0</v>
      </c>
      <c r="U338">
        <v>1529377.63</v>
      </c>
    </row>
    <row r="339" spans="11:21" x14ac:dyDescent="0.25">
      <c r="K339" t="s">
        <v>746</v>
      </c>
      <c r="L339" t="s">
        <v>747</v>
      </c>
      <c r="M339" t="s">
        <v>540</v>
      </c>
      <c r="N339" t="s">
        <v>589</v>
      </c>
      <c r="O339">
        <v>863907.66</v>
      </c>
      <c r="P339" t="s">
        <v>590</v>
      </c>
      <c r="Q339">
        <v>0</v>
      </c>
      <c r="R339">
        <v>7422548.5800000001</v>
      </c>
      <c r="S339">
        <v>0</v>
      </c>
      <c r="T339">
        <v>0</v>
      </c>
      <c r="U339">
        <v>8286456.2400000002</v>
      </c>
    </row>
    <row r="340" spans="11:21" x14ac:dyDescent="0.25">
      <c r="K340" t="s">
        <v>292</v>
      </c>
      <c r="L340" t="s">
        <v>293</v>
      </c>
      <c r="M340" t="s">
        <v>540</v>
      </c>
      <c r="N340" t="s">
        <v>551</v>
      </c>
      <c r="O340">
        <v>0</v>
      </c>
      <c r="P340" t="s">
        <v>552</v>
      </c>
      <c r="Q340">
        <v>3296403</v>
      </c>
      <c r="R340">
        <v>1311519.3</v>
      </c>
      <c r="S340">
        <v>0</v>
      </c>
      <c r="T340">
        <v>0</v>
      </c>
      <c r="U340">
        <v>4607922.3</v>
      </c>
    </row>
    <row r="341" spans="11:21" x14ac:dyDescent="0.25">
      <c r="K341" t="s">
        <v>294</v>
      </c>
      <c r="L341" t="s">
        <v>295</v>
      </c>
      <c r="M341" t="s">
        <v>540</v>
      </c>
      <c r="N341" t="s">
        <v>589</v>
      </c>
      <c r="O341">
        <v>0</v>
      </c>
      <c r="P341" t="s">
        <v>590</v>
      </c>
      <c r="Q341">
        <v>65521212.590000004</v>
      </c>
      <c r="R341">
        <v>0</v>
      </c>
      <c r="S341">
        <v>0</v>
      </c>
      <c r="T341">
        <v>-3904.38</v>
      </c>
      <c r="U341">
        <v>65517308.210000001</v>
      </c>
    </row>
    <row r="342" spans="11:21" x14ac:dyDescent="0.25">
      <c r="K342" t="s">
        <v>962</v>
      </c>
      <c r="L342" t="s">
        <v>936</v>
      </c>
      <c r="M342" t="s">
        <v>540</v>
      </c>
      <c r="N342" t="s">
        <v>639</v>
      </c>
      <c r="O342">
        <v>754435</v>
      </c>
      <c r="P342" t="s">
        <v>640</v>
      </c>
      <c r="Q342">
        <v>0</v>
      </c>
      <c r="R342">
        <v>0</v>
      </c>
      <c r="S342">
        <v>0</v>
      </c>
      <c r="T342">
        <v>0</v>
      </c>
      <c r="U342">
        <v>754435</v>
      </c>
    </row>
    <row r="343" spans="11:21" x14ac:dyDescent="0.25">
      <c r="K343" t="s">
        <v>296</v>
      </c>
      <c r="L343" t="s">
        <v>297</v>
      </c>
      <c r="M343" t="s">
        <v>540</v>
      </c>
      <c r="N343" t="s">
        <v>585</v>
      </c>
      <c r="O343">
        <v>103304.96000000001</v>
      </c>
      <c r="P343" t="s">
        <v>586</v>
      </c>
      <c r="Q343">
        <v>58728.56</v>
      </c>
      <c r="R343">
        <v>0</v>
      </c>
      <c r="S343">
        <v>0</v>
      </c>
      <c r="T343">
        <v>0</v>
      </c>
      <c r="U343">
        <v>162033.51999999999</v>
      </c>
    </row>
    <row r="344" spans="11:21" x14ac:dyDescent="0.25">
      <c r="K344" t="s">
        <v>300</v>
      </c>
      <c r="L344" t="s">
        <v>301</v>
      </c>
      <c r="M344" t="s">
        <v>540</v>
      </c>
      <c r="N344" t="s">
        <v>641</v>
      </c>
      <c r="O344">
        <v>0</v>
      </c>
      <c r="P344" t="s">
        <v>642</v>
      </c>
      <c r="Q344">
        <v>0</v>
      </c>
      <c r="R344">
        <v>0</v>
      </c>
      <c r="S344">
        <v>0</v>
      </c>
      <c r="T344">
        <v>40367.35</v>
      </c>
      <c r="U344">
        <v>40367.35</v>
      </c>
    </row>
    <row r="345" spans="11:21" x14ac:dyDescent="0.25">
      <c r="K345" t="s">
        <v>1255</v>
      </c>
      <c r="L345" t="s">
        <v>1256</v>
      </c>
      <c r="M345" t="s">
        <v>540</v>
      </c>
      <c r="N345" t="s">
        <v>659</v>
      </c>
      <c r="O345">
        <v>0</v>
      </c>
      <c r="P345" t="s">
        <v>660</v>
      </c>
      <c r="Q345">
        <v>-34358145.119999997</v>
      </c>
      <c r="R345">
        <v>0</v>
      </c>
      <c r="S345">
        <v>0</v>
      </c>
      <c r="T345">
        <v>0</v>
      </c>
      <c r="U345">
        <v>-34358145.119999997</v>
      </c>
    </row>
    <row r="346" spans="11:21" x14ac:dyDescent="0.25">
      <c r="K346" t="s">
        <v>1257</v>
      </c>
      <c r="L346" t="s">
        <v>1258</v>
      </c>
      <c r="M346" t="s">
        <v>540</v>
      </c>
      <c r="N346" t="s">
        <v>559</v>
      </c>
      <c r="O346">
        <v>30700000</v>
      </c>
      <c r="P346" t="s">
        <v>560</v>
      </c>
      <c r="Q346">
        <v>0</v>
      </c>
      <c r="R346">
        <v>0</v>
      </c>
      <c r="S346">
        <v>0</v>
      </c>
      <c r="T346">
        <v>0</v>
      </c>
      <c r="U346">
        <v>30700000</v>
      </c>
    </row>
    <row r="347" spans="11:21" x14ac:dyDescent="0.25">
      <c r="K347" t="s">
        <v>963</v>
      </c>
      <c r="L347" t="s">
        <v>937</v>
      </c>
      <c r="M347" t="s">
        <v>540</v>
      </c>
      <c r="N347" t="s">
        <v>955</v>
      </c>
      <c r="O347">
        <v>6522747</v>
      </c>
      <c r="P347" t="s">
        <v>956</v>
      </c>
      <c r="Q347">
        <v>0</v>
      </c>
      <c r="R347">
        <v>0</v>
      </c>
      <c r="S347">
        <v>0</v>
      </c>
      <c r="T347">
        <v>0</v>
      </c>
      <c r="U347">
        <v>6522747</v>
      </c>
    </row>
    <row r="348" spans="11:21" x14ac:dyDescent="0.25">
      <c r="K348" t="s">
        <v>499</v>
      </c>
      <c r="L348" t="s">
        <v>500</v>
      </c>
      <c r="M348" t="s">
        <v>540</v>
      </c>
      <c r="N348" t="s">
        <v>639</v>
      </c>
      <c r="O348">
        <v>478385.6</v>
      </c>
      <c r="P348" t="s">
        <v>640</v>
      </c>
      <c r="Q348">
        <v>471900</v>
      </c>
      <c r="R348">
        <v>459800</v>
      </c>
      <c r="S348">
        <v>0</v>
      </c>
      <c r="T348">
        <v>0</v>
      </c>
      <c r="U348">
        <v>1410085.6</v>
      </c>
    </row>
    <row r="349" spans="11:21" x14ac:dyDescent="0.25">
      <c r="K349" t="s">
        <v>302</v>
      </c>
      <c r="L349" t="s">
        <v>303</v>
      </c>
      <c r="M349" t="s">
        <v>540</v>
      </c>
      <c r="N349" t="s">
        <v>577</v>
      </c>
      <c r="O349">
        <v>4078750</v>
      </c>
      <c r="P349" t="s">
        <v>578</v>
      </c>
      <c r="Q349">
        <v>0</v>
      </c>
      <c r="R349">
        <v>0</v>
      </c>
      <c r="S349">
        <v>0</v>
      </c>
      <c r="T349">
        <v>0</v>
      </c>
      <c r="U349">
        <v>4078750</v>
      </c>
    </row>
    <row r="350" spans="11:21" x14ac:dyDescent="0.25">
      <c r="K350" t="s">
        <v>1259</v>
      </c>
      <c r="L350" t="s">
        <v>1260</v>
      </c>
      <c r="M350" t="s">
        <v>540</v>
      </c>
      <c r="N350" t="s">
        <v>617</v>
      </c>
      <c r="O350">
        <v>0</v>
      </c>
      <c r="P350" t="s">
        <v>618</v>
      </c>
      <c r="Q350">
        <v>19500000</v>
      </c>
      <c r="R350">
        <v>0</v>
      </c>
      <c r="S350">
        <v>0</v>
      </c>
      <c r="T350">
        <v>0</v>
      </c>
      <c r="U350">
        <v>19500000</v>
      </c>
    </row>
    <row r="351" spans="11:21" x14ac:dyDescent="0.25">
      <c r="K351" t="s">
        <v>306</v>
      </c>
      <c r="L351" t="s">
        <v>307</v>
      </c>
      <c r="M351" t="s">
        <v>540</v>
      </c>
      <c r="N351" t="s">
        <v>621</v>
      </c>
      <c r="O351">
        <v>0</v>
      </c>
      <c r="P351" t="s">
        <v>622</v>
      </c>
      <c r="Q351">
        <v>0</v>
      </c>
      <c r="R351">
        <v>0</v>
      </c>
      <c r="S351">
        <v>0</v>
      </c>
      <c r="T351">
        <v>-387219.15</v>
      </c>
      <c r="U351">
        <v>-387219.15</v>
      </c>
    </row>
    <row r="352" spans="11:21" x14ac:dyDescent="0.25">
      <c r="K352" t="s">
        <v>308</v>
      </c>
      <c r="L352" t="s">
        <v>309</v>
      </c>
      <c r="M352" t="s">
        <v>540</v>
      </c>
      <c r="N352" t="s">
        <v>563</v>
      </c>
      <c r="O352">
        <v>3453147.61</v>
      </c>
      <c r="P352" t="s">
        <v>564</v>
      </c>
      <c r="Q352">
        <v>0</v>
      </c>
      <c r="R352">
        <v>0</v>
      </c>
      <c r="S352">
        <v>0</v>
      </c>
      <c r="T352">
        <v>0</v>
      </c>
      <c r="U352">
        <v>3453147.61</v>
      </c>
    </row>
    <row r="353" spans="11:21" x14ac:dyDescent="0.25">
      <c r="K353" t="s">
        <v>310</v>
      </c>
      <c r="L353" t="s">
        <v>311</v>
      </c>
      <c r="M353" t="s">
        <v>540</v>
      </c>
      <c r="N353" t="s">
        <v>553</v>
      </c>
      <c r="O353">
        <v>544500</v>
      </c>
      <c r="P353" t="s">
        <v>554</v>
      </c>
      <c r="Q353">
        <v>471900</v>
      </c>
      <c r="R353">
        <v>0</v>
      </c>
      <c r="S353">
        <v>0</v>
      </c>
      <c r="T353">
        <v>0</v>
      </c>
      <c r="U353">
        <v>1016400</v>
      </c>
    </row>
    <row r="354" spans="11:21" x14ac:dyDescent="0.25">
      <c r="K354" t="s">
        <v>964</v>
      </c>
      <c r="L354" t="s">
        <v>938</v>
      </c>
      <c r="M354" t="s">
        <v>540</v>
      </c>
      <c r="N354" t="s">
        <v>549</v>
      </c>
      <c r="O354">
        <v>11556066.609999999</v>
      </c>
      <c r="P354" t="s">
        <v>550</v>
      </c>
      <c r="Q354">
        <v>17261918</v>
      </c>
      <c r="R354">
        <v>0</v>
      </c>
      <c r="S354">
        <v>0</v>
      </c>
      <c r="T354">
        <v>0</v>
      </c>
      <c r="U354">
        <v>28817984.609999999</v>
      </c>
    </row>
    <row r="355" spans="11:21" x14ac:dyDescent="0.25">
      <c r="K355" t="s">
        <v>1261</v>
      </c>
      <c r="L355" t="s">
        <v>1262</v>
      </c>
      <c r="M355" t="s">
        <v>540</v>
      </c>
      <c r="N355" t="s">
        <v>559</v>
      </c>
      <c r="O355">
        <v>0</v>
      </c>
      <c r="P355" t="s">
        <v>560</v>
      </c>
      <c r="Q355">
        <v>24805</v>
      </c>
      <c r="R355">
        <v>0</v>
      </c>
      <c r="S355">
        <v>0</v>
      </c>
      <c r="T355">
        <v>0</v>
      </c>
      <c r="U355">
        <v>24805</v>
      </c>
    </row>
    <row r="356" spans="11:21" x14ac:dyDescent="0.25">
      <c r="K356" t="s">
        <v>312</v>
      </c>
      <c r="L356" t="s">
        <v>313</v>
      </c>
      <c r="M356" t="s">
        <v>540</v>
      </c>
      <c r="N356" t="s">
        <v>643</v>
      </c>
      <c r="O356">
        <v>1004849.28</v>
      </c>
      <c r="P356" t="s">
        <v>644</v>
      </c>
      <c r="Q356">
        <v>342503.65</v>
      </c>
      <c r="R356">
        <v>0</v>
      </c>
      <c r="S356">
        <v>0</v>
      </c>
      <c r="T356">
        <v>0</v>
      </c>
      <c r="U356">
        <v>1347352.93</v>
      </c>
    </row>
    <row r="357" spans="11:21" x14ac:dyDescent="0.25">
      <c r="K357" t="s">
        <v>1011</v>
      </c>
      <c r="L357" t="s">
        <v>1012</v>
      </c>
      <c r="M357" t="s">
        <v>540</v>
      </c>
      <c r="N357" t="s">
        <v>639</v>
      </c>
      <c r="O357">
        <v>0</v>
      </c>
      <c r="P357" t="s">
        <v>640</v>
      </c>
      <c r="Q357">
        <v>0</v>
      </c>
      <c r="R357">
        <v>2300000</v>
      </c>
      <c r="S357">
        <v>0</v>
      </c>
      <c r="T357">
        <v>0</v>
      </c>
      <c r="U357">
        <v>2300000</v>
      </c>
    </row>
    <row r="358" spans="11:21" x14ac:dyDescent="0.25">
      <c r="K358" t="s">
        <v>965</v>
      </c>
      <c r="L358" t="s">
        <v>939</v>
      </c>
      <c r="M358" t="s">
        <v>540</v>
      </c>
      <c r="N358" t="s">
        <v>607</v>
      </c>
      <c r="O358">
        <v>39523.050000000003</v>
      </c>
      <c r="P358" t="s">
        <v>608</v>
      </c>
      <c r="Q358">
        <v>674096.06</v>
      </c>
      <c r="R358">
        <v>2772702.3</v>
      </c>
      <c r="S358">
        <v>0</v>
      </c>
      <c r="T358">
        <v>0</v>
      </c>
      <c r="U358">
        <v>3486321.41</v>
      </c>
    </row>
    <row r="359" spans="11:21" x14ac:dyDescent="0.25">
      <c r="K359" t="s">
        <v>812</v>
      </c>
      <c r="L359" t="s">
        <v>813</v>
      </c>
      <c r="M359" t="s">
        <v>540</v>
      </c>
      <c r="N359" t="s">
        <v>545</v>
      </c>
      <c r="O359">
        <v>1766503.2</v>
      </c>
      <c r="P359" t="s">
        <v>546</v>
      </c>
      <c r="Q359">
        <v>0</v>
      </c>
      <c r="R359">
        <v>0</v>
      </c>
      <c r="S359">
        <v>0</v>
      </c>
      <c r="T359">
        <v>0</v>
      </c>
      <c r="U359">
        <v>1766503.2</v>
      </c>
    </row>
    <row r="360" spans="11:21" x14ac:dyDescent="0.25">
      <c r="K360" t="s">
        <v>501</v>
      </c>
      <c r="L360" t="s">
        <v>502</v>
      </c>
      <c r="M360" t="s">
        <v>540</v>
      </c>
      <c r="N360" t="s">
        <v>645</v>
      </c>
      <c r="O360">
        <v>1820000</v>
      </c>
      <c r="P360" t="s">
        <v>646</v>
      </c>
      <c r="Q360">
        <v>0</v>
      </c>
      <c r="R360">
        <v>0</v>
      </c>
      <c r="S360">
        <v>0</v>
      </c>
      <c r="T360">
        <v>0</v>
      </c>
      <c r="U360">
        <v>1820000</v>
      </c>
    </row>
    <row r="361" spans="11:21" x14ac:dyDescent="0.25">
      <c r="K361" t="s">
        <v>966</v>
      </c>
      <c r="L361" t="s">
        <v>940</v>
      </c>
      <c r="M361" t="s">
        <v>540</v>
      </c>
      <c r="N361" t="s">
        <v>967</v>
      </c>
      <c r="O361">
        <v>0</v>
      </c>
      <c r="P361" t="s">
        <v>968</v>
      </c>
      <c r="Q361">
        <v>3444500</v>
      </c>
      <c r="R361">
        <v>0</v>
      </c>
      <c r="S361">
        <v>0</v>
      </c>
      <c r="T361">
        <v>0</v>
      </c>
      <c r="U361">
        <v>3444500</v>
      </c>
    </row>
    <row r="362" spans="11:21" x14ac:dyDescent="0.25">
      <c r="K362" t="s">
        <v>314</v>
      </c>
      <c r="L362" t="s">
        <v>315</v>
      </c>
      <c r="M362" t="s">
        <v>540</v>
      </c>
      <c r="N362" t="s">
        <v>647</v>
      </c>
      <c r="O362">
        <v>0</v>
      </c>
      <c r="P362" t="s">
        <v>648</v>
      </c>
      <c r="Q362">
        <v>763000</v>
      </c>
      <c r="R362">
        <v>0</v>
      </c>
      <c r="S362">
        <v>0</v>
      </c>
      <c r="T362">
        <v>0</v>
      </c>
      <c r="U362">
        <v>763000</v>
      </c>
    </row>
    <row r="363" spans="11:21" x14ac:dyDescent="0.25">
      <c r="K363" t="s">
        <v>1263</v>
      </c>
      <c r="L363" t="s">
        <v>1264</v>
      </c>
      <c r="M363" t="s">
        <v>540</v>
      </c>
      <c r="N363" t="s">
        <v>545</v>
      </c>
      <c r="O363">
        <v>17755.47</v>
      </c>
      <c r="P363" t="s">
        <v>546</v>
      </c>
      <c r="Q363">
        <v>647123.37</v>
      </c>
      <c r="R363">
        <v>0</v>
      </c>
      <c r="S363">
        <v>0</v>
      </c>
      <c r="T363">
        <v>0</v>
      </c>
      <c r="U363">
        <v>664878.84</v>
      </c>
    </row>
    <row r="364" spans="11:21" x14ac:dyDescent="0.25">
      <c r="K364" t="s">
        <v>316</v>
      </c>
      <c r="L364" t="s">
        <v>317</v>
      </c>
      <c r="M364" t="s">
        <v>540</v>
      </c>
      <c r="N364" t="s">
        <v>553</v>
      </c>
      <c r="O364">
        <v>0</v>
      </c>
      <c r="P364" t="s">
        <v>554</v>
      </c>
      <c r="Q364">
        <v>341629.6</v>
      </c>
      <c r="R364">
        <v>0</v>
      </c>
      <c r="S364">
        <v>0</v>
      </c>
      <c r="T364">
        <v>0</v>
      </c>
      <c r="U364">
        <v>341629.6</v>
      </c>
    </row>
    <row r="365" spans="11:21" x14ac:dyDescent="0.25">
      <c r="K365" t="s">
        <v>1265</v>
      </c>
      <c r="L365" t="s">
        <v>1266</v>
      </c>
      <c r="M365" t="s">
        <v>540</v>
      </c>
      <c r="N365" t="s">
        <v>541</v>
      </c>
      <c r="O365">
        <v>729826.74</v>
      </c>
      <c r="P365" t="s">
        <v>542</v>
      </c>
      <c r="Q365">
        <v>0</v>
      </c>
      <c r="R365">
        <v>0</v>
      </c>
      <c r="S365">
        <v>0</v>
      </c>
      <c r="T365">
        <v>0</v>
      </c>
      <c r="U365">
        <v>729826.74</v>
      </c>
    </row>
    <row r="366" spans="11:21" x14ac:dyDescent="0.25">
      <c r="K366" t="s">
        <v>318</v>
      </c>
      <c r="L366" t="s">
        <v>319</v>
      </c>
      <c r="M366" t="s">
        <v>540</v>
      </c>
      <c r="N366" t="s">
        <v>649</v>
      </c>
      <c r="O366">
        <v>1756106.85</v>
      </c>
      <c r="P366" t="s">
        <v>650</v>
      </c>
      <c r="Q366">
        <v>2652956.0299999998</v>
      </c>
      <c r="R366">
        <v>0</v>
      </c>
      <c r="S366">
        <v>0</v>
      </c>
      <c r="T366">
        <v>0</v>
      </c>
      <c r="U366">
        <v>4409062.88</v>
      </c>
    </row>
    <row r="367" spans="11:21" x14ac:dyDescent="0.25">
      <c r="K367" t="s">
        <v>750</v>
      </c>
      <c r="L367" t="s">
        <v>751</v>
      </c>
      <c r="M367" t="s">
        <v>540</v>
      </c>
      <c r="N367" t="s">
        <v>627</v>
      </c>
      <c r="O367">
        <v>12254011.189999999</v>
      </c>
      <c r="P367" t="s">
        <v>628</v>
      </c>
      <c r="Q367">
        <v>60963905.700000003</v>
      </c>
      <c r="R367">
        <v>61698833.799999997</v>
      </c>
      <c r="S367">
        <v>0</v>
      </c>
      <c r="T367">
        <v>0</v>
      </c>
      <c r="U367">
        <v>134916750.69</v>
      </c>
    </row>
    <row r="368" spans="11:21" x14ac:dyDescent="0.25">
      <c r="K368" t="s">
        <v>1267</v>
      </c>
      <c r="L368" t="s">
        <v>1268</v>
      </c>
      <c r="M368" t="s">
        <v>540</v>
      </c>
      <c r="N368" t="s">
        <v>1269</v>
      </c>
      <c r="O368">
        <v>0</v>
      </c>
      <c r="P368" t="s">
        <v>1270</v>
      </c>
      <c r="Q368">
        <v>581506.67000000004</v>
      </c>
      <c r="R368">
        <v>0</v>
      </c>
      <c r="S368">
        <v>0</v>
      </c>
      <c r="T368">
        <v>0</v>
      </c>
      <c r="U368">
        <v>581506.67000000004</v>
      </c>
    </row>
    <row r="369" spans="11:21" x14ac:dyDescent="0.25">
      <c r="K369" t="s">
        <v>1039</v>
      </c>
      <c r="L369" t="s">
        <v>1040</v>
      </c>
      <c r="M369" t="s">
        <v>540</v>
      </c>
      <c r="N369" t="s">
        <v>545</v>
      </c>
      <c r="O369">
        <v>0</v>
      </c>
      <c r="P369" t="s">
        <v>546</v>
      </c>
      <c r="Q369">
        <v>300330.5</v>
      </c>
      <c r="R369">
        <v>0</v>
      </c>
      <c r="S369">
        <v>0</v>
      </c>
      <c r="T369">
        <v>0</v>
      </c>
      <c r="U369">
        <v>300330.5</v>
      </c>
    </row>
    <row r="370" spans="11:21" x14ac:dyDescent="0.25">
      <c r="K370" t="s">
        <v>651</v>
      </c>
      <c r="L370" t="s">
        <v>1013</v>
      </c>
      <c r="M370" t="s">
        <v>540</v>
      </c>
      <c r="N370" t="s">
        <v>603</v>
      </c>
      <c r="O370">
        <v>0</v>
      </c>
      <c r="P370" t="s">
        <v>604</v>
      </c>
      <c r="Q370">
        <v>8330764.04</v>
      </c>
      <c r="R370">
        <v>0</v>
      </c>
      <c r="S370">
        <v>0</v>
      </c>
      <c r="T370">
        <v>0</v>
      </c>
      <c r="U370">
        <v>8330764.04</v>
      </c>
    </row>
    <row r="371" spans="11:21" x14ac:dyDescent="0.25">
      <c r="K371" t="s">
        <v>503</v>
      </c>
      <c r="L371" t="s">
        <v>504</v>
      </c>
      <c r="M371" t="s">
        <v>540</v>
      </c>
      <c r="N371" t="s">
        <v>623</v>
      </c>
      <c r="O371">
        <v>371470</v>
      </c>
      <c r="P371" t="s">
        <v>624</v>
      </c>
      <c r="Q371">
        <v>1253711.25</v>
      </c>
      <c r="R371">
        <v>0</v>
      </c>
      <c r="S371">
        <v>0</v>
      </c>
      <c r="T371">
        <v>0</v>
      </c>
      <c r="U371">
        <v>1625181.25</v>
      </c>
    </row>
    <row r="372" spans="11:21" x14ac:dyDescent="0.25">
      <c r="K372" t="s">
        <v>320</v>
      </c>
      <c r="L372" t="s">
        <v>321</v>
      </c>
      <c r="M372" t="s">
        <v>540</v>
      </c>
      <c r="N372" t="s">
        <v>553</v>
      </c>
      <c r="O372">
        <v>738526.31</v>
      </c>
      <c r="P372" t="s">
        <v>554</v>
      </c>
      <c r="Q372">
        <v>3970093.77</v>
      </c>
      <c r="R372">
        <v>0</v>
      </c>
      <c r="S372">
        <v>0</v>
      </c>
      <c r="T372">
        <v>0</v>
      </c>
      <c r="U372">
        <v>4708620.08</v>
      </c>
    </row>
    <row r="373" spans="11:21" x14ac:dyDescent="0.25">
      <c r="K373" t="s">
        <v>969</v>
      </c>
      <c r="L373" t="s">
        <v>941</v>
      </c>
      <c r="M373" t="s">
        <v>540</v>
      </c>
      <c r="N373" t="s">
        <v>970</v>
      </c>
      <c r="O373">
        <v>4819000</v>
      </c>
      <c r="P373" t="s">
        <v>971</v>
      </c>
      <c r="Q373">
        <v>0</v>
      </c>
      <c r="R373">
        <v>0</v>
      </c>
      <c r="S373">
        <v>0</v>
      </c>
      <c r="T373">
        <v>0</v>
      </c>
      <c r="U373">
        <v>4819000</v>
      </c>
    </row>
    <row r="374" spans="11:21" x14ac:dyDescent="0.25">
      <c r="K374" t="s">
        <v>1271</v>
      </c>
      <c r="L374" t="s">
        <v>1272</v>
      </c>
      <c r="M374" t="s">
        <v>540</v>
      </c>
      <c r="N374" t="s">
        <v>607</v>
      </c>
      <c r="O374">
        <v>218520.33</v>
      </c>
      <c r="P374" t="s">
        <v>608</v>
      </c>
      <c r="Q374">
        <v>0</v>
      </c>
      <c r="R374">
        <v>0</v>
      </c>
      <c r="S374">
        <v>0</v>
      </c>
      <c r="T374">
        <v>0</v>
      </c>
      <c r="U374">
        <v>218520.33</v>
      </c>
    </row>
    <row r="375" spans="11:21" x14ac:dyDescent="0.25">
      <c r="K375" t="s">
        <v>322</v>
      </c>
      <c r="L375" t="s">
        <v>323</v>
      </c>
      <c r="M375" t="s">
        <v>540</v>
      </c>
      <c r="N375" t="s">
        <v>589</v>
      </c>
      <c r="O375">
        <v>0</v>
      </c>
      <c r="P375" t="s">
        <v>590</v>
      </c>
      <c r="Q375">
        <v>1393806.3</v>
      </c>
      <c r="R375">
        <v>0</v>
      </c>
      <c r="S375">
        <v>0</v>
      </c>
      <c r="T375">
        <v>0</v>
      </c>
      <c r="U375">
        <v>1393806.3</v>
      </c>
    </row>
    <row r="376" spans="11:21" x14ac:dyDescent="0.25">
      <c r="K376" t="s">
        <v>326</v>
      </c>
      <c r="L376" t="s">
        <v>327</v>
      </c>
      <c r="M376" t="s">
        <v>540</v>
      </c>
      <c r="N376" t="s">
        <v>653</v>
      </c>
      <c r="O376">
        <v>4281565.53</v>
      </c>
      <c r="P376" t="s">
        <v>654</v>
      </c>
      <c r="Q376">
        <v>18406697.109999999</v>
      </c>
      <c r="R376">
        <v>0</v>
      </c>
      <c r="S376">
        <v>0</v>
      </c>
      <c r="T376">
        <v>0</v>
      </c>
      <c r="U376">
        <v>22688262.640000001</v>
      </c>
    </row>
    <row r="377" spans="11:21" x14ac:dyDescent="0.25">
      <c r="K377" t="s">
        <v>1273</v>
      </c>
      <c r="L377" t="s">
        <v>1274</v>
      </c>
      <c r="M377" t="s">
        <v>540</v>
      </c>
      <c r="N377" t="s">
        <v>776</v>
      </c>
      <c r="O377">
        <v>346185.54</v>
      </c>
      <c r="P377" t="s">
        <v>777</v>
      </c>
      <c r="Q377">
        <v>0</v>
      </c>
      <c r="R377">
        <v>0</v>
      </c>
      <c r="S377">
        <v>0</v>
      </c>
      <c r="T377">
        <v>0</v>
      </c>
      <c r="U377">
        <v>346185.54</v>
      </c>
    </row>
    <row r="378" spans="11:21" x14ac:dyDescent="0.25">
      <c r="K378" t="s">
        <v>873</v>
      </c>
      <c r="L378" t="s">
        <v>874</v>
      </c>
      <c r="M378" t="s">
        <v>540</v>
      </c>
      <c r="N378" t="s">
        <v>545</v>
      </c>
      <c r="O378">
        <v>0</v>
      </c>
      <c r="P378" t="s">
        <v>546</v>
      </c>
      <c r="Q378">
        <v>3579831.66</v>
      </c>
      <c r="R378">
        <v>271683.71999999997</v>
      </c>
      <c r="S378">
        <v>0</v>
      </c>
      <c r="T378">
        <v>0</v>
      </c>
      <c r="U378">
        <v>3851515.38</v>
      </c>
    </row>
    <row r="379" spans="11:21" x14ac:dyDescent="0.25">
      <c r="K379" t="s">
        <v>1275</v>
      </c>
      <c r="L379" t="s">
        <v>1276</v>
      </c>
      <c r="M379" t="s">
        <v>540</v>
      </c>
      <c r="N379" t="s">
        <v>661</v>
      </c>
      <c r="O379">
        <v>916500</v>
      </c>
      <c r="P379" t="s">
        <v>662</v>
      </c>
      <c r="Q379">
        <v>0</v>
      </c>
      <c r="R379">
        <v>0</v>
      </c>
      <c r="S379">
        <v>0</v>
      </c>
      <c r="T379">
        <v>0</v>
      </c>
      <c r="U379">
        <v>916500</v>
      </c>
    </row>
    <row r="380" spans="11:21" x14ac:dyDescent="0.25">
      <c r="K380" t="s">
        <v>1014</v>
      </c>
      <c r="L380" t="s">
        <v>1015</v>
      </c>
      <c r="M380" t="s">
        <v>540</v>
      </c>
      <c r="N380" t="s">
        <v>559</v>
      </c>
      <c r="O380">
        <v>2615148.7999999998</v>
      </c>
      <c r="P380" t="s">
        <v>560</v>
      </c>
      <c r="Q380">
        <v>0</v>
      </c>
      <c r="R380">
        <v>0</v>
      </c>
      <c r="S380">
        <v>0</v>
      </c>
      <c r="T380">
        <v>0</v>
      </c>
      <c r="U380">
        <v>2615148.7999999998</v>
      </c>
    </row>
    <row r="381" spans="11:21" x14ac:dyDescent="0.25">
      <c r="K381" t="s">
        <v>1277</v>
      </c>
      <c r="L381" t="s">
        <v>1278</v>
      </c>
      <c r="M381" t="s">
        <v>540</v>
      </c>
      <c r="N381" t="s">
        <v>559</v>
      </c>
      <c r="O381">
        <v>16397920</v>
      </c>
      <c r="P381" t="s">
        <v>560</v>
      </c>
      <c r="Q381">
        <v>0</v>
      </c>
      <c r="R381">
        <v>0</v>
      </c>
      <c r="S381">
        <v>0</v>
      </c>
      <c r="T381">
        <v>0</v>
      </c>
      <c r="U381">
        <v>16397920</v>
      </c>
    </row>
    <row r="382" spans="11:21" x14ac:dyDescent="0.25">
      <c r="K382" t="s">
        <v>330</v>
      </c>
      <c r="L382" t="s">
        <v>331</v>
      </c>
      <c r="M382" t="s">
        <v>540</v>
      </c>
      <c r="N382" t="s">
        <v>603</v>
      </c>
      <c r="O382">
        <v>0</v>
      </c>
      <c r="P382" t="s">
        <v>604</v>
      </c>
      <c r="Q382">
        <v>0</v>
      </c>
      <c r="R382">
        <v>0</v>
      </c>
      <c r="S382">
        <v>0</v>
      </c>
      <c r="T382">
        <v>133048344.48999999</v>
      </c>
      <c r="U382">
        <v>133048344.48999999</v>
      </c>
    </row>
    <row r="383" spans="11:21" x14ac:dyDescent="0.25">
      <c r="K383" t="s">
        <v>875</v>
      </c>
      <c r="L383" t="s">
        <v>876</v>
      </c>
      <c r="M383" t="s">
        <v>540</v>
      </c>
      <c r="N383" t="s">
        <v>589</v>
      </c>
      <c r="O383">
        <v>367737.03</v>
      </c>
      <c r="P383" t="s">
        <v>590</v>
      </c>
      <c r="Q383">
        <v>1398731.22</v>
      </c>
      <c r="R383">
        <v>0</v>
      </c>
      <c r="S383">
        <v>0</v>
      </c>
      <c r="T383">
        <v>0</v>
      </c>
      <c r="U383">
        <v>1766468.25</v>
      </c>
    </row>
    <row r="384" spans="11:21" x14ac:dyDescent="0.25">
      <c r="K384" t="s">
        <v>814</v>
      </c>
      <c r="L384" t="s">
        <v>815</v>
      </c>
      <c r="M384" t="s">
        <v>540</v>
      </c>
      <c r="N384" t="s">
        <v>607</v>
      </c>
      <c r="O384">
        <v>0</v>
      </c>
      <c r="P384" t="s">
        <v>608</v>
      </c>
      <c r="Q384">
        <v>0</v>
      </c>
      <c r="R384">
        <v>628522.4</v>
      </c>
      <c r="S384">
        <v>0</v>
      </c>
      <c r="T384">
        <v>0</v>
      </c>
      <c r="U384">
        <v>628522.4</v>
      </c>
    </row>
    <row r="385" spans="11:21" x14ac:dyDescent="0.25">
      <c r="K385" t="s">
        <v>332</v>
      </c>
      <c r="L385" t="s">
        <v>333</v>
      </c>
      <c r="M385" t="s">
        <v>540</v>
      </c>
      <c r="N385" t="s">
        <v>603</v>
      </c>
      <c r="O385">
        <v>0</v>
      </c>
      <c r="P385" t="s">
        <v>604</v>
      </c>
      <c r="Q385">
        <v>0</v>
      </c>
      <c r="R385">
        <v>0</v>
      </c>
      <c r="S385">
        <v>0</v>
      </c>
      <c r="T385">
        <v>5896891</v>
      </c>
      <c r="U385">
        <v>5896891</v>
      </c>
    </row>
    <row r="386" spans="11:21" x14ac:dyDescent="0.25">
      <c r="K386" t="s">
        <v>334</v>
      </c>
      <c r="L386" t="s">
        <v>335</v>
      </c>
      <c r="M386" t="s">
        <v>540</v>
      </c>
      <c r="N386" t="s">
        <v>659</v>
      </c>
      <c r="O386">
        <v>0</v>
      </c>
      <c r="P386" t="s">
        <v>660</v>
      </c>
      <c r="Q386">
        <v>637363.03</v>
      </c>
      <c r="R386">
        <v>0</v>
      </c>
      <c r="S386">
        <v>0</v>
      </c>
      <c r="T386">
        <v>0</v>
      </c>
      <c r="U386">
        <v>637363.03</v>
      </c>
    </row>
    <row r="387" spans="11:21" x14ac:dyDescent="0.25">
      <c r="K387" t="s">
        <v>752</v>
      </c>
      <c r="L387" t="s">
        <v>753</v>
      </c>
      <c r="M387" t="s">
        <v>540</v>
      </c>
      <c r="N387" t="s">
        <v>565</v>
      </c>
      <c r="O387">
        <v>0</v>
      </c>
      <c r="P387" t="s">
        <v>566</v>
      </c>
      <c r="Q387">
        <v>1355000</v>
      </c>
      <c r="R387">
        <v>49348398</v>
      </c>
      <c r="S387">
        <v>0</v>
      </c>
      <c r="T387">
        <v>0</v>
      </c>
      <c r="U387">
        <v>50703398</v>
      </c>
    </row>
    <row r="388" spans="11:21" x14ac:dyDescent="0.25">
      <c r="K388" t="s">
        <v>754</v>
      </c>
      <c r="L388" t="s">
        <v>755</v>
      </c>
      <c r="M388" t="s">
        <v>540</v>
      </c>
      <c r="N388" t="s">
        <v>553</v>
      </c>
      <c r="O388">
        <v>0</v>
      </c>
      <c r="P388" t="s">
        <v>554</v>
      </c>
      <c r="Q388">
        <v>289395.7</v>
      </c>
      <c r="R388">
        <v>0</v>
      </c>
      <c r="S388">
        <v>0</v>
      </c>
      <c r="T388">
        <v>0</v>
      </c>
      <c r="U388">
        <v>289395.7</v>
      </c>
    </row>
    <row r="389" spans="11:21" x14ac:dyDescent="0.25">
      <c r="K389" t="s">
        <v>336</v>
      </c>
      <c r="L389" t="s">
        <v>337</v>
      </c>
      <c r="M389" t="s">
        <v>540</v>
      </c>
      <c r="N389" t="s">
        <v>553</v>
      </c>
      <c r="O389">
        <v>380420</v>
      </c>
      <c r="P389" t="s">
        <v>554</v>
      </c>
      <c r="Q389">
        <v>0</v>
      </c>
      <c r="R389">
        <v>0</v>
      </c>
      <c r="S389">
        <v>0</v>
      </c>
      <c r="T389">
        <v>-0.01</v>
      </c>
      <c r="U389">
        <v>380419.99</v>
      </c>
    </row>
    <row r="390" spans="11:21" x14ac:dyDescent="0.25">
      <c r="K390" t="s">
        <v>338</v>
      </c>
      <c r="L390" t="s">
        <v>339</v>
      </c>
      <c r="M390" t="s">
        <v>540</v>
      </c>
      <c r="N390" t="s">
        <v>601</v>
      </c>
      <c r="O390">
        <v>10285.85</v>
      </c>
      <c r="P390" t="s">
        <v>602</v>
      </c>
      <c r="Q390">
        <v>8423305.1799999997</v>
      </c>
      <c r="R390">
        <v>49570313.149999999</v>
      </c>
      <c r="S390">
        <v>0</v>
      </c>
      <c r="T390">
        <v>0</v>
      </c>
      <c r="U390">
        <v>58003904.18</v>
      </c>
    </row>
    <row r="391" spans="11:21" x14ac:dyDescent="0.25">
      <c r="K391" t="s">
        <v>972</v>
      </c>
      <c r="L391" t="s">
        <v>973</v>
      </c>
      <c r="M391" t="s">
        <v>540</v>
      </c>
      <c r="N391" t="s">
        <v>611</v>
      </c>
      <c r="O391">
        <v>0</v>
      </c>
      <c r="P391" t="s">
        <v>612</v>
      </c>
      <c r="Q391">
        <v>878490.13</v>
      </c>
      <c r="R391">
        <v>0</v>
      </c>
      <c r="S391">
        <v>0</v>
      </c>
      <c r="T391">
        <v>0</v>
      </c>
      <c r="U391">
        <v>878490.13</v>
      </c>
    </row>
    <row r="392" spans="11:21" x14ac:dyDescent="0.25">
      <c r="K392" t="s">
        <v>881</v>
      </c>
      <c r="L392" t="s">
        <v>882</v>
      </c>
      <c r="M392" t="s">
        <v>540</v>
      </c>
      <c r="N392" t="s">
        <v>639</v>
      </c>
      <c r="O392">
        <v>716320</v>
      </c>
      <c r="P392" t="s">
        <v>640</v>
      </c>
      <c r="Q392">
        <v>410190</v>
      </c>
      <c r="R392">
        <v>0</v>
      </c>
      <c r="S392">
        <v>0</v>
      </c>
      <c r="T392">
        <v>0</v>
      </c>
      <c r="U392">
        <v>1126510</v>
      </c>
    </row>
    <row r="393" spans="11:21" x14ac:dyDescent="0.25">
      <c r="K393" t="s">
        <v>342</v>
      </c>
      <c r="L393" t="s">
        <v>343</v>
      </c>
      <c r="M393" t="s">
        <v>540</v>
      </c>
      <c r="N393" t="s">
        <v>663</v>
      </c>
      <c r="O393">
        <v>26778607.960000001</v>
      </c>
      <c r="P393" t="s">
        <v>664</v>
      </c>
      <c r="Q393">
        <v>162133121.24000001</v>
      </c>
      <c r="R393">
        <v>0</v>
      </c>
      <c r="S393">
        <v>28366733.09</v>
      </c>
      <c r="T393">
        <v>0</v>
      </c>
      <c r="U393">
        <v>217278462.28999999</v>
      </c>
    </row>
    <row r="394" spans="11:21" x14ac:dyDescent="0.25">
      <c r="K394" t="s">
        <v>344</v>
      </c>
      <c r="L394" t="s">
        <v>345</v>
      </c>
      <c r="M394" t="s">
        <v>540</v>
      </c>
      <c r="N394" t="s">
        <v>603</v>
      </c>
      <c r="O394">
        <v>0</v>
      </c>
      <c r="P394" t="s">
        <v>604</v>
      </c>
      <c r="Q394">
        <v>0</v>
      </c>
      <c r="R394">
        <v>0</v>
      </c>
      <c r="S394">
        <v>0</v>
      </c>
      <c r="T394">
        <v>335045.59999999998</v>
      </c>
      <c r="U394">
        <v>335045.59999999998</v>
      </c>
    </row>
    <row r="395" spans="11:21" x14ac:dyDescent="0.25">
      <c r="K395" t="s">
        <v>346</v>
      </c>
      <c r="L395" t="s">
        <v>347</v>
      </c>
      <c r="M395" t="s">
        <v>540</v>
      </c>
      <c r="N395" t="s">
        <v>603</v>
      </c>
      <c r="O395">
        <v>0</v>
      </c>
      <c r="P395" t="s">
        <v>604</v>
      </c>
      <c r="Q395">
        <v>0</v>
      </c>
      <c r="R395">
        <v>0</v>
      </c>
      <c r="S395">
        <v>0</v>
      </c>
      <c r="T395">
        <v>1782642.4</v>
      </c>
      <c r="U395">
        <v>1782642.4</v>
      </c>
    </row>
    <row r="396" spans="11:21" x14ac:dyDescent="0.25">
      <c r="K396" t="s">
        <v>350</v>
      </c>
      <c r="L396" t="s">
        <v>351</v>
      </c>
      <c r="M396" t="s">
        <v>540</v>
      </c>
      <c r="N396" t="s">
        <v>551</v>
      </c>
      <c r="O396">
        <v>2922941</v>
      </c>
      <c r="P396" t="s">
        <v>552</v>
      </c>
      <c r="Q396">
        <v>1638370</v>
      </c>
      <c r="R396">
        <v>0</v>
      </c>
      <c r="S396">
        <v>0</v>
      </c>
      <c r="T396">
        <v>0</v>
      </c>
      <c r="U396">
        <v>4561311</v>
      </c>
    </row>
    <row r="397" spans="11:21" x14ac:dyDescent="0.25">
      <c r="K397" t="s">
        <v>1279</v>
      </c>
      <c r="L397" t="s">
        <v>1280</v>
      </c>
      <c r="M397" t="s">
        <v>540</v>
      </c>
      <c r="N397" t="s">
        <v>553</v>
      </c>
      <c r="O397">
        <v>1160426.3</v>
      </c>
      <c r="P397" t="s">
        <v>554</v>
      </c>
      <c r="Q397">
        <v>0</v>
      </c>
      <c r="R397">
        <v>0</v>
      </c>
      <c r="S397">
        <v>0</v>
      </c>
      <c r="T397">
        <v>0</v>
      </c>
      <c r="U397">
        <v>1160426.3</v>
      </c>
    </row>
    <row r="398" spans="11:21" x14ac:dyDescent="0.25">
      <c r="K398" t="s">
        <v>756</v>
      </c>
      <c r="L398" t="s">
        <v>757</v>
      </c>
      <c r="M398" t="s">
        <v>540</v>
      </c>
      <c r="N398" t="s">
        <v>758</v>
      </c>
      <c r="O398">
        <v>335489.26</v>
      </c>
      <c r="P398" t="s">
        <v>759</v>
      </c>
      <c r="Q398">
        <v>2532421.94</v>
      </c>
      <c r="R398">
        <v>0</v>
      </c>
      <c r="S398">
        <v>0</v>
      </c>
      <c r="T398">
        <v>0</v>
      </c>
      <c r="U398">
        <v>2867911.2</v>
      </c>
    </row>
    <row r="399" spans="11:21" x14ac:dyDescent="0.25">
      <c r="K399" t="s">
        <v>974</v>
      </c>
      <c r="L399" t="s">
        <v>975</v>
      </c>
      <c r="M399" t="s">
        <v>540</v>
      </c>
      <c r="N399" t="s">
        <v>631</v>
      </c>
      <c r="O399">
        <v>1851300</v>
      </c>
      <c r="P399" t="s">
        <v>632</v>
      </c>
      <c r="Q399">
        <v>0</v>
      </c>
      <c r="R399">
        <v>0</v>
      </c>
      <c r="S399">
        <v>0</v>
      </c>
      <c r="T399">
        <v>0</v>
      </c>
      <c r="U399">
        <v>1851300</v>
      </c>
    </row>
    <row r="400" spans="11:21" x14ac:dyDescent="0.25">
      <c r="K400" t="s">
        <v>352</v>
      </c>
      <c r="L400" t="s">
        <v>353</v>
      </c>
      <c r="M400" t="s">
        <v>540</v>
      </c>
      <c r="N400" t="s">
        <v>633</v>
      </c>
      <c r="O400">
        <v>2504200</v>
      </c>
      <c r="P400" t="s">
        <v>634</v>
      </c>
      <c r="Q400">
        <v>3870290</v>
      </c>
      <c r="R400">
        <v>1307400</v>
      </c>
      <c r="S400">
        <v>0</v>
      </c>
      <c r="T400">
        <v>0</v>
      </c>
      <c r="U400">
        <v>7681890</v>
      </c>
    </row>
    <row r="401" spans="11:21" x14ac:dyDescent="0.25">
      <c r="K401" t="s">
        <v>818</v>
      </c>
      <c r="L401" t="s">
        <v>819</v>
      </c>
      <c r="M401" t="s">
        <v>540</v>
      </c>
      <c r="N401" t="s">
        <v>565</v>
      </c>
      <c r="O401">
        <v>203700</v>
      </c>
      <c r="P401" t="s">
        <v>566</v>
      </c>
      <c r="Q401">
        <v>0</v>
      </c>
      <c r="R401">
        <v>0</v>
      </c>
      <c r="S401">
        <v>0</v>
      </c>
      <c r="T401">
        <v>0</v>
      </c>
      <c r="U401">
        <v>203700</v>
      </c>
    </row>
    <row r="402" spans="11:21" x14ac:dyDescent="0.25">
      <c r="K402" t="s">
        <v>1016</v>
      </c>
      <c r="L402" t="s">
        <v>1017</v>
      </c>
      <c r="M402" t="s">
        <v>540</v>
      </c>
      <c r="N402" t="s">
        <v>1018</v>
      </c>
      <c r="O402">
        <v>3913140</v>
      </c>
      <c r="P402" t="s">
        <v>1019</v>
      </c>
      <c r="Q402">
        <v>0</v>
      </c>
      <c r="R402">
        <v>0</v>
      </c>
      <c r="S402">
        <v>0</v>
      </c>
      <c r="T402">
        <v>0</v>
      </c>
      <c r="U402">
        <v>3913140</v>
      </c>
    </row>
    <row r="403" spans="11:21" x14ac:dyDescent="0.25">
      <c r="K403" t="s">
        <v>976</v>
      </c>
      <c r="L403" t="s">
        <v>977</v>
      </c>
      <c r="M403" t="s">
        <v>540</v>
      </c>
      <c r="N403" t="s">
        <v>553</v>
      </c>
      <c r="O403">
        <v>0</v>
      </c>
      <c r="P403" t="s">
        <v>554</v>
      </c>
      <c r="Q403">
        <v>0</v>
      </c>
      <c r="R403">
        <v>374765.85</v>
      </c>
      <c r="S403">
        <v>0</v>
      </c>
      <c r="T403">
        <v>0</v>
      </c>
      <c r="U403">
        <v>374765.85</v>
      </c>
    </row>
    <row r="404" spans="11:21" x14ac:dyDescent="0.25">
      <c r="K404" t="s">
        <v>354</v>
      </c>
      <c r="L404" t="s">
        <v>355</v>
      </c>
      <c r="M404" t="s">
        <v>540</v>
      </c>
      <c r="N404" t="s">
        <v>635</v>
      </c>
      <c r="O404">
        <v>911493</v>
      </c>
      <c r="P404" t="s">
        <v>636</v>
      </c>
      <c r="Q404">
        <v>0</v>
      </c>
      <c r="R404">
        <v>0</v>
      </c>
      <c r="S404">
        <v>0</v>
      </c>
      <c r="T404">
        <v>0</v>
      </c>
      <c r="U404">
        <v>911493</v>
      </c>
    </row>
    <row r="405" spans="11:21" x14ac:dyDescent="0.25">
      <c r="K405" t="s">
        <v>356</v>
      </c>
      <c r="L405" t="s">
        <v>357</v>
      </c>
      <c r="M405" t="s">
        <v>540</v>
      </c>
      <c r="N405" t="s">
        <v>667</v>
      </c>
      <c r="O405">
        <v>2179210</v>
      </c>
      <c r="P405" t="s">
        <v>668</v>
      </c>
      <c r="Q405">
        <v>15138552</v>
      </c>
      <c r="R405">
        <v>6789168.9100000001</v>
      </c>
      <c r="S405">
        <v>0</v>
      </c>
      <c r="T405">
        <v>0</v>
      </c>
      <c r="U405">
        <v>24106930.91</v>
      </c>
    </row>
    <row r="406" spans="11:21" x14ac:dyDescent="0.25">
      <c r="K406" t="s">
        <v>358</v>
      </c>
      <c r="L406" t="s">
        <v>359</v>
      </c>
      <c r="M406" t="s">
        <v>540</v>
      </c>
      <c r="N406" t="s">
        <v>565</v>
      </c>
      <c r="O406">
        <v>0</v>
      </c>
      <c r="P406" t="s">
        <v>566</v>
      </c>
      <c r="Q406">
        <v>1824370</v>
      </c>
      <c r="R406">
        <v>1093788.02</v>
      </c>
      <c r="S406">
        <v>0</v>
      </c>
      <c r="T406">
        <v>0</v>
      </c>
      <c r="U406">
        <v>2918158.02</v>
      </c>
    </row>
    <row r="407" spans="11:21" x14ac:dyDescent="0.25">
      <c r="K407" t="s">
        <v>978</v>
      </c>
      <c r="L407" t="s">
        <v>942</v>
      </c>
      <c r="M407" t="s">
        <v>540</v>
      </c>
      <c r="N407" t="s">
        <v>710</v>
      </c>
      <c r="O407">
        <v>0</v>
      </c>
      <c r="P407" t="s">
        <v>711</v>
      </c>
      <c r="Q407">
        <v>1450000</v>
      </c>
      <c r="R407">
        <v>1400000</v>
      </c>
      <c r="S407">
        <v>0</v>
      </c>
      <c r="T407">
        <v>0</v>
      </c>
      <c r="U407">
        <v>2850000</v>
      </c>
    </row>
    <row r="408" spans="11:21" x14ac:dyDescent="0.25">
      <c r="K408" t="s">
        <v>1281</v>
      </c>
      <c r="L408" t="s">
        <v>1282</v>
      </c>
      <c r="M408" t="s">
        <v>540</v>
      </c>
      <c r="N408" t="s">
        <v>979</v>
      </c>
      <c r="O408">
        <v>0</v>
      </c>
      <c r="P408" t="s">
        <v>980</v>
      </c>
      <c r="Q408">
        <v>0</v>
      </c>
      <c r="R408">
        <v>2239056.6</v>
      </c>
      <c r="S408">
        <v>0</v>
      </c>
      <c r="T408">
        <v>0</v>
      </c>
      <c r="U408">
        <v>2239056.6</v>
      </c>
    </row>
    <row r="409" spans="11:21" x14ac:dyDescent="0.25">
      <c r="K409" t="s">
        <v>1041</v>
      </c>
      <c r="L409" t="s">
        <v>1042</v>
      </c>
      <c r="M409" t="s">
        <v>540</v>
      </c>
      <c r="N409" t="s">
        <v>1043</v>
      </c>
      <c r="O409">
        <v>0</v>
      </c>
      <c r="P409" t="s">
        <v>1044</v>
      </c>
      <c r="Q409">
        <v>0</v>
      </c>
      <c r="R409">
        <v>617600</v>
      </c>
      <c r="S409">
        <v>0</v>
      </c>
      <c r="T409">
        <v>0</v>
      </c>
      <c r="U409">
        <v>617600</v>
      </c>
    </row>
    <row r="410" spans="11:21" x14ac:dyDescent="0.25">
      <c r="K410" t="s">
        <v>360</v>
      </c>
      <c r="L410" t="s">
        <v>361</v>
      </c>
      <c r="M410" t="s">
        <v>540</v>
      </c>
      <c r="N410" t="s">
        <v>543</v>
      </c>
      <c r="O410">
        <v>0</v>
      </c>
      <c r="P410" t="s">
        <v>544</v>
      </c>
      <c r="Q410">
        <v>14266115.810000001</v>
      </c>
      <c r="R410">
        <v>0</v>
      </c>
      <c r="S410">
        <v>-181799.9</v>
      </c>
      <c r="T410">
        <v>0</v>
      </c>
      <c r="U410">
        <v>14084315.91</v>
      </c>
    </row>
    <row r="411" spans="11:21" x14ac:dyDescent="0.25">
      <c r="K411" t="s">
        <v>362</v>
      </c>
      <c r="L411" t="s">
        <v>363</v>
      </c>
      <c r="M411" t="s">
        <v>540</v>
      </c>
      <c r="N411" t="s">
        <v>669</v>
      </c>
      <c r="O411">
        <v>0</v>
      </c>
      <c r="P411" t="s">
        <v>670</v>
      </c>
      <c r="Q411">
        <v>85674364.599999994</v>
      </c>
      <c r="R411">
        <v>64916100.700000003</v>
      </c>
      <c r="S411">
        <v>21742490.010000002</v>
      </c>
      <c r="T411">
        <v>0</v>
      </c>
      <c r="U411">
        <v>172332955.31</v>
      </c>
    </row>
    <row r="412" spans="11:21" x14ac:dyDescent="0.25">
      <c r="K412" t="s">
        <v>364</v>
      </c>
      <c r="L412" t="s">
        <v>365</v>
      </c>
      <c r="M412" t="s">
        <v>540</v>
      </c>
      <c r="N412" t="s">
        <v>553</v>
      </c>
      <c r="O412">
        <v>327567.06</v>
      </c>
      <c r="P412" t="s">
        <v>554</v>
      </c>
      <c r="Q412">
        <v>414094.21</v>
      </c>
      <c r="R412">
        <v>0</v>
      </c>
      <c r="S412">
        <v>0</v>
      </c>
      <c r="T412">
        <v>0</v>
      </c>
      <c r="U412">
        <v>741661.27</v>
      </c>
    </row>
    <row r="413" spans="11:21" x14ac:dyDescent="0.25">
      <c r="K413" t="s">
        <v>366</v>
      </c>
      <c r="L413" t="s">
        <v>367</v>
      </c>
      <c r="M413" t="s">
        <v>540</v>
      </c>
      <c r="N413" t="s">
        <v>1223</v>
      </c>
      <c r="O413">
        <v>0</v>
      </c>
      <c r="P413" t="s">
        <v>1224</v>
      </c>
      <c r="Q413">
        <v>0</v>
      </c>
      <c r="R413">
        <v>68108715</v>
      </c>
      <c r="S413">
        <v>0</v>
      </c>
      <c r="T413">
        <v>0</v>
      </c>
      <c r="U413">
        <v>68108715</v>
      </c>
    </row>
    <row r="414" spans="11:21" x14ac:dyDescent="0.25">
      <c r="K414" t="s">
        <v>762</v>
      </c>
      <c r="L414" t="s">
        <v>763</v>
      </c>
      <c r="M414" t="s">
        <v>540</v>
      </c>
      <c r="N414" t="s">
        <v>601</v>
      </c>
      <c r="O414">
        <v>0</v>
      </c>
      <c r="P414" t="s">
        <v>602</v>
      </c>
      <c r="Q414">
        <v>16559253.76</v>
      </c>
      <c r="R414">
        <v>21305795.07</v>
      </c>
      <c r="S414">
        <v>0</v>
      </c>
      <c r="T414">
        <v>0</v>
      </c>
      <c r="U414">
        <v>37865048.829999998</v>
      </c>
    </row>
    <row r="415" spans="11:21" x14ac:dyDescent="0.25">
      <c r="K415" t="s">
        <v>889</v>
      </c>
      <c r="L415" t="s">
        <v>890</v>
      </c>
      <c r="M415" t="s">
        <v>540</v>
      </c>
      <c r="N415" t="s">
        <v>623</v>
      </c>
      <c r="O415">
        <v>565675</v>
      </c>
      <c r="P415" t="s">
        <v>624</v>
      </c>
      <c r="Q415">
        <v>7660917.46</v>
      </c>
      <c r="R415">
        <v>0</v>
      </c>
      <c r="S415">
        <v>0</v>
      </c>
      <c r="T415">
        <v>0</v>
      </c>
      <c r="U415">
        <v>8226592.46</v>
      </c>
    </row>
    <row r="416" spans="11:21" x14ac:dyDescent="0.25">
      <c r="K416" t="s">
        <v>368</v>
      </c>
      <c r="L416" t="s">
        <v>369</v>
      </c>
      <c r="M416" t="s">
        <v>540</v>
      </c>
      <c r="N416" t="s">
        <v>635</v>
      </c>
      <c r="O416">
        <v>215271.22</v>
      </c>
      <c r="P416" t="s">
        <v>636</v>
      </c>
      <c r="Q416">
        <v>0</v>
      </c>
      <c r="R416">
        <v>0</v>
      </c>
      <c r="S416">
        <v>0</v>
      </c>
      <c r="T416">
        <v>0</v>
      </c>
      <c r="U416">
        <v>215271.22</v>
      </c>
    </row>
    <row r="417" spans="11:21" x14ac:dyDescent="0.25">
      <c r="K417" t="s">
        <v>505</v>
      </c>
      <c r="L417" t="s">
        <v>506</v>
      </c>
      <c r="M417" t="s">
        <v>540</v>
      </c>
      <c r="N417" t="s">
        <v>671</v>
      </c>
      <c r="O417">
        <v>0</v>
      </c>
      <c r="P417" t="s">
        <v>672</v>
      </c>
      <c r="Q417">
        <v>0</v>
      </c>
      <c r="R417">
        <v>3165553.6</v>
      </c>
      <c r="S417">
        <v>0</v>
      </c>
      <c r="T417">
        <v>0</v>
      </c>
      <c r="U417">
        <v>3165553.6</v>
      </c>
    </row>
    <row r="418" spans="11:21" x14ac:dyDescent="0.25">
      <c r="K418" t="s">
        <v>378</v>
      </c>
      <c r="L418" t="s">
        <v>379</v>
      </c>
      <c r="M418" t="s">
        <v>540</v>
      </c>
      <c r="N418" t="s">
        <v>563</v>
      </c>
      <c r="O418">
        <v>0</v>
      </c>
      <c r="P418" t="s">
        <v>564</v>
      </c>
      <c r="Q418">
        <v>0</v>
      </c>
      <c r="R418">
        <v>0</v>
      </c>
      <c r="S418">
        <v>0</v>
      </c>
      <c r="T418">
        <v>58760</v>
      </c>
      <c r="U418">
        <v>58760</v>
      </c>
    </row>
    <row r="419" spans="11:21" x14ac:dyDescent="0.25">
      <c r="K419" t="s">
        <v>380</v>
      </c>
      <c r="L419" t="s">
        <v>381</v>
      </c>
      <c r="M419" t="s">
        <v>540</v>
      </c>
      <c r="N419" t="s">
        <v>617</v>
      </c>
      <c r="O419">
        <v>1160987.31</v>
      </c>
      <c r="P419" t="s">
        <v>618</v>
      </c>
      <c r="Q419">
        <v>1116857.06</v>
      </c>
      <c r="R419">
        <v>1224677.81</v>
      </c>
      <c r="S419">
        <v>0</v>
      </c>
      <c r="T419">
        <v>0</v>
      </c>
      <c r="U419">
        <v>3502522.18</v>
      </c>
    </row>
    <row r="420" spans="11:21" x14ac:dyDescent="0.25">
      <c r="K420" t="s">
        <v>507</v>
      </c>
      <c r="L420" t="s">
        <v>508</v>
      </c>
      <c r="M420" t="s">
        <v>540</v>
      </c>
      <c r="N420" t="s">
        <v>551</v>
      </c>
      <c r="O420">
        <v>0</v>
      </c>
      <c r="P420" t="s">
        <v>552</v>
      </c>
      <c r="Q420">
        <v>0</v>
      </c>
      <c r="R420">
        <v>71298.94</v>
      </c>
      <c r="S420">
        <v>0</v>
      </c>
      <c r="T420">
        <v>0</v>
      </c>
      <c r="U420">
        <v>71298.94</v>
      </c>
    </row>
    <row r="421" spans="11:21" x14ac:dyDescent="0.25">
      <c r="K421" t="s">
        <v>382</v>
      </c>
      <c r="L421" t="s">
        <v>383</v>
      </c>
      <c r="M421" t="s">
        <v>540</v>
      </c>
      <c r="N421" t="s">
        <v>577</v>
      </c>
      <c r="O421">
        <v>0</v>
      </c>
      <c r="P421" t="s">
        <v>578</v>
      </c>
      <c r="Q421">
        <v>24180785.399999999</v>
      </c>
      <c r="R421">
        <v>0</v>
      </c>
      <c r="S421">
        <v>0</v>
      </c>
      <c r="T421">
        <v>0</v>
      </c>
      <c r="U421">
        <v>24180785.399999999</v>
      </c>
    </row>
    <row r="422" spans="11:21" x14ac:dyDescent="0.25">
      <c r="K422" t="s">
        <v>981</v>
      </c>
      <c r="L422" t="s">
        <v>943</v>
      </c>
      <c r="M422" t="s">
        <v>540</v>
      </c>
      <c r="N422" t="s">
        <v>653</v>
      </c>
      <c r="O422">
        <v>0</v>
      </c>
      <c r="P422" t="s">
        <v>654</v>
      </c>
      <c r="Q422">
        <v>1531738.5</v>
      </c>
      <c r="R422">
        <v>0</v>
      </c>
      <c r="S422">
        <v>0</v>
      </c>
      <c r="T422">
        <v>0</v>
      </c>
      <c r="U422">
        <v>1531738.5</v>
      </c>
    </row>
    <row r="423" spans="11:21" x14ac:dyDescent="0.25">
      <c r="K423" t="s">
        <v>384</v>
      </c>
      <c r="L423" t="s">
        <v>385</v>
      </c>
      <c r="M423" t="s">
        <v>540</v>
      </c>
      <c r="N423" t="s">
        <v>673</v>
      </c>
      <c r="O423">
        <v>60218770.789999999</v>
      </c>
      <c r="P423" t="s">
        <v>674</v>
      </c>
      <c r="Q423">
        <v>0</v>
      </c>
      <c r="R423">
        <v>0</v>
      </c>
      <c r="S423">
        <v>0</v>
      </c>
      <c r="T423">
        <v>0</v>
      </c>
      <c r="U423">
        <v>60218770.789999999</v>
      </c>
    </row>
    <row r="424" spans="11:21" x14ac:dyDescent="0.25">
      <c r="K424" t="s">
        <v>675</v>
      </c>
      <c r="L424" t="s">
        <v>676</v>
      </c>
      <c r="M424" t="s">
        <v>540</v>
      </c>
      <c r="N424" t="s">
        <v>569</v>
      </c>
      <c r="O424">
        <v>0</v>
      </c>
      <c r="P424" t="s">
        <v>570</v>
      </c>
      <c r="Q424">
        <v>0</v>
      </c>
      <c r="R424">
        <v>1415700</v>
      </c>
      <c r="S424">
        <v>0</v>
      </c>
      <c r="T424">
        <v>0</v>
      </c>
      <c r="U424">
        <v>1415700</v>
      </c>
    </row>
    <row r="425" spans="11:21" x14ac:dyDescent="0.25">
      <c r="K425" t="s">
        <v>822</v>
      </c>
      <c r="L425" t="s">
        <v>823</v>
      </c>
      <c r="M425" t="s">
        <v>540</v>
      </c>
      <c r="N425" t="s">
        <v>639</v>
      </c>
      <c r="O425">
        <v>0</v>
      </c>
      <c r="P425" t="s">
        <v>640</v>
      </c>
      <c r="Q425">
        <v>0</v>
      </c>
      <c r="R425">
        <v>323634.28000000003</v>
      </c>
      <c r="S425">
        <v>0</v>
      </c>
      <c r="T425">
        <v>0</v>
      </c>
      <c r="U425">
        <v>323634.28000000003</v>
      </c>
    </row>
    <row r="426" spans="11:21" x14ac:dyDescent="0.25">
      <c r="K426" t="s">
        <v>386</v>
      </c>
      <c r="L426" t="s">
        <v>387</v>
      </c>
      <c r="M426" t="s">
        <v>540</v>
      </c>
      <c r="N426" t="s">
        <v>659</v>
      </c>
      <c r="O426">
        <v>1112228.6299999999</v>
      </c>
      <c r="P426" t="s">
        <v>660</v>
      </c>
      <c r="Q426">
        <v>4890754.9000000004</v>
      </c>
      <c r="R426">
        <v>0</v>
      </c>
      <c r="S426">
        <v>0</v>
      </c>
      <c r="T426">
        <v>0</v>
      </c>
      <c r="U426">
        <v>6002983.5300000003</v>
      </c>
    </row>
    <row r="427" spans="11:21" x14ac:dyDescent="0.25">
      <c r="K427" t="s">
        <v>388</v>
      </c>
      <c r="L427" t="s">
        <v>389</v>
      </c>
      <c r="M427" t="s">
        <v>540</v>
      </c>
      <c r="N427" t="s">
        <v>603</v>
      </c>
      <c r="O427">
        <v>0</v>
      </c>
      <c r="P427" t="s">
        <v>604</v>
      </c>
      <c r="Q427">
        <v>0</v>
      </c>
      <c r="R427">
        <v>0</v>
      </c>
      <c r="S427">
        <v>0</v>
      </c>
      <c r="T427">
        <v>13351649.470000001</v>
      </c>
      <c r="U427">
        <v>13351649.470000001</v>
      </c>
    </row>
    <row r="428" spans="11:21" x14ac:dyDescent="0.25">
      <c r="K428" t="s">
        <v>1020</v>
      </c>
      <c r="L428" t="s">
        <v>1021</v>
      </c>
      <c r="M428" t="s">
        <v>540</v>
      </c>
      <c r="N428" t="s">
        <v>1022</v>
      </c>
      <c r="O428">
        <v>7347120</v>
      </c>
      <c r="P428" t="s">
        <v>1023</v>
      </c>
      <c r="Q428">
        <v>0</v>
      </c>
      <c r="R428">
        <v>0</v>
      </c>
      <c r="S428">
        <v>0</v>
      </c>
      <c r="T428">
        <v>0</v>
      </c>
      <c r="U428">
        <v>7347120</v>
      </c>
    </row>
    <row r="429" spans="11:21" x14ac:dyDescent="0.25">
      <c r="K429" t="s">
        <v>893</v>
      </c>
      <c r="L429" t="s">
        <v>894</v>
      </c>
      <c r="M429" t="s">
        <v>540</v>
      </c>
      <c r="N429" t="s">
        <v>591</v>
      </c>
      <c r="O429">
        <v>2933498.75</v>
      </c>
      <c r="P429" t="s">
        <v>592</v>
      </c>
      <c r="Q429">
        <v>118688.15</v>
      </c>
      <c r="R429">
        <v>0</v>
      </c>
      <c r="S429">
        <v>0</v>
      </c>
      <c r="T429">
        <v>0</v>
      </c>
      <c r="U429">
        <v>3052186.9</v>
      </c>
    </row>
    <row r="430" spans="11:21" x14ac:dyDescent="0.25">
      <c r="K430" t="s">
        <v>1045</v>
      </c>
      <c r="L430" t="s">
        <v>1046</v>
      </c>
      <c r="M430" t="s">
        <v>540</v>
      </c>
      <c r="N430" t="s">
        <v>1047</v>
      </c>
      <c r="O430">
        <v>0</v>
      </c>
      <c r="P430" t="s">
        <v>1048</v>
      </c>
      <c r="Q430">
        <v>306017.64</v>
      </c>
      <c r="R430">
        <v>0</v>
      </c>
      <c r="S430">
        <v>0</v>
      </c>
      <c r="T430">
        <v>0</v>
      </c>
      <c r="U430">
        <v>306017.64</v>
      </c>
    </row>
    <row r="431" spans="11:21" x14ac:dyDescent="0.25">
      <c r="K431" t="s">
        <v>1049</v>
      </c>
      <c r="L431" t="s">
        <v>1050</v>
      </c>
      <c r="M431" t="s">
        <v>540</v>
      </c>
      <c r="N431" t="s">
        <v>565</v>
      </c>
      <c r="O431">
        <v>233094.39999999999</v>
      </c>
      <c r="P431" t="s">
        <v>566</v>
      </c>
      <c r="Q431">
        <v>10110566.050000001</v>
      </c>
      <c r="R431">
        <v>0</v>
      </c>
      <c r="S431">
        <v>0</v>
      </c>
      <c r="T431">
        <v>0</v>
      </c>
      <c r="U431">
        <v>10343660.449999999</v>
      </c>
    </row>
    <row r="432" spans="11:21" x14ac:dyDescent="0.25">
      <c r="K432" t="s">
        <v>392</v>
      </c>
      <c r="L432" t="s">
        <v>393</v>
      </c>
      <c r="M432" t="s">
        <v>540</v>
      </c>
      <c r="N432" t="s">
        <v>601</v>
      </c>
      <c r="O432">
        <v>26998750.760000002</v>
      </c>
      <c r="P432" t="s">
        <v>602</v>
      </c>
      <c r="Q432">
        <v>75550784.200000003</v>
      </c>
      <c r="R432">
        <v>0</v>
      </c>
      <c r="S432">
        <v>0</v>
      </c>
      <c r="T432">
        <v>0</v>
      </c>
      <c r="U432">
        <v>102549534.95999999</v>
      </c>
    </row>
    <row r="433" spans="11:21" x14ac:dyDescent="0.25">
      <c r="K433" t="s">
        <v>1283</v>
      </c>
      <c r="L433" t="s">
        <v>1284</v>
      </c>
      <c r="M433" t="s">
        <v>540</v>
      </c>
      <c r="N433" t="s">
        <v>1285</v>
      </c>
      <c r="O433">
        <v>515309.96</v>
      </c>
      <c r="P433" t="s">
        <v>1286</v>
      </c>
      <c r="Q433">
        <v>0</v>
      </c>
      <c r="R433">
        <v>0</v>
      </c>
      <c r="S433">
        <v>0</v>
      </c>
      <c r="T433">
        <v>0</v>
      </c>
      <c r="U433">
        <v>515309.96</v>
      </c>
    </row>
    <row r="434" spans="11:21" x14ac:dyDescent="0.25">
      <c r="K434" t="s">
        <v>982</v>
      </c>
      <c r="L434" t="s">
        <v>944</v>
      </c>
      <c r="M434" t="s">
        <v>540</v>
      </c>
      <c r="N434" t="s">
        <v>983</v>
      </c>
      <c r="O434">
        <v>31519080</v>
      </c>
      <c r="P434" t="s">
        <v>984</v>
      </c>
      <c r="Q434">
        <v>0</v>
      </c>
      <c r="R434">
        <v>0</v>
      </c>
      <c r="S434">
        <v>0</v>
      </c>
      <c r="T434">
        <v>0</v>
      </c>
      <c r="U434">
        <v>31519080</v>
      </c>
    </row>
    <row r="435" spans="11:21" x14ac:dyDescent="0.25">
      <c r="K435" t="s">
        <v>394</v>
      </c>
      <c r="L435" t="s">
        <v>395</v>
      </c>
      <c r="M435" t="s">
        <v>540</v>
      </c>
      <c r="N435" t="s">
        <v>629</v>
      </c>
      <c r="O435">
        <v>227127.21</v>
      </c>
      <c r="P435" t="s">
        <v>630</v>
      </c>
      <c r="Q435">
        <v>9847557.0099999998</v>
      </c>
      <c r="R435">
        <v>12432118.75</v>
      </c>
      <c r="S435">
        <v>0</v>
      </c>
      <c r="T435">
        <v>0</v>
      </c>
      <c r="U435">
        <v>22506802.969999999</v>
      </c>
    </row>
    <row r="436" spans="11:21" x14ac:dyDescent="0.25">
      <c r="K436" t="s">
        <v>895</v>
      </c>
      <c r="L436" t="s">
        <v>896</v>
      </c>
      <c r="M436" t="s">
        <v>540</v>
      </c>
      <c r="N436" t="s">
        <v>559</v>
      </c>
      <c r="O436">
        <v>2339100</v>
      </c>
      <c r="P436" t="s">
        <v>560</v>
      </c>
      <c r="Q436">
        <v>0</v>
      </c>
      <c r="R436">
        <v>0</v>
      </c>
      <c r="S436">
        <v>0</v>
      </c>
      <c r="T436">
        <v>0</v>
      </c>
      <c r="U436">
        <v>2339100</v>
      </c>
    </row>
    <row r="437" spans="11:21" x14ac:dyDescent="0.25">
      <c r="K437" t="s">
        <v>396</v>
      </c>
      <c r="L437" t="s">
        <v>397</v>
      </c>
      <c r="M437" t="s">
        <v>540</v>
      </c>
      <c r="N437" t="s">
        <v>677</v>
      </c>
      <c r="O437">
        <v>10021498.26</v>
      </c>
      <c r="P437" t="s">
        <v>678</v>
      </c>
      <c r="Q437">
        <v>20526134.649999999</v>
      </c>
      <c r="R437">
        <v>0</v>
      </c>
      <c r="S437">
        <v>0.01</v>
      </c>
      <c r="T437">
        <v>0</v>
      </c>
      <c r="U437">
        <v>30547632.920000002</v>
      </c>
    </row>
    <row r="438" spans="11:21" x14ac:dyDescent="0.25">
      <c r="K438" t="s">
        <v>768</v>
      </c>
      <c r="L438" t="s">
        <v>769</v>
      </c>
      <c r="M438" t="s">
        <v>540</v>
      </c>
      <c r="N438" t="s">
        <v>609</v>
      </c>
      <c r="O438">
        <v>0</v>
      </c>
      <c r="P438" t="s">
        <v>610</v>
      </c>
      <c r="Q438">
        <v>984016.73</v>
      </c>
      <c r="R438">
        <v>0</v>
      </c>
      <c r="S438">
        <v>0</v>
      </c>
      <c r="T438">
        <v>0</v>
      </c>
      <c r="U438">
        <v>984016.73</v>
      </c>
    </row>
    <row r="439" spans="11:21" x14ac:dyDescent="0.25">
      <c r="K439" t="s">
        <v>1024</v>
      </c>
      <c r="L439" t="s">
        <v>1025</v>
      </c>
      <c r="M439" t="s">
        <v>540</v>
      </c>
      <c r="N439" t="s">
        <v>1007</v>
      </c>
      <c r="O439">
        <v>1546985</v>
      </c>
      <c r="P439" t="s">
        <v>1008</v>
      </c>
      <c r="Q439">
        <v>615890</v>
      </c>
      <c r="R439">
        <v>0</v>
      </c>
      <c r="S439">
        <v>0</v>
      </c>
      <c r="T439">
        <v>0</v>
      </c>
      <c r="U439">
        <v>2162875</v>
      </c>
    </row>
    <row r="440" spans="11:21" x14ac:dyDescent="0.25">
      <c r="K440" t="s">
        <v>398</v>
      </c>
      <c r="L440" t="s">
        <v>399</v>
      </c>
      <c r="M440" t="s">
        <v>540</v>
      </c>
      <c r="N440" t="s">
        <v>559</v>
      </c>
      <c r="O440">
        <v>0</v>
      </c>
      <c r="P440" t="s">
        <v>560</v>
      </c>
      <c r="Q440">
        <v>0</v>
      </c>
      <c r="R440">
        <v>0</v>
      </c>
      <c r="S440">
        <v>0</v>
      </c>
      <c r="T440">
        <v>-2698.26</v>
      </c>
      <c r="U440">
        <v>-2698.26</v>
      </c>
    </row>
    <row r="441" spans="11:21" x14ac:dyDescent="0.25">
      <c r="K441" t="s">
        <v>770</v>
      </c>
      <c r="L441" t="s">
        <v>771</v>
      </c>
      <c r="M441" t="s">
        <v>540</v>
      </c>
      <c r="N441" t="s">
        <v>772</v>
      </c>
      <c r="O441">
        <v>1881330</v>
      </c>
      <c r="P441" t="s">
        <v>773</v>
      </c>
      <c r="Q441">
        <v>138986072.5</v>
      </c>
      <c r="R441">
        <v>0</v>
      </c>
      <c r="S441">
        <v>0</v>
      </c>
      <c r="T441">
        <v>0</v>
      </c>
      <c r="U441">
        <v>140867402.5</v>
      </c>
    </row>
    <row r="442" spans="11:21" x14ac:dyDescent="0.25">
      <c r="K442" t="s">
        <v>1287</v>
      </c>
      <c r="L442" t="s">
        <v>1288</v>
      </c>
      <c r="M442" t="s">
        <v>540</v>
      </c>
      <c r="N442" t="s">
        <v>541</v>
      </c>
      <c r="O442">
        <v>10515298.130000001</v>
      </c>
      <c r="P442" t="s">
        <v>542</v>
      </c>
      <c r="Q442">
        <v>0</v>
      </c>
      <c r="R442">
        <v>0</v>
      </c>
      <c r="S442">
        <v>0</v>
      </c>
      <c r="T442">
        <v>0</v>
      </c>
      <c r="U442">
        <v>10515298.130000001</v>
      </c>
    </row>
    <row r="443" spans="11:21" x14ac:dyDescent="0.25">
      <c r="K443" t="s">
        <v>400</v>
      </c>
      <c r="L443" t="s">
        <v>401</v>
      </c>
      <c r="M443" t="s">
        <v>540</v>
      </c>
      <c r="N443" t="s">
        <v>679</v>
      </c>
      <c r="O443">
        <v>78752425</v>
      </c>
      <c r="P443" t="s">
        <v>680</v>
      </c>
      <c r="Q443">
        <v>11657000</v>
      </c>
      <c r="R443">
        <v>0</v>
      </c>
      <c r="S443">
        <v>0</v>
      </c>
      <c r="T443">
        <v>0</v>
      </c>
      <c r="U443">
        <v>90409425</v>
      </c>
    </row>
    <row r="444" spans="11:21" x14ac:dyDescent="0.25">
      <c r="K444" t="s">
        <v>1289</v>
      </c>
      <c r="L444" t="s">
        <v>1290</v>
      </c>
      <c r="M444" t="s">
        <v>540</v>
      </c>
      <c r="N444" t="s">
        <v>681</v>
      </c>
      <c r="O444">
        <v>1402016</v>
      </c>
      <c r="P444" t="s">
        <v>682</v>
      </c>
      <c r="Q444">
        <v>0</v>
      </c>
      <c r="R444">
        <v>0</v>
      </c>
      <c r="S444">
        <v>0</v>
      </c>
      <c r="T444">
        <v>0</v>
      </c>
      <c r="U444">
        <v>1402016</v>
      </c>
    </row>
    <row r="445" spans="11:21" x14ac:dyDescent="0.25">
      <c r="K445" t="s">
        <v>402</v>
      </c>
      <c r="L445" t="s">
        <v>403</v>
      </c>
      <c r="M445" t="s">
        <v>540</v>
      </c>
      <c r="N445" t="s">
        <v>681</v>
      </c>
      <c r="O445">
        <v>2632258.2000000002</v>
      </c>
      <c r="P445" t="s">
        <v>682</v>
      </c>
      <c r="Q445">
        <v>57329826.399999999</v>
      </c>
      <c r="R445">
        <v>24862097.789999999</v>
      </c>
      <c r="S445">
        <v>0</v>
      </c>
      <c r="T445">
        <v>0</v>
      </c>
      <c r="U445">
        <v>84824182.390000001</v>
      </c>
    </row>
    <row r="446" spans="11:21" x14ac:dyDescent="0.25">
      <c r="K446" t="s">
        <v>404</v>
      </c>
      <c r="L446" t="s">
        <v>405</v>
      </c>
      <c r="M446" t="s">
        <v>540</v>
      </c>
      <c r="N446" t="s">
        <v>615</v>
      </c>
      <c r="O446">
        <v>229618.98</v>
      </c>
      <c r="P446" t="s">
        <v>616</v>
      </c>
      <c r="Q446">
        <v>2797089.87</v>
      </c>
      <c r="R446">
        <v>0</v>
      </c>
      <c r="S446">
        <v>0</v>
      </c>
      <c r="T446">
        <v>0</v>
      </c>
      <c r="U446">
        <v>3026708.85</v>
      </c>
    </row>
    <row r="447" spans="11:21" x14ac:dyDescent="0.25">
      <c r="K447" t="s">
        <v>1291</v>
      </c>
      <c r="L447" t="s">
        <v>1292</v>
      </c>
      <c r="M447" t="s">
        <v>540</v>
      </c>
      <c r="N447" t="s">
        <v>555</v>
      </c>
      <c r="O447">
        <v>467667.20000000001</v>
      </c>
      <c r="P447" t="s">
        <v>556</v>
      </c>
      <c r="Q447">
        <v>0</v>
      </c>
      <c r="R447">
        <v>0</v>
      </c>
      <c r="S447">
        <v>0</v>
      </c>
      <c r="T447">
        <v>0</v>
      </c>
      <c r="U447">
        <v>467667.20000000001</v>
      </c>
    </row>
    <row r="448" spans="11:21" x14ac:dyDescent="0.25">
      <c r="K448" t="s">
        <v>1293</v>
      </c>
      <c r="L448" t="s">
        <v>1294</v>
      </c>
      <c r="M448" t="s">
        <v>540</v>
      </c>
      <c r="N448" t="s">
        <v>563</v>
      </c>
      <c r="O448">
        <v>2623383.75</v>
      </c>
      <c r="P448" t="s">
        <v>564</v>
      </c>
      <c r="Q448">
        <v>0</v>
      </c>
      <c r="R448">
        <v>0</v>
      </c>
      <c r="S448">
        <v>0</v>
      </c>
      <c r="T448">
        <v>0</v>
      </c>
      <c r="U448">
        <v>2623383.75</v>
      </c>
    </row>
    <row r="449" spans="11:21" x14ac:dyDescent="0.25">
      <c r="K449" t="s">
        <v>985</v>
      </c>
      <c r="L449" t="s">
        <v>945</v>
      </c>
      <c r="M449" t="s">
        <v>540</v>
      </c>
      <c r="N449" t="s">
        <v>565</v>
      </c>
      <c r="O449">
        <v>0</v>
      </c>
      <c r="P449" t="s">
        <v>566</v>
      </c>
      <c r="Q449">
        <v>141515200</v>
      </c>
      <c r="R449">
        <v>0</v>
      </c>
      <c r="S449">
        <v>0</v>
      </c>
      <c r="T449">
        <v>0</v>
      </c>
      <c r="U449">
        <v>141515200</v>
      </c>
    </row>
    <row r="450" spans="11:21" x14ac:dyDescent="0.25">
      <c r="K450" t="s">
        <v>907</v>
      </c>
      <c r="L450" t="s">
        <v>908</v>
      </c>
      <c r="M450" t="s">
        <v>540</v>
      </c>
      <c r="N450" t="s">
        <v>909</v>
      </c>
      <c r="O450">
        <v>14280521.439999999</v>
      </c>
      <c r="P450" t="s">
        <v>910</v>
      </c>
      <c r="Q450">
        <v>0</v>
      </c>
      <c r="R450">
        <v>0</v>
      </c>
      <c r="S450">
        <v>0</v>
      </c>
      <c r="T450">
        <v>0</v>
      </c>
      <c r="U450">
        <v>14280521.439999999</v>
      </c>
    </row>
    <row r="451" spans="11:21" x14ac:dyDescent="0.25">
      <c r="K451" t="s">
        <v>1295</v>
      </c>
      <c r="L451" t="s">
        <v>1296</v>
      </c>
      <c r="M451" t="s">
        <v>540</v>
      </c>
      <c r="N451" t="s">
        <v>1022</v>
      </c>
      <c r="O451">
        <v>14510925</v>
      </c>
      <c r="P451" t="s">
        <v>1023</v>
      </c>
      <c r="Q451">
        <v>14463735</v>
      </c>
      <c r="R451">
        <v>0</v>
      </c>
      <c r="S451">
        <v>0</v>
      </c>
      <c r="T451">
        <v>0</v>
      </c>
      <c r="U451">
        <v>28974660</v>
      </c>
    </row>
    <row r="452" spans="11:21" x14ac:dyDescent="0.25">
      <c r="K452" t="s">
        <v>406</v>
      </c>
      <c r="L452" t="s">
        <v>407</v>
      </c>
      <c r="M452" t="s">
        <v>540</v>
      </c>
      <c r="N452" t="s">
        <v>681</v>
      </c>
      <c r="O452">
        <v>1077707.8400000001</v>
      </c>
      <c r="P452" t="s">
        <v>682</v>
      </c>
      <c r="Q452">
        <v>944711.93</v>
      </c>
      <c r="R452">
        <v>2999828.69</v>
      </c>
      <c r="S452">
        <v>0</v>
      </c>
      <c r="T452">
        <v>0</v>
      </c>
      <c r="U452">
        <v>5022248.46</v>
      </c>
    </row>
    <row r="453" spans="11:21" x14ac:dyDescent="0.25">
      <c r="K453" t="s">
        <v>408</v>
      </c>
      <c r="L453" t="s">
        <v>409</v>
      </c>
      <c r="M453" t="s">
        <v>540</v>
      </c>
      <c r="N453" t="s">
        <v>677</v>
      </c>
      <c r="O453">
        <v>15652500</v>
      </c>
      <c r="P453" t="s">
        <v>678</v>
      </c>
      <c r="Q453">
        <v>24537500</v>
      </c>
      <c r="R453">
        <v>0</v>
      </c>
      <c r="S453">
        <v>0</v>
      </c>
      <c r="T453">
        <v>0</v>
      </c>
      <c r="U453">
        <v>40190000</v>
      </c>
    </row>
    <row r="454" spans="11:21" x14ac:dyDescent="0.25">
      <c r="K454" t="s">
        <v>1297</v>
      </c>
      <c r="L454" t="s">
        <v>1298</v>
      </c>
      <c r="M454" t="s">
        <v>540</v>
      </c>
      <c r="N454" t="s">
        <v>631</v>
      </c>
      <c r="O454">
        <v>0</v>
      </c>
      <c r="P454" t="s">
        <v>632</v>
      </c>
      <c r="Q454">
        <v>744766.66</v>
      </c>
      <c r="R454">
        <v>0</v>
      </c>
      <c r="S454">
        <v>0</v>
      </c>
      <c r="T454">
        <v>0</v>
      </c>
      <c r="U454">
        <v>744766.66</v>
      </c>
    </row>
    <row r="455" spans="11:21" x14ac:dyDescent="0.25">
      <c r="K455" t="s">
        <v>511</v>
      </c>
      <c r="L455" t="s">
        <v>512</v>
      </c>
      <c r="M455" t="s">
        <v>540</v>
      </c>
      <c r="N455" t="s">
        <v>631</v>
      </c>
      <c r="O455">
        <v>70180</v>
      </c>
      <c r="P455" t="s">
        <v>632</v>
      </c>
      <c r="Q455">
        <v>142780</v>
      </c>
      <c r="R455">
        <v>0</v>
      </c>
      <c r="S455">
        <v>0</v>
      </c>
      <c r="T455">
        <v>0</v>
      </c>
      <c r="U455">
        <v>212960</v>
      </c>
    </row>
    <row r="456" spans="11:21" x14ac:dyDescent="0.25">
      <c r="K456" t="s">
        <v>1051</v>
      </c>
      <c r="L456" t="s">
        <v>1052</v>
      </c>
      <c r="M456" t="s">
        <v>540</v>
      </c>
      <c r="N456" t="s">
        <v>665</v>
      </c>
      <c r="O456">
        <v>0</v>
      </c>
      <c r="P456" t="s">
        <v>666</v>
      </c>
      <c r="Q456">
        <v>16180000</v>
      </c>
      <c r="R456">
        <v>0</v>
      </c>
      <c r="S456">
        <v>0</v>
      </c>
      <c r="T456">
        <v>0</v>
      </c>
      <c r="U456">
        <v>16180000</v>
      </c>
    </row>
    <row r="457" spans="11:21" x14ac:dyDescent="0.25">
      <c r="K457" t="s">
        <v>410</v>
      </c>
      <c r="L457" t="s">
        <v>411</v>
      </c>
      <c r="M457" t="s">
        <v>540</v>
      </c>
      <c r="N457" t="s">
        <v>559</v>
      </c>
      <c r="O457">
        <v>0</v>
      </c>
      <c r="P457" t="s">
        <v>560</v>
      </c>
      <c r="Q457">
        <v>9735206.25</v>
      </c>
      <c r="R457">
        <v>7286952.75</v>
      </c>
      <c r="S457">
        <v>0</v>
      </c>
      <c r="T457">
        <v>0</v>
      </c>
      <c r="U457">
        <v>17022159</v>
      </c>
    </row>
    <row r="458" spans="11:21" x14ac:dyDescent="0.25">
      <c r="K458" t="s">
        <v>412</v>
      </c>
      <c r="L458" t="s">
        <v>413</v>
      </c>
      <c r="M458" t="s">
        <v>540</v>
      </c>
      <c r="N458" t="s">
        <v>677</v>
      </c>
      <c r="O458">
        <v>0</v>
      </c>
      <c r="P458" t="s">
        <v>678</v>
      </c>
      <c r="Q458">
        <v>10694322.039999999</v>
      </c>
      <c r="R458">
        <v>4797192.21</v>
      </c>
      <c r="S458">
        <v>0</v>
      </c>
      <c r="T458">
        <v>0</v>
      </c>
      <c r="U458">
        <v>15491514.25</v>
      </c>
    </row>
    <row r="459" spans="11:21" x14ac:dyDescent="0.25">
      <c r="K459" t="s">
        <v>414</v>
      </c>
      <c r="L459" t="s">
        <v>415</v>
      </c>
      <c r="M459" t="s">
        <v>540</v>
      </c>
      <c r="N459" t="s">
        <v>553</v>
      </c>
      <c r="O459">
        <v>8487858.5999999996</v>
      </c>
      <c r="P459" t="s">
        <v>554</v>
      </c>
      <c r="Q459">
        <v>32571477.25</v>
      </c>
      <c r="R459">
        <v>0</v>
      </c>
      <c r="S459">
        <v>0</v>
      </c>
      <c r="T459">
        <v>0</v>
      </c>
      <c r="U459">
        <v>41059335.850000001</v>
      </c>
    </row>
    <row r="460" spans="11:21" x14ac:dyDescent="0.25">
      <c r="K460" t="s">
        <v>830</v>
      </c>
      <c r="L460" t="s">
        <v>831</v>
      </c>
      <c r="M460" t="s">
        <v>540</v>
      </c>
      <c r="N460" t="s">
        <v>605</v>
      </c>
      <c r="O460">
        <v>2237532.02</v>
      </c>
      <c r="P460" t="s">
        <v>606</v>
      </c>
      <c r="Q460">
        <v>6746415.5</v>
      </c>
      <c r="R460">
        <v>0</v>
      </c>
      <c r="S460">
        <v>0</v>
      </c>
      <c r="T460">
        <v>0</v>
      </c>
      <c r="U460">
        <v>8983947.5199999996</v>
      </c>
    </row>
    <row r="461" spans="11:21" x14ac:dyDescent="0.25">
      <c r="K461" t="s">
        <v>1299</v>
      </c>
      <c r="L461" t="s">
        <v>1300</v>
      </c>
      <c r="M461" t="s">
        <v>540</v>
      </c>
      <c r="N461" t="s">
        <v>1301</v>
      </c>
      <c r="O461">
        <v>650000</v>
      </c>
      <c r="P461" t="s">
        <v>1302</v>
      </c>
      <c r="Q461">
        <v>0</v>
      </c>
      <c r="R461">
        <v>0</v>
      </c>
      <c r="S461">
        <v>0</v>
      </c>
      <c r="T461">
        <v>0</v>
      </c>
      <c r="U461">
        <v>650000</v>
      </c>
    </row>
    <row r="462" spans="11:21" x14ac:dyDescent="0.25">
      <c r="K462" t="s">
        <v>1303</v>
      </c>
      <c r="L462" t="s">
        <v>1304</v>
      </c>
      <c r="M462" t="s">
        <v>540</v>
      </c>
      <c r="N462" t="s">
        <v>1305</v>
      </c>
      <c r="O462">
        <v>0</v>
      </c>
      <c r="P462" t="s">
        <v>1306</v>
      </c>
      <c r="Q462">
        <v>128865</v>
      </c>
      <c r="R462">
        <v>0</v>
      </c>
      <c r="S462">
        <v>0</v>
      </c>
      <c r="T462">
        <v>0</v>
      </c>
      <c r="U462">
        <v>128865</v>
      </c>
    </row>
    <row r="463" spans="11:21" x14ac:dyDescent="0.25">
      <c r="K463" t="s">
        <v>418</v>
      </c>
      <c r="L463" t="s">
        <v>419</v>
      </c>
      <c r="M463" t="s">
        <v>540</v>
      </c>
      <c r="N463" t="s">
        <v>643</v>
      </c>
      <c r="O463">
        <v>495040.91</v>
      </c>
      <c r="P463" t="s">
        <v>644</v>
      </c>
      <c r="Q463">
        <v>0</v>
      </c>
      <c r="R463">
        <v>0</v>
      </c>
      <c r="S463">
        <v>0</v>
      </c>
      <c r="T463">
        <v>0</v>
      </c>
      <c r="U463">
        <v>495040.91</v>
      </c>
    </row>
    <row r="464" spans="11:21" x14ac:dyDescent="0.25">
      <c r="K464" t="s">
        <v>1307</v>
      </c>
      <c r="L464" t="s">
        <v>1308</v>
      </c>
      <c r="M464" t="s">
        <v>540</v>
      </c>
      <c r="N464" t="s">
        <v>559</v>
      </c>
      <c r="O464">
        <v>550000</v>
      </c>
      <c r="P464" t="s">
        <v>560</v>
      </c>
      <c r="Q464">
        <v>0</v>
      </c>
      <c r="R464">
        <v>0</v>
      </c>
      <c r="S464">
        <v>0</v>
      </c>
      <c r="T464">
        <v>0</v>
      </c>
      <c r="U464">
        <v>550000</v>
      </c>
    </row>
    <row r="465" spans="11:21" x14ac:dyDescent="0.25">
      <c r="K465" t="s">
        <v>422</v>
      </c>
      <c r="L465" t="s">
        <v>423</v>
      </c>
      <c r="M465" t="s">
        <v>540</v>
      </c>
      <c r="N465" t="s">
        <v>553</v>
      </c>
      <c r="O465">
        <v>149700</v>
      </c>
      <c r="P465" t="s">
        <v>554</v>
      </c>
      <c r="Q465">
        <v>646150</v>
      </c>
      <c r="R465">
        <v>0</v>
      </c>
      <c r="S465">
        <v>0</v>
      </c>
      <c r="T465">
        <v>0</v>
      </c>
      <c r="U465">
        <v>795850</v>
      </c>
    </row>
    <row r="466" spans="11:21" x14ac:dyDescent="0.25">
      <c r="K466" t="s">
        <v>186</v>
      </c>
      <c r="L466" t="s">
        <v>1026</v>
      </c>
      <c r="M466" t="s">
        <v>540</v>
      </c>
      <c r="N466" t="s">
        <v>545</v>
      </c>
      <c r="O466">
        <v>0</v>
      </c>
      <c r="P466" t="s">
        <v>546</v>
      </c>
      <c r="Q466">
        <v>2262397.5</v>
      </c>
      <c r="R466">
        <v>0</v>
      </c>
      <c r="S466">
        <v>0</v>
      </c>
      <c r="T466">
        <v>0</v>
      </c>
      <c r="U466">
        <v>2262397.5</v>
      </c>
    </row>
    <row r="467" spans="11:21" x14ac:dyDescent="0.25">
      <c r="K467" t="s">
        <v>986</v>
      </c>
      <c r="L467" t="s">
        <v>987</v>
      </c>
      <c r="M467" t="s">
        <v>540</v>
      </c>
      <c r="N467" t="s">
        <v>579</v>
      </c>
      <c r="O467">
        <v>236482.37</v>
      </c>
      <c r="P467" t="s">
        <v>580</v>
      </c>
      <c r="Q467">
        <v>1020577.5</v>
      </c>
      <c r="R467">
        <v>0</v>
      </c>
      <c r="S467">
        <v>0</v>
      </c>
      <c r="T467">
        <v>0</v>
      </c>
      <c r="U467">
        <v>1257059.8700000001</v>
      </c>
    </row>
    <row r="468" spans="11:21" x14ac:dyDescent="0.25">
      <c r="K468" t="s">
        <v>988</v>
      </c>
      <c r="L468" t="s">
        <v>946</v>
      </c>
      <c r="M468" t="s">
        <v>540</v>
      </c>
      <c r="N468" t="s">
        <v>563</v>
      </c>
      <c r="O468">
        <v>14022391.68</v>
      </c>
      <c r="P468" t="s">
        <v>564</v>
      </c>
      <c r="Q468">
        <v>0</v>
      </c>
      <c r="R468">
        <v>0</v>
      </c>
      <c r="S468">
        <v>0</v>
      </c>
      <c r="T468">
        <v>0</v>
      </c>
      <c r="U468">
        <v>14022391.68</v>
      </c>
    </row>
    <row r="469" spans="11:21" x14ac:dyDescent="0.25">
      <c r="K469" t="s">
        <v>424</v>
      </c>
      <c r="L469" t="s">
        <v>425</v>
      </c>
      <c r="M469" t="s">
        <v>540</v>
      </c>
      <c r="N469" t="s">
        <v>617</v>
      </c>
      <c r="O469">
        <v>0</v>
      </c>
      <c r="P469" t="s">
        <v>618</v>
      </c>
      <c r="Q469">
        <v>15888000</v>
      </c>
      <c r="R469">
        <v>8985600</v>
      </c>
      <c r="S469">
        <v>0</v>
      </c>
      <c r="T469">
        <v>0</v>
      </c>
      <c r="U469">
        <v>24873600</v>
      </c>
    </row>
    <row r="470" spans="11:21" x14ac:dyDescent="0.25">
      <c r="K470" t="s">
        <v>1309</v>
      </c>
      <c r="L470" t="s">
        <v>1310</v>
      </c>
      <c r="M470" t="s">
        <v>540</v>
      </c>
      <c r="N470" t="s">
        <v>661</v>
      </c>
      <c r="O470">
        <v>1764000</v>
      </c>
      <c r="P470" t="s">
        <v>662</v>
      </c>
      <c r="Q470">
        <v>0</v>
      </c>
      <c r="R470">
        <v>0</v>
      </c>
      <c r="S470">
        <v>0</v>
      </c>
      <c r="T470">
        <v>0</v>
      </c>
      <c r="U470">
        <v>1764000</v>
      </c>
    </row>
    <row r="471" spans="11:21" x14ac:dyDescent="0.25">
      <c r="K471" t="s">
        <v>426</v>
      </c>
      <c r="L471" t="s">
        <v>427</v>
      </c>
      <c r="M471" t="s">
        <v>540</v>
      </c>
      <c r="N471" t="s">
        <v>659</v>
      </c>
      <c r="O471">
        <v>0</v>
      </c>
      <c r="P471" t="s">
        <v>660</v>
      </c>
      <c r="Q471">
        <v>873454</v>
      </c>
      <c r="R471">
        <v>0</v>
      </c>
      <c r="S471">
        <v>0</v>
      </c>
      <c r="T471">
        <v>0</v>
      </c>
      <c r="U471">
        <v>873454</v>
      </c>
    </row>
    <row r="472" spans="11:21" x14ac:dyDescent="0.25">
      <c r="K472" t="s">
        <v>428</v>
      </c>
      <c r="L472" t="s">
        <v>429</v>
      </c>
      <c r="M472" t="s">
        <v>540</v>
      </c>
      <c r="N472" t="s">
        <v>691</v>
      </c>
      <c r="O472">
        <v>1226214</v>
      </c>
      <c r="P472" t="s">
        <v>692</v>
      </c>
      <c r="Q472">
        <v>2015834</v>
      </c>
      <c r="R472">
        <v>0</v>
      </c>
      <c r="S472">
        <v>0</v>
      </c>
      <c r="T472">
        <v>0</v>
      </c>
      <c r="U472">
        <v>3242048</v>
      </c>
    </row>
    <row r="473" spans="11:21" x14ac:dyDescent="0.25">
      <c r="K473" t="s">
        <v>430</v>
      </c>
      <c r="L473" t="s">
        <v>431</v>
      </c>
      <c r="M473" t="s">
        <v>540</v>
      </c>
      <c r="N473" t="s">
        <v>551</v>
      </c>
      <c r="O473">
        <v>0</v>
      </c>
      <c r="P473" t="s">
        <v>552</v>
      </c>
      <c r="Q473">
        <v>3537430.54</v>
      </c>
      <c r="R473">
        <v>0</v>
      </c>
      <c r="S473">
        <v>0</v>
      </c>
      <c r="T473">
        <v>0</v>
      </c>
      <c r="U473">
        <v>3537430.54</v>
      </c>
    </row>
    <row r="474" spans="11:21" x14ac:dyDescent="0.25">
      <c r="K474" t="s">
        <v>432</v>
      </c>
      <c r="L474" t="s">
        <v>433</v>
      </c>
      <c r="M474" t="s">
        <v>540</v>
      </c>
      <c r="N474" t="s">
        <v>1311</v>
      </c>
      <c r="O474">
        <v>0</v>
      </c>
      <c r="P474" t="s">
        <v>1312</v>
      </c>
      <c r="Q474">
        <v>0</v>
      </c>
      <c r="R474">
        <v>0</v>
      </c>
      <c r="S474">
        <v>0</v>
      </c>
      <c r="T474">
        <v>1074310</v>
      </c>
      <c r="U474">
        <v>1074310</v>
      </c>
    </row>
    <row r="475" spans="11:21" x14ac:dyDescent="0.25">
      <c r="K475" t="s">
        <v>1313</v>
      </c>
      <c r="L475" t="s">
        <v>1314</v>
      </c>
      <c r="M475" t="s">
        <v>540</v>
      </c>
      <c r="N475" t="s">
        <v>661</v>
      </c>
      <c r="O475">
        <v>0</v>
      </c>
      <c r="P475" t="s">
        <v>662</v>
      </c>
      <c r="Q475">
        <v>134000</v>
      </c>
      <c r="R475">
        <v>0</v>
      </c>
      <c r="S475">
        <v>0</v>
      </c>
      <c r="T475">
        <v>0</v>
      </c>
      <c r="U475">
        <v>134000</v>
      </c>
    </row>
    <row r="476" spans="11:21" x14ac:dyDescent="0.25">
      <c r="K476" t="s">
        <v>786</v>
      </c>
      <c r="L476" t="s">
        <v>787</v>
      </c>
      <c r="M476" t="s">
        <v>540</v>
      </c>
      <c r="N476" t="s">
        <v>559</v>
      </c>
      <c r="O476">
        <v>865472.7</v>
      </c>
      <c r="P476" t="s">
        <v>560</v>
      </c>
      <c r="Q476">
        <v>836879.82</v>
      </c>
      <c r="R476">
        <v>0</v>
      </c>
      <c r="S476">
        <v>0</v>
      </c>
      <c r="T476">
        <v>0</v>
      </c>
      <c r="U476">
        <v>1702352.52</v>
      </c>
    </row>
    <row r="477" spans="11:21" x14ac:dyDescent="0.25">
      <c r="K477" t="s">
        <v>788</v>
      </c>
      <c r="L477" t="s">
        <v>789</v>
      </c>
      <c r="M477" t="s">
        <v>540</v>
      </c>
      <c r="N477" t="s">
        <v>559</v>
      </c>
      <c r="O477">
        <v>7453600</v>
      </c>
      <c r="P477" t="s">
        <v>560</v>
      </c>
      <c r="Q477">
        <v>22705200</v>
      </c>
      <c r="R477">
        <v>0</v>
      </c>
      <c r="S477">
        <v>0</v>
      </c>
      <c r="T477">
        <v>0</v>
      </c>
      <c r="U477">
        <v>30158800</v>
      </c>
    </row>
    <row r="478" spans="11:21" x14ac:dyDescent="0.25">
      <c r="K478" t="s">
        <v>991</v>
      </c>
      <c r="L478" t="s">
        <v>947</v>
      </c>
      <c r="M478" t="s">
        <v>540</v>
      </c>
      <c r="N478" t="s">
        <v>989</v>
      </c>
      <c r="O478">
        <v>0</v>
      </c>
      <c r="P478" t="s">
        <v>990</v>
      </c>
      <c r="Q478">
        <v>0</v>
      </c>
      <c r="R478">
        <v>302474011.19999999</v>
      </c>
      <c r="S478">
        <v>506546760</v>
      </c>
      <c r="T478">
        <v>0</v>
      </c>
      <c r="U478">
        <v>809020771.20000005</v>
      </c>
    </row>
    <row r="479" spans="11:21" x14ac:dyDescent="0.25">
      <c r="K479" t="s">
        <v>515</v>
      </c>
      <c r="L479" t="s">
        <v>516</v>
      </c>
      <c r="M479" t="s">
        <v>540</v>
      </c>
      <c r="N479" t="s">
        <v>693</v>
      </c>
      <c r="O479">
        <v>0</v>
      </c>
      <c r="P479" t="s">
        <v>694</v>
      </c>
      <c r="Q479">
        <v>0</v>
      </c>
      <c r="R479">
        <v>2096688</v>
      </c>
      <c r="S479">
        <v>0</v>
      </c>
      <c r="T479">
        <v>0</v>
      </c>
      <c r="U479">
        <v>2096688</v>
      </c>
    </row>
    <row r="480" spans="11:21" x14ac:dyDescent="0.25">
      <c r="K480" t="s">
        <v>434</v>
      </c>
      <c r="L480" t="s">
        <v>435</v>
      </c>
      <c r="M480" t="s">
        <v>540</v>
      </c>
      <c r="N480" t="s">
        <v>623</v>
      </c>
      <c r="O480">
        <v>389669.25</v>
      </c>
      <c r="P480" t="s">
        <v>624</v>
      </c>
      <c r="Q480">
        <v>3381242.9</v>
      </c>
      <c r="R480">
        <v>488704.61</v>
      </c>
      <c r="S480">
        <v>0</v>
      </c>
      <c r="T480">
        <v>0</v>
      </c>
      <c r="U480">
        <v>4259616.76</v>
      </c>
    </row>
    <row r="481" spans="11:21" x14ac:dyDescent="0.25">
      <c r="K481" t="s">
        <v>1027</v>
      </c>
      <c r="L481" t="s">
        <v>1028</v>
      </c>
      <c r="M481" t="s">
        <v>540</v>
      </c>
      <c r="N481" t="s">
        <v>623</v>
      </c>
      <c r="O481">
        <v>-679517.07</v>
      </c>
      <c r="P481" t="s">
        <v>624</v>
      </c>
      <c r="Q481">
        <v>0</v>
      </c>
      <c r="R481">
        <v>37751507.439999998</v>
      </c>
      <c r="S481">
        <v>0</v>
      </c>
      <c r="T481">
        <v>0</v>
      </c>
      <c r="U481">
        <v>37071990.369999997</v>
      </c>
    </row>
    <row r="482" spans="11:21" x14ac:dyDescent="0.25">
      <c r="K482" t="s">
        <v>436</v>
      </c>
      <c r="L482" t="s">
        <v>437</v>
      </c>
      <c r="M482" t="s">
        <v>540</v>
      </c>
      <c r="N482" t="s">
        <v>561</v>
      </c>
      <c r="O482">
        <v>32656000</v>
      </c>
      <c r="P482" t="s">
        <v>562</v>
      </c>
      <c r="Q482">
        <v>110848000</v>
      </c>
      <c r="R482">
        <v>0</v>
      </c>
      <c r="S482">
        <v>0</v>
      </c>
      <c r="T482">
        <v>0</v>
      </c>
      <c r="U482">
        <v>143504000</v>
      </c>
    </row>
    <row r="483" spans="11:21" x14ac:dyDescent="0.25">
      <c r="K483" t="s">
        <v>438</v>
      </c>
      <c r="L483" t="s">
        <v>439</v>
      </c>
      <c r="M483" t="s">
        <v>540</v>
      </c>
      <c r="N483" t="s">
        <v>603</v>
      </c>
      <c r="O483">
        <v>0</v>
      </c>
      <c r="P483" t="s">
        <v>604</v>
      </c>
      <c r="Q483">
        <v>0</v>
      </c>
      <c r="R483">
        <v>0</v>
      </c>
      <c r="S483">
        <v>0</v>
      </c>
      <c r="T483">
        <v>8115779.6100000003</v>
      </c>
      <c r="U483">
        <v>8115779.6100000003</v>
      </c>
    </row>
    <row r="484" spans="11:21" x14ac:dyDescent="0.25">
      <c r="K484" t="s">
        <v>440</v>
      </c>
      <c r="L484" t="s">
        <v>441</v>
      </c>
      <c r="M484" t="s">
        <v>540</v>
      </c>
      <c r="N484" t="s">
        <v>601</v>
      </c>
      <c r="O484">
        <v>0</v>
      </c>
      <c r="P484" t="s">
        <v>602</v>
      </c>
      <c r="Q484">
        <v>8603100</v>
      </c>
      <c r="R484">
        <v>0</v>
      </c>
      <c r="S484">
        <v>0</v>
      </c>
      <c r="T484">
        <v>0</v>
      </c>
      <c r="U484">
        <v>8603100</v>
      </c>
    </row>
    <row r="485" spans="11:21" x14ac:dyDescent="0.25">
      <c r="K485" t="s">
        <v>517</v>
      </c>
      <c r="L485" t="s">
        <v>518</v>
      </c>
      <c r="M485" t="s">
        <v>540</v>
      </c>
      <c r="N485" t="s">
        <v>575</v>
      </c>
      <c r="O485">
        <v>0</v>
      </c>
      <c r="P485" t="s">
        <v>576</v>
      </c>
      <c r="Q485">
        <v>31395600</v>
      </c>
      <c r="R485">
        <v>0</v>
      </c>
      <c r="S485">
        <v>0</v>
      </c>
      <c r="T485">
        <v>0</v>
      </c>
      <c r="U485">
        <v>31395600</v>
      </c>
    </row>
    <row r="486" spans="11:21" x14ac:dyDescent="0.25">
      <c r="K486" t="s">
        <v>444</v>
      </c>
      <c r="L486" t="s">
        <v>445</v>
      </c>
      <c r="M486" t="s">
        <v>540</v>
      </c>
      <c r="N486" t="s">
        <v>603</v>
      </c>
      <c r="O486">
        <v>0</v>
      </c>
      <c r="P486" t="s">
        <v>604</v>
      </c>
      <c r="Q486">
        <v>0</v>
      </c>
      <c r="R486">
        <v>0</v>
      </c>
      <c r="S486">
        <v>0</v>
      </c>
      <c r="T486">
        <v>25876207.34</v>
      </c>
      <c r="U486">
        <v>25876207.34</v>
      </c>
    </row>
    <row r="487" spans="11:21" x14ac:dyDescent="0.25">
      <c r="K487" t="s">
        <v>519</v>
      </c>
      <c r="L487" t="s">
        <v>520</v>
      </c>
      <c r="M487" t="s">
        <v>540</v>
      </c>
      <c r="N487" t="s">
        <v>695</v>
      </c>
      <c r="O487">
        <v>98800</v>
      </c>
      <c r="P487" t="s">
        <v>696</v>
      </c>
      <c r="Q487">
        <v>1457000</v>
      </c>
      <c r="R487">
        <v>2849100</v>
      </c>
      <c r="S487">
        <v>0</v>
      </c>
      <c r="T487">
        <v>0</v>
      </c>
      <c r="U487">
        <v>4404900</v>
      </c>
    </row>
    <row r="488" spans="11:21" x14ac:dyDescent="0.25">
      <c r="K488" t="s">
        <v>1315</v>
      </c>
      <c r="L488" t="s">
        <v>1316</v>
      </c>
      <c r="M488" t="s">
        <v>540</v>
      </c>
      <c r="N488" t="s">
        <v>653</v>
      </c>
      <c r="O488">
        <v>433451.04</v>
      </c>
      <c r="P488" t="s">
        <v>654</v>
      </c>
      <c r="Q488">
        <v>0</v>
      </c>
      <c r="R488">
        <v>0</v>
      </c>
      <c r="S488">
        <v>0</v>
      </c>
      <c r="T488">
        <v>0</v>
      </c>
      <c r="U488">
        <v>433451.04</v>
      </c>
    </row>
    <row r="489" spans="11:21" x14ac:dyDescent="0.25">
      <c r="K489" t="s">
        <v>790</v>
      </c>
      <c r="L489" t="s">
        <v>791</v>
      </c>
      <c r="M489" t="s">
        <v>540</v>
      </c>
      <c r="N489" t="s">
        <v>698</v>
      </c>
      <c r="O489">
        <v>133100</v>
      </c>
      <c r="P489" t="s">
        <v>699</v>
      </c>
      <c r="Q489">
        <v>0</v>
      </c>
      <c r="R489">
        <v>0</v>
      </c>
      <c r="S489">
        <v>0</v>
      </c>
      <c r="T489">
        <v>0</v>
      </c>
      <c r="U489">
        <v>133100</v>
      </c>
    </row>
    <row r="490" spans="11:21" x14ac:dyDescent="0.25">
      <c r="K490" t="s">
        <v>1317</v>
      </c>
      <c r="L490" t="s">
        <v>1318</v>
      </c>
      <c r="M490" t="s">
        <v>540</v>
      </c>
      <c r="N490" t="s">
        <v>559</v>
      </c>
      <c r="O490">
        <v>5500000</v>
      </c>
      <c r="P490" t="s">
        <v>560</v>
      </c>
      <c r="Q490">
        <v>0</v>
      </c>
      <c r="R490">
        <v>0</v>
      </c>
      <c r="S490">
        <v>0</v>
      </c>
      <c r="T490">
        <v>0</v>
      </c>
      <c r="U490">
        <v>5500000</v>
      </c>
    </row>
    <row r="491" spans="11:21" x14ac:dyDescent="0.25">
      <c r="K491" t="s">
        <v>196</v>
      </c>
      <c r="L491" t="s">
        <v>948</v>
      </c>
      <c r="M491" t="s">
        <v>540</v>
      </c>
      <c r="N491" t="s">
        <v>557</v>
      </c>
      <c r="O491">
        <v>85000</v>
      </c>
      <c r="P491" t="s">
        <v>558</v>
      </c>
      <c r="Q491">
        <v>3620000</v>
      </c>
      <c r="R491">
        <v>5655000</v>
      </c>
      <c r="S491">
        <v>0</v>
      </c>
      <c r="T491">
        <v>0</v>
      </c>
      <c r="U491">
        <v>9360000</v>
      </c>
    </row>
    <row r="492" spans="11:21" x14ac:dyDescent="0.25">
      <c r="K492" t="s">
        <v>448</v>
      </c>
      <c r="L492" t="s">
        <v>449</v>
      </c>
      <c r="M492" t="s">
        <v>540</v>
      </c>
      <c r="N492" t="s">
        <v>611</v>
      </c>
      <c r="O492">
        <v>57999.88</v>
      </c>
      <c r="P492" t="s">
        <v>612</v>
      </c>
      <c r="Q492">
        <v>2111199.94</v>
      </c>
      <c r="R492">
        <v>0</v>
      </c>
      <c r="S492">
        <v>0</v>
      </c>
      <c r="T492">
        <v>0</v>
      </c>
      <c r="U492">
        <v>2169199.8199999998</v>
      </c>
    </row>
    <row r="493" spans="11:21" x14ac:dyDescent="0.25">
      <c r="K493" t="s">
        <v>450</v>
      </c>
      <c r="L493" t="s">
        <v>451</v>
      </c>
      <c r="M493" t="s">
        <v>540</v>
      </c>
      <c r="N493" t="s">
        <v>671</v>
      </c>
      <c r="O493">
        <v>0</v>
      </c>
      <c r="P493" t="s">
        <v>697</v>
      </c>
      <c r="Q493">
        <v>2032800</v>
      </c>
      <c r="R493">
        <v>0</v>
      </c>
      <c r="S493">
        <v>0</v>
      </c>
      <c r="T493">
        <v>0</v>
      </c>
      <c r="U493">
        <v>2032800</v>
      </c>
    </row>
    <row r="494" spans="11:21" x14ac:dyDescent="0.25">
      <c r="K494" t="s">
        <v>1029</v>
      </c>
      <c r="L494" t="s">
        <v>1030</v>
      </c>
      <c r="M494" t="s">
        <v>540</v>
      </c>
      <c r="N494" t="s">
        <v>563</v>
      </c>
      <c r="O494">
        <v>0</v>
      </c>
      <c r="P494" t="s">
        <v>564</v>
      </c>
      <c r="Q494">
        <v>620000</v>
      </c>
      <c r="R494">
        <v>0</v>
      </c>
      <c r="S494">
        <v>0</v>
      </c>
      <c r="T494">
        <v>0</v>
      </c>
      <c r="U494">
        <v>620000</v>
      </c>
    </row>
    <row r="495" spans="11:21" x14ac:dyDescent="0.25">
      <c r="K495" t="s">
        <v>452</v>
      </c>
      <c r="L495" t="s">
        <v>453</v>
      </c>
      <c r="M495" t="s">
        <v>540</v>
      </c>
      <c r="N495" t="s">
        <v>653</v>
      </c>
      <c r="O495">
        <v>13500000</v>
      </c>
      <c r="P495" t="s">
        <v>654</v>
      </c>
      <c r="Q495">
        <v>37216529.130000003</v>
      </c>
      <c r="R495">
        <v>0</v>
      </c>
      <c r="S495">
        <v>0</v>
      </c>
      <c r="T495">
        <v>0</v>
      </c>
      <c r="U495">
        <v>50716529.130000003</v>
      </c>
    </row>
    <row r="496" spans="11:21" x14ac:dyDescent="0.25">
      <c r="K496" t="s">
        <v>794</v>
      </c>
      <c r="L496" t="s">
        <v>795</v>
      </c>
      <c r="M496" t="s">
        <v>540</v>
      </c>
      <c r="N496" t="s">
        <v>545</v>
      </c>
      <c r="O496">
        <v>0</v>
      </c>
      <c r="P496" t="s">
        <v>546</v>
      </c>
      <c r="Q496">
        <v>64443.83</v>
      </c>
      <c r="R496">
        <v>821652.74</v>
      </c>
      <c r="S496">
        <v>0</v>
      </c>
      <c r="T496">
        <v>0</v>
      </c>
      <c r="U496">
        <v>886096.57</v>
      </c>
    </row>
    <row r="497" spans="11:21" x14ac:dyDescent="0.25">
      <c r="K497" t="s">
        <v>521</v>
      </c>
      <c r="L497" t="s">
        <v>522</v>
      </c>
      <c r="M497" t="s">
        <v>540</v>
      </c>
      <c r="N497" t="s">
        <v>585</v>
      </c>
      <c r="O497">
        <v>4449843.9800000004</v>
      </c>
      <c r="P497" t="s">
        <v>586</v>
      </c>
      <c r="Q497">
        <v>0</v>
      </c>
      <c r="R497">
        <v>0</v>
      </c>
      <c r="S497">
        <v>0</v>
      </c>
      <c r="T497">
        <v>0</v>
      </c>
      <c r="U497">
        <v>4449843.9800000004</v>
      </c>
    </row>
    <row r="498" spans="11:21" x14ac:dyDescent="0.25">
      <c r="K498" t="s">
        <v>454</v>
      </c>
      <c r="L498" t="s">
        <v>455</v>
      </c>
      <c r="M498" t="s">
        <v>540</v>
      </c>
      <c r="N498" t="s">
        <v>679</v>
      </c>
      <c r="O498">
        <v>0</v>
      </c>
      <c r="P498" t="s">
        <v>680</v>
      </c>
      <c r="Q498">
        <v>68908</v>
      </c>
      <c r="R498">
        <v>0</v>
      </c>
      <c r="S498">
        <v>0</v>
      </c>
      <c r="T498">
        <v>0</v>
      </c>
      <c r="U498">
        <v>68908</v>
      </c>
    </row>
    <row r="499" spans="11:21" x14ac:dyDescent="0.25">
      <c r="K499" t="s">
        <v>458</v>
      </c>
      <c r="L499" t="s">
        <v>459</v>
      </c>
      <c r="M499" t="s">
        <v>540</v>
      </c>
      <c r="N499" t="s">
        <v>677</v>
      </c>
      <c r="O499">
        <v>0</v>
      </c>
      <c r="P499" t="s">
        <v>678</v>
      </c>
      <c r="Q499">
        <v>11140480.289999999</v>
      </c>
      <c r="R499">
        <v>12000000</v>
      </c>
      <c r="S499">
        <v>0</v>
      </c>
      <c r="T499">
        <v>0</v>
      </c>
      <c r="U499">
        <v>23140480.289999999</v>
      </c>
    </row>
    <row r="500" spans="11:21" x14ac:dyDescent="0.25">
      <c r="K500" t="s">
        <v>523</v>
      </c>
      <c r="L500" t="s">
        <v>524</v>
      </c>
      <c r="M500" t="s">
        <v>540</v>
      </c>
      <c r="N500" t="s">
        <v>555</v>
      </c>
      <c r="O500">
        <v>1566653.54</v>
      </c>
      <c r="P500" t="s">
        <v>556</v>
      </c>
      <c r="Q500">
        <v>0</v>
      </c>
      <c r="R500">
        <v>0</v>
      </c>
      <c r="S500">
        <v>0</v>
      </c>
      <c r="T500">
        <v>0</v>
      </c>
      <c r="U500">
        <v>1566653.54</v>
      </c>
    </row>
    <row r="501" spans="11:21" x14ac:dyDescent="0.25">
      <c r="K501" t="s">
        <v>992</v>
      </c>
      <c r="L501" t="s">
        <v>949</v>
      </c>
      <c r="M501" t="s">
        <v>540</v>
      </c>
      <c r="N501" t="s">
        <v>555</v>
      </c>
      <c r="O501">
        <v>0</v>
      </c>
      <c r="P501" t="s">
        <v>556</v>
      </c>
      <c r="Q501">
        <v>0</v>
      </c>
      <c r="R501">
        <v>0</v>
      </c>
      <c r="S501">
        <v>36072.33</v>
      </c>
      <c r="T501">
        <v>0</v>
      </c>
      <c r="U501">
        <v>36072.33</v>
      </c>
    </row>
    <row r="502" spans="11:21" x14ac:dyDescent="0.25">
      <c r="K502" t="s">
        <v>460</v>
      </c>
      <c r="L502" t="s">
        <v>461</v>
      </c>
      <c r="M502" t="s">
        <v>540</v>
      </c>
      <c r="N502" t="s">
        <v>559</v>
      </c>
      <c r="O502">
        <v>805000</v>
      </c>
      <c r="P502" t="s">
        <v>560</v>
      </c>
      <c r="Q502">
        <v>1194405</v>
      </c>
      <c r="R502">
        <v>0</v>
      </c>
      <c r="S502">
        <v>0</v>
      </c>
      <c r="T502">
        <v>0</v>
      </c>
      <c r="U502">
        <v>1999405</v>
      </c>
    </row>
    <row r="503" spans="11:21" x14ac:dyDescent="0.25">
      <c r="K503" t="s">
        <v>700</v>
      </c>
      <c r="L503" t="s">
        <v>701</v>
      </c>
      <c r="M503" t="s">
        <v>540</v>
      </c>
      <c r="N503" t="s">
        <v>589</v>
      </c>
      <c r="O503">
        <v>715288.64</v>
      </c>
      <c r="P503" t="s">
        <v>590</v>
      </c>
      <c r="Q503">
        <v>0</v>
      </c>
      <c r="R503">
        <v>0</v>
      </c>
      <c r="S503">
        <v>0</v>
      </c>
      <c r="T503">
        <v>0</v>
      </c>
      <c r="U503">
        <v>715288.64</v>
      </c>
    </row>
    <row r="504" spans="11:21" x14ac:dyDescent="0.25">
      <c r="K504" t="s">
        <v>462</v>
      </c>
      <c r="L504" t="s">
        <v>463</v>
      </c>
      <c r="M504" t="s">
        <v>540</v>
      </c>
      <c r="N504" t="s">
        <v>702</v>
      </c>
      <c r="O504">
        <v>1065221.1100000001</v>
      </c>
      <c r="P504" t="s">
        <v>703</v>
      </c>
      <c r="Q504">
        <v>450553.24</v>
      </c>
      <c r="R504">
        <v>0</v>
      </c>
      <c r="S504">
        <v>0</v>
      </c>
      <c r="T504">
        <v>0</v>
      </c>
      <c r="U504">
        <v>1515774.35</v>
      </c>
    </row>
    <row r="505" spans="11:21" x14ac:dyDescent="0.25">
      <c r="K505" t="s">
        <v>464</v>
      </c>
      <c r="L505" t="s">
        <v>465</v>
      </c>
      <c r="M505" t="s">
        <v>540</v>
      </c>
      <c r="N505" t="s">
        <v>661</v>
      </c>
      <c r="O505">
        <v>0</v>
      </c>
      <c r="P505" t="s">
        <v>662</v>
      </c>
      <c r="Q505">
        <v>0</v>
      </c>
      <c r="R505">
        <v>0</v>
      </c>
      <c r="S505">
        <v>0</v>
      </c>
      <c r="T505">
        <v>-0.01</v>
      </c>
      <c r="U505">
        <v>-0.01</v>
      </c>
    </row>
    <row r="506" spans="11:21" x14ac:dyDescent="0.25">
      <c r="K506" t="s">
        <v>466</v>
      </c>
      <c r="L506" t="s">
        <v>467</v>
      </c>
      <c r="M506" t="s">
        <v>540</v>
      </c>
      <c r="N506" t="s">
        <v>589</v>
      </c>
      <c r="O506">
        <v>676390</v>
      </c>
      <c r="P506" t="s">
        <v>590</v>
      </c>
      <c r="Q506">
        <v>722370</v>
      </c>
      <c r="R506">
        <v>0</v>
      </c>
      <c r="S506">
        <v>0</v>
      </c>
      <c r="T506">
        <v>0</v>
      </c>
      <c r="U506">
        <v>1398760</v>
      </c>
    </row>
    <row r="507" spans="11:21" x14ac:dyDescent="0.25">
      <c r="K507" t="s">
        <v>1319</v>
      </c>
      <c r="L507" t="s">
        <v>1320</v>
      </c>
      <c r="M507" t="s">
        <v>540</v>
      </c>
      <c r="N507" t="s">
        <v>563</v>
      </c>
      <c r="O507">
        <v>0</v>
      </c>
      <c r="P507" t="s">
        <v>564</v>
      </c>
      <c r="Q507">
        <v>49265.25</v>
      </c>
      <c r="R507">
        <v>0</v>
      </c>
      <c r="S507">
        <v>0</v>
      </c>
      <c r="T507">
        <v>0</v>
      </c>
      <c r="U507">
        <v>49265.25</v>
      </c>
    </row>
    <row r="508" spans="11:21" x14ac:dyDescent="0.25">
      <c r="K508" t="s">
        <v>993</v>
      </c>
      <c r="L508" t="s">
        <v>950</v>
      </c>
      <c r="M508" t="s">
        <v>540</v>
      </c>
      <c r="N508" t="s">
        <v>563</v>
      </c>
      <c r="O508">
        <v>0</v>
      </c>
      <c r="P508" t="s">
        <v>564</v>
      </c>
      <c r="Q508">
        <v>0</v>
      </c>
      <c r="R508">
        <v>9256500</v>
      </c>
      <c r="S508">
        <v>0</v>
      </c>
      <c r="T508">
        <v>0</v>
      </c>
      <c r="U508">
        <v>9256500</v>
      </c>
    </row>
    <row r="509" spans="11:21" x14ac:dyDescent="0.25">
      <c r="K509" t="s">
        <v>994</v>
      </c>
      <c r="L509" t="s">
        <v>951</v>
      </c>
      <c r="M509" t="s">
        <v>540</v>
      </c>
      <c r="N509" t="s">
        <v>563</v>
      </c>
      <c r="O509">
        <v>0</v>
      </c>
      <c r="P509" t="s">
        <v>564</v>
      </c>
      <c r="Q509">
        <v>4540622.21</v>
      </c>
      <c r="R509">
        <v>0</v>
      </c>
      <c r="S509">
        <v>0</v>
      </c>
      <c r="T509">
        <v>0</v>
      </c>
      <c r="U509">
        <v>4540622.21</v>
      </c>
    </row>
    <row r="510" spans="11:21" x14ac:dyDescent="0.25">
      <c r="K510" t="s">
        <v>525</v>
      </c>
      <c r="L510" t="s">
        <v>526</v>
      </c>
      <c r="M510" t="s">
        <v>540</v>
      </c>
      <c r="N510" t="s">
        <v>553</v>
      </c>
      <c r="O510">
        <v>3040812.98</v>
      </c>
      <c r="P510" t="s">
        <v>554</v>
      </c>
      <c r="Q510">
        <v>3451702.82</v>
      </c>
      <c r="R510">
        <v>0</v>
      </c>
      <c r="S510">
        <v>0</v>
      </c>
      <c r="T510">
        <v>0</v>
      </c>
      <c r="U510">
        <v>6492515.7999999998</v>
      </c>
    </row>
    <row r="511" spans="11:21" x14ac:dyDescent="0.25">
      <c r="K511" t="s">
        <v>468</v>
      </c>
      <c r="L511" t="s">
        <v>469</v>
      </c>
      <c r="M511" t="s">
        <v>540</v>
      </c>
      <c r="N511" t="s">
        <v>607</v>
      </c>
      <c r="O511">
        <v>0</v>
      </c>
      <c r="P511" t="s">
        <v>608</v>
      </c>
      <c r="Q511">
        <v>67700.009999999995</v>
      </c>
      <c r="R511">
        <v>204126.02</v>
      </c>
      <c r="S511">
        <v>0</v>
      </c>
      <c r="T511">
        <v>-653801.14</v>
      </c>
      <c r="U511">
        <v>-381975.11</v>
      </c>
    </row>
    <row r="512" spans="11:21" x14ac:dyDescent="0.25">
      <c r="K512" t="s">
        <v>1321</v>
      </c>
      <c r="L512" t="s">
        <v>1322</v>
      </c>
      <c r="M512" t="s">
        <v>540</v>
      </c>
      <c r="N512" t="s">
        <v>603</v>
      </c>
      <c r="O512">
        <v>200000</v>
      </c>
      <c r="P512" t="s">
        <v>604</v>
      </c>
      <c r="Q512">
        <v>0</v>
      </c>
      <c r="R512">
        <v>0</v>
      </c>
      <c r="S512">
        <v>0</v>
      </c>
      <c r="T512">
        <v>0</v>
      </c>
      <c r="U512">
        <v>200000</v>
      </c>
    </row>
    <row r="513" spans="11:21" x14ac:dyDescent="0.25">
      <c r="K513" t="s">
        <v>1323</v>
      </c>
      <c r="L513" t="s">
        <v>1324</v>
      </c>
      <c r="M513" t="s">
        <v>540</v>
      </c>
      <c r="N513" t="s">
        <v>559</v>
      </c>
      <c r="O513">
        <v>0</v>
      </c>
      <c r="P513" t="s">
        <v>560</v>
      </c>
      <c r="Q513">
        <v>850000</v>
      </c>
      <c r="R513">
        <v>0</v>
      </c>
      <c r="S513">
        <v>0</v>
      </c>
      <c r="T513">
        <v>0</v>
      </c>
      <c r="U513">
        <v>850000</v>
      </c>
    </row>
    <row r="514" spans="11:21" x14ac:dyDescent="0.25">
      <c r="K514" t="s">
        <v>527</v>
      </c>
      <c r="L514" t="s">
        <v>528</v>
      </c>
      <c r="M514" t="s">
        <v>540</v>
      </c>
      <c r="N514" t="s">
        <v>603</v>
      </c>
      <c r="O514">
        <v>1619601.19</v>
      </c>
      <c r="P514" t="s">
        <v>604</v>
      </c>
      <c r="Q514">
        <v>0</v>
      </c>
      <c r="R514">
        <v>0</v>
      </c>
      <c r="S514">
        <v>0</v>
      </c>
      <c r="T514">
        <v>0</v>
      </c>
      <c r="U514">
        <v>1619601.19</v>
      </c>
    </row>
    <row r="515" spans="11:21" x14ac:dyDescent="0.25">
      <c r="K515" t="s">
        <v>470</v>
      </c>
      <c r="L515" t="s">
        <v>471</v>
      </c>
      <c r="M515" t="s">
        <v>540</v>
      </c>
      <c r="N515" t="s">
        <v>704</v>
      </c>
      <c r="O515">
        <v>1292788.2</v>
      </c>
      <c r="P515" t="s">
        <v>705</v>
      </c>
      <c r="Q515">
        <v>0</v>
      </c>
      <c r="R515">
        <v>0</v>
      </c>
      <c r="S515">
        <v>0</v>
      </c>
      <c r="T515">
        <v>0</v>
      </c>
      <c r="U515">
        <v>1292788.2</v>
      </c>
    </row>
    <row r="516" spans="11:21" x14ac:dyDescent="0.25">
      <c r="K516" t="s">
        <v>472</v>
      </c>
      <c r="L516" t="s">
        <v>473</v>
      </c>
      <c r="M516" t="s">
        <v>540</v>
      </c>
      <c r="N516" t="s">
        <v>706</v>
      </c>
      <c r="O516">
        <v>0</v>
      </c>
      <c r="P516" t="s">
        <v>707</v>
      </c>
      <c r="Q516">
        <v>60119321.329999998</v>
      </c>
      <c r="R516">
        <v>43248877.090000004</v>
      </c>
      <c r="S516">
        <v>0</v>
      </c>
      <c r="T516">
        <v>0</v>
      </c>
      <c r="U516">
        <v>103368198.42</v>
      </c>
    </row>
    <row r="517" spans="11:21" x14ac:dyDescent="0.25">
      <c r="K517" t="s">
        <v>995</v>
      </c>
      <c r="L517" t="s">
        <v>996</v>
      </c>
      <c r="M517" t="s">
        <v>540</v>
      </c>
      <c r="N517" t="s">
        <v>997</v>
      </c>
      <c r="O517">
        <v>447480</v>
      </c>
      <c r="P517" t="s">
        <v>998</v>
      </c>
      <c r="Q517">
        <v>149160</v>
      </c>
      <c r="R517">
        <v>0</v>
      </c>
      <c r="S517">
        <v>0</v>
      </c>
      <c r="T517">
        <v>0</v>
      </c>
      <c r="U517">
        <v>596640</v>
      </c>
    </row>
    <row r="518" spans="11:21" x14ac:dyDescent="0.25">
      <c r="K518" t="s">
        <v>999</v>
      </c>
      <c r="L518" t="s">
        <v>1000</v>
      </c>
      <c r="M518" t="s">
        <v>540</v>
      </c>
      <c r="N518" t="s">
        <v>1001</v>
      </c>
      <c r="O518">
        <v>0</v>
      </c>
      <c r="P518" t="s">
        <v>1002</v>
      </c>
      <c r="Q518">
        <v>5436651</v>
      </c>
      <c r="R518">
        <v>0</v>
      </c>
      <c r="S518">
        <v>0</v>
      </c>
      <c r="T518">
        <v>0</v>
      </c>
      <c r="U518">
        <v>5436651</v>
      </c>
    </row>
    <row r="519" spans="11:21" x14ac:dyDescent="0.25">
      <c r="K519" t="s">
        <v>798</v>
      </c>
      <c r="L519" t="s">
        <v>799</v>
      </c>
      <c r="M519" t="s">
        <v>540</v>
      </c>
      <c r="N519" t="s">
        <v>589</v>
      </c>
      <c r="O519">
        <v>0</v>
      </c>
      <c r="P519" t="s">
        <v>590</v>
      </c>
      <c r="Q519">
        <v>29559.82</v>
      </c>
      <c r="R519">
        <v>165165</v>
      </c>
      <c r="S519">
        <v>0</v>
      </c>
      <c r="T519">
        <v>0</v>
      </c>
      <c r="U519">
        <v>194724.82</v>
      </c>
    </row>
    <row r="520" spans="11:21" x14ac:dyDescent="0.25">
      <c r="K520" t="s">
        <v>1003</v>
      </c>
      <c r="L520" t="s">
        <v>952</v>
      </c>
      <c r="M520" t="s">
        <v>540</v>
      </c>
      <c r="N520" t="s">
        <v>989</v>
      </c>
      <c r="O520">
        <v>4500000</v>
      </c>
      <c r="P520" t="s">
        <v>990</v>
      </c>
      <c r="Q520">
        <v>3600000</v>
      </c>
      <c r="R520">
        <v>3000000</v>
      </c>
      <c r="S520">
        <v>0</v>
      </c>
      <c r="T520">
        <v>0</v>
      </c>
      <c r="U520">
        <v>11100000</v>
      </c>
    </row>
    <row r="521" spans="11:21" x14ac:dyDescent="0.25">
      <c r="K521" t="s">
        <v>474</v>
      </c>
      <c r="L521" t="s">
        <v>475</v>
      </c>
      <c r="M521" t="s">
        <v>540</v>
      </c>
      <c r="N521" t="s">
        <v>708</v>
      </c>
      <c r="O521">
        <v>27234016.609999999</v>
      </c>
      <c r="P521" t="s">
        <v>709</v>
      </c>
      <c r="Q521">
        <v>10532519.41</v>
      </c>
      <c r="R521">
        <v>0</v>
      </c>
      <c r="S521">
        <v>0</v>
      </c>
      <c r="T521">
        <v>0</v>
      </c>
      <c r="U521">
        <v>37766536.020000003</v>
      </c>
    </row>
    <row r="522" spans="11:21" x14ac:dyDescent="0.25">
      <c r="K522" t="s">
        <v>476</v>
      </c>
      <c r="L522" t="s">
        <v>477</v>
      </c>
      <c r="M522" t="s">
        <v>540</v>
      </c>
      <c r="N522" t="s">
        <v>563</v>
      </c>
      <c r="O522">
        <v>510820943.27999997</v>
      </c>
      <c r="P522" t="s">
        <v>564</v>
      </c>
      <c r="Q522">
        <v>31594235.609999999</v>
      </c>
      <c r="R522">
        <v>0</v>
      </c>
      <c r="S522">
        <v>0</v>
      </c>
      <c r="T522">
        <v>-1.1100000000000001</v>
      </c>
      <c r="U522">
        <v>542415177.77999997</v>
      </c>
    </row>
    <row r="523" spans="11:21" x14ac:dyDescent="0.25">
      <c r="K523" t="s">
        <v>478</v>
      </c>
      <c r="L523" t="s">
        <v>479</v>
      </c>
      <c r="M523" t="s">
        <v>540</v>
      </c>
      <c r="N523" t="s">
        <v>553</v>
      </c>
      <c r="O523">
        <v>356224</v>
      </c>
      <c r="P523" t="s">
        <v>554</v>
      </c>
      <c r="Q523">
        <v>0</v>
      </c>
      <c r="R523">
        <v>0</v>
      </c>
      <c r="S523">
        <v>0</v>
      </c>
      <c r="T523">
        <v>0</v>
      </c>
      <c r="U523">
        <v>356224</v>
      </c>
    </row>
    <row r="524" spans="11:21" x14ac:dyDescent="0.25">
      <c r="K524" t="s">
        <v>529</v>
      </c>
      <c r="L524" t="s">
        <v>530</v>
      </c>
      <c r="M524" t="s">
        <v>540</v>
      </c>
      <c r="N524" t="s">
        <v>573</v>
      </c>
      <c r="O524">
        <v>0</v>
      </c>
      <c r="P524" t="s">
        <v>574</v>
      </c>
      <c r="Q524">
        <v>519345.07</v>
      </c>
      <c r="R524">
        <v>0</v>
      </c>
      <c r="S524">
        <v>0</v>
      </c>
      <c r="T524">
        <v>0</v>
      </c>
      <c r="U524">
        <v>519345.07</v>
      </c>
    </row>
    <row r="525" spans="11:21" x14ac:dyDescent="0.25">
      <c r="K525" t="s">
        <v>480</v>
      </c>
      <c r="L525" t="s">
        <v>834</v>
      </c>
      <c r="M525" t="s">
        <v>540</v>
      </c>
      <c r="N525" t="s">
        <v>677</v>
      </c>
      <c r="O525">
        <v>372680</v>
      </c>
      <c r="P525" t="s">
        <v>678</v>
      </c>
      <c r="Q525">
        <v>6112067.5199999996</v>
      </c>
      <c r="R525">
        <v>0</v>
      </c>
      <c r="S525">
        <v>0</v>
      </c>
      <c r="T525">
        <v>0</v>
      </c>
      <c r="U525">
        <v>6484747.5199999996</v>
      </c>
    </row>
    <row r="526" spans="11:21" x14ac:dyDescent="0.25">
      <c r="K526" t="s">
        <v>1004</v>
      </c>
      <c r="L526" t="s">
        <v>953</v>
      </c>
      <c r="M526" t="s">
        <v>540</v>
      </c>
      <c r="N526" t="s">
        <v>784</v>
      </c>
      <c r="O526">
        <v>0</v>
      </c>
      <c r="P526" t="s">
        <v>785</v>
      </c>
      <c r="Q526">
        <v>0</v>
      </c>
      <c r="R526">
        <v>19422105</v>
      </c>
      <c r="S526">
        <v>0</v>
      </c>
      <c r="T526">
        <v>0</v>
      </c>
      <c r="U526">
        <v>19422105</v>
      </c>
    </row>
    <row r="527" spans="11:21" x14ac:dyDescent="0.25">
      <c r="K527" t="s">
        <v>483</v>
      </c>
      <c r="L527" t="s">
        <v>484</v>
      </c>
      <c r="M527" t="s">
        <v>540</v>
      </c>
      <c r="N527" t="s">
        <v>679</v>
      </c>
      <c r="O527">
        <v>662692773.13999999</v>
      </c>
      <c r="P527" t="s">
        <v>680</v>
      </c>
      <c r="Q527">
        <v>0</v>
      </c>
      <c r="R527">
        <v>0</v>
      </c>
      <c r="S527">
        <v>0</v>
      </c>
      <c r="T527">
        <v>0</v>
      </c>
      <c r="U527">
        <v>662692773.13999999</v>
      </c>
    </row>
    <row r="528" spans="11:21" x14ac:dyDescent="0.25">
      <c r="K528" t="s">
        <v>1006</v>
      </c>
    </row>
    <row r="529" spans="11:11" x14ac:dyDescent="0.25">
      <c r="K529" t="s">
        <v>1031</v>
      </c>
    </row>
    <row r="530" spans="11:11" x14ac:dyDescent="0.25">
      <c r="K530" t="s">
        <v>1032</v>
      </c>
    </row>
    <row r="531" spans="11:11" x14ac:dyDescent="0.25">
      <c r="K531" t="s">
        <v>1325</v>
      </c>
    </row>
    <row r="532" spans="11:11" x14ac:dyDescent="0.25">
      <c r="K532" t="s">
        <v>1033</v>
      </c>
    </row>
  </sheetData>
  <mergeCells count="3">
    <mergeCell ref="A1:F1"/>
    <mergeCell ref="A2:F2"/>
    <mergeCell ref="A298:F298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3"/>
  <sheetViews>
    <sheetView showGridLines="0" zoomScaleNormal="100" workbookViewId="0">
      <pane ySplit="4" topLeftCell="A5" activePane="bottomLeft" state="frozen"/>
      <selection pane="bottomLeft" activeCell="L19" sqref="L19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2" t="s">
        <v>168</v>
      </c>
      <c r="B1" s="72"/>
      <c r="C1" s="72"/>
      <c r="D1" s="72"/>
      <c r="E1" s="72"/>
      <c r="F1" s="72"/>
      <c r="G1" s="72"/>
      <c r="H1" s="72"/>
      <c r="I1" s="72"/>
      <c r="J1" s="72"/>
    </row>
    <row r="2" spans="1:10" ht="15.75" customHeight="1" x14ac:dyDescent="0.25">
      <c r="A2" s="82" t="s">
        <v>169</v>
      </c>
      <c r="B2" s="82"/>
      <c r="C2" s="82"/>
      <c r="D2" s="82"/>
      <c r="E2" s="82"/>
      <c r="F2" s="82"/>
      <c r="G2" s="82"/>
      <c r="H2" s="82"/>
      <c r="I2" s="82"/>
      <c r="J2" s="82"/>
    </row>
    <row r="3" spans="1:10" ht="19.5" customHeight="1" x14ac:dyDescent="0.25">
      <c r="A3" s="41" t="s">
        <v>170</v>
      </c>
      <c r="B3" s="48">
        <v>46314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7">
        <v>3.9E-2</v>
      </c>
      <c r="D5" s="68">
        <v>46281</v>
      </c>
      <c r="E5" s="68">
        <v>46451</v>
      </c>
      <c r="F5" s="54">
        <f>IFERROR(E5-D5,0)</f>
        <v>170</v>
      </c>
      <c r="G5" s="55">
        <f>IFERROR(B5*(C5/365)*F5,0)</f>
        <v>18164.383561643837</v>
      </c>
      <c r="H5" s="56">
        <f>IFERROR(B5+G5,0)</f>
        <v>1018164.3835616439</v>
      </c>
      <c r="I5" s="57">
        <f ca="1">IFERROR(E5-TODAY(),"Vencido")</f>
        <v>133</v>
      </c>
      <c r="J5" s="52"/>
    </row>
    <row r="6" spans="1:10" ht="18" customHeight="1" x14ac:dyDescent="0.25">
      <c r="A6" s="53" t="s">
        <v>179</v>
      </c>
      <c r="B6" s="14">
        <v>1000000</v>
      </c>
      <c r="C6" s="67">
        <v>3.9E-2</v>
      </c>
      <c r="D6" s="68">
        <v>46300</v>
      </c>
      <c r="E6" s="68">
        <v>46469</v>
      </c>
      <c r="F6" s="54">
        <f t="shared" ref="F6:F21" si="0">IFERROR(E6-D6,0)</f>
        <v>169</v>
      </c>
      <c r="G6" s="55">
        <f>IFERROR(B6*(C6/365)*F6,0)</f>
        <v>18057.534246575342</v>
      </c>
      <c r="H6" s="56">
        <f>IFERROR(B6+G6,0)</f>
        <v>1018057.5342465753</v>
      </c>
      <c r="I6" s="57">
        <f ca="1">IFERROR(E6-TODAY(),"Vencido")</f>
        <v>151</v>
      </c>
      <c r="J6" s="51"/>
    </row>
    <row r="7" spans="1:10" ht="18" customHeight="1" x14ac:dyDescent="0.25">
      <c r="A7" s="53" t="s">
        <v>179</v>
      </c>
      <c r="B7" s="14">
        <v>1000000</v>
      </c>
      <c r="C7" s="67">
        <v>3.9E-2</v>
      </c>
      <c r="D7" s="68">
        <v>46260</v>
      </c>
      <c r="E7" s="68">
        <v>46434</v>
      </c>
      <c r="F7" s="54">
        <f t="shared" si="0"/>
        <v>174</v>
      </c>
      <c r="G7" s="55">
        <f>IFERROR(B7*(C7/365)*F7,0)</f>
        <v>18591.780821917808</v>
      </c>
      <c r="H7" s="56">
        <f>IFERROR(B7+G7,0)</f>
        <v>1018591.7808219178</v>
      </c>
      <c r="I7" s="57">
        <f ca="1">IFERROR(E7-TODAY(),"Vencido")</f>
        <v>116</v>
      </c>
      <c r="J7" s="52"/>
    </row>
    <row r="8" spans="1:10" ht="18" customHeight="1" x14ac:dyDescent="0.25">
      <c r="A8" s="53" t="s">
        <v>179</v>
      </c>
      <c r="B8" s="14">
        <v>1000000</v>
      </c>
      <c r="C8" s="67">
        <v>3.7999999999999999E-2</v>
      </c>
      <c r="D8" s="68">
        <v>46153</v>
      </c>
      <c r="E8" s="68">
        <v>46317</v>
      </c>
      <c r="F8" s="54">
        <f t="shared" si="0"/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-1</v>
      </c>
      <c r="J8" s="52"/>
    </row>
    <row r="9" spans="1:10" ht="18" customHeight="1" x14ac:dyDescent="0.25">
      <c r="A9" s="53" t="s">
        <v>179</v>
      </c>
      <c r="B9" s="14">
        <v>1000000</v>
      </c>
      <c r="C9" s="67">
        <v>3.1E-2</v>
      </c>
      <c r="D9" s="68">
        <v>46191</v>
      </c>
      <c r="E9" s="68">
        <v>46366</v>
      </c>
      <c r="F9" s="54">
        <f t="shared" si="0"/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48</v>
      </c>
      <c r="J9" s="52"/>
    </row>
    <row r="10" spans="1:10" ht="18" customHeight="1" x14ac:dyDescent="0.25">
      <c r="A10" s="53" t="s">
        <v>181</v>
      </c>
      <c r="B10" s="14">
        <v>1000000</v>
      </c>
      <c r="C10" s="67">
        <v>3.49E-2</v>
      </c>
      <c r="D10" s="68">
        <v>46227</v>
      </c>
      <c r="E10" s="68">
        <v>46407</v>
      </c>
      <c r="F10" s="54">
        <f t="shared" si="0"/>
        <v>180</v>
      </c>
      <c r="G10" s="55">
        <f t="shared" ref="G10:G12" si="1">IFERROR(B10*(C10/365)*F10,0)</f>
        <v>17210.95890410959</v>
      </c>
      <c r="H10" s="56">
        <f t="shared" ref="H10:H12" si="2">IFERROR(B10+G10,0)</f>
        <v>1017210.9589041095</v>
      </c>
      <c r="I10" s="57">
        <f t="shared" ref="I10:I12" ca="1" si="3">IFERROR(E10-TODAY(),"Vencido")</f>
        <v>89</v>
      </c>
      <c r="J10" s="52"/>
    </row>
    <row r="11" spans="1:10" ht="18" customHeight="1" x14ac:dyDescent="0.25">
      <c r="A11" s="53" t="s">
        <v>181</v>
      </c>
      <c r="B11" s="14">
        <v>1000000</v>
      </c>
      <c r="C11" s="67">
        <v>3.2300000000000002E-2</v>
      </c>
      <c r="D11" s="68">
        <v>46178</v>
      </c>
      <c r="E11" s="68">
        <v>46358</v>
      </c>
      <c r="F11" s="54">
        <f t="shared" si="0"/>
        <v>180</v>
      </c>
      <c r="G11" s="55">
        <f t="shared" si="1"/>
        <v>15928.767123287671</v>
      </c>
      <c r="H11" s="56">
        <f t="shared" si="2"/>
        <v>1015928.7671232877</v>
      </c>
      <c r="I11" s="57">
        <f t="shared" ca="1" si="3"/>
        <v>40</v>
      </c>
      <c r="J11" s="52"/>
    </row>
    <row r="12" spans="1:10" ht="18" customHeight="1" x14ac:dyDescent="0.25">
      <c r="A12" s="53" t="s">
        <v>181</v>
      </c>
      <c r="B12" s="14">
        <v>1000000</v>
      </c>
      <c r="C12" s="67">
        <v>3.2300000000000002E-2</v>
      </c>
      <c r="D12" s="68">
        <v>46183</v>
      </c>
      <c r="E12" s="68">
        <v>46360</v>
      </c>
      <c r="F12" s="54">
        <f t="shared" si="0"/>
        <v>177</v>
      </c>
      <c r="G12" s="55">
        <f t="shared" si="1"/>
        <v>15663.287671232876</v>
      </c>
      <c r="H12" s="56">
        <f t="shared" si="2"/>
        <v>1015663.2876712328</v>
      </c>
      <c r="I12" s="57">
        <f t="shared" ca="1" si="3"/>
        <v>42</v>
      </c>
      <c r="J12" s="52"/>
    </row>
    <row r="13" spans="1:10" ht="18" customHeight="1" x14ac:dyDescent="0.25">
      <c r="A13" s="53" t="s">
        <v>181</v>
      </c>
      <c r="B13" s="14">
        <v>1000000</v>
      </c>
      <c r="C13" s="67">
        <v>0.04</v>
      </c>
      <c r="D13" s="68">
        <v>46255</v>
      </c>
      <c r="E13" s="68">
        <v>46434</v>
      </c>
      <c r="F13" s="54">
        <f t="shared" si="0"/>
        <v>179</v>
      </c>
      <c r="G13" s="55">
        <f t="shared" ref="G13:G21" si="4">IFERROR(B13*(C13/365)*F13,0)</f>
        <v>19616.438356164384</v>
      </c>
      <c r="H13" s="56">
        <f t="shared" ref="H13:H21" si="5">IFERROR(B13+G13,0)</f>
        <v>1019616.4383561644</v>
      </c>
      <c r="I13" s="57">
        <f t="shared" ref="I13:I21" ca="1" si="6">IFERROR(E13-TODAY(),"Vencido")</f>
        <v>116</v>
      </c>
      <c r="J13" s="52"/>
    </row>
    <row r="14" spans="1:10" ht="18" customHeight="1" x14ac:dyDescent="0.25">
      <c r="A14" s="53" t="s">
        <v>181</v>
      </c>
      <c r="B14" s="14">
        <v>1000000</v>
      </c>
      <c r="C14" s="67">
        <v>3.9E-2</v>
      </c>
      <c r="D14" s="68">
        <v>46269</v>
      </c>
      <c r="E14" s="68">
        <v>46449</v>
      </c>
      <c r="F14" s="54">
        <f t="shared" si="0"/>
        <v>180</v>
      </c>
      <c r="G14" s="55">
        <f t="shared" si="4"/>
        <v>19232.876712328769</v>
      </c>
      <c r="H14" s="56">
        <f t="shared" si="5"/>
        <v>1019232.8767123288</v>
      </c>
      <c r="I14" s="57">
        <f t="shared" ca="1" si="6"/>
        <v>131</v>
      </c>
      <c r="J14" s="52"/>
    </row>
    <row r="15" spans="1:10" ht="18" customHeight="1" x14ac:dyDescent="0.25">
      <c r="A15" s="53" t="s">
        <v>181</v>
      </c>
      <c r="B15" s="14">
        <v>1000000</v>
      </c>
      <c r="C15" s="67">
        <v>3.39E-2</v>
      </c>
      <c r="D15" s="68">
        <v>46202</v>
      </c>
      <c r="E15" s="68">
        <v>46379</v>
      </c>
      <c r="F15" s="54">
        <f t="shared" si="0"/>
        <v>177</v>
      </c>
      <c r="G15" s="55">
        <f t="shared" si="4"/>
        <v>16439.178082191782</v>
      </c>
      <c r="H15" s="56">
        <f t="shared" si="5"/>
        <v>1016439.1780821917</v>
      </c>
      <c r="I15" s="57">
        <f t="shared" ca="1" si="6"/>
        <v>61</v>
      </c>
      <c r="J15" s="52"/>
    </row>
    <row r="16" spans="1:10" ht="18" customHeight="1" x14ac:dyDescent="0.25">
      <c r="A16" s="53" t="s">
        <v>181</v>
      </c>
      <c r="B16" s="14">
        <v>1000000</v>
      </c>
      <c r="C16" s="67">
        <v>3.6499999999999998E-2</v>
      </c>
      <c r="D16" s="68">
        <v>46255</v>
      </c>
      <c r="E16" s="68">
        <v>46435</v>
      </c>
      <c r="F16" s="54">
        <f t="shared" si="0"/>
        <v>180</v>
      </c>
      <c r="G16" s="55">
        <f t="shared" si="4"/>
        <v>17999.999999999996</v>
      </c>
      <c r="H16" s="56">
        <f t="shared" si="5"/>
        <v>1018000</v>
      </c>
      <c r="I16" s="57">
        <f t="shared" ca="1" si="6"/>
        <v>117</v>
      </c>
      <c r="J16" s="52"/>
    </row>
    <row r="17" spans="1:10" ht="18" customHeight="1" x14ac:dyDescent="0.25">
      <c r="A17" s="53" t="s">
        <v>929</v>
      </c>
      <c r="B17" s="14">
        <v>2000000</v>
      </c>
      <c r="C17" s="67">
        <v>3.85E-2</v>
      </c>
      <c r="D17" s="68">
        <v>46205</v>
      </c>
      <c r="E17" s="68">
        <v>46385</v>
      </c>
      <c r="F17" s="54">
        <f t="shared" si="0"/>
        <v>180</v>
      </c>
      <c r="G17" s="55">
        <f t="shared" si="4"/>
        <v>37972.602739726026</v>
      </c>
      <c r="H17" s="56">
        <f t="shared" si="5"/>
        <v>2037972.602739726</v>
      </c>
      <c r="I17" s="57">
        <f t="shared" ca="1" si="6"/>
        <v>67</v>
      </c>
      <c r="J17" s="52"/>
    </row>
    <row r="18" spans="1:10" ht="18" customHeight="1" x14ac:dyDescent="0.25">
      <c r="A18" s="53" t="s">
        <v>929</v>
      </c>
      <c r="B18" s="14">
        <v>1000000</v>
      </c>
      <c r="C18" s="67">
        <v>0.04</v>
      </c>
      <c r="D18" s="68">
        <v>46231</v>
      </c>
      <c r="E18" s="68">
        <v>46384</v>
      </c>
      <c r="F18" s="54">
        <f t="shared" si="0"/>
        <v>153</v>
      </c>
      <c r="G18" s="55">
        <f t="shared" si="4"/>
        <v>16767.123287671231</v>
      </c>
      <c r="H18" s="56">
        <f t="shared" si="5"/>
        <v>1016767.1232876712</v>
      </c>
      <c r="I18" s="57">
        <f t="shared" ca="1" si="6"/>
        <v>66</v>
      </c>
      <c r="J18" s="52"/>
    </row>
    <row r="19" spans="1:10" ht="18" customHeight="1" x14ac:dyDescent="0.25">
      <c r="A19" s="53" t="s">
        <v>929</v>
      </c>
      <c r="B19" s="14">
        <v>1000000</v>
      </c>
      <c r="C19" s="67">
        <v>3.5000000000000003E-2</v>
      </c>
      <c r="D19" s="68">
        <v>46244</v>
      </c>
      <c r="E19" s="68">
        <v>46331</v>
      </c>
      <c r="F19" s="54">
        <f t="shared" si="0"/>
        <v>87</v>
      </c>
      <c r="G19" s="55">
        <f t="shared" si="4"/>
        <v>8342.465753424658</v>
      </c>
      <c r="H19" s="56">
        <f t="shared" si="5"/>
        <v>1008342.4657534247</v>
      </c>
      <c r="I19" s="57">
        <f t="shared" ca="1" si="6"/>
        <v>13</v>
      </c>
      <c r="J19" s="52"/>
    </row>
    <row r="20" spans="1:10" ht="18" customHeight="1" x14ac:dyDescent="0.25">
      <c r="A20" s="53" t="s">
        <v>954</v>
      </c>
      <c r="B20" s="14">
        <v>913342</v>
      </c>
      <c r="C20" s="67">
        <v>3.5000000000000003E-2</v>
      </c>
      <c r="D20" s="68">
        <v>46269</v>
      </c>
      <c r="E20" s="68">
        <v>46603</v>
      </c>
      <c r="F20" s="54">
        <f t="shared" si="0"/>
        <v>334</v>
      </c>
      <c r="G20" s="55">
        <f t="shared" si="4"/>
        <v>29251.967068493152</v>
      </c>
      <c r="H20" s="56">
        <f t="shared" si="5"/>
        <v>942593.96706849313</v>
      </c>
      <c r="I20" s="57">
        <f t="shared" ca="1" si="6"/>
        <v>285</v>
      </c>
      <c r="J20" s="52" t="s">
        <v>1326</v>
      </c>
    </row>
    <row r="21" spans="1:10" ht="18" customHeight="1" x14ac:dyDescent="0.25">
      <c r="A21" s="53" t="s">
        <v>954</v>
      </c>
      <c r="B21" s="14">
        <v>733333</v>
      </c>
      <c r="C21" s="67">
        <v>3.5000000000000003E-2</v>
      </c>
      <c r="D21" s="68">
        <v>46286</v>
      </c>
      <c r="E21" s="68">
        <v>46620</v>
      </c>
      <c r="F21" s="54">
        <f t="shared" si="0"/>
        <v>334</v>
      </c>
      <c r="G21" s="55">
        <f t="shared" si="4"/>
        <v>23486.747315068496</v>
      </c>
      <c r="H21" s="56">
        <f t="shared" si="5"/>
        <v>756819.7473150685</v>
      </c>
      <c r="I21" s="57">
        <f t="shared" ca="1" si="6"/>
        <v>302</v>
      </c>
      <c r="J21" s="52" t="s">
        <v>1326</v>
      </c>
    </row>
    <row r="22" spans="1:10" ht="19.5" customHeight="1" x14ac:dyDescent="0.25">
      <c r="A22" s="41" t="s">
        <v>155</v>
      </c>
      <c r="B22" s="58">
        <f>SUM(B5:B21)</f>
        <v>17646675</v>
      </c>
      <c r="C22" s="42"/>
      <c r="D22" s="42"/>
      <c r="E22" s="42"/>
      <c r="F22" s="42"/>
      <c r="G22" s="58">
        <f>SUM(G5:G21)</f>
        <v>324663.09794520552</v>
      </c>
      <c r="H22" s="58">
        <f>SUM(H5:H21)</f>
        <v>17971338.097945206</v>
      </c>
      <c r="I22" s="42"/>
      <c r="J22" s="42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-46318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-46318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-46318</v>
      </c>
      <c r="J25" s="44"/>
    </row>
    <row r="26" spans="1:10" ht="18" customHeight="1" x14ac:dyDescent="0.25">
      <c r="A26" s="44"/>
      <c r="B26" s="59"/>
      <c r="C26" s="60"/>
      <c r="D26" s="46"/>
      <c r="E26" s="46"/>
      <c r="F26" s="61">
        <f>IFERROR(E26-D26,0)</f>
        <v>0</v>
      </c>
      <c r="G26" s="62">
        <f>IFERROR(B26*(C26/365)*F26,0)</f>
        <v>0</v>
      </c>
      <c r="H26" s="62">
        <f>IFERROR(B26+G26,0)</f>
        <v>0</v>
      </c>
      <c r="I26" s="61">
        <f ca="1">IFERROR(E26-TODAY(),"")</f>
        <v>-46318</v>
      </c>
      <c r="J26" s="44"/>
    </row>
    <row r="27" spans="1:10" ht="18" customHeight="1" x14ac:dyDescent="0.25">
      <c r="A27" s="44"/>
      <c r="B27" s="59"/>
      <c r="C27" s="60"/>
      <c r="D27" s="46"/>
      <c r="E27" s="46"/>
      <c r="F27" s="61">
        <f>IFERROR(E27-D27,0)</f>
        <v>0</v>
      </c>
      <c r="G27" s="62">
        <f>IFERROR(B27*(C27/365)*F27,0)</f>
        <v>0</v>
      </c>
      <c r="H27" s="62">
        <f>IFERROR(B27+G27,0)</f>
        <v>0</v>
      </c>
      <c r="I27" s="61">
        <f ca="1">IFERROR(E27-TODAY(),"")</f>
        <v>-46318</v>
      </c>
      <c r="J27" s="44"/>
    </row>
    <row r="29" spans="1:10" x14ac:dyDescent="0.25">
      <c r="A29" s="83" t="s">
        <v>180</v>
      </c>
      <c r="B29" s="83"/>
      <c r="C29" s="83"/>
      <c r="D29" s="83"/>
      <c r="E29" s="83"/>
      <c r="F29" s="83"/>
      <c r="G29" s="83"/>
      <c r="H29" s="83"/>
      <c r="I29" s="83"/>
      <c r="J29" s="83"/>
    </row>
    <row r="33" spans="4:4" x14ac:dyDescent="0.25">
      <c r="D33" s="64"/>
    </row>
  </sheetData>
  <mergeCells count="3">
    <mergeCell ref="A1:J1"/>
    <mergeCell ref="A2:J2"/>
    <mergeCell ref="A29:J2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2026-10-23T13:47:52Z</dcterms:modified>
  <dc:language>en-US</dc:language>
</cp:coreProperties>
</file>