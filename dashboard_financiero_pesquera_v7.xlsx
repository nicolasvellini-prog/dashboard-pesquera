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esktop\Dashboard\"/>
    </mc:Choice>
  </mc:AlternateContent>
  <xr:revisionPtr revIDLastSave="0" documentId="13_ncr:1_{7153A41F-301F-43D3-922A-3202F2AFAC08}" xr6:coauthVersionLast="47" xr6:coauthVersionMax="47" xr10:uidLastSave="{00000000-0000-0000-0000-000000000000}"/>
  <bookViews>
    <workbookView xWindow="-120" yWindow="-120" windowWidth="29040" windowHeight="15720" tabRatio="500" firstSheet="1" activeTab="6" xr2:uid="{00000000-000D-0000-FFFF-FFFF00000000}"/>
  </bookViews>
  <sheets>
    <sheet name="INSTRUCCIONES" sheetId="1" r:id="rId1"/>
    <sheet name="POSICION_NETA" sheetId="2" r:id="rId2"/>
    <sheet name="VENCIMIENTOS" sheetId="3" r:id="rId3"/>
    <sheet name="DIVISAS" sheetId="4" r:id="rId4"/>
    <sheet name="CREDITOS_EXTERIOR" sheetId="5" r:id="rId5"/>
    <sheet name="CARGA_DIARIA" sheetId="6" r:id="rId6"/>
    <sheet name="CHEQUES" sheetId="7" r:id="rId7"/>
    <sheet name="Hoja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4" i="7"/>
  <c r="F535" i="7"/>
  <c r="F534" i="7"/>
  <c r="F533" i="7"/>
  <c r="F532" i="7"/>
  <c r="F531" i="7"/>
  <c r="C530" i="7"/>
  <c r="H6" i="5"/>
  <c r="E6" i="5"/>
  <c r="H5" i="5"/>
  <c r="E5" i="5"/>
  <c r="H4" i="5"/>
  <c r="E4" i="5"/>
  <c r="H3" i="5"/>
  <c r="E3" i="5"/>
  <c r="E7" i="4"/>
  <c r="E6" i="4"/>
  <c r="E5" i="4"/>
  <c r="E4" i="4"/>
  <c r="E3" i="4"/>
  <c r="F12" i="3"/>
  <c r="F11" i="3"/>
  <c r="F10" i="3"/>
  <c r="F9" i="3"/>
  <c r="F8" i="3"/>
  <c r="F7" i="3"/>
  <c r="F6" i="3"/>
  <c r="F5" i="3"/>
  <c r="F4" i="3"/>
  <c r="H502" i="2"/>
  <c r="E502" i="2"/>
  <c r="D502" i="2"/>
  <c r="C502" i="2"/>
  <c r="B502" i="2"/>
  <c r="A502" i="2"/>
  <c r="H501" i="2"/>
  <c r="E501" i="2"/>
  <c r="D501" i="2"/>
  <c r="C501" i="2"/>
  <c r="B501" i="2"/>
  <c r="A501" i="2"/>
  <c r="H500" i="2"/>
  <c r="E500" i="2"/>
  <c r="D500" i="2"/>
  <c r="C500" i="2"/>
  <c r="B500" i="2"/>
  <c r="A500" i="2"/>
  <c r="H499" i="2"/>
  <c r="E499" i="2"/>
  <c r="D499" i="2"/>
  <c r="C499" i="2"/>
  <c r="B499" i="2"/>
  <c r="A499" i="2"/>
  <c r="H498" i="2"/>
  <c r="E498" i="2"/>
  <c r="D498" i="2"/>
  <c r="C498" i="2"/>
  <c r="B498" i="2"/>
  <c r="A498" i="2"/>
  <c r="H497" i="2"/>
  <c r="E497" i="2"/>
  <c r="D497" i="2"/>
  <c r="C497" i="2"/>
  <c r="B497" i="2"/>
  <c r="A497" i="2"/>
  <c r="H496" i="2"/>
  <c r="E496" i="2"/>
  <c r="D496" i="2"/>
  <c r="C496" i="2"/>
  <c r="B496" i="2"/>
  <c r="A496" i="2"/>
  <c r="H495" i="2"/>
  <c r="E495" i="2"/>
  <c r="D495" i="2"/>
  <c r="C495" i="2"/>
  <c r="B495" i="2"/>
  <c r="A495" i="2"/>
  <c r="H494" i="2"/>
  <c r="E494" i="2"/>
  <c r="D494" i="2"/>
  <c r="C494" i="2"/>
  <c r="B494" i="2"/>
  <c r="A494" i="2"/>
  <c r="H493" i="2"/>
  <c r="E493" i="2"/>
  <c r="D493" i="2"/>
  <c r="C493" i="2"/>
  <c r="B493" i="2"/>
  <c r="A493" i="2"/>
  <c r="H492" i="2"/>
  <c r="E492" i="2"/>
  <c r="D492" i="2"/>
  <c r="C492" i="2"/>
  <c r="B492" i="2"/>
  <c r="A492" i="2"/>
  <c r="H491" i="2"/>
  <c r="E491" i="2"/>
  <c r="D491" i="2"/>
  <c r="C491" i="2"/>
  <c r="B491" i="2"/>
  <c r="A491" i="2"/>
  <c r="H490" i="2"/>
  <c r="E490" i="2"/>
  <c r="D490" i="2"/>
  <c r="C490" i="2"/>
  <c r="B490" i="2"/>
  <c r="A490" i="2"/>
  <c r="H489" i="2"/>
  <c r="E489" i="2"/>
  <c r="D489" i="2"/>
  <c r="C489" i="2"/>
  <c r="B489" i="2"/>
  <c r="A489" i="2"/>
  <c r="H488" i="2"/>
  <c r="E488" i="2"/>
  <c r="D488" i="2"/>
  <c r="C488" i="2"/>
  <c r="B488" i="2"/>
  <c r="A488" i="2"/>
  <c r="H487" i="2"/>
  <c r="E487" i="2"/>
  <c r="D487" i="2"/>
  <c r="C487" i="2"/>
  <c r="B487" i="2"/>
  <c r="A487" i="2"/>
  <c r="H486" i="2"/>
  <c r="E486" i="2"/>
  <c r="D486" i="2"/>
  <c r="C486" i="2"/>
  <c r="B486" i="2"/>
  <c r="A486" i="2"/>
  <c r="H485" i="2"/>
  <c r="E485" i="2"/>
  <c r="D485" i="2"/>
  <c r="C485" i="2"/>
  <c r="B485" i="2"/>
  <c r="A485" i="2"/>
  <c r="H484" i="2"/>
  <c r="E484" i="2"/>
  <c r="D484" i="2"/>
  <c r="C484" i="2"/>
  <c r="B484" i="2"/>
  <c r="A484" i="2"/>
  <c r="H483" i="2"/>
  <c r="E483" i="2"/>
  <c r="D483" i="2"/>
  <c r="C483" i="2"/>
  <c r="B483" i="2"/>
  <c r="A483" i="2"/>
  <c r="H482" i="2"/>
  <c r="E482" i="2"/>
  <c r="D482" i="2"/>
  <c r="C482" i="2"/>
  <c r="B482" i="2"/>
  <c r="A482" i="2"/>
  <c r="H481" i="2"/>
  <c r="E481" i="2"/>
  <c r="D481" i="2"/>
  <c r="C481" i="2"/>
  <c r="B481" i="2"/>
  <c r="A481" i="2"/>
  <c r="H480" i="2"/>
  <c r="E480" i="2"/>
  <c r="D480" i="2"/>
  <c r="C480" i="2"/>
  <c r="B480" i="2"/>
  <c r="A480" i="2"/>
  <c r="H479" i="2"/>
  <c r="E479" i="2"/>
  <c r="D479" i="2"/>
  <c r="C479" i="2"/>
  <c r="B479" i="2"/>
  <c r="A479" i="2"/>
  <c r="H478" i="2"/>
  <c r="E478" i="2"/>
  <c r="D478" i="2"/>
  <c r="C478" i="2"/>
  <c r="B478" i="2"/>
  <c r="A478" i="2"/>
  <c r="H477" i="2"/>
  <c r="E477" i="2"/>
  <c r="D477" i="2"/>
  <c r="C477" i="2"/>
  <c r="B477" i="2"/>
  <c r="A477" i="2"/>
  <c r="H476" i="2"/>
  <c r="E476" i="2"/>
  <c r="D476" i="2"/>
  <c r="C476" i="2"/>
  <c r="B476" i="2"/>
  <c r="A476" i="2"/>
  <c r="H475" i="2"/>
  <c r="E475" i="2"/>
  <c r="D475" i="2"/>
  <c r="C475" i="2"/>
  <c r="B475" i="2"/>
  <c r="A475" i="2"/>
  <c r="H474" i="2"/>
  <c r="E474" i="2"/>
  <c r="D474" i="2"/>
  <c r="C474" i="2"/>
  <c r="B474" i="2"/>
  <c r="A474" i="2"/>
  <c r="H473" i="2"/>
  <c r="E473" i="2"/>
  <c r="D473" i="2"/>
  <c r="C473" i="2"/>
  <c r="B473" i="2"/>
  <c r="A473" i="2"/>
  <c r="H472" i="2"/>
  <c r="E472" i="2"/>
  <c r="D472" i="2"/>
  <c r="C472" i="2"/>
  <c r="B472" i="2"/>
  <c r="A472" i="2"/>
  <c r="H471" i="2"/>
  <c r="E471" i="2"/>
  <c r="D471" i="2"/>
  <c r="C471" i="2"/>
  <c r="B471" i="2"/>
  <c r="A471" i="2"/>
  <c r="H470" i="2"/>
  <c r="E470" i="2"/>
  <c r="D470" i="2"/>
  <c r="C470" i="2"/>
  <c r="B470" i="2"/>
  <c r="A470" i="2"/>
  <c r="H469" i="2"/>
  <c r="E469" i="2"/>
  <c r="D469" i="2"/>
  <c r="C469" i="2"/>
  <c r="B469" i="2"/>
  <c r="A469" i="2"/>
  <c r="H468" i="2"/>
  <c r="E468" i="2"/>
  <c r="D468" i="2"/>
  <c r="C468" i="2"/>
  <c r="B468" i="2"/>
  <c r="A468" i="2"/>
  <c r="H467" i="2"/>
  <c r="E467" i="2"/>
  <c r="D467" i="2"/>
  <c r="C467" i="2"/>
  <c r="B467" i="2"/>
  <c r="A467" i="2"/>
  <c r="H466" i="2"/>
  <c r="E466" i="2"/>
  <c r="D466" i="2"/>
  <c r="C466" i="2"/>
  <c r="B466" i="2"/>
  <c r="A466" i="2"/>
  <c r="H465" i="2"/>
  <c r="E465" i="2"/>
  <c r="D465" i="2"/>
  <c r="C465" i="2"/>
  <c r="B465" i="2"/>
  <c r="A465" i="2"/>
  <c r="H464" i="2"/>
  <c r="E464" i="2"/>
  <c r="D464" i="2"/>
  <c r="C464" i="2"/>
  <c r="B464" i="2"/>
  <c r="A464" i="2"/>
  <c r="H463" i="2"/>
  <c r="E463" i="2"/>
  <c r="D463" i="2"/>
  <c r="C463" i="2"/>
  <c r="B463" i="2"/>
  <c r="A463" i="2"/>
  <c r="H462" i="2"/>
  <c r="E462" i="2"/>
  <c r="D462" i="2"/>
  <c r="C462" i="2"/>
  <c r="B462" i="2"/>
  <c r="A462" i="2"/>
  <c r="H461" i="2"/>
  <c r="E461" i="2"/>
  <c r="D461" i="2"/>
  <c r="C461" i="2"/>
  <c r="B461" i="2"/>
  <c r="A461" i="2"/>
  <c r="H460" i="2"/>
  <c r="E460" i="2"/>
  <c r="D460" i="2"/>
  <c r="C460" i="2"/>
  <c r="B460" i="2"/>
  <c r="A460" i="2"/>
  <c r="H459" i="2"/>
  <c r="E459" i="2"/>
  <c r="D459" i="2"/>
  <c r="C459" i="2"/>
  <c r="B459" i="2"/>
  <c r="A459" i="2"/>
  <c r="H458" i="2"/>
  <c r="E458" i="2"/>
  <c r="D458" i="2"/>
  <c r="C458" i="2"/>
  <c r="B458" i="2"/>
  <c r="A458" i="2"/>
  <c r="H457" i="2"/>
  <c r="E457" i="2"/>
  <c r="D457" i="2"/>
  <c r="C457" i="2"/>
  <c r="B457" i="2"/>
  <c r="A457" i="2"/>
  <c r="H456" i="2"/>
  <c r="E456" i="2"/>
  <c r="D456" i="2"/>
  <c r="C456" i="2"/>
  <c r="B456" i="2"/>
  <c r="A456" i="2"/>
  <c r="H455" i="2"/>
  <c r="E455" i="2"/>
  <c r="D455" i="2"/>
  <c r="C455" i="2"/>
  <c r="B455" i="2"/>
  <c r="A455" i="2"/>
  <c r="H454" i="2"/>
  <c r="E454" i="2"/>
  <c r="D454" i="2"/>
  <c r="C454" i="2"/>
  <c r="B454" i="2"/>
  <c r="A454" i="2"/>
  <c r="H453" i="2"/>
  <c r="E453" i="2"/>
  <c r="D453" i="2"/>
  <c r="C453" i="2"/>
  <c r="B453" i="2"/>
  <c r="A453" i="2"/>
  <c r="H452" i="2"/>
  <c r="E452" i="2"/>
  <c r="D452" i="2"/>
  <c r="C452" i="2"/>
  <c r="B452" i="2"/>
  <c r="A452" i="2"/>
  <c r="H451" i="2"/>
  <c r="E451" i="2"/>
  <c r="D451" i="2"/>
  <c r="C451" i="2"/>
  <c r="B451" i="2"/>
  <c r="A451" i="2"/>
  <c r="H450" i="2"/>
  <c r="E450" i="2"/>
  <c r="D450" i="2"/>
  <c r="C450" i="2"/>
  <c r="B450" i="2"/>
  <c r="A450" i="2"/>
  <c r="H449" i="2"/>
  <c r="E449" i="2"/>
  <c r="D449" i="2"/>
  <c r="C449" i="2"/>
  <c r="B449" i="2"/>
  <c r="A449" i="2"/>
  <c r="H448" i="2"/>
  <c r="E448" i="2"/>
  <c r="D448" i="2"/>
  <c r="C448" i="2"/>
  <c r="B448" i="2"/>
  <c r="A448" i="2"/>
  <c r="H447" i="2"/>
  <c r="E447" i="2"/>
  <c r="D447" i="2"/>
  <c r="C447" i="2"/>
  <c r="B447" i="2"/>
  <c r="A447" i="2"/>
  <c r="H446" i="2"/>
  <c r="E446" i="2"/>
  <c r="D446" i="2"/>
  <c r="C446" i="2"/>
  <c r="B446" i="2"/>
  <c r="A446" i="2"/>
  <c r="H445" i="2"/>
  <c r="E445" i="2"/>
  <c r="D445" i="2"/>
  <c r="C445" i="2"/>
  <c r="B445" i="2"/>
  <c r="A445" i="2"/>
  <c r="H444" i="2"/>
  <c r="E444" i="2"/>
  <c r="D444" i="2"/>
  <c r="C444" i="2"/>
  <c r="B444" i="2"/>
  <c r="A444" i="2"/>
  <c r="H443" i="2"/>
  <c r="E443" i="2"/>
  <c r="D443" i="2"/>
  <c r="C443" i="2"/>
  <c r="B443" i="2"/>
  <c r="A443" i="2"/>
  <c r="H442" i="2"/>
  <c r="E442" i="2"/>
  <c r="D442" i="2"/>
  <c r="C442" i="2"/>
  <c r="B442" i="2"/>
  <c r="A442" i="2"/>
  <c r="H441" i="2"/>
  <c r="E441" i="2"/>
  <c r="D441" i="2"/>
  <c r="C441" i="2"/>
  <c r="B441" i="2"/>
  <c r="A441" i="2"/>
  <c r="H440" i="2"/>
  <c r="E440" i="2"/>
  <c r="D440" i="2"/>
  <c r="C440" i="2"/>
  <c r="B440" i="2"/>
  <c r="A440" i="2"/>
  <c r="H439" i="2"/>
  <c r="E439" i="2"/>
  <c r="D439" i="2"/>
  <c r="C439" i="2"/>
  <c r="B439" i="2"/>
  <c r="A439" i="2"/>
  <c r="H438" i="2"/>
  <c r="E438" i="2"/>
  <c r="D438" i="2"/>
  <c r="C438" i="2"/>
  <c r="B438" i="2"/>
  <c r="A438" i="2"/>
  <c r="H437" i="2"/>
  <c r="E437" i="2"/>
  <c r="D437" i="2"/>
  <c r="C437" i="2"/>
  <c r="B437" i="2"/>
  <c r="A437" i="2"/>
  <c r="H436" i="2"/>
  <c r="E436" i="2"/>
  <c r="D436" i="2"/>
  <c r="C436" i="2"/>
  <c r="B436" i="2"/>
  <c r="A436" i="2"/>
  <c r="H435" i="2"/>
  <c r="E435" i="2"/>
  <c r="D435" i="2"/>
  <c r="C435" i="2"/>
  <c r="B435" i="2"/>
  <c r="A435" i="2"/>
  <c r="H434" i="2"/>
  <c r="E434" i="2"/>
  <c r="D434" i="2"/>
  <c r="C434" i="2"/>
  <c r="B434" i="2"/>
  <c r="A434" i="2"/>
  <c r="H433" i="2"/>
  <c r="E433" i="2"/>
  <c r="D433" i="2"/>
  <c r="C433" i="2"/>
  <c r="B433" i="2"/>
  <c r="A433" i="2"/>
  <c r="H432" i="2"/>
  <c r="E432" i="2"/>
  <c r="D432" i="2"/>
  <c r="C432" i="2"/>
  <c r="B432" i="2"/>
  <c r="A432" i="2"/>
  <c r="H431" i="2"/>
  <c r="E431" i="2"/>
  <c r="D431" i="2"/>
  <c r="C431" i="2"/>
  <c r="B431" i="2"/>
  <c r="A431" i="2"/>
  <c r="H430" i="2"/>
  <c r="E430" i="2"/>
  <c r="D430" i="2"/>
  <c r="C430" i="2"/>
  <c r="B430" i="2"/>
  <c r="A430" i="2"/>
  <c r="H429" i="2"/>
  <c r="E429" i="2"/>
  <c r="D429" i="2"/>
  <c r="C429" i="2"/>
  <c r="B429" i="2"/>
  <c r="A429" i="2"/>
  <c r="H428" i="2"/>
  <c r="E428" i="2"/>
  <c r="D428" i="2"/>
  <c r="C428" i="2"/>
  <c r="B428" i="2"/>
  <c r="A428" i="2"/>
  <c r="H427" i="2"/>
  <c r="E427" i="2"/>
  <c r="D427" i="2"/>
  <c r="C427" i="2"/>
  <c r="B427" i="2"/>
  <c r="A427" i="2"/>
  <c r="H426" i="2"/>
  <c r="E426" i="2"/>
  <c r="D426" i="2"/>
  <c r="C426" i="2"/>
  <c r="B426" i="2"/>
  <c r="A426" i="2"/>
  <c r="H425" i="2"/>
  <c r="E425" i="2"/>
  <c r="D425" i="2"/>
  <c r="C425" i="2"/>
  <c r="B425" i="2"/>
  <c r="A425" i="2"/>
  <c r="H424" i="2"/>
  <c r="E424" i="2"/>
  <c r="D424" i="2"/>
  <c r="C424" i="2"/>
  <c r="B424" i="2"/>
  <c r="A424" i="2"/>
  <c r="H423" i="2"/>
  <c r="E423" i="2"/>
  <c r="D423" i="2"/>
  <c r="C423" i="2"/>
  <c r="B423" i="2"/>
  <c r="A423" i="2"/>
  <c r="H422" i="2"/>
  <c r="E422" i="2"/>
  <c r="D422" i="2"/>
  <c r="C422" i="2"/>
  <c r="B422" i="2"/>
  <c r="A422" i="2"/>
  <c r="H421" i="2"/>
  <c r="E421" i="2"/>
  <c r="D421" i="2"/>
  <c r="C421" i="2"/>
  <c r="B421" i="2"/>
  <c r="A421" i="2"/>
  <c r="H420" i="2"/>
  <c r="E420" i="2"/>
  <c r="D420" i="2"/>
  <c r="C420" i="2"/>
  <c r="B420" i="2"/>
  <c r="A420" i="2"/>
  <c r="H419" i="2"/>
  <c r="E419" i="2"/>
  <c r="D419" i="2"/>
  <c r="C419" i="2"/>
  <c r="B419" i="2"/>
  <c r="A419" i="2"/>
  <c r="H418" i="2"/>
  <c r="E418" i="2"/>
  <c r="D418" i="2"/>
  <c r="C418" i="2"/>
  <c r="B418" i="2"/>
  <c r="A418" i="2"/>
  <c r="H417" i="2"/>
  <c r="E417" i="2"/>
  <c r="D417" i="2"/>
  <c r="C417" i="2"/>
  <c r="B417" i="2"/>
  <c r="A417" i="2"/>
  <c r="H416" i="2"/>
  <c r="E416" i="2"/>
  <c r="D416" i="2"/>
  <c r="C416" i="2"/>
  <c r="B416" i="2"/>
  <c r="A416" i="2"/>
  <c r="H415" i="2"/>
  <c r="E415" i="2"/>
  <c r="D415" i="2"/>
  <c r="C415" i="2"/>
  <c r="B415" i="2"/>
  <c r="A415" i="2"/>
  <c r="H414" i="2"/>
  <c r="E414" i="2"/>
  <c r="D414" i="2"/>
  <c r="C414" i="2"/>
  <c r="B414" i="2"/>
  <c r="A414" i="2"/>
  <c r="H413" i="2"/>
  <c r="E413" i="2"/>
  <c r="D413" i="2"/>
  <c r="C413" i="2"/>
  <c r="B413" i="2"/>
  <c r="A413" i="2"/>
  <c r="H412" i="2"/>
  <c r="E412" i="2"/>
  <c r="D412" i="2"/>
  <c r="C412" i="2"/>
  <c r="B412" i="2"/>
  <c r="A412" i="2"/>
  <c r="H411" i="2"/>
  <c r="E411" i="2"/>
  <c r="D411" i="2"/>
  <c r="C411" i="2"/>
  <c r="B411" i="2"/>
  <c r="A411" i="2"/>
  <c r="H410" i="2"/>
  <c r="E410" i="2"/>
  <c r="D410" i="2"/>
  <c r="C410" i="2"/>
  <c r="B410" i="2"/>
  <c r="A410" i="2"/>
  <c r="H409" i="2"/>
  <c r="E409" i="2"/>
  <c r="D409" i="2"/>
  <c r="C409" i="2"/>
  <c r="B409" i="2"/>
  <c r="A409" i="2"/>
  <c r="H408" i="2"/>
  <c r="E408" i="2"/>
  <c r="D408" i="2"/>
  <c r="C408" i="2"/>
  <c r="B408" i="2"/>
  <c r="A408" i="2"/>
  <c r="H407" i="2"/>
  <c r="E407" i="2"/>
  <c r="D407" i="2"/>
  <c r="C407" i="2"/>
  <c r="B407" i="2"/>
  <c r="A407" i="2"/>
  <c r="H406" i="2"/>
  <c r="E406" i="2"/>
  <c r="D406" i="2"/>
  <c r="C406" i="2"/>
  <c r="B406" i="2"/>
  <c r="A406" i="2"/>
  <c r="H405" i="2"/>
  <c r="E405" i="2"/>
  <c r="D405" i="2"/>
  <c r="C405" i="2"/>
  <c r="B405" i="2"/>
  <c r="A405" i="2"/>
  <c r="H404" i="2"/>
  <c r="E404" i="2"/>
  <c r="D404" i="2"/>
  <c r="C404" i="2"/>
  <c r="B404" i="2"/>
  <c r="A404" i="2"/>
  <c r="H403" i="2"/>
  <c r="E403" i="2"/>
  <c r="D403" i="2"/>
  <c r="C403" i="2"/>
  <c r="B403" i="2"/>
  <c r="A403" i="2"/>
  <c r="H402" i="2"/>
  <c r="E402" i="2"/>
  <c r="D402" i="2"/>
  <c r="C402" i="2"/>
  <c r="B402" i="2"/>
  <c r="A402" i="2"/>
  <c r="H401" i="2"/>
  <c r="E401" i="2"/>
  <c r="D401" i="2"/>
  <c r="C401" i="2"/>
  <c r="B401" i="2"/>
  <c r="A401" i="2"/>
  <c r="H400" i="2"/>
  <c r="E400" i="2"/>
  <c r="D400" i="2"/>
  <c r="C400" i="2"/>
  <c r="B400" i="2"/>
  <c r="A400" i="2"/>
  <c r="H399" i="2"/>
  <c r="E399" i="2"/>
  <c r="D399" i="2"/>
  <c r="C399" i="2"/>
  <c r="B399" i="2"/>
  <c r="A399" i="2"/>
  <c r="H398" i="2"/>
  <c r="E398" i="2"/>
  <c r="D398" i="2"/>
  <c r="C398" i="2"/>
  <c r="B398" i="2"/>
  <c r="A398" i="2"/>
  <c r="H397" i="2"/>
  <c r="E397" i="2"/>
  <c r="D397" i="2"/>
  <c r="C397" i="2"/>
  <c r="B397" i="2"/>
  <c r="A397" i="2"/>
  <c r="H396" i="2"/>
  <c r="E396" i="2"/>
  <c r="D396" i="2"/>
  <c r="C396" i="2"/>
  <c r="B396" i="2"/>
  <c r="A396" i="2"/>
  <c r="H395" i="2"/>
  <c r="E395" i="2"/>
  <c r="D395" i="2"/>
  <c r="C395" i="2"/>
  <c r="B395" i="2"/>
  <c r="A395" i="2"/>
  <c r="H394" i="2"/>
  <c r="E394" i="2"/>
  <c r="D394" i="2"/>
  <c r="C394" i="2"/>
  <c r="B394" i="2"/>
  <c r="A394" i="2"/>
  <c r="H393" i="2"/>
  <c r="E393" i="2"/>
  <c r="D393" i="2"/>
  <c r="C393" i="2"/>
  <c r="B393" i="2"/>
  <c r="A393" i="2"/>
  <c r="H392" i="2"/>
  <c r="E392" i="2"/>
  <c r="D392" i="2"/>
  <c r="C392" i="2"/>
  <c r="B392" i="2"/>
  <c r="A392" i="2"/>
  <c r="H391" i="2"/>
  <c r="E391" i="2"/>
  <c r="D391" i="2"/>
  <c r="C391" i="2"/>
  <c r="B391" i="2"/>
  <c r="A391" i="2"/>
  <c r="H390" i="2"/>
  <c r="E390" i="2"/>
  <c r="D390" i="2"/>
  <c r="C390" i="2"/>
  <c r="B390" i="2"/>
  <c r="A390" i="2"/>
  <c r="H389" i="2"/>
  <c r="E389" i="2"/>
  <c r="D389" i="2"/>
  <c r="C389" i="2"/>
  <c r="B389" i="2"/>
  <c r="A389" i="2"/>
  <c r="H388" i="2"/>
  <c r="E388" i="2"/>
  <c r="D388" i="2"/>
  <c r="C388" i="2"/>
  <c r="B388" i="2"/>
  <c r="A388" i="2"/>
  <c r="H387" i="2"/>
  <c r="E387" i="2"/>
  <c r="D387" i="2"/>
  <c r="C387" i="2"/>
  <c r="B387" i="2"/>
  <c r="A387" i="2"/>
  <c r="H386" i="2"/>
  <c r="E386" i="2"/>
  <c r="D386" i="2"/>
  <c r="C386" i="2"/>
  <c r="B386" i="2"/>
  <c r="A386" i="2"/>
  <c r="H385" i="2"/>
  <c r="E385" i="2"/>
  <c r="D385" i="2"/>
  <c r="C385" i="2"/>
  <c r="B385" i="2"/>
  <c r="A385" i="2"/>
  <c r="H384" i="2"/>
  <c r="E384" i="2"/>
  <c r="D384" i="2"/>
  <c r="C384" i="2"/>
  <c r="B384" i="2"/>
  <c r="A384" i="2"/>
  <c r="H383" i="2"/>
  <c r="E383" i="2"/>
  <c r="D383" i="2"/>
  <c r="C383" i="2"/>
  <c r="B383" i="2"/>
  <c r="A383" i="2"/>
  <c r="H382" i="2"/>
  <c r="E382" i="2"/>
  <c r="D382" i="2"/>
  <c r="C382" i="2"/>
  <c r="B382" i="2"/>
  <c r="A382" i="2"/>
  <c r="H381" i="2"/>
  <c r="E381" i="2"/>
  <c r="D381" i="2"/>
  <c r="C381" i="2"/>
  <c r="B381" i="2"/>
  <c r="A381" i="2"/>
  <c r="H380" i="2"/>
  <c r="E380" i="2"/>
  <c r="D380" i="2"/>
  <c r="C380" i="2"/>
  <c r="B380" i="2"/>
  <c r="A380" i="2"/>
  <c r="H379" i="2"/>
  <c r="E379" i="2"/>
  <c r="D379" i="2"/>
  <c r="C379" i="2"/>
  <c r="B379" i="2"/>
  <c r="A379" i="2"/>
  <c r="H378" i="2"/>
  <c r="E378" i="2"/>
  <c r="D378" i="2"/>
  <c r="C378" i="2"/>
  <c r="B378" i="2"/>
  <c r="A378" i="2"/>
  <c r="H377" i="2"/>
  <c r="E377" i="2"/>
  <c r="D377" i="2"/>
  <c r="C377" i="2"/>
  <c r="B377" i="2"/>
  <c r="A377" i="2"/>
  <c r="H376" i="2"/>
  <c r="E376" i="2"/>
  <c r="D376" i="2"/>
  <c r="C376" i="2"/>
  <c r="B376" i="2"/>
  <c r="A376" i="2"/>
  <c r="H375" i="2"/>
  <c r="E375" i="2"/>
  <c r="D375" i="2"/>
  <c r="C375" i="2"/>
  <c r="B375" i="2"/>
  <c r="A375" i="2"/>
  <c r="H374" i="2"/>
  <c r="E374" i="2"/>
  <c r="D374" i="2"/>
  <c r="C374" i="2"/>
  <c r="B374" i="2"/>
  <c r="A374" i="2"/>
  <c r="H373" i="2"/>
  <c r="E373" i="2"/>
  <c r="D373" i="2"/>
  <c r="C373" i="2"/>
  <c r="B373" i="2"/>
  <c r="A373" i="2"/>
  <c r="H372" i="2"/>
  <c r="E372" i="2"/>
  <c r="D372" i="2"/>
  <c r="C372" i="2"/>
  <c r="B372" i="2"/>
  <c r="A372" i="2"/>
  <c r="H371" i="2"/>
  <c r="E371" i="2"/>
  <c r="D371" i="2"/>
  <c r="C371" i="2"/>
  <c r="B371" i="2"/>
  <c r="A371" i="2"/>
  <c r="H370" i="2"/>
  <c r="E370" i="2"/>
  <c r="D370" i="2"/>
  <c r="C370" i="2"/>
  <c r="B370" i="2"/>
  <c r="A370" i="2"/>
  <c r="H369" i="2"/>
  <c r="E369" i="2"/>
  <c r="D369" i="2"/>
  <c r="C369" i="2"/>
  <c r="B369" i="2"/>
  <c r="A369" i="2"/>
  <c r="H368" i="2"/>
  <c r="E368" i="2"/>
  <c r="D368" i="2"/>
  <c r="C368" i="2"/>
  <c r="B368" i="2"/>
  <c r="A368" i="2"/>
  <c r="H367" i="2"/>
  <c r="E367" i="2"/>
  <c r="D367" i="2"/>
  <c r="C367" i="2"/>
  <c r="B367" i="2"/>
  <c r="A367" i="2"/>
  <c r="H366" i="2"/>
  <c r="E366" i="2"/>
  <c r="D366" i="2"/>
  <c r="C366" i="2"/>
  <c r="B366" i="2"/>
  <c r="A366" i="2"/>
  <c r="H365" i="2"/>
  <c r="E365" i="2"/>
  <c r="D365" i="2"/>
  <c r="C365" i="2"/>
  <c r="B365" i="2"/>
  <c r="A365" i="2"/>
  <c r="H364" i="2"/>
  <c r="E364" i="2"/>
  <c r="D364" i="2"/>
  <c r="C364" i="2"/>
  <c r="B364" i="2"/>
  <c r="A364" i="2"/>
  <c r="H363" i="2"/>
  <c r="E363" i="2"/>
  <c r="D363" i="2"/>
  <c r="C363" i="2"/>
  <c r="B363" i="2"/>
  <c r="A363" i="2"/>
  <c r="H362" i="2"/>
  <c r="E362" i="2"/>
  <c r="D362" i="2"/>
  <c r="C362" i="2"/>
  <c r="B362" i="2"/>
  <c r="A362" i="2"/>
  <c r="H361" i="2"/>
  <c r="E361" i="2"/>
  <c r="D361" i="2"/>
  <c r="C361" i="2"/>
  <c r="B361" i="2"/>
  <c r="A361" i="2"/>
  <c r="H360" i="2"/>
  <c r="E360" i="2"/>
  <c r="D360" i="2"/>
  <c r="C360" i="2"/>
  <c r="B360" i="2"/>
  <c r="A360" i="2"/>
  <c r="H359" i="2"/>
  <c r="E359" i="2"/>
  <c r="D359" i="2"/>
  <c r="C359" i="2"/>
  <c r="B359" i="2"/>
  <c r="A359" i="2"/>
  <c r="H358" i="2"/>
  <c r="E358" i="2"/>
  <c r="D358" i="2"/>
  <c r="C358" i="2"/>
  <c r="B358" i="2"/>
  <c r="A358" i="2"/>
  <c r="H357" i="2"/>
  <c r="E357" i="2"/>
  <c r="D357" i="2"/>
  <c r="C357" i="2"/>
  <c r="B357" i="2"/>
  <c r="A357" i="2"/>
  <c r="H356" i="2"/>
  <c r="E356" i="2"/>
  <c r="D356" i="2"/>
  <c r="C356" i="2"/>
  <c r="B356" i="2"/>
  <c r="A356" i="2"/>
  <c r="H355" i="2"/>
  <c r="E355" i="2"/>
  <c r="D355" i="2"/>
  <c r="C355" i="2"/>
  <c r="B355" i="2"/>
  <c r="A355" i="2"/>
  <c r="H354" i="2"/>
  <c r="E354" i="2"/>
  <c r="D354" i="2"/>
  <c r="C354" i="2"/>
  <c r="B354" i="2"/>
  <c r="A354" i="2"/>
  <c r="H353" i="2"/>
  <c r="E353" i="2"/>
  <c r="D353" i="2"/>
  <c r="C353" i="2"/>
  <c r="B353" i="2"/>
  <c r="A353" i="2"/>
  <c r="H352" i="2"/>
  <c r="E352" i="2"/>
  <c r="D352" i="2"/>
  <c r="C352" i="2"/>
  <c r="B352" i="2"/>
  <c r="A352" i="2"/>
  <c r="H351" i="2"/>
  <c r="E351" i="2"/>
  <c r="D351" i="2"/>
  <c r="C351" i="2"/>
  <c r="B351" i="2"/>
  <c r="A351" i="2"/>
  <c r="H350" i="2"/>
  <c r="E350" i="2"/>
  <c r="D350" i="2"/>
  <c r="C350" i="2"/>
  <c r="B350" i="2"/>
  <c r="A350" i="2"/>
  <c r="H349" i="2"/>
  <c r="E349" i="2"/>
  <c r="D349" i="2"/>
  <c r="C349" i="2"/>
  <c r="B349" i="2"/>
  <c r="A349" i="2"/>
  <c r="H348" i="2"/>
  <c r="E348" i="2"/>
  <c r="D348" i="2"/>
  <c r="C348" i="2"/>
  <c r="B348" i="2"/>
  <c r="A348" i="2"/>
  <c r="H347" i="2"/>
  <c r="E347" i="2"/>
  <c r="D347" i="2"/>
  <c r="C347" i="2"/>
  <c r="B347" i="2"/>
  <c r="A347" i="2"/>
  <c r="H346" i="2"/>
  <c r="E346" i="2"/>
  <c r="D346" i="2"/>
  <c r="C346" i="2"/>
  <c r="B346" i="2"/>
  <c r="A346" i="2"/>
  <c r="H345" i="2"/>
  <c r="E345" i="2"/>
  <c r="D345" i="2"/>
  <c r="C345" i="2"/>
  <c r="B345" i="2"/>
  <c r="A345" i="2"/>
  <c r="H344" i="2"/>
  <c r="E344" i="2"/>
  <c r="D344" i="2"/>
  <c r="C344" i="2"/>
  <c r="B344" i="2"/>
  <c r="A344" i="2"/>
  <c r="H343" i="2"/>
  <c r="E343" i="2"/>
  <c r="D343" i="2"/>
  <c r="C343" i="2"/>
  <c r="B343" i="2"/>
  <c r="A343" i="2"/>
  <c r="H342" i="2"/>
  <c r="E342" i="2"/>
  <c r="D342" i="2"/>
  <c r="C342" i="2"/>
  <c r="B342" i="2"/>
  <c r="A342" i="2"/>
  <c r="H341" i="2"/>
  <c r="E341" i="2"/>
  <c r="D341" i="2"/>
  <c r="C341" i="2"/>
  <c r="B341" i="2"/>
  <c r="A341" i="2"/>
  <c r="H340" i="2"/>
  <c r="E340" i="2"/>
  <c r="D340" i="2"/>
  <c r="C340" i="2"/>
  <c r="B340" i="2"/>
  <c r="A340" i="2"/>
  <c r="H339" i="2"/>
  <c r="E339" i="2"/>
  <c r="D339" i="2"/>
  <c r="C339" i="2"/>
  <c r="B339" i="2"/>
  <c r="A339" i="2"/>
  <c r="H338" i="2"/>
  <c r="E338" i="2"/>
  <c r="D338" i="2"/>
  <c r="C338" i="2"/>
  <c r="B338" i="2"/>
  <c r="A338" i="2"/>
  <c r="H337" i="2"/>
  <c r="E337" i="2"/>
  <c r="D337" i="2"/>
  <c r="C337" i="2"/>
  <c r="B337" i="2"/>
  <c r="A337" i="2"/>
  <c r="H336" i="2"/>
  <c r="E336" i="2"/>
  <c r="D336" i="2"/>
  <c r="C336" i="2"/>
  <c r="B336" i="2"/>
  <c r="A336" i="2"/>
  <c r="H335" i="2"/>
  <c r="E335" i="2"/>
  <c r="D335" i="2"/>
  <c r="C335" i="2"/>
  <c r="B335" i="2"/>
  <c r="A335" i="2"/>
  <c r="H334" i="2"/>
  <c r="E334" i="2"/>
  <c r="D334" i="2"/>
  <c r="C334" i="2"/>
  <c r="B334" i="2"/>
  <c r="A334" i="2"/>
  <c r="H333" i="2"/>
  <c r="E333" i="2"/>
  <c r="D333" i="2"/>
  <c r="C333" i="2"/>
  <c r="B333" i="2"/>
  <c r="A333" i="2"/>
  <c r="H332" i="2"/>
  <c r="E332" i="2"/>
  <c r="D332" i="2"/>
  <c r="C332" i="2"/>
  <c r="B332" i="2"/>
  <c r="A332" i="2"/>
  <c r="H331" i="2"/>
  <c r="E331" i="2"/>
  <c r="D331" i="2"/>
  <c r="C331" i="2"/>
  <c r="B331" i="2"/>
  <c r="A331" i="2"/>
  <c r="H330" i="2"/>
  <c r="E330" i="2"/>
  <c r="D330" i="2"/>
  <c r="C330" i="2"/>
  <c r="B330" i="2"/>
  <c r="A330" i="2"/>
  <c r="H329" i="2"/>
  <c r="E329" i="2"/>
  <c r="D329" i="2"/>
  <c r="C329" i="2"/>
  <c r="B329" i="2"/>
  <c r="A329" i="2"/>
  <c r="H328" i="2"/>
  <c r="E328" i="2"/>
  <c r="D328" i="2"/>
  <c r="C328" i="2"/>
  <c r="B328" i="2"/>
  <c r="A328" i="2"/>
  <c r="H327" i="2"/>
  <c r="E327" i="2"/>
  <c r="D327" i="2"/>
  <c r="C327" i="2"/>
  <c r="B327" i="2"/>
  <c r="A327" i="2"/>
  <c r="H326" i="2"/>
  <c r="E326" i="2"/>
  <c r="D326" i="2"/>
  <c r="C326" i="2"/>
  <c r="B326" i="2"/>
  <c r="A326" i="2"/>
  <c r="H325" i="2"/>
  <c r="E325" i="2"/>
  <c r="D325" i="2"/>
  <c r="C325" i="2"/>
  <c r="B325" i="2"/>
  <c r="A325" i="2"/>
  <c r="H324" i="2"/>
  <c r="E324" i="2"/>
  <c r="D324" i="2"/>
  <c r="C324" i="2"/>
  <c r="B324" i="2"/>
  <c r="A324" i="2"/>
  <c r="H323" i="2"/>
  <c r="E323" i="2"/>
  <c r="D323" i="2"/>
  <c r="C323" i="2"/>
  <c r="B323" i="2"/>
  <c r="A323" i="2"/>
  <c r="H322" i="2"/>
  <c r="E322" i="2"/>
  <c r="D322" i="2"/>
  <c r="C322" i="2"/>
  <c r="B322" i="2"/>
  <c r="A322" i="2"/>
  <c r="H321" i="2"/>
  <c r="E321" i="2"/>
  <c r="D321" i="2"/>
  <c r="C321" i="2"/>
  <c r="B321" i="2"/>
  <c r="A321" i="2"/>
  <c r="H320" i="2"/>
  <c r="E320" i="2"/>
  <c r="D320" i="2"/>
  <c r="C320" i="2"/>
  <c r="B320" i="2"/>
  <c r="A320" i="2"/>
  <c r="H319" i="2"/>
  <c r="E319" i="2"/>
  <c r="D319" i="2"/>
  <c r="C319" i="2"/>
  <c r="B319" i="2"/>
  <c r="A319" i="2"/>
  <c r="H318" i="2"/>
  <c r="E318" i="2"/>
  <c r="D318" i="2"/>
  <c r="C318" i="2"/>
  <c r="B318" i="2"/>
  <c r="A318" i="2"/>
  <c r="H317" i="2"/>
  <c r="E317" i="2"/>
  <c r="D317" i="2"/>
  <c r="C317" i="2"/>
  <c r="B317" i="2"/>
  <c r="A317" i="2"/>
  <c r="H316" i="2"/>
  <c r="E316" i="2"/>
  <c r="D316" i="2"/>
  <c r="C316" i="2"/>
  <c r="B316" i="2"/>
  <c r="A316" i="2"/>
  <c r="H315" i="2"/>
  <c r="E315" i="2"/>
  <c r="D315" i="2"/>
  <c r="C315" i="2"/>
  <c r="B315" i="2"/>
  <c r="A315" i="2"/>
  <c r="H314" i="2"/>
  <c r="E314" i="2"/>
  <c r="D314" i="2"/>
  <c r="C314" i="2"/>
  <c r="B314" i="2"/>
  <c r="A314" i="2"/>
  <c r="H313" i="2"/>
  <c r="E313" i="2"/>
  <c r="D313" i="2"/>
  <c r="C313" i="2"/>
  <c r="B313" i="2"/>
  <c r="A313" i="2"/>
  <c r="H312" i="2"/>
  <c r="E312" i="2"/>
  <c r="D312" i="2"/>
  <c r="C312" i="2"/>
  <c r="B312" i="2"/>
  <c r="A312" i="2"/>
  <c r="H311" i="2"/>
  <c r="E311" i="2"/>
  <c r="D311" i="2"/>
  <c r="C311" i="2"/>
  <c r="B311" i="2"/>
  <c r="A311" i="2"/>
  <c r="H310" i="2"/>
  <c r="E310" i="2"/>
  <c r="D310" i="2"/>
  <c r="C310" i="2"/>
  <c r="B310" i="2"/>
  <c r="A310" i="2"/>
  <c r="H309" i="2"/>
  <c r="E309" i="2"/>
  <c r="D309" i="2"/>
  <c r="C309" i="2"/>
  <c r="B309" i="2"/>
  <c r="A309" i="2"/>
  <c r="H308" i="2"/>
  <c r="E308" i="2"/>
  <c r="D308" i="2"/>
  <c r="C308" i="2"/>
  <c r="B308" i="2"/>
  <c r="A308" i="2"/>
  <c r="H307" i="2"/>
  <c r="E307" i="2"/>
  <c r="D307" i="2"/>
  <c r="C307" i="2"/>
  <c r="B307" i="2"/>
  <c r="A307" i="2"/>
  <c r="H306" i="2"/>
  <c r="E306" i="2"/>
  <c r="D306" i="2"/>
  <c r="C306" i="2"/>
  <c r="B306" i="2"/>
  <c r="A306" i="2"/>
  <c r="H305" i="2"/>
  <c r="E305" i="2"/>
  <c r="D305" i="2"/>
  <c r="C305" i="2"/>
  <c r="B305" i="2"/>
  <c r="A305" i="2"/>
  <c r="H304" i="2"/>
  <c r="E304" i="2"/>
  <c r="D304" i="2"/>
  <c r="C304" i="2"/>
  <c r="B304" i="2"/>
  <c r="A304" i="2"/>
  <c r="H303" i="2"/>
  <c r="E303" i="2"/>
  <c r="D303" i="2"/>
  <c r="C303" i="2"/>
  <c r="B303" i="2"/>
  <c r="A303" i="2"/>
  <c r="H302" i="2"/>
  <c r="E302" i="2"/>
  <c r="D302" i="2"/>
  <c r="C302" i="2"/>
  <c r="B302" i="2"/>
  <c r="A302" i="2"/>
  <c r="H301" i="2"/>
  <c r="E301" i="2"/>
  <c r="D301" i="2"/>
  <c r="C301" i="2"/>
  <c r="B301" i="2"/>
  <c r="A301" i="2"/>
  <c r="H300" i="2"/>
  <c r="E300" i="2"/>
  <c r="D300" i="2"/>
  <c r="C300" i="2"/>
  <c r="B300" i="2"/>
  <c r="A300" i="2"/>
  <c r="H299" i="2"/>
  <c r="E299" i="2"/>
  <c r="D299" i="2"/>
  <c r="C299" i="2"/>
  <c r="B299" i="2"/>
  <c r="A299" i="2"/>
  <c r="H298" i="2"/>
  <c r="E298" i="2"/>
  <c r="D298" i="2"/>
  <c r="C298" i="2"/>
  <c r="B298" i="2"/>
  <c r="A298" i="2"/>
  <c r="H297" i="2"/>
  <c r="E297" i="2"/>
  <c r="D297" i="2"/>
  <c r="C297" i="2"/>
  <c r="B297" i="2"/>
  <c r="A297" i="2"/>
  <c r="H296" i="2"/>
  <c r="E296" i="2"/>
  <c r="D296" i="2"/>
  <c r="C296" i="2"/>
  <c r="B296" i="2"/>
  <c r="A296" i="2"/>
  <c r="H295" i="2"/>
  <c r="E295" i="2"/>
  <c r="D295" i="2"/>
  <c r="C295" i="2"/>
  <c r="B295" i="2"/>
  <c r="A295" i="2"/>
  <c r="H294" i="2"/>
  <c r="E294" i="2"/>
  <c r="D294" i="2"/>
  <c r="C294" i="2"/>
  <c r="B294" i="2"/>
  <c r="A294" i="2"/>
  <c r="H293" i="2"/>
  <c r="E293" i="2"/>
  <c r="D293" i="2"/>
  <c r="C293" i="2"/>
  <c r="B293" i="2"/>
  <c r="A293" i="2"/>
  <c r="H292" i="2"/>
  <c r="E292" i="2"/>
  <c r="D292" i="2"/>
  <c r="C292" i="2"/>
  <c r="B292" i="2"/>
  <c r="A292" i="2"/>
  <c r="H291" i="2"/>
  <c r="E291" i="2"/>
  <c r="D291" i="2"/>
  <c r="C291" i="2"/>
  <c r="B291" i="2"/>
  <c r="A291" i="2"/>
  <c r="H290" i="2"/>
  <c r="E290" i="2"/>
  <c r="D290" i="2"/>
  <c r="C290" i="2"/>
  <c r="B290" i="2"/>
  <c r="A290" i="2"/>
  <c r="H289" i="2"/>
  <c r="E289" i="2"/>
  <c r="D289" i="2"/>
  <c r="C289" i="2"/>
  <c r="B289" i="2"/>
  <c r="A289" i="2"/>
  <c r="H288" i="2"/>
  <c r="E288" i="2"/>
  <c r="D288" i="2"/>
  <c r="C288" i="2"/>
  <c r="B288" i="2"/>
  <c r="A288" i="2"/>
  <c r="H287" i="2"/>
  <c r="E287" i="2"/>
  <c r="D287" i="2"/>
  <c r="C287" i="2"/>
  <c r="B287" i="2"/>
  <c r="A287" i="2"/>
  <c r="H286" i="2"/>
  <c r="E286" i="2"/>
  <c r="D286" i="2"/>
  <c r="C286" i="2"/>
  <c r="B286" i="2"/>
  <c r="A286" i="2"/>
  <c r="H285" i="2"/>
  <c r="E285" i="2"/>
  <c r="D285" i="2"/>
  <c r="C285" i="2"/>
  <c r="B285" i="2"/>
  <c r="A285" i="2"/>
  <c r="H284" i="2"/>
  <c r="E284" i="2"/>
  <c r="D284" i="2"/>
  <c r="C284" i="2"/>
  <c r="B284" i="2"/>
  <c r="A284" i="2"/>
  <c r="H283" i="2"/>
  <c r="E283" i="2"/>
  <c r="D283" i="2"/>
  <c r="C283" i="2"/>
  <c r="B283" i="2"/>
  <c r="A283" i="2"/>
  <c r="H282" i="2"/>
  <c r="E282" i="2"/>
  <c r="D282" i="2"/>
  <c r="C282" i="2"/>
  <c r="B282" i="2"/>
  <c r="A282" i="2"/>
  <c r="H281" i="2"/>
  <c r="E281" i="2"/>
  <c r="D281" i="2"/>
  <c r="C281" i="2"/>
  <c r="B281" i="2"/>
  <c r="A281" i="2"/>
  <c r="H280" i="2"/>
  <c r="E280" i="2"/>
  <c r="D280" i="2"/>
  <c r="C280" i="2"/>
  <c r="B280" i="2"/>
  <c r="A280" i="2"/>
  <c r="H279" i="2"/>
  <c r="E279" i="2"/>
  <c r="D279" i="2"/>
  <c r="C279" i="2"/>
  <c r="B279" i="2"/>
  <c r="A279" i="2"/>
  <c r="H278" i="2"/>
  <c r="E278" i="2"/>
  <c r="D278" i="2"/>
  <c r="C278" i="2"/>
  <c r="B278" i="2"/>
  <c r="A278" i="2"/>
  <c r="H277" i="2"/>
  <c r="E277" i="2"/>
  <c r="D277" i="2"/>
  <c r="C277" i="2"/>
  <c r="B277" i="2"/>
  <c r="A277" i="2"/>
  <c r="H276" i="2"/>
  <c r="E276" i="2"/>
  <c r="D276" i="2"/>
  <c r="C276" i="2"/>
  <c r="B276" i="2"/>
  <c r="A276" i="2"/>
  <c r="H275" i="2"/>
  <c r="E275" i="2"/>
  <c r="D275" i="2"/>
  <c r="C275" i="2"/>
  <c r="B275" i="2"/>
  <c r="A275" i="2"/>
  <c r="H274" i="2"/>
  <c r="E274" i="2"/>
  <c r="D274" i="2"/>
  <c r="C274" i="2"/>
  <c r="B274" i="2"/>
  <c r="A274" i="2"/>
  <c r="H273" i="2"/>
  <c r="E273" i="2"/>
  <c r="D273" i="2"/>
  <c r="C273" i="2"/>
  <c r="B273" i="2"/>
  <c r="A273" i="2"/>
  <c r="H272" i="2"/>
  <c r="E272" i="2"/>
  <c r="D272" i="2"/>
  <c r="C272" i="2"/>
  <c r="B272" i="2"/>
  <c r="A272" i="2"/>
  <c r="H271" i="2"/>
  <c r="E271" i="2"/>
  <c r="D271" i="2"/>
  <c r="C271" i="2"/>
  <c r="B271" i="2"/>
  <c r="A271" i="2"/>
  <c r="H270" i="2"/>
  <c r="E270" i="2"/>
  <c r="D270" i="2"/>
  <c r="C270" i="2"/>
  <c r="B270" i="2"/>
  <c r="A270" i="2"/>
  <c r="H269" i="2"/>
  <c r="E269" i="2"/>
  <c r="D269" i="2"/>
  <c r="C269" i="2"/>
  <c r="B269" i="2"/>
  <c r="A269" i="2"/>
  <c r="H268" i="2"/>
  <c r="E268" i="2"/>
  <c r="D268" i="2"/>
  <c r="C268" i="2"/>
  <c r="B268" i="2"/>
  <c r="A268" i="2"/>
  <c r="H267" i="2"/>
  <c r="E267" i="2"/>
  <c r="D267" i="2"/>
  <c r="C267" i="2"/>
  <c r="B267" i="2"/>
  <c r="A267" i="2"/>
  <c r="H266" i="2"/>
  <c r="E266" i="2"/>
  <c r="D266" i="2"/>
  <c r="C266" i="2"/>
  <c r="B266" i="2"/>
  <c r="A266" i="2"/>
  <c r="H265" i="2"/>
  <c r="E265" i="2"/>
  <c r="D265" i="2"/>
  <c r="C265" i="2"/>
  <c r="B265" i="2"/>
  <c r="A265" i="2"/>
  <c r="H264" i="2"/>
  <c r="E264" i="2"/>
  <c r="D264" i="2"/>
  <c r="C264" i="2"/>
  <c r="B264" i="2"/>
  <c r="A264" i="2"/>
  <c r="H263" i="2"/>
  <c r="E263" i="2"/>
  <c r="D263" i="2"/>
  <c r="C263" i="2"/>
  <c r="B263" i="2"/>
  <c r="A263" i="2"/>
  <c r="H262" i="2"/>
  <c r="E262" i="2"/>
  <c r="D262" i="2"/>
  <c r="C262" i="2"/>
  <c r="B262" i="2"/>
  <c r="A262" i="2"/>
  <c r="H261" i="2"/>
  <c r="E261" i="2"/>
  <c r="D261" i="2"/>
  <c r="C261" i="2"/>
  <c r="B261" i="2"/>
  <c r="A261" i="2"/>
  <c r="H260" i="2"/>
  <c r="E260" i="2"/>
  <c r="D260" i="2"/>
  <c r="C260" i="2"/>
  <c r="B260" i="2"/>
  <c r="A260" i="2"/>
  <c r="H259" i="2"/>
  <c r="E259" i="2"/>
  <c r="D259" i="2"/>
  <c r="C259" i="2"/>
  <c r="B259" i="2"/>
  <c r="A259" i="2"/>
  <c r="H258" i="2"/>
  <c r="E258" i="2"/>
  <c r="D258" i="2"/>
  <c r="C258" i="2"/>
  <c r="B258" i="2"/>
  <c r="A258" i="2"/>
  <c r="H257" i="2"/>
  <c r="E257" i="2"/>
  <c r="D257" i="2"/>
  <c r="C257" i="2"/>
  <c r="B257" i="2"/>
  <c r="A257" i="2"/>
  <c r="H256" i="2"/>
  <c r="E256" i="2"/>
  <c r="D256" i="2"/>
  <c r="C256" i="2"/>
  <c r="B256" i="2"/>
  <c r="A256" i="2"/>
  <c r="H255" i="2"/>
  <c r="E255" i="2"/>
  <c r="D255" i="2"/>
  <c r="C255" i="2"/>
  <c r="B255" i="2"/>
  <c r="A255" i="2"/>
  <c r="H254" i="2"/>
  <c r="E254" i="2"/>
  <c r="D254" i="2"/>
  <c r="C254" i="2"/>
  <c r="B254" i="2"/>
  <c r="A254" i="2"/>
  <c r="H253" i="2"/>
  <c r="E253" i="2"/>
  <c r="D253" i="2"/>
  <c r="C253" i="2"/>
  <c r="B253" i="2"/>
  <c r="A253" i="2"/>
  <c r="H252" i="2"/>
  <c r="E252" i="2"/>
  <c r="D252" i="2"/>
  <c r="C252" i="2"/>
  <c r="B252" i="2"/>
  <c r="A252" i="2"/>
  <c r="H251" i="2"/>
  <c r="E251" i="2"/>
  <c r="D251" i="2"/>
  <c r="C251" i="2"/>
  <c r="B251" i="2"/>
  <c r="A251" i="2"/>
  <c r="H250" i="2"/>
  <c r="E250" i="2"/>
  <c r="D250" i="2"/>
  <c r="C250" i="2"/>
  <c r="B250" i="2"/>
  <c r="A250" i="2"/>
  <c r="H249" i="2"/>
  <c r="E249" i="2"/>
  <c r="D249" i="2"/>
  <c r="C249" i="2"/>
  <c r="B249" i="2"/>
  <c r="A249" i="2"/>
  <c r="H248" i="2"/>
  <c r="E248" i="2"/>
  <c r="D248" i="2"/>
  <c r="C248" i="2"/>
  <c r="B248" i="2"/>
  <c r="A248" i="2"/>
  <c r="H247" i="2"/>
  <c r="E247" i="2"/>
  <c r="D247" i="2"/>
  <c r="C247" i="2"/>
  <c r="B247" i="2"/>
  <c r="A247" i="2"/>
  <c r="H246" i="2"/>
  <c r="E246" i="2"/>
  <c r="D246" i="2"/>
  <c r="C246" i="2"/>
  <c r="B246" i="2"/>
  <c r="A246" i="2"/>
  <c r="H245" i="2"/>
  <c r="E245" i="2"/>
  <c r="D245" i="2"/>
  <c r="C245" i="2"/>
  <c r="B245" i="2"/>
  <c r="A245" i="2"/>
  <c r="H244" i="2"/>
  <c r="E244" i="2"/>
  <c r="D244" i="2"/>
  <c r="C244" i="2"/>
  <c r="B244" i="2"/>
  <c r="A244" i="2"/>
  <c r="H243" i="2"/>
  <c r="E243" i="2"/>
  <c r="D243" i="2"/>
  <c r="C243" i="2"/>
  <c r="B243" i="2"/>
  <c r="A243" i="2"/>
  <c r="H242" i="2"/>
  <c r="E242" i="2"/>
  <c r="D242" i="2"/>
  <c r="C242" i="2"/>
  <c r="B242" i="2"/>
  <c r="A242" i="2"/>
  <c r="H241" i="2"/>
  <c r="E241" i="2"/>
  <c r="D241" i="2"/>
  <c r="C241" i="2"/>
  <c r="B241" i="2"/>
  <c r="A241" i="2"/>
  <c r="H240" i="2"/>
  <c r="E240" i="2"/>
  <c r="D240" i="2"/>
  <c r="C240" i="2"/>
  <c r="B240" i="2"/>
  <c r="A240" i="2"/>
  <c r="H239" i="2"/>
  <c r="E239" i="2"/>
  <c r="D239" i="2"/>
  <c r="C239" i="2"/>
  <c r="B239" i="2"/>
  <c r="A239" i="2"/>
  <c r="H238" i="2"/>
  <c r="E238" i="2"/>
  <c r="D238" i="2"/>
  <c r="C238" i="2"/>
  <c r="B238" i="2"/>
  <c r="A238" i="2"/>
  <c r="H237" i="2"/>
  <c r="E237" i="2"/>
  <c r="D237" i="2"/>
  <c r="C237" i="2"/>
  <c r="B237" i="2"/>
  <c r="A237" i="2"/>
  <c r="H236" i="2"/>
  <c r="E236" i="2"/>
  <c r="D236" i="2"/>
  <c r="C236" i="2"/>
  <c r="B236" i="2"/>
  <c r="A236" i="2"/>
  <c r="H235" i="2"/>
  <c r="E235" i="2"/>
  <c r="D235" i="2"/>
  <c r="C235" i="2"/>
  <c r="B235" i="2"/>
  <c r="A235" i="2"/>
  <c r="H234" i="2"/>
  <c r="E234" i="2"/>
  <c r="D234" i="2"/>
  <c r="C234" i="2"/>
  <c r="B234" i="2"/>
  <c r="A234" i="2"/>
  <c r="H233" i="2"/>
  <c r="E233" i="2"/>
  <c r="D233" i="2"/>
  <c r="C233" i="2"/>
  <c r="B233" i="2"/>
  <c r="A233" i="2"/>
  <c r="H232" i="2"/>
  <c r="E232" i="2"/>
  <c r="D232" i="2"/>
  <c r="C232" i="2"/>
  <c r="B232" i="2"/>
  <c r="A232" i="2"/>
  <c r="H231" i="2"/>
  <c r="E231" i="2"/>
  <c r="D231" i="2"/>
  <c r="C231" i="2"/>
  <c r="B231" i="2"/>
  <c r="A231" i="2"/>
  <c r="H230" i="2"/>
  <c r="E230" i="2"/>
  <c r="D230" i="2"/>
  <c r="C230" i="2"/>
  <c r="B230" i="2"/>
  <c r="A230" i="2"/>
  <c r="H229" i="2"/>
  <c r="E229" i="2"/>
  <c r="D229" i="2"/>
  <c r="C229" i="2"/>
  <c r="B229" i="2"/>
  <c r="A229" i="2"/>
  <c r="H228" i="2"/>
  <c r="E228" i="2"/>
  <c r="D228" i="2"/>
  <c r="C228" i="2"/>
  <c r="B228" i="2"/>
  <c r="A228" i="2"/>
  <c r="H227" i="2"/>
  <c r="E227" i="2"/>
  <c r="D227" i="2"/>
  <c r="C227" i="2"/>
  <c r="B227" i="2"/>
  <c r="A227" i="2"/>
  <c r="H226" i="2"/>
  <c r="E226" i="2"/>
  <c r="D226" i="2"/>
  <c r="C226" i="2"/>
  <c r="B226" i="2"/>
  <c r="A226" i="2"/>
  <c r="H225" i="2"/>
  <c r="E225" i="2"/>
  <c r="D225" i="2"/>
  <c r="C225" i="2"/>
  <c r="B225" i="2"/>
  <c r="A225" i="2"/>
  <c r="H224" i="2"/>
  <c r="E224" i="2"/>
  <c r="D224" i="2"/>
  <c r="C224" i="2"/>
  <c r="B224" i="2"/>
  <c r="A224" i="2"/>
  <c r="H223" i="2"/>
  <c r="E223" i="2"/>
  <c r="D223" i="2"/>
  <c r="C223" i="2"/>
  <c r="B223" i="2"/>
  <c r="A223" i="2"/>
  <c r="H222" i="2"/>
  <c r="E222" i="2"/>
  <c r="D222" i="2"/>
  <c r="C222" i="2"/>
  <c r="B222" i="2"/>
  <c r="A222" i="2"/>
  <c r="H221" i="2"/>
  <c r="E221" i="2"/>
  <c r="D221" i="2"/>
  <c r="C221" i="2"/>
  <c r="B221" i="2"/>
  <c r="A221" i="2"/>
  <c r="H220" i="2"/>
  <c r="E220" i="2"/>
  <c r="D220" i="2"/>
  <c r="C220" i="2"/>
  <c r="B220" i="2"/>
  <c r="A220" i="2"/>
  <c r="H219" i="2"/>
  <c r="E219" i="2"/>
  <c r="D219" i="2"/>
  <c r="C219" i="2"/>
  <c r="B219" i="2"/>
  <c r="A219" i="2"/>
  <c r="H218" i="2"/>
  <c r="E218" i="2"/>
  <c r="D218" i="2"/>
  <c r="C218" i="2"/>
  <c r="B218" i="2"/>
  <c r="A218" i="2"/>
  <c r="H217" i="2"/>
  <c r="E217" i="2"/>
  <c r="D217" i="2"/>
  <c r="C217" i="2"/>
  <c r="B217" i="2"/>
  <c r="A217" i="2"/>
  <c r="H216" i="2"/>
  <c r="E216" i="2"/>
  <c r="D216" i="2"/>
  <c r="C216" i="2"/>
  <c r="B216" i="2"/>
  <c r="A216" i="2"/>
  <c r="H215" i="2"/>
  <c r="E215" i="2"/>
  <c r="D215" i="2"/>
  <c r="C215" i="2"/>
  <c r="B215" i="2"/>
  <c r="A215" i="2"/>
  <c r="H214" i="2"/>
  <c r="E214" i="2"/>
  <c r="D214" i="2"/>
  <c r="C214" i="2"/>
  <c r="B214" i="2"/>
  <c r="A214" i="2"/>
  <c r="H213" i="2"/>
  <c r="E213" i="2"/>
  <c r="D213" i="2"/>
  <c r="C213" i="2"/>
  <c r="B213" i="2"/>
  <c r="A213" i="2"/>
  <c r="H212" i="2"/>
  <c r="E212" i="2"/>
  <c r="D212" i="2"/>
  <c r="C212" i="2"/>
  <c r="B212" i="2"/>
  <c r="A212" i="2"/>
  <c r="H211" i="2"/>
  <c r="E211" i="2"/>
  <c r="D211" i="2"/>
  <c r="C211" i="2"/>
  <c r="B211" i="2"/>
  <c r="A211" i="2"/>
  <c r="H210" i="2"/>
  <c r="E210" i="2"/>
  <c r="D210" i="2"/>
  <c r="C210" i="2"/>
  <c r="B210" i="2"/>
  <c r="A210" i="2"/>
  <c r="H209" i="2"/>
  <c r="E209" i="2"/>
  <c r="D209" i="2"/>
  <c r="C209" i="2"/>
  <c r="B209" i="2"/>
  <c r="A209" i="2"/>
  <c r="H208" i="2"/>
  <c r="E208" i="2"/>
  <c r="D208" i="2"/>
  <c r="C208" i="2"/>
  <c r="B208" i="2"/>
  <c r="A208" i="2"/>
  <c r="H207" i="2"/>
  <c r="E207" i="2"/>
  <c r="D207" i="2"/>
  <c r="C207" i="2"/>
  <c r="B207" i="2"/>
  <c r="A207" i="2"/>
  <c r="H206" i="2"/>
  <c r="E206" i="2"/>
  <c r="D206" i="2"/>
  <c r="C206" i="2"/>
  <c r="B206" i="2"/>
  <c r="A206" i="2"/>
  <c r="H205" i="2"/>
  <c r="E205" i="2"/>
  <c r="D205" i="2"/>
  <c r="C205" i="2"/>
  <c r="B205" i="2"/>
  <c r="A205" i="2"/>
  <c r="H204" i="2"/>
  <c r="E204" i="2"/>
  <c r="D204" i="2"/>
  <c r="C204" i="2"/>
  <c r="B204" i="2"/>
  <c r="A204" i="2"/>
  <c r="H203" i="2"/>
  <c r="E203" i="2"/>
  <c r="D203" i="2"/>
  <c r="C203" i="2"/>
  <c r="B203" i="2"/>
  <c r="A203" i="2"/>
  <c r="H202" i="2"/>
  <c r="E202" i="2"/>
  <c r="D202" i="2"/>
  <c r="C202" i="2"/>
  <c r="B202" i="2"/>
  <c r="A202" i="2"/>
  <c r="H201" i="2"/>
  <c r="E201" i="2"/>
  <c r="D201" i="2"/>
  <c r="C201" i="2"/>
  <c r="B201" i="2"/>
  <c r="A201" i="2"/>
  <c r="H200" i="2"/>
  <c r="E200" i="2"/>
  <c r="D200" i="2"/>
  <c r="C200" i="2"/>
  <c r="B200" i="2"/>
  <c r="A200" i="2"/>
  <c r="H199" i="2"/>
  <c r="E199" i="2"/>
  <c r="D199" i="2"/>
  <c r="C199" i="2"/>
  <c r="B199" i="2"/>
  <c r="A199" i="2"/>
  <c r="H198" i="2"/>
  <c r="E198" i="2"/>
  <c r="D198" i="2"/>
  <c r="C198" i="2"/>
  <c r="B198" i="2"/>
  <c r="A198" i="2"/>
  <c r="H197" i="2"/>
  <c r="E197" i="2"/>
  <c r="D197" i="2"/>
  <c r="C197" i="2"/>
  <c r="B197" i="2"/>
  <c r="A197" i="2"/>
  <c r="H196" i="2"/>
  <c r="E196" i="2"/>
  <c r="D196" i="2"/>
  <c r="C196" i="2"/>
  <c r="B196" i="2"/>
  <c r="A196" i="2"/>
  <c r="H195" i="2"/>
  <c r="E195" i="2"/>
  <c r="D195" i="2"/>
  <c r="C195" i="2"/>
  <c r="B195" i="2"/>
  <c r="A195" i="2"/>
  <c r="H194" i="2"/>
  <c r="E194" i="2"/>
  <c r="D194" i="2"/>
  <c r="C194" i="2"/>
  <c r="B194" i="2"/>
  <c r="A194" i="2"/>
  <c r="H193" i="2"/>
  <c r="E193" i="2"/>
  <c r="D193" i="2"/>
  <c r="C193" i="2"/>
  <c r="B193" i="2"/>
  <c r="A193" i="2"/>
  <c r="H192" i="2"/>
  <c r="E192" i="2"/>
  <c r="D192" i="2"/>
  <c r="C192" i="2"/>
  <c r="B192" i="2"/>
  <c r="A192" i="2"/>
  <c r="H191" i="2"/>
  <c r="E191" i="2"/>
  <c r="D191" i="2"/>
  <c r="C191" i="2"/>
  <c r="B191" i="2"/>
  <c r="A191" i="2"/>
  <c r="H190" i="2"/>
  <c r="E190" i="2"/>
  <c r="D190" i="2"/>
  <c r="C190" i="2"/>
  <c r="B190" i="2"/>
  <c r="A190" i="2"/>
  <c r="H189" i="2"/>
  <c r="E189" i="2"/>
  <c r="D189" i="2"/>
  <c r="C189" i="2"/>
  <c r="B189" i="2"/>
  <c r="A189" i="2"/>
  <c r="H188" i="2"/>
  <c r="E188" i="2"/>
  <c r="D188" i="2"/>
  <c r="C188" i="2"/>
  <c r="B188" i="2"/>
  <c r="A188" i="2"/>
  <c r="H187" i="2"/>
  <c r="E187" i="2"/>
  <c r="D187" i="2"/>
  <c r="C187" i="2"/>
  <c r="B187" i="2"/>
  <c r="A187" i="2"/>
  <c r="H186" i="2"/>
  <c r="E186" i="2"/>
  <c r="D186" i="2"/>
  <c r="C186" i="2"/>
  <c r="B186" i="2"/>
  <c r="A186" i="2"/>
  <c r="H185" i="2"/>
  <c r="E185" i="2"/>
  <c r="D185" i="2"/>
  <c r="C185" i="2"/>
  <c r="B185" i="2"/>
  <c r="A185" i="2"/>
  <c r="H184" i="2"/>
  <c r="E184" i="2"/>
  <c r="D184" i="2"/>
  <c r="C184" i="2"/>
  <c r="B184" i="2"/>
  <c r="A184" i="2"/>
  <c r="H183" i="2"/>
  <c r="E183" i="2"/>
  <c r="D183" i="2"/>
  <c r="C183" i="2"/>
  <c r="B183" i="2"/>
  <c r="A183" i="2"/>
  <c r="H182" i="2"/>
  <c r="E182" i="2"/>
  <c r="D182" i="2"/>
  <c r="C182" i="2"/>
  <c r="B182" i="2"/>
  <c r="A182" i="2"/>
  <c r="H181" i="2"/>
  <c r="E181" i="2"/>
  <c r="D181" i="2"/>
  <c r="C181" i="2"/>
  <c r="B181" i="2"/>
  <c r="A181" i="2"/>
  <c r="H180" i="2"/>
  <c r="E180" i="2"/>
  <c r="D180" i="2"/>
  <c r="C180" i="2"/>
  <c r="B180" i="2"/>
  <c r="A180" i="2"/>
  <c r="H179" i="2"/>
  <c r="E179" i="2"/>
  <c r="D179" i="2"/>
  <c r="C179" i="2"/>
  <c r="B179" i="2"/>
  <c r="A179" i="2"/>
  <c r="H178" i="2"/>
  <c r="E178" i="2"/>
  <c r="D178" i="2"/>
  <c r="C178" i="2"/>
  <c r="B178" i="2"/>
  <c r="A178" i="2"/>
  <c r="H177" i="2"/>
  <c r="E177" i="2"/>
  <c r="D177" i="2"/>
  <c r="C177" i="2"/>
  <c r="B177" i="2"/>
  <c r="A177" i="2"/>
  <c r="H176" i="2"/>
  <c r="E176" i="2"/>
  <c r="D176" i="2"/>
  <c r="C176" i="2"/>
  <c r="B176" i="2"/>
  <c r="A176" i="2"/>
  <c r="H175" i="2"/>
  <c r="E175" i="2"/>
  <c r="D175" i="2"/>
  <c r="C175" i="2"/>
  <c r="B175" i="2"/>
  <c r="A175" i="2"/>
  <c r="H174" i="2"/>
  <c r="E174" i="2"/>
  <c r="D174" i="2"/>
  <c r="C174" i="2"/>
  <c r="B174" i="2"/>
  <c r="A174" i="2"/>
  <c r="H173" i="2"/>
  <c r="E173" i="2"/>
  <c r="D173" i="2"/>
  <c r="C173" i="2"/>
  <c r="B173" i="2"/>
  <c r="A173" i="2"/>
  <c r="H172" i="2"/>
  <c r="E172" i="2"/>
  <c r="D172" i="2"/>
  <c r="C172" i="2"/>
  <c r="B172" i="2"/>
  <c r="A172" i="2"/>
  <c r="H171" i="2"/>
  <c r="E171" i="2"/>
  <c r="D171" i="2"/>
  <c r="C171" i="2"/>
  <c r="B171" i="2"/>
  <c r="A171" i="2"/>
  <c r="H170" i="2"/>
  <c r="E170" i="2"/>
  <c r="D170" i="2"/>
  <c r="C170" i="2"/>
  <c r="B170" i="2"/>
  <c r="A170" i="2"/>
  <c r="H169" i="2"/>
  <c r="E169" i="2"/>
  <c r="D169" i="2"/>
  <c r="C169" i="2"/>
  <c r="B169" i="2"/>
  <c r="A169" i="2"/>
  <c r="H168" i="2"/>
  <c r="E168" i="2"/>
  <c r="D168" i="2"/>
  <c r="C168" i="2"/>
  <c r="B168" i="2"/>
  <c r="A168" i="2"/>
  <c r="H167" i="2"/>
  <c r="E167" i="2"/>
  <c r="D167" i="2"/>
  <c r="C167" i="2"/>
  <c r="B167" i="2"/>
  <c r="A167" i="2"/>
  <c r="H166" i="2"/>
  <c r="E166" i="2"/>
  <c r="D166" i="2"/>
  <c r="C166" i="2"/>
  <c r="B166" i="2"/>
  <c r="A166" i="2"/>
  <c r="H165" i="2"/>
  <c r="E165" i="2"/>
  <c r="D165" i="2"/>
  <c r="C165" i="2"/>
  <c r="B165" i="2"/>
  <c r="A165" i="2"/>
  <c r="H164" i="2"/>
  <c r="E164" i="2"/>
  <c r="D164" i="2"/>
  <c r="C164" i="2"/>
  <c r="B164" i="2"/>
  <c r="A164" i="2"/>
  <c r="H163" i="2"/>
  <c r="E163" i="2"/>
  <c r="D163" i="2"/>
  <c r="C163" i="2"/>
  <c r="B163" i="2"/>
  <c r="A163" i="2"/>
  <c r="H162" i="2"/>
  <c r="E162" i="2"/>
  <c r="D162" i="2"/>
  <c r="C162" i="2"/>
  <c r="B162" i="2"/>
  <c r="A162" i="2"/>
  <c r="H161" i="2"/>
  <c r="E161" i="2"/>
  <c r="D161" i="2"/>
  <c r="C161" i="2"/>
  <c r="B161" i="2"/>
  <c r="A161" i="2"/>
  <c r="H160" i="2"/>
  <c r="E160" i="2"/>
  <c r="D160" i="2"/>
  <c r="C160" i="2"/>
  <c r="B160" i="2"/>
  <c r="A160" i="2"/>
  <c r="H159" i="2"/>
  <c r="E159" i="2"/>
  <c r="D159" i="2"/>
  <c r="C159" i="2"/>
  <c r="B159" i="2"/>
  <c r="A159" i="2"/>
  <c r="H158" i="2"/>
  <c r="E158" i="2"/>
  <c r="D158" i="2"/>
  <c r="C158" i="2"/>
  <c r="B158" i="2"/>
  <c r="A158" i="2"/>
  <c r="H157" i="2"/>
  <c r="E157" i="2"/>
  <c r="D157" i="2"/>
  <c r="C157" i="2"/>
  <c r="B157" i="2"/>
  <c r="A157" i="2"/>
  <c r="H156" i="2"/>
  <c r="E156" i="2"/>
  <c r="D156" i="2"/>
  <c r="C156" i="2"/>
  <c r="B156" i="2"/>
  <c r="A156" i="2"/>
  <c r="H155" i="2"/>
  <c r="E155" i="2"/>
  <c r="D155" i="2"/>
  <c r="C155" i="2"/>
  <c r="B155" i="2"/>
  <c r="A155" i="2"/>
  <c r="H154" i="2"/>
  <c r="E154" i="2"/>
  <c r="D154" i="2"/>
  <c r="C154" i="2"/>
  <c r="B154" i="2"/>
  <c r="A154" i="2"/>
  <c r="H153" i="2"/>
  <c r="E153" i="2"/>
  <c r="D153" i="2"/>
  <c r="C153" i="2"/>
  <c r="B153" i="2"/>
  <c r="A153" i="2"/>
  <c r="H152" i="2"/>
  <c r="E152" i="2"/>
  <c r="D152" i="2"/>
  <c r="C152" i="2"/>
  <c r="B152" i="2"/>
  <c r="A152" i="2"/>
  <c r="H151" i="2"/>
  <c r="E151" i="2"/>
  <c r="D151" i="2"/>
  <c r="C151" i="2"/>
  <c r="B151" i="2"/>
  <c r="A151" i="2"/>
  <c r="H150" i="2"/>
  <c r="E150" i="2"/>
  <c r="D150" i="2"/>
  <c r="C150" i="2"/>
  <c r="B150" i="2"/>
  <c r="A150" i="2"/>
  <c r="H149" i="2"/>
  <c r="E149" i="2"/>
  <c r="D149" i="2"/>
  <c r="C149" i="2"/>
  <c r="B149" i="2"/>
  <c r="A149" i="2"/>
  <c r="H148" i="2"/>
  <c r="E148" i="2"/>
  <c r="D148" i="2"/>
  <c r="C148" i="2"/>
  <c r="B148" i="2"/>
  <c r="A148" i="2"/>
  <c r="H147" i="2"/>
  <c r="E147" i="2"/>
  <c r="D147" i="2"/>
  <c r="C147" i="2"/>
  <c r="B147" i="2"/>
  <c r="A147" i="2"/>
  <c r="H146" i="2"/>
  <c r="E146" i="2"/>
  <c r="D146" i="2"/>
  <c r="C146" i="2"/>
  <c r="B146" i="2"/>
  <c r="A146" i="2"/>
  <c r="H145" i="2"/>
  <c r="E145" i="2"/>
  <c r="D145" i="2"/>
  <c r="C145" i="2"/>
  <c r="B145" i="2"/>
  <c r="A145" i="2"/>
  <c r="H144" i="2"/>
  <c r="E144" i="2"/>
  <c r="D144" i="2"/>
  <c r="C144" i="2"/>
  <c r="B144" i="2"/>
  <c r="A144" i="2"/>
  <c r="H143" i="2"/>
  <c r="E143" i="2"/>
  <c r="D143" i="2"/>
  <c r="C143" i="2"/>
  <c r="B143" i="2"/>
  <c r="A143" i="2"/>
  <c r="H142" i="2"/>
  <c r="E142" i="2"/>
  <c r="D142" i="2"/>
  <c r="C142" i="2"/>
  <c r="B142" i="2"/>
  <c r="A142" i="2"/>
  <c r="H141" i="2"/>
  <c r="E141" i="2"/>
  <c r="D141" i="2"/>
  <c r="C141" i="2"/>
  <c r="B141" i="2"/>
  <c r="A141" i="2"/>
  <c r="H140" i="2"/>
  <c r="E140" i="2"/>
  <c r="D140" i="2"/>
  <c r="C140" i="2"/>
  <c r="B140" i="2"/>
  <c r="A140" i="2"/>
  <c r="H139" i="2"/>
  <c r="E139" i="2"/>
  <c r="D139" i="2"/>
  <c r="C139" i="2"/>
  <c r="B139" i="2"/>
  <c r="A139" i="2"/>
  <c r="H138" i="2"/>
  <c r="E138" i="2"/>
  <c r="D138" i="2"/>
  <c r="C138" i="2"/>
  <c r="B138" i="2"/>
  <c r="A138" i="2"/>
  <c r="H137" i="2"/>
  <c r="E137" i="2"/>
  <c r="D137" i="2"/>
  <c r="C137" i="2"/>
  <c r="B137" i="2"/>
  <c r="A137" i="2"/>
  <c r="H136" i="2"/>
  <c r="E136" i="2"/>
  <c r="D136" i="2"/>
  <c r="C136" i="2"/>
  <c r="B136" i="2"/>
  <c r="A136" i="2"/>
  <c r="H135" i="2"/>
  <c r="E135" i="2"/>
  <c r="D135" i="2"/>
  <c r="C135" i="2"/>
  <c r="B135" i="2"/>
  <c r="A135" i="2"/>
  <c r="H134" i="2"/>
  <c r="E134" i="2"/>
  <c r="D134" i="2"/>
  <c r="C134" i="2"/>
  <c r="B134" i="2"/>
  <c r="A134" i="2"/>
  <c r="H133" i="2"/>
  <c r="E133" i="2"/>
  <c r="D133" i="2"/>
  <c r="C133" i="2"/>
  <c r="B133" i="2"/>
  <c r="A133" i="2"/>
  <c r="H132" i="2"/>
  <c r="E132" i="2"/>
  <c r="D132" i="2"/>
  <c r="C132" i="2"/>
  <c r="B132" i="2"/>
  <c r="A132" i="2"/>
  <c r="H131" i="2"/>
  <c r="E131" i="2"/>
  <c r="D131" i="2"/>
  <c r="C131" i="2"/>
  <c r="B131" i="2"/>
  <c r="A131" i="2"/>
  <c r="H130" i="2"/>
  <c r="E130" i="2"/>
  <c r="D130" i="2"/>
  <c r="C130" i="2"/>
  <c r="B130" i="2"/>
  <c r="A130" i="2"/>
  <c r="H129" i="2"/>
  <c r="E129" i="2"/>
  <c r="D129" i="2"/>
  <c r="C129" i="2"/>
  <c r="B129" i="2"/>
  <c r="A129" i="2"/>
  <c r="H128" i="2"/>
  <c r="E128" i="2"/>
  <c r="D128" i="2"/>
  <c r="C128" i="2"/>
  <c r="B128" i="2"/>
  <c r="A128" i="2"/>
  <c r="H127" i="2"/>
  <c r="E127" i="2"/>
  <c r="D127" i="2"/>
  <c r="C127" i="2"/>
  <c r="B127" i="2"/>
  <c r="A127" i="2"/>
  <c r="H126" i="2"/>
  <c r="E126" i="2"/>
  <c r="D126" i="2"/>
  <c r="C126" i="2"/>
  <c r="B126" i="2"/>
  <c r="A126" i="2"/>
  <c r="H125" i="2"/>
  <c r="E125" i="2"/>
  <c r="D125" i="2"/>
  <c r="C125" i="2"/>
  <c r="B125" i="2"/>
  <c r="A125" i="2"/>
  <c r="H124" i="2"/>
  <c r="E124" i="2"/>
  <c r="D124" i="2"/>
  <c r="C124" i="2"/>
  <c r="B124" i="2"/>
  <c r="A124" i="2"/>
  <c r="H123" i="2"/>
  <c r="E123" i="2"/>
  <c r="D123" i="2"/>
  <c r="C123" i="2"/>
  <c r="B123" i="2"/>
  <c r="A123" i="2"/>
  <c r="H122" i="2"/>
  <c r="E122" i="2"/>
  <c r="D122" i="2"/>
  <c r="C122" i="2"/>
  <c r="B122" i="2"/>
  <c r="A122" i="2"/>
  <c r="H121" i="2"/>
  <c r="E121" i="2"/>
  <c r="D121" i="2"/>
  <c r="C121" i="2"/>
  <c r="B121" i="2"/>
  <c r="A121" i="2"/>
  <c r="H120" i="2"/>
  <c r="E120" i="2"/>
  <c r="D120" i="2"/>
  <c r="C120" i="2"/>
  <c r="B120" i="2"/>
  <c r="A120" i="2"/>
  <c r="H119" i="2"/>
  <c r="E119" i="2"/>
  <c r="D119" i="2"/>
  <c r="C119" i="2"/>
  <c r="B119" i="2"/>
  <c r="A119" i="2"/>
  <c r="H118" i="2"/>
  <c r="E118" i="2"/>
  <c r="D118" i="2"/>
  <c r="C118" i="2"/>
  <c r="B118" i="2"/>
  <c r="A118" i="2"/>
  <c r="H117" i="2"/>
  <c r="E117" i="2"/>
  <c r="D117" i="2"/>
  <c r="C117" i="2"/>
  <c r="B117" i="2"/>
  <c r="A117" i="2"/>
  <c r="H116" i="2"/>
  <c r="E116" i="2"/>
  <c r="D116" i="2"/>
  <c r="C116" i="2"/>
  <c r="B116" i="2"/>
  <c r="A116" i="2"/>
  <c r="H115" i="2"/>
  <c r="E115" i="2"/>
  <c r="D115" i="2"/>
  <c r="C115" i="2"/>
  <c r="B115" i="2"/>
  <c r="A115" i="2"/>
  <c r="H114" i="2"/>
  <c r="E114" i="2"/>
  <c r="D114" i="2"/>
  <c r="C114" i="2"/>
  <c r="B114" i="2"/>
  <c r="A114" i="2"/>
  <c r="H113" i="2"/>
  <c r="E113" i="2"/>
  <c r="D113" i="2"/>
  <c r="C113" i="2"/>
  <c r="B113" i="2"/>
  <c r="A113" i="2"/>
  <c r="H112" i="2"/>
  <c r="E112" i="2"/>
  <c r="D112" i="2"/>
  <c r="C112" i="2"/>
  <c r="B112" i="2"/>
  <c r="A112" i="2"/>
  <c r="H111" i="2"/>
  <c r="E111" i="2"/>
  <c r="D111" i="2"/>
  <c r="C111" i="2"/>
  <c r="B111" i="2"/>
  <c r="A111" i="2"/>
  <c r="H110" i="2"/>
  <c r="E110" i="2"/>
  <c r="D110" i="2"/>
  <c r="C110" i="2"/>
  <c r="B110" i="2"/>
  <c r="A110" i="2"/>
  <c r="H109" i="2"/>
  <c r="E109" i="2"/>
  <c r="D109" i="2"/>
  <c r="C109" i="2"/>
  <c r="B109" i="2"/>
  <c r="A109" i="2"/>
  <c r="H108" i="2"/>
  <c r="E108" i="2"/>
  <c r="D108" i="2"/>
  <c r="C108" i="2"/>
  <c r="B108" i="2"/>
  <c r="A108" i="2"/>
  <c r="H107" i="2"/>
  <c r="E107" i="2"/>
  <c r="D107" i="2"/>
  <c r="C107" i="2"/>
  <c r="B107" i="2"/>
  <c r="A107" i="2"/>
  <c r="H106" i="2"/>
  <c r="E106" i="2"/>
  <c r="D106" i="2"/>
  <c r="C106" i="2"/>
  <c r="B106" i="2"/>
  <c r="A106" i="2"/>
  <c r="H105" i="2"/>
  <c r="E105" i="2"/>
  <c r="D105" i="2"/>
  <c r="C105" i="2"/>
  <c r="B105" i="2"/>
  <c r="A105" i="2"/>
  <c r="H104" i="2"/>
  <c r="E104" i="2"/>
  <c r="D104" i="2"/>
  <c r="C104" i="2"/>
  <c r="B104" i="2"/>
  <c r="A104" i="2"/>
  <c r="H103" i="2"/>
  <c r="E103" i="2"/>
  <c r="D103" i="2"/>
  <c r="C103" i="2"/>
  <c r="B103" i="2"/>
  <c r="A103" i="2"/>
  <c r="H102" i="2"/>
  <c r="E102" i="2"/>
  <c r="D102" i="2"/>
  <c r="C102" i="2"/>
  <c r="B102" i="2"/>
  <c r="A102" i="2"/>
  <c r="H101" i="2"/>
  <c r="E101" i="2"/>
  <c r="D101" i="2"/>
  <c r="C101" i="2"/>
  <c r="B101" i="2"/>
  <c r="A101" i="2"/>
  <c r="H100" i="2"/>
  <c r="E100" i="2"/>
  <c r="D100" i="2"/>
  <c r="C100" i="2"/>
  <c r="B100" i="2"/>
  <c r="A100" i="2"/>
  <c r="H99" i="2"/>
  <c r="E99" i="2"/>
  <c r="D99" i="2"/>
  <c r="C99" i="2"/>
  <c r="B99" i="2"/>
  <c r="A99" i="2"/>
  <c r="H98" i="2"/>
  <c r="E98" i="2"/>
  <c r="D98" i="2"/>
  <c r="C98" i="2"/>
  <c r="B98" i="2"/>
  <c r="A98" i="2"/>
  <c r="H97" i="2"/>
  <c r="E97" i="2"/>
  <c r="D97" i="2"/>
  <c r="C97" i="2"/>
  <c r="B97" i="2"/>
  <c r="A97" i="2"/>
  <c r="H96" i="2"/>
  <c r="E96" i="2"/>
  <c r="D96" i="2"/>
  <c r="C96" i="2"/>
  <c r="B96" i="2"/>
  <c r="A96" i="2"/>
  <c r="H95" i="2"/>
  <c r="E95" i="2"/>
  <c r="D95" i="2"/>
  <c r="C95" i="2"/>
  <c r="B95" i="2"/>
  <c r="A95" i="2"/>
  <c r="H94" i="2"/>
  <c r="E94" i="2"/>
  <c r="D94" i="2"/>
  <c r="C94" i="2"/>
  <c r="B94" i="2"/>
  <c r="A94" i="2"/>
  <c r="H93" i="2"/>
  <c r="E93" i="2"/>
  <c r="D93" i="2"/>
  <c r="C93" i="2"/>
  <c r="B93" i="2"/>
  <c r="A93" i="2"/>
  <c r="H92" i="2"/>
  <c r="E92" i="2"/>
  <c r="D92" i="2"/>
  <c r="C92" i="2"/>
  <c r="B92" i="2"/>
  <c r="A92" i="2"/>
  <c r="H91" i="2"/>
  <c r="E91" i="2"/>
  <c r="D91" i="2"/>
  <c r="C91" i="2"/>
  <c r="B91" i="2"/>
  <c r="A91" i="2"/>
  <c r="H90" i="2"/>
  <c r="E90" i="2"/>
  <c r="D90" i="2"/>
  <c r="C90" i="2"/>
  <c r="B90" i="2"/>
  <c r="A90" i="2"/>
  <c r="H89" i="2"/>
  <c r="E89" i="2"/>
  <c r="D89" i="2"/>
  <c r="C89" i="2"/>
  <c r="B89" i="2"/>
  <c r="A89" i="2"/>
  <c r="H88" i="2"/>
  <c r="E88" i="2"/>
  <c r="D88" i="2"/>
  <c r="C88" i="2"/>
  <c r="B88" i="2"/>
  <c r="A88" i="2"/>
  <c r="H87" i="2"/>
  <c r="E87" i="2"/>
  <c r="D87" i="2"/>
  <c r="C87" i="2"/>
  <c r="B87" i="2"/>
  <c r="A87" i="2"/>
  <c r="H86" i="2"/>
  <c r="E86" i="2"/>
  <c r="D86" i="2"/>
  <c r="C86" i="2"/>
  <c r="B86" i="2"/>
  <c r="A86" i="2"/>
  <c r="H85" i="2"/>
  <c r="E85" i="2"/>
  <c r="D85" i="2"/>
  <c r="C85" i="2"/>
  <c r="B85" i="2"/>
  <c r="A85" i="2"/>
  <c r="H84" i="2"/>
  <c r="E84" i="2"/>
  <c r="D84" i="2"/>
  <c r="C84" i="2"/>
  <c r="B84" i="2"/>
  <c r="A84" i="2"/>
  <c r="H83" i="2"/>
  <c r="E83" i="2"/>
  <c r="D83" i="2"/>
  <c r="C83" i="2"/>
  <c r="B83" i="2"/>
  <c r="A83" i="2"/>
  <c r="E82" i="2"/>
  <c r="D82" i="2"/>
  <c r="C82" i="2"/>
  <c r="B82" i="2"/>
  <c r="A82" i="2"/>
  <c r="E81" i="2"/>
  <c r="D81" i="2"/>
  <c r="H81" i="2" s="1"/>
  <c r="C81" i="2"/>
  <c r="B81" i="2"/>
  <c r="A81" i="2"/>
  <c r="E80" i="2"/>
  <c r="H80" i="2" s="1"/>
  <c r="D80" i="2"/>
  <c r="C80" i="2"/>
  <c r="B80" i="2"/>
  <c r="A80" i="2"/>
  <c r="E79" i="2"/>
  <c r="D79" i="2"/>
  <c r="H79" i="2" s="1"/>
  <c r="C79" i="2"/>
  <c r="B79" i="2"/>
  <c r="A79" i="2"/>
  <c r="E78" i="2"/>
  <c r="H78" i="2" s="1"/>
  <c r="D78" i="2"/>
  <c r="C78" i="2"/>
  <c r="B78" i="2"/>
  <c r="A78" i="2"/>
  <c r="E77" i="2"/>
  <c r="D77" i="2"/>
  <c r="H77" i="2" s="1"/>
  <c r="C77" i="2"/>
  <c r="B77" i="2"/>
  <c r="A77" i="2"/>
  <c r="E76" i="2"/>
  <c r="H76" i="2" s="1"/>
  <c r="D76" i="2"/>
  <c r="C76" i="2"/>
  <c r="B76" i="2"/>
  <c r="A76" i="2"/>
  <c r="E75" i="2"/>
  <c r="D75" i="2"/>
  <c r="H75" i="2" s="1"/>
  <c r="C75" i="2"/>
  <c r="B75" i="2"/>
  <c r="A75" i="2"/>
  <c r="E74" i="2"/>
  <c r="H74" i="2" s="1"/>
  <c r="D74" i="2"/>
  <c r="C74" i="2"/>
  <c r="B74" i="2"/>
  <c r="A74" i="2"/>
  <c r="E73" i="2"/>
  <c r="D73" i="2"/>
  <c r="H73" i="2" s="1"/>
  <c r="C73" i="2"/>
  <c r="B73" i="2"/>
  <c r="A73" i="2"/>
  <c r="E72" i="2"/>
  <c r="H72" i="2" s="1"/>
  <c r="D72" i="2"/>
  <c r="C72" i="2"/>
  <c r="B72" i="2"/>
  <c r="A72" i="2"/>
  <c r="E71" i="2"/>
  <c r="D71" i="2"/>
  <c r="H71" i="2" s="1"/>
  <c r="C71" i="2"/>
  <c r="B71" i="2"/>
  <c r="A71" i="2"/>
  <c r="E70" i="2"/>
  <c r="H70" i="2" s="1"/>
  <c r="D70" i="2"/>
  <c r="C70" i="2"/>
  <c r="B70" i="2"/>
  <c r="A70" i="2"/>
  <c r="E69" i="2"/>
  <c r="D69" i="2"/>
  <c r="H69" i="2" s="1"/>
  <c r="C69" i="2"/>
  <c r="B69" i="2"/>
  <c r="A69" i="2"/>
  <c r="E68" i="2"/>
  <c r="H68" i="2" s="1"/>
  <c r="D68" i="2"/>
  <c r="C68" i="2"/>
  <c r="B68" i="2"/>
  <c r="A68" i="2"/>
  <c r="E67" i="2"/>
  <c r="D67" i="2"/>
  <c r="H67" i="2" s="1"/>
  <c r="C67" i="2"/>
  <c r="B67" i="2"/>
  <c r="A67" i="2"/>
  <c r="E66" i="2"/>
  <c r="H66" i="2" s="1"/>
  <c r="D66" i="2"/>
  <c r="C66" i="2"/>
  <c r="B66" i="2"/>
  <c r="A66" i="2"/>
  <c r="E65" i="2"/>
  <c r="D65" i="2"/>
  <c r="H65" i="2" s="1"/>
  <c r="C65" i="2"/>
  <c r="B65" i="2"/>
  <c r="A65" i="2"/>
  <c r="E64" i="2"/>
  <c r="H64" i="2" s="1"/>
  <c r="D64" i="2"/>
  <c r="C64" i="2"/>
  <c r="B64" i="2"/>
  <c r="A64" i="2"/>
  <c r="E63" i="2"/>
  <c r="D63" i="2"/>
  <c r="H63" i="2" s="1"/>
  <c r="C63" i="2"/>
  <c r="B63" i="2"/>
  <c r="A63" i="2"/>
  <c r="E62" i="2"/>
  <c r="H62" i="2" s="1"/>
  <c r="D62" i="2"/>
  <c r="C62" i="2"/>
  <c r="B62" i="2"/>
  <c r="A62" i="2"/>
  <c r="E61" i="2"/>
  <c r="D61" i="2"/>
  <c r="H61" i="2" s="1"/>
  <c r="C61" i="2"/>
  <c r="B61" i="2"/>
  <c r="A61" i="2"/>
  <c r="E60" i="2"/>
  <c r="H60" i="2" s="1"/>
  <c r="D60" i="2"/>
  <c r="C60" i="2"/>
  <c r="B60" i="2"/>
  <c r="A60" i="2"/>
  <c r="E59" i="2"/>
  <c r="D59" i="2"/>
  <c r="H59" i="2" s="1"/>
  <c r="C59" i="2"/>
  <c r="B59" i="2"/>
  <c r="A59" i="2"/>
  <c r="E58" i="2"/>
  <c r="H58" i="2" s="1"/>
  <c r="D58" i="2"/>
  <c r="C58" i="2"/>
  <c r="B58" i="2"/>
  <c r="A58" i="2"/>
  <c r="E57" i="2"/>
  <c r="D57" i="2"/>
  <c r="H57" i="2" s="1"/>
  <c r="C57" i="2"/>
  <c r="B57" i="2"/>
  <c r="A57" i="2"/>
  <c r="E56" i="2"/>
  <c r="H56" i="2" s="1"/>
  <c r="D56" i="2"/>
  <c r="C56" i="2"/>
  <c r="B56" i="2"/>
  <c r="A56" i="2"/>
  <c r="E55" i="2"/>
  <c r="D55" i="2"/>
  <c r="H55" i="2" s="1"/>
  <c r="C55" i="2"/>
  <c r="B55" i="2"/>
  <c r="A55" i="2"/>
  <c r="E54" i="2"/>
  <c r="H54" i="2" s="1"/>
  <c r="D54" i="2"/>
  <c r="C54" i="2"/>
  <c r="B54" i="2"/>
  <c r="A54" i="2"/>
  <c r="E53" i="2"/>
  <c r="D53" i="2"/>
  <c r="H53" i="2" s="1"/>
  <c r="C53" i="2"/>
  <c r="B53" i="2"/>
  <c r="A53" i="2"/>
  <c r="E52" i="2"/>
  <c r="H52" i="2" s="1"/>
  <c r="D52" i="2"/>
  <c r="C52" i="2"/>
  <c r="B52" i="2"/>
  <c r="A52" i="2"/>
  <c r="E51" i="2"/>
  <c r="D51" i="2"/>
  <c r="H51" i="2" s="1"/>
  <c r="C51" i="2"/>
  <c r="B51" i="2"/>
  <c r="A51" i="2"/>
  <c r="E50" i="2"/>
  <c r="H50" i="2" s="1"/>
  <c r="D50" i="2"/>
  <c r="C50" i="2"/>
  <c r="B50" i="2"/>
  <c r="A50" i="2"/>
  <c r="E49" i="2"/>
  <c r="D49" i="2"/>
  <c r="H49" i="2" s="1"/>
  <c r="C49" i="2"/>
  <c r="B49" i="2"/>
  <c r="A49" i="2"/>
  <c r="E48" i="2"/>
  <c r="H48" i="2" s="1"/>
  <c r="D48" i="2"/>
  <c r="C48" i="2"/>
  <c r="B48" i="2"/>
  <c r="A48" i="2"/>
  <c r="E47" i="2"/>
  <c r="D47" i="2"/>
  <c r="H47" i="2" s="1"/>
  <c r="C47" i="2"/>
  <c r="B47" i="2"/>
  <c r="A47" i="2"/>
  <c r="E46" i="2"/>
  <c r="H46" i="2" s="1"/>
  <c r="D46" i="2"/>
  <c r="C46" i="2"/>
  <c r="B46" i="2"/>
  <c r="A46" i="2"/>
  <c r="E45" i="2"/>
  <c r="D45" i="2"/>
  <c r="H45" i="2" s="1"/>
  <c r="C45" i="2"/>
  <c r="B45" i="2"/>
  <c r="A45" i="2"/>
  <c r="E44" i="2"/>
  <c r="H44" i="2" s="1"/>
  <c r="D44" i="2"/>
  <c r="C44" i="2"/>
  <c r="B44" i="2"/>
  <c r="A44" i="2"/>
  <c r="E43" i="2"/>
  <c r="D43" i="2"/>
  <c r="H43" i="2" s="1"/>
  <c r="C43" i="2"/>
  <c r="B43" i="2"/>
  <c r="A43" i="2"/>
  <c r="E42" i="2"/>
  <c r="H42" i="2" s="1"/>
  <c r="D42" i="2"/>
  <c r="C42" i="2"/>
  <c r="B42" i="2"/>
  <c r="A42" i="2"/>
  <c r="E41" i="2"/>
  <c r="D41" i="2"/>
  <c r="H41" i="2" s="1"/>
  <c r="C41" i="2"/>
  <c r="B41" i="2"/>
  <c r="A41" i="2"/>
  <c r="E40" i="2"/>
  <c r="H40" i="2" s="1"/>
  <c r="D40" i="2"/>
  <c r="C40" i="2"/>
  <c r="B40" i="2"/>
  <c r="A40" i="2"/>
  <c r="E39" i="2"/>
  <c r="D39" i="2"/>
  <c r="H39" i="2" s="1"/>
  <c r="C39" i="2"/>
  <c r="B39" i="2"/>
  <c r="A39" i="2"/>
  <c r="E38" i="2"/>
  <c r="H38" i="2" s="1"/>
  <c r="D38" i="2"/>
  <c r="C38" i="2"/>
  <c r="B38" i="2"/>
  <c r="A38" i="2"/>
  <c r="E37" i="2"/>
  <c r="D37" i="2"/>
  <c r="H37" i="2" s="1"/>
  <c r="C37" i="2"/>
  <c r="B37" i="2"/>
  <c r="A37" i="2"/>
  <c r="E36" i="2"/>
  <c r="H36" i="2" s="1"/>
  <c r="D36" i="2"/>
  <c r="C36" i="2"/>
  <c r="B36" i="2"/>
  <c r="A36" i="2"/>
  <c r="E35" i="2"/>
  <c r="D35" i="2"/>
  <c r="H35" i="2" s="1"/>
  <c r="C35" i="2"/>
  <c r="B35" i="2"/>
  <c r="A35" i="2"/>
  <c r="E34" i="2"/>
  <c r="H34" i="2" s="1"/>
  <c r="D34" i="2"/>
  <c r="C34" i="2"/>
  <c r="B34" i="2"/>
  <c r="A34" i="2"/>
  <c r="E33" i="2"/>
  <c r="D33" i="2"/>
  <c r="H33" i="2" s="1"/>
  <c r="C33" i="2"/>
  <c r="B33" i="2"/>
  <c r="A33" i="2"/>
  <c r="E32" i="2"/>
  <c r="H32" i="2" s="1"/>
  <c r="D32" i="2"/>
  <c r="C32" i="2"/>
  <c r="B32" i="2"/>
  <c r="A32" i="2"/>
  <c r="E31" i="2"/>
  <c r="D31" i="2"/>
  <c r="H31" i="2" s="1"/>
  <c r="C31" i="2"/>
  <c r="B31" i="2"/>
  <c r="A31" i="2"/>
  <c r="E30" i="2"/>
  <c r="H30" i="2" s="1"/>
  <c r="D30" i="2"/>
  <c r="C30" i="2"/>
  <c r="B30" i="2"/>
  <c r="A30" i="2"/>
  <c r="E29" i="2"/>
  <c r="D29" i="2"/>
  <c r="H29" i="2" s="1"/>
  <c r="C29" i="2"/>
  <c r="B29" i="2"/>
  <c r="A29" i="2"/>
  <c r="E28" i="2"/>
  <c r="H28" i="2" s="1"/>
  <c r="D28" i="2"/>
  <c r="C28" i="2"/>
  <c r="B28" i="2"/>
  <c r="A28" i="2"/>
  <c r="E27" i="2"/>
  <c r="D27" i="2"/>
  <c r="H27" i="2" s="1"/>
  <c r="C27" i="2"/>
  <c r="B27" i="2"/>
  <c r="A27" i="2"/>
  <c r="E26" i="2"/>
  <c r="H26" i="2" s="1"/>
  <c r="D26" i="2"/>
  <c r="C26" i="2"/>
  <c r="B26" i="2"/>
  <c r="A26" i="2"/>
  <c r="E25" i="2"/>
  <c r="D25" i="2"/>
  <c r="H25" i="2" s="1"/>
  <c r="C25" i="2"/>
  <c r="B25" i="2"/>
  <c r="A25" i="2"/>
  <c r="E24" i="2"/>
  <c r="H24" i="2" s="1"/>
  <c r="D24" i="2"/>
  <c r="C24" i="2"/>
  <c r="B24" i="2"/>
  <c r="A24" i="2"/>
  <c r="E23" i="2"/>
  <c r="D23" i="2"/>
  <c r="H23" i="2" s="1"/>
  <c r="C23" i="2"/>
  <c r="B23" i="2"/>
  <c r="A23" i="2"/>
  <c r="E22" i="2"/>
  <c r="H22" i="2" s="1"/>
  <c r="D22" i="2"/>
  <c r="C22" i="2"/>
  <c r="B22" i="2"/>
  <c r="A22" i="2"/>
  <c r="E21" i="2"/>
  <c r="D21" i="2"/>
  <c r="H21" i="2" s="1"/>
  <c r="C21" i="2"/>
  <c r="B21" i="2"/>
  <c r="A21" i="2"/>
  <c r="E20" i="2"/>
  <c r="H20" i="2" s="1"/>
  <c r="D20" i="2"/>
  <c r="C20" i="2"/>
  <c r="B20" i="2"/>
  <c r="A20" i="2"/>
  <c r="E19" i="2"/>
  <c r="D19" i="2"/>
  <c r="H19" i="2" s="1"/>
  <c r="C19" i="2"/>
  <c r="B19" i="2"/>
  <c r="A19" i="2"/>
  <c r="E18" i="2"/>
  <c r="H18" i="2" s="1"/>
  <c r="D18" i="2"/>
  <c r="C18" i="2"/>
  <c r="B18" i="2"/>
  <c r="A18" i="2"/>
  <c r="E17" i="2"/>
  <c r="D17" i="2"/>
  <c r="H17" i="2" s="1"/>
  <c r="C17" i="2"/>
  <c r="B17" i="2"/>
  <c r="A17" i="2"/>
  <c r="E16" i="2"/>
  <c r="H16" i="2" s="1"/>
  <c r="D16" i="2"/>
  <c r="C16" i="2"/>
  <c r="B16" i="2"/>
  <c r="A16" i="2"/>
  <c r="E15" i="2"/>
  <c r="D15" i="2"/>
  <c r="H15" i="2" s="1"/>
  <c r="C15" i="2"/>
  <c r="B15" i="2"/>
  <c r="A15" i="2"/>
  <c r="E14" i="2"/>
  <c r="H14" i="2" s="1"/>
  <c r="D14" i="2"/>
  <c r="C14" i="2"/>
  <c r="B14" i="2"/>
  <c r="A14" i="2"/>
  <c r="E13" i="2"/>
  <c r="D13" i="2"/>
  <c r="H13" i="2" s="1"/>
  <c r="C13" i="2"/>
  <c r="B13" i="2"/>
  <c r="A13" i="2"/>
  <c r="E12" i="2"/>
  <c r="H12" i="2" s="1"/>
  <c r="D12" i="2"/>
  <c r="C12" i="2"/>
  <c r="B12" i="2"/>
  <c r="A12" i="2"/>
  <c r="E11" i="2"/>
  <c r="D11" i="2"/>
  <c r="H11" i="2" s="1"/>
  <c r="C11" i="2"/>
  <c r="B11" i="2"/>
  <c r="A11" i="2"/>
  <c r="E10" i="2"/>
  <c r="H10" i="2" s="1"/>
  <c r="D10" i="2"/>
  <c r="C10" i="2"/>
  <c r="B10" i="2"/>
  <c r="A10" i="2"/>
  <c r="E9" i="2"/>
  <c r="D9" i="2"/>
  <c r="H9" i="2" s="1"/>
  <c r="C9" i="2"/>
  <c r="B9" i="2"/>
  <c r="A9" i="2"/>
  <c r="E8" i="2"/>
  <c r="H8" i="2" s="1"/>
  <c r="D8" i="2"/>
  <c r="C8" i="2"/>
  <c r="B8" i="2"/>
  <c r="A8" i="2"/>
  <c r="E7" i="2"/>
  <c r="D7" i="2"/>
  <c r="H7" i="2" s="1"/>
  <c r="C7" i="2"/>
  <c r="B7" i="2"/>
  <c r="A7" i="2"/>
  <c r="E6" i="2"/>
  <c r="H6" i="2" s="1"/>
  <c r="D6" i="2"/>
  <c r="C6" i="2"/>
  <c r="B6" i="2"/>
  <c r="A6" i="2"/>
  <c r="E5" i="2"/>
  <c r="D5" i="2"/>
  <c r="H5" i="2" s="1"/>
  <c r="C5" i="2"/>
  <c r="B5" i="2"/>
  <c r="A5" i="2"/>
  <c r="E4" i="2"/>
  <c r="H4" i="2" s="1"/>
  <c r="D4" i="2"/>
  <c r="C4" i="2"/>
  <c r="B4" i="2"/>
  <c r="A4" i="2"/>
  <c r="H82" i="2" l="1"/>
</calcChain>
</file>

<file path=xl/sharedStrings.xml><?xml version="1.0" encoding="utf-8"?>
<sst xmlns="http://schemas.openxmlformats.org/spreadsheetml/2006/main" count="3467" uniqueCount="246">
  <si>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</si>
  <si>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</si>
  <si>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</si>
  <si>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</si>
  <si>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</si>
  <si>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</si>
  <si>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</si>
  <si>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</si>
  <si>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</si>
  <si>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</si>
  <si>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</si>
  <si>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</si>
  <si>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</si>
  <si>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</si>
  <si>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</si>
  <si>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</si>
  <si>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</si>
  <si>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</si>
  <si>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</si>
  <si>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</si>
  <si>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</si>
  <si>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</si>
  <si>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</si>
  <si>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</si>
  <si>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</si>
  <si>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</si>
  <si>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</si>
  <si>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</si>
  <si>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</si>
  <si>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</si>
  <si>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</si>
  <si>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</si>
  <si>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</si>
  <si>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</si>
  <si>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</si>
  <si>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</si>
  <si>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</si>
  <si>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</si>
  <si>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</si>
  <si>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</si>
  <si>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</si>
  <si>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</si>
  <si>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</si>
  <si>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</si>
  <si>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</si>
  <si>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</si>
  <si>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</si>
  <si>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</si>
  <si>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</si>
  <si>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</si>
  <si>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</si>
  <si>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</si>
  <si>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</si>
  <si>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</si>
  <si>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POSICIÓN FINANCIERA NETA DIARIA  |  Valores en USD (conversión automática)</t>
  </si>
  <si>
    <t>⚠  Hoja de cálculo automática — No modificar. Los datos vienen de CARGA_DIARIA.</t>
  </si>
  <si>
    <t>Fecha</t>
  </si>
  <si>
    <t>TC BNA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</si>
  <si>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</si>
  <si>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</si>
  <si>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</si>
  <si>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</si>
  <si>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</si>
  <si>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</si>
  <si>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</si>
  <si>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</si>
  <si>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</si>
  <si>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</si>
  <si>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</si>
  <si>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</si>
  <si>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</si>
  <si>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Monto (USD)</t>
  </si>
  <si>
    <t>Estado</t>
  </si>
  <si>
    <t>COBRO</t>
  </si>
  <si>
    <t>Cheque acreditación — Cliente Norte</t>
  </si>
  <si>
    <t>Pendiente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</si>
  <si>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</si>
  <si>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</si>
  <si>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</si>
  <si>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</si>
  <si>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</si>
  <si>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</si>
  <si>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</si>
  <si>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</si>
  <si>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</si>
  <si>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DIVISAS DISPONIBLES — Seguimiento diario de posición en USD</t>
  </si>
  <si>
    <t>Patag. (USD)</t>
  </si>
  <si>
    <t>Francés (USD)</t>
  </si>
  <si>
    <t>Total USD</t>
  </si>
  <si>
    <t>Liquidado hoy (USD)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</si>
  <si>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</si>
  <si>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</si>
  <si>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</si>
  <si>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</si>
  <si>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</si>
  <si>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</si>
  <si>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TC estimado</t>
  </si>
  <si>
    <t>ARS equivalente</t>
  </si>
  <si>
    <t>EXP-2026-041</t>
  </si>
  <si>
    <t>Nordic Fish AS (Noruega)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</si>
  <si>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</si>
  <si>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</si>
  <si>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</si>
  <si>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</si>
  <si>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</si>
  <si>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</si>
  <si>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</si>
  <si>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</si>
  <si>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</si>
  <si>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</si>
  <si>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</si>
  <si>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</si>
  <si>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</si>
  <si>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</si>
  <si>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</si>
  <si>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</si>
  <si>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</si>
  <si>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</si>
  <si>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</si>
  <si>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</si>
  <si>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</si>
  <si>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</si>
  <si>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</si>
  <si>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</si>
  <si>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</si>
  <si>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</si>
  <si>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</si>
  <si>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</si>
  <si>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</si>
  <si>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</si>
  <si>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</si>
  <si>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</si>
  <si>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</si>
  <si>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</si>
  <si>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</si>
  <si>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</si>
  <si>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</si>
  <si>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</si>
  <si>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</si>
  <si>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</si>
  <si>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</si>
  <si>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</si>
  <si>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</si>
  <si>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</si>
  <si>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</si>
  <si>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</si>
  <si>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</si>
  <si>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</si>
  <si>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</si>
  <si>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</si>
  <si>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</si>
  <si>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</si>
  <si>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</si>
  <si>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</si>
  <si>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</si>
  <si>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</si>
  <si>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</si>
  <si>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</si>
  <si>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</si>
  <si>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</si>
  <si>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</si>
  <si>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</si>
  <si>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</si>
  <si>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</si>
  <si>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</si>
  <si>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</si>
  <si>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</si>
  <si>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</si>
  <si>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</si>
  <si>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</si>
  <si>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</si>
  <si>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</si>
  <si>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</si>
  <si>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</si>
  <si>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</si>
  <si>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</si>
  <si>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</si>
  <si>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</si>
  <si>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</si>
  <si>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</si>
  <si>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</si>
  <si>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LUCRINO MARE SA</t>
  </si>
  <si>
    <t>I7159</t>
  </si>
  <si>
    <t>BANCO DE LA PROVINCIA DE BUENOS AIRES</t>
  </si>
  <si>
    <t>P</t>
  </si>
  <si>
    <t>015</t>
  </si>
  <si>
    <t>LUDAPEZ SA</t>
  </si>
  <si>
    <t>I7238</t>
  </si>
  <si>
    <t>ICBC-INDUSTRIAL AND COMMERCIAL BANK OF CHINA</t>
  </si>
  <si>
    <t>S</t>
  </si>
  <si>
    <t>E</t>
  </si>
  <si>
    <t>025</t>
  </si>
  <si>
    <t>LACAR FISH SA</t>
  </si>
  <si>
    <t>I7116</t>
  </si>
  <si>
    <t>BANCO SANTANDER RIO</t>
  </si>
  <si>
    <t>285</t>
  </si>
  <si>
    <t>SAORI SA</t>
  </si>
  <si>
    <t>I7302</t>
  </si>
  <si>
    <t>BANCO MACRO BANSUD S.A.</t>
  </si>
  <si>
    <t>FRIGOSUR SRL</t>
  </si>
  <si>
    <t>I468</t>
  </si>
  <si>
    <t>COOPERATIVA DE TRABAJO CAÑAMAR LIMITADA</t>
  </si>
  <si>
    <t>I7310</t>
  </si>
  <si>
    <t>299</t>
  </si>
  <si>
    <t>BANCO COMAFI SOCIEDAD ANONIMA</t>
  </si>
  <si>
    <t>007</t>
  </si>
  <si>
    <t>MARDI SA</t>
  </si>
  <si>
    <t>I227</t>
  </si>
  <si>
    <t>BANCO DE GALICIA Y BUENOS AIRES S.A.</t>
  </si>
  <si>
    <t>MARISQUERIA SANTA RITA SRL</t>
  </si>
  <si>
    <t>I6</t>
  </si>
  <si>
    <t>INDUSTRIAS EL CORSARIO S.A.</t>
  </si>
  <si>
    <t>I7335</t>
  </si>
  <si>
    <t>017</t>
  </si>
  <si>
    <t>LA ISOLANA SA</t>
  </si>
  <si>
    <t>I7356</t>
  </si>
  <si>
    <t>BBVA Banco Frances S.A</t>
  </si>
  <si>
    <t>191</t>
  </si>
  <si>
    <t>BANCO CREDICOOP COOPERATIVO LIMITADO</t>
  </si>
  <si>
    <t>FRIO SUR SRL</t>
  </si>
  <si>
    <t>I208</t>
  </si>
  <si>
    <t>093</t>
  </si>
  <si>
    <t>BANCO DE LA PAMPA SOCIEDAD DE ECONOMÍA M</t>
  </si>
  <si>
    <t>COMERCIAL INAL 2005 SA</t>
  </si>
  <si>
    <t>I7222</t>
  </si>
  <si>
    <t>PUERTO RAWAMAR S.A.</t>
  </si>
  <si>
    <t>I7359</t>
  </si>
  <si>
    <t>GUBITI SA</t>
  </si>
  <si>
    <t>I7325</t>
  </si>
  <si>
    <t>N</t>
  </si>
  <si>
    <t>27 DE NOVIEMBRE SA</t>
  </si>
  <si>
    <t>I596</t>
  </si>
  <si>
    <t>PROYECTOS DEL MAR SRL</t>
  </si>
  <si>
    <t>I636</t>
  </si>
  <si>
    <t>COOPERATIVA  DE TRABAJO DOÑA FRANCISCA LTDA</t>
  </si>
  <si>
    <t>I7149</t>
  </si>
  <si>
    <t>027</t>
  </si>
  <si>
    <t>BANCO SUPERVIELLE S.A.</t>
  </si>
  <si>
    <t>LUMELL SA</t>
  </si>
  <si>
    <t>I7253</t>
  </si>
  <si>
    <t>034</t>
  </si>
  <si>
    <t>CLUB ATLETICO ALDOSIVI</t>
  </si>
  <si>
    <t>I7203</t>
  </si>
  <si>
    <t>BANCO PATAGONIA S.A.</t>
  </si>
  <si>
    <t>NATUSUR SA</t>
  </si>
  <si>
    <t>I443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</si>
</sst>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#,##0;\(#,##0\);\-"/>
    <numFmt numFmtId="166" formatCode="#,##0.00;\(#,##0.00\);\-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i/>
      <sz val="10"/>
      <color rgb="FF854F0B"/>
      <name val="Arial"/>
      <charset val="1"/>
    </font>
    <font>
      <b/>
      <sz val="9"/>
      <color rgb="FFFFFFFF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0F6E56"/>
      <name val="Arial"/>
      <charset val="1"/>
    </font>
    <font>
      <sz val="10"/>
      <color rgb="FFA32D2D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444441"/>
      <name val="Arial"/>
      <charset val="1"/>
    </font>
    <font>
      <sz val="10"/>
      <color rgb="FF0000FF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854F0B"/>
      <name val="Arial"/>
      <charset val="1"/>
    </font>
    <font>
      <b/>
      <sz val="8"/>
      <color rgb="FFFFFFFF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4F3F0"/>
        <bgColor rgb="FFF1EFE8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9" fillId="13" borderId="3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9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164" fontId="11" fillId="0" borderId="2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right" vertical="center"/>
    </xf>
    <xf numFmtId="165" fontId="12" fillId="6" borderId="2" xfId="0" applyNumberFormat="1" applyFont="1" applyFill="1" applyBorder="1" applyAlignment="1">
      <alignment horizontal="right" vertical="center"/>
    </xf>
    <xf numFmtId="165" fontId="13" fillId="7" borderId="2" xfId="0" applyNumberFormat="1" applyFont="1" applyFill="1" applyBorder="1" applyAlignment="1">
      <alignment horizontal="right" vertical="center"/>
    </xf>
    <xf numFmtId="165" fontId="14" fillId="8" borderId="2" xfId="0" applyNumberFormat="1" applyFont="1" applyFill="1" applyBorder="1" applyAlignment="1">
      <alignment horizontal="center" vertical="center"/>
    </xf>
    <xf numFmtId="165" fontId="15" fillId="6" borderId="2" xfId="0" applyNumberFormat="1" applyFont="1" applyFill="1" applyBorder="1" applyAlignment="1">
      <alignment horizontal="right" vertical="center"/>
    </xf>
    <xf numFmtId="0" fontId="14" fillId="8" borderId="2" xfId="0" applyFont="1" applyFill="1" applyBorder="1" applyAlignment="1">
      <alignment horizontal="center" vertical="center"/>
    </xf>
    <xf numFmtId="164" fontId="17" fillId="9" borderId="2" xfId="0" applyNumberFormat="1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left" vertical="center"/>
    </xf>
    <xf numFmtId="165" fontId="17" fillId="9" borderId="2" xfId="0" applyNumberFormat="1" applyFont="1" applyFill="1" applyBorder="1" applyAlignment="1">
      <alignment horizontal="right" vertical="center"/>
    </xf>
    <xf numFmtId="4" fontId="17" fillId="9" borderId="2" xfId="0" applyNumberFormat="1" applyFont="1" applyFill="1" applyBorder="1" applyAlignment="1">
      <alignment horizontal="right" vertical="center"/>
    </xf>
    <xf numFmtId="165" fontId="12" fillId="9" borderId="2" xfId="0" applyNumberFormat="1" applyFont="1" applyFill="1" applyBorder="1" applyAlignment="1">
      <alignment horizontal="right" vertical="center"/>
    </xf>
    <xf numFmtId="0" fontId="3" fillId="9" borderId="2" xfId="0" applyFont="1" applyFill="1" applyBorder="1" applyAlignment="1">
      <alignment horizontal="left" vertical="center"/>
    </xf>
    <xf numFmtId="0" fontId="19" fillId="7" borderId="2" xfId="0" applyFont="1" applyFill="1" applyBorder="1" applyAlignment="1">
      <alignment horizontal="center" vertical="center"/>
    </xf>
    <xf numFmtId="165" fontId="13" fillId="9" borderId="2" xfId="0" applyNumberFormat="1" applyFont="1" applyFill="1" applyBorder="1" applyAlignment="1">
      <alignment horizontal="right" vertical="center"/>
    </xf>
    <xf numFmtId="164" fontId="17" fillId="0" borderId="2" xfId="0" applyNumberFormat="1" applyFont="1" applyBorder="1" applyAlignment="1">
      <alignment horizontal="center" vertical="center"/>
    </xf>
    <xf numFmtId="4" fontId="17" fillId="10" borderId="2" xfId="0" applyNumberFormat="1" applyFont="1" applyFill="1" applyBorder="1" applyAlignment="1">
      <alignment horizontal="right" vertical="center"/>
    </xf>
    <xf numFmtId="3" fontId="17" fillId="0" borderId="2" xfId="0" applyNumberFormat="1" applyFont="1" applyBorder="1" applyAlignment="1">
      <alignment horizontal="right" vertical="center"/>
    </xf>
    <xf numFmtId="3" fontId="12" fillId="6" borderId="2" xfId="0" applyNumberFormat="1" applyFont="1" applyFill="1" applyBorder="1" applyAlignment="1">
      <alignment horizontal="right" vertical="center"/>
    </xf>
    <xf numFmtId="0" fontId="17" fillId="0" borderId="2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1" fillId="11" borderId="1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0" fontId="21" fillId="13" borderId="0" xfId="0" applyFont="1" applyFill="1" applyAlignment="1">
      <alignment horizontal="center" vertical="center" wrapText="1"/>
    </xf>
    <xf numFmtId="0" fontId="21" fillId="14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center" vertical="center" wrapText="1"/>
    </xf>
    <xf numFmtId="166" fontId="17" fillId="10" borderId="2" xfId="0" applyNumberFormat="1" applyFont="1" applyFill="1" applyBorder="1" applyAlignment="1">
      <alignment horizontal="right" vertical="center"/>
    </xf>
    <xf numFmtId="166" fontId="17" fillId="9" borderId="2" xfId="0" applyNumberFormat="1" applyFont="1" applyFill="1" applyBorder="1" applyAlignment="1">
      <alignment horizontal="right" vertical="center"/>
    </xf>
    <xf numFmtId="165" fontId="17" fillId="10" borderId="2" xfId="0" applyNumberFormat="1" applyFont="1" applyFill="1" applyBorder="1" applyAlignment="1">
      <alignment horizontal="right" vertical="center"/>
    </xf>
    <xf numFmtId="0" fontId="17" fillId="9" borderId="2" xfId="0" applyFont="1" applyFill="1" applyBorder="1" applyAlignment="1">
      <alignment horizontal="center" vertical="center"/>
    </xf>
    <xf numFmtId="164" fontId="11" fillId="9" borderId="2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5" fontId="6" fillId="2" borderId="1" xfId="0" applyNumberFormat="1" applyFont="1" applyFill="1" applyBorder="1" applyAlignment="1">
      <alignment horizontal="right" vertical="center"/>
    </xf>
    <xf numFmtId="0" fontId="0" fillId="8" borderId="2" xfId="0" applyFill="1" applyBorder="1"/>
    <xf numFmtId="165" fontId="0" fillId="8" borderId="2" xfId="0" applyNumberFormat="1" applyFill="1" applyBorder="1" applyAlignment="1">
      <alignment horizontal="right" vertical="center"/>
    </xf>
    <xf numFmtId="164" fontId="0" fillId="8" borderId="2" xfId="0" applyNumberForma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 indent="1"/>
    </xf>
    <xf numFmtId="0" fontId="9" fillId="11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9" fillId="13" borderId="3" xfId="0" applyFont="1" applyFill="1" applyBorder="1" applyAlignment="1">
      <alignment horizontal="center" vertical="center"/>
    </xf>
    <xf numFmtId="0" fontId="0" fillId="0" borderId="4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 indent="1"/>
    </xf>
    <xf numFmtId="0" fontId="16" fillId="3" borderId="0" xfId="0" applyFont="1" applyFill="1" applyAlignment="1">
      <alignment horizontal="left" vertical="center" indent="1"/>
    </xf>
    <xf numFmtId="0" fontId="22" fillId="4" borderId="0" xfId="0" applyFont="1" applyFill="1" applyAlignment="1">
      <alignment horizontal="left" vertical="center" indent="1"/>
    </xf>
    <xf numFmtId="0" fontId="23" fillId="4" borderId="0" xfId="0" applyFont="1" applyFill="1" applyAlignment="1">
      <alignment horizontal="left" vertical="center" inden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55" t="s">
        <v>0</v>
      </c>
      <c r="B1" s="55"/>
      <c r="C1" s="55"/>
      <c r="D1" s="55"/>
      <c r="E1" s="55"/>
      <c r="F1" s="55"/>
    </row>
    <row r="2" spans="1:6" ht="19.5" customHeight="1" x14ac:dyDescent="0.25">
      <c r="A2" s="56" t="s">
        <v>1</v>
      </c>
      <c r="B2" s="56"/>
      <c r="C2" s="56"/>
      <c r="D2" s="56"/>
      <c r="E2" s="56"/>
      <c r="F2" s="56"/>
    </row>
    <row r="5" spans="1:6" ht="15" customHeight="1" x14ac:dyDescent="0.25">
      <c r="A5" s="2"/>
      <c r="B5" s="3"/>
    </row>
    <row r="6" spans="1:6" ht="15" customHeight="1" x14ac:dyDescent="0.25">
      <c r="A6" s="54" t="s">
        <v>2</v>
      </c>
      <c r="B6" s="54"/>
      <c r="C6" s="54"/>
      <c r="D6" s="54"/>
      <c r="E6" s="54"/>
      <c r="F6" s="5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54" t="s">
        <v>21</v>
      </c>
      <c r="B17" s="54"/>
      <c r="C17" s="54"/>
      <c r="D17" s="54"/>
      <c r="E17" s="54"/>
      <c r="F17" s="5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54" t="s">
        <v>32</v>
      </c>
      <c r="B24" s="54"/>
      <c r="C24" s="54"/>
      <c r="D24" s="54"/>
      <c r="E24" s="54"/>
      <c r="F24" s="5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54" t="s">
        <v>47</v>
      </c>
      <c r="B33" s="54"/>
      <c r="C33" s="54"/>
      <c r="D33" s="54"/>
      <c r="E33" s="54"/>
      <c r="F33" s="5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3"/>
  <sheetViews>
    <sheetView showGridLines="0" zoomScaleNormal="100" workbookViewId="0">
      <pane xSplit="1" ySplit="3" topLeftCell="B66" activePane="bottomRight" state="frozen"/>
      <selection pane="topRight" activeCell="B1" sqref="B1"/>
      <selection pane="bottomLeft" activeCell="A4" sqref="A4"/>
      <selection pane="bottomRight" activeCell="C81" sqref="C8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49" t="s">
        <v>54</v>
      </c>
      <c r="B1" s="49"/>
      <c r="C1" s="49"/>
      <c r="D1" s="49"/>
      <c r="E1" s="49"/>
      <c r="F1" s="49"/>
      <c r="G1" s="49"/>
      <c r="H1" s="49"/>
    </row>
    <row r="2" spans="1:8" ht="18" customHeight="1" x14ac:dyDescent="0.25">
      <c r="A2" s="57" t="s">
        <v>55</v>
      </c>
      <c r="B2" s="57"/>
      <c r="C2" s="57"/>
      <c r="D2" s="57"/>
      <c r="E2" s="57"/>
      <c r="F2" s="57"/>
      <c r="G2" s="57"/>
      <c r="H2" s="57"/>
    </row>
    <row r="3" spans="1:8" ht="31.5" customHeight="1" x14ac:dyDescent="0.25">
      <c r="A3" s="5" t="s">
        <v>56</v>
      </c>
      <c r="B3" s="5" t="s">
        <v>57</v>
      </c>
      <c r="C3" s="5" t="s">
        <v>58</v>
      </c>
      <c r="D3" s="5" t="s">
        <v>59</v>
      </c>
      <c r="E3" s="5" t="s">
        <v>60</v>
      </c>
      <c r="F3" s="6" t="s">
        <v>61</v>
      </c>
      <c r="G3" s="6" t="s">
        <v>62</v>
      </c>
      <c r="H3" s="5" t="s">
        <v>63</v>
      </c>
    </row>
    <row r="4" spans="1:8" ht="15.75" customHeight="1" x14ac:dyDescent="0.25">
      <c r="A4" s="7">
        <f>IF(CARGA_DIARIA!A4="","",CARGA_DIARIA!A4)</f>
        <v>46029</v>
      </c>
      <c r="B4" s="8">
        <f>IF(CARGA_DIARIA!A4="","",CARGA_DIARIA!B4)</f>
        <v>1463</v>
      </c>
      <c r="C4" s="9">
        <f>IF(CARGA_DIARIA!A4="","",IF(CARGA_DIARIA!B4=0,0,(CARGA_DIARIA!C4+CARGA_DIARIA!D4+CARGA_DIARIA!E4+CARGA_DIARIA!F4+CARGA_DIARIA!G4+CARGA_DIARIA!H4+CARGA_DIARIA!I4+CARGA_DIARIA!AF4+CARGA_DIARIA!AG4+CARGA_DIARIA!AH4+CARGA_DIARIA!AI4)/CARGA_DIARIA!B4+CARGA_DIARIA!AE4))</f>
        <v>13318262.980861245</v>
      </c>
      <c r="D4" s="10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10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11" t="s">
        <v>64</v>
      </c>
      <c r="G4" s="11" t="s">
        <v>64</v>
      </c>
      <c r="H4" s="12">
        <f>IF(CARGA_DIARIA!A4="","",C4-D4-E4)</f>
        <v>-3718648.1496924125</v>
      </c>
    </row>
    <row r="5" spans="1:8" ht="15.75" customHeight="1" x14ac:dyDescent="0.25">
      <c r="A5" s="7">
        <f>IF(CARGA_DIARIA!A5="","",CARGA_DIARIA!A5)</f>
        <v>46030</v>
      </c>
      <c r="B5" s="8">
        <f>IF(CARGA_DIARIA!A5="","",CARGA_DIARIA!B5)</f>
        <v>1469</v>
      </c>
      <c r="C5" s="9">
        <f>IF(CARGA_DIARIA!A5="","",IF(CARGA_DIARIA!B5=0,0,(CARGA_DIARIA!C5+CARGA_DIARIA!D5+CARGA_DIARIA!E5+CARGA_DIARIA!F5+CARGA_DIARIA!G5+CARGA_DIARIA!H5+CARGA_DIARIA!I5+CARGA_DIARIA!AF5+CARGA_DIARIA!AG5+CARGA_DIARIA!AH5+CARGA_DIARIA!AI5)/CARGA_DIARIA!B5+CARGA_DIARIA!AE5))</f>
        <v>13383018.636514636</v>
      </c>
      <c r="D5" s="10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10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11" t="s">
        <v>64</v>
      </c>
      <c r="G5" s="11" t="s">
        <v>64</v>
      </c>
      <c r="H5" s="12">
        <f>IF(CARGA_DIARIA!A5="","",C5-D5-E5)</f>
        <v>-3614926.2225663718</v>
      </c>
    </row>
    <row r="6" spans="1:8" ht="15.75" customHeight="1" x14ac:dyDescent="0.25">
      <c r="A6" s="7">
        <f>IF(CARGA_DIARIA!A6="","",CARGA_DIARIA!A6)</f>
        <v>46031</v>
      </c>
      <c r="B6" s="8">
        <f>IF(CARGA_DIARIA!A6="","",CARGA_DIARIA!B6)</f>
        <v>1455</v>
      </c>
      <c r="C6" s="9">
        <f>IF(CARGA_DIARIA!A6="","",IF(CARGA_DIARIA!B6=0,0,(CARGA_DIARIA!C6+CARGA_DIARIA!D6+CARGA_DIARIA!E6+CARGA_DIARIA!F6+CARGA_DIARIA!G6+CARGA_DIARIA!H6+CARGA_DIARIA!I6+CARGA_DIARIA!AF6+CARGA_DIARIA!AG6+CARGA_DIARIA!AH6+CARGA_DIARIA!AI6)/CARGA_DIARIA!B6+CARGA_DIARIA!AE6))</f>
        <v>12870356.949264605</v>
      </c>
      <c r="D6" s="10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10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11" t="s">
        <v>64</v>
      </c>
      <c r="G6" s="11" t="s">
        <v>64</v>
      </c>
      <c r="H6" s="12">
        <f>IF(CARGA_DIARIA!A6="","",C6-D6-E6)</f>
        <v>-3141586.7875326462</v>
      </c>
    </row>
    <row r="7" spans="1:8" ht="15.75" customHeight="1" x14ac:dyDescent="0.25">
      <c r="A7" s="7">
        <f>IF(CARGA_DIARIA!A7="","",CARGA_DIARIA!A7)</f>
        <v>46034</v>
      </c>
      <c r="B7" s="8">
        <f>IF(CARGA_DIARIA!A7="","",CARGA_DIARIA!B7)</f>
        <v>1465.5</v>
      </c>
      <c r="C7" s="9">
        <f>IF(CARGA_DIARIA!A7="","",IF(CARGA_DIARIA!B7=0,0,(CARGA_DIARIA!C7+CARGA_DIARIA!D7+CARGA_DIARIA!E7+CARGA_DIARIA!F7+CARGA_DIARIA!G7+CARGA_DIARIA!H7+CARGA_DIARIA!I7+CARGA_DIARIA!AF7+CARGA_DIARIA!AG7+CARGA_DIARIA!AH7+CARGA_DIARIA!AI7)/CARGA_DIARIA!B7+CARGA_DIARIA!AE7))</f>
        <v>12676084.939979529</v>
      </c>
      <c r="D7" s="10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10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11" t="s">
        <v>64</v>
      </c>
      <c r="G7" s="11" t="s">
        <v>64</v>
      </c>
      <c r="H7" s="12">
        <f>IF(CARGA_DIARIA!A7="","",C7-D7-E7)</f>
        <v>-3746558.1835278049</v>
      </c>
    </row>
    <row r="8" spans="1:8" ht="15.75" customHeight="1" x14ac:dyDescent="0.25">
      <c r="A8" s="7">
        <f>IF(CARGA_DIARIA!A8="","",CARGA_DIARIA!A8)</f>
        <v>46035</v>
      </c>
      <c r="B8" s="8">
        <f>IF(CARGA_DIARIA!A8="","",CARGA_DIARIA!B8)</f>
        <v>1462</v>
      </c>
      <c r="C8" s="9">
        <f>IF(CARGA_DIARIA!A8="","",IF(CARGA_DIARIA!B8=0,0,(CARGA_DIARIA!C8+CARGA_DIARIA!D8+CARGA_DIARIA!E8+CARGA_DIARIA!F8+CARGA_DIARIA!G8+CARGA_DIARIA!H8+CARGA_DIARIA!I8+CARGA_DIARIA!AF8+CARGA_DIARIA!AG8+CARGA_DIARIA!AH8+CARGA_DIARIA!AI8)/CARGA_DIARIA!B8+CARGA_DIARIA!AE8))</f>
        <v>12400055.370253077</v>
      </c>
      <c r="D8" s="10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10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11" t="s">
        <v>64</v>
      </c>
      <c r="G8" s="11" t="s">
        <v>64</v>
      </c>
      <c r="H8" s="12">
        <f>IF(CARGA_DIARIA!A8="","",C8-D8-E8)</f>
        <v>-3810983.7747537624</v>
      </c>
    </row>
    <row r="9" spans="1:8" ht="19.5" customHeight="1" x14ac:dyDescent="0.25">
      <c r="A9" s="7">
        <f>IF(CARGA_DIARIA!A9="","",CARGA_DIARIA!A9)</f>
        <v>46036</v>
      </c>
      <c r="B9" s="8">
        <f>IF(CARGA_DIARIA!A9="","",CARGA_DIARIA!B9)</f>
        <v>1464.5</v>
      </c>
      <c r="C9" s="9">
        <f>IF(CARGA_DIARIA!A9="","",IF(CARGA_DIARIA!B9=0,0,(CARGA_DIARIA!C9+CARGA_DIARIA!D9+CARGA_DIARIA!E9+CARGA_DIARIA!F9+CARGA_DIARIA!G9+CARGA_DIARIA!H9+CARGA_DIARIA!I9+CARGA_DIARIA!AF9+CARGA_DIARIA!AG9+CARGA_DIARIA!AH9+CARGA_DIARIA!AI9)/CARGA_DIARIA!B9+CARGA_DIARIA!AE9))</f>
        <v>12164527.647278935</v>
      </c>
      <c r="D9" s="10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10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13" t="s">
        <v>64</v>
      </c>
      <c r="G9" s="13" t="s">
        <v>64</v>
      </c>
      <c r="H9" s="12">
        <f>IF(CARGA_DIARIA!A9="","",C9-D9-E9)</f>
        <v>-3907001.3984704688</v>
      </c>
    </row>
    <row r="10" spans="1:8" ht="15.75" customHeight="1" x14ac:dyDescent="0.25">
      <c r="A10" s="7">
        <f>IF(CARGA_DIARIA!A10="","",CARGA_DIARIA!A10)</f>
        <v>46037</v>
      </c>
      <c r="B10" s="8">
        <f>IF(CARGA_DIARIA!A10="","",CARGA_DIARIA!B10)</f>
        <v>1450</v>
      </c>
      <c r="C10" s="9">
        <f>IF(CARGA_DIARIA!A10="","",IF(CARGA_DIARIA!B10=0,0,(CARGA_DIARIA!C10+CARGA_DIARIA!D10+CARGA_DIARIA!E10+CARGA_DIARIA!F10+CARGA_DIARIA!G10+CARGA_DIARIA!H10+CARGA_DIARIA!I10+CARGA_DIARIA!AF10+CARGA_DIARIA!AG10+CARGA_DIARIA!AH10+CARGA_DIARIA!AI10)/CARGA_DIARIA!B10+CARGA_DIARIA!AE10))</f>
        <v>12466628.561848275</v>
      </c>
      <c r="D10" s="10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10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13" t="s">
        <v>64</v>
      </c>
      <c r="G10" s="13" t="s">
        <v>64</v>
      </c>
      <c r="H10" s="12">
        <f>IF(CARGA_DIARIA!A10="","",C10-D10-E10)</f>
        <v>-3640157.1640206911</v>
      </c>
    </row>
    <row r="11" spans="1:8" ht="15.75" customHeight="1" x14ac:dyDescent="0.25">
      <c r="A11" s="7">
        <f>IF(CARGA_DIARIA!A11="","",CARGA_DIARIA!A11)</f>
        <v>46038</v>
      </c>
      <c r="B11" s="8">
        <f>IF(CARGA_DIARIA!A11="","",CARGA_DIARIA!B11)</f>
        <v>1440</v>
      </c>
      <c r="C11" s="9">
        <f>IF(CARGA_DIARIA!A11="","",IF(CARGA_DIARIA!B11=0,0,(CARGA_DIARIA!C11+CARGA_DIARIA!D11+CARGA_DIARIA!E11+CARGA_DIARIA!F11+CARGA_DIARIA!G11+CARGA_DIARIA!H11+CARGA_DIARIA!I11+CARGA_DIARIA!AF11+CARGA_DIARIA!AG11+CARGA_DIARIA!AH11+CARGA_DIARIA!AI11)/CARGA_DIARIA!B11+CARGA_DIARIA!AE11))</f>
        <v>12347532.630214583</v>
      </c>
      <c r="D11" s="10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10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13" t="s">
        <v>64</v>
      </c>
      <c r="G11" s="13" t="s">
        <v>64</v>
      </c>
      <c r="H11" s="12">
        <f>IF(CARGA_DIARIA!A11="","",C11-D11-E11)</f>
        <v>-3253023.8829243053</v>
      </c>
    </row>
    <row r="12" spans="1:8" ht="15.75" customHeight="1" x14ac:dyDescent="0.25">
      <c r="A12" s="7">
        <f>IF(CARGA_DIARIA!A12="","",CARGA_DIARIA!A12)</f>
        <v>46041</v>
      </c>
      <c r="B12" s="8">
        <f>IF(CARGA_DIARIA!A12="","",CARGA_DIARIA!B12)</f>
        <v>1428</v>
      </c>
      <c r="C12" s="9">
        <f>IF(CARGA_DIARIA!A12="","",IF(CARGA_DIARIA!B12=0,0,(CARGA_DIARIA!C12+CARGA_DIARIA!D12+CARGA_DIARIA!E12+CARGA_DIARIA!F12+CARGA_DIARIA!G12+CARGA_DIARIA!H12+CARGA_DIARIA!I12+CARGA_DIARIA!AF12+CARGA_DIARIA!AG12+CARGA_DIARIA!AH12+CARGA_DIARIA!AI12)/CARGA_DIARIA!B12+CARGA_DIARIA!AE12))</f>
        <v>12033079.998165267</v>
      </c>
      <c r="D12" s="10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10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13" t="s">
        <v>64</v>
      </c>
      <c r="G12" s="13" t="s">
        <v>64</v>
      </c>
      <c r="H12" s="12">
        <f>IF(CARGA_DIARIA!A12="","",C12-D12-E12)</f>
        <v>-3063598.341470588</v>
      </c>
    </row>
    <row r="13" spans="1:8" ht="15.75" customHeight="1" x14ac:dyDescent="0.25">
      <c r="A13" s="7">
        <f>IF(CARGA_DIARIA!A13="","",CARGA_DIARIA!A13)</f>
        <v>46042</v>
      </c>
      <c r="B13" s="8">
        <f>IF(CARGA_DIARIA!A13="","",CARGA_DIARIA!B13)</f>
        <v>1428.5</v>
      </c>
      <c r="C13" s="9">
        <f>IF(CARGA_DIARIA!A13="","",IF(CARGA_DIARIA!B13=0,0,(CARGA_DIARIA!C13+CARGA_DIARIA!D13+CARGA_DIARIA!E13+CARGA_DIARIA!F13+CARGA_DIARIA!G13+CARGA_DIARIA!H13+CARGA_DIARIA!I13+CARGA_DIARIA!AF13+CARGA_DIARIA!AG13+CARGA_DIARIA!AH13+CARGA_DIARIA!AI13)/CARGA_DIARIA!B13+CARGA_DIARIA!AE13))</f>
        <v>11851097.516927196</v>
      </c>
      <c r="D13" s="10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10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13" t="s">
        <v>64</v>
      </c>
      <c r="G13" s="13" t="s">
        <v>64</v>
      </c>
      <c r="H13" s="12">
        <f>IF(CARGA_DIARIA!A13="","",C13-D13-E13)</f>
        <v>-3955683.1964084711</v>
      </c>
    </row>
    <row r="14" spans="1:8" ht="15.75" customHeight="1" x14ac:dyDescent="0.25">
      <c r="A14" s="7">
        <f>IF(CARGA_DIARIA!A14="","",CARGA_DIARIA!A14)</f>
        <v>46043</v>
      </c>
      <c r="B14" s="8">
        <f>IF(CARGA_DIARIA!A14="","",CARGA_DIARIA!B14)</f>
        <v>1432</v>
      </c>
      <c r="C14" s="9">
        <f>IF(CARGA_DIARIA!A14="","",IF(CARGA_DIARIA!B14=0,0,(CARGA_DIARIA!C14+CARGA_DIARIA!D14+CARGA_DIARIA!E14+CARGA_DIARIA!F14+CARGA_DIARIA!G14+CARGA_DIARIA!H14+CARGA_DIARIA!I14+CARGA_DIARIA!AF14+CARGA_DIARIA!AG14+CARGA_DIARIA!AH14+CARGA_DIARIA!AI14)/CARGA_DIARIA!B14+CARGA_DIARIA!AE14))</f>
        <v>11438078.172444135</v>
      </c>
      <c r="D14" s="10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10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13" t="s">
        <v>64</v>
      </c>
      <c r="G14" s="13" t="s">
        <v>64</v>
      </c>
      <c r="H14" s="12">
        <f>IF(CARGA_DIARIA!A14="","",C14-D14-E14)</f>
        <v>-4372961.3107960895</v>
      </c>
    </row>
    <row r="15" spans="1:8" ht="15.75" customHeight="1" x14ac:dyDescent="0.25">
      <c r="A15" s="7">
        <f>IF(CARGA_DIARIA!A15="","",CARGA_DIARIA!A15)</f>
        <v>46044</v>
      </c>
      <c r="B15" s="8">
        <f>IF(CARGA_DIARIA!A15="","",CARGA_DIARIA!B15)</f>
        <v>1427</v>
      </c>
      <c r="C15" s="9">
        <f>IF(CARGA_DIARIA!A15="","",IF(CARGA_DIARIA!B15=0,0,(CARGA_DIARIA!C15+CARGA_DIARIA!D15+CARGA_DIARIA!E15+CARGA_DIARIA!F15+CARGA_DIARIA!G15+CARGA_DIARIA!H15+CARGA_DIARIA!I15+CARGA_DIARIA!AF15+CARGA_DIARIA!AG15+CARGA_DIARIA!AH15+CARGA_DIARIA!AI15)/CARGA_DIARIA!B15+CARGA_DIARIA!AE15))</f>
        <v>11547623.271016117</v>
      </c>
      <c r="D15" s="10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10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13" t="s">
        <v>64</v>
      </c>
      <c r="G15" s="13" t="s">
        <v>64</v>
      </c>
      <c r="H15" s="12">
        <f>IF(CARGA_DIARIA!A15="","",C15-D15-E15)</f>
        <v>-4039258.9012754038</v>
      </c>
    </row>
    <row r="16" spans="1:8" ht="15.75" customHeight="1" x14ac:dyDescent="0.25">
      <c r="A16" s="7">
        <f>IF(CARGA_DIARIA!A16="","",CARGA_DIARIA!A16)</f>
        <v>46045</v>
      </c>
      <c r="B16" s="8">
        <f>IF(CARGA_DIARIA!A16="","",CARGA_DIARIA!B16)</f>
        <v>1421</v>
      </c>
      <c r="C16" s="9">
        <f>IF(CARGA_DIARIA!A16="","",IF(CARGA_DIARIA!B16=0,0,(CARGA_DIARIA!C16+CARGA_DIARIA!D16+CARGA_DIARIA!E16+CARGA_DIARIA!F16+CARGA_DIARIA!G16+CARGA_DIARIA!H16+CARGA_DIARIA!I16+CARGA_DIARIA!AF16+CARGA_DIARIA!AG16+CARGA_DIARIA!AH16+CARGA_DIARIA!AI16)/CARGA_DIARIA!B16+CARGA_DIARIA!AE16))</f>
        <v>11544702.846586911</v>
      </c>
      <c r="D16" s="10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10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13" t="s">
        <v>64</v>
      </c>
      <c r="G16" s="13" t="s">
        <v>64</v>
      </c>
      <c r="H16" s="12">
        <f>IF(CARGA_DIARIA!A16="","",C16-D16-E16)</f>
        <v>-3829522.3290499635</v>
      </c>
    </row>
    <row r="17" spans="1:8" ht="15.75" customHeight="1" x14ac:dyDescent="0.25">
      <c r="A17" s="7">
        <f>IF(CARGA_DIARIA!A17="","",CARGA_DIARIA!A17)</f>
        <v>46048</v>
      </c>
      <c r="B17" s="8">
        <f>IF(CARGA_DIARIA!A17="","",CARGA_DIARIA!B17)</f>
        <v>1428</v>
      </c>
      <c r="C17" s="9">
        <f>IF(CARGA_DIARIA!A17="","",IF(CARGA_DIARIA!B17=0,0,(CARGA_DIARIA!C17+CARGA_DIARIA!D17+CARGA_DIARIA!E17+CARGA_DIARIA!F17+CARGA_DIARIA!G17+CARGA_DIARIA!H17+CARGA_DIARIA!I17+CARGA_DIARIA!AF17+CARGA_DIARIA!AG17+CARGA_DIARIA!AH17+CARGA_DIARIA!AI17)/CARGA_DIARIA!B17+CARGA_DIARIA!AE17))</f>
        <v>11121777.684355743</v>
      </c>
      <c r="D17" s="10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10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13" t="s">
        <v>64</v>
      </c>
      <c r="G17" s="13" t="s">
        <v>64</v>
      </c>
      <c r="H17" s="12">
        <f>IF(CARGA_DIARIA!A17="","",C17-D17-E17)</f>
        <v>-4153599.2944817916</v>
      </c>
    </row>
    <row r="18" spans="1:8" ht="15.75" customHeight="1" x14ac:dyDescent="0.25">
      <c r="A18" s="7">
        <f>IF(CARGA_DIARIA!A18="","",CARGA_DIARIA!A18)</f>
        <v>46049</v>
      </c>
      <c r="B18" s="8">
        <f>IF(CARGA_DIARIA!A18="","",CARGA_DIARIA!B18)</f>
        <v>1435</v>
      </c>
      <c r="C18" s="9">
        <f>IF(CARGA_DIARIA!A18="","",IF(CARGA_DIARIA!B18=0,0,(CARGA_DIARIA!C18+CARGA_DIARIA!D18+CARGA_DIARIA!E18+CARGA_DIARIA!F18+CARGA_DIARIA!G18+CARGA_DIARIA!H18+CARGA_DIARIA!I18+CARGA_DIARIA!AF18+CARGA_DIARIA!AG18+CARGA_DIARIA!AH18+CARGA_DIARIA!AI18)/CARGA_DIARIA!B18+CARGA_DIARIA!AE18))</f>
        <v>10957983.279134495</v>
      </c>
      <c r="D18" s="10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10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13" t="s">
        <v>64</v>
      </c>
      <c r="G18" s="13" t="s">
        <v>64</v>
      </c>
      <c r="H18" s="12">
        <f>IF(CARGA_DIARIA!A18="","",C18-D18-E18)</f>
        <v>-6380953.7605867609</v>
      </c>
    </row>
    <row r="19" spans="1:8" ht="15.75" customHeight="1" x14ac:dyDescent="0.25">
      <c r="A19" s="7">
        <f>IF(CARGA_DIARIA!A19="","",CARGA_DIARIA!A19)</f>
        <v>46050</v>
      </c>
      <c r="B19" s="8">
        <f>IF(CARGA_DIARIA!A19="","",CARGA_DIARIA!B19)</f>
        <v>1437</v>
      </c>
      <c r="C19" s="9">
        <f>IF(CARGA_DIARIA!A19="","",IF(CARGA_DIARIA!B19=0,0,(CARGA_DIARIA!C19+CARGA_DIARIA!D19+CARGA_DIARIA!E19+CARGA_DIARIA!F19+CARGA_DIARIA!G19+CARGA_DIARIA!H19+CARGA_DIARIA!I19+CARGA_DIARIA!AF19+CARGA_DIARIA!AG19+CARGA_DIARIA!AH19+CARGA_DIARIA!AI19)/CARGA_DIARIA!B19+CARGA_DIARIA!AE19))</f>
        <v>11013946.187863603</v>
      </c>
      <c r="D19" s="10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10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13" t="s">
        <v>64</v>
      </c>
      <c r="G19" s="13" t="s">
        <v>64</v>
      </c>
      <c r="H19" s="12">
        <f>IF(CARGA_DIARIA!A19="","",C19-D19-E19)</f>
        <v>-5543289.7424634676</v>
      </c>
    </row>
    <row r="20" spans="1:8" ht="15.75" customHeight="1" x14ac:dyDescent="0.25">
      <c r="A20" s="7">
        <f>IF(CARGA_DIARIA!A20="","",CARGA_DIARIA!A20)</f>
        <v>46051</v>
      </c>
      <c r="B20" s="8">
        <f>IF(CARGA_DIARIA!A20="","",CARGA_DIARIA!B20)</f>
        <v>1437</v>
      </c>
      <c r="C20" s="9">
        <f>IF(CARGA_DIARIA!A20="","",IF(CARGA_DIARIA!B20=0,0,(CARGA_DIARIA!C20+CARGA_DIARIA!D20+CARGA_DIARIA!E20+CARGA_DIARIA!F20+CARGA_DIARIA!G20+CARGA_DIARIA!H20+CARGA_DIARIA!I20+CARGA_DIARIA!AF20+CARGA_DIARIA!AG20+CARGA_DIARIA!AH20+CARGA_DIARIA!AI20)/CARGA_DIARIA!B20+CARGA_DIARIA!AE20))</f>
        <v>12269447.708617607</v>
      </c>
      <c r="D20" s="10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10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13" t="s">
        <v>64</v>
      </c>
      <c r="G20" s="13" t="s">
        <v>64</v>
      </c>
      <c r="H20" s="12">
        <f>IF(CARGA_DIARIA!A20="","",C20-D20-E20)</f>
        <v>-4121293.636977382</v>
      </c>
    </row>
    <row r="21" spans="1:8" ht="15.75" customHeight="1" x14ac:dyDescent="0.25">
      <c r="A21" s="7">
        <f>IF(CARGA_DIARIA!A21="","",CARGA_DIARIA!A21)</f>
        <v>46052</v>
      </c>
      <c r="B21" s="8">
        <f>IF(CARGA_DIARIA!A21="","",CARGA_DIARIA!B21)</f>
        <v>1443</v>
      </c>
      <c r="C21" s="9">
        <f>IF(CARGA_DIARIA!A21="","",IF(CARGA_DIARIA!B21=0,0,(CARGA_DIARIA!C21+CARGA_DIARIA!D21+CARGA_DIARIA!E21+CARGA_DIARIA!F21+CARGA_DIARIA!G21+CARGA_DIARIA!H21+CARGA_DIARIA!I21+CARGA_DIARIA!AF21+CARGA_DIARIA!AG21+CARGA_DIARIA!AH21+CARGA_DIARIA!AI21)/CARGA_DIARIA!B21+CARGA_DIARIA!AE21))</f>
        <v>9178992.3769923765</v>
      </c>
      <c r="D21" s="10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10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13" t="s">
        <v>64</v>
      </c>
      <c r="G21" s="13" t="s">
        <v>64</v>
      </c>
      <c r="H21" s="12">
        <f>IF(CARGA_DIARIA!A21="","",C21-D21-E21)</f>
        <v>-6523655.915550936</v>
      </c>
    </row>
    <row r="22" spans="1:8" ht="15.75" customHeight="1" x14ac:dyDescent="0.25">
      <c r="A22" s="7">
        <f>IF(CARGA_DIARIA!A22="","",CARGA_DIARIA!A22)</f>
        <v>46055</v>
      </c>
      <c r="B22" s="8">
        <f>IF(CARGA_DIARIA!A22="","",CARGA_DIARIA!B22)</f>
        <v>1444</v>
      </c>
      <c r="C22" s="9">
        <f>IF(CARGA_DIARIA!A22="","",IF(CARGA_DIARIA!B22=0,0,(CARGA_DIARIA!C22+CARGA_DIARIA!D22+CARGA_DIARIA!E22+CARGA_DIARIA!F22+CARGA_DIARIA!G22+CARGA_DIARIA!H22+CARGA_DIARIA!I22+CARGA_DIARIA!AF22+CARGA_DIARIA!AG22+CARGA_DIARIA!AH22+CARGA_DIARIA!AI22)/CARGA_DIARIA!B22+CARGA_DIARIA!AE22))</f>
        <v>12175388.603878116</v>
      </c>
      <c r="D22" s="10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10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13" t="s">
        <v>64</v>
      </c>
      <c r="G22" s="13" t="s">
        <v>64</v>
      </c>
      <c r="H22" s="12">
        <f>IF(CARGA_DIARIA!A22="","",C22-D22-E22)</f>
        <v>-5188934.156590132</v>
      </c>
    </row>
    <row r="23" spans="1:8" ht="15.75" customHeight="1" x14ac:dyDescent="0.25">
      <c r="A23" s="7">
        <f>IF(CARGA_DIARIA!A23="","",CARGA_DIARIA!A23)</f>
        <v>46056</v>
      </c>
      <c r="B23" s="8">
        <f>IF(CARGA_DIARIA!A23="","",CARGA_DIARIA!B23)</f>
        <v>1447</v>
      </c>
      <c r="C23" s="9">
        <f>IF(CARGA_DIARIA!A23="","",IF(CARGA_DIARIA!B23=0,0,(CARGA_DIARIA!C23+CARGA_DIARIA!D23+CARGA_DIARIA!E23+CARGA_DIARIA!F23+CARGA_DIARIA!G23+CARGA_DIARIA!H23+CARGA_DIARIA!I23+CARGA_DIARIA!AF23+CARGA_DIARIA!AG23+CARGA_DIARIA!AH23+CARGA_DIARIA!AI23)/CARGA_DIARIA!B23+CARGA_DIARIA!AE23))</f>
        <v>12137315.318928817</v>
      </c>
      <c r="D23" s="10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10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13" t="s">
        <v>64</v>
      </c>
      <c r="G23" s="13" t="s">
        <v>64</v>
      </c>
      <c r="H23" s="12">
        <f>IF(CARGA_DIARIA!A23="","",C23-D23-E23)</f>
        <v>-4959546.5201286469</v>
      </c>
    </row>
    <row r="24" spans="1:8" ht="15.75" customHeight="1" x14ac:dyDescent="0.25">
      <c r="A24" s="7">
        <f>IF(CARGA_DIARIA!A24="","",CARGA_DIARIA!A24)</f>
        <v>46057</v>
      </c>
      <c r="B24" s="8">
        <f>IF(CARGA_DIARIA!A24="","",CARGA_DIARIA!B24)</f>
        <v>1444</v>
      </c>
      <c r="C24" s="9">
        <f>IF(CARGA_DIARIA!A24="","",IF(CARGA_DIARIA!B24=0,0,(CARGA_DIARIA!C24+CARGA_DIARIA!D24+CARGA_DIARIA!E24+CARGA_DIARIA!F24+CARGA_DIARIA!G24+CARGA_DIARIA!H24+CARGA_DIARIA!I24+CARGA_DIARIA!AF24+CARGA_DIARIA!AG24+CARGA_DIARIA!AH24+CARGA_DIARIA!AI24)/CARGA_DIARIA!B24+CARGA_DIARIA!AE24))</f>
        <v>12394493.297091413</v>
      </c>
      <c r="D24" s="10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10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13" t="s">
        <v>64</v>
      </c>
      <c r="G24" s="13" t="s">
        <v>64</v>
      </c>
      <c r="H24" s="12">
        <f>IF(CARGA_DIARIA!A24="","",C24-D24-E24)</f>
        <v>-4748445.2099142317</v>
      </c>
    </row>
    <row r="25" spans="1:8" ht="15.75" customHeight="1" x14ac:dyDescent="0.25">
      <c r="A25" s="7">
        <f>IF(CARGA_DIARIA!A25="","",CARGA_DIARIA!A25)</f>
        <v>46058</v>
      </c>
      <c r="B25" s="8">
        <f>IF(CARGA_DIARIA!A25="","",CARGA_DIARIA!B25)</f>
        <v>1444.5</v>
      </c>
      <c r="C25" s="9">
        <f>IF(CARGA_DIARIA!A25="","",IF(CARGA_DIARIA!B25=0,0,(CARGA_DIARIA!C25+CARGA_DIARIA!D25+CARGA_DIARIA!E25+CARGA_DIARIA!F25+CARGA_DIARIA!G25+CARGA_DIARIA!H25+CARGA_DIARIA!I25+CARGA_DIARIA!AF25+CARGA_DIARIA!AG25+CARGA_DIARIA!AH25+CARGA_DIARIA!AI25)/CARGA_DIARIA!B25+CARGA_DIARIA!AE25))</f>
        <v>12396618.468576601</v>
      </c>
      <c r="D25" s="10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10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13" t="s">
        <v>64</v>
      </c>
      <c r="G25" s="13" t="s">
        <v>64</v>
      </c>
      <c r="H25" s="12">
        <f>IF(CARGA_DIARIA!A25="","",C25-D25-E25)</f>
        <v>-4589074.8775266521</v>
      </c>
    </row>
    <row r="26" spans="1:8" ht="15.75" customHeight="1" x14ac:dyDescent="0.25">
      <c r="A26" s="7">
        <f>IF(CARGA_DIARIA!A26="","",CARGA_DIARIA!A26)</f>
        <v>46059</v>
      </c>
      <c r="B26" s="8">
        <f>IF(CARGA_DIARIA!A26="","",CARGA_DIARIA!B26)</f>
        <v>1444.5</v>
      </c>
      <c r="C26" s="9">
        <f>IF(CARGA_DIARIA!A26="","",IF(CARGA_DIARIA!B26=0,0,(CARGA_DIARIA!C26+CARGA_DIARIA!D26+CARGA_DIARIA!E26+CARGA_DIARIA!F26+CARGA_DIARIA!G26+CARGA_DIARIA!H26+CARGA_DIARIA!I26+CARGA_DIARIA!AF26+CARGA_DIARIA!AG26+CARGA_DIARIA!AH26+CARGA_DIARIA!AI26)/CARGA_DIARIA!B26+CARGA_DIARIA!AE26))</f>
        <v>12725032.64511935</v>
      </c>
      <c r="D26" s="10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10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13" t="s">
        <v>64</v>
      </c>
      <c r="G26" s="13" t="s">
        <v>64</v>
      </c>
      <c r="H26" s="12">
        <f>IF(CARGA_DIARIA!A26="","",C26-D26-E26)</f>
        <v>-4086806.1683913115</v>
      </c>
    </row>
    <row r="27" spans="1:8" ht="15.75" customHeight="1" x14ac:dyDescent="0.25">
      <c r="A27" s="7">
        <f>IF(CARGA_DIARIA!A27="","",CARGA_DIARIA!A27)</f>
        <v>46062</v>
      </c>
      <c r="B27" s="8">
        <f>IF(CARGA_DIARIA!A27="","",CARGA_DIARIA!B27)</f>
        <v>1420</v>
      </c>
      <c r="C27" s="9">
        <f>IF(CARGA_DIARIA!A27="","",IF(CARGA_DIARIA!B27=0,0,(CARGA_DIARIA!C27+CARGA_DIARIA!D27+CARGA_DIARIA!E27+CARGA_DIARIA!F27+CARGA_DIARIA!G27+CARGA_DIARIA!H27+CARGA_DIARIA!I27+CARGA_DIARIA!AF27+CARGA_DIARIA!AG27+CARGA_DIARIA!AH27+CARGA_DIARIA!AI27)/CARGA_DIARIA!B27+CARGA_DIARIA!AE27))</f>
        <v>11684696.801905563</v>
      </c>
      <c r="D27" s="10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10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13" t="s">
        <v>64</v>
      </c>
      <c r="G27" s="13" t="s">
        <v>64</v>
      </c>
      <c r="H27" s="12">
        <f>IF(CARGA_DIARIA!A27="","",C27-D27-E27)</f>
        <v>-2634752.7266691905</v>
      </c>
    </row>
    <row r="28" spans="1:8" ht="15.75" customHeight="1" x14ac:dyDescent="0.25">
      <c r="A28" s="7">
        <f>IF(CARGA_DIARIA!A28="","",CARGA_DIARIA!A28)</f>
        <v>46063</v>
      </c>
      <c r="B28" s="8">
        <f>IF(CARGA_DIARIA!A28="","",CARGA_DIARIA!B28)</f>
        <v>1424</v>
      </c>
      <c r="C28" s="9">
        <f>IF(CARGA_DIARIA!A28="","",IF(CARGA_DIARIA!B28=0,0,(CARGA_DIARIA!C28+CARGA_DIARIA!D28+CARGA_DIARIA!E28+CARGA_DIARIA!F28+CARGA_DIARIA!G28+CARGA_DIARIA!H28+CARGA_DIARIA!I28+CARGA_DIARIA!AF28+CARGA_DIARIA!AG28+CARGA_DIARIA!AH28+CARGA_DIARIA!AI28)/CARGA_DIARIA!B28+CARGA_DIARIA!AE28))</f>
        <v>11196426.696949368</v>
      </c>
      <c r="D28" s="10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10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13" t="s">
        <v>64</v>
      </c>
      <c r="G28" s="13" t="s">
        <v>64</v>
      </c>
      <c r="H28" s="12">
        <f>IF(CARGA_DIARIA!A28="","",C28-D28-E28)</f>
        <v>-3034891.4007445574</v>
      </c>
    </row>
    <row r="29" spans="1:8" ht="15.75" customHeight="1" x14ac:dyDescent="0.25">
      <c r="A29" s="7">
        <f>IF(CARGA_DIARIA!A29="","",CARGA_DIARIA!A29)</f>
        <v>46064</v>
      </c>
      <c r="B29" s="8">
        <f>IF(CARGA_DIARIA!A29="","",CARGA_DIARIA!B29)</f>
        <v>1401</v>
      </c>
      <c r="C29" s="9">
        <f>IF(CARGA_DIARIA!A29="","",IF(CARGA_DIARIA!B29=0,0,(CARGA_DIARIA!C29+CARGA_DIARIA!D29+CARGA_DIARIA!E29+CARGA_DIARIA!F29+CARGA_DIARIA!G29+CARGA_DIARIA!H29+CARGA_DIARIA!I29+CARGA_DIARIA!AF29+CARGA_DIARIA!AG29+CARGA_DIARIA!AH29+CARGA_DIARIA!AI29)/CARGA_DIARIA!B29+CARGA_DIARIA!AE29))</f>
        <v>11428022.329092005</v>
      </c>
      <c r="D29" s="10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10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13" t="s">
        <v>64</v>
      </c>
      <c r="G29" s="13" t="s">
        <v>64</v>
      </c>
      <c r="H29" s="12">
        <f>IF(CARGA_DIARIA!A29="","",C29-D29-E29)</f>
        <v>-1860979.9195490722</v>
      </c>
    </row>
    <row r="30" spans="1:8" ht="15.75" customHeight="1" x14ac:dyDescent="0.25">
      <c r="A30" s="7">
        <f>IF(CARGA_DIARIA!A30="","",CARGA_DIARIA!A30)</f>
        <v>46065</v>
      </c>
      <c r="B30" s="8">
        <f>IF(CARGA_DIARIA!A30="","",CARGA_DIARIA!B30)</f>
        <v>1397</v>
      </c>
      <c r="C30" s="9">
        <f>IF(CARGA_DIARIA!A30="","",IF(CARGA_DIARIA!B30=0,0,(CARGA_DIARIA!C30+CARGA_DIARIA!D30+CARGA_DIARIA!E30+CARGA_DIARIA!F30+CARGA_DIARIA!G30+CARGA_DIARIA!H30+CARGA_DIARIA!I30+CARGA_DIARIA!AF30+CARGA_DIARIA!AG30+CARGA_DIARIA!AH30+CARGA_DIARIA!AI30)/CARGA_DIARIA!B30+CARGA_DIARIA!AE30))</f>
        <v>11585139.540860344</v>
      </c>
      <c r="D30" s="10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10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13" t="s">
        <v>64</v>
      </c>
      <c r="G30" s="13" t="s">
        <v>64</v>
      </c>
      <c r="H30" s="12">
        <f>IF(CARGA_DIARIA!A30="","",C30-D30-E30)</f>
        <v>-2098819.9273688253</v>
      </c>
    </row>
    <row r="31" spans="1:8" ht="15.75" customHeight="1" x14ac:dyDescent="0.25">
      <c r="A31" s="7">
        <f>IF(CARGA_DIARIA!A31="","",CARGA_DIARIA!A31)</f>
        <v>46066</v>
      </c>
      <c r="B31" s="8">
        <f>IF(CARGA_DIARIA!A31="","",CARGA_DIARIA!B31)</f>
        <v>1390</v>
      </c>
      <c r="C31" s="9">
        <f>IF(CARGA_DIARIA!A31="","",IF(CARGA_DIARIA!B31=0,0,(CARGA_DIARIA!C31+CARGA_DIARIA!D31+CARGA_DIARIA!E31+CARGA_DIARIA!F31+CARGA_DIARIA!G31+CARGA_DIARIA!H31+CARGA_DIARIA!I31+CARGA_DIARIA!AF31+CARGA_DIARIA!AG31+CARGA_DIARIA!AH31+CARGA_DIARIA!AI31)/CARGA_DIARIA!B31+CARGA_DIARIA!AE31))</f>
        <v>11350096.942251727</v>
      </c>
      <c r="D31" s="10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10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13" t="s">
        <v>64</v>
      </c>
      <c r="G31" s="13" t="s">
        <v>64</v>
      </c>
      <c r="H31" s="12">
        <f>IF(CARGA_DIARIA!A31="","",C31-D31-E31)</f>
        <v>-2122972.2650260776</v>
      </c>
    </row>
    <row r="32" spans="1:8" ht="15.75" customHeight="1" x14ac:dyDescent="0.25">
      <c r="A32" s="7">
        <f>IF(CARGA_DIARIA!A32="","",CARGA_DIARIA!A32)</f>
        <v>46071</v>
      </c>
      <c r="B32" s="8">
        <f>IF(CARGA_DIARIA!A32="","",CARGA_DIARIA!B32)</f>
        <v>1392</v>
      </c>
      <c r="C32" s="9">
        <f>IF(CARGA_DIARIA!A32="","",IF(CARGA_DIARIA!B32=0,0,(CARGA_DIARIA!C32+CARGA_DIARIA!D32+CARGA_DIARIA!E32+CARGA_DIARIA!F32+CARGA_DIARIA!G32+CARGA_DIARIA!H32+CARGA_DIARIA!I32+CARGA_DIARIA!AF32+CARGA_DIARIA!AG32+CARGA_DIARIA!AH32+CARGA_DIARIA!AI32)/CARGA_DIARIA!B32+CARGA_DIARIA!AE32))</f>
        <v>10647476.474810272</v>
      </c>
      <c r="D32" s="10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10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13" t="s">
        <v>64</v>
      </c>
      <c r="G32" s="13" t="s">
        <v>64</v>
      </c>
      <c r="H32" s="12">
        <f>IF(CARGA_DIARIA!A32="","",C32-D32-E32)</f>
        <v>-2614996.6819175351</v>
      </c>
    </row>
    <row r="33" spans="1:8" ht="15.75" customHeight="1" x14ac:dyDescent="0.25">
      <c r="A33" s="7">
        <f>IF(CARGA_DIARIA!A33="","",CARGA_DIARIA!A33)</f>
        <v>46072</v>
      </c>
      <c r="B33" s="8">
        <f>IF(CARGA_DIARIA!A33="","",CARGA_DIARIA!B33)</f>
        <v>1400</v>
      </c>
      <c r="C33" s="9">
        <f>IF(CARGA_DIARIA!A33="","",IF(CARGA_DIARIA!B33=0,0,(CARGA_DIARIA!C33+CARGA_DIARIA!D33+CARGA_DIARIA!E33+CARGA_DIARIA!F33+CARGA_DIARIA!G33+CARGA_DIARIA!H33+CARGA_DIARIA!I33+CARGA_DIARIA!AF33+CARGA_DIARIA!AG33+CARGA_DIARIA!AH33+CARGA_DIARIA!AI33)/CARGA_DIARIA!B33+CARGA_DIARIA!AE33))</f>
        <v>11074755.729754213</v>
      </c>
      <c r="D33" s="10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10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13" t="s">
        <v>64</v>
      </c>
      <c r="G33" s="13" t="s">
        <v>64</v>
      </c>
      <c r="H33" s="12">
        <f>IF(CARGA_DIARIA!A33="","",C33-D33-E33)</f>
        <v>-2022799.3085658923</v>
      </c>
    </row>
    <row r="34" spans="1:8" ht="15.75" customHeight="1" x14ac:dyDescent="0.25">
      <c r="A34" s="7">
        <f>IF(CARGA_DIARIA!A34="","",CARGA_DIARIA!A34)</f>
        <v>46073</v>
      </c>
      <c r="B34" s="8">
        <f>IF(CARGA_DIARIA!A34="","",CARGA_DIARIA!B34)</f>
        <v>1400</v>
      </c>
      <c r="C34" s="9">
        <f>IF(CARGA_DIARIA!A34="","",IF(CARGA_DIARIA!B34=0,0,(CARGA_DIARIA!C34+CARGA_DIARIA!D34+CARGA_DIARIA!E34+CARGA_DIARIA!F34+CARGA_DIARIA!G34+CARGA_DIARIA!H34+CARGA_DIARIA!I34+CARGA_DIARIA!AF34+CARGA_DIARIA!AG34+CARGA_DIARIA!AH34+CARGA_DIARIA!AI34)/CARGA_DIARIA!B34+CARGA_DIARIA!AE34))</f>
        <v>10967182.593454214</v>
      </c>
      <c r="D34" s="10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10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13" t="s">
        <v>64</v>
      </c>
      <c r="G34" s="13" t="s">
        <v>64</v>
      </c>
      <c r="H34" s="12">
        <f>IF(CARGA_DIARIA!A34="","",C34-D34-E34)</f>
        <v>-2095452.2473658919</v>
      </c>
    </row>
    <row r="35" spans="1:8" ht="15.75" customHeight="1" x14ac:dyDescent="0.25">
      <c r="A35" s="7">
        <f>IF(CARGA_DIARIA!A35="","",CARGA_DIARIA!A35)</f>
        <v>46076</v>
      </c>
      <c r="B35" s="8">
        <f>IF(CARGA_DIARIA!A35="","",CARGA_DIARIA!B35)</f>
        <v>1381</v>
      </c>
      <c r="C35" s="9">
        <f>IF(CARGA_DIARIA!A35="","",IF(CARGA_DIARIA!B35=0,0,(CARGA_DIARIA!C35+CARGA_DIARIA!D35+CARGA_DIARIA!E35+CARGA_DIARIA!F35+CARGA_DIARIA!G35+CARGA_DIARIA!H35+CARGA_DIARIA!I35+CARGA_DIARIA!AF35+CARGA_DIARIA!AG35+CARGA_DIARIA!AH35+CARGA_DIARIA!AI35)/CARGA_DIARIA!B35+CARGA_DIARIA!AE35))</f>
        <v>11295875.307918465</v>
      </c>
      <c r="D35" s="10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10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13" t="s">
        <v>64</v>
      </c>
      <c r="G35" s="13" t="s">
        <v>64</v>
      </c>
      <c r="H35" s="12">
        <f>IF(CARGA_DIARIA!A35="","",C35-D35-E35)</f>
        <v>-1457727.154428333</v>
      </c>
    </row>
    <row r="36" spans="1:8" ht="15.75" customHeight="1" x14ac:dyDescent="0.25">
      <c r="A36" s="7">
        <f>IF(CARGA_DIARIA!A36="","",CARGA_DIARIA!A36)</f>
        <v>46077</v>
      </c>
      <c r="B36" s="8">
        <f>IF(CARGA_DIARIA!A36="","",CARGA_DIARIA!B36)</f>
        <v>1360.5</v>
      </c>
      <c r="C36" s="9">
        <f>IF(CARGA_DIARIA!A36="","",IF(CARGA_DIARIA!B36=0,0,(CARGA_DIARIA!C36+CARGA_DIARIA!D36+CARGA_DIARIA!E36+CARGA_DIARIA!F36+CARGA_DIARIA!G36+CARGA_DIARIA!H36+CARGA_DIARIA!I36+CARGA_DIARIA!AF36+CARGA_DIARIA!AG36+CARGA_DIARIA!AH36+CARGA_DIARIA!AI36)/CARGA_DIARIA!B36+CARGA_DIARIA!AE36))</f>
        <v>11301037.950272987</v>
      </c>
      <c r="D36" s="10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10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13" t="s">
        <v>64</v>
      </c>
      <c r="G36" s="13" t="s">
        <v>64</v>
      </c>
      <c r="H36" s="12">
        <f>IF(CARGA_DIARIA!A36="","",C36-D36-E36)</f>
        <v>-1803370.3068982363</v>
      </c>
    </row>
    <row r="37" spans="1:8" ht="15.75" customHeight="1" x14ac:dyDescent="0.25">
      <c r="A37" s="7">
        <f>IF(CARGA_DIARIA!A37="","",CARGA_DIARIA!A37)</f>
        <v>46078</v>
      </c>
      <c r="B37" s="8">
        <f>IF(CARGA_DIARIA!A37="","",CARGA_DIARIA!B37)</f>
        <v>1373.5</v>
      </c>
      <c r="C37" s="9">
        <f>IF(CARGA_DIARIA!A37="","",IF(CARGA_DIARIA!B37=0,0,(CARGA_DIARIA!C37+CARGA_DIARIA!D37+CARGA_DIARIA!E37+CARGA_DIARIA!F37+CARGA_DIARIA!G37+CARGA_DIARIA!H37+CARGA_DIARIA!I37+CARGA_DIARIA!AF37+CARGA_DIARIA!AG37+CARGA_DIARIA!AH37+CARGA_DIARIA!AI37)/CARGA_DIARIA!B37+CARGA_DIARIA!AE37))</f>
        <v>11223543.672571095</v>
      </c>
      <c r="D37" s="10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10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13" t="s">
        <v>64</v>
      </c>
      <c r="G37" s="13" t="s">
        <v>64</v>
      </c>
      <c r="H37" s="12">
        <f>IF(CARGA_DIARIA!A37="","",C37-D37-E37)</f>
        <v>-1795752.6111257654</v>
      </c>
    </row>
    <row r="38" spans="1:8" ht="15.75" customHeight="1" x14ac:dyDescent="0.25">
      <c r="A38" s="7">
        <f>IF(CARGA_DIARIA!A38="","",CARGA_DIARIA!A38)</f>
        <v>46079</v>
      </c>
      <c r="B38" s="8">
        <f>IF(CARGA_DIARIA!A38="","",CARGA_DIARIA!B38)</f>
        <v>1383.5</v>
      </c>
      <c r="C38" s="9">
        <f>IF(CARGA_DIARIA!A38="","",IF(CARGA_DIARIA!B38=0,0,(CARGA_DIARIA!C38+CARGA_DIARIA!D38+CARGA_DIARIA!E38+CARGA_DIARIA!F38+CARGA_DIARIA!G38+CARGA_DIARIA!H38+CARGA_DIARIA!I38+CARGA_DIARIA!AF38+CARGA_DIARIA!AG38+CARGA_DIARIA!AH38+CARGA_DIARIA!AI38)/CARGA_DIARIA!B38+CARGA_DIARIA!AE38))</f>
        <v>11373086.446712252</v>
      </c>
      <c r="D38" s="10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10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13" t="s">
        <v>64</v>
      </c>
      <c r="G38" s="13" t="s">
        <v>64</v>
      </c>
      <c r="H38" s="12">
        <f>IF(CARGA_DIARIA!A38="","",C38-D38-E38)</f>
        <v>-1839330.4536859114</v>
      </c>
    </row>
    <row r="39" spans="1:8" ht="15.75" customHeight="1" x14ac:dyDescent="0.25">
      <c r="A39" s="7">
        <f>IF(CARGA_DIARIA!A39="","",CARGA_DIARIA!A39)</f>
        <v>46080</v>
      </c>
      <c r="B39" s="8">
        <f>IF(CARGA_DIARIA!A39="","",CARGA_DIARIA!B39)</f>
        <v>1401</v>
      </c>
      <c r="C39" s="9">
        <f>IF(CARGA_DIARIA!A39="","",IF(CARGA_DIARIA!B39=0,0,(CARGA_DIARIA!C39+CARGA_DIARIA!D39+CARGA_DIARIA!E39+CARGA_DIARIA!F39+CARGA_DIARIA!G39+CARGA_DIARIA!H39+CARGA_DIARIA!I39+CARGA_DIARIA!AF39+CARGA_DIARIA!AG39+CARGA_DIARIA!AH39+CARGA_DIARIA!AI39)/CARGA_DIARIA!B39+CARGA_DIARIA!AE39))</f>
        <v>11860310.106378587</v>
      </c>
      <c r="D39" s="10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10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13" t="s">
        <v>64</v>
      </c>
      <c r="G39" s="13" t="s">
        <v>64</v>
      </c>
      <c r="H39" s="12">
        <f>IF(CARGA_DIARIA!A39="","",C39-D39-E39)</f>
        <v>-1003574.1661849376</v>
      </c>
    </row>
    <row r="40" spans="1:8" ht="15.75" customHeight="1" x14ac:dyDescent="0.25">
      <c r="A40" s="7">
        <f>IF(CARGA_DIARIA!A40="","",CARGA_DIARIA!A40)</f>
        <v>46083</v>
      </c>
      <c r="B40" s="8">
        <f>IF(CARGA_DIARIA!A40="","",CARGA_DIARIA!B40)</f>
        <v>1407</v>
      </c>
      <c r="C40" s="9">
        <f>IF(CARGA_DIARIA!A40="","",IF(CARGA_DIARIA!B40=0,0,(CARGA_DIARIA!C40+CARGA_DIARIA!D40+CARGA_DIARIA!E40+CARGA_DIARIA!F40+CARGA_DIARIA!G40+CARGA_DIARIA!H40+CARGA_DIARIA!I40+CARGA_DIARIA!AF40+CARGA_DIARIA!AG40+CARGA_DIARIA!AH40+CARGA_DIARIA!AI40)/CARGA_DIARIA!B40+CARGA_DIARIA!AE40))</f>
        <v>13593245.109414641</v>
      </c>
      <c r="D40" s="10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10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13" t="s">
        <v>64</v>
      </c>
      <c r="G40" s="13" t="s">
        <v>64</v>
      </c>
      <c r="H40" s="12">
        <f>IF(CARGA_DIARIA!A40="","",C40-D40-E40)</f>
        <v>-4112731.1791825034</v>
      </c>
    </row>
    <row r="41" spans="1:8" ht="15.75" customHeight="1" x14ac:dyDescent="0.25">
      <c r="A41" s="7">
        <f>IF(CARGA_DIARIA!A41="","",CARGA_DIARIA!A41)</f>
        <v>46084</v>
      </c>
      <c r="B41" s="8">
        <f>IF(CARGA_DIARIA!A41="","",CARGA_DIARIA!B41)</f>
        <v>1403</v>
      </c>
      <c r="C41" s="9">
        <f>IF(CARGA_DIARIA!A41="","",IF(CARGA_DIARIA!B41=0,0,(CARGA_DIARIA!C41+CARGA_DIARIA!D41+CARGA_DIARIA!E41+CARGA_DIARIA!F41+CARGA_DIARIA!G41+CARGA_DIARIA!H41+CARGA_DIARIA!I41+CARGA_DIARIA!AF41+CARGA_DIARIA!AG41+CARGA_DIARIA!AH41+CARGA_DIARIA!AI41)/CARGA_DIARIA!B41+CARGA_DIARIA!AE41))</f>
        <v>13443740.28588482</v>
      </c>
      <c r="D41" s="10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10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13" t="s">
        <v>64</v>
      </c>
      <c r="G41" s="13" t="s">
        <v>64</v>
      </c>
      <c r="H41" s="12">
        <f>IF(CARGA_DIARIA!A41="","",C41-D41-E41)</f>
        <v>-3789193.7369582988</v>
      </c>
    </row>
    <row r="42" spans="1:8" ht="15.75" customHeight="1" x14ac:dyDescent="0.25">
      <c r="A42" s="7">
        <f>IF(CARGA_DIARIA!A42="","",CARGA_DIARIA!A42)</f>
        <v>46085</v>
      </c>
      <c r="B42" s="8">
        <f>IF(CARGA_DIARIA!A42="","",CARGA_DIARIA!B42)</f>
        <v>1407</v>
      </c>
      <c r="C42" s="9">
        <f>IF(CARGA_DIARIA!A42="","",IF(CARGA_DIARIA!B42=0,0,(CARGA_DIARIA!C42+CARGA_DIARIA!D42+CARGA_DIARIA!E42+CARGA_DIARIA!F42+CARGA_DIARIA!G42+CARGA_DIARIA!H42+CARGA_DIARIA!I42+CARGA_DIARIA!AF42+CARGA_DIARIA!AG42+CARGA_DIARIA!AH42+CARGA_DIARIA!AI42)/CARGA_DIARIA!B42+CARGA_DIARIA!AE42))</f>
        <v>13002311.53650064</v>
      </c>
      <c r="D42" s="10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10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13" t="s">
        <v>64</v>
      </c>
      <c r="G42" s="13" t="s">
        <v>64</v>
      </c>
      <c r="H42" s="12">
        <f>IF(CARGA_DIARIA!A42="","",C42-D42-E42)</f>
        <v>-5400485.2849252168</v>
      </c>
    </row>
    <row r="43" spans="1:8" ht="15.75" customHeight="1" x14ac:dyDescent="0.25">
      <c r="A43" s="7">
        <f>IF(CARGA_DIARIA!A43="","",CARGA_DIARIA!A43)</f>
        <v>46086</v>
      </c>
      <c r="B43" s="8">
        <f>IF(CARGA_DIARIA!A43="","",CARGA_DIARIA!B43)</f>
        <v>1400.5</v>
      </c>
      <c r="C43" s="9">
        <f>IF(CARGA_DIARIA!A43="","",IF(CARGA_DIARIA!B43=0,0,(CARGA_DIARIA!C43+CARGA_DIARIA!D43+CARGA_DIARIA!E43+CARGA_DIARIA!F43+CARGA_DIARIA!G43+CARGA_DIARIA!H43+CARGA_DIARIA!I43+CARGA_DIARIA!AF43+CARGA_DIARIA!AG43+CARGA_DIARIA!AH43+CARGA_DIARIA!AI43)/CARGA_DIARIA!B43+CARGA_DIARIA!AE43))</f>
        <v>13995671.172043128</v>
      </c>
      <c r="D43" s="10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10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13" t="s">
        <v>64</v>
      </c>
      <c r="G43" s="13" t="s">
        <v>64</v>
      </c>
      <c r="H43" s="12">
        <f>IF(CARGA_DIARIA!A43="","",C43-D43-E43)</f>
        <v>-3691051.0500059668</v>
      </c>
    </row>
    <row r="44" spans="1:8" ht="15.75" customHeight="1" x14ac:dyDescent="0.25">
      <c r="A44" s="7">
        <f>IF(CARGA_DIARIA!A44="","",CARGA_DIARIA!A44)</f>
        <v>46087</v>
      </c>
      <c r="B44" s="8">
        <f>IF(CARGA_DIARIA!A44="","",CARGA_DIARIA!B44)</f>
        <v>1405</v>
      </c>
      <c r="C44" s="9">
        <f>IF(CARGA_DIARIA!A44="","",IF(CARGA_DIARIA!B44=0,0,(CARGA_DIARIA!C44+CARGA_DIARIA!D44+CARGA_DIARIA!E44+CARGA_DIARIA!F44+CARGA_DIARIA!G44+CARGA_DIARIA!H44+CARGA_DIARIA!I44+CARGA_DIARIA!AF44+CARGA_DIARIA!AG44+CARGA_DIARIA!AH44+CARGA_DIARIA!AI44)/CARGA_DIARIA!B44+CARGA_DIARIA!AE44))</f>
        <v>13414475.715513453</v>
      </c>
      <c r="D44" s="10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10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13" t="s">
        <v>64</v>
      </c>
      <c r="G44" s="13" t="s">
        <v>64</v>
      </c>
      <c r="H44" s="12">
        <f>IF(CARGA_DIARIA!A44="","",C44-D44-E44)</f>
        <v>-4036811.953599859</v>
      </c>
    </row>
    <row r="45" spans="1:8" ht="15.75" customHeight="1" x14ac:dyDescent="0.25">
      <c r="A45" s="7">
        <f>IF(CARGA_DIARIA!A45="","",CARGA_DIARIA!A45)</f>
        <v>46090</v>
      </c>
      <c r="B45" s="8">
        <f>IF(CARGA_DIARIA!A45="","",CARGA_DIARIA!B45)</f>
        <v>1405</v>
      </c>
      <c r="C45" s="9">
        <f>IF(CARGA_DIARIA!A45="","",IF(CARGA_DIARIA!B45=0,0,(CARGA_DIARIA!C45+CARGA_DIARIA!D45+CARGA_DIARIA!E45+CARGA_DIARIA!F45+CARGA_DIARIA!G45+CARGA_DIARIA!H45+CARGA_DIARIA!I45+CARGA_DIARIA!AF45+CARGA_DIARIA!AG45+CARGA_DIARIA!AH45+CARGA_DIARIA!AI45)/CARGA_DIARIA!B45+CARGA_DIARIA!AE45))</f>
        <v>15593377.131039146</v>
      </c>
      <c r="D45" s="10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10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13" t="s">
        <v>64</v>
      </c>
      <c r="G45" s="13" t="s">
        <v>64</v>
      </c>
      <c r="H45" s="12">
        <f>IF(CARGA_DIARIA!A45="","",C45-D45-E45)</f>
        <v>-2260762.8482663371</v>
      </c>
    </row>
    <row r="46" spans="1:8" ht="15.75" customHeight="1" x14ac:dyDescent="0.25">
      <c r="A46" s="7">
        <f>IF(CARGA_DIARIA!A46="","",CARGA_DIARIA!A46)</f>
        <v>46091</v>
      </c>
      <c r="B46" s="8">
        <f>IF(CARGA_DIARIA!A46="","",CARGA_DIARIA!B46)</f>
        <v>1417</v>
      </c>
      <c r="C46" s="9">
        <f>IF(CARGA_DIARIA!A46="","",IF(CARGA_DIARIA!B46=0,0,(CARGA_DIARIA!C46+CARGA_DIARIA!D46+CARGA_DIARIA!E46+CARGA_DIARIA!F46+CARGA_DIARIA!G46+CARGA_DIARIA!H46+CARGA_DIARIA!I46+CARGA_DIARIA!AF46+CARGA_DIARIA!AG46+CARGA_DIARIA!AH46+CARGA_DIARIA!AI46)/CARGA_DIARIA!B46+CARGA_DIARIA!AE46))</f>
        <v>14892415.461506</v>
      </c>
      <c r="D46" s="10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10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13" t="s">
        <v>64</v>
      </c>
      <c r="G46" s="13" t="s">
        <v>64</v>
      </c>
      <c r="H46" s="12">
        <f>IF(CARGA_DIARIA!A46="","",C46-D46-E46)</f>
        <v>-2909551.3946027309</v>
      </c>
    </row>
    <row r="47" spans="1:8" ht="15.75" customHeight="1" x14ac:dyDescent="0.25">
      <c r="A47" s="7">
        <f>IF(CARGA_DIARIA!A47="","",CARGA_DIARIA!A47)</f>
        <v>46092</v>
      </c>
      <c r="B47" s="8">
        <f>IF(CARGA_DIARIA!A47="","",CARGA_DIARIA!B47)</f>
        <v>1401</v>
      </c>
      <c r="C47" s="9">
        <f>IF(CARGA_DIARIA!A47="","",IF(CARGA_DIARIA!B47=0,0,(CARGA_DIARIA!C47+CARGA_DIARIA!D47+CARGA_DIARIA!E47+CARGA_DIARIA!F47+CARGA_DIARIA!G47+CARGA_DIARIA!H47+CARGA_DIARIA!I47+CARGA_DIARIA!AF47+CARGA_DIARIA!AG47+CARGA_DIARIA!AH47+CARGA_DIARIA!AI47)/CARGA_DIARIA!B47+CARGA_DIARIA!AE47))</f>
        <v>14779060.010795146</v>
      </c>
      <c r="D47" s="10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10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13" t="s">
        <v>64</v>
      </c>
      <c r="G47" s="13" t="s">
        <v>64</v>
      </c>
      <c r="H47" s="12">
        <f>IF(CARGA_DIARIA!A47="","",C47-D47-E47)</f>
        <v>-4012465.1102899723</v>
      </c>
    </row>
    <row r="48" spans="1:8" ht="15.75" customHeight="1" x14ac:dyDescent="0.25">
      <c r="A48" s="7">
        <f>IF(CARGA_DIARIA!A48="","",CARGA_DIARIA!A48)</f>
        <v>46093</v>
      </c>
      <c r="B48" s="8">
        <f>IF(CARGA_DIARIA!A48="","",CARGA_DIARIA!B48)</f>
        <v>1393</v>
      </c>
      <c r="C48" s="9">
        <f>IF(CARGA_DIARIA!A48="","",IF(CARGA_DIARIA!B48=0,0,(CARGA_DIARIA!C48+CARGA_DIARIA!D48+CARGA_DIARIA!E48+CARGA_DIARIA!F48+CARGA_DIARIA!G48+CARGA_DIARIA!H48+CARGA_DIARIA!I48+CARGA_DIARIA!AF48+CARGA_DIARIA!AG48+CARGA_DIARIA!AH48+CARGA_DIARIA!AI48)/CARGA_DIARIA!B48+CARGA_DIARIA!AE48))</f>
        <v>15089380.044590091</v>
      </c>
      <c r="D48" s="10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10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13" t="s">
        <v>64</v>
      </c>
      <c r="G48" s="13" t="s">
        <v>64</v>
      </c>
      <c r="H48" s="12">
        <f>IF(CARGA_DIARIA!A48="","",C48-D48-E48)</f>
        <v>-3155017.7676417865</v>
      </c>
    </row>
    <row r="49" spans="1:8" ht="15.75" customHeight="1" x14ac:dyDescent="0.25">
      <c r="A49" s="7">
        <f>IF(CARGA_DIARIA!A49="","",CARGA_DIARIA!A49)</f>
        <v>46094</v>
      </c>
      <c r="B49" s="8">
        <f>IF(CARGA_DIARIA!A49="","",CARGA_DIARIA!B49)</f>
        <v>1397</v>
      </c>
      <c r="C49" s="9">
        <f>IF(CARGA_DIARIA!A49="","",IF(CARGA_DIARIA!B49=0,0,(CARGA_DIARIA!C49+CARGA_DIARIA!D49+CARGA_DIARIA!E49+CARGA_DIARIA!F49+CARGA_DIARIA!G49+CARGA_DIARIA!H49+CARGA_DIARIA!I49+CARGA_DIARIA!AF49+CARGA_DIARIA!AG49+CARGA_DIARIA!AH49+CARGA_DIARIA!AI49)/CARGA_DIARIA!B49+CARGA_DIARIA!AE49))</f>
        <v>14581092.463379385</v>
      </c>
      <c r="D49" s="10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10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13" t="s">
        <v>64</v>
      </c>
      <c r="G49" s="13" t="s">
        <v>64</v>
      </c>
      <c r="H49" s="12">
        <f>IF(CARGA_DIARIA!A49="","",C49-D49-E49)</f>
        <v>-2170849.5972496532</v>
      </c>
    </row>
    <row r="50" spans="1:8" ht="15.75" customHeight="1" x14ac:dyDescent="0.25">
      <c r="A50" s="7">
        <f>IF(CARGA_DIARIA!A50="","",CARGA_DIARIA!A50)</f>
        <v>46097</v>
      </c>
      <c r="B50" s="8">
        <f>IF(CARGA_DIARIA!A50="","",CARGA_DIARIA!B50)</f>
        <v>1386</v>
      </c>
      <c r="C50" s="9">
        <f>IF(CARGA_DIARIA!A50="","",IF(CARGA_DIARIA!B50=0,0,(CARGA_DIARIA!C50+CARGA_DIARIA!D50+CARGA_DIARIA!E50+CARGA_DIARIA!F50+CARGA_DIARIA!G50+CARGA_DIARIA!H50+CARGA_DIARIA!I50+CARGA_DIARIA!AF50+CARGA_DIARIA!AG50+CARGA_DIARIA!AH50+CARGA_DIARIA!AI50)/CARGA_DIARIA!B50+CARGA_DIARIA!AE50))</f>
        <v>14598884.946025254</v>
      </c>
      <c r="D50" s="10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10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13" t="s">
        <v>64</v>
      </c>
      <c r="G50" s="13" t="s">
        <v>64</v>
      </c>
      <c r="H50" s="12">
        <f>IF(CARGA_DIARIA!A50="","",C50-D50-E50)</f>
        <v>-1904278.6669319868</v>
      </c>
    </row>
    <row r="51" spans="1:8" ht="15.75" customHeight="1" x14ac:dyDescent="0.25">
      <c r="A51" s="7">
        <f>IF(CARGA_DIARIA!A51="","",CARGA_DIARIA!A51)</f>
        <v>46098</v>
      </c>
      <c r="B51" s="8">
        <f>IF(CARGA_DIARIA!A51="","",CARGA_DIARIA!B51)</f>
        <v>1390</v>
      </c>
      <c r="C51" s="9">
        <f>IF(CARGA_DIARIA!A51="","",IF(CARGA_DIARIA!B51=0,0,(CARGA_DIARIA!C51+CARGA_DIARIA!D51+CARGA_DIARIA!E51+CARGA_DIARIA!F51+CARGA_DIARIA!G51+CARGA_DIARIA!H51+CARGA_DIARIA!I51+CARGA_DIARIA!AF51+CARGA_DIARIA!AG51+CARGA_DIARIA!AH51+CARGA_DIARIA!AI51)/CARGA_DIARIA!B51+CARGA_DIARIA!AE51))</f>
        <v>14312131.235238129</v>
      </c>
      <c r="D51" s="10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10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13" t="s">
        <v>64</v>
      </c>
      <c r="G51" s="13" t="s">
        <v>64</v>
      </c>
      <c r="H51" s="12">
        <f>IF(CARGA_DIARIA!A51="","",C51-D51-E51)</f>
        <v>-2321184.4973921124</v>
      </c>
    </row>
    <row r="52" spans="1:8" ht="15.75" customHeight="1" x14ac:dyDescent="0.25">
      <c r="A52" s="7">
        <f>IF(CARGA_DIARIA!A52="","",CARGA_DIARIA!A52)</f>
        <v>46099</v>
      </c>
      <c r="B52" s="8">
        <f>IF(CARGA_DIARIA!A52="","",CARGA_DIARIA!B52)</f>
        <v>1394</v>
      </c>
      <c r="C52" s="9">
        <f>IF(CARGA_DIARIA!A52="","",IF(CARGA_DIARIA!B52=0,0,(CARGA_DIARIA!C52+CARGA_DIARIA!D52+CARGA_DIARIA!E52+CARGA_DIARIA!F52+CARGA_DIARIA!G52+CARGA_DIARIA!H52+CARGA_DIARIA!I52+CARGA_DIARIA!AF52+CARGA_DIARIA!AG52+CARGA_DIARIA!AH52+CARGA_DIARIA!AI52)/CARGA_DIARIA!B52+CARGA_DIARIA!AE52))</f>
        <v>14288022.06385581</v>
      </c>
      <c r="D52" s="10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10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13" t="s">
        <v>64</v>
      </c>
      <c r="G52" s="13" t="s">
        <v>64</v>
      </c>
      <c r="H52" s="12">
        <f>IF(CARGA_DIARIA!A52="","",C52-D52-E52)</f>
        <v>-2310590.1851159688</v>
      </c>
    </row>
    <row r="53" spans="1:8" ht="15.75" customHeight="1" x14ac:dyDescent="0.25">
      <c r="A53" s="7">
        <f>IF(CARGA_DIARIA!A53="","",CARGA_DIARIA!A53)</f>
        <v>46100</v>
      </c>
      <c r="B53" s="8">
        <f>IF(CARGA_DIARIA!A53="","",CARGA_DIARIA!B53)</f>
        <v>1397</v>
      </c>
      <c r="C53" s="9">
        <f>IF(CARGA_DIARIA!A53="","",IF(CARGA_DIARIA!B53=0,0,(CARGA_DIARIA!C53+CARGA_DIARIA!D53+CARGA_DIARIA!E53+CARGA_DIARIA!F53+CARGA_DIARIA!G53+CARGA_DIARIA!H53+CARGA_DIARIA!I53+CARGA_DIARIA!AF53+CARGA_DIARIA!AG53+CARGA_DIARIA!AH53+CARGA_DIARIA!AI53)/CARGA_DIARIA!B53+CARGA_DIARIA!AE53))</f>
        <v>14018386.709863279</v>
      </c>
      <c r="D53" s="10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10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13" t="s">
        <v>64</v>
      </c>
      <c r="G53" s="13" t="s">
        <v>64</v>
      </c>
      <c r="H53" s="12">
        <f>IF(CARGA_DIARIA!A53="","",C53-D53-E53)</f>
        <v>-2414014.6650756095</v>
      </c>
    </row>
    <row r="54" spans="1:8" ht="15.75" customHeight="1" x14ac:dyDescent="0.25">
      <c r="A54" s="7">
        <f>IF(CARGA_DIARIA!A54="","",CARGA_DIARIA!A54)</f>
        <v>46101</v>
      </c>
      <c r="B54" s="8">
        <f>IF(CARGA_DIARIA!A54="","",CARGA_DIARIA!B54)</f>
        <v>1391</v>
      </c>
      <c r="C54" s="9">
        <f>IF(CARGA_DIARIA!A54="","",IF(CARGA_DIARIA!B54=0,0,(CARGA_DIARIA!C54+CARGA_DIARIA!D54+CARGA_DIARIA!E54+CARGA_DIARIA!F54+CARGA_DIARIA!G54+CARGA_DIARIA!H54+CARGA_DIARIA!I54+CARGA_DIARIA!AF54+CARGA_DIARIA!AG54+CARGA_DIARIA!AH54+CARGA_DIARIA!AI54)/CARGA_DIARIA!B54+CARGA_DIARIA!AE54))</f>
        <v>14679009.021608913</v>
      </c>
      <c r="D54" s="10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10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13" t="s">
        <v>64</v>
      </c>
      <c r="G54" s="13" t="s">
        <v>64</v>
      </c>
      <c r="H54" s="12">
        <f>IF(CARGA_DIARIA!A54="","",C54-D54-E54)</f>
        <v>-2049933.8186381701</v>
      </c>
    </row>
    <row r="55" spans="1:8" ht="15.75" customHeight="1" x14ac:dyDescent="0.25">
      <c r="A55" s="7">
        <f>IF(CARGA_DIARIA!A55="","",CARGA_DIARIA!A55)</f>
        <v>46106</v>
      </c>
      <c r="B55" s="8">
        <f>IF(CARGA_DIARIA!A55="","",CARGA_DIARIA!B55)</f>
        <v>1392</v>
      </c>
      <c r="C55" s="9">
        <f>IF(CARGA_DIARIA!A55="","",IF(CARGA_DIARIA!B55=0,0,(CARGA_DIARIA!C55+CARGA_DIARIA!D55+CARGA_DIARIA!E55+CARGA_DIARIA!F55+CARGA_DIARIA!G55+CARGA_DIARIA!H55+CARGA_DIARIA!I55+CARGA_DIARIA!AF55+CARGA_DIARIA!AG55+CARGA_DIARIA!AH55+CARGA_DIARIA!AI55)/CARGA_DIARIA!B55+CARGA_DIARIA!AE55))</f>
        <v>15934251.767841235</v>
      </c>
      <c r="D55" s="10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10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13" t="s">
        <v>64</v>
      </c>
      <c r="G55" s="13" t="s">
        <v>64</v>
      </c>
      <c r="H55" s="12">
        <f>IF(CARGA_DIARIA!A55="","",C55-D55-E55)</f>
        <v>-367356.90903473459</v>
      </c>
    </row>
    <row r="56" spans="1:8" ht="15.75" customHeight="1" x14ac:dyDescent="0.25">
      <c r="A56" s="7">
        <f>IF(CARGA_DIARIA!A56="","",CARGA_DIARIA!A56)</f>
        <v>46107</v>
      </c>
      <c r="B56" s="8">
        <f>IF(CARGA_DIARIA!A56="","",CARGA_DIARIA!B56)</f>
        <v>1375</v>
      </c>
      <c r="C56" s="9">
        <f>IF(CARGA_DIARIA!A56="","",IF(CARGA_DIARIA!B56=0,0,(CARGA_DIARIA!C56+CARGA_DIARIA!D56+CARGA_DIARIA!E56+CARGA_DIARIA!F56+CARGA_DIARIA!G56+CARGA_DIARIA!H56+CARGA_DIARIA!I56+CARGA_DIARIA!AF56+CARGA_DIARIA!AG56+CARGA_DIARIA!AH56+CARGA_DIARIA!AI56)/CARGA_DIARIA!B56+CARGA_DIARIA!AE56))</f>
        <v>15955288.299964365</v>
      </c>
      <c r="D56" s="10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10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13" t="s">
        <v>64</v>
      </c>
      <c r="G56" s="13" t="s">
        <v>64</v>
      </c>
      <c r="H56" s="12">
        <f>IF(CARGA_DIARIA!A56="","",C56-D56-E56)</f>
        <v>-447278.29981105775</v>
      </c>
    </row>
    <row r="57" spans="1:8" ht="15.75" customHeight="1" x14ac:dyDescent="0.25">
      <c r="A57" s="7">
        <f>IF(CARGA_DIARIA!A57="","",CARGA_DIARIA!A57)</f>
        <v>46108</v>
      </c>
      <c r="B57" s="8">
        <f>IF(CARGA_DIARIA!A57="","",CARGA_DIARIA!B57)</f>
        <v>1366</v>
      </c>
      <c r="C57" s="9">
        <f>IF(CARGA_DIARIA!A57="","",IF(CARGA_DIARIA!B57=0,0,(CARGA_DIARIA!C57+CARGA_DIARIA!D57+CARGA_DIARIA!E57+CARGA_DIARIA!F57+CARGA_DIARIA!G57+CARGA_DIARIA!H57+CARGA_DIARIA!I57+CARGA_DIARIA!AF57+CARGA_DIARIA!AG57+CARGA_DIARIA!AH57+CARGA_DIARIA!AI57)/CARGA_DIARIA!B57+CARGA_DIARIA!AE57))</f>
        <v>15923706.264781114</v>
      </c>
      <c r="D57" s="10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10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13" t="s">
        <v>64</v>
      </c>
      <c r="G57" s="13" t="s">
        <v>64</v>
      </c>
      <c r="H57" s="12">
        <f>IF(CARGA_DIARIA!A57="","",C57-D57-E57)</f>
        <v>-340765.30757050216</v>
      </c>
    </row>
    <row r="58" spans="1:8" ht="15.75" customHeight="1" x14ac:dyDescent="0.25">
      <c r="A58" s="7">
        <f>IF(CARGA_DIARIA!A58="","",CARGA_DIARIA!A58)</f>
        <v>46111</v>
      </c>
      <c r="B58" s="8">
        <f>IF(CARGA_DIARIA!A58="","",CARGA_DIARIA!B58)</f>
        <v>1371.5</v>
      </c>
      <c r="C58" s="9">
        <f>IF(CARGA_DIARIA!A58="","",IF(CARGA_DIARIA!B58=0,0,(CARGA_DIARIA!C58+CARGA_DIARIA!D58+CARGA_DIARIA!E58+CARGA_DIARIA!F58+CARGA_DIARIA!G58+CARGA_DIARIA!H58+CARGA_DIARIA!I58+CARGA_DIARIA!AF58+CARGA_DIARIA!AG58+CARGA_DIARIA!AH58+CARGA_DIARIA!AI58)/CARGA_DIARIA!B58+CARGA_DIARIA!AE58))</f>
        <v>16026472.12853992</v>
      </c>
      <c r="D58" s="10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10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13" t="s">
        <v>64</v>
      </c>
      <c r="G58" s="13" t="s">
        <v>64</v>
      </c>
      <c r="H58" s="12">
        <f>IF(CARGA_DIARIA!A58="","",C58-D58-E58)</f>
        <v>-721017.26117800549</v>
      </c>
    </row>
    <row r="59" spans="1:8" ht="15.75" customHeight="1" x14ac:dyDescent="0.25">
      <c r="A59" s="7">
        <f>IF(CARGA_DIARIA!A59="","",CARGA_DIARIA!A59)</f>
        <v>46112</v>
      </c>
      <c r="B59" s="8">
        <f>IF(CARGA_DIARIA!A59="","",CARGA_DIARIA!B59)</f>
        <v>1371.5</v>
      </c>
      <c r="C59" s="9">
        <f>IF(CARGA_DIARIA!A59="","",IF(CARGA_DIARIA!B59=0,0,(CARGA_DIARIA!C59+CARGA_DIARIA!D59+CARGA_DIARIA!E59+CARGA_DIARIA!F59+CARGA_DIARIA!G59+CARGA_DIARIA!H59+CARGA_DIARIA!I59+CARGA_DIARIA!AF59+CARGA_DIARIA!AG59+CARGA_DIARIA!AH59+CARGA_DIARIA!AI59)/CARGA_DIARIA!B59+CARGA_DIARIA!AE59))</f>
        <v>16386524.371801678</v>
      </c>
      <c r="D59" s="10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10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13" t="s">
        <v>64</v>
      </c>
      <c r="G59" s="13" t="s">
        <v>64</v>
      </c>
      <c r="H59" s="12">
        <f>IF(CARGA_DIARIA!A59="","",C59-D59-E59)</f>
        <v>281812.32731160335</v>
      </c>
    </row>
    <row r="60" spans="1:8" ht="15.75" customHeight="1" x14ac:dyDescent="0.25">
      <c r="A60" s="7">
        <f>IF(CARGA_DIARIA!A60="","",CARGA_DIARIA!A60)</f>
        <v>46118</v>
      </c>
      <c r="B60" s="8">
        <f>IF(CARGA_DIARIA!A60="","",CARGA_DIARIA!B60)</f>
        <v>1383</v>
      </c>
      <c r="C60" s="9">
        <f>IF(CARGA_DIARIA!A60="","",IF(CARGA_DIARIA!B60=0,0,(CARGA_DIARIA!C60+CARGA_DIARIA!D60+CARGA_DIARIA!E60+CARGA_DIARIA!F60+CARGA_DIARIA!G60+CARGA_DIARIA!H60+CARGA_DIARIA!I60+CARGA_DIARIA!AF60+CARGA_DIARIA!AG60+CARGA_DIARIA!AH60+CARGA_DIARIA!AI60)/CARGA_DIARIA!B60+CARGA_DIARIA!AE60))</f>
        <v>16836415.4699389</v>
      </c>
      <c r="D60" s="10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10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13" t="s">
        <v>64</v>
      </c>
      <c r="G60" s="13" t="s">
        <v>64</v>
      </c>
      <c r="H60" s="12">
        <f>IF(CARGA_DIARIA!A60="","",C60-D60-E60)</f>
        <v>-1579807.0743112341</v>
      </c>
    </row>
    <row r="61" spans="1:8" ht="15.75" customHeight="1" x14ac:dyDescent="0.25">
      <c r="A61" s="7">
        <f>IF(CARGA_DIARIA!A61="","",CARGA_DIARIA!A61)</f>
        <v>46119</v>
      </c>
      <c r="B61" s="8">
        <f>IF(CARGA_DIARIA!A61="","",CARGA_DIARIA!B61)</f>
        <v>1382</v>
      </c>
      <c r="C61" s="9">
        <f>IF(CARGA_DIARIA!A61="","",IF(CARGA_DIARIA!B61=0,0,(CARGA_DIARIA!C61+CARGA_DIARIA!D61+CARGA_DIARIA!E61+CARGA_DIARIA!F61+CARGA_DIARIA!G61+CARGA_DIARIA!H61+CARGA_DIARIA!I61+CARGA_DIARIA!AF61+CARGA_DIARIA!AG61+CARGA_DIARIA!AH61+CARGA_DIARIA!AI61)/CARGA_DIARIA!B61+CARGA_DIARIA!AE61))</f>
        <v>17026713.688537266</v>
      </c>
      <c r="D61" s="10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10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13" t="s">
        <v>64</v>
      </c>
      <c r="G61" s="13" t="s">
        <v>64</v>
      </c>
      <c r="H61" s="12">
        <f>IF(CARGA_DIARIA!A61="","",C61-D61-E61)</f>
        <v>-1560146.3314185701</v>
      </c>
    </row>
    <row r="62" spans="1:8" ht="15.75" customHeight="1" x14ac:dyDescent="0.25">
      <c r="A62" s="7">
        <f>IF(CARGA_DIARIA!A62="","",CARGA_DIARIA!A62)</f>
        <v>46120</v>
      </c>
      <c r="B62" s="8">
        <f>IF(CARGA_DIARIA!A62="","",CARGA_DIARIA!B62)</f>
        <v>1382.5</v>
      </c>
      <c r="C62" s="9">
        <f>IF(CARGA_DIARIA!A62="","",IF(CARGA_DIARIA!B62=0,0,(CARGA_DIARIA!C62+CARGA_DIARIA!D62+CARGA_DIARIA!E62+CARGA_DIARIA!F62+CARGA_DIARIA!G62+CARGA_DIARIA!H62+CARGA_DIARIA!I62+CARGA_DIARIA!AF62+CARGA_DIARIA!AG62+CARGA_DIARIA!AH62+CARGA_DIARIA!AI62)/CARGA_DIARIA!B62+CARGA_DIARIA!AE62))</f>
        <v>16812647.526650634</v>
      </c>
      <c r="D62" s="10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10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13" t="s">
        <v>64</v>
      </c>
      <c r="G62" s="13" t="s">
        <v>64</v>
      </c>
      <c r="H62" s="12">
        <f>IF(CARGA_DIARIA!A62="","",C62-D62-E62)</f>
        <v>-1707289.642346438</v>
      </c>
    </row>
    <row r="63" spans="1:8" ht="15.75" customHeight="1" x14ac:dyDescent="0.25">
      <c r="A63" s="7">
        <f>IF(CARGA_DIARIA!A63="","",CARGA_DIARIA!A63)</f>
        <v>46121</v>
      </c>
      <c r="B63" s="8">
        <f>IF(CARGA_DIARIA!A63="","",CARGA_DIARIA!B63)</f>
        <v>1382.5</v>
      </c>
      <c r="C63" s="9">
        <f>IF(CARGA_DIARIA!A63="","",IF(CARGA_DIARIA!B63=0,0,(CARGA_DIARIA!C63+CARGA_DIARIA!D63+CARGA_DIARIA!E63+CARGA_DIARIA!F63+CARGA_DIARIA!G63+CARGA_DIARIA!H63+CARGA_DIARIA!I63+CARGA_DIARIA!AF63+CARGA_DIARIA!AG63+CARGA_DIARIA!AH63+CARGA_DIARIA!AI63)/CARGA_DIARIA!B63+CARGA_DIARIA!AE63))</f>
        <v>17800202.896981195</v>
      </c>
      <c r="D63" s="10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10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13" t="s">
        <v>64</v>
      </c>
      <c r="G63" s="13" t="s">
        <v>64</v>
      </c>
      <c r="H63" s="12">
        <f>IF(CARGA_DIARIA!A63="","",C63-D63-E63)</f>
        <v>-279680.0904607214</v>
      </c>
    </row>
    <row r="64" spans="1:8" ht="15.75" customHeight="1" x14ac:dyDescent="0.25">
      <c r="A64" s="7">
        <f>IF(CARGA_DIARIA!A64="","",CARGA_DIARIA!A64)</f>
        <v>46122</v>
      </c>
      <c r="B64" s="8">
        <f>IF(CARGA_DIARIA!A64="","",CARGA_DIARIA!B64)</f>
        <v>1382</v>
      </c>
      <c r="C64" s="9">
        <f>IF(CARGA_DIARIA!A64="","",IF(CARGA_DIARIA!B64=0,0,(CARGA_DIARIA!C64+CARGA_DIARIA!D64+CARGA_DIARIA!E64+CARGA_DIARIA!F64+CARGA_DIARIA!G64+CARGA_DIARIA!H64+CARGA_DIARIA!I64+CARGA_DIARIA!AF64+CARGA_DIARIA!AG64+CARGA_DIARIA!AH64+CARGA_DIARIA!AI64)/CARGA_DIARIA!B64+CARGA_DIARIA!AE64))</f>
        <v>17742299.121546309</v>
      </c>
      <c r="D64" s="10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10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13" t="s">
        <v>64</v>
      </c>
      <c r="G64" s="13" t="s">
        <v>64</v>
      </c>
      <c r="H64" s="12">
        <f>IF(CARGA_DIARIA!A64="","",C64-D64-E64)</f>
        <v>-502638.77105786279</v>
      </c>
    </row>
    <row r="65" spans="1:8" ht="15.75" customHeight="1" x14ac:dyDescent="0.25">
      <c r="A65" s="7">
        <f>IF(CARGA_DIARIA!A65="","",CARGA_DIARIA!A65)</f>
        <v>46125</v>
      </c>
      <c r="B65" s="8">
        <f>IF(CARGA_DIARIA!A65="","",CARGA_DIARIA!B65)</f>
        <v>1371.5</v>
      </c>
      <c r="C65" s="9">
        <f>IF(CARGA_DIARIA!A65="","",IF(CARGA_DIARIA!B65=0,0,(CARGA_DIARIA!C65+CARGA_DIARIA!D65+CARGA_DIARIA!E65+CARGA_DIARIA!F65+CARGA_DIARIA!G65+CARGA_DIARIA!H65+CARGA_DIARIA!I65+CARGA_DIARIA!AF65+CARGA_DIARIA!AG65+CARGA_DIARIA!AH65+CARGA_DIARIA!AI65)/CARGA_DIARIA!B65+CARGA_DIARIA!AE65))</f>
        <v>15948554.377413053</v>
      </c>
      <c r="D65" s="10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10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13" t="s">
        <v>64</v>
      </c>
      <c r="G65" s="13" t="s">
        <v>64</v>
      </c>
      <c r="H65" s="12">
        <f>IF(CARGA_DIARIA!A65="","",C65-D65-E65)</f>
        <v>-1787704.4310665876</v>
      </c>
    </row>
    <row r="66" spans="1:8" ht="15.75" customHeight="1" x14ac:dyDescent="0.25">
      <c r="A66" s="7">
        <f>IF(CARGA_DIARIA!A66="","",CARGA_DIARIA!A66)</f>
        <v>46126</v>
      </c>
      <c r="B66" s="8">
        <f>IF(CARGA_DIARIA!A66="","",CARGA_DIARIA!B66)</f>
        <v>1360</v>
      </c>
      <c r="C66" s="9">
        <f>IF(CARGA_DIARIA!A66="","",IF(CARGA_DIARIA!B66=0,0,(CARGA_DIARIA!C66+CARGA_DIARIA!D66+CARGA_DIARIA!E66+CARGA_DIARIA!F66+CARGA_DIARIA!G66+CARGA_DIARIA!H66+CARGA_DIARIA!I66+CARGA_DIARIA!AF66+CARGA_DIARIA!AG66+CARGA_DIARIA!AH66+CARGA_DIARIA!AI66)/CARGA_DIARIA!B66+CARGA_DIARIA!AE66))</f>
        <v>15830321.136578677</v>
      </c>
      <c r="D66" s="10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10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13" t="s">
        <v>64</v>
      </c>
      <c r="G66" s="13" t="s">
        <v>64</v>
      </c>
      <c r="H66" s="12">
        <f>IF(CARGA_DIARIA!A66="","",C66-D66-E66)</f>
        <v>-2287392.0155990608</v>
      </c>
    </row>
    <row r="67" spans="1:8" ht="15.75" customHeight="1" x14ac:dyDescent="0.25">
      <c r="A67" s="7">
        <f>IF(CARGA_DIARIA!A67="","",CARGA_DIARIA!A67)</f>
        <v>46127</v>
      </c>
      <c r="B67" s="8">
        <f>IF(CARGA_DIARIA!A67="","",CARGA_DIARIA!B67)</f>
        <v>1352</v>
      </c>
      <c r="C67" s="9">
        <f>IF(CARGA_DIARIA!A67="","",IF(CARGA_DIARIA!B67=0,0,(CARGA_DIARIA!C67+CARGA_DIARIA!D67+CARGA_DIARIA!E67+CARGA_DIARIA!F67+CARGA_DIARIA!G67+CARGA_DIARIA!H67+CARGA_DIARIA!I67+CARGA_DIARIA!AF67+CARGA_DIARIA!AG67+CARGA_DIARIA!AH67+CARGA_DIARIA!AI67)/CARGA_DIARIA!B67+CARGA_DIARIA!AE67))</f>
        <v>15776139.750101332</v>
      </c>
      <c r="D67" s="10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10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13" t="s">
        <v>64</v>
      </c>
      <c r="G67" s="13" t="s">
        <v>64</v>
      </c>
      <c r="H67" s="12">
        <f>IF(CARGA_DIARIA!A67="","",C67-D67-E67)</f>
        <v>-1894275.5169178993</v>
      </c>
    </row>
    <row r="68" spans="1:8" ht="15.75" customHeight="1" x14ac:dyDescent="0.25">
      <c r="A68" s="7">
        <f>IF(CARGA_DIARIA!A68="","",CARGA_DIARIA!A68)</f>
        <v>46128</v>
      </c>
      <c r="B68" s="8">
        <f>IF(CARGA_DIARIA!A68="","",CARGA_DIARIA!B68)</f>
        <v>1360</v>
      </c>
      <c r="C68" s="9">
        <f>IF(CARGA_DIARIA!A68="","",IF(CARGA_DIARIA!B68=0,0,(CARGA_DIARIA!C68+CARGA_DIARIA!D68+CARGA_DIARIA!E68+CARGA_DIARIA!F68+CARGA_DIARIA!G68+CARGA_DIARIA!H68+CARGA_DIARIA!I68+CARGA_DIARIA!AF68+CARGA_DIARIA!AG68+CARGA_DIARIA!AH68+CARGA_DIARIA!AI68)/CARGA_DIARIA!B68+CARGA_DIARIA!AE68))</f>
        <v>15472395.509915441</v>
      </c>
      <c r="D68" s="10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10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13" t="s">
        <v>64</v>
      </c>
      <c r="G68" s="13" t="s">
        <v>64</v>
      </c>
      <c r="H68" s="12">
        <f>IF(CARGA_DIARIA!A68="","",C68-D68-E68)</f>
        <v>-2285553.4159387667</v>
      </c>
    </row>
    <row r="69" spans="1:8" ht="15.75" customHeight="1" x14ac:dyDescent="0.25">
      <c r="A69" s="7">
        <f>IF(CARGA_DIARIA!A69="","",CARGA_DIARIA!A69)</f>
        <v>46129</v>
      </c>
      <c r="B69" s="8">
        <f>IF(CARGA_DIARIA!A69="","",CARGA_DIARIA!B69)</f>
        <v>1350.5</v>
      </c>
      <c r="C69" s="9">
        <f>IF(CARGA_DIARIA!A69="","",IF(CARGA_DIARIA!B69=0,0,(CARGA_DIARIA!C69+CARGA_DIARIA!D69+CARGA_DIARIA!E69+CARGA_DIARIA!F69+CARGA_DIARIA!G69+CARGA_DIARIA!H69+CARGA_DIARIA!I69+CARGA_DIARIA!AF69+CARGA_DIARIA!AG69+CARGA_DIARIA!AH69+CARGA_DIARIA!AI69)/CARGA_DIARIA!B69+CARGA_DIARIA!AE69))</f>
        <v>14691071.547777861</v>
      </c>
      <c r="D69" s="10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10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13" t="s">
        <v>64</v>
      </c>
      <c r="G69" s="13" t="s">
        <v>64</v>
      </c>
      <c r="H69" s="12">
        <f>IF(CARGA_DIARIA!A69="","",C69-D69-E69)</f>
        <v>-2476300.5749852266</v>
      </c>
    </row>
    <row r="70" spans="1:8" ht="15.75" customHeight="1" x14ac:dyDescent="0.25">
      <c r="A70" s="7">
        <f>IF(CARGA_DIARIA!A70="","",CARGA_DIARIA!A70)</f>
        <v>46132</v>
      </c>
      <c r="B70" s="8">
        <f>IF(CARGA_DIARIA!A70="","",CARGA_DIARIA!B70)</f>
        <v>1355.5</v>
      </c>
      <c r="C70" s="9">
        <f>IF(CARGA_DIARIA!A70="","",IF(CARGA_DIARIA!B70=0,0,(CARGA_DIARIA!C70+CARGA_DIARIA!D70+CARGA_DIARIA!E70+CARGA_DIARIA!F70+CARGA_DIARIA!G70+CARGA_DIARIA!H70+CARGA_DIARIA!I70+CARGA_DIARIA!AF70+CARGA_DIARIA!AG70+CARGA_DIARIA!AH70+CARGA_DIARIA!AI70)/CARGA_DIARIA!B70+CARGA_DIARIA!AE70))</f>
        <v>15469566.789246773</v>
      </c>
      <c r="D70" s="10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10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13" t="s">
        <v>64</v>
      </c>
      <c r="G70" s="13" t="s">
        <v>64</v>
      </c>
      <c r="H70" s="12">
        <f>IF(CARGA_DIARIA!A70="","",C70-D70-E70)</f>
        <v>-1429367.4977221526</v>
      </c>
    </row>
    <row r="71" spans="1:8" ht="15.75" customHeight="1" x14ac:dyDescent="0.25">
      <c r="A71" s="7">
        <f>IF(CARGA_DIARIA!A71="","",CARGA_DIARIA!A71)</f>
        <v>46133</v>
      </c>
      <c r="B71" s="8">
        <f>IF(CARGA_DIARIA!A71="","",CARGA_DIARIA!B71)</f>
        <v>1372</v>
      </c>
      <c r="C71" s="9">
        <f>IF(CARGA_DIARIA!A71="","",IF(CARGA_DIARIA!B71=0,0,(CARGA_DIARIA!C71+CARGA_DIARIA!D71+CARGA_DIARIA!E71+CARGA_DIARIA!F71+CARGA_DIARIA!G71+CARGA_DIARIA!H71+CARGA_DIARIA!I71+CARGA_DIARIA!AF71+CARGA_DIARIA!AG71+CARGA_DIARIA!AH71+CARGA_DIARIA!AI71)/CARGA_DIARIA!B71+CARGA_DIARIA!AE71))</f>
        <v>15360854.116716107</v>
      </c>
      <c r="D71" s="10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10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13" t="s">
        <v>64</v>
      </c>
      <c r="G71" s="13" t="s">
        <v>64</v>
      </c>
      <c r="H71" s="12">
        <f>IF(CARGA_DIARIA!A71="","",C71-D71-E71)</f>
        <v>-957070.28195831366</v>
      </c>
    </row>
    <row r="72" spans="1:8" ht="15.75" customHeight="1" x14ac:dyDescent="0.25">
      <c r="A72" s="7">
        <f>IF(CARGA_DIARIA!A72="","",CARGA_DIARIA!A72)</f>
        <v>46134</v>
      </c>
      <c r="B72" s="8">
        <f>IF(CARGA_DIARIA!A72="","",CARGA_DIARIA!B72)</f>
        <v>1377</v>
      </c>
      <c r="C72" s="9">
        <f>IF(CARGA_DIARIA!A72="","",IF(CARGA_DIARIA!B72=0,0,(CARGA_DIARIA!C72+CARGA_DIARIA!D72+CARGA_DIARIA!E72+CARGA_DIARIA!F72+CARGA_DIARIA!G72+CARGA_DIARIA!H72+CARGA_DIARIA!I72+CARGA_DIARIA!AF72+CARGA_DIARIA!AG72+CARGA_DIARIA!AH72+CARGA_DIARIA!AI72)/CARGA_DIARIA!B72+CARGA_DIARIA!AE72))</f>
        <v>15202911.366196441</v>
      </c>
      <c r="D72" s="10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10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13" t="s">
        <v>64</v>
      </c>
      <c r="G72" s="13" t="s">
        <v>64</v>
      </c>
      <c r="H72" s="12">
        <f>IF(CARGA_DIARIA!A72="","",C72-D72-E72)</f>
        <v>-806393.076800026</v>
      </c>
    </row>
    <row r="73" spans="1:8" ht="15.75" customHeight="1" x14ac:dyDescent="0.25">
      <c r="A73" s="7">
        <f>IF(CARGA_DIARIA!A73="","",CARGA_DIARIA!A73)</f>
        <v>46135</v>
      </c>
      <c r="B73" s="8">
        <f>IF(CARGA_DIARIA!A73="","",CARGA_DIARIA!B73)</f>
        <v>1373.5</v>
      </c>
      <c r="C73" s="9">
        <f>IF(CARGA_DIARIA!A73="","",IF(CARGA_DIARIA!B73=0,0,(CARGA_DIARIA!C73+CARGA_DIARIA!D73+CARGA_DIARIA!E73+CARGA_DIARIA!F73+CARGA_DIARIA!G73+CARGA_DIARIA!H73+CARGA_DIARIA!I73+CARGA_DIARIA!AF73+CARGA_DIARIA!AG73+CARGA_DIARIA!AH73+CARGA_DIARIA!AI73)/CARGA_DIARIA!B73+CARGA_DIARIA!AE73))</f>
        <v>14649955.69617874</v>
      </c>
      <c r="D73" s="10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10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13" t="s">
        <v>64</v>
      </c>
      <c r="G73" s="13" t="s">
        <v>64</v>
      </c>
      <c r="H73" s="12">
        <f>IF(CARGA_DIARIA!A73="","",C73-D73-E73)</f>
        <v>-1137259.7916179523</v>
      </c>
    </row>
    <row r="74" spans="1:8" ht="15.75" customHeight="1" x14ac:dyDescent="0.25">
      <c r="A74" s="7">
        <f>IF(CARGA_DIARIA!A74="","",CARGA_DIARIA!A74)</f>
        <v>46136</v>
      </c>
      <c r="B74" s="8">
        <f>IF(CARGA_DIARIA!A74="","",CARGA_DIARIA!B74)</f>
        <v>1382</v>
      </c>
      <c r="C74" s="9">
        <f>IF(CARGA_DIARIA!A74="","",IF(CARGA_DIARIA!B74=0,0,(CARGA_DIARIA!C74+CARGA_DIARIA!D74+CARGA_DIARIA!E74+CARGA_DIARIA!F74+CARGA_DIARIA!G74+CARGA_DIARIA!H74+CARGA_DIARIA!I74+CARGA_DIARIA!AF74+CARGA_DIARIA!AG74+CARGA_DIARIA!AH74+CARGA_DIARIA!AI74)/CARGA_DIARIA!B74+CARGA_DIARIA!AE74))</f>
        <v>14459214.662306443</v>
      </c>
      <c r="D74" s="10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10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13" t="s">
        <v>64</v>
      </c>
      <c r="G74" s="13" t="s">
        <v>64</v>
      </c>
      <c r="H74" s="12">
        <f>IF(CARGA_DIARIA!A74="","",C74-D74-E74)</f>
        <v>-1554310.6862166859</v>
      </c>
    </row>
    <row r="75" spans="1:8" ht="15.75" customHeight="1" x14ac:dyDescent="0.25">
      <c r="A75" s="7">
        <f>IF(CARGA_DIARIA!A75="","",CARGA_DIARIA!A75)</f>
        <v>46139</v>
      </c>
      <c r="B75" s="8">
        <f>IF(CARGA_DIARIA!A75="","",CARGA_DIARIA!B75)</f>
        <v>1392</v>
      </c>
      <c r="C75" s="9">
        <f>IF(CARGA_DIARIA!A75="","",IF(CARGA_DIARIA!B75=0,0,(CARGA_DIARIA!C75+CARGA_DIARIA!D75+CARGA_DIARIA!E75+CARGA_DIARIA!F75+CARGA_DIARIA!G75+CARGA_DIARIA!H75+CARGA_DIARIA!I75+CARGA_DIARIA!AF75+CARGA_DIARIA!AG75+CARGA_DIARIA!AH75+CARGA_DIARIA!AI75)/CARGA_DIARIA!B75+CARGA_DIARIA!AE75))</f>
        <v>14891785.531462286</v>
      </c>
      <c r="D75" s="10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10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13" t="s">
        <v>64</v>
      </c>
      <c r="G75" s="13" t="s">
        <v>64</v>
      </c>
      <c r="H75" s="12">
        <f>IF(CARGA_DIARIA!A75="","",C75-D75-E75)</f>
        <v>-1518099.1260439064</v>
      </c>
    </row>
    <row r="76" spans="1:8" ht="15.75" customHeight="1" x14ac:dyDescent="0.25">
      <c r="A76" s="7">
        <f>IF(CARGA_DIARIA!A76="","",CARGA_DIARIA!A76)</f>
        <v>46140</v>
      </c>
      <c r="B76" s="8">
        <f>IF(CARGA_DIARIA!A76="","",CARGA_DIARIA!B76)</f>
        <v>1406</v>
      </c>
      <c r="C76" s="9">
        <f>IF(CARGA_DIARIA!A76="","",IF(CARGA_DIARIA!B76=0,0,(CARGA_DIARIA!C76+CARGA_DIARIA!D76+CARGA_DIARIA!E76+CARGA_DIARIA!F76+CARGA_DIARIA!G76+CARGA_DIARIA!H76+CARGA_DIARIA!I76+CARGA_DIARIA!AF76+CARGA_DIARIA!AG76+CARGA_DIARIA!AH76+CARGA_DIARIA!AI76)/CARGA_DIARIA!B76+CARGA_DIARIA!AE76))</f>
        <v>14422272.482552275</v>
      </c>
      <c r="D76" s="10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10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13" t="s">
        <v>64</v>
      </c>
      <c r="G76" s="13" t="s">
        <v>64</v>
      </c>
      <c r="H76" s="12">
        <f>IF(CARGA_DIARIA!A76="","",C76-D76-E76)</f>
        <v>-1856775.6441007387</v>
      </c>
    </row>
    <row r="77" spans="1:8" ht="15.75" customHeight="1" x14ac:dyDescent="0.25">
      <c r="A77" s="7">
        <f>IF(CARGA_DIARIA!A77="","",CARGA_DIARIA!A77)</f>
        <v>46141</v>
      </c>
      <c r="B77" s="8">
        <f>IF(CARGA_DIARIA!A77="","",CARGA_DIARIA!B77)</f>
        <v>1400</v>
      </c>
      <c r="C77" s="9">
        <f>IF(CARGA_DIARIA!A77="","",IF(CARGA_DIARIA!B77=0,0,(CARGA_DIARIA!C77+CARGA_DIARIA!D77+CARGA_DIARIA!E77+CARGA_DIARIA!F77+CARGA_DIARIA!G77+CARGA_DIARIA!H77+CARGA_DIARIA!I77+CARGA_DIARIA!AF77+CARGA_DIARIA!AG77+CARGA_DIARIA!AH77+CARGA_DIARIA!AI77)/CARGA_DIARIA!B77+CARGA_DIARIA!AE77))</f>
        <v>14380485.909620356</v>
      </c>
      <c r="D77" s="10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10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13" t="s">
        <v>64</v>
      </c>
      <c r="G77" s="13" t="s">
        <v>64</v>
      </c>
      <c r="H77" s="12">
        <f>IF(CARGA_DIARIA!A77="","",C77-D77-E77)</f>
        <v>-2226265.3830370307</v>
      </c>
    </row>
    <row r="78" spans="1:8" ht="15.75" customHeight="1" x14ac:dyDescent="0.25">
      <c r="A78" s="7">
        <f>IF(CARGA_DIARIA!A78="","",CARGA_DIARIA!A78)</f>
        <v>46142</v>
      </c>
      <c r="B78" s="8">
        <f>IF(CARGA_DIARIA!A78="","",CARGA_DIARIA!B78)</f>
        <v>1400</v>
      </c>
      <c r="C78" s="9">
        <f>IF(CARGA_DIARIA!A78="","",IF(CARGA_DIARIA!B78=0,0,(CARGA_DIARIA!C78+CARGA_DIARIA!D78+CARGA_DIARIA!E78+CARGA_DIARIA!F78+CARGA_DIARIA!G78+CARGA_DIARIA!H78+CARGA_DIARIA!I78+CARGA_DIARIA!AF78+CARGA_DIARIA!AG78+CARGA_DIARIA!AH78+CARGA_DIARIA!AI78)/CARGA_DIARIA!B78+CARGA_DIARIA!AE78))</f>
        <v>15333959.6296275</v>
      </c>
      <c r="D78" s="10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10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13" t="s">
        <v>64</v>
      </c>
      <c r="G78" s="13" t="s">
        <v>64</v>
      </c>
      <c r="H78" s="12">
        <f>IF(CARGA_DIARIA!A78="","",C78-D78-E78)</f>
        <v>-2308091.3373156022</v>
      </c>
    </row>
    <row r="79" spans="1:8" ht="15.75" customHeight="1" x14ac:dyDescent="0.25">
      <c r="A79" s="7">
        <f>IF(CARGA_DIARIA!A79="","",CARGA_DIARIA!A79)</f>
        <v>46146</v>
      </c>
      <c r="B79" s="8">
        <f>IF(CARGA_DIARIA!A79="","",CARGA_DIARIA!B79)</f>
        <v>1375</v>
      </c>
      <c r="C79" s="9">
        <f>IF(CARGA_DIARIA!A79="","",IF(CARGA_DIARIA!B79=0,0,(CARGA_DIARIA!C79+CARGA_DIARIA!D79+CARGA_DIARIA!E79+CARGA_DIARIA!F79+CARGA_DIARIA!G79+CARGA_DIARIA!H79+CARGA_DIARIA!I79+CARGA_DIARIA!AF79+CARGA_DIARIA!AG79+CARGA_DIARIA!AH79+CARGA_DIARIA!AI79)/CARGA_DIARIA!B79+CARGA_DIARIA!AE79))</f>
        <v>14899929.321438909</v>
      </c>
      <c r="D79" s="10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10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13" t="s">
        <v>64</v>
      </c>
      <c r="G79" s="13" t="s">
        <v>64</v>
      </c>
      <c r="H79" s="12">
        <f>IF(CARGA_DIARIA!A79="","",C79-D79-E79)</f>
        <v>-2615143.5271037892</v>
      </c>
    </row>
    <row r="80" spans="1:8" ht="15.75" customHeight="1" x14ac:dyDescent="0.25">
      <c r="A80" s="7">
        <f>IF(CARGA_DIARIA!A80="","",CARGA_DIARIA!A80)</f>
        <v>46147</v>
      </c>
      <c r="B80" s="8">
        <f>IF(CARGA_DIARIA!A80="","",CARGA_DIARIA!B80)</f>
        <v>1396.5</v>
      </c>
      <c r="C80" s="9">
        <f>IF(CARGA_DIARIA!A80="","",IF(CARGA_DIARIA!B80=0,0,(CARGA_DIARIA!C80+CARGA_DIARIA!D80+CARGA_DIARIA!E80+CARGA_DIARIA!F80+CARGA_DIARIA!G80+CARGA_DIARIA!H80+CARGA_DIARIA!I80+CARGA_DIARIA!AF80+CARGA_DIARIA!AG80+CARGA_DIARIA!AH80+CARGA_DIARIA!AI80)/CARGA_DIARIA!B80+CARGA_DIARIA!AE80))</f>
        <v>15146180.803536341</v>
      </c>
      <c r="D80" s="10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10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13" t="s">
        <v>64</v>
      </c>
      <c r="G80" s="13" t="s">
        <v>64</v>
      </c>
      <c r="H80" s="12">
        <f>IF(CARGA_DIARIA!A80="","",C80-D80-E80)</f>
        <v>-3713519.2307085339</v>
      </c>
    </row>
    <row r="81" spans="1:8" ht="15.75" customHeight="1" x14ac:dyDescent="0.25">
      <c r="A81" s="7">
        <f>IF(CARGA_DIARIA!A81="","",CARGA_DIARIA!A81)</f>
        <v>46148</v>
      </c>
      <c r="B81" s="8">
        <f>IF(CARGA_DIARIA!A81="","",CARGA_DIARIA!B81)</f>
        <v>1394</v>
      </c>
      <c r="C81" s="9">
        <f>IF(CARGA_DIARIA!A81="","",IF(CARGA_DIARIA!B81=0,0,(CARGA_DIARIA!C81+CARGA_DIARIA!D81+CARGA_DIARIA!E81+CARGA_DIARIA!F81+CARGA_DIARIA!G81+CARGA_DIARIA!H81+CARGA_DIARIA!I81+CARGA_DIARIA!AF81+CARGA_DIARIA!AG81+CARGA_DIARIA!AH81+CARGA_DIARIA!AI81)/CARGA_DIARIA!B81+CARGA_DIARIA!AE81))</f>
        <v>14410467.841388809</v>
      </c>
      <c r="D81" s="10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10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13" t="s">
        <v>64</v>
      </c>
      <c r="G81" s="13" t="s">
        <v>64</v>
      </c>
      <c r="H81" s="12">
        <f>IF(CARGA_DIARIA!A81="","",C81-D81-E81)</f>
        <v>-4830879.6612012554</v>
      </c>
    </row>
    <row r="82" spans="1:8" ht="15.75" customHeight="1" x14ac:dyDescent="0.25">
      <c r="A82" s="7">
        <f>IF(CARGA_DIARIA!A82="","",CARGA_DIARIA!A82)</f>
        <v>46149</v>
      </c>
      <c r="B82" s="8">
        <f>IF(CARGA_DIARIA!A82="","",CARGA_DIARIA!B82)</f>
        <v>1383</v>
      </c>
      <c r="C82" s="9">
        <f>IF(CARGA_DIARIA!A82="","",IF(CARGA_DIARIA!B82=0,0,(CARGA_DIARIA!C82+CARGA_DIARIA!D82+CARGA_DIARIA!E82+CARGA_DIARIA!F82+CARGA_DIARIA!G82+CARGA_DIARIA!H82+CARGA_DIARIA!I82+CARGA_DIARIA!AF82+CARGA_DIARIA!AG82+CARGA_DIARIA!AH82+CARGA_DIARIA!AI82)/CARGA_DIARIA!B82+CARGA_DIARIA!AE82))</f>
        <v>14634146.343177149</v>
      </c>
      <c r="D82" s="10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416852.73463485175</v>
      </c>
      <c r="E82" s="10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13" t="s">
        <v>64</v>
      </c>
      <c r="G82" s="13" t="s">
        <v>64</v>
      </c>
      <c r="H82" s="12">
        <f>IF(CARGA_DIARIA!A82="","",C82-D82-E82)</f>
        <v>-4723233.0566536039</v>
      </c>
    </row>
    <row r="83" spans="1:8" ht="15.75" customHeight="1" x14ac:dyDescent="0.25">
      <c r="A83" s="7" t="str">
        <f>IF(CARGA_DIARIA!A83="","",CARGA_DIARIA!A83)</f>
        <v/>
      </c>
      <c r="B83" s="8" t="str">
        <f>IF(CARGA_DIARIA!A83="","",CARGA_DIARIA!B83)</f>
        <v/>
      </c>
      <c r="C83" s="9" t="str">
        <f>IF(CARGA_DIARIA!A83="","",IF(CARGA_DIARIA!B83=0,0,(CARGA_DIARIA!C83+CARGA_DIARIA!D83+CARGA_DIARIA!E83+CARGA_DIARIA!F83+CARGA_DIARIA!G83+CARGA_DIARIA!H83+CARGA_DIARIA!I83+CARGA_DIARIA!AF83+CARGA_DIARIA!AG83+CARGA_DIARIA!AH83+CARGA_DIARIA!AI83)/CARGA_DIARIA!B83+CARGA_DIARIA!AE83))</f>
        <v/>
      </c>
      <c r="D83" s="10" t="str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/>
      </c>
      <c r="E83" s="10" t="str">
        <f>IF(CARGA_DIARIA!A83="","",IF(CARGA_DIARIA!B83=0,0,(CARGA_DIARIA!X83+CARGA_DIARIA!Y83+CARGA_DIARIA!Z83+CARGA_DIARIA!AA83)/CARGA_DIARIA!B83+CARGA_DIARIA!AB83+CARGA_DIARIA!AC83+CARGA_DIARIA!AD83+CARGA_DIARIA!AE83))</f>
        <v/>
      </c>
      <c r="F83" s="13" t="s">
        <v>64</v>
      </c>
      <c r="G83" s="13" t="s">
        <v>64</v>
      </c>
      <c r="H83" s="12" t="str">
        <f>IF(CARGA_DIARIA!A83="","",C83-D83-E83)</f>
        <v/>
      </c>
    </row>
    <row r="84" spans="1:8" ht="15.75" customHeight="1" x14ac:dyDescent="0.25">
      <c r="A84" s="7" t="str">
        <f>IF(CARGA_DIARIA!A84="","",CARGA_DIARIA!A84)</f>
        <v/>
      </c>
      <c r="B84" s="8" t="str">
        <f>IF(CARGA_DIARIA!A84="","",CARGA_DIARIA!B84)</f>
        <v/>
      </c>
      <c r="C84" s="9" t="str">
        <f>IF(CARGA_DIARIA!A84="","",IF(CARGA_DIARIA!B84=0,0,(CARGA_DIARIA!C84+CARGA_DIARIA!D84+CARGA_DIARIA!E84+CARGA_DIARIA!F84+CARGA_DIARIA!G84+CARGA_DIARIA!H84+CARGA_DIARIA!I84+CARGA_DIARIA!AF84+CARGA_DIARIA!AG84+CARGA_DIARIA!AH84+CARGA_DIARIA!AI84)/CARGA_DIARIA!B84+CARGA_DIARIA!AE84))</f>
        <v/>
      </c>
      <c r="D84" s="10" t="str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/>
      </c>
      <c r="E84" s="10" t="str">
        <f>IF(CARGA_DIARIA!A84="","",IF(CARGA_DIARIA!B84=0,0,(CARGA_DIARIA!X84+CARGA_DIARIA!Y84+CARGA_DIARIA!Z84+CARGA_DIARIA!AA84)/CARGA_DIARIA!B84+CARGA_DIARIA!AB84+CARGA_DIARIA!AC84+CARGA_DIARIA!AD84+CARGA_DIARIA!AE84))</f>
        <v/>
      </c>
      <c r="F84" s="13" t="s">
        <v>64</v>
      </c>
      <c r="G84" s="13" t="s">
        <v>64</v>
      </c>
      <c r="H84" s="12" t="str">
        <f>IF(CARGA_DIARIA!A84="","",C84-D84-E84)</f>
        <v/>
      </c>
    </row>
    <row r="85" spans="1:8" ht="15.75" customHeight="1" x14ac:dyDescent="0.25">
      <c r="A85" s="7" t="str">
        <f>IF(CARGA_DIARIA!A85="","",CARGA_DIARIA!A85)</f>
        <v/>
      </c>
      <c r="B85" s="8" t="str">
        <f>IF(CARGA_DIARIA!A85="","",CARGA_DIARIA!B85)</f>
        <v/>
      </c>
      <c r="C85" s="9" t="str">
        <f>IF(CARGA_DIARIA!A85="","",IF(CARGA_DIARIA!B85=0,0,(CARGA_DIARIA!C85+CARGA_DIARIA!D85+CARGA_DIARIA!E85+CARGA_DIARIA!F85+CARGA_DIARIA!G85+CARGA_DIARIA!H85+CARGA_DIARIA!I85+CARGA_DIARIA!AF85+CARGA_DIARIA!AG85+CARGA_DIARIA!AH85+CARGA_DIARIA!AI85)/CARGA_DIARIA!B85+CARGA_DIARIA!AE85))</f>
        <v/>
      </c>
      <c r="D85" s="10" t="str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/>
      </c>
      <c r="E85" s="10" t="str">
        <f>IF(CARGA_DIARIA!A85="","",IF(CARGA_DIARIA!B85=0,0,(CARGA_DIARIA!X85+CARGA_DIARIA!Y85+CARGA_DIARIA!Z85+CARGA_DIARIA!AA85)/CARGA_DIARIA!B85+CARGA_DIARIA!AB85+CARGA_DIARIA!AC85+CARGA_DIARIA!AD85+CARGA_DIARIA!AE85))</f>
        <v/>
      </c>
      <c r="F85" s="13" t="s">
        <v>64</v>
      </c>
      <c r="G85" s="13" t="s">
        <v>64</v>
      </c>
      <c r="H85" s="12" t="str">
        <f>IF(CARGA_DIARIA!A85="","",C85-D85-E85)</f>
        <v/>
      </c>
    </row>
    <row r="86" spans="1:8" ht="15.75" customHeight="1" x14ac:dyDescent="0.25">
      <c r="A86" s="7" t="str">
        <f>IF(CARGA_DIARIA!A86="","",CARGA_DIARIA!A86)</f>
        <v/>
      </c>
      <c r="B86" s="8" t="str">
        <f>IF(CARGA_DIARIA!A86="","",CARGA_DIARIA!B86)</f>
        <v/>
      </c>
      <c r="C86" s="9" t="str">
        <f>IF(CARGA_DIARIA!A86="","",IF(CARGA_DIARIA!B86=0,0,(CARGA_DIARIA!C86+CARGA_DIARIA!D86+CARGA_DIARIA!E86+CARGA_DIARIA!F86+CARGA_DIARIA!G86+CARGA_DIARIA!H86+CARGA_DIARIA!I86+CARGA_DIARIA!AF86+CARGA_DIARIA!AG86+CARGA_DIARIA!AH86+CARGA_DIARIA!AI86)/CARGA_DIARIA!B86+CARGA_DIARIA!AE86))</f>
        <v/>
      </c>
      <c r="D86" s="10" t="str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/>
      </c>
      <c r="E86" s="10" t="str">
        <f>IF(CARGA_DIARIA!A86="","",IF(CARGA_DIARIA!B86=0,0,(CARGA_DIARIA!X86+CARGA_DIARIA!Y86+CARGA_DIARIA!Z86+CARGA_DIARIA!AA86)/CARGA_DIARIA!B86+CARGA_DIARIA!AB86+CARGA_DIARIA!AC86+CARGA_DIARIA!AD86+CARGA_DIARIA!AE86))</f>
        <v/>
      </c>
      <c r="F86" s="13" t="s">
        <v>64</v>
      </c>
      <c r="G86" s="13" t="s">
        <v>64</v>
      </c>
      <c r="H86" s="12" t="str">
        <f>IF(CARGA_DIARIA!A86="","",C86-D86-E86)</f>
        <v/>
      </c>
    </row>
    <row r="87" spans="1:8" ht="15.75" customHeight="1" x14ac:dyDescent="0.25">
      <c r="A87" s="7" t="str">
        <f>IF(CARGA_DIARIA!A87="","",CARGA_DIARIA!A87)</f>
        <v/>
      </c>
      <c r="B87" s="8" t="str">
        <f>IF(CARGA_DIARIA!A87="","",CARGA_DIARIA!B87)</f>
        <v/>
      </c>
      <c r="C87" s="9" t="str">
        <f>IF(CARGA_DIARIA!A87="","",IF(CARGA_DIARIA!B87=0,0,(CARGA_DIARIA!C87+CARGA_DIARIA!D87+CARGA_DIARIA!E87+CARGA_DIARIA!F87+CARGA_DIARIA!G87+CARGA_DIARIA!H87+CARGA_DIARIA!I87+CARGA_DIARIA!AF87+CARGA_DIARIA!AG87+CARGA_DIARIA!AH87+CARGA_DIARIA!AI87)/CARGA_DIARIA!B87+CARGA_DIARIA!AE87))</f>
        <v/>
      </c>
      <c r="D87" s="10" t="str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/>
      </c>
      <c r="E87" s="10" t="str">
        <f>IF(CARGA_DIARIA!A87="","",IF(CARGA_DIARIA!B87=0,0,(CARGA_DIARIA!X87+CARGA_DIARIA!Y87+CARGA_DIARIA!Z87+CARGA_DIARIA!AA87)/CARGA_DIARIA!B87+CARGA_DIARIA!AB87+CARGA_DIARIA!AC87+CARGA_DIARIA!AD87+CARGA_DIARIA!AE87))</f>
        <v/>
      </c>
      <c r="F87" s="13" t="s">
        <v>64</v>
      </c>
      <c r="G87" s="13" t="s">
        <v>64</v>
      </c>
      <c r="H87" s="12" t="str">
        <f>IF(CARGA_DIARIA!A87="","",C87-D87-E87)</f>
        <v/>
      </c>
    </row>
    <row r="88" spans="1:8" ht="15.75" customHeight="1" x14ac:dyDescent="0.25">
      <c r="A88" s="7" t="str">
        <f>IF(CARGA_DIARIA!A88="","",CARGA_DIARIA!A88)</f>
        <v/>
      </c>
      <c r="B88" s="8" t="str">
        <f>IF(CARGA_DIARIA!A88="","",CARGA_DIARIA!B88)</f>
        <v/>
      </c>
      <c r="C88" s="9" t="str">
        <f>IF(CARGA_DIARIA!A88="","",IF(CARGA_DIARIA!B88=0,0,(CARGA_DIARIA!C88+CARGA_DIARIA!D88+CARGA_DIARIA!E88+CARGA_DIARIA!F88+CARGA_DIARIA!G88+CARGA_DIARIA!H88+CARGA_DIARIA!I88+CARGA_DIARIA!AF88+CARGA_DIARIA!AG88+CARGA_DIARIA!AH88+CARGA_DIARIA!AI88)/CARGA_DIARIA!B88+CARGA_DIARIA!AE88))</f>
        <v/>
      </c>
      <c r="D88" s="10" t="str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/>
      </c>
      <c r="E88" s="10" t="str">
        <f>IF(CARGA_DIARIA!A88="","",IF(CARGA_DIARIA!B88=0,0,(CARGA_DIARIA!X88+CARGA_DIARIA!Y88+CARGA_DIARIA!Z88+CARGA_DIARIA!AA88)/CARGA_DIARIA!B88+CARGA_DIARIA!AB88+CARGA_DIARIA!AC88+CARGA_DIARIA!AD88+CARGA_DIARIA!AE88))</f>
        <v/>
      </c>
      <c r="F88" s="13" t="s">
        <v>64</v>
      </c>
      <c r="G88" s="13" t="s">
        <v>64</v>
      </c>
      <c r="H88" s="12" t="str">
        <f>IF(CARGA_DIARIA!A88="","",C88-D88-E88)</f>
        <v/>
      </c>
    </row>
    <row r="89" spans="1:8" ht="15.75" customHeight="1" x14ac:dyDescent="0.25">
      <c r="A89" s="7" t="str">
        <f>IF(CARGA_DIARIA!A89="","",CARGA_DIARIA!A89)</f>
        <v/>
      </c>
      <c r="B89" s="8" t="str">
        <f>IF(CARGA_DIARIA!A89="","",CARGA_DIARIA!B89)</f>
        <v/>
      </c>
      <c r="C89" s="9" t="str">
        <f>IF(CARGA_DIARIA!A89="","",IF(CARGA_DIARIA!B89=0,0,(CARGA_DIARIA!C89+CARGA_DIARIA!D89+CARGA_DIARIA!E89+CARGA_DIARIA!F89+CARGA_DIARIA!G89+CARGA_DIARIA!H89+CARGA_DIARIA!I89+CARGA_DIARIA!AF89+CARGA_DIARIA!AG89+CARGA_DIARIA!AH89+CARGA_DIARIA!AI89)/CARGA_DIARIA!B89+CARGA_DIARIA!AE89))</f>
        <v/>
      </c>
      <c r="D89" s="10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10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13" t="s">
        <v>64</v>
      </c>
      <c r="G89" s="13" t="s">
        <v>64</v>
      </c>
      <c r="H89" s="12" t="str">
        <f>IF(CARGA_DIARIA!A89="","",C89-D89-E89)</f>
        <v/>
      </c>
    </row>
    <row r="90" spans="1:8" ht="15.75" customHeight="1" x14ac:dyDescent="0.25">
      <c r="A90" s="7" t="str">
        <f>IF(CARGA_DIARIA!A90="","",CARGA_DIARIA!A90)</f>
        <v/>
      </c>
      <c r="B90" s="8" t="str">
        <f>IF(CARGA_DIARIA!A90="","",CARGA_DIARIA!B90)</f>
        <v/>
      </c>
      <c r="C90" s="9" t="str">
        <f>IF(CARGA_DIARIA!A90="","",IF(CARGA_DIARIA!B90=0,0,(CARGA_DIARIA!C90+CARGA_DIARIA!D90+CARGA_DIARIA!E90+CARGA_DIARIA!F90+CARGA_DIARIA!G90+CARGA_DIARIA!H90+CARGA_DIARIA!I90+CARGA_DIARIA!AF90+CARGA_DIARIA!AG90+CARGA_DIARIA!AH90+CARGA_DIARIA!AI90)/CARGA_DIARIA!B90+CARGA_DIARIA!AE90))</f>
        <v/>
      </c>
      <c r="D90" s="10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10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13" t="s">
        <v>64</v>
      </c>
      <c r="G90" s="13" t="s">
        <v>64</v>
      </c>
      <c r="H90" s="12" t="str">
        <f>IF(CARGA_DIARIA!A90="","",C90-D90-E90)</f>
        <v/>
      </c>
    </row>
    <row r="91" spans="1:8" ht="15.75" customHeight="1" x14ac:dyDescent="0.25">
      <c r="A91" s="7" t="str">
        <f>IF(CARGA_DIARIA!A91="","",CARGA_DIARIA!A91)</f>
        <v/>
      </c>
      <c r="B91" s="8" t="str">
        <f>IF(CARGA_DIARIA!A91="","",CARGA_DIARIA!B91)</f>
        <v/>
      </c>
      <c r="C91" s="9" t="str">
        <f>IF(CARGA_DIARIA!A91="","",IF(CARGA_DIARIA!B91=0,0,(CARGA_DIARIA!C91+CARGA_DIARIA!D91+CARGA_DIARIA!E91+CARGA_DIARIA!F91+CARGA_DIARIA!G91+CARGA_DIARIA!H91+CARGA_DIARIA!I91+CARGA_DIARIA!AF91+CARGA_DIARIA!AG91+CARGA_DIARIA!AH91+CARGA_DIARIA!AI91)/CARGA_DIARIA!B91+CARGA_DIARIA!AE91))</f>
        <v/>
      </c>
      <c r="D91" s="10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10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13" t="s">
        <v>64</v>
      </c>
      <c r="G91" s="13" t="s">
        <v>64</v>
      </c>
      <c r="H91" s="12" t="str">
        <f>IF(CARGA_DIARIA!A91="","",C91-D91-E91)</f>
        <v/>
      </c>
    </row>
    <row r="92" spans="1:8" ht="15.75" customHeight="1" x14ac:dyDescent="0.25">
      <c r="A92" s="7" t="str">
        <f>IF(CARGA_DIARIA!A92="","",CARGA_DIARIA!A92)</f>
        <v/>
      </c>
      <c r="B92" s="8" t="str">
        <f>IF(CARGA_DIARIA!A92="","",CARGA_DIARIA!B92)</f>
        <v/>
      </c>
      <c r="C92" s="9" t="str">
        <f>IF(CARGA_DIARIA!A92="","",IF(CARGA_DIARIA!B92=0,0,(CARGA_DIARIA!C92+CARGA_DIARIA!D92+CARGA_DIARIA!E92+CARGA_DIARIA!F92+CARGA_DIARIA!G92+CARGA_DIARIA!H92+CARGA_DIARIA!I92+CARGA_DIARIA!AF92+CARGA_DIARIA!AG92+CARGA_DIARIA!AH92+CARGA_DIARIA!AI92)/CARGA_DIARIA!B92+CARGA_DIARIA!AE92))</f>
        <v/>
      </c>
      <c r="D92" s="10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10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13" t="s">
        <v>64</v>
      </c>
      <c r="G92" s="13" t="s">
        <v>64</v>
      </c>
      <c r="H92" s="12" t="str">
        <f>IF(CARGA_DIARIA!A92="","",C92-D92-E92)</f>
        <v/>
      </c>
    </row>
    <row r="93" spans="1:8" ht="15.75" customHeight="1" x14ac:dyDescent="0.25">
      <c r="A93" s="7" t="str">
        <f>IF(CARGA_DIARIA!A93="","",CARGA_DIARIA!A93)</f>
        <v/>
      </c>
      <c r="B93" s="8" t="str">
        <f>IF(CARGA_DIARIA!A93="","",CARGA_DIARIA!B93)</f>
        <v/>
      </c>
      <c r="C93" s="9" t="str">
        <f>IF(CARGA_DIARIA!A93="","",IF(CARGA_DIARIA!B93=0,0,(CARGA_DIARIA!C93+CARGA_DIARIA!D93+CARGA_DIARIA!E93+CARGA_DIARIA!F93+CARGA_DIARIA!G93+CARGA_DIARIA!H93+CARGA_DIARIA!I93+CARGA_DIARIA!AF93+CARGA_DIARIA!AG93+CARGA_DIARIA!AH93+CARGA_DIARIA!AI93)/CARGA_DIARIA!B93+CARGA_DIARIA!AE93))</f>
        <v/>
      </c>
      <c r="D93" s="10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10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13" t="s">
        <v>64</v>
      </c>
      <c r="G93" s="13" t="s">
        <v>64</v>
      </c>
      <c r="H93" s="12" t="str">
        <f>IF(CARGA_DIARIA!A93="","",C93-D93-E93)</f>
        <v/>
      </c>
    </row>
    <row r="94" spans="1:8" ht="15.75" customHeight="1" x14ac:dyDescent="0.25">
      <c r="A94" s="7" t="str">
        <f>IF(CARGA_DIARIA!A94="","",CARGA_DIARIA!A94)</f>
        <v/>
      </c>
      <c r="B94" s="8" t="str">
        <f>IF(CARGA_DIARIA!A94="","",CARGA_DIARIA!B94)</f>
        <v/>
      </c>
      <c r="C94" s="9" t="str">
        <f>IF(CARGA_DIARIA!A94="","",IF(CARGA_DIARIA!B94=0,0,(CARGA_DIARIA!C94+CARGA_DIARIA!D94+CARGA_DIARIA!E94+CARGA_DIARIA!F94+CARGA_DIARIA!G94+CARGA_DIARIA!H94+CARGA_DIARIA!I94+CARGA_DIARIA!AF94+CARGA_DIARIA!AG94+CARGA_DIARIA!AH94+CARGA_DIARIA!AI94)/CARGA_DIARIA!B94+CARGA_DIARIA!AE94))</f>
        <v/>
      </c>
      <c r="D94" s="10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10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13" t="s">
        <v>64</v>
      </c>
      <c r="G94" s="13" t="s">
        <v>64</v>
      </c>
      <c r="H94" s="12" t="str">
        <f>IF(CARGA_DIARIA!A94="","",C94-D94-E94)</f>
        <v/>
      </c>
    </row>
    <row r="95" spans="1:8" ht="15.75" customHeight="1" x14ac:dyDescent="0.25">
      <c r="A95" s="7" t="str">
        <f>IF(CARGA_DIARIA!A95="","",CARGA_DIARIA!A95)</f>
        <v/>
      </c>
      <c r="B95" s="8" t="str">
        <f>IF(CARGA_DIARIA!A95="","",CARGA_DIARIA!B95)</f>
        <v/>
      </c>
      <c r="C95" s="9" t="str">
        <f>IF(CARGA_DIARIA!A95="","",IF(CARGA_DIARIA!B95=0,0,(CARGA_DIARIA!C95+CARGA_DIARIA!D95+CARGA_DIARIA!E95+CARGA_DIARIA!F95+CARGA_DIARIA!G95+CARGA_DIARIA!H95+CARGA_DIARIA!I95+CARGA_DIARIA!AF95+CARGA_DIARIA!AG95+CARGA_DIARIA!AH95+CARGA_DIARIA!AI95)/CARGA_DIARIA!B95+CARGA_DIARIA!AE95))</f>
        <v/>
      </c>
      <c r="D95" s="10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10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13" t="s">
        <v>64</v>
      </c>
      <c r="G95" s="13" t="s">
        <v>64</v>
      </c>
      <c r="H95" s="12" t="str">
        <f>IF(CARGA_DIARIA!A95="","",C95-D95-E95)</f>
        <v/>
      </c>
    </row>
    <row r="96" spans="1:8" ht="15.75" customHeight="1" x14ac:dyDescent="0.25">
      <c r="A96" s="7" t="str">
        <f>IF(CARGA_DIARIA!A96="","",CARGA_DIARIA!A96)</f>
        <v/>
      </c>
      <c r="B96" s="8" t="str">
        <f>IF(CARGA_DIARIA!A96="","",CARGA_DIARIA!B96)</f>
        <v/>
      </c>
      <c r="C96" s="9" t="str">
        <f>IF(CARGA_DIARIA!A96="","",IF(CARGA_DIARIA!B96=0,0,(CARGA_DIARIA!C96+CARGA_DIARIA!D96+CARGA_DIARIA!E96+CARGA_DIARIA!F96+CARGA_DIARIA!G96+CARGA_DIARIA!H96+CARGA_DIARIA!I96+CARGA_DIARIA!AF96+CARGA_DIARIA!AG96+CARGA_DIARIA!AH96+CARGA_DIARIA!AI96)/CARGA_DIARIA!B96+CARGA_DIARIA!AE96))</f>
        <v/>
      </c>
      <c r="D96" s="10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10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13" t="s">
        <v>64</v>
      </c>
      <c r="G96" s="13" t="s">
        <v>64</v>
      </c>
      <c r="H96" s="12" t="str">
        <f>IF(CARGA_DIARIA!A96="","",C96-D96-E96)</f>
        <v/>
      </c>
    </row>
    <row r="97" spans="1:8" ht="15.75" customHeight="1" x14ac:dyDescent="0.25">
      <c r="A97" s="7" t="str">
        <f>IF(CARGA_DIARIA!A97="","",CARGA_DIARIA!A97)</f>
        <v/>
      </c>
      <c r="B97" s="8" t="str">
        <f>IF(CARGA_DIARIA!A97="","",CARGA_DIARIA!B97)</f>
        <v/>
      </c>
      <c r="C97" s="9" t="str">
        <f>IF(CARGA_DIARIA!A97="","",IF(CARGA_DIARIA!B97=0,0,(CARGA_DIARIA!C97+CARGA_DIARIA!D97+CARGA_DIARIA!E97+CARGA_DIARIA!F97+CARGA_DIARIA!G97+CARGA_DIARIA!H97+CARGA_DIARIA!I97+CARGA_DIARIA!AF97+CARGA_DIARIA!AG97+CARGA_DIARIA!AH97+CARGA_DIARIA!AI97)/CARGA_DIARIA!B97+CARGA_DIARIA!AE97))</f>
        <v/>
      </c>
      <c r="D97" s="10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10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13" t="s">
        <v>64</v>
      </c>
      <c r="G97" s="13" t="s">
        <v>64</v>
      </c>
      <c r="H97" s="12" t="str">
        <f>IF(CARGA_DIARIA!A97="","",C97-D97-E97)</f>
        <v/>
      </c>
    </row>
    <row r="98" spans="1:8" ht="15.75" customHeight="1" x14ac:dyDescent="0.25">
      <c r="A98" s="7" t="str">
        <f>IF(CARGA_DIARIA!A98="","",CARGA_DIARIA!A98)</f>
        <v/>
      </c>
      <c r="B98" s="8" t="str">
        <f>IF(CARGA_DIARIA!A98="","",CARGA_DIARIA!B98)</f>
        <v/>
      </c>
      <c r="C98" s="9" t="str">
        <f>IF(CARGA_DIARIA!A98="","",IF(CARGA_DIARIA!B98=0,0,(CARGA_DIARIA!C98+CARGA_DIARIA!D98+CARGA_DIARIA!E98+CARGA_DIARIA!F98+CARGA_DIARIA!G98+CARGA_DIARIA!H98+CARGA_DIARIA!I98+CARGA_DIARIA!AF98+CARGA_DIARIA!AG98+CARGA_DIARIA!AH98+CARGA_DIARIA!AI98)/CARGA_DIARIA!B98+CARGA_DIARIA!AE98))</f>
        <v/>
      </c>
      <c r="D98" s="10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10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13" t="s">
        <v>64</v>
      </c>
      <c r="G98" s="13" t="s">
        <v>64</v>
      </c>
      <c r="H98" s="12" t="str">
        <f>IF(CARGA_DIARIA!A98="","",C98-D98-E98)</f>
        <v/>
      </c>
    </row>
    <row r="99" spans="1:8" ht="15.75" customHeight="1" x14ac:dyDescent="0.25">
      <c r="A99" s="7" t="str">
        <f>IF(CARGA_DIARIA!A99="","",CARGA_DIARIA!A99)</f>
        <v/>
      </c>
      <c r="B99" s="8" t="str">
        <f>IF(CARGA_DIARIA!A99="","",CARGA_DIARIA!B99)</f>
        <v/>
      </c>
      <c r="C99" s="9" t="str">
        <f>IF(CARGA_DIARIA!A99="","",IF(CARGA_DIARIA!B99=0,0,(CARGA_DIARIA!C99+CARGA_DIARIA!D99+CARGA_DIARIA!E99+CARGA_DIARIA!F99+CARGA_DIARIA!G99+CARGA_DIARIA!H99+CARGA_DIARIA!I99+CARGA_DIARIA!AF99+CARGA_DIARIA!AG99+CARGA_DIARIA!AH99+CARGA_DIARIA!AI99)/CARGA_DIARIA!B99+CARGA_DIARIA!AE99))</f>
        <v/>
      </c>
      <c r="D99" s="10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10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13" t="s">
        <v>64</v>
      </c>
      <c r="G99" s="13" t="s">
        <v>64</v>
      </c>
      <c r="H99" s="12" t="str">
        <f>IF(CARGA_DIARIA!A99="","",C99-D99-E99)</f>
        <v/>
      </c>
    </row>
    <row r="100" spans="1:8" ht="15.75" customHeight="1" x14ac:dyDescent="0.25">
      <c r="A100" s="7" t="str">
        <f>IF(CARGA_DIARIA!A100="","",CARGA_DIARIA!A100)</f>
        <v/>
      </c>
      <c r="B100" s="8" t="str">
        <f>IF(CARGA_DIARIA!A100="","",CARGA_DIARIA!B100)</f>
        <v/>
      </c>
      <c r="C100" s="9" t="str">
        <f>IF(CARGA_DIARIA!A100="","",IF(CARGA_DIARIA!B100=0,0,(CARGA_DIARIA!C100+CARGA_DIARIA!D100+CARGA_DIARIA!E100+CARGA_DIARIA!F100+CARGA_DIARIA!G100+CARGA_DIARIA!H100+CARGA_DIARIA!I100+CARGA_DIARIA!AF100+CARGA_DIARIA!AG100+CARGA_DIARIA!AH100+CARGA_DIARIA!AI100)/CARGA_DIARIA!B100+CARGA_DIARIA!AE100))</f>
        <v/>
      </c>
      <c r="D100" s="10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10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13" t="s">
        <v>64</v>
      </c>
      <c r="G100" s="13" t="s">
        <v>64</v>
      </c>
      <c r="H100" s="12" t="str">
        <f>IF(CARGA_DIARIA!A100="","",C100-D100-E100)</f>
        <v/>
      </c>
    </row>
    <row r="101" spans="1:8" ht="15.75" customHeight="1" x14ac:dyDescent="0.25">
      <c r="A101" s="7" t="str">
        <f>IF(CARGA_DIARIA!A101="","",CARGA_DIARIA!A101)</f>
        <v/>
      </c>
      <c r="B101" s="8" t="str">
        <f>IF(CARGA_DIARIA!A101="","",CARGA_DIARIA!B101)</f>
        <v/>
      </c>
      <c r="C101" s="9" t="str">
        <f>IF(CARGA_DIARIA!A101="","",IF(CARGA_DIARIA!B101=0,0,(CARGA_DIARIA!C101+CARGA_DIARIA!D101+CARGA_DIARIA!E101+CARGA_DIARIA!F101+CARGA_DIARIA!G101+CARGA_DIARIA!H101+CARGA_DIARIA!I101+CARGA_DIARIA!AF101+CARGA_DIARIA!AG101+CARGA_DIARIA!AH101+CARGA_DIARIA!AI101)/CARGA_DIARIA!B101+CARGA_DIARIA!AE101))</f>
        <v/>
      </c>
      <c r="D101" s="10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10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13" t="s">
        <v>64</v>
      </c>
      <c r="G101" s="13" t="s">
        <v>64</v>
      </c>
      <c r="H101" s="12" t="str">
        <f>IF(CARGA_DIARIA!A101="","",C101-D101-E101)</f>
        <v/>
      </c>
    </row>
    <row r="102" spans="1:8" ht="15.75" customHeight="1" x14ac:dyDescent="0.25">
      <c r="A102" s="7" t="str">
        <f>IF(CARGA_DIARIA!A102="","",CARGA_DIARIA!A102)</f>
        <v/>
      </c>
      <c r="B102" s="8" t="str">
        <f>IF(CARGA_DIARIA!A102="","",CARGA_DIARIA!B102)</f>
        <v/>
      </c>
      <c r="C102" s="9" t="str">
        <f>IF(CARGA_DIARIA!A102="","",IF(CARGA_DIARIA!B102=0,0,(CARGA_DIARIA!C102+CARGA_DIARIA!D102+CARGA_DIARIA!E102+CARGA_DIARIA!F102+CARGA_DIARIA!G102+CARGA_DIARIA!H102+CARGA_DIARIA!I102+CARGA_DIARIA!AF102+CARGA_DIARIA!AG102+CARGA_DIARIA!AH102+CARGA_DIARIA!AI102)/CARGA_DIARIA!B102+CARGA_DIARIA!AE102))</f>
        <v/>
      </c>
      <c r="D102" s="10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10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13" t="s">
        <v>64</v>
      </c>
      <c r="G102" s="13" t="s">
        <v>64</v>
      </c>
      <c r="H102" s="12" t="str">
        <f>IF(CARGA_DIARIA!A102="","",C102-D102-E102)</f>
        <v/>
      </c>
    </row>
    <row r="103" spans="1:8" ht="15.75" customHeight="1" x14ac:dyDescent="0.25">
      <c r="A103" s="7" t="str">
        <f>IF(CARGA_DIARIA!A103="","",CARGA_DIARIA!A103)</f>
        <v/>
      </c>
      <c r="B103" s="8" t="str">
        <f>IF(CARGA_DIARIA!A103="","",CARGA_DIARIA!B103)</f>
        <v/>
      </c>
      <c r="C103" s="9" t="str">
        <f>IF(CARGA_DIARIA!A103="","",IF(CARGA_DIARIA!B103=0,0,(CARGA_DIARIA!C103+CARGA_DIARIA!D103+CARGA_DIARIA!E103+CARGA_DIARIA!F103+CARGA_DIARIA!G103+CARGA_DIARIA!H103+CARGA_DIARIA!I103+CARGA_DIARIA!AF103+CARGA_DIARIA!AG103+CARGA_DIARIA!AH103+CARGA_DIARIA!AI103)/CARGA_DIARIA!B103+CARGA_DIARIA!AE103))</f>
        <v/>
      </c>
      <c r="D103" s="10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10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13" t="s">
        <v>64</v>
      </c>
      <c r="G103" s="13" t="s">
        <v>64</v>
      </c>
      <c r="H103" s="12" t="str">
        <f>IF(CARGA_DIARIA!A103="","",C103-D103-E103)</f>
        <v/>
      </c>
    </row>
    <row r="104" spans="1:8" ht="15.75" customHeight="1" x14ac:dyDescent="0.25">
      <c r="A104" s="7" t="str">
        <f>IF(CARGA_DIARIA!A104="","",CARGA_DIARIA!A104)</f>
        <v/>
      </c>
      <c r="B104" s="8" t="str">
        <f>IF(CARGA_DIARIA!A104="","",CARGA_DIARIA!B104)</f>
        <v/>
      </c>
      <c r="C104" s="9" t="str">
        <f>IF(CARGA_DIARIA!A104="","",IF(CARGA_DIARIA!B104=0,0,(CARGA_DIARIA!C104+CARGA_DIARIA!D104+CARGA_DIARIA!E104+CARGA_DIARIA!F104+CARGA_DIARIA!G104+CARGA_DIARIA!H104+CARGA_DIARIA!I104+CARGA_DIARIA!AF104+CARGA_DIARIA!AG104+CARGA_DIARIA!AH104+CARGA_DIARIA!AI104)/CARGA_DIARIA!B104+CARGA_DIARIA!AE104))</f>
        <v/>
      </c>
      <c r="D104" s="10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10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13" t="s">
        <v>64</v>
      </c>
      <c r="G104" s="13" t="s">
        <v>64</v>
      </c>
      <c r="H104" s="12" t="str">
        <f>IF(CARGA_DIARIA!A104="","",C104-D104-E104)</f>
        <v/>
      </c>
    </row>
    <row r="105" spans="1:8" ht="15.75" customHeight="1" x14ac:dyDescent="0.25">
      <c r="A105" s="7" t="str">
        <f>IF(CARGA_DIARIA!A105="","",CARGA_DIARIA!A105)</f>
        <v/>
      </c>
      <c r="B105" s="8" t="str">
        <f>IF(CARGA_DIARIA!A105="","",CARGA_DIARIA!B105)</f>
        <v/>
      </c>
      <c r="C105" s="9" t="str">
        <f>IF(CARGA_DIARIA!A105="","",IF(CARGA_DIARIA!B105=0,0,(CARGA_DIARIA!C105+CARGA_DIARIA!D105+CARGA_DIARIA!E105+CARGA_DIARIA!F105+CARGA_DIARIA!G105+CARGA_DIARIA!H105+CARGA_DIARIA!I105+CARGA_DIARIA!AF105+CARGA_DIARIA!AG105+CARGA_DIARIA!AH105+CARGA_DIARIA!AI105)/CARGA_DIARIA!B105+CARGA_DIARIA!AE105))</f>
        <v/>
      </c>
      <c r="D105" s="10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10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13" t="s">
        <v>64</v>
      </c>
      <c r="G105" s="13" t="s">
        <v>64</v>
      </c>
      <c r="H105" s="12" t="str">
        <f>IF(CARGA_DIARIA!A105="","",C105-D105-E105)</f>
        <v/>
      </c>
    </row>
    <row r="106" spans="1:8" ht="15.75" customHeight="1" x14ac:dyDescent="0.25">
      <c r="A106" s="7" t="str">
        <f>IF(CARGA_DIARIA!A106="","",CARGA_DIARIA!A106)</f>
        <v/>
      </c>
      <c r="B106" s="8" t="str">
        <f>IF(CARGA_DIARIA!A106="","",CARGA_DIARIA!B106)</f>
        <v/>
      </c>
      <c r="C106" s="9" t="str">
        <f>IF(CARGA_DIARIA!A106="","",IF(CARGA_DIARIA!B106=0,0,(CARGA_DIARIA!C106+CARGA_DIARIA!D106+CARGA_DIARIA!E106+CARGA_DIARIA!F106+CARGA_DIARIA!G106+CARGA_DIARIA!H106+CARGA_DIARIA!I106+CARGA_DIARIA!AF106+CARGA_DIARIA!AG106+CARGA_DIARIA!AH106+CARGA_DIARIA!AI106)/CARGA_DIARIA!B106+CARGA_DIARIA!AE106))</f>
        <v/>
      </c>
      <c r="D106" s="10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10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13" t="s">
        <v>64</v>
      </c>
      <c r="G106" s="13" t="s">
        <v>64</v>
      </c>
      <c r="H106" s="12" t="str">
        <f>IF(CARGA_DIARIA!A106="","",C106-D106-E106)</f>
        <v/>
      </c>
    </row>
    <row r="107" spans="1:8" ht="15.75" customHeight="1" x14ac:dyDescent="0.25">
      <c r="A107" s="7" t="str">
        <f>IF(CARGA_DIARIA!A107="","",CARGA_DIARIA!A107)</f>
        <v/>
      </c>
      <c r="B107" s="8" t="str">
        <f>IF(CARGA_DIARIA!A107="","",CARGA_DIARIA!B107)</f>
        <v/>
      </c>
      <c r="C107" s="9" t="str">
        <f>IF(CARGA_DIARIA!A107="","",IF(CARGA_DIARIA!B107=0,0,(CARGA_DIARIA!C107+CARGA_DIARIA!D107+CARGA_DIARIA!E107+CARGA_DIARIA!F107+CARGA_DIARIA!G107+CARGA_DIARIA!H107+CARGA_DIARIA!I107+CARGA_DIARIA!AF107+CARGA_DIARIA!AG107+CARGA_DIARIA!AH107+CARGA_DIARIA!AI107)/CARGA_DIARIA!B107+CARGA_DIARIA!AE107))</f>
        <v/>
      </c>
      <c r="D107" s="10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10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13" t="s">
        <v>64</v>
      </c>
      <c r="G107" s="13" t="s">
        <v>64</v>
      </c>
      <c r="H107" s="12" t="str">
        <f>IF(CARGA_DIARIA!A107="","",C107-D107-E107)</f>
        <v/>
      </c>
    </row>
    <row r="108" spans="1:8" ht="15.75" customHeight="1" x14ac:dyDescent="0.25">
      <c r="A108" s="7" t="str">
        <f>IF(CARGA_DIARIA!A108="","",CARGA_DIARIA!A108)</f>
        <v/>
      </c>
      <c r="B108" s="8" t="str">
        <f>IF(CARGA_DIARIA!A108="","",CARGA_DIARIA!B108)</f>
        <v/>
      </c>
      <c r="C108" s="9" t="str">
        <f>IF(CARGA_DIARIA!A108="","",IF(CARGA_DIARIA!B108=0,0,(CARGA_DIARIA!C108+CARGA_DIARIA!D108+CARGA_DIARIA!E108+CARGA_DIARIA!F108+CARGA_DIARIA!G108+CARGA_DIARIA!H108+CARGA_DIARIA!I108+CARGA_DIARIA!AF108+CARGA_DIARIA!AG108+CARGA_DIARIA!AH108+CARGA_DIARIA!AI108)/CARGA_DIARIA!B108+CARGA_DIARIA!AE108))</f>
        <v/>
      </c>
      <c r="D108" s="10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10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13" t="s">
        <v>64</v>
      </c>
      <c r="G108" s="13" t="s">
        <v>64</v>
      </c>
      <c r="H108" s="12" t="str">
        <f>IF(CARGA_DIARIA!A108="","",C108-D108-E108)</f>
        <v/>
      </c>
    </row>
    <row r="109" spans="1:8" ht="15.75" customHeight="1" x14ac:dyDescent="0.25">
      <c r="A109" s="7" t="str">
        <f>IF(CARGA_DIARIA!A109="","",CARGA_DIARIA!A109)</f>
        <v/>
      </c>
      <c r="B109" s="8" t="str">
        <f>IF(CARGA_DIARIA!A109="","",CARGA_DIARIA!B109)</f>
        <v/>
      </c>
      <c r="C109" s="9" t="str">
        <f>IF(CARGA_DIARIA!A109="","",IF(CARGA_DIARIA!B109=0,0,(CARGA_DIARIA!C109+CARGA_DIARIA!D109+CARGA_DIARIA!E109+CARGA_DIARIA!F109+CARGA_DIARIA!G109+CARGA_DIARIA!H109+CARGA_DIARIA!I109+CARGA_DIARIA!AF109+CARGA_DIARIA!AG109+CARGA_DIARIA!AH109+CARGA_DIARIA!AI109)/CARGA_DIARIA!B109+CARGA_DIARIA!AE109))</f>
        <v/>
      </c>
      <c r="D109" s="10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10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13" t="s">
        <v>64</v>
      </c>
      <c r="G109" s="13" t="s">
        <v>64</v>
      </c>
      <c r="H109" s="12" t="str">
        <f>IF(CARGA_DIARIA!A109="","",C109-D109-E109)</f>
        <v/>
      </c>
    </row>
    <row r="110" spans="1:8" ht="15.75" customHeight="1" x14ac:dyDescent="0.25">
      <c r="A110" s="7" t="str">
        <f>IF(CARGA_DIARIA!A110="","",CARGA_DIARIA!A110)</f>
        <v/>
      </c>
      <c r="B110" s="8" t="str">
        <f>IF(CARGA_DIARIA!A110="","",CARGA_DIARIA!B110)</f>
        <v/>
      </c>
      <c r="C110" s="9" t="str">
        <f>IF(CARGA_DIARIA!A110="","",IF(CARGA_DIARIA!B110=0,0,(CARGA_DIARIA!C110+CARGA_DIARIA!D110+CARGA_DIARIA!E110+CARGA_DIARIA!F110+CARGA_DIARIA!G110+CARGA_DIARIA!H110+CARGA_DIARIA!I110+CARGA_DIARIA!AF110+CARGA_DIARIA!AG110+CARGA_DIARIA!AH110+CARGA_DIARIA!AI110)/CARGA_DIARIA!B110+CARGA_DIARIA!AE110))</f>
        <v/>
      </c>
      <c r="D110" s="10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10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13" t="s">
        <v>64</v>
      </c>
      <c r="G110" s="13" t="s">
        <v>64</v>
      </c>
      <c r="H110" s="12" t="str">
        <f>IF(CARGA_DIARIA!A110="","",C110-D110-E110)</f>
        <v/>
      </c>
    </row>
    <row r="111" spans="1:8" ht="15.75" customHeight="1" x14ac:dyDescent="0.25">
      <c r="A111" s="7" t="str">
        <f>IF(CARGA_DIARIA!A111="","",CARGA_DIARIA!A111)</f>
        <v/>
      </c>
      <c r="B111" s="8" t="str">
        <f>IF(CARGA_DIARIA!A111="","",CARGA_DIARIA!B111)</f>
        <v/>
      </c>
      <c r="C111" s="9" t="str">
        <f>IF(CARGA_DIARIA!A111="","",IF(CARGA_DIARIA!B111=0,0,(CARGA_DIARIA!C111+CARGA_DIARIA!D111+CARGA_DIARIA!E111+CARGA_DIARIA!F111+CARGA_DIARIA!G111+CARGA_DIARIA!H111+CARGA_DIARIA!I111+CARGA_DIARIA!AF111+CARGA_DIARIA!AG111+CARGA_DIARIA!AH111+CARGA_DIARIA!AI111)/CARGA_DIARIA!B111+CARGA_DIARIA!AE111))</f>
        <v/>
      </c>
      <c r="D111" s="10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10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13" t="s">
        <v>64</v>
      </c>
      <c r="G111" s="13" t="s">
        <v>64</v>
      </c>
      <c r="H111" s="12" t="str">
        <f>IF(CARGA_DIARIA!A111="","",C111-D111-E111)</f>
        <v/>
      </c>
    </row>
    <row r="112" spans="1:8" ht="15.75" customHeight="1" x14ac:dyDescent="0.25">
      <c r="A112" s="7" t="str">
        <f>IF(CARGA_DIARIA!A112="","",CARGA_DIARIA!A112)</f>
        <v/>
      </c>
      <c r="B112" s="8" t="str">
        <f>IF(CARGA_DIARIA!A112="","",CARGA_DIARIA!B112)</f>
        <v/>
      </c>
      <c r="C112" s="9" t="str">
        <f>IF(CARGA_DIARIA!A112="","",IF(CARGA_DIARIA!B112=0,0,(CARGA_DIARIA!C112+CARGA_DIARIA!D112+CARGA_DIARIA!E112+CARGA_DIARIA!F112+CARGA_DIARIA!G112+CARGA_DIARIA!H112+CARGA_DIARIA!I112+CARGA_DIARIA!AF112+CARGA_DIARIA!AG112+CARGA_DIARIA!AH112+CARGA_DIARIA!AI112)/CARGA_DIARIA!B112+CARGA_DIARIA!AE112))</f>
        <v/>
      </c>
      <c r="D112" s="10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10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13" t="s">
        <v>64</v>
      </c>
      <c r="G112" s="13" t="s">
        <v>64</v>
      </c>
      <c r="H112" s="12" t="str">
        <f>IF(CARGA_DIARIA!A112="","",C112-D112-E112)</f>
        <v/>
      </c>
    </row>
    <row r="113" spans="1:8" ht="15.75" customHeight="1" x14ac:dyDescent="0.25">
      <c r="A113" s="7" t="str">
        <f>IF(CARGA_DIARIA!A113="","",CARGA_DIARIA!A113)</f>
        <v/>
      </c>
      <c r="B113" s="8" t="str">
        <f>IF(CARGA_DIARIA!A113="","",CARGA_DIARIA!B113)</f>
        <v/>
      </c>
      <c r="C113" s="9" t="str">
        <f>IF(CARGA_DIARIA!A113="","",IF(CARGA_DIARIA!B113=0,0,(CARGA_DIARIA!C113+CARGA_DIARIA!D113+CARGA_DIARIA!E113+CARGA_DIARIA!F113+CARGA_DIARIA!G113+CARGA_DIARIA!H113+CARGA_DIARIA!I113+CARGA_DIARIA!AF113+CARGA_DIARIA!AG113+CARGA_DIARIA!AH113+CARGA_DIARIA!AI113)/CARGA_DIARIA!B113+CARGA_DIARIA!AE113))</f>
        <v/>
      </c>
      <c r="D113" s="10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10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13" t="s">
        <v>64</v>
      </c>
      <c r="G113" s="13" t="s">
        <v>64</v>
      </c>
      <c r="H113" s="12" t="str">
        <f>IF(CARGA_DIARIA!A113="","",C113-D113-E113)</f>
        <v/>
      </c>
    </row>
    <row r="114" spans="1:8" ht="15.75" customHeight="1" x14ac:dyDescent="0.25">
      <c r="A114" s="7" t="str">
        <f>IF(CARGA_DIARIA!A114="","",CARGA_DIARIA!A114)</f>
        <v/>
      </c>
      <c r="B114" s="8" t="str">
        <f>IF(CARGA_DIARIA!A114="","",CARGA_DIARIA!B114)</f>
        <v/>
      </c>
      <c r="C114" s="9" t="str">
        <f>IF(CARGA_DIARIA!A114="","",IF(CARGA_DIARIA!B114=0,0,(CARGA_DIARIA!C114+CARGA_DIARIA!D114+CARGA_DIARIA!E114+CARGA_DIARIA!F114+CARGA_DIARIA!G114+CARGA_DIARIA!H114+CARGA_DIARIA!I114+CARGA_DIARIA!AF114+CARGA_DIARIA!AG114+CARGA_DIARIA!AH114+CARGA_DIARIA!AI114)/CARGA_DIARIA!B114+CARGA_DIARIA!AE114))</f>
        <v/>
      </c>
      <c r="D114" s="10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10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13" t="s">
        <v>64</v>
      </c>
      <c r="G114" s="13" t="s">
        <v>64</v>
      </c>
      <c r="H114" s="12" t="str">
        <f>IF(CARGA_DIARIA!A114="","",C114-D114-E114)</f>
        <v/>
      </c>
    </row>
    <row r="115" spans="1:8" ht="15.75" customHeight="1" x14ac:dyDescent="0.25">
      <c r="A115" s="7" t="str">
        <f>IF(CARGA_DIARIA!A115="","",CARGA_DIARIA!A115)</f>
        <v/>
      </c>
      <c r="B115" s="8" t="str">
        <f>IF(CARGA_DIARIA!A115="","",CARGA_DIARIA!B115)</f>
        <v/>
      </c>
      <c r="C115" s="9" t="str">
        <f>IF(CARGA_DIARIA!A115="","",IF(CARGA_DIARIA!B115=0,0,(CARGA_DIARIA!C115+CARGA_DIARIA!D115+CARGA_DIARIA!E115+CARGA_DIARIA!F115+CARGA_DIARIA!G115+CARGA_DIARIA!H115+CARGA_DIARIA!I115+CARGA_DIARIA!AF115+CARGA_DIARIA!AG115+CARGA_DIARIA!AH115+CARGA_DIARIA!AI115)/CARGA_DIARIA!B115+CARGA_DIARIA!AE115))</f>
        <v/>
      </c>
      <c r="D115" s="10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10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13" t="s">
        <v>64</v>
      </c>
      <c r="G115" s="13" t="s">
        <v>64</v>
      </c>
      <c r="H115" s="12" t="str">
        <f>IF(CARGA_DIARIA!A115="","",C115-D115-E115)</f>
        <v/>
      </c>
    </row>
    <row r="116" spans="1:8" ht="15.75" customHeight="1" x14ac:dyDescent="0.25">
      <c r="A116" s="7" t="str">
        <f>IF(CARGA_DIARIA!A116="","",CARGA_DIARIA!A116)</f>
        <v/>
      </c>
      <c r="B116" s="8" t="str">
        <f>IF(CARGA_DIARIA!A116="","",CARGA_DIARIA!B116)</f>
        <v/>
      </c>
      <c r="C116" s="9" t="str">
        <f>IF(CARGA_DIARIA!A116="","",IF(CARGA_DIARIA!B116=0,0,(CARGA_DIARIA!C116+CARGA_DIARIA!D116+CARGA_DIARIA!E116+CARGA_DIARIA!F116+CARGA_DIARIA!G116+CARGA_DIARIA!H116+CARGA_DIARIA!I116+CARGA_DIARIA!AF116+CARGA_DIARIA!AG116+CARGA_DIARIA!AH116+CARGA_DIARIA!AI116)/CARGA_DIARIA!B116+CARGA_DIARIA!AE116))</f>
        <v/>
      </c>
      <c r="D116" s="10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10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13" t="s">
        <v>64</v>
      </c>
      <c r="G116" s="13" t="s">
        <v>64</v>
      </c>
      <c r="H116" s="12" t="str">
        <f>IF(CARGA_DIARIA!A116="","",C116-D116-E116)</f>
        <v/>
      </c>
    </row>
    <row r="117" spans="1:8" ht="15.75" customHeight="1" x14ac:dyDescent="0.25">
      <c r="A117" s="7" t="str">
        <f>IF(CARGA_DIARIA!A117="","",CARGA_DIARIA!A117)</f>
        <v/>
      </c>
      <c r="B117" s="8" t="str">
        <f>IF(CARGA_DIARIA!A117="","",CARGA_DIARIA!B117)</f>
        <v/>
      </c>
      <c r="C117" s="9" t="str">
        <f>IF(CARGA_DIARIA!A117="","",IF(CARGA_DIARIA!B117=0,0,(CARGA_DIARIA!C117+CARGA_DIARIA!D117+CARGA_DIARIA!E117+CARGA_DIARIA!F117+CARGA_DIARIA!G117+CARGA_DIARIA!H117+CARGA_DIARIA!I117+CARGA_DIARIA!AF117+CARGA_DIARIA!AG117+CARGA_DIARIA!AH117+CARGA_DIARIA!AI117)/CARGA_DIARIA!B117+CARGA_DIARIA!AE117))</f>
        <v/>
      </c>
      <c r="D117" s="10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10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13" t="s">
        <v>64</v>
      </c>
      <c r="G117" s="13" t="s">
        <v>64</v>
      </c>
      <c r="H117" s="12" t="str">
        <f>IF(CARGA_DIARIA!A117="","",C117-D117-E117)</f>
        <v/>
      </c>
    </row>
    <row r="118" spans="1:8" ht="15.75" customHeight="1" x14ac:dyDescent="0.25">
      <c r="A118" s="7" t="str">
        <f>IF(CARGA_DIARIA!A118="","",CARGA_DIARIA!A118)</f>
        <v/>
      </c>
      <c r="B118" s="8" t="str">
        <f>IF(CARGA_DIARIA!A118="","",CARGA_DIARIA!B118)</f>
        <v/>
      </c>
      <c r="C118" s="9" t="str">
        <f>IF(CARGA_DIARIA!A118="","",IF(CARGA_DIARIA!B118=0,0,(CARGA_DIARIA!C118+CARGA_DIARIA!D118+CARGA_DIARIA!E118+CARGA_DIARIA!F118+CARGA_DIARIA!G118+CARGA_DIARIA!H118+CARGA_DIARIA!I118+CARGA_DIARIA!AF118+CARGA_DIARIA!AG118+CARGA_DIARIA!AH118+CARGA_DIARIA!AI118)/CARGA_DIARIA!B118+CARGA_DIARIA!AE118))</f>
        <v/>
      </c>
      <c r="D118" s="10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10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13" t="s">
        <v>64</v>
      </c>
      <c r="G118" s="13" t="s">
        <v>64</v>
      </c>
      <c r="H118" s="12" t="str">
        <f>IF(CARGA_DIARIA!A118="","",C118-D118-E118)</f>
        <v/>
      </c>
    </row>
    <row r="119" spans="1:8" ht="15.75" customHeight="1" x14ac:dyDescent="0.25">
      <c r="A119" s="7" t="str">
        <f>IF(CARGA_DIARIA!A119="","",CARGA_DIARIA!A119)</f>
        <v/>
      </c>
      <c r="B119" s="8" t="str">
        <f>IF(CARGA_DIARIA!A119="","",CARGA_DIARIA!B119)</f>
        <v/>
      </c>
      <c r="C119" s="9" t="str">
        <f>IF(CARGA_DIARIA!A119="","",IF(CARGA_DIARIA!B119=0,0,(CARGA_DIARIA!C119+CARGA_DIARIA!D119+CARGA_DIARIA!E119+CARGA_DIARIA!F119+CARGA_DIARIA!G119+CARGA_DIARIA!H119+CARGA_DIARIA!I119+CARGA_DIARIA!AF119+CARGA_DIARIA!AG119+CARGA_DIARIA!AH119+CARGA_DIARIA!AI119)/CARGA_DIARIA!B119+CARGA_DIARIA!AE119))</f>
        <v/>
      </c>
      <c r="D119" s="10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10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13" t="s">
        <v>64</v>
      </c>
      <c r="G119" s="13" t="s">
        <v>64</v>
      </c>
      <c r="H119" s="12" t="str">
        <f>IF(CARGA_DIARIA!A119="","",C119-D119-E119)</f>
        <v/>
      </c>
    </row>
    <row r="120" spans="1:8" ht="15.75" customHeight="1" x14ac:dyDescent="0.25">
      <c r="A120" s="7" t="str">
        <f>IF(CARGA_DIARIA!A120="","",CARGA_DIARIA!A120)</f>
        <v/>
      </c>
      <c r="B120" s="8" t="str">
        <f>IF(CARGA_DIARIA!A120="","",CARGA_DIARIA!B120)</f>
        <v/>
      </c>
      <c r="C120" s="9" t="str">
        <f>IF(CARGA_DIARIA!A120="","",IF(CARGA_DIARIA!B120=0,0,(CARGA_DIARIA!C120+CARGA_DIARIA!D120+CARGA_DIARIA!E120+CARGA_DIARIA!F120+CARGA_DIARIA!G120+CARGA_DIARIA!H120+CARGA_DIARIA!I120+CARGA_DIARIA!AF120+CARGA_DIARIA!AG120+CARGA_DIARIA!AH120+CARGA_DIARIA!AI120)/CARGA_DIARIA!B120+CARGA_DIARIA!AE120))</f>
        <v/>
      </c>
      <c r="D120" s="10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10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13" t="s">
        <v>64</v>
      </c>
      <c r="G120" s="13" t="s">
        <v>64</v>
      </c>
      <c r="H120" s="12" t="str">
        <f>IF(CARGA_DIARIA!A120="","",C120-D120-E120)</f>
        <v/>
      </c>
    </row>
    <row r="121" spans="1:8" ht="15.75" customHeight="1" x14ac:dyDescent="0.25">
      <c r="A121" s="7" t="str">
        <f>IF(CARGA_DIARIA!A121="","",CARGA_DIARIA!A121)</f>
        <v/>
      </c>
      <c r="B121" s="8" t="str">
        <f>IF(CARGA_DIARIA!A121="","",CARGA_DIARIA!B121)</f>
        <v/>
      </c>
      <c r="C121" s="9" t="str">
        <f>IF(CARGA_DIARIA!A121="","",IF(CARGA_DIARIA!B121=0,0,(CARGA_DIARIA!C121+CARGA_DIARIA!D121+CARGA_DIARIA!E121+CARGA_DIARIA!F121+CARGA_DIARIA!G121+CARGA_DIARIA!H121+CARGA_DIARIA!I121+CARGA_DIARIA!AF121+CARGA_DIARIA!AG121+CARGA_DIARIA!AH121+CARGA_DIARIA!AI121)/CARGA_DIARIA!B121+CARGA_DIARIA!AE121))</f>
        <v/>
      </c>
      <c r="D121" s="10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10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13" t="s">
        <v>64</v>
      </c>
      <c r="G121" s="13" t="s">
        <v>64</v>
      </c>
      <c r="H121" s="12" t="str">
        <f>IF(CARGA_DIARIA!A121="","",C121-D121-E121)</f>
        <v/>
      </c>
    </row>
    <row r="122" spans="1:8" ht="15.75" customHeight="1" x14ac:dyDescent="0.25">
      <c r="A122" s="7" t="str">
        <f>IF(CARGA_DIARIA!A122="","",CARGA_DIARIA!A122)</f>
        <v/>
      </c>
      <c r="B122" s="8" t="str">
        <f>IF(CARGA_DIARIA!A122="","",CARGA_DIARIA!B122)</f>
        <v/>
      </c>
      <c r="C122" s="9" t="str">
        <f>IF(CARGA_DIARIA!A122="","",IF(CARGA_DIARIA!B122=0,0,(CARGA_DIARIA!C122+CARGA_DIARIA!D122+CARGA_DIARIA!E122+CARGA_DIARIA!F122+CARGA_DIARIA!G122+CARGA_DIARIA!H122+CARGA_DIARIA!I122+CARGA_DIARIA!AF122+CARGA_DIARIA!AG122+CARGA_DIARIA!AH122+CARGA_DIARIA!AI122)/CARGA_DIARIA!B122+CARGA_DIARIA!AE122))</f>
        <v/>
      </c>
      <c r="D122" s="10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10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13" t="s">
        <v>64</v>
      </c>
      <c r="G122" s="13" t="s">
        <v>64</v>
      </c>
      <c r="H122" s="12" t="str">
        <f>IF(CARGA_DIARIA!A122="","",C122-D122-E122)</f>
        <v/>
      </c>
    </row>
    <row r="123" spans="1:8" ht="15.75" customHeight="1" x14ac:dyDescent="0.25">
      <c r="A123" s="7" t="str">
        <f>IF(CARGA_DIARIA!A123="","",CARGA_DIARIA!A123)</f>
        <v/>
      </c>
      <c r="B123" s="8" t="str">
        <f>IF(CARGA_DIARIA!A123="","",CARGA_DIARIA!B123)</f>
        <v/>
      </c>
      <c r="C123" s="9" t="str">
        <f>IF(CARGA_DIARIA!A123="","",IF(CARGA_DIARIA!B123=0,0,(CARGA_DIARIA!C123+CARGA_DIARIA!D123+CARGA_DIARIA!E123+CARGA_DIARIA!F123+CARGA_DIARIA!G123+CARGA_DIARIA!H123+CARGA_DIARIA!I123+CARGA_DIARIA!AF123+CARGA_DIARIA!AG123+CARGA_DIARIA!AH123+CARGA_DIARIA!AI123)/CARGA_DIARIA!B123+CARGA_DIARIA!AE123))</f>
        <v/>
      </c>
      <c r="D123" s="10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10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13" t="s">
        <v>64</v>
      </c>
      <c r="G123" s="13" t="s">
        <v>64</v>
      </c>
      <c r="H123" s="12" t="str">
        <f>IF(CARGA_DIARIA!A123="","",C123-D123-E123)</f>
        <v/>
      </c>
    </row>
    <row r="124" spans="1:8" ht="15.75" customHeight="1" x14ac:dyDescent="0.25">
      <c r="A124" s="7" t="str">
        <f>IF(CARGA_DIARIA!A124="","",CARGA_DIARIA!A124)</f>
        <v/>
      </c>
      <c r="B124" s="8" t="str">
        <f>IF(CARGA_DIARIA!A124="","",CARGA_DIARIA!B124)</f>
        <v/>
      </c>
      <c r="C124" s="9" t="str">
        <f>IF(CARGA_DIARIA!A124="","",IF(CARGA_DIARIA!B124=0,0,(CARGA_DIARIA!C124+CARGA_DIARIA!D124+CARGA_DIARIA!E124+CARGA_DIARIA!F124+CARGA_DIARIA!G124+CARGA_DIARIA!H124+CARGA_DIARIA!I124+CARGA_DIARIA!AF124+CARGA_DIARIA!AG124+CARGA_DIARIA!AH124+CARGA_DIARIA!AI124)/CARGA_DIARIA!B124+CARGA_DIARIA!AE124))</f>
        <v/>
      </c>
      <c r="D124" s="10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10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13" t="s">
        <v>64</v>
      </c>
      <c r="G124" s="13" t="s">
        <v>64</v>
      </c>
      <c r="H124" s="12" t="str">
        <f>IF(CARGA_DIARIA!A124="","",C124-D124-E124)</f>
        <v/>
      </c>
    </row>
    <row r="125" spans="1:8" ht="15.75" customHeight="1" x14ac:dyDescent="0.25">
      <c r="A125" s="7" t="str">
        <f>IF(CARGA_DIARIA!A125="","",CARGA_DIARIA!A125)</f>
        <v/>
      </c>
      <c r="B125" s="8" t="str">
        <f>IF(CARGA_DIARIA!A125="","",CARGA_DIARIA!B125)</f>
        <v/>
      </c>
      <c r="C125" s="9" t="str">
        <f>IF(CARGA_DIARIA!A125="","",IF(CARGA_DIARIA!B125=0,0,(CARGA_DIARIA!C125+CARGA_DIARIA!D125+CARGA_DIARIA!E125+CARGA_DIARIA!F125+CARGA_DIARIA!G125+CARGA_DIARIA!H125+CARGA_DIARIA!I125+CARGA_DIARIA!AF125+CARGA_DIARIA!AG125+CARGA_DIARIA!AH125+CARGA_DIARIA!AI125)/CARGA_DIARIA!B125+CARGA_DIARIA!AE125))</f>
        <v/>
      </c>
      <c r="D125" s="10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10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13" t="s">
        <v>64</v>
      </c>
      <c r="G125" s="13" t="s">
        <v>64</v>
      </c>
      <c r="H125" s="12" t="str">
        <f>IF(CARGA_DIARIA!A125="","",C125-D125-E125)</f>
        <v/>
      </c>
    </row>
    <row r="126" spans="1:8" ht="15.75" customHeight="1" x14ac:dyDescent="0.25">
      <c r="A126" s="7" t="str">
        <f>IF(CARGA_DIARIA!A126="","",CARGA_DIARIA!A126)</f>
        <v/>
      </c>
      <c r="B126" s="8" t="str">
        <f>IF(CARGA_DIARIA!A126="","",CARGA_DIARIA!B126)</f>
        <v/>
      </c>
      <c r="C126" s="9" t="str">
        <f>IF(CARGA_DIARIA!A126="","",IF(CARGA_DIARIA!B126=0,0,(CARGA_DIARIA!C126+CARGA_DIARIA!D126+CARGA_DIARIA!E126+CARGA_DIARIA!F126+CARGA_DIARIA!G126+CARGA_DIARIA!H126+CARGA_DIARIA!I126+CARGA_DIARIA!AF126+CARGA_DIARIA!AG126+CARGA_DIARIA!AH126+CARGA_DIARIA!AI126)/CARGA_DIARIA!B126+CARGA_DIARIA!AE126))</f>
        <v/>
      </c>
      <c r="D126" s="10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10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13" t="s">
        <v>64</v>
      </c>
      <c r="G126" s="13" t="s">
        <v>64</v>
      </c>
      <c r="H126" s="12" t="str">
        <f>IF(CARGA_DIARIA!A126="","",C126-D126-E126)</f>
        <v/>
      </c>
    </row>
    <row r="127" spans="1:8" ht="15.75" customHeight="1" x14ac:dyDescent="0.25">
      <c r="A127" s="7" t="str">
        <f>IF(CARGA_DIARIA!A127="","",CARGA_DIARIA!A127)</f>
        <v/>
      </c>
      <c r="B127" s="8" t="str">
        <f>IF(CARGA_DIARIA!A127="","",CARGA_DIARIA!B127)</f>
        <v/>
      </c>
      <c r="C127" s="9" t="str">
        <f>IF(CARGA_DIARIA!A127="","",IF(CARGA_DIARIA!B127=0,0,(CARGA_DIARIA!C127+CARGA_DIARIA!D127+CARGA_DIARIA!E127+CARGA_DIARIA!F127+CARGA_DIARIA!G127+CARGA_DIARIA!H127+CARGA_DIARIA!I127+CARGA_DIARIA!AF127+CARGA_DIARIA!AG127+CARGA_DIARIA!AH127+CARGA_DIARIA!AI127)/CARGA_DIARIA!B127+CARGA_DIARIA!AE127))</f>
        <v/>
      </c>
      <c r="D127" s="10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10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13" t="s">
        <v>64</v>
      </c>
      <c r="G127" s="13" t="s">
        <v>64</v>
      </c>
      <c r="H127" s="12" t="str">
        <f>IF(CARGA_DIARIA!A127="","",C127-D127-E127)</f>
        <v/>
      </c>
    </row>
    <row r="128" spans="1:8" ht="15.75" customHeight="1" x14ac:dyDescent="0.25">
      <c r="A128" s="7" t="str">
        <f>IF(CARGA_DIARIA!A128="","",CARGA_DIARIA!A128)</f>
        <v/>
      </c>
      <c r="B128" s="8" t="str">
        <f>IF(CARGA_DIARIA!A128="","",CARGA_DIARIA!B128)</f>
        <v/>
      </c>
      <c r="C128" s="9" t="str">
        <f>IF(CARGA_DIARIA!A128="","",IF(CARGA_DIARIA!B128=0,0,(CARGA_DIARIA!C128+CARGA_DIARIA!D128+CARGA_DIARIA!E128+CARGA_DIARIA!F128+CARGA_DIARIA!G128+CARGA_DIARIA!H128+CARGA_DIARIA!I128+CARGA_DIARIA!AF128+CARGA_DIARIA!AG128+CARGA_DIARIA!AH128+CARGA_DIARIA!AI128)/CARGA_DIARIA!B128+CARGA_DIARIA!AE128))</f>
        <v/>
      </c>
      <c r="D128" s="10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10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13" t="s">
        <v>64</v>
      </c>
      <c r="G128" s="13" t="s">
        <v>64</v>
      </c>
      <c r="H128" s="12" t="str">
        <f>IF(CARGA_DIARIA!A128="","",C128-D128-E128)</f>
        <v/>
      </c>
    </row>
    <row r="129" spans="1:8" ht="15.75" customHeight="1" x14ac:dyDescent="0.25">
      <c r="A129" s="7" t="str">
        <f>IF(CARGA_DIARIA!A129="","",CARGA_DIARIA!A129)</f>
        <v/>
      </c>
      <c r="B129" s="8" t="str">
        <f>IF(CARGA_DIARIA!A129="","",CARGA_DIARIA!B129)</f>
        <v/>
      </c>
      <c r="C129" s="9" t="str">
        <f>IF(CARGA_DIARIA!A129="","",IF(CARGA_DIARIA!B129=0,0,(CARGA_DIARIA!C129+CARGA_DIARIA!D129+CARGA_DIARIA!E129+CARGA_DIARIA!F129+CARGA_DIARIA!G129+CARGA_DIARIA!H129+CARGA_DIARIA!I129+CARGA_DIARIA!AF129+CARGA_DIARIA!AG129+CARGA_DIARIA!AH129+CARGA_DIARIA!AI129)/CARGA_DIARIA!B129+CARGA_DIARIA!AE129))</f>
        <v/>
      </c>
      <c r="D129" s="10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10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13" t="s">
        <v>64</v>
      </c>
      <c r="G129" s="13" t="s">
        <v>64</v>
      </c>
      <c r="H129" s="12" t="str">
        <f>IF(CARGA_DIARIA!A129="","",C129-D129-E129)</f>
        <v/>
      </c>
    </row>
    <row r="130" spans="1:8" ht="15.75" customHeight="1" x14ac:dyDescent="0.25">
      <c r="A130" s="7" t="str">
        <f>IF(CARGA_DIARIA!A130="","",CARGA_DIARIA!A130)</f>
        <v/>
      </c>
      <c r="B130" s="8" t="str">
        <f>IF(CARGA_DIARIA!A130="","",CARGA_DIARIA!B130)</f>
        <v/>
      </c>
      <c r="C130" s="9" t="str">
        <f>IF(CARGA_DIARIA!A130="","",IF(CARGA_DIARIA!B130=0,0,(CARGA_DIARIA!C130+CARGA_DIARIA!D130+CARGA_DIARIA!E130+CARGA_DIARIA!F130+CARGA_DIARIA!G130+CARGA_DIARIA!H130+CARGA_DIARIA!I130+CARGA_DIARIA!AF130+CARGA_DIARIA!AG130+CARGA_DIARIA!AH130+CARGA_DIARIA!AI130)/CARGA_DIARIA!B130+CARGA_DIARIA!AE130))</f>
        <v/>
      </c>
      <c r="D130" s="10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10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13" t="s">
        <v>64</v>
      </c>
      <c r="G130" s="13" t="s">
        <v>64</v>
      </c>
      <c r="H130" s="12" t="str">
        <f>IF(CARGA_DIARIA!A130="","",C130-D130-E130)</f>
        <v/>
      </c>
    </row>
    <row r="131" spans="1:8" ht="15.75" customHeight="1" x14ac:dyDescent="0.25">
      <c r="A131" s="7" t="str">
        <f>IF(CARGA_DIARIA!A131="","",CARGA_DIARIA!A131)</f>
        <v/>
      </c>
      <c r="B131" s="8" t="str">
        <f>IF(CARGA_DIARIA!A131="","",CARGA_DIARIA!B131)</f>
        <v/>
      </c>
      <c r="C131" s="9" t="str">
        <f>IF(CARGA_DIARIA!A131="","",IF(CARGA_DIARIA!B131=0,0,(CARGA_DIARIA!C131+CARGA_DIARIA!D131+CARGA_DIARIA!E131+CARGA_DIARIA!F131+CARGA_DIARIA!G131+CARGA_DIARIA!H131+CARGA_DIARIA!I131+CARGA_DIARIA!AF131+CARGA_DIARIA!AG131+CARGA_DIARIA!AH131+CARGA_DIARIA!AI131)/CARGA_DIARIA!B131+CARGA_DIARIA!AE131))</f>
        <v/>
      </c>
      <c r="D131" s="10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10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13" t="s">
        <v>64</v>
      </c>
      <c r="G131" s="13" t="s">
        <v>64</v>
      </c>
      <c r="H131" s="12" t="str">
        <f>IF(CARGA_DIARIA!A131="","",C131-D131-E131)</f>
        <v/>
      </c>
    </row>
    <row r="132" spans="1:8" ht="15.75" customHeight="1" x14ac:dyDescent="0.25">
      <c r="A132" s="7" t="str">
        <f>IF(CARGA_DIARIA!A132="","",CARGA_DIARIA!A132)</f>
        <v/>
      </c>
      <c r="B132" s="8" t="str">
        <f>IF(CARGA_DIARIA!A132="","",CARGA_DIARIA!B132)</f>
        <v/>
      </c>
      <c r="C132" s="9" t="str">
        <f>IF(CARGA_DIARIA!A132="","",IF(CARGA_DIARIA!B132=0,0,(CARGA_DIARIA!C132+CARGA_DIARIA!D132+CARGA_DIARIA!E132+CARGA_DIARIA!F132+CARGA_DIARIA!G132+CARGA_DIARIA!H132+CARGA_DIARIA!I132+CARGA_DIARIA!AF132+CARGA_DIARIA!AG132+CARGA_DIARIA!AH132+CARGA_DIARIA!AI132)/CARGA_DIARIA!B132+CARGA_DIARIA!AE132))</f>
        <v/>
      </c>
      <c r="D132" s="10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10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13" t="s">
        <v>64</v>
      </c>
      <c r="G132" s="13" t="s">
        <v>64</v>
      </c>
      <c r="H132" s="12" t="str">
        <f>IF(CARGA_DIARIA!A132="","",C132-D132-E132)</f>
        <v/>
      </c>
    </row>
    <row r="133" spans="1:8" ht="15.75" customHeight="1" x14ac:dyDescent="0.25">
      <c r="A133" s="7" t="str">
        <f>IF(CARGA_DIARIA!A133="","",CARGA_DIARIA!A133)</f>
        <v/>
      </c>
      <c r="B133" s="8" t="str">
        <f>IF(CARGA_DIARIA!A133="","",CARGA_DIARIA!B133)</f>
        <v/>
      </c>
      <c r="C133" s="9" t="str">
        <f>IF(CARGA_DIARIA!A133="","",IF(CARGA_DIARIA!B133=0,0,(CARGA_DIARIA!C133+CARGA_DIARIA!D133+CARGA_DIARIA!E133+CARGA_DIARIA!F133+CARGA_DIARIA!G133+CARGA_DIARIA!H133+CARGA_DIARIA!I133+CARGA_DIARIA!AF133+CARGA_DIARIA!AG133+CARGA_DIARIA!AH133+CARGA_DIARIA!AI133)/CARGA_DIARIA!B133+CARGA_DIARIA!AE133))</f>
        <v/>
      </c>
      <c r="D133" s="10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10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13" t="s">
        <v>64</v>
      </c>
      <c r="G133" s="13" t="s">
        <v>64</v>
      </c>
      <c r="H133" s="12" t="str">
        <f>IF(CARGA_DIARIA!A133="","",C133-D133-E133)</f>
        <v/>
      </c>
    </row>
    <row r="134" spans="1:8" ht="15.75" customHeight="1" x14ac:dyDescent="0.25">
      <c r="A134" s="7" t="str">
        <f>IF(CARGA_DIARIA!A134="","",CARGA_DIARIA!A134)</f>
        <v/>
      </c>
      <c r="B134" s="8" t="str">
        <f>IF(CARGA_DIARIA!A134="","",CARGA_DIARIA!B134)</f>
        <v/>
      </c>
      <c r="C134" s="9" t="str">
        <f>IF(CARGA_DIARIA!A134="","",IF(CARGA_DIARIA!B134=0,0,(CARGA_DIARIA!C134+CARGA_DIARIA!D134+CARGA_DIARIA!E134+CARGA_DIARIA!F134+CARGA_DIARIA!G134+CARGA_DIARIA!H134+CARGA_DIARIA!I134+CARGA_DIARIA!AF134+CARGA_DIARIA!AG134+CARGA_DIARIA!AH134+CARGA_DIARIA!AI134)/CARGA_DIARIA!B134+CARGA_DIARIA!AE134))</f>
        <v/>
      </c>
      <c r="D134" s="10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10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13" t="s">
        <v>64</v>
      </c>
      <c r="G134" s="13" t="s">
        <v>64</v>
      </c>
      <c r="H134" s="12" t="str">
        <f>IF(CARGA_DIARIA!A134="","",C134-D134-E134)</f>
        <v/>
      </c>
    </row>
    <row r="135" spans="1:8" ht="15.75" customHeight="1" x14ac:dyDescent="0.25">
      <c r="A135" s="7" t="str">
        <f>IF(CARGA_DIARIA!A135="","",CARGA_DIARIA!A135)</f>
        <v/>
      </c>
      <c r="B135" s="8" t="str">
        <f>IF(CARGA_DIARIA!A135="","",CARGA_DIARIA!B135)</f>
        <v/>
      </c>
      <c r="C135" s="9" t="str">
        <f>IF(CARGA_DIARIA!A135="","",IF(CARGA_DIARIA!B135=0,0,(CARGA_DIARIA!C135+CARGA_DIARIA!D135+CARGA_DIARIA!E135+CARGA_DIARIA!F135+CARGA_DIARIA!G135+CARGA_DIARIA!H135+CARGA_DIARIA!I135+CARGA_DIARIA!AF135+CARGA_DIARIA!AG135+CARGA_DIARIA!AH135+CARGA_DIARIA!AI135)/CARGA_DIARIA!B135+CARGA_DIARIA!AE135))</f>
        <v/>
      </c>
      <c r="D135" s="10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10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13" t="s">
        <v>64</v>
      </c>
      <c r="G135" s="13" t="s">
        <v>64</v>
      </c>
      <c r="H135" s="12" t="str">
        <f>IF(CARGA_DIARIA!A135="","",C135-D135-E135)</f>
        <v/>
      </c>
    </row>
    <row r="136" spans="1:8" ht="15.75" customHeight="1" x14ac:dyDescent="0.25">
      <c r="A136" s="7" t="str">
        <f>IF(CARGA_DIARIA!A136="","",CARGA_DIARIA!A136)</f>
        <v/>
      </c>
      <c r="B136" s="8" t="str">
        <f>IF(CARGA_DIARIA!A136="","",CARGA_DIARIA!B136)</f>
        <v/>
      </c>
      <c r="C136" s="9" t="str">
        <f>IF(CARGA_DIARIA!A136="","",IF(CARGA_DIARIA!B136=0,0,(CARGA_DIARIA!C136+CARGA_DIARIA!D136+CARGA_DIARIA!E136+CARGA_DIARIA!F136+CARGA_DIARIA!G136+CARGA_DIARIA!H136+CARGA_DIARIA!I136+CARGA_DIARIA!AF136+CARGA_DIARIA!AG136+CARGA_DIARIA!AH136+CARGA_DIARIA!AI136)/CARGA_DIARIA!B136+CARGA_DIARIA!AE136))</f>
        <v/>
      </c>
      <c r="D136" s="10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10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13" t="s">
        <v>64</v>
      </c>
      <c r="G136" s="13" t="s">
        <v>64</v>
      </c>
      <c r="H136" s="12" t="str">
        <f>IF(CARGA_DIARIA!A136="","",C136-D136-E136)</f>
        <v/>
      </c>
    </row>
    <row r="137" spans="1:8" ht="15.75" customHeight="1" x14ac:dyDescent="0.25">
      <c r="A137" s="7" t="str">
        <f>IF(CARGA_DIARIA!A137="","",CARGA_DIARIA!A137)</f>
        <v/>
      </c>
      <c r="B137" s="8" t="str">
        <f>IF(CARGA_DIARIA!A137="","",CARGA_DIARIA!B137)</f>
        <v/>
      </c>
      <c r="C137" s="9" t="str">
        <f>IF(CARGA_DIARIA!A137="","",IF(CARGA_DIARIA!B137=0,0,(CARGA_DIARIA!C137+CARGA_DIARIA!D137+CARGA_DIARIA!E137+CARGA_DIARIA!F137+CARGA_DIARIA!G137+CARGA_DIARIA!H137+CARGA_DIARIA!I137+CARGA_DIARIA!AF137+CARGA_DIARIA!AG137+CARGA_DIARIA!AH137+CARGA_DIARIA!AI137)/CARGA_DIARIA!B137+CARGA_DIARIA!AE137))</f>
        <v/>
      </c>
      <c r="D137" s="10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10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13" t="s">
        <v>64</v>
      </c>
      <c r="G137" s="13" t="s">
        <v>64</v>
      </c>
      <c r="H137" s="12" t="str">
        <f>IF(CARGA_DIARIA!A137="","",C137-D137-E137)</f>
        <v/>
      </c>
    </row>
    <row r="138" spans="1:8" ht="15.75" customHeight="1" x14ac:dyDescent="0.25">
      <c r="A138" s="7" t="str">
        <f>IF(CARGA_DIARIA!A138="","",CARGA_DIARIA!A138)</f>
        <v/>
      </c>
      <c r="B138" s="8" t="str">
        <f>IF(CARGA_DIARIA!A138="","",CARGA_DIARIA!B138)</f>
        <v/>
      </c>
      <c r="C138" s="9" t="str">
        <f>IF(CARGA_DIARIA!A138="","",IF(CARGA_DIARIA!B138=0,0,(CARGA_DIARIA!C138+CARGA_DIARIA!D138+CARGA_DIARIA!E138+CARGA_DIARIA!F138+CARGA_DIARIA!G138+CARGA_DIARIA!H138+CARGA_DIARIA!I138+CARGA_DIARIA!AF138+CARGA_DIARIA!AG138+CARGA_DIARIA!AH138+CARGA_DIARIA!AI138)/CARGA_DIARIA!B138+CARGA_DIARIA!AE138))</f>
        <v/>
      </c>
      <c r="D138" s="10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10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13" t="s">
        <v>64</v>
      </c>
      <c r="G138" s="13" t="s">
        <v>64</v>
      </c>
      <c r="H138" s="12" t="str">
        <f>IF(CARGA_DIARIA!A138="","",C138-D138-E138)</f>
        <v/>
      </c>
    </row>
    <row r="139" spans="1:8" ht="15.75" customHeight="1" x14ac:dyDescent="0.25">
      <c r="A139" s="7" t="str">
        <f>IF(CARGA_DIARIA!A139="","",CARGA_DIARIA!A139)</f>
        <v/>
      </c>
      <c r="B139" s="8" t="str">
        <f>IF(CARGA_DIARIA!A139="","",CARGA_DIARIA!B139)</f>
        <v/>
      </c>
      <c r="C139" s="9" t="str">
        <f>IF(CARGA_DIARIA!A139="","",IF(CARGA_DIARIA!B139=0,0,(CARGA_DIARIA!C139+CARGA_DIARIA!D139+CARGA_DIARIA!E139+CARGA_DIARIA!F139+CARGA_DIARIA!G139+CARGA_DIARIA!H139+CARGA_DIARIA!I139+CARGA_DIARIA!AF139+CARGA_DIARIA!AG139+CARGA_DIARIA!AH139+CARGA_DIARIA!AI139)/CARGA_DIARIA!B139+CARGA_DIARIA!AE139))</f>
        <v/>
      </c>
      <c r="D139" s="10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10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13" t="s">
        <v>64</v>
      </c>
      <c r="G139" s="13" t="s">
        <v>64</v>
      </c>
      <c r="H139" s="12" t="str">
        <f>IF(CARGA_DIARIA!A139="","",C139-D139-E139)</f>
        <v/>
      </c>
    </row>
    <row r="140" spans="1:8" ht="15.75" customHeight="1" x14ac:dyDescent="0.25">
      <c r="A140" s="7" t="str">
        <f>IF(CARGA_DIARIA!A140="","",CARGA_DIARIA!A140)</f>
        <v/>
      </c>
      <c r="B140" s="8" t="str">
        <f>IF(CARGA_DIARIA!A140="","",CARGA_DIARIA!B140)</f>
        <v/>
      </c>
      <c r="C140" s="9" t="str">
        <f>IF(CARGA_DIARIA!A140="","",IF(CARGA_DIARIA!B140=0,0,(CARGA_DIARIA!C140+CARGA_DIARIA!D140+CARGA_DIARIA!E140+CARGA_DIARIA!F140+CARGA_DIARIA!G140+CARGA_DIARIA!H140+CARGA_DIARIA!I140+CARGA_DIARIA!AF140+CARGA_DIARIA!AG140+CARGA_DIARIA!AH140+CARGA_DIARIA!AI140)/CARGA_DIARIA!B140+CARGA_DIARIA!AE140))</f>
        <v/>
      </c>
      <c r="D140" s="10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10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13" t="s">
        <v>64</v>
      </c>
      <c r="G140" s="13" t="s">
        <v>64</v>
      </c>
      <c r="H140" s="12" t="str">
        <f>IF(CARGA_DIARIA!A140="","",C140-D140-E140)</f>
        <v/>
      </c>
    </row>
    <row r="141" spans="1:8" ht="15.75" customHeight="1" x14ac:dyDescent="0.25">
      <c r="A141" s="7" t="str">
        <f>IF(CARGA_DIARIA!A141="","",CARGA_DIARIA!A141)</f>
        <v/>
      </c>
      <c r="B141" s="8" t="str">
        <f>IF(CARGA_DIARIA!A141="","",CARGA_DIARIA!B141)</f>
        <v/>
      </c>
      <c r="C141" s="9" t="str">
        <f>IF(CARGA_DIARIA!A141="","",IF(CARGA_DIARIA!B141=0,0,(CARGA_DIARIA!C141+CARGA_DIARIA!D141+CARGA_DIARIA!E141+CARGA_DIARIA!F141+CARGA_DIARIA!G141+CARGA_DIARIA!H141+CARGA_DIARIA!I141+CARGA_DIARIA!AF141+CARGA_DIARIA!AG141+CARGA_DIARIA!AH141+CARGA_DIARIA!AI141)/CARGA_DIARIA!B141+CARGA_DIARIA!AE141))</f>
        <v/>
      </c>
      <c r="D141" s="10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10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13" t="s">
        <v>64</v>
      </c>
      <c r="G141" s="13" t="s">
        <v>64</v>
      </c>
      <c r="H141" s="12" t="str">
        <f>IF(CARGA_DIARIA!A141="","",C141-D141-E141)</f>
        <v/>
      </c>
    </row>
    <row r="142" spans="1:8" ht="15.75" customHeight="1" x14ac:dyDescent="0.25">
      <c r="A142" s="7" t="str">
        <f>IF(CARGA_DIARIA!A142="","",CARGA_DIARIA!A142)</f>
        <v/>
      </c>
      <c r="B142" s="8" t="str">
        <f>IF(CARGA_DIARIA!A142="","",CARGA_DIARIA!B142)</f>
        <v/>
      </c>
      <c r="C142" s="9" t="str">
        <f>IF(CARGA_DIARIA!A142="","",IF(CARGA_DIARIA!B142=0,0,(CARGA_DIARIA!C142+CARGA_DIARIA!D142+CARGA_DIARIA!E142+CARGA_DIARIA!F142+CARGA_DIARIA!G142+CARGA_DIARIA!H142+CARGA_DIARIA!I142+CARGA_DIARIA!AF142+CARGA_DIARIA!AG142+CARGA_DIARIA!AH142+CARGA_DIARIA!AI142)/CARGA_DIARIA!B142+CARGA_DIARIA!AE142))</f>
        <v/>
      </c>
      <c r="D142" s="10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10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13" t="s">
        <v>64</v>
      </c>
      <c r="G142" s="13" t="s">
        <v>64</v>
      </c>
      <c r="H142" s="12" t="str">
        <f>IF(CARGA_DIARIA!A142="","",C142-D142-E142)</f>
        <v/>
      </c>
    </row>
    <row r="143" spans="1:8" ht="15.75" customHeight="1" x14ac:dyDescent="0.25">
      <c r="A143" s="7" t="str">
        <f>IF(CARGA_DIARIA!A143="","",CARGA_DIARIA!A143)</f>
        <v/>
      </c>
      <c r="B143" s="8" t="str">
        <f>IF(CARGA_DIARIA!A143="","",CARGA_DIARIA!B143)</f>
        <v/>
      </c>
      <c r="C143" s="9" t="str">
        <f>IF(CARGA_DIARIA!A143="","",IF(CARGA_DIARIA!B143=0,0,(CARGA_DIARIA!C143+CARGA_DIARIA!D143+CARGA_DIARIA!E143+CARGA_DIARIA!F143+CARGA_DIARIA!G143+CARGA_DIARIA!H143+CARGA_DIARIA!I143+CARGA_DIARIA!AF143+CARGA_DIARIA!AG143+CARGA_DIARIA!AH143+CARGA_DIARIA!AI143)/CARGA_DIARIA!B143+CARGA_DIARIA!AE143))</f>
        <v/>
      </c>
      <c r="D143" s="10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10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13" t="s">
        <v>64</v>
      </c>
      <c r="G143" s="13" t="s">
        <v>64</v>
      </c>
      <c r="H143" s="12" t="str">
        <f>IF(CARGA_DIARIA!A143="","",C143-D143-E143)</f>
        <v/>
      </c>
    </row>
    <row r="144" spans="1:8" ht="15.75" customHeight="1" x14ac:dyDescent="0.25">
      <c r="A144" s="7" t="str">
        <f>IF(CARGA_DIARIA!A144="","",CARGA_DIARIA!A144)</f>
        <v/>
      </c>
      <c r="B144" s="8" t="str">
        <f>IF(CARGA_DIARIA!A144="","",CARGA_DIARIA!B144)</f>
        <v/>
      </c>
      <c r="C144" s="9" t="str">
        <f>IF(CARGA_DIARIA!A144="","",IF(CARGA_DIARIA!B144=0,0,(CARGA_DIARIA!C144+CARGA_DIARIA!D144+CARGA_DIARIA!E144+CARGA_DIARIA!F144+CARGA_DIARIA!G144+CARGA_DIARIA!H144+CARGA_DIARIA!I144+CARGA_DIARIA!AF144+CARGA_DIARIA!AG144+CARGA_DIARIA!AH144+CARGA_DIARIA!AI144)/CARGA_DIARIA!B144+CARGA_DIARIA!AE144))</f>
        <v/>
      </c>
      <c r="D144" s="10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10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13" t="s">
        <v>64</v>
      </c>
      <c r="G144" s="13" t="s">
        <v>64</v>
      </c>
      <c r="H144" s="12" t="str">
        <f>IF(CARGA_DIARIA!A144="","",C144-D144-E144)</f>
        <v/>
      </c>
    </row>
    <row r="145" spans="1:8" ht="15.75" customHeight="1" x14ac:dyDescent="0.25">
      <c r="A145" s="7" t="str">
        <f>IF(CARGA_DIARIA!A145="","",CARGA_DIARIA!A145)</f>
        <v/>
      </c>
      <c r="B145" s="8" t="str">
        <f>IF(CARGA_DIARIA!A145="","",CARGA_DIARIA!B145)</f>
        <v/>
      </c>
      <c r="C145" s="9" t="str">
        <f>IF(CARGA_DIARIA!A145="","",IF(CARGA_DIARIA!B145=0,0,(CARGA_DIARIA!C145+CARGA_DIARIA!D145+CARGA_DIARIA!E145+CARGA_DIARIA!F145+CARGA_DIARIA!G145+CARGA_DIARIA!H145+CARGA_DIARIA!I145+CARGA_DIARIA!AF145+CARGA_DIARIA!AG145+CARGA_DIARIA!AH145+CARGA_DIARIA!AI145)/CARGA_DIARIA!B145+CARGA_DIARIA!AE145))</f>
        <v/>
      </c>
      <c r="D145" s="10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10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13" t="s">
        <v>64</v>
      </c>
      <c r="G145" s="13" t="s">
        <v>64</v>
      </c>
      <c r="H145" s="12" t="str">
        <f>IF(CARGA_DIARIA!A145="","",C145-D145-E145)</f>
        <v/>
      </c>
    </row>
    <row r="146" spans="1:8" ht="15.75" customHeight="1" x14ac:dyDescent="0.25">
      <c r="A146" s="7" t="str">
        <f>IF(CARGA_DIARIA!A146="","",CARGA_DIARIA!A146)</f>
        <v/>
      </c>
      <c r="B146" s="8" t="str">
        <f>IF(CARGA_DIARIA!A146="","",CARGA_DIARIA!B146)</f>
        <v/>
      </c>
      <c r="C146" s="9" t="str">
        <f>IF(CARGA_DIARIA!A146="","",IF(CARGA_DIARIA!B146=0,0,(CARGA_DIARIA!C146+CARGA_DIARIA!D146+CARGA_DIARIA!E146+CARGA_DIARIA!F146+CARGA_DIARIA!G146+CARGA_DIARIA!H146+CARGA_DIARIA!I146+CARGA_DIARIA!AF146+CARGA_DIARIA!AG146+CARGA_DIARIA!AH146+CARGA_DIARIA!AI146)/CARGA_DIARIA!B146+CARGA_DIARIA!AE146))</f>
        <v/>
      </c>
      <c r="D146" s="10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10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13" t="s">
        <v>64</v>
      </c>
      <c r="G146" s="13" t="s">
        <v>64</v>
      </c>
      <c r="H146" s="12" t="str">
        <f>IF(CARGA_DIARIA!A146="","",C146-D146-E146)</f>
        <v/>
      </c>
    </row>
    <row r="147" spans="1:8" ht="15.75" customHeight="1" x14ac:dyDescent="0.25">
      <c r="A147" s="7" t="str">
        <f>IF(CARGA_DIARIA!A147="","",CARGA_DIARIA!A147)</f>
        <v/>
      </c>
      <c r="B147" s="8" t="str">
        <f>IF(CARGA_DIARIA!A147="","",CARGA_DIARIA!B147)</f>
        <v/>
      </c>
      <c r="C147" s="9" t="str">
        <f>IF(CARGA_DIARIA!A147="","",IF(CARGA_DIARIA!B147=0,0,(CARGA_DIARIA!C147+CARGA_DIARIA!D147+CARGA_DIARIA!E147+CARGA_DIARIA!F147+CARGA_DIARIA!G147+CARGA_DIARIA!H147+CARGA_DIARIA!I147+CARGA_DIARIA!AF147+CARGA_DIARIA!AG147+CARGA_DIARIA!AH147+CARGA_DIARIA!AI147)/CARGA_DIARIA!B147+CARGA_DIARIA!AE147))</f>
        <v/>
      </c>
      <c r="D147" s="10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10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13" t="s">
        <v>64</v>
      </c>
      <c r="G147" s="13" t="s">
        <v>64</v>
      </c>
      <c r="H147" s="12" t="str">
        <f>IF(CARGA_DIARIA!A147="","",C147-D147-E147)</f>
        <v/>
      </c>
    </row>
    <row r="148" spans="1:8" ht="15.75" customHeight="1" x14ac:dyDescent="0.25">
      <c r="A148" s="7" t="str">
        <f>IF(CARGA_DIARIA!A148="","",CARGA_DIARIA!A148)</f>
        <v/>
      </c>
      <c r="B148" s="8" t="str">
        <f>IF(CARGA_DIARIA!A148="","",CARGA_DIARIA!B148)</f>
        <v/>
      </c>
      <c r="C148" s="9" t="str">
        <f>IF(CARGA_DIARIA!A148="","",IF(CARGA_DIARIA!B148=0,0,(CARGA_DIARIA!C148+CARGA_DIARIA!D148+CARGA_DIARIA!E148+CARGA_DIARIA!F148+CARGA_DIARIA!G148+CARGA_DIARIA!H148+CARGA_DIARIA!I148+CARGA_DIARIA!AF148+CARGA_DIARIA!AG148+CARGA_DIARIA!AH148+CARGA_DIARIA!AI148)/CARGA_DIARIA!B148+CARGA_DIARIA!AE148))</f>
        <v/>
      </c>
      <c r="D148" s="10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10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13" t="s">
        <v>64</v>
      </c>
      <c r="G148" s="13" t="s">
        <v>64</v>
      </c>
      <c r="H148" s="12" t="str">
        <f>IF(CARGA_DIARIA!A148="","",C148-D148-E148)</f>
        <v/>
      </c>
    </row>
    <row r="149" spans="1:8" ht="15.75" customHeight="1" x14ac:dyDescent="0.25">
      <c r="A149" s="7" t="str">
        <f>IF(CARGA_DIARIA!A149="","",CARGA_DIARIA!A149)</f>
        <v/>
      </c>
      <c r="B149" s="8" t="str">
        <f>IF(CARGA_DIARIA!A149="","",CARGA_DIARIA!B149)</f>
        <v/>
      </c>
      <c r="C149" s="9" t="str">
        <f>IF(CARGA_DIARIA!A149="","",IF(CARGA_DIARIA!B149=0,0,(CARGA_DIARIA!C149+CARGA_DIARIA!D149+CARGA_DIARIA!E149+CARGA_DIARIA!F149+CARGA_DIARIA!G149+CARGA_DIARIA!H149+CARGA_DIARIA!I149+CARGA_DIARIA!AF149+CARGA_DIARIA!AG149+CARGA_DIARIA!AH149+CARGA_DIARIA!AI149)/CARGA_DIARIA!B149+CARGA_DIARIA!AE149))</f>
        <v/>
      </c>
      <c r="D149" s="10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10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13" t="s">
        <v>64</v>
      </c>
      <c r="G149" s="13" t="s">
        <v>64</v>
      </c>
      <c r="H149" s="12" t="str">
        <f>IF(CARGA_DIARIA!A149="","",C149-D149-E149)</f>
        <v/>
      </c>
    </row>
    <row r="150" spans="1:8" ht="15.75" customHeight="1" x14ac:dyDescent="0.25">
      <c r="A150" s="7" t="str">
        <f>IF(CARGA_DIARIA!A150="","",CARGA_DIARIA!A150)</f>
        <v/>
      </c>
      <c r="B150" s="8" t="str">
        <f>IF(CARGA_DIARIA!A150="","",CARGA_DIARIA!B150)</f>
        <v/>
      </c>
      <c r="C150" s="9" t="str">
        <f>IF(CARGA_DIARIA!A150="","",IF(CARGA_DIARIA!B150=0,0,(CARGA_DIARIA!C150+CARGA_DIARIA!D150+CARGA_DIARIA!E150+CARGA_DIARIA!F150+CARGA_DIARIA!G150+CARGA_DIARIA!H150+CARGA_DIARIA!I150+CARGA_DIARIA!AF150+CARGA_DIARIA!AG150+CARGA_DIARIA!AH150+CARGA_DIARIA!AI150)/CARGA_DIARIA!B150+CARGA_DIARIA!AE150))</f>
        <v/>
      </c>
      <c r="D150" s="10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10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13" t="s">
        <v>64</v>
      </c>
      <c r="G150" s="13" t="s">
        <v>64</v>
      </c>
      <c r="H150" s="12" t="str">
        <f>IF(CARGA_DIARIA!A150="","",C150-D150-E150)</f>
        <v/>
      </c>
    </row>
    <row r="151" spans="1:8" ht="15.75" customHeight="1" x14ac:dyDescent="0.25">
      <c r="A151" s="7" t="str">
        <f>IF(CARGA_DIARIA!A151="","",CARGA_DIARIA!A151)</f>
        <v/>
      </c>
      <c r="B151" s="8" t="str">
        <f>IF(CARGA_DIARIA!A151="","",CARGA_DIARIA!B151)</f>
        <v/>
      </c>
      <c r="C151" s="9" t="str">
        <f>IF(CARGA_DIARIA!A151="","",IF(CARGA_DIARIA!B151=0,0,(CARGA_DIARIA!C151+CARGA_DIARIA!D151+CARGA_DIARIA!E151+CARGA_DIARIA!F151+CARGA_DIARIA!G151+CARGA_DIARIA!H151+CARGA_DIARIA!I151+CARGA_DIARIA!AF151+CARGA_DIARIA!AG151+CARGA_DIARIA!AH151+CARGA_DIARIA!AI151)/CARGA_DIARIA!B151+CARGA_DIARIA!AE151))</f>
        <v/>
      </c>
      <c r="D151" s="10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10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13" t="s">
        <v>64</v>
      </c>
      <c r="G151" s="13" t="s">
        <v>64</v>
      </c>
      <c r="H151" s="12" t="str">
        <f>IF(CARGA_DIARIA!A151="","",C151-D151-E151)</f>
        <v/>
      </c>
    </row>
    <row r="152" spans="1:8" ht="15.75" customHeight="1" x14ac:dyDescent="0.25">
      <c r="A152" s="7" t="str">
        <f>IF(CARGA_DIARIA!A152="","",CARGA_DIARIA!A152)</f>
        <v/>
      </c>
      <c r="B152" s="8" t="str">
        <f>IF(CARGA_DIARIA!A152="","",CARGA_DIARIA!B152)</f>
        <v/>
      </c>
      <c r="C152" s="9" t="str">
        <f>IF(CARGA_DIARIA!A152="","",IF(CARGA_DIARIA!B152=0,0,(CARGA_DIARIA!C152+CARGA_DIARIA!D152+CARGA_DIARIA!E152+CARGA_DIARIA!F152+CARGA_DIARIA!G152+CARGA_DIARIA!H152+CARGA_DIARIA!I152+CARGA_DIARIA!AF152+CARGA_DIARIA!AG152+CARGA_DIARIA!AH152+CARGA_DIARIA!AI152)/CARGA_DIARIA!B152+CARGA_DIARIA!AE152))</f>
        <v/>
      </c>
      <c r="D152" s="10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10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13" t="s">
        <v>64</v>
      </c>
      <c r="G152" s="13" t="s">
        <v>64</v>
      </c>
      <c r="H152" s="12" t="str">
        <f>IF(CARGA_DIARIA!A152="","",C152-D152-E152)</f>
        <v/>
      </c>
    </row>
    <row r="153" spans="1:8" ht="15.75" customHeight="1" x14ac:dyDescent="0.25">
      <c r="A153" s="7" t="str">
        <f>IF(CARGA_DIARIA!A153="","",CARGA_DIARIA!A153)</f>
        <v/>
      </c>
      <c r="B153" s="8" t="str">
        <f>IF(CARGA_DIARIA!A153="","",CARGA_DIARIA!B153)</f>
        <v/>
      </c>
      <c r="C153" s="9" t="str">
        <f>IF(CARGA_DIARIA!A153="","",IF(CARGA_DIARIA!B153=0,0,(CARGA_DIARIA!C153+CARGA_DIARIA!D153+CARGA_DIARIA!E153+CARGA_DIARIA!F153+CARGA_DIARIA!G153+CARGA_DIARIA!H153+CARGA_DIARIA!I153+CARGA_DIARIA!AF153+CARGA_DIARIA!AG153+CARGA_DIARIA!AH153+CARGA_DIARIA!AI153)/CARGA_DIARIA!B153+CARGA_DIARIA!AE153))</f>
        <v/>
      </c>
      <c r="D153" s="10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10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13" t="s">
        <v>64</v>
      </c>
      <c r="G153" s="13" t="s">
        <v>64</v>
      </c>
      <c r="H153" s="12" t="str">
        <f>IF(CARGA_DIARIA!A153="","",C153-D153-E153)</f>
        <v/>
      </c>
    </row>
    <row r="154" spans="1:8" ht="15.75" customHeight="1" x14ac:dyDescent="0.25">
      <c r="A154" s="7" t="str">
        <f>IF(CARGA_DIARIA!A154="","",CARGA_DIARIA!A154)</f>
        <v/>
      </c>
      <c r="B154" s="8" t="str">
        <f>IF(CARGA_DIARIA!A154="","",CARGA_DIARIA!B154)</f>
        <v/>
      </c>
      <c r="C154" s="9" t="str">
        <f>IF(CARGA_DIARIA!A154="","",IF(CARGA_DIARIA!B154=0,0,(CARGA_DIARIA!C154+CARGA_DIARIA!D154+CARGA_DIARIA!E154+CARGA_DIARIA!F154+CARGA_DIARIA!G154+CARGA_DIARIA!H154+CARGA_DIARIA!I154+CARGA_DIARIA!AF154+CARGA_DIARIA!AG154+CARGA_DIARIA!AH154+CARGA_DIARIA!AI154)/CARGA_DIARIA!B154+CARGA_DIARIA!AE154))</f>
        <v/>
      </c>
      <c r="D154" s="10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10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13" t="s">
        <v>64</v>
      </c>
      <c r="G154" s="13" t="s">
        <v>64</v>
      </c>
      <c r="H154" s="12" t="str">
        <f>IF(CARGA_DIARIA!A154="","",C154-D154-E154)</f>
        <v/>
      </c>
    </row>
    <row r="155" spans="1:8" ht="15.75" customHeight="1" x14ac:dyDescent="0.25">
      <c r="A155" s="7" t="str">
        <f>IF(CARGA_DIARIA!A155="","",CARGA_DIARIA!A155)</f>
        <v/>
      </c>
      <c r="B155" s="8" t="str">
        <f>IF(CARGA_DIARIA!A155="","",CARGA_DIARIA!B155)</f>
        <v/>
      </c>
      <c r="C155" s="9" t="str">
        <f>IF(CARGA_DIARIA!A155="","",IF(CARGA_DIARIA!B155=0,0,(CARGA_DIARIA!C155+CARGA_DIARIA!D155+CARGA_DIARIA!E155+CARGA_DIARIA!F155+CARGA_DIARIA!G155+CARGA_DIARIA!H155+CARGA_DIARIA!I155+CARGA_DIARIA!AF155+CARGA_DIARIA!AG155+CARGA_DIARIA!AH155+CARGA_DIARIA!AI155)/CARGA_DIARIA!B155+CARGA_DIARIA!AE155))</f>
        <v/>
      </c>
      <c r="D155" s="10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10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13" t="s">
        <v>64</v>
      </c>
      <c r="G155" s="13" t="s">
        <v>64</v>
      </c>
      <c r="H155" s="12" t="str">
        <f>IF(CARGA_DIARIA!A155="","",C155-D155-E155)</f>
        <v/>
      </c>
    </row>
    <row r="156" spans="1:8" ht="15.75" customHeight="1" x14ac:dyDescent="0.25">
      <c r="A156" s="7" t="str">
        <f>IF(CARGA_DIARIA!A156="","",CARGA_DIARIA!A156)</f>
        <v/>
      </c>
      <c r="B156" s="8" t="str">
        <f>IF(CARGA_DIARIA!A156="","",CARGA_DIARIA!B156)</f>
        <v/>
      </c>
      <c r="C156" s="9" t="str">
        <f>IF(CARGA_DIARIA!A156="","",IF(CARGA_DIARIA!B156=0,0,(CARGA_DIARIA!C156+CARGA_DIARIA!D156+CARGA_DIARIA!E156+CARGA_DIARIA!F156+CARGA_DIARIA!G156+CARGA_DIARIA!H156+CARGA_DIARIA!I156+CARGA_DIARIA!AF156+CARGA_DIARIA!AG156+CARGA_DIARIA!AH156+CARGA_DIARIA!AI156)/CARGA_DIARIA!B156+CARGA_DIARIA!AE156))</f>
        <v/>
      </c>
      <c r="D156" s="10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10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13" t="s">
        <v>64</v>
      </c>
      <c r="G156" s="13" t="s">
        <v>64</v>
      </c>
      <c r="H156" s="12" t="str">
        <f>IF(CARGA_DIARIA!A156="","",C156-D156-E156)</f>
        <v/>
      </c>
    </row>
    <row r="157" spans="1:8" ht="15.75" customHeight="1" x14ac:dyDescent="0.25">
      <c r="A157" s="7" t="str">
        <f>IF(CARGA_DIARIA!A157="","",CARGA_DIARIA!A157)</f>
        <v/>
      </c>
      <c r="B157" s="8" t="str">
        <f>IF(CARGA_DIARIA!A157="","",CARGA_DIARIA!B157)</f>
        <v/>
      </c>
      <c r="C157" s="9" t="str">
        <f>IF(CARGA_DIARIA!A157="","",IF(CARGA_DIARIA!B157=0,0,(CARGA_DIARIA!C157+CARGA_DIARIA!D157+CARGA_DIARIA!E157+CARGA_DIARIA!F157+CARGA_DIARIA!G157+CARGA_DIARIA!H157+CARGA_DIARIA!I157+CARGA_DIARIA!AF157+CARGA_DIARIA!AG157+CARGA_DIARIA!AH157+CARGA_DIARIA!AI157)/CARGA_DIARIA!B157+CARGA_DIARIA!AE157))</f>
        <v/>
      </c>
      <c r="D157" s="10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10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13" t="s">
        <v>64</v>
      </c>
      <c r="G157" s="13" t="s">
        <v>64</v>
      </c>
      <c r="H157" s="12" t="str">
        <f>IF(CARGA_DIARIA!A157="","",C157-D157-E157)</f>
        <v/>
      </c>
    </row>
    <row r="158" spans="1:8" ht="15.75" customHeight="1" x14ac:dyDescent="0.25">
      <c r="A158" s="7" t="str">
        <f>IF(CARGA_DIARIA!A158="","",CARGA_DIARIA!A158)</f>
        <v/>
      </c>
      <c r="B158" s="8" t="str">
        <f>IF(CARGA_DIARIA!A158="","",CARGA_DIARIA!B158)</f>
        <v/>
      </c>
      <c r="C158" s="9" t="str">
        <f>IF(CARGA_DIARIA!A158="","",IF(CARGA_DIARIA!B158=0,0,(CARGA_DIARIA!C158+CARGA_DIARIA!D158+CARGA_DIARIA!E158+CARGA_DIARIA!F158+CARGA_DIARIA!G158+CARGA_DIARIA!H158+CARGA_DIARIA!I158+CARGA_DIARIA!AF158+CARGA_DIARIA!AG158+CARGA_DIARIA!AH158+CARGA_DIARIA!AI158)/CARGA_DIARIA!B158+CARGA_DIARIA!AE158))</f>
        <v/>
      </c>
      <c r="D158" s="10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10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13" t="s">
        <v>64</v>
      </c>
      <c r="G158" s="13" t="s">
        <v>64</v>
      </c>
      <c r="H158" s="12" t="str">
        <f>IF(CARGA_DIARIA!A158="","",C158-D158-E158)</f>
        <v/>
      </c>
    </row>
    <row r="159" spans="1:8" ht="15.75" customHeight="1" x14ac:dyDescent="0.25">
      <c r="A159" s="7" t="str">
        <f>IF(CARGA_DIARIA!A159="","",CARGA_DIARIA!A159)</f>
        <v/>
      </c>
      <c r="B159" s="8" t="str">
        <f>IF(CARGA_DIARIA!A159="","",CARGA_DIARIA!B159)</f>
        <v/>
      </c>
      <c r="C159" s="9" t="str">
        <f>IF(CARGA_DIARIA!A159="","",IF(CARGA_DIARIA!B159=0,0,(CARGA_DIARIA!C159+CARGA_DIARIA!D159+CARGA_DIARIA!E159+CARGA_DIARIA!F159+CARGA_DIARIA!G159+CARGA_DIARIA!H159+CARGA_DIARIA!I159+CARGA_DIARIA!AF159+CARGA_DIARIA!AG159+CARGA_DIARIA!AH159+CARGA_DIARIA!AI159)/CARGA_DIARIA!B159+CARGA_DIARIA!AE159))</f>
        <v/>
      </c>
      <c r="D159" s="10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10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13" t="s">
        <v>64</v>
      </c>
      <c r="G159" s="13" t="s">
        <v>64</v>
      </c>
      <c r="H159" s="12" t="str">
        <f>IF(CARGA_DIARIA!A159="","",C159-D159-E159)</f>
        <v/>
      </c>
    </row>
    <row r="160" spans="1:8" ht="15.75" customHeight="1" x14ac:dyDescent="0.25">
      <c r="A160" s="7" t="str">
        <f>IF(CARGA_DIARIA!A160="","",CARGA_DIARIA!A160)</f>
        <v/>
      </c>
      <c r="B160" s="8" t="str">
        <f>IF(CARGA_DIARIA!A160="","",CARGA_DIARIA!B160)</f>
        <v/>
      </c>
      <c r="C160" s="9" t="str">
        <f>IF(CARGA_DIARIA!A160="","",IF(CARGA_DIARIA!B160=0,0,(CARGA_DIARIA!C160+CARGA_DIARIA!D160+CARGA_DIARIA!E160+CARGA_DIARIA!F160+CARGA_DIARIA!G160+CARGA_DIARIA!H160+CARGA_DIARIA!I160+CARGA_DIARIA!AF160+CARGA_DIARIA!AG160+CARGA_DIARIA!AH160+CARGA_DIARIA!AI160)/CARGA_DIARIA!B160+CARGA_DIARIA!AE160))</f>
        <v/>
      </c>
      <c r="D160" s="10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10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13" t="s">
        <v>64</v>
      </c>
      <c r="G160" s="13" t="s">
        <v>64</v>
      </c>
      <c r="H160" s="12" t="str">
        <f>IF(CARGA_DIARIA!A160="","",C160-D160-E160)</f>
        <v/>
      </c>
    </row>
    <row r="161" spans="1:8" ht="15.75" customHeight="1" x14ac:dyDescent="0.25">
      <c r="A161" s="7" t="str">
        <f>IF(CARGA_DIARIA!A161="","",CARGA_DIARIA!A161)</f>
        <v/>
      </c>
      <c r="B161" s="8" t="str">
        <f>IF(CARGA_DIARIA!A161="","",CARGA_DIARIA!B161)</f>
        <v/>
      </c>
      <c r="C161" s="9" t="str">
        <f>IF(CARGA_DIARIA!A161="","",IF(CARGA_DIARIA!B161=0,0,(CARGA_DIARIA!C161+CARGA_DIARIA!D161+CARGA_DIARIA!E161+CARGA_DIARIA!F161+CARGA_DIARIA!G161+CARGA_DIARIA!H161+CARGA_DIARIA!I161+CARGA_DIARIA!AF161+CARGA_DIARIA!AG161+CARGA_DIARIA!AH161+CARGA_DIARIA!AI161)/CARGA_DIARIA!B161+CARGA_DIARIA!AE161))</f>
        <v/>
      </c>
      <c r="D161" s="10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10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13" t="s">
        <v>64</v>
      </c>
      <c r="G161" s="13" t="s">
        <v>64</v>
      </c>
      <c r="H161" s="12" t="str">
        <f>IF(CARGA_DIARIA!A161="","",C161-D161-E161)</f>
        <v/>
      </c>
    </row>
    <row r="162" spans="1:8" ht="15.75" customHeight="1" x14ac:dyDescent="0.25">
      <c r="A162" s="7" t="str">
        <f>IF(CARGA_DIARIA!A162="","",CARGA_DIARIA!A162)</f>
        <v/>
      </c>
      <c r="B162" s="8" t="str">
        <f>IF(CARGA_DIARIA!A162="","",CARGA_DIARIA!B162)</f>
        <v/>
      </c>
      <c r="C162" s="9" t="str">
        <f>IF(CARGA_DIARIA!A162="","",IF(CARGA_DIARIA!B162=0,0,(CARGA_DIARIA!C162+CARGA_DIARIA!D162+CARGA_DIARIA!E162+CARGA_DIARIA!F162+CARGA_DIARIA!G162+CARGA_DIARIA!H162+CARGA_DIARIA!I162+CARGA_DIARIA!AF162+CARGA_DIARIA!AG162+CARGA_DIARIA!AH162+CARGA_DIARIA!AI162)/CARGA_DIARIA!B162+CARGA_DIARIA!AE162))</f>
        <v/>
      </c>
      <c r="D162" s="10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10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13" t="s">
        <v>64</v>
      </c>
      <c r="G162" s="13" t="s">
        <v>64</v>
      </c>
      <c r="H162" s="12" t="str">
        <f>IF(CARGA_DIARIA!A162="","",C162-D162-E162)</f>
        <v/>
      </c>
    </row>
    <row r="163" spans="1:8" ht="15.75" customHeight="1" x14ac:dyDescent="0.25">
      <c r="A163" s="7" t="str">
        <f>IF(CARGA_DIARIA!A163="","",CARGA_DIARIA!A163)</f>
        <v/>
      </c>
      <c r="B163" s="8" t="str">
        <f>IF(CARGA_DIARIA!A163="","",CARGA_DIARIA!B163)</f>
        <v/>
      </c>
      <c r="C163" s="9" t="str">
        <f>IF(CARGA_DIARIA!A163="","",IF(CARGA_DIARIA!B163=0,0,(CARGA_DIARIA!C163+CARGA_DIARIA!D163+CARGA_DIARIA!E163+CARGA_DIARIA!F163+CARGA_DIARIA!G163+CARGA_DIARIA!H163+CARGA_DIARIA!I163+CARGA_DIARIA!AF163+CARGA_DIARIA!AG163+CARGA_DIARIA!AH163+CARGA_DIARIA!AI163)/CARGA_DIARIA!B163+CARGA_DIARIA!AE163))</f>
        <v/>
      </c>
      <c r="D163" s="10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10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13" t="s">
        <v>64</v>
      </c>
      <c r="G163" s="13" t="s">
        <v>64</v>
      </c>
      <c r="H163" s="12" t="str">
        <f>IF(CARGA_DIARIA!A163="","",C163-D163-E163)</f>
        <v/>
      </c>
    </row>
    <row r="164" spans="1:8" ht="15.75" customHeight="1" x14ac:dyDescent="0.25">
      <c r="A164" s="7" t="str">
        <f>IF(CARGA_DIARIA!A164="","",CARGA_DIARIA!A164)</f>
        <v/>
      </c>
      <c r="B164" s="8" t="str">
        <f>IF(CARGA_DIARIA!A164="","",CARGA_DIARIA!B164)</f>
        <v/>
      </c>
      <c r="C164" s="9" t="str">
        <f>IF(CARGA_DIARIA!A164="","",IF(CARGA_DIARIA!B164=0,0,(CARGA_DIARIA!C164+CARGA_DIARIA!D164+CARGA_DIARIA!E164+CARGA_DIARIA!F164+CARGA_DIARIA!G164+CARGA_DIARIA!H164+CARGA_DIARIA!I164+CARGA_DIARIA!AF164+CARGA_DIARIA!AG164+CARGA_DIARIA!AH164+CARGA_DIARIA!AI164)/CARGA_DIARIA!B164+CARGA_DIARIA!AE164))</f>
        <v/>
      </c>
      <c r="D164" s="10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10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13" t="s">
        <v>64</v>
      </c>
      <c r="G164" s="13" t="s">
        <v>64</v>
      </c>
      <c r="H164" s="12" t="str">
        <f>IF(CARGA_DIARIA!A164="","",C164-D164-E164)</f>
        <v/>
      </c>
    </row>
    <row r="165" spans="1:8" ht="15.75" customHeight="1" x14ac:dyDescent="0.25">
      <c r="A165" s="7" t="str">
        <f>IF(CARGA_DIARIA!A165="","",CARGA_DIARIA!A165)</f>
        <v/>
      </c>
      <c r="B165" s="8" t="str">
        <f>IF(CARGA_DIARIA!A165="","",CARGA_DIARIA!B165)</f>
        <v/>
      </c>
      <c r="C165" s="9" t="str">
        <f>IF(CARGA_DIARIA!A165="","",IF(CARGA_DIARIA!B165=0,0,(CARGA_DIARIA!C165+CARGA_DIARIA!D165+CARGA_DIARIA!E165+CARGA_DIARIA!F165+CARGA_DIARIA!G165+CARGA_DIARIA!H165+CARGA_DIARIA!I165+CARGA_DIARIA!AF165+CARGA_DIARIA!AG165+CARGA_DIARIA!AH165+CARGA_DIARIA!AI165)/CARGA_DIARIA!B165+CARGA_DIARIA!AE165))</f>
        <v/>
      </c>
      <c r="D165" s="10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10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13" t="s">
        <v>64</v>
      </c>
      <c r="G165" s="13" t="s">
        <v>64</v>
      </c>
      <c r="H165" s="12" t="str">
        <f>IF(CARGA_DIARIA!A165="","",C165-D165-E165)</f>
        <v/>
      </c>
    </row>
    <row r="166" spans="1:8" ht="15.75" customHeight="1" x14ac:dyDescent="0.25">
      <c r="A166" s="7" t="str">
        <f>IF(CARGA_DIARIA!A166="","",CARGA_DIARIA!A166)</f>
        <v/>
      </c>
      <c r="B166" s="8" t="str">
        <f>IF(CARGA_DIARIA!A166="","",CARGA_DIARIA!B166)</f>
        <v/>
      </c>
      <c r="C166" s="9" t="str">
        <f>IF(CARGA_DIARIA!A166="","",IF(CARGA_DIARIA!B166=0,0,(CARGA_DIARIA!C166+CARGA_DIARIA!D166+CARGA_DIARIA!E166+CARGA_DIARIA!F166+CARGA_DIARIA!G166+CARGA_DIARIA!H166+CARGA_DIARIA!I166+CARGA_DIARIA!AF166+CARGA_DIARIA!AG166+CARGA_DIARIA!AH166+CARGA_DIARIA!AI166)/CARGA_DIARIA!B166+CARGA_DIARIA!AE166))</f>
        <v/>
      </c>
      <c r="D166" s="10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10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13" t="s">
        <v>64</v>
      </c>
      <c r="G166" s="13" t="s">
        <v>64</v>
      </c>
      <c r="H166" s="12" t="str">
        <f>IF(CARGA_DIARIA!A166="","",C166-D166-E166)</f>
        <v/>
      </c>
    </row>
    <row r="167" spans="1:8" ht="15.75" customHeight="1" x14ac:dyDescent="0.25">
      <c r="A167" s="7" t="str">
        <f>IF(CARGA_DIARIA!A167="","",CARGA_DIARIA!A167)</f>
        <v/>
      </c>
      <c r="B167" s="8" t="str">
        <f>IF(CARGA_DIARIA!A167="","",CARGA_DIARIA!B167)</f>
        <v/>
      </c>
      <c r="C167" s="9" t="str">
        <f>IF(CARGA_DIARIA!A167="","",IF(CARGA_DIARIA!B167=0,0,(CARGA_DIARIA!C167+CARGA_DIARIA!D167+CARGA_DIARIA!E167+CARGA_DIARIA!F167+CARGA_DIARIA!G167+CARGA_DIARIA!H167+CARGA_DIARIA!I167+CARGA_DIARIA!AF167+CARGA_DIARIA!AG167+CARGA_DIARIA!AH167+CARGA_DIARIA!AI167)/CARGA_DIARIA!B167+CARGA_DIARIA!AE167))</f>
        <v/>
      </c>
      <c r="D167" s="10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10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13" t="s">
        <v>64</v>
      </c>
      <c r="G167" s="13" t="s">
        <v>64</v>
      </c>
      <c r="H167" s="12" t="str">
        <f>IF(CARGA_DIARIA!A167="","",C167-D167-E167)</f>
        <v/>
      </c>
    </row>
    <row r="168" spans="1:8" ht="15.75" customHeight="1" x14ac:dyDescent="0.25">
      <c r="A168" s="7" t="str">
        <f>IF(CARGA_DIARIA!A168="","",CARGA_DIARIA!A168)</f>
        <v/>
      </c>
      <c r="B168" s="8" t="str">
        <f>IF(CARGA_DIARIA!A168="","",CARGA_DIARIA!B168)</f>
        <v/>
      </c>
      <c r="C168" s="9" t="str">
        <f>IF(CARGA_DIARIA!A168="","",IF(CARGA_DIARIA!B168=0,0,(CARGA_DIARIA!C168+CARGA_DIARIA!D168+CARGA_DIARIA!E168+CARGA_DIARIA!F168+CARGA_DIARIA!G168+CARGA_DIARIA!H168+CARGA_DIARIA!I168+CARGA_DIARIA!AF168+CARGA_DIARIA!AG168+CARGA_DIARIA!AH168+CARGA_DIARIA!AI168)/CARGA_DIARIA!B168+CARGA_DIARIA!AE168))</f>
        <v/>
      </c>
      <c r="D168" s="10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10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13" t="s">
        <v>64</v>
      </c>
      <c r="G168" s="13" t="s">
        <v>64</v>
      </c>
      <c r="H168" s="12" t="str">
        <f>IF(CARGA_DIARIA!A168="","",C168-D168-E168)</f>
        <v/>
      </c>
    </row>
    <row r="169" spans="1:8" ht="15.75" customHeight="1" x14ac:dyDescent="0.25">
      <c r="A169" s="7" t="str">
        <f>IF(CARGA_DIARIA!A169="","",CARGA_DIARIA!A169)</f>
        <v/>
      </c>
      <c r="B169" s="8" t="str">
        <f>IF(CARGA_DIARIA!A169="","",CARGA_DIARIA!B169)</f>
        <v/>
      </c>
      <c r="C169" s="9" t="str">
        <f>IF(CARGA_DIARIA!A169="","",IF(CARGA_DIARIA!B169=0,0,(CARGA_DIARIA!C169+CARGA_DIARIA!D169+CARGA_DIARIA!E169+CARGA_DIARIA!F169+CARGA_DIARIA!G169+CARGA_DIARIA!H169+CARGA_DIARIA!I169+CARGA_DIARIA!AF169+CARGA_DIARIA!AG169+CARGA_DIARIA!AH169+CARGA_DIARIA!AI169)/CARGA_DIARIA!B169+CARGA_DIARIA!AE169))</f>
        <v/>
      </c>
      <c r="D169" s="10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10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13" t="s">
        <v>64</v>
      </c>
      <c r="G169" s="13" t="s">
        <v>64</v>
      </c>
      <c r="H169" s="12" t="str">
        <f>IF(CARGA_DIARIA!A169="","",C169-D169-E169)</f>
        <v/>
      </c>
    </row>
    <row r="170" spans="1:8" ht="15.75" customHeight="1" x14ac:dyDescent="0.25">
      <c r="A170" s="7" t="str">
        <f>IF(CARGA_DIARIA!A170="","",CARGA_DIARIA!A170)</f>
        <v/>
      </c>
      <c r="B170" s="8" t="str">
        <f>IF(CARGA_DIARIA!A170="","",CARGA_DIARIA!B170)</f>
        <v/>
      </c>
      <c r="C170" s="9" t="str">
        <f>IF(CARGA_DIARIA!A170="","",IF(CARGA_DIARIA!B170=0,0,(CARGA_DIARIA!C170+CARGA_DIARIA!D170+CARGA_DIARIA!E170+CARGA_DIARIA!F170+CARGA_DIARIA!G170+CARGA_DIARIA!H170+CARGA_DIARIA!I170+CARGA_DIARIA!AF170+CARGA_DIARIA!AG170+CARGA_DIARIA!AH170+CARGA_DIARIA!AI170)/CARGA_DIARIA!B170+CARGA_DIARIA!AE170))</f>
        <v/>
      </c>
      <c r="D170" s="10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10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13" t="s">
        <v>64</v>
      </c>
      <c r="G170" s="13" t="s">
        <v>64</v>
      </c>
      <c r="H170" s="12" t="str">
        <f>IF(CARGA_DIARIA!A170="","",C170-D170-E170)</f>
        <v/>
      </c>
    </row>
    <row r="171" spans="1:8" ht="15.75" customHeight="1" x14ac:dyDescent="0.25">
      <c r="A171" s="7" t="str">
        <f>IF(CARGA_DIARIA!A171="","",CARGA_DIARIA!A171)</f>
        <v/>
      </c>
      <c r="B171" s="8" t="str">
        <f>IF(CARGA_DIARIA!A171="","",CARGA_DIARIA!B171)</f>
        <v/>
      </c>
      <c r="C171" s="9" t="str">
        <f>IF(CARGA_DIARIA!A171="","",IF(CARGA_DIARIA!B171=0,0,(CARGA_DIARIA!C171+CARGA_DIARIA!D171+CARGA_DIARIA!E171+CARGA_DIARIA!F171+CARGA_DIARIA!G171+CARGA_DIARIA!H171+CARGA_DIARIA!I171+CARGA_DIARIA!AF171+CARGA_DIARIA!AG171+CARGA_DIARIA!AH171+CARGA_DIARIA!AI171)/CARGA_DIARIA!B171+CARGA_DIARIA!AE171))</f>
        <v/>
      </c>
      <c r="D171" s="10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10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13" t="s">
        <v>64</v>
      </c>
      <c r="G171" s="13" t="s">
        <v>64</v>
      </c>
      <c r="H171" s="12" t="str">
        <f>IF(CARGA_DIARIA!A171="","",C171-D171-E171)</f>
        <v/>
      </c>
    </row>
    <row r="172" spans="1:8" ht="15.75" customHeight="1" x14ac:dyDescent="0.25">
      <c r="A172" s="7" t="str">
        <f>IF(CARGA_DIARIA!A172="","",CARGA_DIARIA!A172)</f>
        <v/>
      </c>
      <c r="B172" s="8" t="str">
        <f>IF(CARGA_DIARIA!A172="","",CARGA_DIARIA!B172)</f>
        <v/>
      </c>
      <c r="C172" s="9" t="str">
        <f>IF(CARGA_DIARIA!A172="","",IF(CARGA_DIARIA!B172=0,0,(CARGA_DIARIA!C172+CARGA_DIARIA!D172+CARGA_DIARIA!E172+CARGA_DIARIA!F172+CARGA_DIARIA!G172+CARGA_DIARIA!H172+CARGA_DIARIA!I172+CARGA_DIARIA!AF172+CARGA_DIARIA!AG172+CARGA_DIARIA!AH172+CARGA_DIARIA!AI172)/CARGA_DIARIA!B172+CARGA_DIARIA!AE172))</f>
        <v/>
      </c>
      <c r="D172" s="10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10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13" t="s">
        <v>64</v>
      </c>
      <c r="G172" s="13" t="s">
        <v>64</v>
      </c>
      <c r="H172" s="12" t="str">
        <f>IF(CARGA_DIARIA!A172="","",C172-D172-E172)</f>
        <v/>
      </c>
    </row>
    <row r="173" spans="1:8" ht="15.75" customHeight="1" x14ac:dyDescent="0.25">
      <c r="A173" s="7" t="str">
        <f>IF(CARGA_DIARIA!A173="","",CARGA_DIARIA!A173)</f>
        <v/>
      </c>
      <c r="B173" s="8" t="str">
        <f>IF(CARGA_DIARIA!A173="","",CARGA_DIARIA!B173)</f>
        <v/>
      </c>
      <c r="C173" s="9" t="str">
        <f>IF(CARGA_DIARIA!A173="","",IF(CARGA_DIARIA!B173=0,0,(CARGA_DIARIA!C173+CARGA_DIARIA!D173+CARGA_DIARIA!E173+CARGA_DIARIA!F173+CARGA_DIARIA!G173+CARGA_DIARIA!H173+CARGA_DIARIA!I173+CARGA_DIARIA!AF173+CARGA_DIARIA!AG173+CARGA_DIARIA!AH173+CARGA_DIARIA!AI173)/CARGA_DIARIA!B173+CARGA_DIARIA!AE173))</f>
        <v/>
      </c>
      <c r="D173" s="10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10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13" t="s">
        <v>64</v>
      </c>
      <c r="G173" s="13" t="s">
        <v>64</v>
      </c>
      <c r="H173" s="12" t="str">
        <f>IF(CARGA_DIARIA!A173="","",C173-D173-E173)</f>
        <v/>
      </c>
    </row>
    <row r="174" spans="1:8" ht="15.75" customHeight="1" x14ac:dyDescent="0.25">
      <c r="A174" s="7" t="str">
        <f>IF(CARGA_DIARIA!A174="","",CARGA_DIARIA!A174)</f>
        <v/>
      </c>
      <c r="B174" s="8" t="str">
        <f>IF(CARGA_DIARIA!A174="","",CARGA_DIARIA!B174)</f>
        <v/>
      </c>
      <c r="C174" s="9" t="str">
        <f>IF(CARGA_DIARIA!A174="","",IF(CARGA_DIARIA!B174=0,0,(CARGA_DIARIA!C174+CARGA_DIARIA!D174+CARGA_DIARIA!E174+CARGA_DIARIA!F174+CARGA_DIARIA!G174+CARGA_DIARIA!H174+CARGA_DIARIA!I174+CARGA_DIARIA!AF174+CARGA_DIARIA!AG174+CARGA_DIARIA!AH174+CARGA_DIARIA!AI174)/CARGA_DIARIA!B174+CARGA_DIARIA!AE174))</f>
        <v/>
      </c>
      <c r="D174" s="10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10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13" t="s">
        <v>64</v>
      </c>
      <c r="G174" s="13" t="s">
        <v>64</v>
      </c>
      <c r="H174" s="12" t="str">
        <f>IF(CARGA_DIARIA!A174="","",C174-D174-E174)</f>
        <v/>
      </c>
    </row>
    <row r="175" spans="1:8" ht="15.75" customHeight="1" x14ac:dyDescent="0.25">
      <c r="A175" s="7" t="str">
        <f>IF(CARGA_DIARIA!A175="","",CARGA_DIARIA!A175)</f>
        <v/>
      </c>
      <c r="B175" s="8" t="str">
        <f>IF(CARGA_DIARIA!A175="","",CARGA_DIARIA!B175)</f>
        <v/>
      </c>
      <c r="C175" s="9" t="str">
        <f>IF(CARGA_DIARIA!A175="","",IF(CARGA_DIARIA!B175=0,0,(CARGA_DIARIA!C175+CARGA_DIARIA!D175+CARGA_DIARIA!E175+CARGA_DIARIA!F175+CARGA_DIARIA!G175+CARGA_DIARIA!H175+CARGA_DIARIA!I175+CARGA_DIARIA!AF175+CARGA_DIARIA!AG175+CARGA_DIARIA!AH175+CARGA_DIARIA!AI175)/CARGA_DIARIA!B175+CARGA_DIARIA!AE175))</f>
        <v/>
      </c>
      <c r="D175" s="10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10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13" t="s">
        <v>64</v>
      </c>
      <c r="G175" s="13" t="s">
        <v>64</v>
      </c>
      <c r="H175" s="12" t="str">
        <f>IF(CARGA_DIARIA!A175="","",C175-D175-E175)</f>
        <v/>
      </c>
    </row>
    <row r="176" spans="1:8" ht="15.75" customHeight="1" x14ac:dyDescent="0.25">
      <c r="A176" s="7" t="str">
        <f>IF(CARGA_DIARIA!A176="","",CARGA_DIARIA!A176)</f>
        <v/>
      </c>
      <c r="B176" s="8" t="str">
        <f>IF(CARGA_DIARIA!A176="","",CARGA_DIARIA!B176)</f>
        <v/>
      </c>
      <c r="C176" s="9" t="str">
        <f>IF(CARGA_DIARIA!A176="","",IF(CARGA_DIARIA!B176=0,0,(CARGA_DIARIA!C176+CARGA_DIARIA!D176+CARGA_DIARIA!E176+CARGA_DIARIA!F176+CARGA_DIARIA!G176+CARGA_DIARIA!H176+CARGA_DIARIA!I176+CARGA_DIARIA!AF176+CARGA_DIARIA!AG176+CARGA_DIARIA!AH176+CARGA_DIARIA!AI176)/CARGA_DIARIA!B176+CARGA_DIARIA!AE176))</f>
        <v/>
      </c>
      <c r="D176" s="10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10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13" t="s">
        <v>64</v>
      </c>
      <c r="G176" s="13" t="s">
        <v>64</v>
      </c>
      <c r="H176" s="12" t="str">
        <f>IF(CARGA_DIARIA!A176="","",C176-D176-E176)</f>
        <v/>
      </c>
    </row>
    <row r="177" spans="1:8" ht="15.75" customHeight="1" x14ac:dyDescent="0.25">
      <c r="A177" s="7" t="str">
        <f>IF(CARGA_DIARIA!A177="","",CARGA_DIARIA!A177)</f>
        <v/>
      </c>
      <c r="B177" s="8" t="str">
        <f>IF(CARGA_DIARIA!A177="","",CARGA_DIARIA!B177)</f>
        <v/>
      </c>
      <c r="C177" s="9" t="str">
        <f>IF(CARGA_DIARIA!A177="","",IF(CARGA_DIARIA!B177=0,0,(CARGA_DIARIA!C177+CARGA_DIARIA!D177+CARGA_DIARIA!E177+CARGA_DIARIA!F177+CARGA_DIARIA!G177+CARGA_DIARIA!H177+CARGA_DIARIA!I177+CARGA_DIARIA!AF177+CARGA_DIARIA!AG177+CARGA_DIARIA!AH177+CARGA_DIARIA!AI177)/CARGA_DIARIA!B177+CARGA_DIARIA!AE177))</f>
        <v/>
      </c>
      <c r="D177" s="10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10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13" t="s">
        <v>64</v>
      </c>
      <c r="G177" s="13" t="s">
        <v>64</v>
      </c>
      <c r="H177" s="12" t="str">
        <f>IF(CARGA_DIARIA!A177="","",C177-D177-E177)</f>
        <v/>
      </c>
    </row>
    <row r="178" spans="1:8" ht="15.75" customHeight="1" x14ac:dyDescent="0.25">
      <c r="A178" s="7" t="str">
        <f>IF(CARGA_DIARIA!A178="","",CARGA_DIARIA!A178)</f>
        <v/>
      </c>
      <c r="B178" s="8" t="str">
        <f>IF(CARGA_DIARIA!A178="","",CARGA_DIARIA!B178)</f>
        <v/>
      </c>
      <c r="C178" s="9" t="str">
        <f>IF(CARGA_DIARIA!A178="","",IF(CARGA_DIARIA!B178=0,0,(CARGA_DIARIA!C178+CARGA_DIARIA!D178+CARGA_DIARIA!E178+CARGA_DIARIA!F178+CARGA_DIARIA!G178+CARGA_DIARIA!H178+CARGA_DIARIA!I178+CARGA_DIARIA!AF178+CARGA_DIARIA!AG178+CARGA_DIARIA!AH178+CARGA_DIARIA!AI178)/CARGA_DIARIA!B178+CARGA_DIARIA!AE178))</f>
        <v/>
      </c>
      <c r="D178" s="10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10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13" t="s">
        <v>64</v>
      </c>
      <c r="G178" s="13" t="s">
        <v>64</v>
      </c>
      <c r="H178" s="12" t="str">
        <f>IF(CARGA_DIARIA!A178="","",C178-D178-E178)</f>
        <v/>
      </c>
    </row>
    <row r="179" spans="1:8" ht="15.75" customHeight="1" x14ac:dyDescent="0.25">
      <c r="A179" s="7" t="str">
        <f>IF(CARGA_DIARIA!A179="","",CARGA_DIARIA!A179)</f>
        <v/>
      </c>
      <c r="B179" s="8" t="str">
        <f>IF(CARGA_DIARIA!A179="","",CARGA_DIARIA!B179)</f>
        <v/>
      </c>
      <c r="C179" s="9" t="str">
        <f>IF(CARGA_DIARIA!A179="","",IF(CARGA_DIARIA!B179=0,0,(CARGA_DIARIA!C179+CARGA_DIARIA!D179+CARGA_DIARIA!E179+CARGA_DIARIA!F179+CARGA_DIARIA!G179+CARGA_DIARIA!H179+CARGA_DIARIA!I179+CARGA_DIARIA!AF179+CARGA_DIARIA!AG179+CARGA_DIARIA!AH179+CARGA_DIARIA!AI179)/CARGA_DIARIA!B179+CARGA_DIARIA!AE179))</f>
        <v/>
      </c>
      <c r="D179" s="10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10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13" t="s">
        <v>64</v>
      </c>
      <c r="G179" s="13" t="s">
        <v>64</v>
      </c>
      <c r="H179" s="12" t="str">
        <f>IF(CARGA_DIARIA!A179="","",C179-D179-E179)</f>
        <v/>
      </c>
    </row>
    <row r="180" spans="1:8" ht="15.75" customHeight="1" x14ac:dyDescent="0.25">
      <c r="A180" s="7" t="str">
        <f>IF(CARGA_DIARIA!A180="","",CARGA_DIARIA!A180)</f>
        <v/>
      </c>
      <c r="B180" s="8" t="str">
        <f>IF(CARGA_DIARIA!A180="","",CARGA_DIARIA!B180)</f>
        <v/>
      </c>
      <c r="C180" s="9" t="str">
        <f>IF(CARGA_DIARIA!A180="","",IF(CARGA_DIARIA!B180=0,0,(CARGA_DIARIA!C180+CARGA_DIARIA!D180+CARGA_DIARIA!E180+CARGA_DIARIA!F180+CARGA_DIARIA!G180+CARGA_DIARIA!H180+CARGA_DIARIA!I180+CARGA_DIARIA!AF180+CARGA_DIARIA!AG180+CARGA_DIARIA!AH180+CARGA_DIARIA!AI180)/CARGA_DIARIA!B180+CARGA_DIARIA!AE180))</f>
        <v/>
      </c>
      <c r="D180" s="10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10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13" t="s">
        <v>64</v>
      </c>
      <c r="G180" s="13" t="s">
        <v>64</v>
      </c>
      <c r="H180" s="12" t="str">
        <f>IF(CARGA_DIARIA!A180="","",C180-D180-E180)</f>
        <v/>
      </c>
    </row>
    <row r="181" spans="1:8" ht="15.75" customHeight="1" x14ac:dyDescent="0.25">
      <c r="A181" s="7" t="str">
        <f>IF(CARGA_DIARIA!A181="","",CARGA_DIARIA!A181)</f>
        <v/>
      </c>
      <c r="B181" s="8" t="str">
        <f>IF(CARGA_DIARIA!A181="","",CARGA_DIARIA!B181)</f>
        <v/>
      </c>
      <c r="C181" s="9" t="str">
        <f>IF(CARGA_DIARIA!A181="","",IF(CARGA_DIARIA!B181=0,0,(CARGA_DIARIA!C181+CARGA_DIARIA!D181+CARGA_DIARIA!E181+CARGA_DIARIA!F181+CARGA_DIARIA!G181+CARGA_DIARIA!H181+CARGA_DIARIA!I181+CARGA_DIARIA!AF181+CARGA_DIARIA!AG181+CARGA_DIARIA!AH181+CARGA_DIARIA!AI181)/CARGA_DIARIA!B181+CARGA_DIARIA!AE181))</f>
        <v/>
      </c>
      <c r="D181" s="10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10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13" t="s">
        <v>64</v>
      </c>
      <c r="G181" s="13" t="s">
        <v>64</v>
      </c>
      <c r="H181" s="12" t="str">
        <f>IF(CARGA_DIARIA!A181="","",C181-D181-E181)</f>
        <v/>
      </c>
    </row>
    <row r="182" spans="1:8" ht="15.75" customHeight="1" x14ac:dyDescent="0.25">
      <c r="A182" s="7" t="str">
        <f>IF(CARGA_DIARIA!A182="","",CARGA_DIARIA!A182)</f>
        <v/>
      </c>
      <c r="B182" s="8" t="str">
        <f>IF(CARGA_DIARIA!A182="","",CARGA_DIARIA!B182)</f>
        <v/>
      </c>
      <c r="C182" s="9" t="str">
        <f>IF(CARGA_DIARIA!A182="","",IF(CARGA_DIARIA!B182=0,0,(CARGA_DIARIA!C182+CARGA_DIARIA!D182+CARGA_DIARIA!E182+CARGA_DIARIA!F182+CARGA_DIARIA!G182+CARGA_DIARIA!H182+CARGA_DIARIA!I182+CARGA_DIARIA!AF182+CARGA_DIARIA!AG182+CARGA_DIARIA!AH182+CARGA_DIARIA!AI182)/CARGA_DIARIA!B182+CARGA_DIARIA!AE182))</f>
        <v/>
      </c>
      <c r="D182" s="10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10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13" t="s">
        <v>64</v>
      </c>
      <c r="G182" s="13" t="s">
        <v>64</v>
      </c>
      <c r="H182" s="12" t="str">
        <f>IF(CARGA_DIARIA!A182="","",C182-D182-E182)</f>
        <v/>
      </c>
    </row>
    <row r="183" spans="1:8" ht="15.75" customHeight="1" x14ac:dyDescent="0.25">
      <c r="A183" s="7" t="str">
        <f>IF(CARGA_DIARIA!A183="","",CARGA_DIARIA!A183)</f>
        <v/>
      </c>
      <c r="B183" s="8" t="str">
        <f>IF(CARGA_DIARIA!A183="","",CARGA_DIARIA!B183)</f>
        <v/>
      </c>
      <c r="C183" s="9" t="str">
        <f>IF(CARGA_DIARIA!A183="","",IF(CARGA_DIARIA!B183=0,0,(CARGA_DIARIA!C183+CARGA_DIARIA!D183+CARGA_DIARIA!E183+CARGA_DIARIA!F183+CARGA_DIARIA!G183+CARGA_DIARIA!H183+CARGA_DIARIA!I183+CARGA_DIARIA!AF183+CARGA_DIARIA!AG183+CARGA_DIARIA!AH183+CARGA_DIARIA!AI183)/CARGA_DIARIA!B183+CARGA_DIARIA!AE183))</f>
        <v/>
      </c>
      <c r="D183" s="10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10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13" t="s">
        <v>64</v>
      </c>
      <c r="G183" s="13" t="s">
        <v>64</v>
      </c>
      <c r="H183" s="12" t="str">
        <f>IF(CARGA_DIARIA!A183="","",C183-D183-E183)</f>
        <v/>
      </c>
    </row>
    <row r="184" spans="1:8" ht="15.75" customHeight="1" x14ac:dyDescent="0.25">
      <c r="A184" s="7" t="str">
        <f>IF(CARGA_DIARIA!A184="","",CARGA_DIARIA!A184)</f>
        <v/>
      </c>
      <c r="B184" s="8" t="str">
        <f>IF(CARGA_DIARIA!A184="","",CARGA_DIARIA!B184)</f>
        <v/>
      </c>
      <c r="C184" s="9" t="str">
        <f>IF(CARGA_DIARIA!A184="","",IF(CARGA_DIARIA!B184=0,0,(CARGA_DIARIA!C184+CARGA_DIARIA!D184+CARGA_DIARIA!E184+CARGA_DIARIA!F184+CARGA_DIARIA!G184+CARGA_DIARIA!H184+CARGA_DIARIA!I184+CARGA_DIARIA!AF184+CARGA_DIARIA!AG184+CARGA_DIARIA!AH184+CARGA_DIARIA!AI184)/CARGA_DIARIA!B184+CARGA_DIARIA!AE184))</f>
        <v/>
      </c>
      <c r="D184" s="10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10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13" t="s">
        <v>64</v>
      </c>
      <c r="G184" s="13" t="s">
        <v>64</v>
      </c>
      <c r="H184" s="12" t="str">
        <f>IF(CARGA_DIARIA!A184="","",C184-D184-E184)</f>
        <v/>
      </c>
    </row>
    <row r="185" spans="1:8" ht="15.75" customHeight="1" x14ac:dyDescent="0.25">
      <c r="A185" s="7" t="str">
        <f>IF(CARGA_DIARIA!A185="","",CARGA_DIARIA!A185)</f>
        <v/>
      </c>
      <c r="B185" s="8" t="str">
        <f>IF(CARGA_DIARIA!A185="","",CARGA_DIARIA!B185)</f>
        <v/>
      </c>
      <c r="C185" s="9" t="str">
        <f>IF(CARGA_DIARIA!A185="","",IF(CARGA_DIARIA!B185=0,0,(CARGA_DIARIA!C185+CARGA_DIARIA!D185+CARGA_DIARIA!E185+CARGA_DIARIA!F185+CARGA_DIARIA!G185+CARGA_DIARIA!H185+CARGA_DIARIA!I185+CARGA_DIARIA!AF185+CARGA_DIARIA!AG185+CARGA_DIARIA!AH185+CARGA_DIARIA!AI185)/CARGA_DIARIA!B185+CARGA_DIARIA!AE185))</f>
        <v/>
      </c>
      <c r="D185" s="10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10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13" t="s">
        <v>64</v>
      </c>
      <c r="G185" s="13" t="s">
        <v>64</v>
      </c>
      <c r="H185" s="12" t="str">
        <f>IF(CARGA_DIARIA!A185="","",C185-D185-E185)</f>
        <v/>
      </c>
    </row>
    <row r="186" spans="1:8" ht="15.75" customHeight="1" x14ac:dyDescent="0.25">
      <c r="A186" s="7" t="str">
        <f>IF(CARGA_DIARIA!A186="","",CARGA_DIARIA!A186)</f>
        <v/>
      </c>
      <c r="B186" s="8" t="str">
        <f>IF(CARGA_DIARIA!A186="","",CARGA_DIARIA!B186)</f>
        <v/>
      </c>
      <c r="C186" s="9" t="str">
        <f>IF(CARGA_DIARIA!A186="","",IF(CARGA_DIARIA!B186=0,0,(CARGA_DIARIA!C186+CARGA_DIARIA!D186+CARGA_DIARIA!E186+CARGA_DIARIA!F186+CARGA_DIARIA!G186+CARGA_DIARIA!H186+CARGA_DIARIA!I186+CARGA_DIARIA!AF186+CARGA_DIARIA!AG186+CARGA_DIARIA!AH186+CARGA_DIARIA!AI186)/CARGA_DIARIA!B186+CARGA_DIARIA!AE186))</f>
        <v/>
      </c>
      <c r="D186" s="10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10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13" t="s">
        <v>64</v>
      </c>
      <c r="G186" s="13" t="s">
        <v>64</v>
      </c>
      <c r="H186" s="12" t="str">
        <f>IF(CARGA_DIARIA!A186="","",C186-D186-E186)</f>
        <v/>
      </c>
    </row>
    <row r="187" spans="1:8" ht="15.75" customHeight="1" x14ac:dyDescent="0.25">
      <c r="A187" s="7" t="str">
        <f>IF(CARGA_DIARIA!A187="","",CARGA_DIARIA!A187)</f>
        <v/>
      </c>
      <c r="B187" s="8" t="str">
        <f>IF(CARGA_DIARIA!A187="","",CARGA_DIARIA!B187)</f>
        <v/>
      </c>
      <c r="C187" s="9" t="str">
        <f>IF(CARGA_DIARIA!A187="","",IF(CARGA_DIARIA!B187=0,0,(CARGA_DIARIA!C187+CARGA_DIARIA!D187+CARGA_DIARIA!E187+CARGA_DIARIA!F187+CARGA_DIARIA!G187+CARGA_DIARIA!H187+CARGA_DIARIA!I187+CARGA_DIARIA!AF187+CARGA_DIARIA!AG187+CARGA_DIARIA!AH187+CARGA_DIARIA!AI187)/CARGA_DIARIA!B187+CARGA_DIARIA!AE187))</f>
        <v/>
      </c>
      <c r="D187" s="10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10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13" t="s">
        <v>64</v>
      </c>
      <c r="G187" s="13" t="s">
        <v>64</v>
      </c>
      <c r="H187" s="12" t="str">
        <f>IF(CARGA_DIARIA!A187="","",C187-D187-E187)</f>
        <v/>
      </c>
    </row>
    <row r="188" spans="1:8" ht="15.75" customHeight="1" x14ac:dyDescent="0.25">
      <c r="A188" s="7" t="str">
        <f>IF(CARGA_DIARIA!A188="","",CARGA_DIARIA!A188)</f>
        <v/>
      </c>
      <c r="B188" s="8" t="str">
        <f>IF(CARGA_DIARIA!A188="","",CARGA_DIARIA!B188)</f>
        <v/>
      </c>
      <c r="C188" s="9" t="str">
        <f>IF(CARGA_DIARIA!A188="","",IF(CARGA_DIARIA!B188=0,0,(CARGA_DIARIA!C188+CARGA_DIARIA!D188+CARGA_DIARIA!E188+CARGA_DIARIA!F188+CARGA_DIARIA!G188+CARGA_DIARIA!H188+CARGA_DIARIA!I188+CARGA_DIARIA!AF188+CARGA_DIARIA!AG188+CARGA_DIARIA!AH188+CARGA_DIARIA!AI188)/CARGA_DIARIA!B188+CARGA_DIARIA!AE188))</f>
        <v/>
      </c>
      <c r="D188" s="10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10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13" t="s">
        <v>64</v>
      </c>
      <c r="G188" s="13" t="s">
        <v>64</v>
      </c>
      <c r="H188" s="12" t="str">
        <f>IF(CARGA_DIARIA!A188="","",C188-D188-E188)</f>
        <v/>
      </c>
    </row>
    <row r="189" spans="1:8" ht="15.75" customHeight="1" x14ac:dyDescent="0.25">
      <c r="A189" s="7" t="str">
        <f>IF(CARGA_DIARIA!A189="","",CARGA_DIARIA!A189)</f>
        <v/>
      </c>
      <c r="B189" s="8" t="str">
        <f>IF(CARGA_DIARIA!A189="","",CARGA_DIARIA!B189)</f>
        <v/>
      </c>
      <c r="C189" s="9" t="str">
        <f>IF(CARGA_DIARIA!A189="","",IF(CARGA_DIARIA!B189=0,0,(CARGA_DIARIA!C189+CARGA_DIARIA!D189+CARGA_DIARIA!E189+CARGA_DIARIA!F189+CARGA_DIARIA!G189+CARGA_DIARIA!H189+CARGA_DIARIA!I189+CARGA_DIARIA!AF189+CARGA_DIARIA!AG189+CARGA_DIARIA!AH189+CARGA_DIARIA!AI189)/CARGA_DIARIA!B189+CARGA_DIARIA!AE189))</f>
        <v/>
      </c>
      <c r="D189" s="10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10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13" t="s">
        <v>64</v>
      </c>
      <c r="G189" s="13" t="s">
        <v>64</v>
      </c>
      <c r="H189" s="12" t="str">
        <f>IF(CARGA_DIARIA!A189="","",C189-D189-E189)</f>
        <v/>
      </c>
    </row>
    <row r="190" spans="1:8" ht="15.75" customHeight="1" x14ac:dyDescent="0.25">
      <c r="A190" s="7" t="str">
        <f>IF(CARGA_DIARIA!A190="","",CARGA_DIARIA!A190)</f>
        <v/>
      </c>
      <c r="B190" s="8" t="str">
        <f>IF(CARGA_DIARIA!A190="","",CARGA_DIARIA!B190)</f>
        <v/>
      </c>
      <c r="C190" s="9" t="str">
        <f>IF(CARGA_DIARIA!A190="","",IF(CARGA_DIARIA!B190=0,0,(CARGA_DIARIA!C190+CARGA_DIARIA!D190+CARGA_DIARIA!E190+CARGA_DIARIA!F190+CARGA_DIARIA!G190+CARGA_DIARIA!H190+CARGA_DIARIA!I190+CARGA_DIARIA!AF190+CARGA_DIARIA!AG190+CARGA_DIARIA!AH190+CARGA_DIARIA!AI190)/CARGA_DIARIA!B190+CARGA_DIARIA!AE190))</f>
        <v/>
      </c>
      <c r="D190" s="10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10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13" t="s">
        <v>64</v>
      </c>
      <c r="G190" s="13" t="s">
        <v>64</v>
      </c>
      <c r="H190" s="12" t="str">
        <f>IF(CARGA_DIARIA!A190="","",C190-D190-E190)</f>
        <v/>
      </c>
    </row>
    <row r="191" spans="1:8" ht="15.75" customHeight="1" x14ac:dyDescent="0.25">
      <c r="A191" s="7" t="str">
        <f>IF(CARGA_DIARIA!A191="","",CARGA_DIARIA!A191)</f>
        <v/>
      </c>
      <c r="B191" s="8" t="str">
        <f>IF(CARGA_DIARIA!A191="","",CARGA_DIARIA!B191)</f>
        <v/>
      </c>
      <c r="C191" s="9" t="str">
        <f>IF(CARGA_DIARIA!A191="","",IF(CARGA_DIARIA!B191=0,0,(CARGA_DIARIA!C191+CARGA_DIARIA!D191+CARGA_DIARIA!E191+CARGA_DIARIA!F191+CARGA_DIARIA!G191+CARGA_DIARIA!H191+CARGA_DIARIA!I191+CARGA_DIARIA!AF191+CARGA_DIARIA!AG191+CARGA_DIARIA!AH191+CARGA_DIARIA!AI191)/CARGA_DIARIA!B191+CARGA_DIARIA!AE191))</f>
        <v/>
      </c>
      <c r="D191" s="10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10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13" t="s">
        <v>64</v>
      </c>
      <c r="G191" s="13" t="s">
        <v>64</v>
      </c>
      <c r="H191" s="12" t="str">
        <f>IF(CARGA_DIARIA!A191="","",C191-D191-E191)</f>
        <v/>
      </c>
    </row>
    <row r="192" spans="1:8" ht="15.75" customHeight="1" x14ac:dyDescent="0.25">
      <c r="A192" s="7" t="str">
        <f>IF(CARGA_DIARIA!A192="","",CARGA_DIARIA!A192)</f>
        <v/>
      </c>
      <c r="B192" s="8" t="str">
        <f>IF(CARGA_DIARIA!A192="","",CARGA_DIARIA!B192)</f>
        <v/>
      </c>
      <c r="C192" s="9" t="str">
        <f>IF(CARGA_DIARIA!A192="","",IF(CARGA_DIARIA!B192=0,0,(CARGA_DIARIA!C192+CARGA_DIARIA!D192+CARGA_DIARIA!E192+CARGA_DIARIA!F192+CARGA_DIARIA!G192+CARGA_DIARIA!H192+CARGA_DIARIA!I192+CARGA_DIARIA!AF192+CARGA_DIARIA!AG192+CARGA_DIARIA!AH192+CARGA_DIARIA!AI192)/CARGA_DIARIA!B192+CARGA_DIARIA!AE192))</f>
        <v/>
      </c>
      <c r="D192" s="10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10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13" t="s">
        <v>64</v>
      </c>
      <c r="G192" s="13" t="s">
        <v>64</v>
      </c>
      <c r="H192" s="12" t="str">
        <f>IF(CARGA_DIARIA!A192="","",C192-D192-E192)</f>
        <v/>
      </c>
    </row>
    <row r="193" spans="1:8" ht="15.75" customHeight="1" x14ac:dyDescent="0.25">
      <c r="A193" s="7" t="str">
        <f>IF(CARGA_DIARIA!A193="","",CARGA_DIARIA!A193)</f>
        <v/>
      </c>
      <c r="B193" s="8" t="str">
        <f>IF(CARGA_DIARIA!A193="","",CARGA_DIARIA!B193)</f>
        <v/>
      </c>
      <c r="C193" s="9" t="str">
        <f>IF(CARGA_DIARIA!A193="","",IF(CARGA_DIARIA!B193=0,0,(CARGA_DIARIA!C193+CARGA_DIARIA!D193+CARGA_DIARIA!E193+CARGA_DIARIA!F193+CARGA_DIARIA!G193+CARGA_DIARIA!H193+CARGA_DIARIA!I193+CARGA_DIARIA!AF193+CARGA_DIARIA!AG193+CARGA_DIARIA!AH193+CARGA_DIARIA!AI193)/CARGA_DIARIA!B193+CARGA_DIARIA!AE193))</f>
        <v/>
      </c>
      <c r="D193" s="10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10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13" t="s">
        <v>64</v>
      </c>
      <c r="G193" s="13" t="s">
        <v>64</v>
      </c>
      <c r="H193" s="12" t="str">
        <f>IF(CARGA_DIARIA!A193="","",C193-D193-E193)</f>
        <v/>
      </c>
    </row>
    <row r="194" spans="1:8" ht="15.75" customHeight="1" x14ac:dyDescent="0.25">
      <c r="A194" s="7" t="str">
        <f>IF(CARGA_DIARIA!A194="","",CARGA_DIARIA!A194)</f>
        <v/>
      </c>
      <c r="B194" s="8" t="str">
        <f>IF(CARGA_DIARIA!A194="","",CARGA_DIARIA!B194)</f>
        <v/>
      </c>
      <c r="C194" s="9" t="str">
        <f>IF(CARGA_DIARIA!A194="","",IF(CARGA_DIARIA!B194=0,0,(CARGA_DIARIA!C194+CARGA_DIARIA!D194+CARGA_DIARIA!E194+CARGA_DIARIA!F194+CARGA_DIARIA!G194+CARGA_DIARIA!H194+CARGA_DIARIA!I194+CARGA_DIARIA!AF194+CARGA_DIARIA!AG194+CARGA_DIARIA!AH194+CARGA_DIARIA!AI194)/CARGA_DIARIA!B194+CARGA_DIARIA!AE194))</f>
        <v/>
      </c>
      <c r="D194" s="10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10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13" t="s">
        <v>64</v>
      </c>
      <c r="G194" s="13" t="s">
        <v>64</v>
      </c>
      <c r="H194" s="12" t="str">
        <f>IF(CARGA_DIARIA!A194="","",C194-D194-E194)</f>
        <v/>
      </c>
    </row>
    <row r="195" spans="1:8" ht="15.75" customHeight="1" x14ac:dyDescent="0.25">
      <c r="A195" s="7" t="str">
        <f>IF(CARGA_DIARIA!A195="","",CARGA_DIARIA!A195)</f>
        <v/>
      </c>
      <c r="B195" s="8" t="str">
        <f>IF(CARGA_DIARIA!A195="","",CARGA_DIARIA!B195)</f>
        <v/>
      </c>
      <c r="C195" s="9" t="str">
        <f>IF(CARGA_DIARIA!A195="","",IF(CARGA_DIARIA!B195=0,0,(CARGA_DIARIA!C195+CARGA_DIARIA!D195+CARGA_DIARIA!E195+CARGA_DIARIA!F195+CARGA_DIARIA!G195+CARGA_DIARIA!H195+CARGA_DIARIA!I195+CARGA_DIARIA!AF195+CARGA_DIARIA!AG195+CARGA_DIARIA!AH195+CARGA_DIARIA!AI195)/CARGA_DIARIA!B195+CARGA_DIARIA!AE195))</f>
        <v/>
      </c>
      <c r="D195" s="10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10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13" t="s">
        <v>64</v>
      </c>
      <c r="G195" s="13" t="s">
        <v>64</v>
      </c>
      <c r="H195" s="12" t="str">
        <f>IF(CARGA_DIARIA!A195="","",C195-D195-E195)</f>
        <v/>
      </c>
    </row>
    <row r="196" spans="1:8" ht="15.75" customHeight="1" x14ac:dyDescent="0.25">
      <c r="A196" s="7" t="str">
        <f>IF(CARGA_DIARIA!A196="","",CARGA_DIARIA!A196)</f>
        <v/>
      </c>
      <c r="B196" s="8" t="str">
        <f>IF(CARGA_DIARIA!A196="","",CARGA_DIARIA!B196)</f>
        <v/>
      </c>
      <c r="C196" s="9" t="str">
        <f>IF(CARGA_DIARIA!A196="","",IF(CARGA_DIARIA!B196=0,0,(CARGA_DIARIA!C196+CARGA_DIARIA!D196+CARGA_DIARIA!E196+CARGA_DIARIA!F196+CARGA_DIARIA!G196+CARGA_DIARIA!H196+CARGA_DIARIA!I196+CARGA_DIARIA!AF196+CARGA_DIARIA!AG196+CARGA_DIARIA!AH196+CARGA_DIARIA!AI196)/CARGA_DIARIA!B196+CARGA_DIARIA!AE196))</f>
        <v/>
      </c>
      <c r="D196" s="10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10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13" t="s">
        <v>64</v>
      </c>
      <c r="G196" s="13" t="s">
        <v>64</v>
      </c>
      <c r="H196" s="12" t="str">
        <f>IF(CARGA_DIARIA!A196="","",C196-D196-E196)</f>
        <v/>
      </c>
    </row>
    <row r="197" spans="1:8" ht="15.75" customHeight="1" x14ac:dyDescent="0.25">
      <c r="A197" s="7" t="str">
        <f>IF(CARGA_DIARIA!A197="","",CARGA_DIARIA!A197)</f>
        <v/>
      </c>
      <c r="B197" s="8" t="str">
        <f>IF(CARGA_DIARIA!A197="","",CARGA_DIARIA!B197)</f>
        <v/>
      </c>
      <c r="C197" s="9" t="str">
        <f>IF(CARGA_DIARIA!A197="","",IF(CARGA_DIARIA!B197=0,0,(CARGA_DIARIA!C197+CARGA_DIARIA!D197+CARGA_DIARIA!E197+CARGA_DIARIA!F197+CARGA_DIARIA!G197+CARGA_DIARIA!H197+CARGA_DIARIA!I197+CARGA_DIARIA!AF197+CARGA_DIARIA!AG197+CARGA_DIARIA!AH197+CARGA_DIARIA!AI197)/CARGA_DIARIA!B197+CARGA_DIARIA!AE197))</f>
        <v/>
      </c>
      <c r="D197" s="10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10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13" t="s">
        <v>64</v>
      </c>
      <c r="G197" s="13" t="s">
        <v>64</v>
      </c>
      <c r="H197" s="12" t="str">
        <f>IF(CARGA_DIARIA!A197="","",C197-D197-E197)</f>
        <v/>
      </c>
    </row>
    <row r="198" spans="1:8" ht="15.75" customHeight="1" x14ac:dyDescent="0.25">
      <c r="A198" s="7" t="str">
        <f>IF(CARGA_DIARIA!A198="","",CARGA_DIARIA!A198)</f>
        <v/>
      </c>
      <c r="B198" s="8" t="str">
        <f>IF(CARGA_DIARIA!A198="","",CARGA_DIARIA!B198)</f>
        <v/>
      </c>
      <c r="C198" s="9" t="str">
        <f>IF(CARGA_DIARIA!A198="","",IF(CARGA_DIARIA!B198=0,0,(CARGA_DIARIA!C198+CARGA_DIARIA!D198+CARGA_DIARIA!E198+CARGA_DIARIA!F198+CARGA_DIARIA!G198+CARGA_DIARIA!H198+CARGA_DIARIA!I198+CARGA_DIARIA!AF198+CARGA_DIARIA!AG198+CARGA_DIARIA!AH198+CARGA_DIARIA!AI198)/CARGA_DIARIA!B198+CARGA_DIARIA!AE198))</f>
        <v/>
      </c>
      <c r="D198" s="10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10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13" t="s">
        <v>64</v>
      </c>
      <c r="G198" s="13" t="s">
        <v>64</v>
      </c>
      <c r="H198" s="12" t="str">
        <f>IF(CARGA_DIARIA!A198="","",C198-D198-E198)</f>
        <v/>
      </c>
    </row>
    <row r="199" spans="1:8" ht="15.75" customHeight="1" x14ac:dyDescent="0.25">
      <c r="A199" s="7" t="str">
        <f>IF(CARGA_DIARIA!A199="","",CARGA_DIARIA!A199)</f>
        <v/>
      </c>
      <c r="B199" s="8" t="str">
        <f>IF(CARGA_DIARIA!A199="","",CARGA_DIARIA!B199)</f>
        <v/>
      </c>
      <c r="C199" s="9" t="str">
        <f>IF(CARGA_DIARIA!A199="","",IF(CARGA_DIARIA!B199=0,0,(CARGA_DIARIA!C199+CARGA_DIARIA!D199+CARGA_DIARIA!E199+CARGA_DIARIA!F199+CARGA_DIARIA!G199+CARGA_DIARIA!H199+CARGA_DIARIA!I199+CARGA_DIARIA!AF199+CARGA_DIARIA!AG199+CARGA_DIARIA!AH199+CARGA_DIARIA!AI199)/CARGA_DIARIA!B199+CARGA_DIARIA!AE199))</f>
        <v/>
      </c>
      <c r="D199" s="10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10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13" t="s">
        <v>64</v>
      </c>
      <c r="G199" s="13" t="s">
        <v>64</v>
      </c>
      <c r="H199" s="12" t="str">
        <f>IF(CARGA_DIARIA!A199="","",C199-D199-E199)</f>
        <v/>
      </c>
    </row>
    <row r="200" spans="1:8" ht="15.75" customHeight="1" x14ac:dyDescent="0.25">
      <c r="A200" s="7" t="str">
        <f>IF(CARGA_DIARIA!A200="","",CARGA_DIARIA!A200)</f>
        <v/>
      </c>
      <c r="B200" s="8" t="str">
        <f>IF(CARGA_DIARIA!A200="","",CARGA_DIARIA!B200)</f>
        <v/>
      </c>
      <c r="C200" s="9" t="str">
        <f>IF(CARGA_DIARIA!A200="","",IF(CARGA_DIARIA!B200=0,0,(CARGA_DIARIA!C200+CARGA_DIARIA!D200+CARGA_DIARIA!E200+CARGA_DIARIA!F200+CARGA_DIARIA!G200+CARGA_DIARIA!H200+CARGA_DIARIA!I200+CARGA_DIARIA!AF200+CARGA_DIARIA!AG200+CARGA_DIARIA!AH200+CARGA_DIARIA!AI200)/CARGA_DIARIA!B200+CARGA_DIARIA!AE200))</f>
        <v/>
      </c>
      <c r="D200" s="10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10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13" t="s">
        <v>64</v>
      </c>
      <c r="G200" s="13" t="s">
        <v>64</v>
      </c>
      <c r="H200" s="12" t="str">
        <f>IF(CARGA_DIARIA!A200="","",C200-D200-E200)</f>
        <v/>
      </c>
    </row>
    <row r="201" spans="1:8" ht="15.75" customHeight="1" x14ac:dyDescent="0.25">
      <c r="A201" s="7" t="str">
        <f>IF(CARGA_DIARIA!A201="","",CARGA_DIARIA!A201)</f>
        <v/>
      </c>
      <c r="B201" s="8" t="str">
        <f>IF(CARGA_DIARIA!A201="","",CARGA_DIARIA!B201)</f>
        <v/>
      </c>
      <c r="C201" s="9" t="str">
        <f>IF(CARGA_DIARIA!A201="","",IF(CARGA_DIARIA!B201=0,0,(CARGA_DIARIA!C201+CARGA_DIARIA!D201+CARGA_DIARIA!E201+CARGA_DIARIA!F201+CARGA_DIARIA!G201+CARGA_DIARIA!H201+CARGA_DIARIA!I201+CARGA_DIARIA!AF201+CARGA_DIARIA!AG201+CARGA_DIARIA!AH201+CARGA_DIARIA!AI201)/CARGA_DIARIA!B201+CARGA_DIARIA!AE201))</f>
        <v/>
      </c>
      <c r="D201" s="10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10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13" t="s">
        <v>64</v>
      </c>
      <c r="G201" s="13" t="s">
        <v>64</v>
      </c>
      <c r="H201" s="12" t="str">
        <f>IF(CARGA_DIARIA!A201="","",C201-D201-E201)</f>
        <v/>
      </c>
    </row>
    <row r="202" spans="1:8" ht="15.75" customHeight="1" x14ac:dyDescent="0.25">
      <c r="A202" s="7" t="str">
        <f>IF(CARGA_DIARIA!A202="","",CARGA_DIARIA!A202)</f>
        <v/>
      </c>
      <c r="B202" s="8" t="str">
        <f>IF(CARGA_DIARIA!A202="","",CARGA_DIARIA!B202)</f>
        <v/>
      </c>
      <c r="C202" s="9" t="str">
        <f>IF(CARGA_DIARIA!A202="","",IF(CARGA_DIARIA!B202=0,0,(CARGA_DIARIA!C202+CARGA_DIARIA!D202+CARGA_DIARIA!E202+CARGA_DIARIA!F202+CARGA_DIARIA!G202+CARGA_DIARIA!H202+CARGA_DIARIA!I202+CARGA_DIARIA!AF202+CARGA_DIARIA!AG202+CARGA_DIARIA!AH202+CARGA_DIARIA!AI202)/CARGA_DIARIA!B202+CARGA_DIARIA!AE202))</f>
        <v/>
      </c>
      <c r="D202" s="10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10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13" t="s">
        <v>64</v>
      </c>
      <c r="G202" s="13" t="s">
        <v>64</v>
      </c>
      <c r="H202" s="12" t="str">
        <f>IF(CARGA_DIARIA!A202="","",C202-D202-E202)</f>
        <v/>
      </c>
    </row>
    <row r="203" spans="1:8" ht="15.75" customHeight="1" x14ac:dyDescent="0.25">
      <c r="A203" s="7" t="str">
        <f>IF(CARGA_DIARIA!A203="","",CARGA_DIARIA!A203)</f>
        <v/>
      </c>
      <c r="B203" s="8" t="str">
        <f>IF(CARGA_DIARIA!A203="","",CARGA_DIARIA!B203)</f>
        <v/>
      </c>
      <c r="C203" s="9" t="str">
        <f>IF(CARGA_DIARIA!A203="","",IF(CARGA_DIARIA!B203=0,0,(CARGA_DIARIA!C203+CARGA_DIARIA!D203+CARGA_DIARIA!E203+CARGA_DIARIA!F203+CARGA_DIARIA!G203+CARGA_DIARIA!H203+CARGA_DIARIA!I203+CARGA_DIARIA!AF203+CARGA_DIARIA!AG203+CARGA_DIARIA!AH203+CARGA_DIARIA!AI203)/CARGA_DIARIA!B203+CARGA_DIARIA!AE203))</f>
        <v/>
      </c>
      <c r="D203" s="10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10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13" t="s">
        <v>64</v>
      </c>
      <c r="G203" s="13" t="s">
        <v>64</v>
      </c>
      <c r="H203" s="12" t="str">
        <f>IF(CARGA_DIARIA!A203="","",C203-D203-E203)</f>
        <v/>
      </c>
    </row>
    <row r="204" spans="1:8" ht="15.75" customHeight="1" x14ac:dyDescent="0.25">
      <c r="A204" s="7" t="str">
        <f>IF(CARGA_DIARIA!A204="","",CARGA_DIARIA!A204)</f>
        <v/>
      </c>
      <c r="B204" s="8" t="str">
        <f>IF(CARGA_DIARIA!A204="","",CARGA_DIARIA!B204)</f>
        <v/>
      </c>
      <c r="C204" s="9" t="str">
        <f>IF(CARGA_DIARIA!A204="","",IF(CARGA_DIARIA!B204=0,0,(CARGA_DIARIA!C204+CARGA_DIARIA!D204+CARGA_DIARIA!E204+CARGA_DIARIA!F204+CARGA_DIARIA!G204+CARGA_DIARIA!H204+CARGA_DIARIA!I204+CARGA_DIARIA!AF204+CARGA_DIARIA!AG204+CARGA_DIARIA!AH204+CARGA_DIARIA!AI204)/CARGA_DIARIA!B204+CARGA_DIARIA!AE204))</f>
        <v/>
      </c>
      <c r="D204" s="10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10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13" t="s">
        <v>64</v>
      </c>
      <c r="G204" s="13" t="s">
        <v>64</v>
      </c>
      <c r="H204" s="12" t="str">
        <f>IF(CARGA_DIARIA!A204="","",C204-D204-E204)</f>
        <v/>
      </c>
    </row>
    <row r="205" spans="1:8" ht="15.75" customHeight="1" x14ac:dyDescent="0.25">
      <c r="A205" s="7" t="str">
        <f>IF(CARGA_DIARIA!A205="","",CARGA_DIARIA!A205)</f>
        <v/>
      </c>
      <c r="B205" s="8" t="str">
        <f>IF(CARGA_DIARIA!A205="","",CARGA_DIARIA!B205)</f>
        <v/>
      </c>
      <c r="C205" s="9" t="str">
        <f>IF(CARGA_DIARIA!A205="","",IF(CARGA_DIARIA!B205=0,0,(CARGA_DIARIA!C205+CARGA_DIARIA!D205+CARGA_DIARIA!E205+CARGA_DIARIA!F205+CARGA_DIARIA!G205+CARGA_DIARIA!H205+CARGA_DIARIA!I205+CARGA_DIARIA!AF205+CARGA_DIARIA!AG205+CARGA_DIARIA!AH205+CARGA_DIARIA!AI205)/CARGA_DIARIA!B205+CARGA_DIARIA!AE205))</f>
        <v/>
      </c>
      <c r="D205" s="10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10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13" t="s">
        <v>64</v>
      </c>
      <c r="G205" s="13" t="s">
        <v>64</v>
      </c>
      <c r="H205" s="12" t="str">
        <f>IF(CARGA_DIARIA!A205="","",C205-D205-E205)</f>
        <v/>
      </c>
    </row>
    <row r="206" spans="1:8" ht="15.75" customHeight="1" x14ac:dyDescent="0.25">
      <c r="A206" s="7" t="str">
        <f>IF(CARGA_DIARIA!A206="","",CARGA_DIARIA!A206)</f>
        <v/>
      </c>
      <c r="B206" s="8" t="str">
        <f>IF(CARGA_DIARIA!A206="","",CARGA_DIARIA!B206)</f>
        <v/>
      </c>
      <c r="C206" s="9" t="str">
        <f>IF(CARGA_DIARIA!A206="","",IF(CARGA_DIARIA!B206=0,0,(CARGA_DIARIA!C206+CARGA_DIARIA!D206+CARGA_DIARIA!E206+CARGA_DIARIA!F206+CARGA_DIARIA!G206+CARGA_DIARIA!H206+CARGA_DIARIA!I206+CARGA_DIARIA!AF206+CARGA_DIARIA!AG206+CARGA_DIARIA!AH206+CARGA_DIARIA!AI206)/CARGA_DIARIA!B206+CARGA_DIARIA!AE206))</f>
        <v/>
      </c>
      <c r="D206" s="10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10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13" t="s">
        <v>64</v>
      </c>
      <c r="G206" s="13" t="s">
        <v>64</v>
      </c>
      <c r="H206" s="12" t="str">
        <f>IF(CARGA_DIARIA!A206="","",C206-D206-E206)</f>
        <v/>
      </c>
    </row>
    <row r="207" spans="1:8" ht="15.75" customHeight="1" x14ac:dyDescent="0.25">
      <c r="A207" s="7" t="str">
        <f>IF(CARGA_DIARIA!A207="","",CARGA_DIARIA!A207)</f>
        <v/>
      </c>
      <c r="B207" s="8" t="str">
        <f>IF(CARGA_DIARIA!A207="","",CARGA_DIARIA!B207)</f>
        <v/>
      </c>
      <c r="C207" s="9" t="str">
        <f>IF(CARGA_DIARIA!A207="","",IF(CARGA_DIARIA!B207=0,0,(CARGA_DIARIA!C207+CARGA_DIARIA!D207+CARGA_DIARIA!E207+CARGA_DIARIA!F207+CARGA_DIARIA!G207+CARGA_DIARIA!H207+CARGA_DIARIA!I207+CARGA_DIARIA!AF207+CARGA_DIARIA!AG207+CARGA_DIARIA!AH207+CARGA_DIARIA!AI207)/CARGA_DIARIA!B207+CARGA_DIARIA!AE207))</f>
        <v/>
      </c>
      <c r="D207" s="10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10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13" t="s">
        <v>64</v>
      </c>
      <c r="G207" s="13" t="s">
        <v>64</v>
      </c>
      <c r="H207" s="12" t="str">
        <f>IF(CARGA_DIARIA!A207="","",C207-D207-E207)</f>
        <v/>
      </c>
    </row>
    <row r="208" spans="1:8" ht="15.75" customHeight="1" x14ac:dyDescent="0.25">
      <c r="A208" s="7" t="str">
        <f>IF(CARGA_DIARIA!A208="","",CARGA_DIARIA!A208)</f>
        <v/>
      </c>
      <c r="B208" s="8" t="str">
        <f>IF(CARGA_DIARIA!A208="","",CARGA_DIARIA!B208)</f>
        <v/>
      </c>
      <c r="C208" s="9" t="str">
        <f>IF(CARGA_DIARIA!A208="","",IF(CARGA_DIARIA!B208=0,0,(CARGA_DIARIA!C208+CARGA_DIARIA!D208+CARGA_DIARIA!E208+CARGA_DIARIA!F208+CARGA_DIARIA!G208+CARGA_DIARIA!H208+CARGA_DIARIA!I208+CARGA_DIARIA!AF208+CARGA_DIARIA!AG208+CARGA_DIARIA!AH208+CARGA_DIARIA!AI208)/CARGA_DIARIA!B208+CARGA_DIARIA!AE208))</f>
        <v/>
      </c>
      <c r="D208" s="10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10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13" t="s">
        <v>64</v>
      </c>
      <c r="G208" s="13" t="s">
        <v>64</v>
      </c>
      <c r="H208" s="12" t="str">
        <f>IF(CARGA_DIARIA!A208="","",C208-D208-E208)</f>
        <v/>
      </c>
    </row>
    <row r="209" spans="1:8" ht="15.75" customHeight="1" x14ac:dyDescent="0.25">
      <c r="A209" s="7" t="str">
        <f>IF(CARGA_DIARIA!A209="","",CARGA_DIARIA!A209)</f>
        <v/>
      </c>
      <c r="B209" s="8" t="str">
        <f>IF(CARGA_DIARIA!A209="","",CARGA_DIARIA!B209)</f>
        <v/>
      </c>
      <c r="C209" s="9" t="str">
        <f>IF(CARGA_DIARIA!A209="","",IF(CARGA_DIARIA!B209=0,0,(CARGA_DIARIA!C209+CARGA_DIARIA!D209+CARGA_DIARIA!E209+CARGA_DIARIA!F209+CARGA_DIARIA!G209+CARGA_DIARIA!H209+CARGA_DIARIA!I209+CARGA_DIARIA!AF209+CARGA_DIARIA!AG209+CARGA_DIARIA!AH209+CARGA_DIARIA!AI209)/CARGA_DIARIA!B209+CARGA_DIARIA!AE209))</f>
        <v/>
      </c>
      <c r="D209" s="10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10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13" t="s">
        <v>64</v>
      </c>
      <c r="G209" s="13" t="s">
        <v>64</v>
      </c>
      <c r="H209" s="12" t="str">
        <f>IF(CARGA_DIARIA!A209="","",C209-D209-E209)</f>
        <v/>
      </c>
    </row>
    <row r="210" spans="1:8" ht="15.75" customHeight="1" x14ac:dyDescent="0.25">
      <c r="A210" s="7" t="str">
        <f>IF(CARGA_DIARIA!A210="","",CARGA_DIARIA!A210)</f>
        <v/>
      </c>
      <c r="B210" s="8" t="str">
        <f>IF(CARGA_DIARIA!A210="","",CARGA_DIARIA!B210)</f>
        <v/>
      </c>
      <c r="C210" s="9" t="str">
        <f>IF(CARGA_DIARIA!A210="","",IF(CARGA_DIARIA!B210=0,0,(CARGA_DIARIA!C210+CARGA_DIARIA!D210+CARGA_DIARIA!E210+CARGA_DIARIA!F210+CARGA_DIARIA!G210+CARGA_DIARIA!H210+CARGA_DIARIA!I210+CARGA_DIARIA!AF210+CARGA_DIARIA!AG210+CARGA_DIARIA!AH210+CARGA_DIARIA!AI210)/CARGA_DIARIA!B210+CARGA_DIARIA!AE210))</f>
        <v/>
      </c>
      <c r="D210" s="10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10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13" t="s">
        <v>64</v>
      </c>
      <c r="G210" s="13" t="s">
        <v>64</v>
      </c>
      <c r="H210" s="12" t="str">
        <f>IF(CARGA_DIARIA!A210="","",C210-D210-E210)</f>
        <v/>
      </c>
    </row>
    <row r="211" spans="1:8" ht="15.75" customHeight="1" x14ac:dyDescent="0.25">
      <c r="A211" s="7" t="str">
        <f>IF(CARGA_DIARIA!A211="","",CARGA_DIARIA!A211)</f>
        <v/>
      </c>
      <c r="B211" s="8" t="str">
        <f>IF(CARGA_DIARIA!A211="","",CARGA_DIARIA!B211)</f>
        <v/>
      </c>
      <c r="C211" s="9" t="str">
        <f>IF(CARGA_DIARIA!A211="","",IF(CARGA_DIARIA!B211=0,0,(CARGA_DIARIA!C211+CARGA_DIARIA!D211+CARGA_DIARIA!E211+CARGA_DIARIA!F211+CARGA_DIARIA!G211+CARGA_DIARIA!H211+CARGA_DIARIA!I211+CARGA_DIARIA!AF211+CARGA_DIARIA!AG211+CARGA_DIARIA!AH211+CARGA_DIARIA!AI211)/CARGA_DIARIA!B211+CARGA_DIARIA!AE211))</f>
        <v/>
      </c>
      <c r="D211" s="10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10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13" t="s">
        <v>64</v>
      </c>
      <c r="G211" s="13" t="s">
        <v>64</v>
      </c>
      <c r="H211" s="12" t="str">
        <f>IF(CARGA_DIARIA!A211="","",C211-D211-E211)</f>
        <v/>
      </c>
    </row>
    <row r="212" spans="1:8" ht="15.75" customHeight="1" x14ac:dyDescent="0.25">
      <c r="A212" s="7" t="str">
        <f>IF(CARGA_DIARIA!A212="","",CARGA_DIARIA!A212)</f>
        <v/>
      </c>
      <c r="B212" s="8" t="str">
        <f>IF(CARGA_DIARIA!A212="","",CARGA_DIARIA!B212)</f>
        <v/>
      </c>
      <c r="C212" s="9" t="str">
        <f>IF(CARGA_DIARIA!A212="","",IF(CARGA_DIARIA!B212=0,0,(CARGA_DIARIA!C212+CARGA_DIARIA!D212+CARGA_DIARIA!E212+CARGA_DIARIA!F212+CARGA_DIARIA!G212+CARGA_DIARIA!H212+CARGA_DIARIA!I212+CARGA_DIARIA!AF212+CARGA_DIARIA!AG212+CARGA_DIARIA!AH212+CARGA_DIARIA!AI212)/CARGA_DIARIA!B212+CARGA_DIARIA!AE212))</f>
        <v/>
      </c>
      <c r="D212" s="10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10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13" t="s">
        <v>64</v>
      </c>
      <c r="G212" s="13" t="s">
        <v>64</v>
      </c>
      <c r="H212" s="12" t="str">
        <f>IF(CARGA_DIARIA!A212="","",C212-D212-E212)</f>
        <v/>
      </c>
    </row>
    <row r="213" spans="1:8" ht="15.75" customHeight="1" x14ac:dyDescent="0.25">
      <c r="A213" s="7" t="str">
        <f>IF(CARGA_DIARIA!A213="","",CARGA_DIARIA!A213)</f>
        <v/>
      </c>
      <c r="B213" s="8" t="str">
        <f>IF(CARGA_DIARIA!A213="","",CARGA_DIARIA!B213)</f>
        <v/>
      </c>
      <c r="C213" s="9" t="str">
        <f>IF(CARGA_DIARIA!A213="","",IF(CARGA_DIARIA!B213=0,0,(CARGA_DIARIA!C213+CARGA_DIARIA!D213+CARGA_DIARIA!E213+CARGA_DIARIA!F213+CARGA_DIARIA!G213+CARGA_DIARIA!H213+CARGA_DIARIA!I213+CARGA_DIARIA!AF213+CARGA_DIARIA!AG213+CARGA_DIARIA!AH213+CARGA_DIARIA!AI213)/CARGA_DIARIA!B213+CARGA_DIARIA!AE213))</f>
        <v/>
      </c>
      <c r="D213" s="10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10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13" t="s">
        <v>64</v>
      </c>
      <c r="G213" s="13" t="s">
        <v>64</v>
      </c>
      <c r="H213" s="12" t="str">
        <f>IF(CARGA_DIARIA!A213="","",C213-D213-E213)</f>
        <v/>
      </c>
    </row>
    <row r="214" spans="1:8" ht="15.75" customHeight="1" x14ac:dyDescent="0.25">
      <c r="A214" s="7" t="str">
        <f>IF(CARGA_DIARIA!A214="","",CARGA_DIARIA!A214)</f>
        <v/>
      </c>
      <c r="B214" s="8" t="str">
        <f>IF(CARGA_DIARIA!A214="","",CARGA_DIARIA!B214)</f>
        <v/>
      </c>
      <c r="C214" s="9" t="str">
        <f>IF(CARGA_DIARIA!A214="","",IF(CARGA_DIARIA!B214=0,0,(CARGA_DIARIA!C214+CARGA_DIARIA!D214+CARGA_DIARIA!E214+CARGA_DIARIA!F214+CARGA_DIARIA!G214+CARGA_DIARIA!H214+CARGA_DIARIA!I214+CARGA_DIARIA!AF214+CARGA_DIARIA!AG214+CARGA_DIARIA!AH214+CARGA_DIARIA!AI214)/CARGA_DIARIA!B214+CARGA_DIARIA!AE214))</f>
        <v/>
      </c>
      <c r="D214" s="10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10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13" t="s">
        <v>64</v>
      </c>
      <c r="G214" s="13" t="s">
        <v>64</v>
      </c>
      <c r="H214" s="12" t="str">
        <f>IF(CARGA_DIARIA!A214="","",C214-D214-E214)</f>
        <v/>
      </c>
    </row>
    <row r="215" spans="1:8" ht="15.75" customHeight="1" x14ac:dyDescent="0.25">
      <c r="A215" s="7" t="str">
        <f>IF(CARGA_DIARIA!A215="","",CARGA_DIARIA!A215)</f>
        <v/>
      </c>
      <c r="B215" s="8" t="str">
        <f>IF(CARGA_DIARIA!A215="","",CARGA_DIARIA!B215)</f>
        <v/>
      </c>
      <c r="C215" s="9" t="str">
        <f>IF(CARGA_DIARIA!A215="","",IF(CARGA_DIARIA!B215=0,0,(CARGA_DIARIA!C215+CARGA_DIARIA!D215+CARGA_DIARIA!E215+CARGA_DIARIA!F215+CARGA_DIARIA!G215+CARGA_DIARIA!H215+CARGA_DIARIA!I215+CARGA_DIARIA!AF215+CARGA_DIARIA!AG215+CARGA_DIARIA!AH215+CARGA_DIARIA!AI215)/CARGA_DIARIA!B215+CARGA_DIARIA!AE215))</f>
        <v/>
      </c>
      <c r="D215" s="10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10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13" t="s">
        <v>64</v>
      </c>
      <c r="G215" s="13" t="s">
        <v>64</v>
      </c>
      <c r="H215" s="12" t="str">
        <f>IF(CARGA_DIARIA!A215="","",C215-D215-E215)</f>
        <v/>
      </c>
    </row>
    <row r="216" spans="1:8" ht="15.75" customHeight="1" x14ac:dyDescent="0.25">
      <c r="A216" s="7" t="str">
        <f>IF(CARGA_DIARIA!A216="","",CARGA_DIARIA!A216)</f>
        <v/>
      </c>
      <c r="B216" s="8" t="str">
        <f>IF(CARGA_DIARIA!A216="","",CARGA_DIARIA!B216)</f>
        <v/>
      </c>
      <c r="C216" s="9" t="str">
        <f>IF(CARGA_DIARIA!A216="","",IF(CARGA_DIARIA!B216=0,0,(CARGA_DIARIA!C216+CARGA_DIARIA!D216+CARGA_DIARIA!E216+CARGA_DIARIA!F216+CARGA_DIARIA!G216+CARGA_DIARIA!H216+CARGA_DIARIA!I216+CARGA_DIARIA!AF216+CARGA_DIARIA!AG216+CARGA_DIARIA!AH216+CARGA_DIARIA!AI216)/CARGA_DIARIA!B216+CARGA_DIARIA!AE216))</f>
        <v/>
      </c>
      <c r="D216" s="10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10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13" t="s">
        <v>64</v>
      </c>
      <c r="G216" s="13" t="s">
        <v>64</v>
      </c>
      <c r="H216" s="12" t="str">
        <f>IF(CARGA_DIARIA!A216="","",C216-D216-E216)</f>
        <v/>
      </c>
    </row>
    <row r="217" spans="1:8" ht="15.75" customHeight="1" x14ac:dyDescent="0.25">
      <c r="A217" s="7" t="str">
        <f>IF(CARGA_DIARIA!A217="","",CARGA_DIARIA!A217)</f>
        <v/>
      </c>
      <c r="B217" s="8" t="str">
        <f>IF(CARGA_DIARIA!A217="","",CARGA_DIARIA!B217)</f>
        <v/>
      </c>
      <c r="C217" s="9" t="str">
        <f>IF(CARGA_DIARIA!A217="","",IF(CARGA_DIARIA!B217=0,0,(CARGA_DIARIA!C217+CARGA_DIARIA!D217+CARGA_DIARIA!E217+CARGA_DIARIA!F217+CARGA_DIARIA!G217+CARGA_DIARIA!H217+CARGA_DIARIA!I217+CARGA_DIARIA!AF217+CARGA_DIARIA!AG217+CARGA_DIARIA!AH217+CARGA_DIARIA!AI217)/CARGA_DIARIA!B217+CARGA_DIARIA!AE217))</f>
        <v/>
      </c>
      <c r="D217" s="10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10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13" t="s">
        <v>64</v>
      </c>
      <c r="G217" s="13" t="s">
        <v>64</v>
      </c>
      <c r="H217" s="12" t="str">
        <f>IF(CARGA_DIARIA!A217="","",C217-D217-E217)</f>
        <v/>
      </c>
    </row>
    <row r="218" spans="1:8" ht="15.75" customHeight="1" x14ac:dyDescent="0.25">
      <c r="A218" s="7" t="str">
        <f>IF(CARGA_DIARIA!A218="","",CARGA_DIARIA!A218)</f>
        <v/>
      </c>
      <c r="B218" s="8" t="str">
        <f>IF(CARGA_DIARIA!A218="","",CARGA_DIARIA!B218)</f>
        <v/>
      </c>
      <c r="C218" s="9" t="str">
        <f>IF(CARGA_DIARIA!A218="","",IF(CARGA_DIARIA!B218=0,0,(CARGA_DIARIA!C218+CARGA_DIARIA!D218+CARGA_DIARIA!E218+CARGA_DIARIA!F218+CARGA_DIARIA!G218+CARGA_DIARIA!H218+CARGA_DIARIA!I218+CARGA_DIARIA!AF218+CARGA_DIARIA!AG218+CARGA_DIARIA!AH218+CARGA_DIARIA!AI218)/CARGA_DIARIA!B218+CARGA_DIARIA!AE218))</f>
        <v/>
      </c>
      <c r="D218" s="10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10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13" t="s">
        <v>64</v>
      </c>
      <c r="G218" s="13" t="s">
        <v>64</v>
      </c>
      <c r="H218" s="12" t="str">
        <f>IF(CARGA_DIARIA!A218="","",C218-D218-E218)</f>
        <v/>
      </c>
    </row>
    <row r="219" spans="1:8" ht="15.75" customHeight="1" x14ac:dyDescent="0.25">
      <c r="A219" s="7" t="str">
        <f>IF(CARGA_DIARIA!A219="","",CARGA_DIARIA!A219)</f>
        <v/>
      </c>
      <c r="B219" s="8" t="str">
        <f>IF(CARGA_DIARIA!A219="","",CARGA_DIARIA!B219)</f>
        <v/>
      </c>
      <c r="C219" s="9" t="str">
        <f>IF(CARGA_DIARIA!A219="","",IF(CARGA_DIARIA!B219=0,0,(CARGA_DIARIA!C219+CARGA_DIARIA!D219+CARGA_DIARIA!E219+CARGA_DIARIA!F219+CARGA_DIARIA!G219+CARGA_DIARIA!H219+CARGA_DIARIA!I219+CARGA_DIARIA!AF219+CARGA_DIARIA!AG219+CARGA_DIARIA!AH219+CARGA_DIARIA!AI219)/CARGA_DIARIA!B219+CARGA_DIARIA!AE219))</f>
        <v/>
      </c>
      <c r="D219" s="10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10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13" t="s">
        <v>64</v>
      </c>
      <c r="G219" s="13" t="s">
        <v>64</v>
      </c>
      <c r="H219" s="12" t="str">
        <f>IF(CARGA_DIARIA!A219="","",C219-D219-E219)</f>
        <v/>
      </c>
    </row>
    <row r="220" spans="1:8" ht="15.75" customHeight="1" x14ac:dyDescent="0.25">
      <c r="A220" s="7" t="str">
        <f>IF(CARGA_DIARIA!A220="","",CARGA_DIARIA!A220)</f>
        <v/>
      </c>
      <c r="B220" s="8" t="str">
        <f>IF(CARGA_DIARIA!A220="","",CARGA_DIARIA!B220)</f>
        <v/>
      </c>
      <c r="C220" s="9" t="str">
        <f>IF(CARGA_DIARIA!A220="","",IF(CARGA_DIARIA!B220=0,0,(CARGA_DIARIA!C220+CARGA_DIARIA!D220+CARGA_DIARIA!E220+CARGA_DIARIA!F220+CARGA_DIARIA!G220+CARGA_DIARIA!H220+CARGA_DIARIA!I220+CARGA_DIARIA!AF220+CARGA_DIARIA!AG220+CARGA_DIARIA!AH220+CARGA_DIARIA!AI220)/CARGA_DIARIA!B220+CARGA_DIARIA!AE220))</f>
        <v/>
      </c>
      <c r="D220" s="10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10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13" t="s">
        <v>64</v>
      </c>
      <c r="G220" s="13" t="s">
        <v>64</v>
      </c>
      <c r="H220" s="12" t="str">
        <f>IF(CARGA_DIARIA!A220="","",C220-D220-E220)</f>
        <v/>
      </c>
    </row>
    <row r="221" spans="1:8" ht="15.75" customHeight="1" x14ac:dyDescent="0.25">
      <c r="A221" s="7" t="str">
        <f>IF(CARGA_DIARIA!A221="","",CARGA_DIARIA!A221)</f>
        <v/>
      </c>
      <c r="B221" s="8" t="str">
        <f>IF(CARGA_DIARIA!A221="","",CARGA_DIARIA!B221)</f>
        <v/>
      </c>
      <c r="C221" s="9" t="str">
        <f>IF(CARGA_DIARIA!A221="","",IF(CARGA_DIARIA!B221=0,0,(CARGA_DIARIA!C221+CARGA_DIARIA!D221+CARGA_DIARIA!E221+CARGA_DIARIA!F221+CARGA_DIARIA!G221+CARGA_DIARIA!H221+CARGA_DIARIA!I221+CARGA_DIARIA!AF221+CARGA_DIARIA!AG221+CARGA_DIARIA!AH221+CARGA_DIARIA!AI221)/CARGA_DIARIA!B221+CARGA_DIARIA!AE221))</f>
        <v/>
      </c>
      <c r="D221" s="10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10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13" t="s">
        <v>64</v>
      </c>
      <c r="G221" s="13" t="s">
        <v>64</v>
      </c>
      <c r="H221" s="12" t="str">
        <f>IF(CARGA_DIARIA!A221="","",C221-D221-E221)</f>
        <v/>
      </c>
    </row>
    <row r="222" spans="1:8" ht="15.75" customHeight="1" x14ac:dyDescent="0.25">
      <c r="A222" s="7" t="str">
        <f>IF(CARGA_DIARIA!A222="","",CARGA_DIARIA!A222)</f>
        <v/>
      </c>
      <c r="B222" s="8" t="str">
        <f>IF(CARGA_DIARIA!A222="","",CARGA_DIARIA!B222)</f>
        <v/>
      </c>
      <c r="C222" s="9" t="str">
        <f>IF(CARGA_DIARIA!A222="","",IF(CARGA_DIARIA!B222=0,0,(CARGA_DIARIA!C222+CARGA_DIARIA!D222+CARGA_DIARIA!E222+CARGA_DIARIA!F222+CARGA_DIARIA!G222+CARGA_DIARIA!H222+CARGA_DIARIA!I222+CARGA_DIARIA!AF222+CARGA_DIARIA!AG222+CARGA_DIARIA!AH222+CARGA_DIARIA!AI222)/CARGA_DIARIA!B222+CARGA_DIARIA!AE222))</f>
        <v/>
      </c>
      <c r="D222" s="10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10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13" t="s">
        <v>64</v>
      </c>
      <c r="G222" s="13" t="s">
        <v>64</v>
      </c>
      <c r="H222" s="12" t="str">
        <f>IF(CARGA_DIARIA!A222="","",C222-D222-E222)</f>
        <v/>
      </c>
    </row>
    <row r="223" spans="1:8" ht="15.75" customHeight="1" x14ac:dyDescent="0.25">
      <c r="A223" s="7" t="str">
        <f>IF(CARGA_DIARIA!A223="","",CARGA_DIARIA!A223)</f>
        <v/>
      </c>
      <c r="B223" s="8" t="str">
        <f>IF(CARGA_DIARIA!A223="","",CARGA_DIARIA!B223)</f>
        <v/>
      </c>
      <c r="C223" s="9" t="str">
        <f>IF(CARGA_DIARIA!A223="","",IF(CARGA_DIARIA!B223=0,0,(CARGA_DIARIA!C223+CARGA_DIARIA!D223+CARGA_DIARIA!E223+CARGA_DIARIA!F223+CARGA_DIARIA!G223+CARGA_DIARIA!H223+CARGA_DIARIA!I223+CARGA_DIARIA!AF223+CARGA_DIARIA!AG223+CARGA_DIARIA!AH223+CARGA_DIARIA!AI223)/CARGA_DIARIA!B223+CARGA_DIARIA!AE223))</f>
        <v/>
      </c>
      <c r="D223" s="10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10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13" t="s">
        <v>64</v>
      </c>
      <c r="G223" s="13" t="s">
        <v>64</v>
      </c>
      <c r="H223" s="12" t="str">
        <f>IF(CARGA_DIARIA!A223="","",C223-D223-E223)</f>
        <v/>
      </c>
    </row>
    <row r="224" spans="1:8" ht="15.75" customHeight="1" x14ac:dyDescent="0.25">
      <c r="A224" s="7" t="str">
        <f>IF(CARGA_DIARIA!A224="","",CARGA_DIARIA!A224)</f>
        <v/>
      </c>
      <c r="B224" s="8" t="str">
        <f>IF(CARGA_DIARIA!A224="","",CARGA_DIARIA!B224)</f>
        <v/>
      </c>
      <c r="C224" s="9" t="str">
        <f>IF(CARGA_DIARIA!A224="","",IF(CARGA_DIARIA!B224=0,0,(CARGA_DIARIA!C224+CARGA_DIARIA!D224+CARGA_DIARIA!E224+CARGA_DIARIA!F224+CARGA_DIARIA!G224+CARGA_DIARIA!H224+CARGA_DIARIA!I224+CARGA_DIARIA!AF224+CARGA_DIARIA!AG224+CARGA_DIARIA!AH224+CARGA_DIARIA!AI224)/CARGA_DIARIA!B224+CARGA_DIARIA!AE224))</f>
        <v/>
      </c>
      <c r="D224" s="10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10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13" t="s">
        <v>64</v>
      </c>
      <c r="G224" s="13" t="s">
        <v>64</v>
      </c>
      <c r="H224" s="12" t="str">
        <f>IF(CARGA_DIARIA!A224="","",C224-D224-E224)</f>
        <v/>
      </c>
    </row>
    <row r="225" spans="1:8" ht="15.75" customHeight="1" x14ac:dyDescent="0.25">
      <c r="A225" s="7" t="str">
        <f>IF(CARGA_DIARIA!A225="","",CARGA_DIARIA!A225)</f>
        <v/>
      </c>
      <c r="B225" s="8" t="str">
        <f>IF(CARGA_DIARIA!A225="","",CARGA_DIARIA!B225)</f>
        <v/>
      </c>
      <c r="C225" s="9" t="str">
        <f>IF(CARGA_DIARIA!A225="","",IF(CARGA_DIARIA!B225=0,0,(CARGA_DIARIA!C225+CARGA_DIARIA!D225+CARGA_DIARIA!E225+CARGA_DIARIA!F225+CARGA_DIARIA!G225+CARGA_DIARIA!H225+CARGA_DIARIA!I225+CARGA_DIARIA!AF225+CARGA_DIARIA!AG225+CARGA_DIARIA!AH225+CARGA_DIARIA!AI225)/CARGA_DIARIA!B225+CARGA_DIARIA!AE225))</f>
        <v/>
      </c>
      <c r="D225" s="10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10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13" t="s">
        <v>64</v>
      </c>
      <c r="G225" s="13" t="s">
        <v>64</v>
      </c>
      <c r="H225" s="12" t="str">
        <f>IF(CARGA_DIARIA!A225="","",C225-D225-E225)</f>
        <v/>
      </c>
    </row>
    <row r="226" spans="1:8" ht="15.75" customHeight="1" x14ac:dyDescent="0.25">
      <c r="A226" s="7" t="str">
        <f>IF(CARGA_DIARIA!A226="","",CARGA_DIARIA!A226)</f>
        <v/>
      </c>
      <c r="B226" s="8" t="str">
        <f>IF(CARGA_DIARIA!A226="","",CARGA_DIARIA!B226)</f>
        <v/>
      </c>
      <c r="C226" s="9" t="str">
        <f>IF(CARGA_DIARIA!A226="","",IF(CARGA_DIARIA!B226=0,0,(CARGA_DIARIA!C226+CARGA_DIARIA!D226+CARGA_DIARIA!E226+CARGA_DIARIA!F226+CARGA_DIARIA!G226+CARGA_DIARIA!H226+CARGA_DIARIA!I226+CARGA_DIARIA!AF226+CARGA_DIARIA!AG226+CARGA_DIARIA!AH226+CARGA_DIARIA!AI226)/CARGA_DIARIA!B226+CARGA_DIARIA!AE226))</f>
        <v/>
      </c>
      <c r="D226" s="10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10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13" t="s">
        <v>64</v>
      </c>
      <c r="G226" s="13" t="s">
        <v>64</v>
      </c>
      <c r="H226" s="12" t="str">
        <f>IF(CARGA_DIARIA!A226="","",C226-D226-E226)</f>
        <v/>
      </c>
    </row>
    <row r="227" spans="1:8" ht="15.75" customHeight="1" x14ac:dyDescent="0.25">
      <c r="A227" s="7" t="str">
        <f>IF(CARGA_DIARIA!A227="","",CARGA_DIARIA!A227)</f>
        <v/>
      </c>
      <c r="B227" s="8" t="str">
        <f>IF(CARGA_DIARIA!A227="","",CARGA_DIARIA!B227)</f>
        <v/>
      </c>
      <c r="C227" s="9" t="str">
        <f>IF(CARGA_DIARIA!A227="","",IF(CARGA_DIARIA!B227=0,0,(CARGA_DIARIA!C227+CARGA_DIARIA!D227+CARGA_DIARIA!E227+CARGA_DIARIA!F227+CARGA_DIARIA!G227+CARGA_DIARIA!H227+CARGA_DIARIA!I227+CARGA_DIARIA!AF227+CARGA_DIARIA!AG227+CARGA_DIARIA!AH227+CARGA_DIARIA!AI227)/CARGA_DIARIA!B227+CARGA_DIARIA!AE227))</f>
        <v/>
      </c>
      <c r="D227" s="10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10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13" t="s">
        <v>64</v>
      </c>
      <c r="G227" s="13" t="s">
        <v>64</v>
      </c>
      <c r="H227" s="12" t="str">
        <f>IF(CARGA_DIARIA!A227="","",C227-D227-E227)</f>
        <v/>
      </c>
    </row>
    <row r="228" spans="1:8" ht="15.75" customHeight="1" x14ac:dyDescent="0.25">
      <c r="A228" s="7" t="str">
        <f>IF(CARGA_DIARIA!A228="","",CARGA_DIARIA!A228)</f>
        <v/>
      </c>
      <c r="B228" s="8" t="str">
        <f>IF(CARGA_DIARIA!A228="","",CARGA_DIARIA!B228)</f>
        <v/>
      </c>
      <c r="C228" s="9" t="str">
        <f>IF(CARGA_DIARIA!A228="","",IF(CARGA_DIARIA!B228=0,0,(CARGA_DIARIA!C228+CARGA_DIARIA!D228+CARGA_DIARIA!E228+CARGA_DIARIA!F228+CARGA_DIARIA!G228+CARGA_DIARIA!H228+CARGA_DIARIA!I228+CARGA_DIARIA!AF228+CARGA_DIARIA!AG228+CARGA_DIARIA!AH228+CARGA_DIARIA!AI228)/CARGA_DIARIA!B228+CARGA_DIARIA!AE228))</f>
        <v/>
      </c>
      <c r="D228" s="10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10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13" t="s">
        <v>64</v>
      </c>
      <c r="G228" s="13" t="s">
        <v>64</v>
      </c>
      <c r="H228" s="12" t="str">
        <f>IF(CARGA_DIARIA!A228="","",C228-D228-E228)</f>
        <v/>
      </c>
    </row>
    <row r="229" spans="1:8" ht="15.75" customHeight="1" x14ac:dyDescent="0.25">
      <c r="A229" s="7" t="str">
        <f>IF(CARGA_DIARIA!A229="","",CARGA_DIARIA!A229)</f>
        <v/>
      </c>
      <c r="B229" s="8" t="str">
        <f>IF(CARGA_DIARIA!A229="","",CARGA_DIARIA!B229)</f>
        <v/>
      </c>
      <c r="C229" s="9" t="str">
        <f>IF(CARGA_DIARIA!A229="","",IF(CARGA_DIARIA!B229=0,0,(CARGA_DIARIA!C229+CARGA_DIARIA!D229+CARGA_DIARIA!E229+CARGA_DIARIA!F229+CARGA_DIARIA!G229+CARGA_DIARIA!H229+CARGA_DIARIA!I229+CARGA_DIARIA!AF229+CARGA_DIARIA!AG229+CARGA_DIARIA!AH229+CARGA_DIARIA!AI229)/CARGA_DIARIA!B229+CARGA_DIARIA!AE229))</f>
        <v/>
      </c>
      <c r="D229" s="10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10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13" t="s">
        <v>64</v>
      </c>
      <c r="G229" s="13" t="s">
        <v>64</v>
      </c>
      <c r="H229" s="12" t="str">
        <f>IF(CARGA_DIARIA!A229="","",C229-D229-E229)</f>
        <v/>
      </c>
    </row>
    <row r="230" spans="1:8" ht="15.75" customHeight="1" x14ac:dyDescent="0.25">
      <c r="A230" s="7" t="str">
        <f>IF(CARGA_DIARIA!A230="","",CARGA_DIARIA!A230)</f>
        <v/>
      </c>
      <c r="B230" s="8" t="str">
        <f>IF(CARGA_DIARIA!A230="","",CARGA_DIARIA!B230)</f>
        <v/>
      </c>
      <c r="C230" s="9" t="str">
        <f>IF(CARGA_DIARIA!A230="","",IF(CARGA_DIARIA!B230=0,0,(CARGA_DIARIA!C230+CARGA_DIARIA!D230+CARGA_DIARIA!E230+CARGA_DIARIA!F230+CARGA_DIARIA!G230+CARGA_DIARIA!H230+CARGA_DIARIA!I230+CARGA_DIARIA!AF230+CARGA_DIARIA!AG230+CARGA_DIARIA!AH230+CARGA_DIARIA!AI230)/CARGA_DIARIA!B230+CARGA_DIARIA!AE230))</f>
        <v/>
      </c>
      <c r="D230" s="10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10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13" t="s">
        <v>64</v>
      </c>
      <c r="G230" s="13" t="s">
        <v>64</v>
      </c>
      <c r="H230" s="12" t="str">
        <f>IF(CARGA_DIARIA!A230="","",C230-D230-E230)</f>
        <v/>
      </c>
    </row>
    <row r="231" spans="1:8" ht="15.75" customHeight="1" x14ac:dyDescent="0.25">
      <c r="A231" s="7" t="str">
        <f>IF(CARGA_DIARIA!A231="","",CARGA_DIARIA!A231)</f>
        <v/>
      </c>
      <c r="B231" s="8" t="str">
        <f>IF(CARGA_DIARIA!A231="","",CARGA_DIARIA!B231)</f>
        <v/>
      </c>
      <c r="C231" s="9" t="str">
        <f>IF(CARGA_DIARIA!A231="","",IF(CARGA_DIARIA!B231=0,0,(CARGA_DIARIA!C231+CARGA_DIARIA!D231+CARGA_DIARIA!E231+CARGA_DIARIA!F231+CARGA_DIARIA!G231+CARGA_DIARIA!H231+CARGA_DIARIA!I231+CARGA_DIARIA!AF231+CARGA_DIARIA!AG231+CARGA_DIARIA!AH231+CARGA_DIARIA!AI231)/CARGA_DIARIA!B231+CARGA_DIARIA!AE231))</f>
        <v/>
      </c>
      <c r="D231" s="10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10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13" t="s">
        <v>64</v>
      </c>
      <c r="G231" s="13" t="s">
        <v>64</v>
      </c>
      <c r="H231" s="12" t="str">
        <f>IF(CARGA_DIARIA!A231="","",C231-D231-E231)</f>
        <v/>
      </c>
    </row>
    <row r="232" spans="1:8" ht="15.75" customHeight="1" x14ac:dyDescent="0.25">
      <c r="A232" s="7" t="str">
        <f>IF(CARGA_DIARIA!A232="","",CARGA_DIARIA!A232)</f>
        <v/>
      </c>
      <c r="B232" s="8" t="str">
        <f>IF(CARGA_DIARIA!A232="","",CARGA_DIARIA!B232)</f>
        <v/>
      </c>
      <c r="C232" s="9" t="str">
        <f>IF(CARGA_DIARIA!A232="","",IF(CARGA_DIARIA!B232=0,0,(CARGA_DIARIA!C232+CARGA_DIARIA!D232+CARGA_DIARIA!E232+CARGA_DIARIA!F232+CARGA_DIARIA!G232+CARGA_DIARIA!H232+CARGA_DIARIA!I232+CARGA_DIARIA!AF232+CARGA_DIARIA!AG232+CARGA_DIARIA!AH232+CARGA_DIARIA!AI232)/CARGA_DIARIA!B232+CARGA_DIARIA!AE232))</f>
        <v/>
      </c>
      <c r="D232" s="10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10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13" t="s">
        <v>64</v>
      </c>
      <c r="G232" s="13" t="s">
        <v>64</v>
      </c>
      <c r="H232" s="12" t="str">
        <f>IF(CARGA_DIARIA!A232="","",C232-D232-E232)</f>
        <v/>
      </c>
    </row>
    <row r="233" spans="1:8" ht="15.75" customHeight="1" x14ac:dyDescent="0.25">
      <c r="A233" s="7" t="str">
        <f>IF(CARGA_DIARIA!A233="","",CARGA_DIARIA!A233)</f>
        <v/>
      </c>
      <c r="B233" s="8" t="str">
        <f>IF(CARGA_DIARIA!A233="","",CARGA_DIARIA!B233)</f>
        <v/>
      </c>
      <c r="C233" s="9" t="str">
        <f>IF(CARGA_DIARIA!A233="","",IF(CARGA_DIARIA!B233=0,0,(CARGA_DIARIA!C233+CARGA_DIARIA!D233+CARGA_DIARIA!E233+CARGA_DIARIA!F233+CARGA_DIARIA!G233+CARGA_DIARIA!H233+CARGA_DIARIA!I233+CARGA_DIARIA!AF233+CARGA_DIARIA!AG233+CARGA_DIARIA!AH233+CARGA_DIARIA!AI233)/CARGA_DIARIA!B233+CARGA_DIARIA!AE233))</f>
        <v/>
      </c>
      <c r="D233" s="10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10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13" t="s">
        <v>64</v>
      </c>
      <c r="G233" s="13" t="s">
        <v>64</v>
      </c>
      <c r="H233" s="12" t="str">
        <f>IF(CARGA_DIARIA!A233="","",C233-D233-E233)</f>
        <v/>
      </c>
    </row>
    <row r="234" spans="1:8" ht="15.75" customHeight="1" x14ac:dyDescent="0.25">
      <c r="A234" s="7" t="str">
        <f>IF(CARGA_DIARIA!A234="","",CARGA_DIARIA!A234)</f>
        <v/>
      </c>
      <c r="B234" s="8" t="str">
        <f>IF(CARGA_DIARIA!A234="","",CARGA_DIARIA!B234)</f>
        <v/>
      </c>
      <c r="C234" s="9" t="str">
        <f>IF(CARGA_DIARIA!A234="","",IF(CARGA_DIARIA!B234=0,0,(CARGA_DIARIA!C234+CARGA_DIARIA!D234+CARGA_DIARIA!E234+CARGA_DIARIA!F234+CARGA_DIARIA!G234+CARGA_DIARIA!H234+CARGA_DIARIA!I234+CARGA_DIARIA!AF234+CARGA_DIARIA!AG234+CARGA_DIARIA!AH234+CARGA_DIARIA!AI234)/CARGA_DIARIA!B234+CARGA_DIARIA!AE234))</f>
        <v/>
      </c>
      <c r="D234" s="10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10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13" t="s">
        <v>64</v>
      </c>
      <c r="G234" s="13" t="s">
        <v>64</v>
      </c>
      <c r="H234" s="12" t="str">
        <f>IF(CARGA_DIARIA!A234="","",C234-D234-E234)</f>
        <v/>
      </c>
    </row>
    <row r="235" spans="1:8" ht="15.75" customHeight="1" x14ac:dyDescent="0.25">
      <c r="A235" s="7" t="str">
        <f>IF(CARGA_DIARIA!A235="","",CARGA_DIARIA!A235)</f>
        <v/>
      </c>
      <c r="B235" s="8" t="str">
        <f>IF(CARGA_DIARIA!A235="","",CARGA_DIARIA!B235)</f>
        <v/>
      </c>
      <c r="C235" s="9" t="str">
        <f>IF(CARGA_DIARIA!A235="","",IF(CARGA_DIARIA!B235=0,0,(CARGA_DIARIA!C235+CARGA_DIARIA!D235+CARGA_DIARIA!E235+CARGA_DIARIA!F235+CARGA_DIARIA!G235+CARGA_DIARIA!H235+CARGA_DIARIA!I235+CARGA_DIARIA!AF235+CARGA_DIARIA!AG235+CARGA_DIARIA!AH235+CARGA_DIARIA!AI235)/CARGA_DIARIA!B235+CARGA_DIARIA!AE235))</f>
        <v/>
      </c>
      <c r="D235" s="10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10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13" t="s">
        <v>64</v>
      </c>
      <c r="G235" s="13" t="s">
        <v>64</v>
      </c>
      <c r="H235" s="12" t="str">
        <f>IF(CARGA_DIARIA!A235="","",C235-D235-E235)</f>
        <v/>
      </c>
    </row>
    <row r="236" spans="1:8" ht="15.75" customHeight="1" x14ac:dyDescent="0.25">
      <c r="A236" s="7" t="str">
        <f>IF(CARGA_DIARIA!A236="","",CARGA_DIARIA!A236)</f>
        <v/>
      </c>
      <c r="B236" s="8" t="str">
        <f>IF(CARGA_DIARIA!A236="","",CARGA_DIARIA!B236)</f>
        <v/>
      </c>
      <c r="C236" s="9" t="str">
        <f>IF(CARGA_DIARIA!A236="","",IF(CARGA_DIARIA!B236=0,0,(CARGA_DIARIA!C236+CARGA_DIARIA!D236+CARGA_DIARIA!E236+CARGA_DIARIA!F236+CARGA_DIARIA!G236+CARGA_DIARIA!H236+CARGA_DIARIA!I236+CARGA_DIARIA!AF236+CARGA_DIARIA!AG236+CARGA_DIARIA!AH236+CARGA_DIARIA!AI236)/CARGA_DIARIA!B236+CARGA_DIARIA!AE236))</f>
        <v/>
      </c>
      <c r="D236" s="10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10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13" t="s">
        <v>64</v>
      </c>
      <c r="G236" s="13" t="s">
        <v>64</v>
      </c>
      <c r="H236" s="12" t="str">
        <f>IF(CARGA_DIARIA!A236="","",C236-D236-E236)</f>
        <v/>
      </c>
    </row>
    <row r="237" spans="1:8" ht="15.75" customHeight="1" x14ac:dyDescent="0.25">
      <c r="A237" s="7" t="str">
        <f>IF(CARGA_DIARIA!A237="","",CARGA_DIARIA!A237)</f>
        <v/>
      </c>
      <c r="B237" s="8" t="str">
        <f>IF(CARGA_DIARIA!A237="","",CARGA_DIARIA!B237)</f>
        <v/>
      </c>
      <c r="C237" s="9" t="str">
        <f>IF(CARGA_DIARIA!A237="","",IF(CARGA_DIARIA!B237=0,0,(CARGA_DIARIA!C237+CARGA_DIARIA!D237+CARGA_DIARIA!E237+CARGA_DIARIA!F237+CARGA_DIARIA!G237+CARGA_DIARIA!H237+CARGA_DIARIA!I237+CARGA_DIARIA!AF237+CARGA_DIARIA!AG237+CARGA_DIARIA!AH237+CARGA_DIARIA!AI237)/CARGA_DIARIA!B237+CARGA_DIARIA!AE237))</f>
        <v/>
      </c>
      <c r="D237" s="10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10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13" t="s">
        <v>64</v>
      </c>
      <c r="G237" s="13" t="s">
        <v>64</v>
      </c>
      <c r="H237" s="12" t="str">
        <f>IF(CARGA_DIARIA!A237="","",C237-D237-E237)</f>
        <v/>
      </c>
    </row>
    <row r="238" spans="1:8" ht="15.75" customHeight="1" x14ac:dyDescent="0.25">
      <c r="A238" s="7" t="str">
        <f>IF(CARGA_DIARIA!A238="","",CARGA_DIARIA!A238)</f>
        <v/>
      </c>
      <c r="B238" s="8" t="str">
        <f>IF(CARGA_DIARIA!A238="","",CARGA_DIARIA!B238)</f>
        <v/>
      </c>
      <c r="C238" s="9" t="str">
        <f>IF(CARGA_DIARIA!A238="","",IF(CARGA_DIARIA!B238=0,0,(CARGA_DIARIA!C238+CARGA_DIARIA!D238+CARGA_DIARIA!E238+CARGA_DIARIA!F238+CARGA_DIARIA!G238+CARGA_DIARIA!H238+CARGA_DIARIA!I238+CARGA_DIARIA!AF238+CARGA_DIARIA!AG238+CARGA_DIARIA!AH238+CARGA_DIARIA!AI238)/CARGA_DIARIA!B238+CARGA_DIARIA!AE238))</f>
        <v/>
      </c>
      <c r="D238" s="10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10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13" t="s">
        <v>64</v>
      </c>
      <c r="G238" s="13" t="s">
        <v>64</v>
      </c>
      <c r="H238" s="12" t="str">
        <f>IF(CARGA_DIARIA!A238="","",C238-D238-E238)</f>
        <v/>
      </c>
    </row>
    <row r="239" spans="1:8" ht="15.75" customHeight="1" x14ac:dyDescent="0.25">
      <c r="A239" s="7" t="str">
        <f>IF(CARGA_DIARIA!A239="","",CARGA_DIARIA!A239)</f>
        <v/>
      </c>
      <c r="B239" s="8" t="str">
        <f>IF(CARGA_DIARIA!A239="","",CARGA_DIARIA!B239)</f>
        <v/>
      </c>
      <c r="C239" s="9" t="str">
        <f>IF(CARGA_DIARIA!A239="","",IF(CARGA_DIARIA!B239=0,0,(CARGA_DIARIA!C239+CARGA_DIARIA!D239+CARGA_DIARIA!E239+CARGA_DIARIA!F239+CARGA_DIARIA!G239+CARGA_DIARIA!H239+CARGA_DIARIA!I239+CARGA_DIARIA!AF239+CARGA_DIARIA!AG239+CARGA_DIARIA!AH239+CARGA_DIARIA!AI239)/CARGA_DIARIA!B239+CARGA_DIARIA!AE239))</f>
        <v/>
      </c>
      <c r="D239" s="10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10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13" t="s">
        <v>64</v>
      </c>
      <c r="G239" s="13" t="s">
        <v>64</v>
      </c>
      <c r="H239" s="12" t="str">
        <f>IF(CARGA_DIARIA!A239="","",C239-D239-E239)</f>
        <v/>
      </c>
    </row>
    <row r="240" spans="1:8" ht="15.75" customHeight="1" x14ac:dyDescent="0.25">
      <c r="A240" s="7" t="str">
        <f>IF(CARGA_DIARIA!A240="","",CARGA_DIARIA!A240)</f>
        <v/>
      </c>
      <c r="B240" s="8" t="str">
        <f>IF(CARGA_DIARIA!A240="","",CARGA_DIARIA!B240)</f>
        <v/>
      </c>
      <c r="C240" s="9" t="str">
        <f>IF(CARGA_DIARIA!A240="","",IF(CARGA_DIARIA!B240=0,0,(CARGA_DIARIA!C240+CARGA_DIARIA!D240+CARGA_DIARIA!E240+CARGA_DIARIA!F240+CARGA_DIARIA!G240+CARGA_DIARIA!H240+CARGA_DIARIA!I240+CARGA_DIARIA!AF240+CARGA_DIARIA!AG240+CARGA_DIARIA!AH240+CARGA_DIARIA!AI240)/CARGA_DIARIA!B240+CARGA_DIARIA!AE240))</f>
        <v/>
      </c>
      <c r="D240" s="10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10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13" t="s">
        <v>64</v>
      </c>
      <c r="G240" s="13" t="s">
        <v>64</v>
      </c>
      <c r="H240" s="12" t="str">
        <f>IF(CARGA_DIARIA!A240="","",C240-D240-E240)</f>
        <v/>
      </c>
    </row>
    <row r="241" spans="1:8" ht="15.75" customHeight="1" x14ac:dyDescent="0.25">
      <c r="A241" s="7" t="str">
        <f>IF(CARGA_DIARIA!A241="","",CARGA_DIARIA!A241)</f>
        <v/>
      </c>
      <c r="B241" s="8" t="str">
        <f>IF(CARGA_DIARIA!A241="","",CARGA_DIARIA!B241)</f>
        <v/>
      </c>
      <c r="C241" s="9" t="str">
        <f>IF(CARGA_DIARIA!A241="","",IF(CARGA_DIARIA!B241=0,0,(CARGA_DIARIA!C241+CARGA_DIARIA!D241+CARGA_DIARIA!E241+CARGA_DIARIA!F241+CARGA_DIARIA!G241+CARGA_DIARIA!H241+CARGA_DIARIA!I241+CARGA_DIARIA!AF241+CARGA_DIARIA!AG241+CARGA_DIARIA!AH241+CARGA_DIARIA!AI241)/CARGA_DIARIA!B241+CARGA_DIARIA!AE241))</f>
        <v/>
      </c>
      <c r="D241" s="10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10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13" t="s">
        <v>64</v>
      </c>
      <c r="G241" s="13" t="s">
        <v>64</v>
      </c>
      <c r="H241" s="12" t="str">
        <f>IF(CARGA_DIARIA!A241="","",C241-D241-E241)</f>
        <v/>
      </c>
    </row>
    <row r="242" spans="1:8" ht="15.75" customHeight="1" x14ac:dyDescent="0.25">
      <c r="A242" s="7" t="str">
        <f>IF(CARGA_DIARIA!A242="","",CARGA_DIARIA!A242)</f>
        <v/>
      </c>
      <c r="B242" s="8" t="str">
        <f>IF(CARGA_DIARIA!A242="","",CARGA_DIARIA!B242)</f>
        <v/>
      </c>
      <c r="C242" s="9" t="str">
        <f>IF(CARGA_DIARIA!A242="","",IF(CARGA_DIARIA!B242=0,0,(CARGA_DIARIA!C242+CARGA_DIARIA!D242+CARGA_DIARIA!E242+CARGA_DIARIA!F242+CARGA_DIARIA!G242+CARGA_DIARIA!H242+CARGA_DIARIA!I242+CARGA_DIARIA!AF242+CARGA_DIARIA!AG242+CARGA_DIARIA!AH242+CARGA_DIARIA!AI242)/CARGA_DIARIA!B242+CARGA_DIARIA!AE242))</f>
        <v/>
      </c>
      <c r="D242" s="10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10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13" t="s">
        <v>64</v>
      </c>
      <c r="G242" s="13" t="s">
        <v>64</v>
      </c>
      <c r="H242" s="12" t="str">
        <f>IF(CARGA_DIARIA!A242="","",C242-D242-E242)</f>
        <v/>
      </c>
    </row>
    <row r="243" spans="1:8" ht="15.75" customHeight="1" x14ac:dyDescent="0.25">
      <c r="A243" s="7" t="str">
        <f>IF(CARGA_DIARIA!A243="","",CARGA_DIARIA!A243)</f>
        <v/>
      </c>
      <c r="B243" s="8" t="str">
        <f>IF(CARGA_DIARIA!A243="","",CARGA_DIARIA!B243)</f>
        <v/>
      </c>
      <c r="C243" s="9" t="str">
        <f>IF(CARGA_DIARIA!A243="","",IF(CARGA_DIARIA!B243=0,0,(CARGA_DIARIA!C243+CARGA_DIARIA!D243+CARGA_DIARIA!E243+CARGA_DIARIA!F243+CARGA_DIARIA!G243+CARGA_DIARIA!H243+CARGA_DIARIA!I243+CARGA_DIARIA!AF243+CARGA_DIARIA!AG243+CARGA_DIARIA!AH243+CARGA_DIARIA!AI243)/CARGA_DIARIA!B243+CARGA_DIARIA!AE243))</f>
        <v/>
      </c>
      <c r="D243" s="10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10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13" t="s">
        <v>64</v>
      </c>
      <c r="G243" s="13" t="s">
        <v>64</v>
      </c>
      <c r="H243" s="12" t="str">
        <f>IF(CARGA_DIARIA!A243="","",C243-D243-E243)</f>
        <v/>
      </c>
    </row>
    <row r="244" spans="1:8" ht="15.75" customHeight="1" x14ac:dyDescent="0.25">
      <c r="A244" s="7" t="str">
        <f>IF(CARGA_DIARIA!A244="","",CARGA_DIARIA!A244)</f>
        <v/>
      </c>
      <c r="B244" s="8" t="str">
        <f>IF(CARGA_DIARIA!A244="","",CARGA_DIARIA!B244)</f>
        <v/>
      </c>
      <c r="C244" s="9" t="str">
        <f>IF(CARGA_DIARIA!A244="","",IF(CARGA_DIARIA!B244=0,0,(CARGA_DIARIA!C244+CARGA_DIARIA!D244+CARGA_DIARIA!E244+CARGA_DIARIA!F244+CARGA_DIARIA!G244+CARGA_DIARIA!H244+CARGA_DIARIA!I244+CARGA_DIARIA!AF244+CARGA_DIARIA!AG244+CARGA_DIARIA!AH244+CARGA_DIARIA!AI244)/CARGA_DIARIA!B244+CARGA_DIARIA!AE244))</f>
        <v/>
      </c>
      <c r="D244" s="10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10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13" t="s">
        <v>64</v>
      </c>
      <c r="G244" s="13" t="s">
        <v>64</v>
      </c>
      <c r="H244" s="12" t="str">
        <f>IF(CARGA_DIARIA!A244="","",C244-D244-E244)</f>
        <v/>
      </c>
    </row>
    <row r="245" spans="1:8" ht="15.75" customHeight="1" x14ac:dyDescent="0.25">
      <c r="A245" s="7" t="str">
        <f>IF(CARGA_DIARIA!A245="","",CARGA_DIARIA!A245)</f>
        <v/>
      </c>
      <c r="B245" s="8" t="str">
        <f>IF(CARGA_DIARIA!A245="","",CARGA_DIARIA!B245)</f>
        <v/>
      </c>
      <c r="C245" s="9" t="str">
        <f>IF(CARGA_DIARIA!A245="","",IF(CARGA_DIARIA!B245=0,0,(CARGA_DIARIA!C245+CARGA_DIARIA!D245+CARGA_DIARIA!E245+CARGA_DIARIA!F245+CARGA_DIARIA!G245+CARGA_DIARIA!H245+CARGA_DIARIA!I245+CARGA_DIARIA!AF245+CARGA_DIARIA!AG245+CARGA_DIARIA!AH245+CARGA_DIARIA!AI245)/CARGA_DIARIA!B245+CARGA_DIARIA!AE245))</f>
        <v/>
      </c>
      <c r="D245" s="10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10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13" t="s">
        <v>64</v>
      </c>
      <c r="G245" s="13" t="s">
        <v>64</v>
      </c>
      <c r="H245" s="12" t="str">
        <f>IF(CARGA_DIARIA!A245="","",C245-D245-E245)</f>
        <v/>
      </c>
    </row>
    <row r="246" spans="1:8" ht="15.75" customHeight="1" x14ac:dyDescent="0.25">
      <c r="A246" s="7" t="str">
        <f>IF(CARGA_DIARIA!A246="","",CARGA_DIARIA!A246)</f>
        <v/>
      </c>
      <c r="B246" s="8" t="str">
        <f>IF(CARGA_DIARIA!A246="","",CARGA_DIARIA!B246)</f>
        <v/>
      </c>
      <c r="C246" s="9" t="str">
        <f>IF(CARGA_DIARIA!A246="","",IF(CARGA_DIARIA!B246=0,0,(CARGA_DIARIA!C246+CARGA_DIARIA!D246+CARGA_DIARIA!E246+CARGA_DIARIA!F246+CARGA_DIARIA!G246+CARGA_DIARIA!H246+CARGA_DIARIA!I246+CARGA_DIARIA!AF246+CARGA_DIARIA!AG246+CARGA_DIARIA!AH246+CARGA_DIARIA!AI246)/CARGA_DIARIA!B246+CARGA_DIARIA!AE246))</f>
        <v/>
      </c>
      <c r="D246" s="10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10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13" t="s">
        <v>64</v>
      </c>
      <c r="G246" s="13" t="s">
        <v>64</v>
      </c>
      <c r="H246" s="12" t="str">
        <f>IF(CARGA_DIARIA!A246="","",C246-D246-E246)</f>
        <v/>
      </c>
    </row>
    <row r="247" spans="1:8" ht="15.75" customHeight="1" x14ac:dyDescent="0.25">
      <c r="A247" s="7" t="str">
        <f>IF(CARGA_DIARIA!A247="","",CARGA_DIARIA!A247)</f>
        <v/>
      </c>
      <c r="B247" s="8" t="str">
        <f>IF(CARGA_DIARIA!A247="","",CARGA_DIARIA!B247)</f>
        <v/>
      </c>
      <c r="C247" s="9" t="str">
        <f>IF(CARGA_DIARIA!A247="","",IF(CARGA_DIARIA!B247=0,0,(CARGA_DIARIA!C247+CARGA_DIARIA!D247+CARGA_DIARIA!E247+CARGA_DIARIA!F247+CARGA_DIARIA!G247+CARGA_DIARIA!H247+CARGA_DIARIA!I247+CARGA_DIARIA!AF247+CARGA_DIARIA!AG247+CARGA_DIARIA!AH247+CARGA_DIARIA!AI247)/CARGA_DIARIA!B247+CARGA_DIARIA!AE247))</f>
        <v/>
      </c>
      <c r="D247" s="10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10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13" t="s">
        <v>64</v>
      </c>
      <c r="G247" s="13" t="s">
        <v>64</v>
      </c>
      <c r="H247" s="12" t="str">
        <f>IF(CARGA_DIARIA!A247="","",C247-D247-E247)</f>
        <v/>
      </c>
    </row>
    <row r="248" spans="1:8" ht="15.75" customHeight="1" x14ac:dyDescent="0.25">
      <c r="A248" s="7" t="str">
        <f>IF(CARGA_DIARIA!A248="","",CARGA_DIARIA!A248)</f>
        <v/>
      </c>
      <c r="B248" s="8" t="str">
        <f>IF(CARGA_DIARIA!A248="","",CARGA_DIARIA!B248)</f>
        <v/>
      </c>
      <c r="C248" s="9" t="str">
        <f>IF(CARGA_DIARIA!A248="","",IF(CARGA_DIARIA!B248=0,0,(CARGA_DIARIA!C248+CARGA_DIARIA!D248+CARGA_DIARIA!E248+CARGA_DIARIA!F248+CARGA_DIARIA!G248+CARGA_DIARIA!H248+CARGA_DIARIA!I248+CARGA_DIARIA!AF248+CARGA_DIARIA!AG248+CARGA_DIARIA!AH248+CARGA_DIARIA!AI248)/CARGA_DIARIA!B248+CARGA_DIARIA!AE248))</f>
        <v/>
      </c>
      <c r="D248" s="10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10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13" t="s">
        <v>64</v>
      </c>
      <c r="G248" s="13" t="s">
        <v>64</v>
      </c>
      <c r="H248" s="12" t="str">
        <f>IF(CARGA_DIARIA!A248="","",C248-D248-E248)</f>
        <v/>
      </c>
    </row>
    <row r="249" spans="1:8" ht="15.75" customHeight="1" x14ac:dyDescent="0.25">
      <c r="A249" s="7" t="str">
        <f>IF(CARGA_DIARIA!A249="","",CARGA_DIARIA!A249)</f>
        <v/>
      </c>
      <c r="B249" s="8" t="str">
        <f>IF(CARGA_DIARIA!A249="","",CARGA_DIARIA!B249)</f>
        <v/>
      </c>
      <c r="C249" s="9" t="str">
        <f>IF(CARGA_DIARIA!A249="","",IF(CARGA_DIARIA!B249=0,0,(CARGA_DIARIA!C249+CARGA_DIARIA!D249+CARGA_DIARIA!E249+CARGA_DIARIA!F249+CARGA_DIARIA!G249+CARGA_DIARIA!H249+CARGA_DIARIA!I249+CARGA_DIARIA!AF249+CARGA_DIARIA!AG249+CARGA_DIARIA!AH249+CARGA_DIARIA!AI249)/CARGA_DIARIA!B249+CARGA_DIARIA!AE249))</f>
        <v/>
      </c>
      <c r="D249" s="10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10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13" t="s">
        <v>64</v>
      </c>
      <c r="G249" s="13" t="s">
        <v>64</v>
      </c>
      <c r="H249" s="12" t="str">
        <f>IF(CARGA_DIARIA!A249="","",C249-D249-E249)</f>
        <v/>
      </c>
    </row>
    <row r="250" spans="1:8" ht="15.75" customHeight="1" x14ac:dyDescent="0.25">
      <c r="A250" s="7" t="str">
        <f>IF(CARGA_DIARIA!A250="","",CARGA_DIARIA!A250)</f>
        <v/>
      </c>
      <c r="B250" s="8" t="str">
        <f>IF(CARGA_DIARIA!A250="","",CARGA_DIARIA!B250)</f>
        <v/>
      </c>
      <c r="C250" s="9" t="str">
        <f>IF(CARGA_DIARIA!A250="","",IF(CARGA_DIARIA!B250=0,0,(CARGA_DIARIA!C250+CARGA_DIARIA!D250+CARGA_DIARIA!E250+CARGA_DIARIA!F250+CARGA_DIARIA!G250+CARGA_DIARIA!H250+CARGA_DIARIA!I250+CARGA_DIARIA!AF250+CARGA_DIARIA!AG250+CARGA_DIARIA!AH250+CARGA_DIARIA!AI250)/CARGA_DIARIA!B250+CARGA_DIARIA!AE250))</f>
        <v/>
      </c>
      <c r="D250" s="10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10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13" t="s">
        <v>64</v>
      </c>
      <c r="G250" s="13" t="s">
        <v>64</v>
      </c>
      <c r="H250" s="12" t="str">
        <f>IF(CARGA_DIARIA!A250="","",C250-D250-E250)</f>
        <v/>
      </c>
    </row>
    <row r="251" spans="1:8" ht="15.75" customHeight="1" x14ac:dyDescent="0.25">
      <c r="A251" s="7" t="str">
        <f>IF(CARGA_DIARIA!A251="","",CARGA_DIARIA!A251)</f>
        <v/>
      </c>
      <c r="B251" s="8" t="str">
        <f>IF(CARGA_DIARIA!A251="","",CARGA_DIARIA!B251)</f>
        <v/>
      </c>
      <c r="C251" s="9" t="str">
        <f>IF(CARGA_DIARIA!A251="","",IF(CARGA_DIARIA!B251=0,0,(CARGA_DIARIA!C251+CARGA_DIARIA!D251+CARGA_DIARIA!E251+CARGA_DIARIA!F251+CARGA_DIARIA!G251+CARGA_DIARIA!H251+CARGA_DIARIA!I251+CARGA_DIARIA!AF251+CARGA_DIARIA!AG251+CARGA_DIARIA!AH251+CARGA_DIARIA!AI251)/CARGA_DIARIA!B251+CARGA_DIARIA!AE251))</f>
        <v/>
      </c>
      <c r="D251" s="10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10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13" t="s">
        <v>64</v>
      </c>
      <c r="G251" s="13" t="s">
        <v>64</v>
      </c>
      <c r="H251" s="12" t="str">
        <f>IF(CARGA_DIARIA!A251="","",C251-D251-E251)</f>
        <v/>
      </c>
    </row>
    <row r="252" spans="1:8" ht="15.75" customHeight="1" x14ac:dyDescent="0.25">
      <c r="A252" s="7" t="str">
        <f>IF(CARGA_DIARIA!A252="","",CARGA_DIARIA!A252)</f>
        <v/>
      </c>
      <c r="B252" s="8" t="str">
        <f>IF(CARGA_DIARIA!A252="","",CARGA_DIARIA!B252)</f>
        <v/>
      </c>
      <c r="C252" s="9" t="str">
        <f>IF(CARGA_DIARIA!A252="","",IF(CARGA_DIARIA!B252=0,0,(CARGA_DIARIA!C252+CARGA_DIARIA!D252+CARGA_DIARIA!E252+CARGA_DIARIA!F252+CARGA_DIARIA!G252+CARGA_DIARIA!H252+CARGA_DIARIA!I252+CARGA_DIARIA!AF252+CARGA_DIARIA!AG252+CARGA_DIARIA!AH252+CARGA_DIARIA!AI252)/CARGA_DIARIA!B252+CARGA_DIARIA!AE252))</f>
        <v/>
      </c>
      <c r="D252" s="10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10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13" t="s">
        <v>64</v>
      </c>
      <c r="G252" s="13" t="s">
        <v>64</v>
      </c>
      <c r="H252" s="12" t="str">
        <f>IF(CARGA_DIARIA!A252="","",C252-D252-E252)</f>
        <v/>
      </c>
    </row>
    <row r="253" spans="1:8" ht="15.75" customHeight="1" x14ac:dyDescent="0.25">
      <c r="A253" s="7" t="str">
        <f>IF(CARGA_DIARIA!A253="","",CARGA_DIARIA!A253)</f>
        <v/>
      </c>
      <c r="B253" s="8" t="str">
        <f>IF(CARGA_DIARIA!A253="","",CARGA_DIARIA!B253)</f>
        <v/>
      </c>
      <c r="C253" s="9" t="str">
        <f>IF(CARGA_DIARIA!A253="","",IF(CARGA_DIARIA!B253=0,0,(CARGA_DIARIA!C253+CARGA_DIARIA!D253+CARGA_DIARIA!E253+CARGA_DIARIA!F253+CARGA_DIARIA!G253+CARGA_DIARIA!H253+CARGA_DIARIA!I253+CARGA_DIARIA!AF253+CARGA_DIARIA!AG253+CARGA_DIARIA!AH253+CARGA_DIARIA!AI253)/CARGA_DIARIA!B253+CARGA_DIARIA!AE253))</f>
        <v/>
      </c>
      <c r="D253" s="10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10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13" t="s">
        <v>64</v>
      </c>
      <c r="G253" s="13" t="s">
        <v>64</v>
      </c>
      <c r="H253" s="12" t="str">
        <f>IF(CARGA_DIARIA!A253="","",C253-D253-E253)</f>
        <v/>
      </c>
    </row>
    <row r="254" spans="1:8" ht="15.75" customHeight="1" x14ac:dyDescent="0.25">
      <c r="A254" s="7" t="str">
        <f>IF(CARGA_DIARIA!A254="","",CARGA_DIARIA!A254)</f>
        <v/>
      </c>
      <c r="B254" s="8" t="str">
        <f>IF(CARGA_DIARIA!A254="","",CARGA_DIARIA!B254)</f>
        <v/>
      </c>
      <c r="C254" s="9" t="str">
        <f>IF(CARGA_DIARIA!A254="","",IF(CARGA_DIARIA!B254=0,0,(CARGA_DIARIA!C254+CARGA_DIARIA!D254+CARGA_DIARIA!E254+CARGA_DIARIA!F254+CARGA_DIARIA!G254+CARGA_DIARIA!H254+CARGA_DIARIA!I254+CARGA_DIARIA!AF254+CARGA_DIARIA!AG254+CARGA_DIARIA!AH254+CARGA_DIARIA!AI254)/CARGA_DIARIA!B254+CARGA_DIARIA!AE254))</f>
        <v/>
      </c>
      <c r="D254" s="10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10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13" t="s">
        <v>64</v>
      </c>
      <c r="G254" s="13" t="s">
        <v>64</v>
      </c>
      <c r="H254" s="12" t="str">
        <f>IF(CARGA_DIARIA!A254="","",C254-D254-E254)</f>
        <v/>
      </c>
    </row>
    <row r="255" spans="1:8" ht="15.75" customHeight="1" x14ac:dyDescent="0.25">
      <c r="A255" s="7" t="str">
        <f>IF(CARGA_DIARIA!A255="","",CARGA_DIARIA!A255)</f>
        <v/>
      </c>
      <c r="B255" s="8" t="str">
        <f>IF(CARGA_DIARIA!A255="","",CARGA_DIARIA!B255)</f>
        <v/>
      </c>
      <c r="C255" s="9" t="str">
        <f>IF(CARGA_DIARIA!A255="","",IF(CARGA_DIARIA!B255=0,0,(CARGA_DIARIA!C255+CARGA_DIARIA!D255+CARGA_DIARIA!E255+CARGA_DIARIA!F255+CARGA_DIARIA!G255+CARGA_DIARIA!H255+CARGA_DIARIA!I255+CARGA_DIARIA!AF255+CARGA_DIARIA!AG255+CARGA_DIARIA!AH255+CARGA_DIARIA!AI255)/CARGA_DIARIA!B255+CARGA_DIARIA!AE255))</f>
        <v/>
      </c>
      <c r="D255" s="10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10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13" t="s">
        <v>64</v>
      </c>
      <c r="G255" s="13" t="s">
        <v>64</v>
      </c>
      <c r="H255" s="12" t="str">
        <f>IF(CARGA_DIARIA!A255="","",C255-D255-E255)</f>
        <v/>
      </c>
    </row>
    <row r="256" spans="1:8" ht="15.75" customHeight="1" x14ac:dyDescent="0.25">
      <c r="A256" s="7" t="str">
        <f>IF(CARGA_DIARIA!A256="","",CARGA_DIARIA!A256)</f>
        <v/>
      </c>
      <c r="B256" s="8" t="str">
        <f>IF(CARGA_DIARIA!A256="","",CARGA_DIARIA!B256)</f>
        <v/>
      </c>
      <c r="C256" s="9" t="str">
        <f>IF(CARGA_DIARIA!A256="","",IF(CARGA_DIARIA!B256=0,0,(CARGA_DIARIA!C256+CARGA_DIARIA!D256+CARGA_DIARIA!E256+CARGA_DIARIA!F256+CARGA_DIARIA!G256+CARGA_DIARIA!H256+CARGA_DIARIA!I256+CARGA_DIARIA!AF256+CARGA_DIARIA!AG256+CARGA_DIARIA!AH256+CARGA_DIARIA!AI256)/CARGA_DIARIA!B256+CARGA_DIARIA!AE256))</f>
        <v/>
      </c>
      <c r="D256" s="10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10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13" t="s">
        <v>64</v>
      </c>
      <c r="G256" s="13" t="s">
        <v>64</v>
      </c>
      <c r="H256" s="12" t="str">
        <f>IF(CARGA_DIARIA!A256="","",C256-D256-E256)</f>
        <v/>
      </c>
    </row>
    <row r="257" spans="1:8" ht="15.75" customHeight="1" x14ac:dyDescent="0.25">
      <c r="A257" s="7" t="str">
        <f>IF(CARGA_DIARIA!A257="","",CARGA_DIARIA!A257)</f>
        <v/>
      </c>
      <c r="B257" s="8" t="str">
        <f>IF(CARGA_DIARIA!A257="","",CARGA_DIARIA!B257)</f>
        <v/>
      </c>
      <c r="C257" s="9" t="str">
        <f>IF(CARGA_DIARIA!A257="","",IF(CARGA_DIARIA!B257=0,0,(CARGA_DIARIA!C257+CARGA_DIARIA!D257+CARGA_DIARIA!E257+CARGA_DIARIA!F257+CARGA_DIARIA!G257+CARGA_DIARIA!H257+CARGA_DIARIA!I257+CARGA_DIARIA!AF257+CARGA_DIARIA!AG257+CARGA_DIARIA!AH257+CARGA_DIARIA!AI257)/CARGA_DIARIA!B257+CARGA_DIARIA!AE257))</f>
        <v/>
      </c>
      <c r="D257" s="10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10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13" t="s">
        <v>64</v>
      </c>
      <c r="G257" s="13" t="s">
        <v>64</v>
      </c>
      <c r="H257" s="12" t="str">
        <f>IF(CARGA_DIARIA!A257="","",C257-D257-E257)</f>
        <v/>
      </c>
    </row>
    <row r="258" spans="1:8" ht="15.75" customHeight="1" x14ac:dyDescent="0.25">
      <c r="A258" s="7" t="str">
        <f>IF(CARGA_DIARIA!A258="","",CARGA_DIARIA!A258)</f>
        <v/>
      </c>
      <c r="B258" s="8" t="str">
        <f>IF(CARGA_DIARIA!A258="","",CARGA_DIARIA!B258)</f>
        <v/>
      </c>
      <c r="C258" s="9" t="str">
        <f>IF(CARGA_DIARIA!A258="","",IF(CARGA_DIARIA!B258=0,0,(CARGA_DIARIA!C258+CARGA_DIARIA!D258+CARGA_DIARIA!E258+CARGA_DIARIA!F258+CARGA_DIARIA!G258+CARGA_DIARIA!H258+CARGA_DIARIA!I258+CARGA_DIARIA!AF258+CARGA_DIARIA!AG258+CARGA_DIARIA!AH258+CARGA_DIARIA!AI258)/CARGA_DIARIA!B258+CARGA_DIARIA!AE258))</f>
        <v/>
      </c>
      <c r="D258" s="10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10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13" t="s">
        <v>64</v>
      </c>
      <c r="G258" s="13" t="s">
        <v>64</v>
      </c>
      <c r="H258" s="12" t="str">
        <f>IF(CARGA_DIARIA!A258="","",C258-D258-E258)</f>
        <v/>
      </c>
    </row>
    <row r="259" spans="1:8" ht="15.75" customHeight="1" x14ac:dyDescent="0.25">
      <c r="A259" s="7" t="str">
        <f>IF(CARGA_DIARIA!A259="","",CARGA_DIARIA!A259)</f>
        <v/>
      </c>
      <c r="B259" s="8" t="str">
        <f>IF(CARGA_DIARIA!A259="","",CARGA_DIARIA!B259)</f>
        <v/>
      </c>
      <c r="C259" s="9" t="str">
        <f>IF(CARGA_DIARIA!A259="","",IF(CARGA_DIARIA!B259=0,0,(CARGA_DIARIA!C259+CARGA_DIARIA!D259+CARGA_DIARIA!E259+CARGA_DIARIA!F259+CARGA_DIARIA!G259+CARGA_DIARIA!H259+CARGA_DIARIA!I259+CARGA_DIARIA!AF259+CARGA_DIARIA!AG259+CARGA_DIARIA!AH259+CARGA_DIARIA!AI259)/CARGA_DIARIA!B259+CARGA_DIARIA!AE259))</f>
        <v/>
      </c>
      <c r="D259" s="10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10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13" t="s">
        <v>64</v>
      </c>
      <c r="G259" s="13" t="s">
        <v>64</v>
      </c>
      <c r="H259" s="12" t="str">
        <f>IF(CARGA_DIARIA!A259="","",C259-D259-E259)</f>
        <v/>
      </c>
    </row>
    <row r="260" spans="1:8" ht="15.75" customHeight="1" x14ac:dyDescent="0.25">
      <c r="A260" s="7" t="str">
        <f>IF(CARGA_DIARIA!A260="","",CARGA_DIARIA!A260)</f>
        <v/>
      </c>
      <c r="B260" s="8" t="str">
        <f>IF(CARGA_DIARIA!A260="","",CARGA_DIARIA!B260)</f>
        <v/>
      </c>
      <c r="C260" s="9" t="str">
        <f>IF(CARGA_DIARIA!A260="","",IF(CARGA_DIARIA!B260=0,0,(CARGA_DIARIA!C260+CARGA_DIARIA!D260+CARGA_DIARIA!E260+CARGA_DIARIA!F260+CARGA_DIARIA!G260+CARGA_DIARIA!H260+CARGA_DIARIA!I260+CARGA_DIARIA!AF260+CARGA_DIARIA!AG260+CARGA_DIARIA!AH260+CARGA_DIARIA!AI260)/CARGA_DIARIA!B260+CARGA_DIARIA!AE260))</f>
        <v/>
      </c>
      <c r="D260" s="10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10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13" t="s">
        <v>64</v>
      </c>
      <c r="G260" s="13" t="s">
        <v>64</v>
      </c>
      <c r="H260" s="12" t="str">
        <f>IF(CARGA_DIARIA!A260="","",C260-D260-E260)</f>
        <v/>
      </c>
    </row>
    <row r="261" spans="1:8" ht="15.75" customHeight="1" x14ac:dyDescent="0.25">
      <c r="A261" s="7" t="str">
        <f>IF(CARGA_DIARIA!A261="","",CARGA_DIARIA!A261)</f>
        <v/>
      </c>
      <c r="B261" s="8" t="str">
        <f>IF(CARGA_DIARIA!A261="","",CARGA_DIARIA!B261)</f>
        <v/>
      </c>
      <c r="C261" s="9" t="str">
        <f>IF(CARGA_DIARIA!A261="","",IF(CARGA_DIARIA!B261=0,0,(CARGA_DIARIA!C261+CARGA_DIARIA!D261+CARGA_DIARIA!E261+CARGA_DIARIA!F261+CARGA_DIARIA!G261+CARGA_DIARIA!H261+CARGA_DIARIA!I261+CARGA_DIARIA!AF261+CARGA_DIARIA!AG261+CARGA_DIARIA!AH261+CARGA_DIARIA!AI261)/CARGA_DIARIA!B261+CARGA_DIARIA!AE261))</f>
        <v/>
      </c>
      <c r="D261" s="10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10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13" t="s">
        <v>64</v>
      </c>
      <c r="G261" s="13" t="s">
        <v>64</v>
      </c>
      <c r="H261" s="12" t="str">
        <f>IF(CARGA_DIARIA!A261="","",C261-D261-E261)</f>
        <v/>
      </c>
    </row>
    <row r="262" spans="1:8" ht="15.75" customHeight="1" x14ac:dyDescent="0.25">
      <c r="A262" s="7" t="str">
        <f>IF(CARGA_DIARIA!A262="","",CARGA_DIARIA!A262)</f>
        <v/>
      </c>
      <c r="B262" s="8" t="str">
        <f>IF(CARGA_DIARIA!A262="","",CARGA_DIARIA!B262)</f>
        <v/>
      </c>
      <c r="C262" s="9" t="str">
        <f>IF(CARGA_DIARIA!A262="","",IF(CARGA_DIARIA!B262=0,0,(CARGA_DIARIA!C262+CARGA_DIARIA!D262+CARGA_DIARIA!E262+CARGA_DIARIA!F262+CARGA_DIARIA!G262+CARGA_DIARIA!H262+CARGA_DIARIA!I262+CARGA_DIARIA!AF262+CARGA_DIARIA!AG262+CARGA_DIARIA!AH262+CARGA_DIARIA!AI262)/CARGA_DIARIA!B262+CARGA_DIARIA!AE262))</f>
        <v/>
      </c>
      <c r="D262" s="10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10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13" t="s">
        <v>64</v>
      </c>
      <c r="G262" s="13" t="s">
        <v>64</v>
      </c>
      <c r="H262" s="12" t="str">
        <f>IF(CARGA_DIARIA!A262="","",C262-D262-E262)</f>
        <v/>
      </c>
    </row>
    <row r="263" spans="1:8" ht="15.75" customHeight="1" x14ac:dyDescent="0.25">
      <c r="A263" s="7" t="str">
        <f>IF(CARGA_DIARIA!A263="","",CARGA_DIARIA!A263)</f>
        <v/>
      </c>
      <c r="B263" s="8" t="str">
        <f>IF(CARGA_DIARIA!A263="","",CARGA_DIARIA!B263)</f>
        <v/>
      </c>
      <c r="C263" s="9" t="str">
        <f>IF(CARGA_DIARIA!A263="","",IF(CARGA_DIARIA!B263=0,0,(CARGA_DIARIA!C263+CARGA_DIARIA!D263+CARGA_DIARIA!E263+CARGA_DIARIA!F263+CARGA_DIARIA!G263+CARGA_DIARIA!H263+CARGA_DIARIA!I263+CARGA_DIARIA!AF263+CARGA_DIARIA!AG263+CARGA_DIARIA!AH263+CARGA_DIARIA!AI263)/CARGA_DIARIA!B263+CARGA_DIARIA!AE263))</f>
        <v/>
      </c>
      <c r="D263" s="10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10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13" t="s">
        <v>64</v>
      </c>
      <c r="G263" s="13" t="s">
        <v>64</v>
      </c>
      <c r="H263" s="12" t="str">
        <f>IF(CARGA_DIARIA!A263="","",C263-D263-E263)</f>
        <v/>
      </c>
    </row>
    <row r="264" spans="1:8" ht="15.75" customHeight="1" x14ac:dyDescent="0.25">
      <c r="A264" s="7" t="str">
        <f>IF(CARGA_DIARIA!A264="","",CARGA_DIARIA!A264)</f>
        <v/>
      </c>
      <c r="B264" s="8" t="str">
        <f>IF(CARGA_DIARIA!A264="","",CARGA_DIARIA!B264)</f>
        <v/>
      </c>
      <c r="C264" s="9" t="str">
        <f>IF(CARGA_DIARIA!A264="","",IF(CARGA_DIARIA!B264=0,0,(CARGA_DIARIA!C264+CARGA_DIARIA!D264+CARGA_DIARIA!E264+CARGA_DIARIA!F264+CARGA_DIARIA!G264+CARGA_DIARIA!H264+CARGA_DIARIA!I264+CARGA_DIARIA!AF264+CARGA_DIARIA!AG264+CARGA_DIARIA!AH264+CARGA_DIARIA!AI264)/CARGA_DIARIA!B264+CARGA_DIARIA!AE264))</f>
        <v/>
      </c>
      <c r="D264" s="10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10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13" t="s">
        <v>64</v>
      </c>
      <c r="G264" s="13" t="s">
        <v>64</v>
      </c>
      <c r="H264" s="12" t="str">
        <f>IF(CARGA_DIARIA!A264="","",C264-D264-E264)</f>
        <v/>
      </c>
    </row>
    <row r="265" spans="1:8" ht="15.75" customHeight="1" x14ac:dyDescent="0.25">
      <c r="A265" s="7" t="str">
        <f>IF(CARGA_DIARIA!A265="","",CARGA_DIARIA!A265)</f>
        <v/>
      </c>
      <c r="B265" s="8" t="str">
        <f>IF(CARGA_DIARIA!A265="","",CARGA_DIARIA!B265)</f>
        <v/>
      </c>
      <c r="C265" s="9" t="str">
        <f>IF(CARGA_DIARIA!A265="","",IF(CARGA_DIARIA!B265=0,0,(CARGA_DIARIA!C265+CARGA_DIARIA!D265+CARGA_DIARIA!E265+CARGA_DIARIA!F265+CARGA_DIARIA!G265+CARGA_DIARIA!H265+CARGA_DIARIA!I265+CARGA_DIARIA!AF265+CARGA_DIARIA!AG265+CARGA_DIARIA!AH265+CARGA_DIARIA!AI265)/CARGA_DIARIA!B265+CARGA_DIARIA!AE265))</f>
        <v/>
      </c>
      <c r="D265" s="10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10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13" t="s">
        <v>64</v>
      </c>
      <c r="G265" s="13" t="s">
        <v>64</v>
      </c>
      <c r="H265" s="12" t="str">
        <f>IF(CARGA_DIARIA!A265="","",C265-D265-E265)</f>
        <v/>
      </c>
    </row>
    <row r="266" spans="1:8" ht="15.75" customHeight="1" x14ac:dyDescent="0.25">
      <c r="A266" s="7" t="str">
        <f>IF(CARGA_DIARIA!A266="","",CARGA_DIARIA!A266)</f>
        <v/>
      </c>
      <c r="B266" s="8" t="str">
        <f>IF(CARGA_DIARIA!A266="","",CARGA_DIARIA!B266)</f>
        <v/>
      </c>
      <c r="C266" s="9" t="str">
        <f>IF(CARGA_DIARIA!A266="","",IF(CARGA_DIARIA!B266=0,0,(CARGA_DIARIA!C266+CARGA_DIARIA!D266+CARGA_DIARIA!E266+CARGA_DIARIA!F266+CARGA_DIARIA!G266+CARGA_DIARIA!H266+CARGA_DIARIA!I266+CARGA_DIARIA!AF266+CARGA_DIARIA!AG266+CARGA_DIARIA!AH266+CARGA_DIARIA!AI266)/CARGA_DIARIA!B266+CARGA_DIARIA!AE266))</f>
        <v/>
      </c>
      <c r="D266" s="10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10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13" t="s">
        <v>64</v>
      </c>
      <c r="G266" s="13" t="s">
        <v>64</v>
      </c>
      <c r="H266" s="12" t="str">
        <f>IF(CARGA_DIARIA!A266="","",C266-D266-E266)</f>
        <v/>
      </c>
    </row>
    <row r="267" spans="1:8" ht="15.75" customHeight="1" x14ac:dyDescent="0.25">
      <c r="A267" s="7" t="str">
        <f>IF(CARGA_DIARIA!A267="","",CARGA_DIARIA!A267)</f>
        <v/>
      </c>
      <c r="B267" s="8" t="str">
        <f>IF(CARGA_DIARIA!A267="","",CARGA_DIARIA!B267)</f>
        <v/>
      </c>
      <c r="C267" s="9" t="str">
        <f>IF(CARGA_DIARIA!A267="","",IF(CARGA_DIARIA!B267=0,0,(CARGA_DIARIA!C267+CARGA_DIARIA!D267+CARGA_DIARIA!E267+CARGA_DIARIA!F267+CARGA_DIARIA!G267+CARGA_DIARIA!H267+CARGA_DIARIA!I267+CARGA_DIARIA!AF267+CARGA_DIARIA!AG267+CARGA_DIARIA!AH267+CARGA_DIARIA!AI267)/CARGA_DIARIA!B267+CARGA_DIARIA!AE267))</f>
        <v/>
      </c>
      <c r="D267" s="10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10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13" t="s">
        <v>64</v>
      </c>
      <c r="G267" s="13" t="s">
        <v>64</v>
      </c>
      <c r="H267" s="12" t="str">
        <f>IF(CARGA_DIARIA!A267="","",C267-D267-E267)</f>
        <v/>
      </c>
    </row>
    <row r="268" spans="1:8" ht="15.75" customHeight="1" x14ac:dyDescent="0.25">
      <c r="A268" s="7" t="str">
        <f>IF(CARGA_DIARIA!A268="","",CARGA_DIARIA!A268)</f>
        <v/>
      </c>
      <c r="B268" s="8" t="str">
        <f>IF(CARGA_DIARIA!A268="","",CARGA_DIARIA!B268)</f>
        <v/>
      </c>
      <c r="C268" s="9" t="str">
        <f>IF(CARGA_DIARIA!A268="","",IF(CARGA_DIARIA!B268=0,0,(CARGA_DIARIA!C268+CARGA_DIARIA!D268+CARGA_DIARIA!E268+CARGA_DIARIA!F268+CARGA_DIARIA!G268+CARGA_DIARIA!H268+CARGA_DIARIA!I268+CARGA_DIARIA!AF268+CARGA_DIARIA!AG268+CARGA_DIARIA!AH268+CARGA_DIARIA!AI268)/CARGA_DIARIA!B268+CARGA_DIARIA!AE268))</f>
        <v/>
      </c>
      <c r="D268" s="10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10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13" t="s">
        <v>64</v>
      </c>
      <c r="G268" s="13" t="s">
        <v>64</v>
      </c>
      <c r="H268" s="12" t="str">
        <f>IF(CARGA_DIARIA!A268="","",C268-D268-E268)</f>
        <v/>
      </c>
    </row>
    <row r="269" spans="1:8" ht="15.75" customHeight="1" x14ac:dyDescent="0.25">
      <c r="A269" s="7" t="str">
        <f>IF(CARGA_DIARIA!A269="","",CARGA_DIARIA!A269)</f>
        <v/>
      </c>
      <c r="B269" s="8" t="str">
        <f>IF(CARGA_DIARIA!A269="","",CARGA_DIARIA!B269)</f>
        <v/>
      </c>
      <c r="C269" s="9" t="str">
        <f>IF(CARGA_DIARIA!A269="","",IF(CARGA_DIARIA!B269=0,0,(CARGA_DIARIA!C269+CARGA_DIARIA!D269+CARGA_DIARIA!E269+CARGA_DIARIA!F269+CARGA_DIARIA!G269+CARGA_DIARIA!H269+CARGA_DIARIA!I269+CARGA_DIARIA!AF269+CARGA_DIARIA!AG269+CARGA_DIARIA!AH269+CARGA_DIARIA!AI269)/CARGA_DIARIA!B269+CARGA_DIARIA!AE269))</f>
        <v/>
      </c>
      <c r="D269" s="10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10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13" t="s">
        <v>64</v>
      </c>
      <c r="G269" s="13" t="s">
        <v>64</v>
      </c>
      <c r="H269" s="12" t="str">
        <f>IF(CARGA_DIARIA!A269="","",C269-D269-E269)</f>
        <v/>
      </c>
    </row>
    <row r="270" spans="1:8" ht="15.75" customHeight="1" x14ac:dyDescent="0.25">
      <c r="A270" s="7" t="str">
        <f>IF(CARGA_DIARIA!A270="","",CARGA_DIARIA!A270)</f>
        <v/>
      </c>
      <c r="B270" s="8" t="str">
        <f>IF(CARGA_DIARIA!A270="","",CARGA_DIARIA!B270)</f>
        <v/>
      </c>
      <c r="C270" s="9" t="str">
        <f>IF(CARGA_DIARIA!A270="","",IF(CARGA_DIARIA!B270=0,0,(CARGA_DIARIA!C270+CARGA_DIARIA!D270+CARGA_DIARIA!E270+CARGA_DIARIA!F270+CARGA_DIARIA!G270+CARGA_DIARIA!H270+CARGA_DIARIA!I270+CARGA_DIARIA!AF270+CARGA_DIARIA!AG270+CARGA_DIARIA!AH270+CARGA_DIARIA!AI270)/CARGA_DIARIA!B270+CARGA_DIARIA!AE270))</f>
        <v/>
      </c>
      <c r="D270" s="10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10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13" t="s">
        <v>64</v>
      </c>
      <c r="G270" s="13" t="s">
        <v>64</v>
      </c>
      <c r="H270" s="12" t="str">
        <f>IF(CARGA_DIARIA!A270="","",C270-D270-E270)</f>
        <v/>
      </c>
    </row>
    <row r="271" spans="1:8" ht="15.75" customHeight="1" x14ac:dyDescent="0.25">
      <c r="A271" s="7" t="str">
        <f>IF(CARGA_DIARIA!A271="","",CARGA_DIARIA!A271)</f>
        <v/>
      </c>
      <c r="B271" s="8" t="str">
        <f>IF(CARGA_DIARIA!A271="","",CARGA_DIARIA!B271)</f>
        <v/>
      </c>
      <c r="C271" s="9" t="str">
        <f>IF(CARGA_DIARIA!A271="","",IF(CARGA_DIARIA!B271=0,0,(CARGA_DIARIA!C271+CARGA_DIARIA!D271+CARGA_DIARIA!E271+CARGA_DIARIA!F271+CARGA_DIARIA!G271+CARGA_DIARIA!H271+CARGA_DIARIA!I271+CARGA_DIARIA!AF271+CARGA_DIARIA!AG271+CARGA_DIARIA!AH271+CARGA_DIARIA!AI271)/CARGA_DIARIA!B271+CARGA_DIARIA!AE271))</f>
        <v/>
      </c>
      <c r="D271" s="10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10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13" t="s">
        <v>64</v>
      </c>
      <c r="G271" s="13" t="s">
        <v>64</v>
      </c>
      <c r="H271" s="12" t="str">
        <f>IF(CARGA_DIARIA!A271="","",C271-D271-E271)</f>
        <v/>
      </c>
    </row>
    <row r="272" spans="1:8" ht="15.75" customHeight="1" x14ac:dyDescent="0.25">
      <c r="A272" s="7" t="str">
        <f>IF(CARGA_DIARIA!A272="","",CARGA_DIARIA!A272)</f>
        <v/>
      </c>
      <c r="B272" s="8" t="str">
        <f>IF(CARGA_DIARIA!A272="","",CARGA_DIARIA!B272)</f>
        <v/>
      </c>
      <c r="C272" s="9" t="str">
        <f>IF(CARGA_DIARIA!A272="","",IF(CARGA_DIARIA!B272=0,0,(CARGA_DIARIA!C272+CARGA_DIARIA!D272+CARGA_DIARIA!E272+CARGA_DIARIA!F272+CARGA_DIARIA!G272+CARGA_DIARIA!H272+CARGA_DIARIA!I272+CARGA_DIARIA!AF272+CARGA_DIARIA!AG272+CARGA_DIARIA!AH272+CARGA_DIARIA!AI272)/CARGA_DIARIA!B272+CARGA_DIARIA!AE272))</f>
        <v/>
      </c>
      <c r="D272" s="10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10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13" t="s">
        <v>64</v>
      </c>
      <c r="G272" s="13" t="s">
        <v>64</v>
      </c>
      <c r="H272" s="12" t="str">
        <f>IF(CARGA_DIARIA!A272="","",C272-D272-E272)</f>
        <v/>
      </c>
    </row>
    <row r="273" spans="1:8" ht="15.75" customHeight="1" x14ac:dyDescent="0.25">
      <c r="A273" s="7" t="str">
        <f>IF(CARGA_DIARIA!A273="","",CARGA_DIARIA!A273)</f>
        <v/>
      </c>
      <c r="B273" s="8" t="str">
        <f>IF(CARGA_DIARIA!A273="","",CARGA_DIARIA!B273)</f>
        <v/>
      </c>
      <c r="C273" s="9" t="str">
        <f>IF(CARGA_DIARIA!A273="","",IF(CARGA_DIARIA!B273=0,0,(CARGA_DIARIA!C273+CARGA_DIARIA!D273+CARGA_DIARIA!E273+CARGA_DIARIA!F273+CARGA_DIARIA!G273+CARGA_DIARIA!H273+CARGA_DIARIA!I273+CARGA_DIARIA!AF273+CARGA_DIARIA!AG273+CARGA_DIARIA!AH273+CARGA_DIARIA!AI273)/CARGA_DIARIA!B273+CARGA_DIARIA!AE273))</f>
        <v/>
      </c>
      <c r="D273" s="10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10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13" t="s">
        <v>64</v>
      </c>
      <c r="G273" s="13" t="s">
        <v>64</v>
      </c>
      <c r="H273" s="12" t="str">
        <f>IF(CARGA_DIARIA!A273="","",C273-D273-E273)</f>
        <v/>
      </c>
    </row>
    <row r="274" spans="1:8" ht="15.75" customHeight="1" x14ac:dyDescent="0.25">
      <c r="A274" s="7" t="str">
        <f>IF(CARGA_DIARIA!A274="","",CARGA_DIARIA!A274)</f>
        <v/>
      </c>
      <c r="B274" s="8" t="str">
        <f>IF(CARGA_DIARIA!A274="","",CARGA_DIARIA!B274)</f>
        <v/>
      </c>
      <c r="C274" s="9" t="str">
        <f>IF(CARGA_DIARIA!A274="","",IF(CARGA_DIARIA!B274=0,0,(CARGA_DIARIA!C274+CARGA_DIARIA!D274+CARGA_DIARIA!E274+CARGA_DIARIA!F274+CARGA_DIARIA!G274+CARGA_DIARIA!H274+CARGA_DIARIA!I274+CARGA_DIARIA!AF274+CARGA_DIARIA!AG274+CARGA_DIARIA!AH274+CARGA_DIARIA!AI274)/CARGA_DIARIA!B274+CARGA_DIARIA!AE274))</f>
        <v/>
      </c>
      <c r="D274" s="10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10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13" t="s">
        <v>64</v>
      </c>
      <c r="G274" s="13" t="s">
        <v>64</v>
      </c>
      <c r="H274" s="12" t="str">
        <f>IF(CARGA_DIARIA!A274="","",C274-D274-E274)</f>
        <v/>
      </c>
    </row>
    <row r="275" spans="1:8" ht="15.75" customHeight="1" x14ac:dyDescent="0.25">
      <c r="A275" s="7" t="str">
        <f>IF(CARGA_DIARIA!A275="","",CARGA_DIARIA!A275)</f>
        <v/>
      </c>
      <c r="B275" s="8" t="str">
        <f>IF(CARGA_DIARIA!A275="","",CARGA_DIARIA!B275)</f>
        <v/>
      </c>
      <c r="C275" s="9" t="str">
        <f>IF(CARGA_DIARIA!A275="","",IF(CARGA_DIARIA!B275=0,0,(CARGA_DIARIA!C275+CARGA_DIARIA!D275+CARGA_DIARIA!E275+CARGA_DIARIA!F275+CARGA_DIARIA!G275+CARGA_DIARIA!H275+CARGA_DIARIA!I275+CARGA_DIARIA!AF275+CARGA_DIARIA!AG275+CARGA_DIARIA!AH275+CARGA_DIARIA!AI275)/CARGA_DIARIA!B275+CARGA_DIARIA!AE275))</f>
        <v/>
      </c>
      <c r="D275" s="10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10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13" t="s">
        <v>64</v>
      </c>
      <c r="G275" s="13" t="s">
        <v>64</v>
      </c>
      <c r="H275" s="12" t="str">
        <f>IF(CARGA_DIARIA!A275="","",C275-D275-E275)</f>
        <v/>
      </c>
    </row>
    <row r="276" spans="1:8" ht="15.75" customHeight="1" x14ac:dyDescent="0.25">
      <c r="A276" s="7" t="str">
        <f>IF(CARGA_DIARIA!A276="","",CARGA_DIARIA!A276)</f>
        <v/>
      </c>
      <c r="B276" s="8" t="str">
        <f>IF(CARGA_DIARIA!A276="","",CARGA_DIARIA!B276)</f>
        <v/>
      </c>
      <c r="C276" s="9" t="str">
        <f>IF(CARGA_DIARIA!A276="","",IF(CARGA_DIARIA!B276=0,0,(CARGA_DIARIA!C276+CARGA_DIARIA!D276+CARGA_DIARIA!E276+CARGA_DIARIA!F276+CARGA_DIARIA!G276+CARGA_DIARIA!H276+CARGA_DIARIA!I276+CARGA_DIARIA!AF276+CARGA_DIARIA!AG276+CARGA_DIARIA!AH276+CARGA_DIARIA!AI276)/CARGA_DIARIA!B276+CARGA_DIARIA!AE276))</f>
        <v/>
      </c>
      <c r="D276" s="10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10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13" t="s">
        <v>64</v>
      </c>
      <c r="G276" s="13" t="s">
        <v>64</v>
      </c>
      <c r="H276" s="12" t="str">
        <f>IF(CARGA_DIARIA!A276="","",C276-D276-E276)</f>
        <v/>
      </c>
    </row>
    <row r="277" spans="1:8" ht="15.75" customHeight="1" x14ac:dyDescent="0.25">
      <c r="A277" s="7" t="str">
        <f>IF(CARGA_DIARIA!A277="","",CARGA_DIARIA!A277)</f>
        <v/>
      </c>
      <c r="B277" s="8" t="str">
        <f>IF(CARGA_DIARIA!A277="","",CARGA_DIARIA!B277)</f>
        <v/>
      </c>
      <c r="C277" s="9" t="str">
        <f>IF(CARGA_DIARIA!A277="","",IF(CARGA_DIARIA!B277=0,0,(CARGA_DIARIA!C277+CARGA_DIARIA!D277+CARGA_DIARIA!E277+CARGA_DIARIA!F277+CARGA_DIARIA!G277+CARGA_DIARIA!H277+CARGA_DIARIA!I277+CARGA_DIARIA!AF277+CARGA_DIARIA!AG277+CARGA_DIARIA!AH277+CARGA_DIARIA!AI277)/CARGA_DIARIA!B277+CARGA_DIARIA!AE277))</f>
        <v/>
      </c>
      <c r="D277" s="10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10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13" t="s">
        <v>64</v>
      </c>
      <c r="G277" s="13" t="s">
        <v>64</v>
      </c>
      <c r="H277" s="12" t="str">
        <f>IF(CARGA_DIARIA!A277="","",C277-D277-E277)</f>
        <v/>
      </c>
    </row>
    <row r="278" spans="1:8" ht="15.75" customHeight="1" x14ac:dyDescent="0.25">
      <c r="A278" s="7" t="str">
        <f>IF(CARGA_DIARIA!A278="","",CARGA_DIARIA!A278)</f>
        <v/>
      </c>
      <c r="B278" s="8" t="str">
        <f>IF(CARGA_DIARIA!A278="","",CARGA_DIARIA!B278)</f>
        <v/>
      </c>
      <c r="C278" s="9" t="str">
        <f>IF(CARGA_DIARIA!A278="","",IF(CARGA_DIARIA!B278=0,0,(CARGA_DIARIA!C278+CARGA_DIARIA!D278+CARGA_DIARIA!E278+CARGA_DIARIA!F278+CARGA_DIARIA!G278+CARGA_DIARIA!H278+CARGA_DIARIA!I278+CARGA_DIARIA!AF278+CARGA_DIARIA!AG278+CARGA_DIARIA!AH278+CARGA_DIARIA!AI278)/CARGA_DIARIA!B278+CARGA_DIARIA!AE278))</f>
        <v/>
      </c>
      <c r="D278" s="10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10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13" t="s">
        <v>64</v>
      </c>
      <c r="G278" s="13" t="s">
        <v>64</v>
      </c>
      <c r="H278" s="12" t="str">
        <f>IF(CARGA_DIARIA!A278="","",C278-D278-E278)</f>
        <v/>
      </c>
    </row>
    <row r="279" spans="1:8" ht="15.75" customHeight="1" x14ac:dyDescent="0.25">
      <c r="A279" s="7" t="str">
        <f>IF(CARGA_DIARIA!A279="","",CARGA_DIARIA!A279)</f>
        <v/>
      </c>
      <c r="B279" s="8" t="str">
        <f>IF(CARGA_DIARIA!A279="","",CARGA_DIARIA!B279)</f>
        <v/>
      </c>
      <c r="C279" s="9" t="str">
        <f>IF(CARGA_DIARIA!A279="","",IF(CARGA_DIARIA!B279=0,0,(CARGA_DIARIA!C279+CARGA_DIARIA!D279+CARGA_DIARIA!E279+CARGA_DIARIA!F279+CARGA_DIARIA!G279+CARGA_DIARIA!H279+CARGA_DIARIA!I279+CARGA_DIARIA!AF279+CARGA_DIARIA!AG279+CARGA_DIARIA!AH279+CARGA_DIARIA!AI279)/CARGA_DIARIA!B279+CARGA_DIARIA!AE279))</f>
        <v/>
      </c>
      <c r="D279" s="10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10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13" t="s">
        <v>64</v>
      </c>
      <c r="G279" s="13" t="s">
        <v>64</v>
      </c>
      <c r="H279" s="12" t="str">
        <f>IF(CARGA_DIARIA!A279="","",C279-D279-E279)</f>
        <v/>
      </c>
    </row>
    <row r="280" spans="1:8" ht="15.75" customHeight="1" x14ac:dyDescent="0.25">
      <c r="A280" s="7" t="str">
        <f>IF(CARGA_DIARIA!A280="","",CARGA_DIARIA!A280)</f>
        <v/>
      </c>
      <c r="B280" s="8" t="str">
        <f>IF(CARGA_DIARIA!A280="","",CARGA_DIARIA!B280)</f>
        <v/>
      </c>
      <c r="C280" s="9" t="str">
        <f>IF(CARGA_DIARIA!A280="","",IF(CARGA_DIARIA!B280=0,0,(CARGA_DIARIA!C280+CARGA_DIARIA!D280+CARGA_DIARIA!E280+CARGA_DIARIA!F280+CARGA_DIARIA!G280+CARGA_DIARIA!H280+CARGA_DIARIA!I280+CARGA_DIARIA!AF280+CARGA_DIARIA!AG280+CARGA_DIARIA!AH280+CARGA_DIARIA!AI280)/CARGA_DIARIA!B280+CARGA_DIARIA!AE280))</f>
        <v/>
      </c>
      <c r="D280" s="10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10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13" t="s">
        <v>64</v>
      </c>
      <c r="G280" s="13" t="s">
        <v>64</v>
      </c>
      <c r="H280" s="12" t="str">
        <f>IF(CARGA_DIARIA!A280="","",C280-D280-E280)</f>
        <v/>
      </c>
    </row>
    <row r="281" spans="1:8" ht="15.75" customHeight="1" x14ac:dyDescent="0.25">
      <c r="A281" s="7" t="str">
        <f>IF(CARGA_DIARIA!A281="","",CARGA_DIARIA!A281)</f>
        <v/>
      </c>
      <c r="B281" s="8" t="str">
        <f>IF(CARGA_DIARIA!A281="","",CARGA_DIARIA!B281)</f>
        <v/>
      </c>
      <c r="C281" s="9" t="str">
        <f>IF(CARGA_DIARIA!A281="","",IF(CARGA_DIARIA!B281=0,0,(CARGA_DIARIA!C281+CARGA_DIARIA!D281+CARGA_DIARIA!E281+CARGA_DIARIA!F281+CARGA_DIARIA!G281+CARGA_DIARIA!H281+CARGA_DIARIA!I281+CARGA_DIARIA!AF281+CARGA_DIARIA!AG281+CARGA_DIARIA!AH281+CARGA_DIARIA!AI281)/CARGA_DIARIA!B281+CARGA_DIARIA!AE281))</f>
        <v/>
      </c>
      <c r="D281" s="10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10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13" t="s">
        <v>64</v>
      </c>
      <c r="G281" s="13" t="s">
        <v>64</v>
      </c>
      <c r="H281" s="12" t="str">
        <f>IF(CARGA_DIARIA!A281="","",C281-D281-E281)</f>
        <v/>
      </c>
    </row>
    <row r="282" spans="1:8" ht="15.75" customHeight="1" x14ac:dyDescent="0.25">
      <c r="A282" s="7" t="str">
        <f>IF(CARGA_DIARIA!A282="","",CARGA_DIARIA!A282)</f>
        <v/>
      </c>
      <c r="B282" s="8" t="str">
        <f>IF(CARGA_DIARIA!A282="","",CARGA_DIARIA!B282)</f>
        <v/>
      </c>
      <c r="C282" s="9" t="str">
        <f>IF(CARGA_DIARIA!A282="","",IF(CARGA_DIARIA!B282=0,0,(CARGA_DIARIA!C282+CARGA_DIARIA!D282+CARGA_DIARIA!E282+CARGA_DIARIA!F282+CARGA_DIARIA!G282+CARGA_DIARIA!H282+CARGA_DIARIA!I282+CARGA_DIARIA!AF282+CARGA_DIARIA!AG282+CARGA_DIARIA!AH282+CARGA_DIARIA!AI282)/CARGA_DIARIA!B282+CARGA_DIARIA!AE282))</f>
        <v/>
      </c>
      <c r="D282" s="10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10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13" t="s">
        <v>64</v>
      </c>
      <c r="G282" s="13" t="s">
        <v>64</v>
      </c>
      <c r="H282" s="12" t="str">
        <f>IF(CARGA_DIARIA!A282="","",C282-D282-E282)</f>
        <v/>
      </c>
    </row>
    <row r="283" spans="1:8" ht="15.75" customHeight="1" x14ac:dyDescent="0.25">
      <c r="A283" s="7" t="str">
        <f>IF(CARGA_DIARIA!A283="","",CARGA_DIARIA!A283)</f>
        <v/>
      </c>
      <c r="B283" s="8" t="str">
        <f>IF(CARGA_DIARIA!A283="","",CARGA_DIARIA!B283)</f>
        <v/>
      </c>
      <c r="C283" s="9" t="str">
        <f>IF(CARGA_DIARIA!A283="","",IF(CARGA_DIARIA!B283=0,0,(CARGA_DIARIA!C283+CARGA_DIARIA!D283+CARGA_DIARIA!E283+CARGA_DIARIA!F283+CARGA_DIARIA!G283+CARGA_DIARIA!H283+CARGA_DIARIA!I283+CARGA_DIARIA!AF283+CARGA_DIARIA!AG283+CARGA_DIARIA!AH283+CARGA_DIARIA!AI283)/CARGA_DIARIA!B283+CARGA_DIARIA!AE283))</f>
        <v/>
      </c>
      <c r="D283" s="10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10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13" t="s">
        <v>64</v>
      </c>
      <c r="G283" s="13" t="s">
        <v>64</v>
      </c>
      <c r="H283" s="12" t="str">
        <f>IF(CARGA_DIARIA!A283="","",C283-D283-E283)</f>
        <v/>
      </c>
    </row>
    <row r="284" spans="1:8" ht="15.75" customHeight="1" x14ac:dyDescent="0.25">
      <c r="A284" s="7" t="str">
        <f>IF(CARGA_DIARIA!A284="","",CARGA_DIARIA!A284)</f>
        <v/>
      </c>
      <c r="B284" s="8" t="str">
        <f>IF(CARGA_DIARIA!A284="","",CARGA_DIARIA!B284)</f>
        <v/>
      </c>
      <c r="C284" s="9" t="str">
        <f>IF(CARGA_DIARIA!A284="","",IF(CARGA_DIARIA!B284=0,0,(CARGA_DIARIA!C284+CARGA_DIARIA!D284+CARGA_DIARIA!E284+CARGA_DIARIA!F284+CARGA_DIARIA!G284+CARGA_DIARIA!H284+CARGA_DIARIA!I284+CARGA_DIARIA!AF284+CARGA_DIARIA!AG284+CARGA_DIARIA!AH284+CARGA_DIARIA!AI284)/CARGA_DIARIA!B284+CARGA_DIARIA!AE284))</f>
        <v/>
      </c>
      <c r="D284" s="10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10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13" t="s">
        <v>64</v>
      </c>
      <c r="G284" s="13" t="s">
        <v>64</v>
      </c>
      <c r="H284" s="12" t="str">
        <f>IF(CARGA_DIARIA!A284="","",C284-D284-E284)</f>
        <v/>
      </c>
    </row>
    <row r="285" spans="1:8" ht="15.75" customHeight="1" x14ac:dyDescent="0.25">
      <c r="A285" s="7" t="str">
        <f>IF(CARGA_DIARIA!A285="","",CARGA_DIARIA!A285)</f>
        <v/>
      </c>
      <c r="B285" s="8" t="str">
        <f>IF(CARGA_DIARIA!A285="","",CARGA_DIARIA!B285)</f>
        <v/>
      </c>
      <c r="C285" s="9" t="str">
        <f>IF(CARGA_DIARIA!A285="","",IF(CARGA_DIARIA!B285=0,0,(CARGA_DIARIA!C285+CARGA_DIARIA!D285+CARGA_DIARIA!E285+CARGA_DIARIA!F285+CARGA_DIARIA!G285+CARGA_DIARIA!H285+CARGA_DIARIA!I285+CARGA_DIARIA!AF285+CARGA_DIARIA!AG285+CARGA_DIARIA!AH285+CARGA_DIARIA!AI285)/CARGA_DIARIA!B285+CARGA_DIARIA!AE285))</f>
        <v/>
      </c>
      <c r="D285" s="10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10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13" t="s">
        <v>64</v>
      </c>
      <c r="G285" s="13" t="s">
        <v>64</v>
      </c>
      <c r="H285" s="12" t="str">
        <f>IF(CARGA_DIARIA!A285="","",C285-D285-E285)</f>
        <v/>
      </c>
    </row>
    <row r="286" spans="1:8" ht="15.75" customHeight="1" x14ac:dyDescent="0.25">
      <c r="A286" s="7" t="str">
        <f>IF(CARGA_DIARIA!A286="","",CARGA_DIARIA!A286)</f>
        <v/>
      </c>
      <c r="B286" s="8" t="str">
        <f>IF(CARGA_DIARIA!A286="","",CARGA_DIARIA!B286)</f>
        <v/>
      </c>
      <c r="C286" s="9" t="str">
        <f>IF(CARGA_DIARIA!A286="","",IF(CARGA_DIARIA!B286=0,0,(CARGA_DIARIA!C286+CARGA_DIARIA!D286+CARGA_DIARIA!E286+CARGA_DIARIA!F286+CARGA_DIARIA!G286+CARGA_DIARIA!H286+CARGA_DIARIA!I286+CARGA_DIARIA!AF286+CARGA_DIARIA!AG286+CARGA_DIARIA!AH286+CARGA_DIARIA!AI286)/CARGA_DIARIA!B286+CARGA_DIARIA!AE286))</f>
        <v/>
      </c>
      <c r="D286" s="10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10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13" t="s">
        <v>64</v>
      </c>
      <c r="G286" s="13" t="s">
        <v>64</v>
      </c>
      <c r="H286" s="12" t="str">
        <f>IF(CARGA_DIARIA!A286="","",C286-D286-E286)</f>
        <v/>
      </c>
    </row>
    <row r="287" spans="1:8" ht="15.75" customHeight="1" x14ac:dyDescent="0.25">
      <c r="A287" s="7" t="str">
        <f>IF(CARGA_DIARIA!A287="","",CARGA_DIARIA!A287)</f>
        <v/>
      </c>
      <c r="B287" s="8" t="str">
        <f>IF(CARGA_DIARIA!A287="","",CARGA_DIARIA!B287)</f>
        <v/>
      </c>
      <c r="C287" s="9" t="str">
        <f>IF(CARGA_DIARIA!A287="","",IF(CARGA_DIARIA!B287=0,0,(CARGA_DIARIA!C287+CARGA_DIARIA!D287+CARGA_DIARIA!E287+CARGA_DIARIA!F287+CARGA_DIARIA!G287+CARGA_DIARIA!H287+CARGA_DIARIA!I287+CARGA_DIARIA!AF287+CARGA_DIARIA!AG287+CARGA_DIARIA!AH287+CARGA_DIARIA!AI287)/CARGA_DIARIA!B287+CARGA_DIARIA!AE287))</f>
        <v/>
      </c>
      <c r="D287" s="10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10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13" t="s">
        <v>64</v>
      </c>
      <c r="G287" s="13" t="s">
        <v>64</v>
      </c>
      <c r="H287" s="12" t="str">
        <f>IF(CARGA_DIARIA!A287="","",C287-D287-E287)</f>
        <v/>
      </c>
    </row>
    <row r="288" spans="1:8" ht="15.75" customHeight="1" x14ac:dyDescent="0.25">
      <c r="A288" s="7" t="str">
        <f>IF(CARGA_DIARIA!A288="","",CARGA_DIARIA!A288)</f>
        <v/>
      </c>
      <c r="B288" s="8" t="str">
        <f>IF(CARGA_DIARIA!A288="","",CARGA_DIARIA!B288)</f>
        <v/>
      </c>
      <c r="C288" s="9" t="str">
        <f>IF(CARGA_DIARIA!A288="","",IF(CARGA_DIARIA!B288=0,0,(CARGA_DIARIA!C288+CARGA_DIARIA!D288+CARGA_DIARIA!E288+CARGA_DIARIA!F288+CARGA_DIARIA!G288+CARGA_DIARIA!H288+CARGA_DIARIA!I288+CARGA_DIARIA!AF288+CARGA_DIARIA!AG288+CARGA_DIARIA!AH288+CARGA_DIARIA!AI288)/CARGA_DIARIA!B288+CARGA_DIARIA!AE288))</f>
        <v/>
      </c>
      <c r="D288" s="10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10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13" t="s">
        <v>64</v>
      </c>
      <c r="G288" s="13" t="s">
        <v>64</v>
      </c>
      <c r="H288" s="12" t="str">
        <f>IF(CARGA_DIARIA!A288="","",C288-D288-E288)</f>
        <v/>
      </c>
    </row>
    <row r="289" spans="1:8" ht="15.75" customHeight="1" x14ac:dyDescent="0.25">
      <c r="A289" s="7" t="str">
        <f>IF(CARGA_DIARIA!A289="","",CARGA_DIARIA!A289)</f>
        <v/>
      </c>
      <c r="B289" s="8" t="str">
        <f>IF(CARGA_DIARIA!A289="","",CARGA_DIARIA!B289)</f>
        <v/>
      </c>
      <c r="C289" s="9" t="str">
        <f>IF(CARGA_DIARIA!A289="","",IF(CARGA_DIARIA!B289=0,0,(CARGA_DIARIA!C289+CARGA_DIARIA!D289+CARGA_DIARIA!E289+CARGA_DIARIA!F289+CARGA_DIARIA!G289+CARGA_DIARIA!H289+CARGA_DIARIA!I289+CARGA_DIARIA!AF289+CARGA_DIARIA!AG289+CARGA_DIARIA!AH289+CARGA_DIARIA!AI289)/CARGA_DIARIA!B289+CARGA_DIARIA!AE289))</f>
        <v/>
      </c>
      <c r="D289" s="10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10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13" t="s">
        <v>64</v>
      </c>
      <c r="G289" s="13" t="s">
        <v>64</v>
      </c>
      <c r="H289" s="12" t="str">
        <f>IF(CARGA_DIARIA!A289="","",C289-D289-E289)</f>
        <v/>
      </c>
    </row>
    <row r="290" spans="1:8" ht="15.75" customHeight="1" x14ac:dyDescent="0.25">
      <c r="A290" s="7" t="str">
        <f>IF(CARGA_DIARIA!A290="","",CARGA_DIARIA!A290)</f>
        <v/>
      </c>
      <c r="B290" s="8" t="str">
        <f>IF(CARGA_DIARIA!A290="","",CARGA_DIARIA!B290)</f>
        <v/>
      </c>
      <c r="C290" s="9" t="str">
        <f>IF(CARGA_DIARIA!A290="","",IF(CARGA_DIARIA!B290=0,0,(CARGA_DIARIA!C290+CARGA_DIARIA!D290+CARGA_DIARIA!E290+CARGA_DIARIA!F290+CARGA_DIARIA!G290+CARGA_DIARIA!H290+CARGA_DIARIA!I290+CARGA_DIARIA!AF290+CARGA_DIARIA!AG290+CARGA_DIARIA!AH290+CARGA_DIARIA!AI290)/CARGA_DIARIA!B290+CARGA_DIARIA!AE290))</f>
        <v/>
      </c>
      <c r="D290" s="10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10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13" t="s">
        <v>64</v>
      </c>
      <c r="G290" s="13" t="s">
        <v>64</v>
      </c>
      <c r="H290" s="12" t="str">
        <f>IF(CARGA_DIARIA!A290="","",C290-D290-E290)</f>
        <v/>
      </c>
    </row>
    <row r="291" spans="1:8" ht="15.75" customHeight="1" x14ac:dyDescent="0.25">
      <c r="A291" s="7" t="str">
        <f>IF(CARGA_DIARIA!A291="","",CARGA_DIARIA!A291)</f>
        <v/>
      </c>
      <c r="B291" s="8" t="str">
        <f>IF(CARGA_DIARIA!A291="","",CARGA_DIARIA!B291)</f>
        <v/>
      </c>
      <c r="C291" s="9" t="str">
        <f>IF(CARGA_DIARIA!A291="","",IF(CARGA_DIARIA!B291=0,0,(CARGA_DIARIA!C291+CARGA_DIARIA!D291+CARGA_DIARIA!E291+CARGA_DIARIA!F291+CARGA_DIARIA!G291+CARGA_DIARIA!H291+CARGA_DIARIA!I291+CARGA_DIARIA!AF291+CARGA_DIARIA!AG291+CARGA_DIARIA!AH291+CARGA_DIARIA!AI291)/CARGA_DIARIA!B291+CARGA_DIARIA!AE291))</f>
        <v/>
      </c>
      <c r="D291" s="10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10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13" t="s">
        <v>64</v>
      </c>
      <c r="G291" s="13" t="s">
        <v>64</v>
      </c>
      <c r="H291" s="12" t="str">
        <f>IF(CARGA_DIARIA!A291="","",C291-D291-E291)</f>
        <v/>
      </c>
    </row>
    <row r="292" spans="1:8" ht="15.75" customHeight="1" x14ac:dyDescent="0.25">
      <c r="A292" s="7" t="str">
        <f>IF(CARGA_DIARIA!A292="","",CARGA_DIARIA!A292)</f>
        <v/>
      </c>
      <c r="B292" s="8" t="str">
        <f>IF(CARGA_DIARIA!A292="","",CARGA_DIARIA!B292)</f>
        <v/>
      </c>
      <c r="C292" s="9" t="str">
        <f>IF(CARGA_DIARIA!A292="","",IF(CARGA_DIARIA!B292=0,0,(CARGA_DIARIA!C292+CARGA_DIARIA!D292+CARGA_DIARIA!E292+CARGA_DIARIA!F292+CARGA_DIARIA!G292+CARGA_DIARIA!H292+CARGA_DIARIA!I292+CARGA_DIARIA!AF292+CARGA_DIARIA!AG292+CARGA_DIARIA!AH292+CARGA_DIARIA!AI292)/CARGA_DIARIA!B292+CARGA_DIARIA!AE292))</f>
        <v/>
      </c>
      <c r="D292" s="10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10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13" t="s">
        <v>64</v>
      </c>
      <c r="G292" s="13" t="s">
        <v>64</v>
      </c>
      <c r="H292" s="12" t="str">
        <f>IF(CARGA_DIARIA!A292="","",C292-D292-E292)</f>
        <v/>
      </c>
    </row>
    <row r="293" spans="1:8" ht="15.75" customHeight="1" x14ac:dyDescent="0.25">
      <c r="A293" s="7" t="str">
        <f>IF(CARGA_DIARIA!A293="","",CARGA_DIARIA!A293)</f>
        <v/>
      </c>
      <c r="B293" s="8" t="str">
        <f>IF(CARGA_DIARIA!A293="","",CARGA_DIARIA!B293)</f>
        <v/>
      </c>
      <c r="C293" s="9" t="str">
        <f>IF(CARGA_DIARIA!A293="","",IF(CARGA_DIARIA!B293=0,0,(CARGA_DIARIA!C293+CARGA_DIARIA!D293+CARGA_DIARIA!E293+CARGA_DIARIA!F293+CARGA_DIARIA!G293+CARGA_DIARIA!H293+CARGA_DIARIA!I293+CARGA_DIARIA!AF293+CARGA_DIARIA!AG293+CARGA_DIARIA!AH293+CARGA_DIARIA!AI293)/CARGA_DIARIA!B293+CARGA_DIARIA!AE293))</f>
        <v/>
      </c>
      <c r="D293" s="10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10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13" t="s">
        <v>64</v>
      </c>
      <c r="G293" s="13" t="s">
        <v>64</v>
      </c>
      <c r="H293" s="12" t="str">
        <f>IF(CARGA_DIARIA!A293="","",C293-D293-E293)</f>
        <v/>
      </c>
    </row>
    <row r="294" spans="1:8" ht="15.75" customHeight="1" x14ac:dyDescent="0.25">
      <c r="A294" s="7" t="str">
        <f>IF(CARGA_DIARIA!A294="","",CARGA_DIARIA!A294)</f>
        <v/>
      </c>
      <c r="B294" s="8" t="str">
        <f>IF(CARGA_DIARIA!A294="","",CARGA_DIARIA!B294)</f>
        <v/>
      </c>
      <c r="C294" s="9" t="str">
        <f>IF(CARGA_DIARIA!A294="","",IF(CARGA_DIARIA!B294=0,0,(CARGA_DIARIA!C294+CARGA_DIARIA!D294+CARGA_DIARIA!E294+CARGA_DIARIA!F294+CARGA_DIARIA!G294+CARGA_DIARIA!H294+CARGA_DIARIA!I294+CARGA_DIARIA!AF294+CARGA_DIARIA!AG294+CARGA_DIARIA!AH294+CARGA_DIARIA!AI294)/CARGA_DIARIA!B294+CARGA_DIARIA!AE294))</f>
        <v/>
      </c>
      <c r="D294" s="10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10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13" t="s">
        <v>64</v>
      </c>
      <c r="G294" s="13" t="s">
        <v>64</v>
      </c>
      <c r="H294" s="12" t="str">
        <f>IF(CARGA_DIARIA!A294="","",C294-D294-E294)</f>
        <v/>
      </c>
    </row>
    <row r="295" spans="1:8" ht="15.75" customHeight="1" x14ac:dyDescent="0.25">
      <c r="A295" s="7" t="str">
        <f>IF(CARGA_DIARIA!A295="","",CARGA_DIARIA!A295)</f>
        <v/>
      </c>
      <c r="B295" s="8" t="str">
        <f>IF(CARGA_DIARIA!A295="","",CARGA_DIARIA!B295)</f>
        <v/>
      </c>
      <c r="C295" s="9" t="str">
        <f>IF(CARGA_DIARIA!A295="","",IF(CARGA_DIARIA!B295=0,0,(CARGA_DIARIA!C295+CARGA_DIARIA!D295+CARGA_DIARIA!E295+CARGA_DIARIA!F295+CARGA_DIARIA!G295+CARGA_DIARIA!H295+CARGA_DIARIA!I295+CARGA_DIARIA!AF295+CARGA_DIARIA!AG295+CARGA_DIARIA!AH295+CARGA_DIARIA!AI295)/CARGA_DIARIA!B295+CARGA_DIARIA!AE295))</f>
        <v/>
      </c>
      <c r="D295" s="10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10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13" t="s">
        <v>64</v>
      </c>
      <c r="G295" s="13" t="s">
        <v>64</v>
      </c>
      <c r="H295" s="12" t="str">
        <f>IF(CARGA_DIARIA!A295="","",C295-D295-E295)</f>
        <v/>
      </c>
    </row>
    <row r="296" spans="1:8" ht="15.75" customHeight="1" x14ac:dyDescent="0.25">
      <c r="A296" s="7" t="str">
        <f>IF(CARGA_DIARIA!A296="","",CARGA_DIARIA!A296)</f>
        <v/>
      </c>
      <c r="B296" s="8" t="str">
        <f>IF(CARGA_DIARIA!A296="","",CARGA_DIARIA!B296)</f>
        <v/>
      </c>
      <c r="C296" s="9" t="str">
        <f>IF(CARGA_DIARIA!A296="","",IF(CARGA_DIARIA!B296=0,0,(CARGA_DIARIA!C296+CARGA_DIARIA!D296+CARGA_DIARIA!E296+CARGA_DIARIA!F296+CARGA_DIARIA!G296+CARGA_DIARIA!H296+CARGA_DIARIA!I296+CARGA_DIARIA!AF296+CARGA_DIARIA!AG296+CARGA_DIARIA!AH296+CARGA_DIARIA!AI296)/CARGA_DIARIA!B296+CARGA_DIARIA!AE296))</f>
        <v/>
      </c>
      <c r="D296" s="10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10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13" t="s">
        <v>64</v>
      </c>
      <c r="G296" s="13" t="s">
        <v>64</v>
      </c>
      <c r="H296" s="12" t="str">
        <f>IF(CARGA_DIARIA!A296="","",C296-D296-E296)</f>
        <v/>
      </c>
    </row>
    <row r="297" spans="1:8" ht="15.75" customHeight="1" x14ac:dyDescent="0.25">
      <c r="A297" s="7" t="str">
        <f>IF(CARGA_DIARIA!A297="","",CARGA_DIARIA!A297)</f>
        <v/>
      </c>
      <c r="B297" s="8" t="str">
        <f>IF(CARGA_DIARIA!A297="","",CARGA_DIARIA!B297)</f>
        <v/>
      </c>
      <c r="C297" s="9" t="str">
        <f>IF(CARGA_DIARIA!A297="","",IF(CARGA_DIARIA!B297=0,0,(CARGA_DIARIA!C297+CARGA_DIARIA!D297+CARGA_DIARIA!E297+CARGA_DIARIA!F297+CARGA_DIARIA!G297+CARGA_DIARIA!H297+CARGA_DIARIA!I297+CARGA_DIARIA!AF297+CARGA_DIARIA!AG297+CARGA_DIARIA!AH297+CARGA_DIARIA!AI297)/CARGA_DIARIA!B297+CARGA_DIARIA!AE297))</f>
        <v/>
      </c>
      <c r="D297" s="10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10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13" t="s">
        <v>64</v>
      </c>
      <c r="G297" s="13" t="s">
        <v>64</v>
      </c>
      <c r="H297" s="12" t="str">
        <f>IF(CARGA_DIARIA!A297="","",C297-D297-E297)</f>
        <v/>
      </c>
    </row>
    <row r="298" spans="1:8" ht="15.75" customHeight="1" x14ac:dyDescent="0.25">
      <c r="A298" s="7" t="str">
        <f>IF(CARGA_DIARIA!A298="","",CARGA_DIARIA!A298)</f>
        <v/>
      </c>
      <c r="B298" s="8" t="str">
        <f>IF(CARGA_DIARIA!A298="","",CARGA_DIARIA!B298)</f>
        <v/>
      </c>
      <c r="C298" s="9" t="str">
        <f>IF(CARGA_DIARIA!A298="","",IF(CARGA_DIARIA!B298=0,0,(CARGA_DIARIA!C298+CARGA_DIARIA!D298+CARGA_DIARIA!E298+CARGA_DIARIA!F298+CARGA_DIARIA!G298+CARGA_DIARIA!H298+CARGA_DIARIA!I298+CARGA_DIARIA!AF298+CARGA_DIARIA!AG298+CARGA_DIARIA!AH298+CARGA_DIARIA!AI298)/CARGA_DIARIA!B298+CARGA_DIARIA!AE298))</f>
        <v/>
      </c>
      <c r="D298" s="10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10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13" t="s">
        <v>64</v>
      </c>
      <c r="G298" s="13" t="s">
        <v>64</v>
      </c>
      <c r="H298" s="12" t="str">
        <f>IF(CARGA_DIARIA!A298="","",C298-D298-E298)</f>
        <v/>
      </c>
    </row>
    <row r="299" spans="1:8" ht="15.75" customHeight="1" x14ac:dyDescent="0.25">
      <c r="A299" s="7" t="str">
        <f>IF(CARGA_DIARIA!A299="","",CARGA_DIARIA!A299)</f>
        <v/>
      </c>
      <c r="B299" s="8" t="str">
        <f>IF(CARGA_DIARIA!A299="","",CARGA_DIARIA!B299)</f>
        <v/>
      </c>
      <c r="C299" s="9" t="str">
        <f>IF(CARGA_DIARIA!A299="","",IF(CARGA_DIARIA!B299=0,0,(CARGA_DIARIA!C299+CARGA_DIARIA!D299+CARGA_DIARIA!E299+CARGA_DIARIA!F299+CARGA_DIARIA!G299+CARGA_DIARIA!H299+CARGA_DIARIA!I299+CARGA_DIARIA!AF299+CARGA_DIARIA!AG299+CARGA_DIARIA!AH299+CARGA_DIARIA!AI299)/CARGA_DIARIA!B299+CARGA_DIARIA!AE299))</f>
        <v/>
      </c>
      <c r="D299" s="10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10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13" t="s">
        <v>64</v>
      </c>
      <c r="G299" s="13" t="s">
        <v>64</v>
      </c>
      <c r="H299" s="12" t="str">
        <f>IF(CARGA_DIARIA!A299="","",C299-D299-E299)</f>
        <v/>
      </c>
    </row>
    <row r="300" spans="1:8" ht="15.75" customHeight="1" x14ac:dyDescent="0.25">
      <c r="A300" s="7" t="str">
        <f>IF(CARGA_DIARIA!A300="","",CARGA_DIARIA!A300)</f>
        <v/>
      </c>
      <c r="B300" s="8" t="str">
        <f>IF(CARGA_DIARIA!A300="","",CARGA_DIARIA!B300)</f>
        <v/>
      </c>
      <c r="C300" s="9" t="str">
        <f>IF(CARGA_DIARIA!A300="","",IF(CARGA_DIARIA!B300=0,0,(CARGA_DIARIA!C300+CARGA_DIARIA!D300+CARGA_DIARIA!E300+CARGA_DIARIA!F300+CARGA_DIARIA!G300+CARGA_DIARIA!H300+CARGA_DIARIA!I300+CARGA_DIARIA!AF300+CARGA_DIARIA!AG300+CARGA_DIARIA!AH300+CARGA_DIARIA!AI300)/CARGA_DIARIA!B300+CARGA_DIARIA!AE300))</f>
        <v/>
      </c>
      <c r="D300" s="10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10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13" t="s">
        <v>64</v>
      </c>
      <c r="G300" s="13" t="s">
        <v>64</v>
      </c>
      <c r="H300" s="12" t="str">
        <f>IF(CARGA_DIARIA!A300="","",C300-D300-E300)</f>
        <v/>
      </c>
    </row>
    <row r="301" spans="1:8" ht="15.75" customHeight="1" x14ac:dyDescent="0.25">
      <c r="A301" s="7" t="str">
        <f>IF(CARGA_DIARIA!A301="","",CARGA_DIARIA!A301)</f>
        <v/>
      </c>
      <c r="B301" s="8" t="str">
        <f>IF(CARGA_DIARIA!A301="","",CARGA_DIARIA!B301)</f>
        <v/>
      </c>
      <c r="C301" s="9" t="str">
        <f>IF(CARGA_DIARIA!A301="","",IF(CARGA_DIARIA!B301=0,0,(CARGA_DIARIA!C301+CARGA_DIARIA!D301+CARGA_DIARIA!E301+CARGA_DIARIA!F301+CARGA_DIARIA!G301+CARGA_DIARIA!H301+CARGA_DIARIA!I301+CARGA_DIARIA!AF301+CARGA_DIARIA!AG301+CARGA_DIARIA!AH301+CARGA_DIARIA!AI301)/CARGA_DIARIA!B301+CARGA_DIARIA!AE301))</f>
        <v/>
      </c>
      <c r="D301" s="10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10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13" t="s">
        <v>64</v>
      </c>
      <c r="G301" s="13" t="s">
        <v>64</v>
      </c>
      <c r="H301" s="12" t="str">
        <f>IF(CARGA_DIARIA!A301="","",C301-D301-E301)</f>
        <v/>
      </c>
    </row>
    <row r="302" spans="1:8" ht="15.75" customHeight="1" x14ac:dyDescent="0.25">
      <c r="A302" s="7" t="str">
        <f>IF(CARGA_DIARIA!A302="","",CARGA_DIARIA!A302)</f>
        <v/>
      </c>
      <c r="B302" s="8" t="str">
        <f>IF(CARGA_DIARIA!A302="","",CARGA_DIARIA!B302)</f>
        <v/>
      </c>
      <c r="C302" s="9" t="str">
        <f>IF(CARGA_DIARIA!A302="","",IF(CARGA_DIARIA!B302=0,0,(CARGA_DIARIA!C302+CARGA_DIARIA!D302+CARGA_DIARIA!E302+CARGA_DIARIA!F302+CARGA_DIARIA!G302+CARGA_DIARIA!H302+CARGA_DIARIA!I302+CARGA_DIARIA!AF302+CARGA_DIARIA!AG302+CARGA_DIARIA!AH302+CARGA_DIARIA!AI302)/CARGA_DIARIA!B302+CARGA_DIARIA!AE302))</f>
        <v/>
      </c>
      <c r="D302" s="10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10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13" t="s">
        <v>64</v>
      </c>
      <c r="G302" s="13" t="s">
        <v>64</v>
      </c>
      <c r="H302" s="12" t="str">
        <f>IF(CARGA_DIARIA!A302="","",C302-D302-E302)</f>
        <v/>
      </c>
    </row>
    <row r="303" spans="1:8" ht="15.75" customHeight="1" x14ac:dyDescent="0.25">
      <c r="A303" s="7" t="str">
        <f>IF(CARGA_DIARIA!A303="","",CARGA_DIARIA!A303)</f>
        <v/>
      </c>
      <c r="B303" s="8" t="str">
        <f>IF(CARGA_DIARIA!A303="","",CARGA_DIARIA!B303)</f>
        <v/>
      </c>
      <c r="C303" s="9" t="str">
        <f>IF(CARGA_DIARIA!A303="","",IF(CARGA_DIARIA!B303=0,0,(CARGA_DIARIA!C303+CARGA_DIARIA!D303+CARGA_DIARIA!E303+CARGA_DIARIA!F303+CARGA_DIARIA!G303+CARGA_DIARIA!H303+CARGA_DIARIA!I303+CARGA_DIARIA!AF303+CARGA_DIARIA!AG303+CARGA_DIARIA!AH303+CARGA_DIARIA!AI303)/CARGA_DIARIA!B303+CARGA_DIARIA!AE303))</f>
        <v/>
      </c>
      <c r="D303" s="10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10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13" t="s">
        <v>64</v>
      </c>
      <c r="G303" s="13" t="s">
        <v>64</v>
      </c>
      <c r="H303" s="12" t="str">
        <f>IF(CARGA_DIARIA!A303="","",C303-D303-E303)</f>
        <v/>
      </c>
    </row>
    <row r="304" spans="1:8" ht="15.75" customHeight="1" x14ac:dyDescent="0.25">
      <c r="A304" s="7" t="str">
        <f>IF(CARGA_DIARIA!A304="","",CARGA_DIARIA!A304)</f>
        <v/>
      </c>
      <c r="B304" s="8" t="str">
        <f>IF(CARGA_DIARIA!A304="","",CARGA_DIARIA!B304)</f>
        <v/>
      </c>
      <c r="C304" s="9" t="str">
        <f>IF(CARGA_DIARIA!A304="","",IF(CARGA_DIARIA!B304=0,0,(CARGA_DIARIA!C304+CARGA_DIARIA!D304+CARGA_DIARIA!E304+CARGA_DIARIA!F304+CARGA_DIARIA!G304+CARGA_DIARIA!H304+CARGA_DIARIA!I304+CARGA_DIARIA!AF304+CARGA_DIARIA!AG304+CARGA_DIARIA!AH304+CARGA_DIARIA!AI304)/CARGA_DIARIA!B304+CARGA_DIARIA!AE304))</f>
        <v/>
      </c>
      <c r="D304" s="10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10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13" t="s">
        <v>64</v>
      </c>
      <c r="G304" s="13" t="s">
        <v>64</v>
      </c>
      <c r="H304" s="12" t="str">
        <f>IF(CARGA_DIARIA!A304="","",C304-D304-E304)</f>
        <v/>
      </c>
    </row>
    <row r="305" spans="1:8" ht="15.75" customHeight="1" x14ac:dyDescent="0.25">
      <c r="A305" s="7" t="str">
        <f>IF(CARGA_DIARIA!A305="","",CARGA_DIARIA!A305)</f>
        <v/>
      </c>
      <c r="B305" s="8" t="str">
        <f>IF(CARGA_DIARIA!A305="","",CARGA_DIARIA!B305)</f>
        <v/>
      </c>
      <c r="C305" s="9" t="str">
        <f>IF(CARGA_DIARIA!A305="","",IF(CARGA_DIARIA!B305=0,0,(CARGA_DIARIA!C305+CARGA_DIARIA!D305+CARGA_DIARIA!E305+CARGA_DIARIA!F305+CARGA_DIARIA!G305+CARGA_DIARIA!H305+CARGA_DIARIA!I305+CARGA_DIARIA!AF305+CARGA_DIARIA!AG305+CARGA_DIARIA!AH305+CARGA_DIARIA!AI305)/CARGA_DIARIA!B305+CARGA_DIARIA!AE305))</f>
        <v/>
      </c>
      <c r="D305" s="10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10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13" t="s">
        <v>64</v>
      </c>
      <c r="G305" s="13" t="s">
        <v>64</v>
      </c>
      <c r="H305" s="12" t="str">
        <f>IF(CARGA_DIARIA!A305="","",C305-D305-E305)</f>
        <v/>
      </c>
    </row>
    <row r="306" spans="1:8" ht="15.75" customHeight="1" x14ac:dyDescent="0.25">
      <c r="A306" s="7" t="str">
        <f>IF(CARGA_DIARIA!A306="","",CARGA_DIARIA!A306)</f>
        <v/>
      </c>
      <c r="B306" s="8" t="str">
        <f>IF(CARGA_DIARIA!A306="","",CARGA_DIARIA!B306)</f>
        <v/>
      </c>
      <c r="C306" s="9" t="str">
        <f>IF(CARGA_DIARIA!A306="","",IF(CARGA_DIARIA!B306=0,0,(CARGA_DIARIA!C306+CARGA_DIARIA!D306+CARGA_DIARIA!E306+CARGA_DIARIA!F306+CARGA_DIARIA!G306+CARGA_DIARIA!H306+CARGA_DIARIA!I306+CARGA_DIARIA!AF306+CARGA_DIARIA!AG306+CARGA_DIARIA!AH306+CARGA_DIARIA!AI306)/CARGA_DIARIA!B306+CARGA_DIARIA!AE306))</f>
        <v/>
      </c>
      <c r="D306" s="10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10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13" t="s">
        <v>64</v>
      </c>
      <c r="G306" s="13" t="s">
        <v>64</v>
      </c>
      <c r="H306" s="12" t="str">
        <f>IF(CARGA_DIARIA!A306="","",C306-D306-E306)</f>
        <v/>
      </c>
    </row>
    <row r="307" spans="1:8" ht="15.75" customHeight="1" x14ac:dyDescent="0.25">
      <c r="A307" s="7" t="str">
        <f>IF(CARGA_DIARIA!A307="","",CARGA_DIARIA!A307)</f>
        <v/>
      </c>
      <c r="B307" s="8" t="str">
        <f>IF(CARGA_DIARIA!A307="","",CARGA_DIARIA!B307)</f>
        <v/>
      </c>
      <c r="C307" s="9" t="str">
        <f>IF(CARGA_DIARIA!A307="","",IF(CARGA_DIARIA!B307=0,0,(CARGA_DIARIA!C307+CARGA_DIARIA!D307+CARGA_DIARIA!E307+CARGA_DIARIA!F307+CARGA_DIARIA!G307+CARGA_DIARIA!H307+CARGA_DIARIA!I307+CARGA_DIARIA!AF307+CARGA_DIARIA!AG307+CARGA_DIARIA!AH307+CARGA_DIARIA!AI307)/CARGA_DIARIA!B307+CARGA_DIARIA!AE307))</f>
        <v/>
      </c>
      <c r="D307" s="10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10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13" t="s">
        <v>64</v>
      </c>
      <c r="G307" s="13" t="s">
        <v>64</v>
      </c>
      <c r="H307" s="12" t="str">
        <f>IF(CARGA_DIARIA!A307="","",C307-D307-E307)</f>
        <v/>
      </c>
    </row>
    <row r="308" spans="1:8" ht="15.75" customHeight="1" x14ac:dyDescent="0.25">
      <c r="A308" s="7" t="str">
        <f>IF(CARGA_DIARIA!A308="","",CARGA_DIARIA!A308)</f>
        <v/>
      </c>
      <c r="B308" s="8" t="str">
        <f>IF(CARGA_DIARIA!A308="","",CARGA_DIARIA!B308)</f>
        <v/>
      </c>
      <c r="C308" s="9" t="str">
        <f>IF(CARGA_DIARIA!A308="","",IF(CARGA_DIARIA!B308=0,0,(CARGA_DIARIA!C308+CARGA_DIARIA!D308+CARGA_DIARIA!E308+CARGA_DIARIA!F308+CARGA_DIARIA!G308+CARGA_DIARIA!H308+CARGA_DIARIA!I308+CARGA_DIARIA!AF308+CARGA_DIARIA!AG308+CARGA_DIARIA!AH308+CARGA_DIARIA!AI308)/CARGA_DIARIA!B308+CARGA_DIARIA!AE308))</f>
        <v/>
      </c>
      <c r="D308" s="10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10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13" t="s">
        <v>64</v>
      </c>
      <c r="G308" s="13" t="s">
        <v>64</v>
      </c>
      <c r="H308" s="12" t="str">
        <f>IF(CARGA_DIARIA!A308="","",C308-D308-E308)</f>
        <v/>
      </c>
    </row>
    <row r="309" spans="1:8" ht="15.75" customHeight="1" x14ac:dyDescent="0.25">
      <c r="A309" s="7" t="str">
        <f>IF(CARGA_DIARIA!A309="","",CARGA_DIARIA!A309)</f>
        <v/>
      </c>
      <c r="B309" s="8" t="str">
        <f>IF(CARGA_DIARIA!A309="","",CARGA_DIARIA!B309)</f>
        <v/>
      </c>
      <c r="C309" s="9" t="str">
        <f>IF(CARGA_DIARIA!A309="","",IF(CARGA_DIARIA!B309=0,0,(CARGA_DIARIA!C309+CARGA_DIARIA!D309+CARGA_DIARIA!E309+CARGA_DIARIA!F309+CARGA_DIARIA!G309+CARGA_DIARIA!H309+CARGA_DIARIA!I309+CARGA_DIARIA!AF309+CARGA_DIARIA!AG309+CARGA_DIARIA!AH309+CARGA_DIARIA!AI309)/CARGA_DIARIA!B309+CARGA_DIARIA!AE309))</f>
        <v/>
      </c>
      <c r="D309" s="10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10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13" t="s">
        <v>64</v>
      </c>
      <c r="G309" s="13" t="s">
        <v>64</v>
      </c>
      <c r="H309" s="12" t="str">
        <f>IF(CARGA_DIARIA!A309="","",C309-D309-E309)</f>
        <v/>
      </c>
    </row>
    <row r="310" spans="1:8" ht="15.75" customHeight="1" x14ac:dyDescent="0.25">
      <c r="A310" s="7" t="str">
        <f>IF(CARGA_DIARIA!A310="","",CARGA_DIARIA!A310)</f>
        <v/>
      </c>
      <c r="B310" s="8" t="str">
        <f>IF(CARGA_DIARIA!A310="","",CARGA_DIARIA!B310)</f>
        <v/>
      </c>
      <c r="C310" s="9" t="str">
        <f>IF(CARGA_DIARIA!A310="","",IF(CARGA_DIARIA!B310=0,0,(CARGA_DIARIA!C310+CARGA_DIARIA!D310+CARGA_DIARIA!E310+CARGA_DIARIA!F310+CARGA_DIARIA!G310+CARGA_DIARIA!H310+CARGA_DIARIA!I310+CARGA_DIARIA!AF310+CARGA_DIARIA!AG310+CARGA_DIARIA!AH310+CARGA_DIARIA!AI310)/CARGA_DIARIA!B310+CARGA_DIARIA!AE310))</f>
        <v/>
      </c>
      <c r="D310" s="10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10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13" t="s">
        <v>64</v>
      </c>
      <c r="G310" s="13" t="s">
        <v>64</v>
      </c>
      <c r="H310" s="12" t="str">
        <f>IF(CARGA_DIARIA!A310="","",C310-D310-E310)</f>
        <v/>
      </c>
    </row>
    <row r="311" spans="1:8" ht="15.75" customHeight="1" x14ac:dyDescent="0.25">
      <c r="A311" s="7" t="str">
        <f>IF(CARGA_DIARIA!A311="","",CARGA_DIARIA!A311)</f>
        <v/>
      </c>
      <c r="B311" s="8" t="str">
        <f>IF(CARGA_DIARIA!A311="","",CARGA_DIARIA!B311)</f>
        <v/>
      </c>
      <c r="C311" s="9" t="str">
        <f>IF(CARGA_DIARIA!A311="","",IF(CARGA_DIARIA!B311=0,0,(CARGA_DIARIA!C311+CARGA_DIARIA!D311+CARGA_DIARIA!E311+CARGA_DIARIA!F311+CARGA_DIARIA!G311+CARGA_DIARIA!H311+CARGA_DIARIA!I311+CARGA_DIARIA!AF311+CARGA_DIARIA!AG311+CARGA_DIARIA!AH311+CARGA_DIARIA!AI311)/CARGA_DIARIA!B311+CARGA_DIARIA!AE311))</f>
        <v/>
      </c>
      <c r="D311" s="10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10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13" t="s">
        <v>64</v>
      </c>
      <c r="G311" s="13" t="s">
        <v>64</v>
      </c>
      <c r="H311" s="12" t="str">
        <f>IF(CARGA_DIARIA!A311="","",C311-D311-E311)</f>
        <v/>
      </c>
    </row>
    <row r="312" spans="1:8" ht="15.75" customHeight="1" x14ac:dyDescent="0.25">
      <c r="A312" s="7" t="str">
        <f>IF(CARGA_DIARIA!A312="","",CARGA_DIARIA!A312)</f>
        <v/>
      </c>
      <c r="B312" s="8" t="str">
        <f>IF(CARGA_DIARIA!A312="","",CARGA_DIARIA!B312)</f>
        <v/>
      </c>
      <c r="C312" s="9" t="str">
        <f>IF(CARGA_DIARIA!A312="","",IF(CARGA_DIARIA!B312=0,0,(CARGA_DIARIA!C312+CARGA_DIARIA!D312+CARGA_DIARIA!E312+CARGA_DIARIA!F312+CARGA_DIARIA!G312+CARGA_DIARIA!H312+CARGA_DIARIA!I312+CARGA_DIARIA!AF312+CARGA_DIARIA!AG312+CARGA_DIARIA!AH312+CARGA_DIARIA!AI312)/CARGA_DIARIA!B312+CARGA_DIARIA!AE312))</f>
        <v/>
      </c>
      <c r="D312" s="10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10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13" t="s">
        <v>64</v>
      </c>
      <c r="G312" s="13" t="s">
        <v>64</v>
      </c>
      <c r="H312" s="12" t="str">
        <f>IF(CARGA_DIARIA!A312="","",C312-D312-E312)</f>
        <v/>
      </c>
    </row>
    <row r="313" spans="1:8" ht="15.75" customHeight="1" x14ac:dyDescent="0.25">
      <c r="A313" s="7" t="str">
        <f>IF(CARGA_DIARIA!A313="","",CARGA_DIARIA!A313)</f>
        <v/>
      </c>
      <c r="B313" s="8" t="str">
        <f>IF(CARGA_DIARIA!A313="","",CARGA_DIARIA!B313)</f>
        <v/>
      </c>
      <c r="C313" s="9" t="str">
        <f>IF(CARGA_DIARIA!A313="","",IF(CARGA_DIARIA!B313=0,0,(CARGA_DIARIA!C313+CARGA_DIARIA!D313+CARGA_DIARIA!E313+CARGA_DIARIA!F313+CARGA_DIARIA!G313+CARGA_DIARIA!H313+CARGA_DIARIA!I313+CARGA_DIARIA!AF313+CARGA_DIARIA!AG313+CARGA_DIARIA!AH313+CARGA_DIARIA!AI313)/CARGA_DIARIA!B313+CARGA_DIARIA!AE313))</f>
        <v/>
      </c>
      <c r="D313" s="10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10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13" t="s">
        <v>64</v>
      </c>
      <c r="G313" s="13" t="s">
        <v>64</v>
      </c>
      <c r="H313" s="12" t="str">
        <f>IF(CARGA_DIARIA!A313="","",C313-D313-E313)</f>
        <v/>
      </c>
    </row>
    <row r="314" spans="1:8" ht="15.75" customHeight="1" x14ac:dyDescent="0.25">
      <c r="A314" s="7" t="str">
        <f>IF(CARGA_DIARIA!A314="","",CARGA_DIARIA!A314)</f>
        <v/>
      </c>
      <c r="B314" s="8" t="str">
        <f>IF(CARGA_DIARIA!A314="","",CARGA_DIARIA!B314)</f>
        <v/>
      </c>
      <c r="C314" s="9" t="str">
        <f>IF(CARGA_DIARIA!A314="","",IF(CARGA_DIARIA!B314=0,0,(CARGA_DIARIA!C314+CARGA_DIARIA!D314+CARGA_DIARIA!E314+CARGA_DIARIA!F314+CARGA_DIARIA!G314+CARGA_DIARIA!H314+CARGA_DIARIA!I314+CARGA_DIARIA!AF314+CARGA_DIARIA!AG314+CARGA_DIARIA!AH314+CARGA_DIARIA!AI314)/CARGA_DIARIA!B314+CARGA_DIARIA!AE314))</f>
        <v/>
      </c>
      <c r="D314" s="10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10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13" t="s">
        <v>64</v>
      </c>
      <c r="G314" s="13" t="s">
        <v>64</v>
      </c>
      <c r="H314" s="12" t="str">
        <f>IF(CARGA_DIARIA!A314="","",C314-D314-E314)</f>
        <v/>
      </c>
    </row>
    <row r="315" spans="1:8" ht="15.75" customHeight="1" x14ac:dyDescent="0.25">
      <c r="A315" s="7" t="str">
        <f>IF(CARGA_DIARIA!A315="","",CARGA_DIARIA!A315)</f>
        <v/>
      </c>
      <c r="B315" s="8" t="str">
        <f>IF(CARGA_DIARIA!A315="","",CARGA_DIARIA!B315)</f>
        <v/>
      </c>
      <c r="C315" s="9" t="str">
        <f>IF(CARGA_DIARIA!A315="","",IF(CARGA_DIARIA!B315=0,0,(CARGA_DIARIA!C315+CARGA_DIARIA!D315+CARGA_DIARIA!E315+CARGA_DIARIA!F315+CARGA_DIARIA!G315+CARGA_DIARIA!H315+CARGA_DIARIA!I315+CARGA_DIARIA!AF315+CARGA_DIARIA!AG315+CARGA_DIARIA!AH315+CARGA_DIARIA!AI315)/CARGA_DIARIA!B315+CARGA_DIARIA!AE315))</f>
        <v/>
      </c>
      <c r="D315" s="10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10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13" t="s">
        <v>64</v>
      </c>
      <c r="G315" s="13" t="s">
        <v>64</v>
      </c>
      <c r="H315" s="12" t="str">
        <f>IF(CARGA_DIARIA!A315="","",C315-D315-E315)</f>
        <v/>
      </c>
    </row>
    <row r="316" spans="1:8" ht="15.75" customHeight="1" x14ac:dyDescent="0.25">
      <c r="A316" s="7" t="str">
        <f>IF(CARGA_DIARIA!A316="","",CARGA_DIARIA!A316)</f>
        <v/>
      </c>
      <c r="B316" s="8" t="str">
        <f>IF(CARGA_DIARIA!A316="","",CARGA_DIARIA!B316)</f>
        <v/>
      </c>
      <c r="C316" s="9" t="str">
        <f>IF(CARGA_DIARIA!A316="","",IF(CARGA_DIARIA!B316=0,0,(CARGA_DIARIA!C316+CARGA_DIARIA!D316+CARGA_DIARIA!E316+CARGA_DIARIA!F316+CARGA_DIARIA!G316+CARGA_DIARIA!H316+CARGA_DIARIA!I316+CARGA_DIARIA!AF316+CARGA_DIARIA!AG316+CARGA_DIARIA!AH316+CARGA_DIARIA!AI316)/CARGA_DIARIA!B316+CARGA_DIARIA!AE316))</f>
        <v/>
      </c>
      <c r="D316" s="10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10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13" t="s">
        <v>64</v>
      </c>
      <c r="G316" s="13" t="s">
        <v>64</v>
      </c>
      <c r="H316" s="12" t="str">
        <f>IF(CARGA_DIARIA!A316="","",C316-D316-E316)</f>
        <v/>
      </c>
    </row>
    <row r="317" spans="1:8" ht="15.75" customHeight="1" x14ac:dyDescent="0.25">
      <c r="A317" s="7" t="str">
        <f>IF(CARGA_DIARIA!A317="","",CARGA_DIARIA!A317)</f>
        <v/>
      </c>
      <c r="B317" s="8" t="str">
        <f>IF(CARGA_DIARIA!A317="","",CARGA_DIARIA!B317)</f>
        <v/>
      </c>
      <c r="C317" s="9" t="str">
        <f>IF(CARGA_DIARIA!A317="","",IF(CARGA_DIARIA!B317=0,0,(CARGA_DIARIA!C317+CARGA_DIARIA!D317+CARGA_DIARIA!E317+CARGA_DIARIA!F317+CARGA_DIARIA!G317+CARGA_DIARIA!H317+CARGA_DIARIA!I317+CARGA_DIARIA!AF317+CARGA_DIARIA!AG317+CARGA_DIARIA!AH317+CARGA_DIARIA!AI317)/CARGA_DIARIA!B317+CARGA_DIARIA!AE317))</f>
        <v/>
      </c>
      <c r="D317" s="10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10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13" t="s">
        <v>64</v>
      </c>
      <c r="G317" s="13" t="s">
        <v>64</v>
      </c>
      <c r="H317" s="12" t="str">
        <f>IF(CARGA_DIARIA!A317="","",C317-D317-E317)</f>
        <v/>
      </c>
    </row>
    <row r="318" spans="1:8" ht="15.75" customHeight="1" x14ac:dyDescent="0.25">
      <c r="A318" s="7" t="str">
        <f>IF(CARGA_DIARIA!A318="","",CARGA_DIARIA!A318)</f>
        <v/>
      </c>
      <c r="B318" s="8" t="str">
        <f>IF(CARGA_DIARIA!A318="","",CARGA_DIARIA!B318)</f>
        <v/>
      </c>
      <c r="C318" s="9" t="str">
        <f>IF(CARGA_DIARIA!A318="","",IF(CARGA_DIARIA!B318=0,0,(CARGA_DIARIA!C318+CARGA_DIARIA!D318+CARGA_DIARIA!E318+CARGA_DIARIA!F318+CARGA_DIARIA!G318+CARGA_DIARIA!H318+CARGA_DIARIA!I318+CARGA_DIARIA!AF318+CARGA_DIARIA!AG318+CARGA_DIARIA!AH318+CARGA_DIARIA!AI318)/CARGA_DIARIA!B318+CARGA_DIARIA!AE318))</f>
        <v/>
      </c>
      <c r="D318" s="10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10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13" t="s">
        <v>64</v>
      </c>
      <c r="G318" s="13" t="s">
        <v>64</v>
      </c>
      <c r="H318" s="12" t="str">
        <f>IF(CARGA_DIARIA!A318="","",C318-D318-E318)</f>
        <v/>
      </c>
    </row>
    <row r="319" spans="1:8" ht="15.75" customHeight="1" x14ac:dyDescent="0.25">
      <c r="A319" s="7" t="str">
        <f>IF(CARGA_DIARIA!A319="","",CARGA_DIARIA!A319)</f>
        <v/>
      </c>
      <c r="B319" s="8" t="str">
        <f>IF(CARGA_DIARIA!A319="","",CARGA_DIARIA!B319)</f>
        <v/>
      </c>
      <c r="C319" s="9" t="str">
        <f>IF(CARGA_DIARIA!A319="","",IF(CARGA_DIARIA!B319=0,0,(CARGA_DIARIA!C319+CARGA_DIARIA!D319+CARGA_DIARIA!E319+CARGA_DIARIA!F319+CARGA_DIARIA!G319+CARGA_DIARIA!H319+CARGA_DIARIA!I319+CARGA_DIARIA!AF319+CARGA_DIARIA!AG319+CARGA_DIARIA!AH319+CARGA_DIARIA!AI319)/CARGA_DIARIA!B319+CARGA_DIARIA!AE319))</f>
        <v/>
      </c>
      <c r="D319" s="10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10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13" t="s">
        <v>64</v>
      </c>
      <c r="G319" s="13" t="s">
        <v>64</v>
      </c>
      <c r="H319" s="12" t="str">
        <f>IF(CARGA_DIARIA!A319="","",C319-D319-E319)</f>
        <v/>
      </c>
    </row>
    <row r="320" spans="1:8" ht="15.75" customHeight="1" x14ac:dyDescent="0.25">
      <c r="A320" s="7" t="str">
        <f>IF(CARGA_DIARIA!A320="","",CARGA_DIARIA!A320)</f>
        <v/>
      </c>
      <c r="B320" s="8" t="str">
        <f>IF(CARGA_DIARIA!A320="","",CARGA_DIARIA!B320)</f>
        <v/>
      </c>
      <c r="C320" s="9" t="str">
        <f>IF(CARGA_DIARIA!A320="","",IF(CARGA_DIARIA!B320=0,0,(CARGA_DIARIA!C320+CARGA_DIARIA!D320+CARGA_DIARIA!E320+CARGA_DIARIA!F320+CARGA_DIARIA!G320+CARGA_DIARIA!H320+CARGA_DIARIA!I320+CARGA_DIARIA!AF320+CARGA_DIARIA!AG320+CARGA_DIARIA!AH320+CARGA_DIARIA!AI320)/CARGA_DIARIA!B320+CARGA_DIARIA!AE320))</f>
        <v/>
      </c>
      <c r="D320" s="10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10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13" t="s">
        <v>64</v>
      </c>
      <c r="G320" s="13" t="s">
        <v>64</v>
      </c>
      <c r="H320" s="12" t="str">
        <f>IF(CARGA_DIARIA!A320="","",C320-D320-E320)</f>
        <v/>
      </c>
    </row>
    <row r="321" spans="1:8" ht="15.75" customHeight="1" x14ac:dyDescent="0.25">
      <c r="A321" s="7" t="str">
        <f>IF(CARGA_DIARIA!A321="","",CARGA_DIARIA!A321)</f>
        <v/>
      </c>
      <c r="B321" s="8" t="str">
        <f>IF(CARGA_DIARIA!A321="","",CARGA_DIARIA!B321)</f>
        <v/>
      </c>
      <c r="C321" s="9" t="str">
        <f>IF(CARGA_DIARIA!A321="","",IF(CARGA_DIARIA!B321=0,0,(CARGA_DIARIA!C321+CARGA_DIARIA!D321+CARGA_DIARIA!E321+CARGA_DIARIA!F321+CARGA_DIARIA!G321+CARGA_DIARIA!H321+CARGA_DIARIA!I321+CARGA_DIARIA!AF321+CARGA_DIARIA!AG321+CARGA_DIARIA!AH321+CARGA_DIARIA!AI321)/CARGA_DIARIA!B321+CARGA_DIARIA!AE321))</f>
        <v/>
      </c>
      <c r="D321" s="10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10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13" t="s">
        <v>64</v>
      </c>
      <c r="G321" s="13" t="s">
        <v>64</v>
      </c>
      <c r="H321" s="12" t="str">
        <f>IF(CARGA_DIARIA!A321="","",C321-D321-E321)</f>
        <v/>
      </c>
    </row>
    <row r="322" spans="1:8" ht="15.75" customHeight="1" x14ac:dyDescent="0.25">
      <c r="A322" s="7" t="str">
        <f>IF(CARGA_DIARIA!A322="","",CARGA_DIARIA!A322)</f>
        <v/>
      </c>
      <c r="B322" s="8" t="str">
        <f>IF(CARGA_DIARIA!A322="","",CARGA_DIARIA!B322)</f>
        <v/>
      </c>
      <c r="C322" s="9" t="str">
        <f>IF(CARGA_DIARIA!A322="","",IF(CARGA_DIARIA!B322=0,0,(CARGA_DIARIA!C322+CARGA_DIARIA!D322+CARGA_DIARIA!E322+CARGA_DIARIA!F322+CARGA_DIARIA!G322+CARGA_DIARIA!H322+CARGA_DIARIA!I322+CARGA_DIARIA!AF322+CARGA_DIARIA!AG322+CARGA_DIARIA!AH322+CARGA_DIARIA!AI322)/CARGA_DIARIA!B322+CARGA_DIARIA!AE322))</f>
        <v/>
      </c>
      <c r="D322" s="10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10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13" t="s">
        <v>64</v>
      </c>
      <c r="G322" s="13" t="s">
        <v>64</v>
      </c>
      <c r="H322" s="12" t="str">
        <f>IF(CARGA_DIARIA!A322="","",C322-D322-E322)</f>
        <v/>
      </c>
    </row>
    <row r="323" spans="1:8" ht="15.75" customHeight="1" x14ac:dyDescent="0.25">
      <c r="A323" s="7" t="str">
        <f>IF(CARGA_DIARIA!A323="","",CARGA_DIARIA!A323)</f>
        <v/>
      </c>
      <c r="B323" s="8" t="str">
        <f>IF(CARGA_DIARIA!A323="","",CARGA_DIARIA!B323)</f>
        <v/>
      </c>
      <c r="C323" s="9" t="str">
        <f>IF(CARGA_DIARIA!A323="","",IF(CARGA_DIARIA!B323=0,0,(CARGA_DIARIA!C323+CARGA_DIARIA!D323+CARGA_DIARIA!E323+CARGA_DIARIA!F323+CARGA_DIARIA!G323+CARGA_DIARIA!H323+CARGA_DIARIA!I323+CARGA_DIARIA!AF323+CARGA_DIARIA!AG323+CARGA_DIARIA!AH323+CARGA_DIARIA!AI323)/CARGA_DIARIA!B323+CARGA_DIARIA!AE323))</f>
        <v/>
      </c>
      <c r="D323" s="10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10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13" t="s">
        <v>64</v>
      </c>
      <c r="G323" s="13" t="s">
        <v>64</v>
      </c>
      <c r="H323" s="12" t="str">
        <f>IF(CARGA_DIARIA!A323="","",C323-D323-E323)</f>
        <v/>
      </c>
    </row>
    <row r="324" spans="1:8" ht="15.75" customHeight="1" x14ac:dyDescent="0.25">
      <c r="A324" s="7" t="str">
        <f>IF(CARGA_DIARIA!A324="","",CARGA_DIARIA!A324)</f>
        <v/>
      </c>
      <c r="B324" s="8" t="str">
        <f>IF(CARGA_DIARIA!A324="","",CARGA_DIARIA!B324)</f>
        <v/>
      </c>
      <c r="C324" s="9" t="str">
        <f>IF(CARGA_DIARIA!A324="","",IF(CARGA_DIARIA!B324=0,0,(CARGA_DIARIA!C324+CARGA_DIARIA!D324+CARGA_DIARIA!E324+CARGA_DIARIA!F324+CARGA_DIARIA!G324+CARGA_DIARIA!H324+CARGA_DIARIA!I324+CARGA_DIARIA!AF324+CARGA_DIARIA!AG324+CARGA_DIARIA!AH324+CARGA_DIARIA!AI324)/CARGA_DIARIA!B324+CARGA_DIARIA!AE324))</f>
        <v/>
      </c>
      <c r="D324" s="10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10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13" t="s">
        <v>64</v>
      </c>
      <c r="G324" s="13" t="s">
        <v>64</v>
      </c>
      <c r="H324" s="12" t="str">
        <f>IF(CARGA_DIARIA!A324="","",C324-D324-E324)</f>
        <v/>
      </c>
    </row>
    <row r="325" spans="1:8" ht="15.75" customHeight="1" x14ac:dyDescent="0.25">
      <c r="A325" s="7" t="str">
        <f>IF(CARGA_DIARIA!A325="","",CARGA_DIARIA!A325)</f>
        <v/>
      </c>
      <c r="B325" s="8" t="str">
        <f>IF(CARGA_DIARIA!A325="","",CARGA_DIARIA!B325)</f>
        <v/>
      </c>
      <c r="C325" s="9" t="str">
        <f>IF(CARGA_DIARIA!A325="","",IF(CARGA_DIARIA!B325=0,0,(CARGA_DIARIA!C325+CARGA_DIARIA!D325+CARGA_DIARIA!E325+CARGA_DIARIA!F325+CARGA_DIARIA!G325+CARGA_DIARIA!H325+CARGA_DIARIA!I325+CARGA_DIARIA!AF325+CARGA_DIARIA!AG325+CARGA_DIARIA!AH325+CARGA_DIARIA!AI325)/CARGA_DIARIA!B325+CARGA_DIARIA!AE325))</f>
        <v/>
      </c>
      <c r="D325" s="10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10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13" t="s">
        <v>64</v>
      </c>
      <c r="G325" s="13" t="s">
        <v>64</v>
      </c>
      <c r="H325" s="12" t="str">
        <f>IF(CARGA_DIARIA!A325="","",C325-D325-E325)</f>
        <v/>
      </c>
    </row>
    <row r="326" spans="1:8" ht="15.75" customHeight="1" x14ac:dyDescent="0.25">
      <c r="A326" s="7" t="str">
        <f>IF(CARGA_DIARIA!A326="","",CARGA_DIARIA!A326)</f>
        <v/>
      </c>
      <c r="B326" s="8" t="str">
        <f>IF(CARGA_DIARIA!A326="","",CARGA_DIARIA!B326)</f>
        <v/>
      </c>
      <c r="C326" s="9" t="str">
        <f>IF(CARGA_DIARIA!A326="","",IF(CARGA_DIARIA!B326=0,0,(CARGA_DIARIA!C326+CARGA_DIARIA!D326+CARGA_DIARIA!E326+CARGA_DIARIA!F326+CARGA_DIARIA!G326+CARGA_DIARIA!H326+CARGA_DIARIA!I326+CARGA_DIARIA!AF326+CARGA_DIARIA!AG326+CARGA_DIARIA!AH326+CARGA_DIARIA!AI326)/CARGA_DIARIA!B326+CARGA_DIARIA!AE326))</f>
        <v/>
      </c>
      <c r="D326" s="10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10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13" t="s">
        <v>64</v>
      </c>
      <c r="G326" s="13" t="s">
        <v>64</v>
      </c>
      <c r="H326" s="12" t="str">
        <f>IF(CARGA_DIARIA!A326="","",C326-D326-E326)</f>
        <v/>
      </c>
    </row>
    <row r="327" spans="1:8" ht="15.75" customHeight="1" x14ac:dyDescent="0.25">
      <c r="A327" s="7" t="str">
        <f>IF(CARGA_DIARIA!A327="","",CARGA_DIARIA!A327)</f>
        <v/>
      </c>
      <c r="B327" s="8" t="str">
        <f>IF(CARGA_DIARIA!A327="","",CARGA_DIARIA!B327)</f>
        <v/>
      </c>
      <c r="C327" s="9" t="str">
        <f>IF(CARGA_DIARIA!A327="","",IF(CARGA_DIARIA!B327=0,0,(CARGA_DIARIA!C327+CARGA_DIARIA!D327+CARGA_DIARIA!E327+CARGA_DIARIA!F327+CARGA_DIARIA!G327+CARGA_DIARIA!H327+CARGA_DIARIA!I327+CARGA_DIARIA!AF327+CARGA_DIARIA!AG327+CARGA_DIARIA!AH327+CARGA_DIARIA!AI327)/CARGA_DIARIA!B327+CARGA_DIARIA!AE327))</f>
        <v/>
      </c>
      <c r="D327" s="10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10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13" t="s">
        <v>64</v>
      </c>
      <c r="G327" s="13" t="s">
        <v>64</v>
      </c>
      <c r="H327" s="12" t="str">
        <f>IF(CARGA_DIARIA!A327="","",C327-D327-E327)</f>
        <v/>
      </c>
    </row>
    <row r="328" spans="1:8" ht="15.75" customHeight="1" x14ac:dyDescent="0.25">
      <c r="A328" s="7" t="str">
        <f>IF(CARGA_DIARIA!A328="","",CARGA_DIARIA!A328)</f>
        <v/>
      </c>
      <c r="B328" s="8" t="str">
        <f>IF(CARGA_DIARIA!A328="","",CARGA_DIARIA!B328)</f>
        <v/>
      </c>
      <c r="C328" s="9" t="str">
        <f>IF(CARGA_DIARIA!A328="","",IF(CARGA_DIARIA!B328=0,0,(CARGA_DIARIA!C328+CARGA_DIARIA!D328+CARGA_DIARIA!E328+CARGA_DIARIA!F328+CARGA_DIARIA!G328+CARGA_DIARIA!H328+CARGA_DIARIA!I328+CARGA_DIARIA!AF328+CARGA_DIARIA!AG328+CARGA_DIARIA!AH328+CARGA_DIARIA!AI328)/CARGA_DIARIA!B328+CARGA_DIARIA!AE328))</f>
        <v/>
      </c>
      <c r="D328" s="10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10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13" t="s">
        <v>64</v>
      </c>
      <c r="G328" s="13" t="s">
        <v>64</v>
      </c>
      <c r="H328" s="12" t="str">
        <f>IF(CARGA_DIARIA!A328="","",C328-D328-E328)</f>
        <v/>
      </c>
    </row>
    <row r="329" spans="1:8" ht="15.75" customHeight="1" x14ac:dyDescent="0.25">
      <c r="A329" s="7" t="str">
        <f>IF(CARGA_DIARIA!A329="","",CARGA_DIARIA!A329)</f>
        <v/>
      </c>
      <c r="B329" s="8" t="str">
        <f>IF(CARGA_DIARIA!A329="","",CARGA_DIARIA!B329)</f>
        <v/>
      </c>
      <c r="C329" s="9" t="str">
        <f>IF(CARGA_DIARIA!A329="","",IF(CARGA_DIARIA!B329=0,0,(CARGA_DIARIA!C329+CARGA_DIARIA!D329+CARGA_DIARIA!E329+CARGA_DIARIA!F329+CARGA_DIARIA!G329+CARGA_DIARIA!H329+CARGA_DIARIA!I329+CARGA_DIARIA!AF329+CARGA_DIARIA!AG329+CARGA_DIARIA!AH329+CARGA_DIARIA!AI329)/CARGA_DIARIA!B329+CARGA_DIARIA!AE329))</f>
        <v/>
      </c>
      <c r="D329" s="10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10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13" t="s">
        <v>64</v>
      </c>
      <c r="G329" s="13" t="s">
        <v>64</v>
      </c>
      <c r="H329" s="12" t="str">
        <f>IF(CARGA_DIARIA!A329="","",C329-D329-E329)</f>
        <v/>
      </c>
    </row>
    <row r="330" spans="1:8" ht="15.75" customHeight="1" x14ac:dyDescent="0.25">
      <c r="A330" s="7" t="str">
        <f>IF(CARGA_DIARIA!A330="","",CARGA_DIARIA!A330)</f>
        <v/>
      </c>
      <c r="B330" s="8" t="str">
        <f>IF(CARGA_DIARIA!A330="","",CARGA_DIARIA!B330)</f>
        <v/>
      </c>
      <c r="C330" s="9" t="str">
        <f>IF(CARGA_DIARIA!A330="","",IF(CARGA_DIARIA!B330=0,0,(CARGA_DIARIA!C330+CARGA_DIARIA!D330+CARGA_DIARIA!E330+CARGA_DIARIA!F330+CARGA_DIARIA!G330+CARGA_DIARIA!H330+CARGA_DIARIA!I330+CARGA_DIARIA!AF330+CARGA_DIARIA!AG330+CARGA_DIARIA!AH330+CARGA_DIARIA!AI330)/CARGA_DIARIA!B330+CARGA_DIARIA!AE330))</f>
        <v/>
      </c>
      <c r="D330" s="10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10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13" t="s">
        <v>64</v>
      </c>
      <c r="G330" s="13" t="s">
        <v>64</v>
      </c>
      <c r="H330" s="12" t="str">
        <f>IF(CARGA_DIARIA!A330="","",C330-D330-E330)</f>
        <v/>
      </c>
    </row>
    <row r="331" spans="1:8" ht="15.75" customHeight="1" x14ac:dyDescent="0.25">
      <c r="A331" s="7" t="str">
        <f>IF(CARGA_DIARIA!A331="","",CARGA_DIARIA!A331)</f>
        <v/>
      </c>
      <c r="B331" s="8" t="str">
        <f>IF(CARGA_DIARIA!A331="","",CARGA_DIARIA!B331)</f>
        <v/>
      </c>
      <c r="C331" s="9" t="str">
        <f>IF(CARGA_DIARIA!A331="","",IF(CARGA_DIARIA!B331=0,0,(CARGA_DIARIA!C331+CARGA_DIARIA!D331+CARGA_DIARIA!E331+CARGA_DIARIA!F331+CARGA_DIARIA!G331+CARGA_DIARIA!H331+CARGA_DIARIA!I331+CARGA_DIARIA!AF331+CARGA_DIARIA!AG331+CARGA_DIARIA!AH331+CARGA_DIARIA!AI331)/CARGA_DIARIA!B331+CARGA_DIARIA!AE331))</f>
        <v/>
      </c>
      <c r="D331" s="10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10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13" t="s">
        <v>64</v>
      </c>
      <c r="G331" s="13" t="s">
        <v>64</v>
      </c>
      <c r="H331" s="12" t="str">
        <f>IF(CARGA_DIARIA!A331="","",C331-D331-E331)</f>
        <v/>
      </c>
    </row>
    <row r="332" spans="1:8" ht="15.75" customHeight="1" x14ac:dyDescent="0.25">
      <c r="A332" s="7" t="str">
        <f>IF(CARGA_DIARIA!A332="","",CARGA_DIARIA!A332)</f>
        <v/>
      </c>
      <c r="B332" s="8" t="str">
        <f>IF(CARGA_DIARIA!A332="","",CARGA_DIARIA!B332)</f>
        <v/>
      </c>
      <c r="C332" s="9" t="str">
        <f>IF(CARGA_DIARIA!A332="","",IF(CARGA_DIARIA!B332=0,0,(CARGA_DIARIA!C332+CARGA_DIARIA!D332+CARGA_DIARIA!E332+CARGA_DIARIA!F332+CARGA_DIARIA!G332+CARGA_DIARIA!H332+CARGA_DIARIA!I332+CARGA_DIARIA!AF332+CARGA_DIARIA!AG332+CARGA_DIARIA!AH332+CARGA_DIARIA!AI332)/CARGA_DIARIA!B332+CARGA_DIARIA!AE332))</f>
        <v/>
      </c>
      <c r="D332" s="10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10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13" t="s">
        <v>64</v>
      </c>
      <c r="G332" s="13" t="s">
        <v>64</v>
      </c>
      <c r="H332" s="12" t="str">
        <f>IF(CARGA_DIARIA!A332="","",C332-D332-E332)</f>
        <v/>
      </c>
    </row>
    <row r="333" spans="1:8" ht="15.75" customHeight="1" x14ac:dyDescent="0.25">
      <c r="A333" s="7" t="str">
        <f>IF(CARGA_DIARIA!A333="","",CARGA_DIARIA!A333)</f>
        <v/>
      </c>
      <c r="B333" s="8" t="str">
        <f>IF(CARGA_DIARIA!A333="","",CARGA_DIARIA!B333)</f>
        <v/>
      </c>
      <c r="C333" s="9" t="str">
        <f>IF(CARGA_DIARIA!A333="","",IF(CARGA_DIARIA!B333=0,0,(CARGA_DIARIA!C333+CARGA_DIARIA!D333+CARGA_DIARIA!E333+CARGA_DIARIA!F333+CARGA_DIARIA!G333+CARGA_DIARIA!H333+CARGA_DIARIA!I333+CARGA_DIARIA!AF333+CARGA_DIARIA!AG333+CARGA_DIARIA!AH333+CARGA_DIARIA!AI333)/CARGA_DIARIA!B333+CARGA_DIARIA!AE333))</f>
        <v/>
      </c>
      <c r="D333" s="10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10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13" t="s">
        <v>64</v>
      </c>
      <c r="G333" s="13" t="s">
        <v>64</v>
      </c>
      <c r="H333" s="12" t="str">
        <f>IF(CARGA_DIARIA!A333="","",C333-D333-E333)</f>
        <v/>
      </c>
    </row>
    <row r="334" spans="1:8" ht="15.75" customHeight="1" x14ac:dyDescent="0.25">
      <c r="A334" s="7" t="str">
        <f>IF(CARGA_DIARIA!A334="","",CARGA_DIARIA!A334)</f>
        <v/>
      </c>
      <c r="B334" s="8" t="str">
        <f>IF(CARGA_DIARIA!A334="","",CARGA_DIARIA!B334)</f>
        <v/>
      </c>
      <c r="C334" s="9" t="str">
        <f>IF(CARGA_DIARIA!A334="","",IF(CARGA_DIARIA!B334=0,0,(CARGA_DIARIA!C334+CARGA_DIARIA!D334+CARGA_DIARIA!E334+CARGA_DIARIA!F334+CARGA_DIARIA!G334+CARGA_DIARIA!H334+CARGA_DIARIA!I334+CARGA_DIARIA!AF334+CARGA_DIARIA!AG334+CARGA_DIARIA!AH334+CARGA_DIARIA!AI334)/CARGA_DIARIA!B334+CARGA_DIARIA!AE334))</f>
        <v/>
      </c>
      <c r="D334" s="10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10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13" t="s">
        <v>64</v>
      </c>
      <c r="G334" s="13" t="s">
        <v>64</v>
      </c>
      <c r="H334" s="12" t="str">
        <f>IF(CARGA_DIARIA!A334="","",C334-D334-E334)</f>
        <v/>
      </c>
    </row>
    <row r="335" spans="1:8" ht="15.75" customHeight="1" x14ac:dyDescent="0.25">
      <c r="A335" s="7" t="str">
        <f>IF(CARGA_DIARIA!A335="","",CARGA_DIARIA!A335)</f>
        <v/>
      </c>
      <c r="B335" s="8" t="str">
        <f>IF(CARGA_DIARIA!A335="","",CARGA_DIARIA!B335)</f>
        <v/>
      </c>
      <c r="C335" s="9" t="str">
        <f>IF(CARGA_DIARIA!A335="","",IF(CARGA_DIARIA!B335=0,0,(CARGA_DIARIA!C335+CARGA_DIARIA!D335+CARGA_DIARIA!E335+CARGA_DIARIA!F335+CARGA_DIARIA!G335+CARGA_DIARIA!H335+CARGA_DIARIA!I335+CARGA_DIARIA!AF335+CARGA_DIARIA!AG335+CARGA_DIARIA!AH335+CARGA_DIARIA!AI335)/CARGA_DIARIA!B335+CARGA_DIARIA!AE335))</f>
        <v/>
      </c>
      <c r="D335" s="10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10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13" t="s">
        <v>64</v>
      </c>
      <c r="G335" s="13" t="s">
        <v>64</v>
      </c>
      <c r="H335" s="12" t="str">
        <f>IF(CARGA_DIARIA!A335="","",C335-D335-E335)</f>
        <v/>
      </c>
    </row>
    <row r="336" spans="1:8" ht="15.75" customHeight="1" x14ac:dyDescent="0.25">
      <c r="A336" s="7" t="str">
        <f>IF(CARGA_DIARIA!A336="","",CARGA_DIARIA!A336)</f>
        <v/>
      </c>
      <c r="B336" s="8" t="str">
        <f>IF(CARGA_DIARIA!A336="","",CARGA_DIARIA!B336)</f>
        <v/>
      </c>
      <c r="C336" s="9" t="str">
        <f>IF(CARGA_DIARIA!A336="","",IF(CARGA_DIARIA!B336=0,0,(CARGA_DIARIA!C336+CARGA_DIARIA!D336+CARGA_DIARIA!E336+CARGA_DIARIA!F336+CARGA_DIARIA!G336+CARGA_DIARIA!H336+CARGA_DIARIA!I336+CARGA_DIARIA!AF336+CARGA_DIARIA!AG336+CARGA_DIARIA!AH336+CARGA_DIARIA!AI336)/CARGA_DIARIA!B336+CARGA_DIARIA!AE336))</f>
        <v/>
      </c>
      <c r="D336" s="10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10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13" t="s">
        <v>64</v>
      </c>
      <c r="G336" s="13" t="s">
        <v>64</v>
      </c>
      <c r="H336" s="12" t="str">
        <f>IF(CARGA_DIARIA!A336="","",C336-D336-E336)</f>
        <v/>
      </c>
    </row>
    <row r="337" spans="1:8" ht="15.75" customHeight="1" x14ac:dyDescent="0.25">
      <c r="A337" s="7" t="str">
        <f>IF(CARGA_DIARIA!A337="","",CARGA_DIARIA!A337)</f>
        <v/>
      </c>
      <c r="B337" s="8" t="str">
        <f>IF(CARGA_DIARIA!A337="","",CARGA_DIARIA!B337)</f>
        <v/>
      </c>
      <c r="C337" s="9" t="str">
        <f>IF(CARGA_DIARIA!A337="","",IF(CARGA_DIARIA!B337=0,0,(CARGA_DIARIA!C337+CARGA_DIARIA!D337+CARGA_DIARIA!E337+CARGA_DIARIA!F337+CARGA_DIARIA!G337+CARGA_DIARIA!H337+CARGA_DIARIA!I337+CARGA_DIARIA!AF337+CARGA_DIARIA!AG337+CARGA_DIARIA!AH337+CARGA_DIARIA!AI337)/CARGA_DIARIA!B337+CARGA_DIARIA!AE337))</f>
        <v/>
      </c>
      <c r="D337" s="10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10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13" t="s">
        <v>64</v>
      </c>
      <c r="G337" s="13" t="s">
        <v>64</v>
      </c>
      <c r="H337" s="12" t="str">
        <f>IF(CARGA_DIARIA!A337="","",C337-D337-E337)</f>
        <v/>
      </c>
    </row>
    <row r="338" spans="1:8" ht="15.75" customHeight="1" x14ac:dyDescent="0.25">
      <c r="A338" s="7" t="str">
        <f>IF(CARGA_DIARIA!A338="","",CARGA_DIARIA!A338)</f>
        <v/>
      </c>
      <c r="B338" s="8" t="str">
        <f>IF(CARGA_DIARIA!A338="","",CARGA_DIARIA!B338)</f>
        <v/>
      </c>
      <c r="C338" s="9" t="str">
        <f>IF(CARGA_DIARIA!A338="","",IF(CARGA_DIARIA!B338=0,0,(CARGA_DIARIA!C338+CARGA_DIARIA!D338+CARGA_DIARIA!E338+CARGA_DIARIA!F338+CARGA_DIARIA!G338+CARGA_DIARIA!H338+CARGA_DIARIA!I338+CARGA_DIARIA!AF338+CARGA_DIARIA!AG338+CARGA_DIARIA!AH338+CARGA_DIARIA!AI338)/CARGA_DIARIA!B338+CARGA_DIARIA!AE338))</f>
        <v/>
      </c>
      <c r="D338" s="10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10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13" t="s">
        <v>64</v>
      </c>
      <c r="G338" s="13" t="s">
        <v>64</v>
      </c>
      <c r="H338" s="12" t="str">
        <f>IF(CARGA_DIARIA!A338="","",C338-D338-E338)</f>
        <v/>
      </c>
    </row>
    <row r="339" spans="1:8" ht="15.75" customHeight="1" x14ac:dyDescent="0.25">
      <c r="A339" s="7" t="str">
        <f>IF(CARGA_DIARIA!A339="","",CARGA_DIARIA!A339)</f>
        <v/>
      </c>
      <c r="B339" s="8" t="str">
        <f>IF(CARGA_DIARIA!A339="","",CARGA_DIARIA!B339)</f>
        <v/>
      </c>
      <c r="C339" s="9" t="str">
        <f>IF(CARGA_DIARIA!A339="","",IF(CARGA_DIARIA!B339=0,0,(CARGA_DIARIA!C339+CARGA_DIARIA!D339+CARGA_DIARIA!E339+CARGA_DIARIA!F339+CARGA_DIARIA!G339+CARGA_DIARIA!H339+CARGA_DIARIA!I339+CARGA_DIARIA!AF339+CARGA_DIARIA!AG339+CARGA_DIARIA!AH339+CARGA_DIARIA!AI339)/CARGA_DIARIA!B339+CARGA_DIARIA!AE339))</f>
        <v/>
      </c>
      <c r="D339" s="10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10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13" t="s">
        <v>64</v>
      </c>
      <c r="G339" s="13" t="s">
        <v>64</v>
      </c>
      <c r="H339" s="12" t="str">
        <f>IF(CARGA_DIARIA!A339="","",C339-D339-E339)</f>
        <v/>
      </c>
    </row>
    <row r="340" spans="1:8" ht="15.75" customHeight="1" x14ac:dyDescent="0.25">
      <c r="A340" s="7" t="str">
        <f>IF(CARGA_DIARIA!A340="","",CARGA_DIARIA!A340)</f>
        <v/>
      </c>
      <c r="B340" s="8" t="str">
        <f>IF(CARGA_DIARIA!A340="","",CARGA_DIARIA!B340)</f>
        <v/>
      </c>
      <c r="C340" s="9" t="str">
        <f>IF(CARGA_DIARIA!A340="","",IF(CARGA_DIARIA!B340=0,0,(CARGA_DIARIA!C340+CARGA_DIARIA!D340+CARGA_DIARIA!E340+CARGA_DIARIA!F340+CARGA_DIARIA!G340+CARGA_DIARIA!H340+CARGA_DIARIA!I340+CARGA_DIARIA!AF340+CARGA_DIARIA!AG340+CARGA_DIARIA!AH340+CARGA_DIARIA!AI340)/CARGA_DIARIA!B340+CARGA_DIARIA!AE340))</f>
        <v/>
      </c>
      <c r="D340" s="10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10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13" t="s">
        <v>64</v>
      </c>
      <c r="G340" s="13" t="s">
        <v>64</v>
      </c>
      <c r="H340" s="12" t="str">
        <f>IF(CARGA_DIARIA!A340="","",C340-D340-E340)</f>
        <v/>
      </c>
    </row>
    <row r="341" spans="1:8" ht="15.75" customHeight="1" x14ac:dyDescent="0.25">
      <c r="A341" s="7" t="str">
        <f>IF(CARGA_DIARIA!A341="","",CARGA_DIARIA!A341)</f>
        <v/>
      </c>
      <c r="B341" s="8" t="str">
        <f>IF(CARGA_DIARIA!A341="","",CARGA_DIARIA!B341)</f>
        <v/>
      </c>
      <c r="C341" s="9" t="str">
        <f>IF(CARGA_DIARIA!A341="","",IF(CARGA_DIARIA!B341=0,0,(CARGA_DIARIA!C341+CARGA_DIARIA!D341+CARGA_DIARIA!E341+CARGA_DIARIA!F341+CARGA_DIARIA!G341+CARGA_DIARIA!H341+CARGA_DIARIA!I341+CARGA_DIARIA!AF341+CARGA_DIARIA!AG341+CARGA_DIARIA!AH341+CARGA_DIARIA!AI341)/CARGA_DIARIA!B341+CARGA_DIARIA!AE341))</f>
        <v/>
      </c>
      <c r="D341" s="10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10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13" t="s">
        <v>64</v>
      </c>
      <c r="G341" s="13" t="s">
        <v>64</v>
      </c>
      <c r="H341" s="12" t="str">
        <f>IF(CARGA_DIARIA!A341="","",C341-D341-E341)</f>
        <v/>
      </c>
    </row>
    <row r="342" spans="1:8" ht="15.75" customHeight="1" x14ac:dyDescent="0.25">
      <c r="A342" s="7" t="str">
        <f>IF(CARGA_DIARIA!A342="","",CARGA_DIARIA!A342)</f>
        <v/>
      </c>
      <c r="B342" s="8" t="str">
        <f>IF(CARGA_DIARIA!A342="","",CARGA_DIARIA!B342)</f>
        <v/>
      </c>
      <c r="C342" s="9" t="str">
        <f>IF(CARGA_DIARIA!A342="","",IF(CARGA_DIARIA!B342=0,0,(CARGA_DIARIA!C342+CARGA_DIARIA!D342+CARGA_DIARIA!E342+CARGA_DIARIA!F342+CARGA_DIARIA!G342+CARGA_DIARIA!H342+CARGA_DIARIA!I342+CARGA_DIARIA!AF342+CARGA_DIARIA!AG342+CARGA_DIARIA!AH342+CARGA_DIARIA!AI342)/CARGA_DIARIA!B342+CARGA_DIARIA!AE342))</f>
        <v/>
      </c>
      <c r="D342" s="10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10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13" t="s">
        <v>64</v>
      </c>
      <c r="G342" s="13" t="s">
        <v>64</v>
      </c>
      <c r="H342" s="12" t="str">
        <f>IF(CARGA_DIARIA!A342="","",C342-D342-E342)</f>
        <v/>
      </c>
    </row>
    <row r="343" spans="1:8" ht="15.75" customHeight="1" x14ac:dyDescent="0.25">
      <c r="A343" s="7" t="str">
        <f>IF(CARGA_DIARIA!A343="","",CARGA_DIARIA!A343)</f>
        <v/>
      </c>
      <c r="B343" s="8" t="str">
        <f>IF(CARGA_DIARIA!A343="","",CARGA_DIARIA!B343)</f>
        <v/>
      </c>
      <c r="C343" s="9" t="str">
        <f>IF(CARGA_DIARIA!A343="","",IF(CARGA_DIARIA!B343=0,0,(CARGA_DIARIA!C343+CARGA_DIARIA!D343+CARGA_DIARIA!E343+CARGA_DIARIA!F343+CARGA_DIARIA!G343+CARGA_DIARIA!H343+CARGA_DIARIA!I343+CARGA_DIARIA!AF343+CARGA_DIARIA!AG343+CARGA_DIARIA!AH343+CARGA_DIARIA!AI343)/CARGA_DIARIA!B343+CARGA_DIARIA!AE343))</f>
        <v/>
      </c>
      <c r="D343" s="10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10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13" t="s">
        <v>64</v>
      </c>
      <c r="G343" s="13" t="s">
        <v>64</v>
      </c>
      <c r="H343" s="12" t="str">
        <f>IF(CARGA_DIARIA!A343="","",C343-D343-E343)</f>
        <v/>
      </c>
    </row>
    <row r="344" spans="1:8" ht="15.75" customHeight="1" x14ac:dyDescent="0.25">
      <c r="A344" s="7" t="str">
        <f>IF(CARGA_DIARIA!A344="","",CARGA_DIARIA!A344)</f>
        <v/>
      </c>
      <c r="B344" s="8" t="str">
        <f>IF(CARGA_DIARIA!A344="","",CARGA_DIARIA!B344)</f>
        <v/>
      </c>
      <c r="C344" s="9" t="str">
        <f>IF(CARGA_DIARIA!A344="","",IF(CARGA_DIARIA!B344=0,0,(CARGA_DIARIA!C344+CARGA_DIARIA!D344+CARGA_DIARIA!E344+CARGA_DIARIA!F344+CARGA_DIARIA!G344+CARGA_DIARIA!H344+CARGA_DIARIA!I344+CARGA_DIARIA!AF344+CARGA_DIARIA!AG344+CARGA_DIARIA!AH344+CARGA_DIARIA!AI344)/CARGA_DIARIA!B344+CARGA_DIARIA!AE344))</f>
        <v/>
      </c>
      <c r="D344" s="10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10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13" t="s">
        <v>64</v>
      </c>
      <c r="G344" s="13" t="s">
        <v>64</v>
      </c>
      <c r="H344" s="12" t="str">
        <f>IF(CARGA_DIARIA!A344="","",C344-D344-E344)</f>
        <v/>
      </c>
    </row>
    <row r="345" spans="1:8" ht="15.75" customHeight="1" x14ac:dyDescent="0.25">
      <c r="A345" s="7" t="str">
        <f>IF(CARGA_DIARIA!A345="","",CARGA_DIARIA!A345)</f>
        <v/>
      </c>
      <c r="B345" s="8" t="str">
        <f>IF(CARGA_DIARIA!A345="","",CARGA_DIARIA!B345)</f>
        <v/>
      </c>
      <c r="C345" s="9" t="str">
        <f>IF(CARGA_DIARIA!A345="","",IF(CARGA_DIARIA!B345=0,0,(CARGA_DIARIA!C345+CARGA_DIARIA!D345+CARGA_DIARIA!E345+CARGA_DIARIA!F345+CARGA_DIARIA!G345+CARGA_DIARIA!H345+CARGA_DIARIA!I345+CARGA_DIARIA!AF345+CARGA_DIARIA!AG345+CARGA_DIARIA!AH345+CARGA_DIARIA!AI345)/CARGA_DIARIA!B345+CARGA_DIARIA!AE345))</f>
        <v/>
      </c>
      <c r="D345" s="10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10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13" t="s">
        <v>64</v>
      </c>
      <c r="G345" s="13" t="s">
        <v>64</v>
      </c>
      <c r="H345" s="12" t="str">
        <f>IF(CARGA_DIARIA!A345="","",C345-D345-E345)</f>
        <v/>
      </c>
    </row>
    <row r="346" spans="1:8" ht="15.75" customHeight="1" x14ac:dyDescent="0.25">
      <c r="A346" s="7" t="str">
        <f>IF(CARGA_DIARIA!A346="","",CARGA_DIARIA!A346)</f>
        <v/>
      </c>
      <c r="B346" s="8" t="str">
        <f>IF(CARGA_DIARIA!A346="","",CARGA_DIARIA!B346)</f>
        <v/>
      </c>
      <c r="C346" s="9" t="str">
        <f>IF(CARGA_DIARIA!A346="","",IF(CARGA_DIARIA!B346=0,0,(CARGA_DIARIA!C346+CARGA_DIARIA!D346+CARGA_DIARIA!E346+CARGA_DIARIA!F346+CARGA_DIARIA!G346+CARGA_DIARIA!H346+CARGA_DIARIA!I346+CARGA_DIARIA!AF346+CARGA_DIARIA!AG346+CARGA_DIARIA!AH346+CARGA_DIARIA!AI346)/CARGA_DIARIA!B346+CARGA_DIARIA!AE346))</f>
        <v/>
      </c>
      <c r="D346" s="10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10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13" t="s">
        <v>64</v>
      </c>
      <c r="G346" s="13" t="s">
        <v>64</v>
      </c>
      <c r="H346" s="12" t="str">
        <f>IF(CARGA_DIARIA!A346="","",C346-D346-E346)</f>
        <v/>
      </c>
    </row>
    <row r="347" spans="1:8" ht="15.75" customHeight="1" x14ac:dyDescent="0.25">
      <c r="A347" s="7" t="str">
        <f>IF(CARGA_DIARIA!A347="","",CARGA_DIARIA!A347)</f>
        <v/>
      </c>
      <c r="B347" s="8" t="str">
        <f>IF(CARGA_DIARIA!A347="","",CARGA_DIARIA!B347)</f>
        <v/>
      </c>
      <c r="C347" s="9" t="str">
        <f>IF(CARGA_DIARIA!A347="","",IF(CARGA_DIARIA!B347=0,0,(CARGA_DIARIA!C347+CARGA_DIARIA!D347+CARGA_DIARIA!E347+CARGA_DIARIA!F347+CARGA_DIARIA!G347+CARGA_DIARIA!H347+CARGA_DIARIA!I347+CARGA_DIARIA!AF347+CARGA_DIARIA!AG347+CARGA_DIARIA!AH347+CARGA_DIARIA!AI347)/CARGA_DIARIA!B347+CARGA_DIARIA!AE347))</f>
        <v/>
      </c>
      <c r="D347" s="10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10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13" t="s">
        <v>64</v>
      </c>
      <c r="G347" s="13" t="s">
        <v>64</v>
      </c>
      <c r="H347" s="12" t="str">
        <f>IF(CARGA_DIARIA!A347="","",C347-D347-E347)</f>
        <v/>
      </c>
    </row>
    <row r="348" spans="1:8" ht="15.75" customHeight="1" x14ac:dyDescent="0.25">
      <c r="A348" s="7" t="str">
        <f>IF(CARGA_DIARIA!A348="","",CARGA_DIARIA!A348)</f>
        <v/>
      </c>
      <c r="B348" s="8" t="str">
        <f>IF(CARGA_DIARIA!A348="","",CARGA_DIARIA!B348)</f>
        <v/>
      </c>
      <c r="C348" s="9" t="str">
        <f>IF(CARGA_DIARIA!A348="","",IF(CARGA_DIARIA!B348=0,0,(CARGA_DIARIA!C348+CARGA_DIARIA!D348+CARGA_DIARIA!E348+CARGA_DIARIA!F348+CARGA_DIARIA!G348+CARGA_DIARIA!H348+CARGA_DIARIA!I348+CARGA_DIARIA!AF348+CARGA_DIARIA!AG348+CARGA_DIARIA!AH348+CARGA_DIARIA!AI348)/CARGA_DIARIA!B348+CARGA_DIARIA!AE348))</f>
        <v/>
      </c>
      <c r="D348" s="10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10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13" t="s">
        <v>64</v>
      </c>
      <c r="G348" s="13" t="s">
        <v>64</v>
      </c>
      <c r="H348" s="12" t="str">
        <f>IF(CARGA_DIARIA!A348="","",C348-D348-E348)</f>
        <v/>
      </c>
    </row>
    <row r="349" spans="1:8" ht="15.75" customHeight="1" x14ac:dyDescent="0.25">
      <c r="A349" s="7" t="str">
        <f>IF(CARGA_DIARIA!A349="","",CARGA_DIARIA!A349)</f>
        <v/>
      </c>
      <c r="B349" s="8" t="str">
        <f>IF(CARGA_DIARIA!A349="","",CARGA_DIARIA!B349)</f>
        <v/>
      </c>
      <c r="C349" s="9" t="str">
        <f>IF(CARGA_DIARIA!A349="","",IF(CARGA_DIARIA!B349=0,0,(CARGA_DIARIA!C349+CARGA_DIARIA!D349+CARGA_DIARIA!E349+CARGA_DIARIA!F349+CARGA_DIARIA!G349+CARGA_DIARIA!H349+CARGA_DIARIA!I349+CARGA_DIARIA!AF349+CARGA_DIARIA!AG349+CARGA_DIARIA!AH349+CARGA_DIARIA!AI349)/CARGA_DIARIA!B349+CARGA_DIARIA!AE349))</f>
        <v/>
      </c>
      <c r="D349" s="10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10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13" t="s">
        <v>64</v>
      </c>
      <c r="G349" s="13" t="s">
        <v>64</v>
      </c>
      <c r="H349" s="12" t="str">
        <f>IF(CARGA_DIARIA!A349="","",C349-D349-E349)</f>
        <v/>
      </c>
    </row>
    <row r="350" spans="1:8" ht="15.75" customHeight="1" x14ac:dyDescent="0.25">
      <c r="A350" s="7" t="str">
        <f>IF(CARGA_DIARIA!A350="","",CARGA_DIARIA!A350)</f>
        <v/>
      </c>
      <c r="B350" s="8" t="str">
        <f>IF(CARGA_DIARIA!A350="","",CARGA_DIARIA!B350)</f>
        <v/>
      </c>
      <c r="C350" s="9" t="str">
        <f>IF(CARGA_DIARIA!A350="","",IF(CARGA_DIARIA!B350=0,0,(CARGA_DIARIA!C350+CARGA_DIARIA!D350+CARGA_DIARIA!E350+CARGA_DIARIA!F350+CARGA_DIARIA!G350+CARGA_DIARIA!H350+CARGA_DIARIA!I350+CARGA_DIARIA!AF350+CARGA_DIARIA!AG350+CARGA_DIARIA!AH350+CARGA_DIARIA!AI350)/CARGA_DIARIA!B350+CARGA_DIARIA!AE350))</f>
        <v/>
      </c>
      <c r="D350" s="10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10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13" t="s">
        <v>64</v>
      </c>
      <c r="G350" s="13" t="s">
        <v>64</v>
      </c>
      <c r="H350" s="12" t="str">
        <f>IF(CARGA_DIARIA!A350="","",C350-D350-E350)</f>
        <v/>
      </c>
    </row>
    <row r="351" spans="1:8" ht="15.75" customHeight="1" x14ac:dyDescent="0.25">
      <c r="A351" s="7" t="str">
        <f>IF(CARGA_DIARIA!A351="","",CARGA_DIARIA!A351)</f>
        <v/>
      </c>
      <c r="B351" s="8" t="str">
        <f>IF(CARGA_DIARIA!A351="","",CARGA_DIARIA!B351)</f>
        <v/>
      </c>
      <c r="C351" s="9" t="str">
        <f>IF(CARGA_DIARIA!A351="","",IF(CARGA_DIARIA!B351=0,0,(CARGA_DIARIA!C351+CARGA_DIARIA!D351+CARGA_DIARIA!E351+CARGA_DIARIA!F351+CARGA_DIARIA!G351+CARGA_DIARIA!H351+CARGA_DIARIA!I351+CARGA_DIARIA!AF351+CARGA_DIARIA!AG351+CARGA_DIARIA!AH351+CARGA_DIARIA!AI351)/CARGA_DIARIA!B351+CARGA_DIARIA!AE351))</f>
        <v/>
      </c>
      <c r="D351" s="10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10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13" t="s">
        <v>64</v>
      </c>
      <c r="G351" s="13" t="s">
        <v>64</v>
      </c>
      <c r="H351" s="12" t="str">
        <f>IF(CARGA_DIARIA!A351="","",C351-D351-E351)</f>
        <v/>
      </c>
    </row>
    <row r="352" spans="1:8" ht="15.75" customHeight="1" x14ac:dyDescent="0.25">
      <c r="A352" s="7" t="str">
        <f>IF(CARGA_DIARIA!A352="","",CARGA_DIARIA!A352)</f>
        <v/>
      </c>
      <c r="B352" s="8" t="str">
        <f>IF(CARGA_DIARIA!A352="","",CARGA_DIARIA!B352)</f>
        <v/>
      </c>
      <c r="C352" s="9" t="str">
        <f>IF(CARGA_DIARIA!A352="","",IF(CARGA_DIARIA!B352=0,0,(CARGA_DIARIA!C352+CARGA_DIARIA!D352+CARGA_DIARIA!E352+CARGA_DIARIA!F352+CARGA_DIARIA!G352+CARGA_DIARIA!H352+CARGA_DIARIA!I352+CARGA_DIARIA!AF352+CARGA_DIARIA!AG352+CARGA_DIARIA!AH352+CARGA_DIARIA!AI352)/CARGA_DIARIA!B352+CARGA_DIARIA!AE352))</f>
        <v/>
      </c>
      <c r="D352" s="10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10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13" t="s">
        <v>64</v>
      </c>
      <c r="G352" s="13" t="s">
        <v>64</v>
      </c>
      <c r="H352" s="12" t="str">
        <f>IF(CARGA_DIARIA!A352="","",C352-D352-E352)</f>
        <v/>
      </c>
    </row>
    <row r="353" spans="1:8" ht="15.75" customHeight="1" x14ac:dyDescent="0.25">
      <c r="A353" s="7" t="str">
        <f>IF(CARGA_DIARIA!A353="","",CARGA_DIARIA!A353)</f>
        <v/>
      </c>
      <c r="B353" s="8" t="str">
        <f>IF(CARGA_DIARIA!A353="","",CARGA_DIARIA!B353)</f>
        <v/>
      </c>
      <c r="C353" s="9" t="str">
        <f>IF(CARGA_DIARIA!A353="","",IF(CARGA_DIARIA!B353=0,0,(CARGA_DIARIA!C353+CARGA_DIARIA!D353+CARGA_DIARIA!E353+CARGA_DIARIA!F353+CARGA_DIARIA!G353+CARGA_DIARIA!H353+CARGA_DIARIA!I353+CARGA_DIARIA!AF353+CARGA_DIARIA!AG353+CARGA_DIARIA!AH353+CARGA_DIARIA!AI353)/CARGA_DIARIA!B353+CARGA_DIARIA!AE353))</f>
        <v/>
      </c>
      <c r="D353" s="10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10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13" t="s">
        <v>64</v>
      </c>
      <c r="G353" s="13" t="s">
        <v>64</v>
      </c>
      <c r="H353" s="12" t="str">
        <f>IF(CARGA_DIARIA!A353="","",C353-D353-E353)</f>
        <v/>
      </c>
    </row>
    <row r="354" spans="1:8" ht="15.75" customHeight="1" x14ac:dyDescent="0.25">
      <c r="A354" s="7" t="str">
        <f>IF(CARGA_DIARIA!A354="","",CARGA_DIARIA!A354)</f>
        <v/>
      </c>
      <c r="B354" s="8" t="str">
        <f>IF(CARGA_DIARIA!A354="","",CARGA_DIARIA!B354)</f>
        <v/>
      </c>
      <c r="C354" s="9" t="str">
        <f>IF(CARGA_DIARIA!A354="","",IF(CARGA_DIARIA!B354=0,0,(CARGA_DIARIA!C354+CARGA_DIARIA!D354+CARGA_DIARIA!E354+CARGA_DIARIA!F354+CARGA_DIARIA!G354+CARGA_DIARIA!H354+CARGA_DIARIA!I354+CARGA_DIARIA!AF354+CARGA_DIARIA!AG354+CARGA_DIARIA!AH354+CARGA_DIARIA!AI354)/CARGA_DIARIA!B354+CARGA_DIARIA!AE354))</f>
        <v/>
      </c>
      <c r="D354" s="10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10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13" t="s">
        <v>64</v>
      </c>
      <c r="G354" s="13" t="s">
        <v>64</v>
      </c>
      <c r="H354" s="12" t="str">
        <f>IF(CARGA_DIARIA!A354="","",C354-D354-E354)</f>
        <v/>
      </c>
    </row>
    <row r="355" spans="1:8" ht="15.75" customHeight="1" x14ac:dyDescent="0.25">
      <c r="A355" s="7" t="str">
        <f>IF(CARGA_DIARIA!A355="","",CARGA_DIARIA!A355)</f>
        <v/>
      </c>
      <c r="B355" s="8" t="str">
        <f>IF(CARGA_DIARIA!A355="","",CARGA_DIARIA!B355)</f>
        <v/>
      </c>
      <c r="C355" s="9" t="str">
        <f>IF(CARGA_DIARIA!A355="","",IF(CARGA_DIARIA!B355=0,0,(CARGA_DIARIA!C355+CARGA_DIARIA!D355+CARGA_DIARIA!E355+CARGA_DIARIA!F355+CARGA_DIARIA!G355+CARGA_DIARIA!H355+CARGA_DIARIA!I355+CARGA_DIARIA!AF355+CARGA_DIARIA!AG355+CARGA_DIARIA!AH355+CARGA_DIARIA!AI355)/CARGA_DIARIA!B355+CARGA_DIARIA!AE355))</f>
        <v/>
      </c>
      <c r="D355" s="10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10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13" t="s">
        <v>64</v>
      </c>
      <c r="G355" s="13" t="s">
        <v>64</v>
      </c>
      <c r="H355" s="12" t="str">
        <f>IF(CARGA_DIARIA!A355="","",C355-D355-E355)</f>
        <v/>
      </c>
    </row>
    <row r="356" spans="1:8" ht="15.75" customHeight="1" x14ac:dyDescent="0.25">
      <c r="A356" s="7" t="str">
        <f>IF(CARGA_DIARIA!A356="","",CARGA_DIARIA!A356)</f>
        <v/>
      </c>
      <c r="B356" s="8" t="str">
        <f>IF(CARGA_DIARIA!A356="","",CARGA_DIARIA!B356)</f>
        <v/>
      </c>
      <c r="C356" s="9" t="str">
        <f>IF(CARGA_DIARIA!A356="","",IF(CARGA_DIARIA!B356=0,0,(CARGA_DIARIA!C356+CARGA_DIARIA!D356+CARGA_DIARIA!E356+CARGA_DIARIA!F356+CARGA_DIARIA!G356+CARGA_DIARIA!H356+CARGA_DIARIA!I356+CARGA_DIARIA!AF356+CARGA_DIARIA!AG356+CARGA_DIARIA!AH356+CARGA_DIARIA!AI356)/CARGA_DIARIA!B356+CARGA_DIARIA!AE356))</f>
        <v/>
      </c>
      <c r="D356" s="10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10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13" t="s">
        <v>64</v>
      </c>
      <c r="G356" s="13" t="s">
        <v>64</v>
      </c>
      <c r="H356" s="12" t="str">
        <f>IF(CARGA_DIARIA!A356="","",C356-D356-E356)</f>
        <v/>
      </c>
    </row>
    <row r="357" spans="1:8" ht="15.75" customHeight="1" x14ac:dyDescent="0.25">
      <c r="A357" s="7" t="str">
        <f>IF(CARGA_DIARIA!A357="","",CARGA_DIARIA!A357)</f>
        <v/>
      </c>
      <c r="B357" s="8" t="str">
        <f>IF(CARGA_DIARIA!A357="","",CARGA_DIARIA!B357)</f>
        <v/>
      </c>
      <c r="C357" s="9" t="str">
        <f>IF(CARGA_DIARIA!A357="","",IF(CARGA_DIARIA!B357=0,0,(CARGA_DIARIA!C357+CARGA_DIARIA!D357+CARGA_DIARIA!E357+CARGA_DIARIA!F357+CARGA_DIARIA!G357+CARGA_DIARIA!H357+CARGA_DIARIA!I357+CARGA_DIARIA!AF357+CARGA_DIARIA!AG357+CARGA_DIARIA!AH357+CARGA_DIARIA!AI357)/CARGA_DIARIA!B357+CARGA_DIARIA!AE357))</f>
        <v/>
      </c>
      <c r="D357" s="10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10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13" t="s">
        <v>64</v>
      </c>
      <c r="G357" s="13" t="s">
        <v>64</v>
      </c>
      <c r="H357" s="12" t="str">
        <f>IF(CARGA_DIARIA!A357="","",C357-D357-E357)</f>
        <v/>
      </c>
    </row>
    <row r="358" spans="1:8" ht="15.75" customHeight="1" x14ac:dyDescent="0.25">
      <c r="A358" s="7" t="str">
        <f>IF(CARGA_DIARIA!A358="","",CARGA_DIARIA!A358)</f>
        <v/>
      </c>
      <c r="B358" s="8" t="str">
        <f>IF(CARGA_DIARIA!A358="","",CARGA_DIARIA!B358)</f>
        <v/>
      </c>
      <c r="C358" s="9" t="str">
        <f>IF(CARGA_DIARIA!A358="","",IF(CARGA_DIARIA!B358=0,0,(CARGA_DIARIA!C358+CARGA_DIARIA!D358+CARGA_DIARIA!E358+CARGA_DIARIA!F358+CARGA_DIARIA!G358+CARGA_DIARIA!H358+CARGA_DIARIA!I358+CARGA_DIARIA!AF358+CARGA_DIARIA!AG358+CARGA_DIARIA!AH358+CARGA_DIARIA!AI358)/CARGA_DIARIA!B358+CARGA_DIARIA!AE358))</f>
        <v/>
      </c>
      <c r="D358" s="10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10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13" t="s">
        <v>64</v>
      </c>
      <c r="G358" s="13" t="s">
        <v>64</v>
      </c>
      <c r="H358" s="12" t="str">
        <f>IF(CARGA_DIARIA!A358="","",C358-D358-E358)</f>
        <v/>
      </c>
    </row>
    <row r="359" spans="1:8" ht="15.75" customHeight="1" x14ac:dyDescent="0.25">
      <c r="A359" s="7" t="str">
        <f>IF(CARGA_DIARIA!A359="","",CARGA_DIARIA!A359)</f>
        <v/>
      </c>
      <c r="B359" s="8" t="str">
        <f>IF(CARGA_DIARIA!A359="","",CARGA_DIARIA!B359)</f>
        <v/>
      </c>
      <c r="C359" s="9" t="str">
        <f>IF(CARGA_DIARIA!A359="","",IF(CARGA_DIARIA!B359=0,0,(CARGA_DIARIA!C359+CARGA_DIARIA!D359+CARGA_DIARIA!E359+CARGA_DIARIA!F359+CARGA_DIARIA!G359+CARGA_DIARIA!H359+CARGA_DIARIA!I359+CARGA_DIARIA!AF359+CARGA_DIARIA!AG359+CARGA_DIARIA!AH359+CARGA_DIARIA!AI359)/CARGA_DIARIA!B359+CARGA_DIARIA!AE359))</f>
        <v/>
      </c>
      <c r="D359" s="10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10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13" t="s">
        <v>64</v>
      </c>
      <c r="G359" s="13" t="s">
        <v>64</v>
      </c>
      <c r="H359" s="12" t="str">
        <f>IF(CARGA_DIARIA!A359="","",C359-D359-E359)</f>
        <v/>
      </c>
    </row>
    <row r="360" spans="1:8" ht="15.75" customHeight="1" x14ac:dyDescent="0.25">
      <c r="A360" s="7" t="str">
        <f>IF(CARGA_DIARIA!A360="","",CARGA_DIARIA!A360)</f>
        <v/>
      </c>
      <c r="B360" s="8" t="str">
        <f>IF(CARGA_DIARIA!A360="","",CARGA_DIARIA!B360)</f>
        <v/>
      </c>
      <c r="C360" s="9" t="str">
        <f>IF(CARGA_DIARIA!A360="","",IF(CARGA_DIARIA!B360=0,0,(CARGA_DIARIA!C360+CARGA_DIARIA!D360+CARGA_DIARIA!E360+CARGA_DIARIA!F360+CARGA_DIARIA!G360+CARGA_DIARIA!H360+CARGA_DIARIA!I360+CARGA_DIARIA!AF360+CARGA_DIARIA!AG360+CARGA_DIARIA!AH360+CARGA_DIARIA!AI360)/CARGA_DIARIA!B360+CARGA_DIARIA!AE360))</f>
        <v/>
      </c>
      <c r="D360" s="10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10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13" t="s">
        <v>64</v>
      </c>
      <c r="G360" s="13" t="s">
        <v>64</v>
      </c>
      <c r="H360" s="12" t="str">
        <f>IF(CARGA_DIARIA!A360="","",C360-D360-E360)</f>
        <v/>
      </c>
    </row>
    <row r="361" spans="1:8" ht="15.75" customHeight="1" x14ac:dyDescent="0.25">
      <c r="A361" s="7" t="str">
        <f>IF(CARGA_DIARIA!A361="","",CARGA_DIARIA!A361)</f>
        <v/>
      </c>
      <c r="B361" s="8" t="str">
        <f>IF(CARGA_DIARIA!A361="","",CARGA_DIARIA!B361)</f>
        <v/>
      </c>
      <c r="C361" s="9" t="str">
        <f>IF(CARGA_DIARIA!A361="","",IF(CARGA_DIARIA!B361=0,0,(CARGA_DIARIA!C361+CARGA_DIARIA!D361+CARGA_DIARIA!E361+CARGA_DIARIA!F361+CARGA_DIARIA!G361+CARGA_DIARIA!H361+CARGA_DIARIA!I361+CARGA_DIARIA!AF361+CARGA_DIARIA!AG361+CARGA_DIARIA!AH361+CARGA_DIARIA!AI361)/CARGA_DIARIA!B361+CARGA_DIARIA!AE361))</f>
        <v/>
      </c>
      <c r="D361" s="10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10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13" t="s">
        <v>64</v>
      </c>
      <c r="G361" s="13" t="s">
        <v>64</v>
      </c>
      <c r="H361" s="12" t="str">
        <f>IF(CARGA_DIARIA!A361="","",C361-D361-E361)</f>
        <v/>
      </c>
    </row>
    <row r="362" spans="1:8" ht="15.75" customHeight="1" x14ac:dyDescent="0.25">
      <c r="A362" s="7" t="str">
        <f>IF(CARGA_DIARIA!A362="","",CARGA_DIARIA!A362)</f>
        <v/>
      </c>
      <c r="B362" s="8" t="str">
        <f>IF(CARGA_DIARIA!A362="","",CARGA_DIARIA!B362)</f>
        <v/>
      </c>
      <c r="C362" s="9" t="str">
        <f>IF(CARGA_DIARIA!A362="","",IF(CARGA_DIARIA!B362=0,0,(CARGA_DIARIA!C362+CARGA_DIARIA!D362+CARGA_DIARIA!E362+CARGA_DIARIA!F362+CARGA_DIARIA!G362+CARGA_DIARIA!H362+CARGA_DIARIA!I362+CARGA_DIARIA!AF362+CARGA_DIARIA!AG362+CARGA_DIARIA!AH362+CARGA_DIARIA!AI362)/CARGA_DIARIA!B362+CARGA_DIARIA!AE362))</f>
        <v/>
      </c>
      <c r="D362" s="10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10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13" t="s">
        <v>64</v>
      </c>
      <c r="G362" s="13" t="s">
        <v>64</v>
      </c>
      <c r="H362" s="12" t="str">
        <f>IF(CARGA_DIARIA!A362="","",C362-D362-E362)</f>
        <v/>
      </c>
    </row>
    <row r="363" spans="1:8" ht="15.75" customHeight="1" x14ac:dyDescent="0.25">
      <c r="A363" s="7" t="str">
        <f>IF(CARGA_DIARIA!A363="","",CARGA_DIARIA!A363)</f>
        <v/>
      </c>
      <c r="B363" s="8" t="str">
        <f>IF(CARGA_DIARIA!A363="","",CARGA_DIARIA!B363)</f>
        <v/>
      </c>
      <c r="C363" s="9" t="str">
        <f>IF(CARGA_DIARIA!A363="","",IF(CARGA_DIARIA!B363=0,0,(CARGA_DIARIA!C363+CARGA_DIARIA!D363+CARGA_DIARIA!E363+CARGA_DIARIA!F363+CARGA_DIARIA!G363+CARGA_DIARIA!H363+CARGA_DIARIA!I363+CARGA_DIARIA!AF363+CARGA_DIARIA!AG363+CARGA_DIARIA!AH363+CARGA_DIARIA!AI363)/CARGA_DIARIA!B363+CARGA_DIARIA!AE363))</f>
        <v/>
      </c>
      <c r="D363" s="10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10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13" t="s">
        <v>64</v>
      </c>
      <c r="G363" s="13" t="s">
        <v>64</v>
      </c>
      <c r="H363" s="12" t="str">
        <f>IF(CARGA_DIARIA!A363="","",C363-D363-E363)</f>
        <v/>
      </c>
    </row>
    <row r="364" spans="1:8" ht="15.75" customHeight="1" x14ac:dyDescent="0.25">
      <c r="A364" s="7" t="str">
        <f>IF(CARGA_DIARIA!A364="","",CARGA_DIARIA!A364)</f>
        <v/>
      </c>
      <c r="B364" s="8" t="str">
        <f>IF(CARGA_DIARIA!A364="","",CARGA_DIARIA!B364)</f>
        <v/>
      </c>
      <c r="C364" s="9" t="str">
        <f>IF(CARGA_DIARIA!A364="","",IF(CARGA_DIARIA!B364=0,0,(CARGA_DIARIA!C364+CARGA_DIARIA!D364+CARGA_DIARIA!E364+CARGA_DIARIA!F364+CARGA_DIARIA!G364+CARGA_DIARIA!H364+CARGA_DIARIA!I364+CARGA_DIARIA!AF364+CARGA_DIARIA!AG364+CARGA_DIARIA!AH364+CARGA_DIARIA!AI364)/CARGA_DIARIA!B364+CARGA_DIARIA!AE364))</f>
        <v/>
      </c>
      <c r="D364" s="10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10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13" t="s">
        <v>64</v>
      </c>
      <c r="G364" s="13" t="s">
        <v>64</v>
      </c>
      <c r="H364" s="12" t="str">
        <f>IF(CARGA_DIARIA!A364="","",C364-D364-E364)</f>
        <v/>
      </c>
    </row>
    <row r="365" spans="1:8" ht="15.75" customHeight="1" x14ac:dyDescent="0.25">
      <c r="A365" s="7" t="str">
        <f>IF(CARGA_DIARIA!A365="","",CARGA_DIARIA!A365)</f>
        <v/>
      </c>
      <c r="B365" s="8" t="str">
        <f>IF(CARGA_DIARIA!A365="","",CARGA_DIARIA!B365)</f>
        <v/>
      </c>
      <c r="C365" s="9" t="str">
        <f>IF(CARGA_DIARIA!A365="","",IF(CARGA_DIARIA!B365=0,0,(CARGA_DIARIA!C365+CARGA_DIARIA!D365+CARGA_DIARIA!E365+CARGA_DIARIA!F365+CARGA_DIARIA!G365+CARGA_DIARIA!H365+CARGA_DIARIA!I365+CARGA_DIARIA!AF365+CARGA_DIARIA!AG365+CARGA_DIARIA!AH365+CARGA_DIARIA!AI365)/CARGA_DIARIA!B365+CARGA_DIARIA!AE365))</f>
        <v/>
      </c>
      <c r="D365" s="10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10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13" t="s">
        <v>64</v>
      </c>
      <c r="G365" s="13" t="s">
        <v>64</v>
      </c>
      <c r="H365" s="12" t="str">
        <f>IF(CARGA_DIARIA!A365="","",C365-D365-E365)</f>
        <v/>
      </c>
    </row>
    <row r="366" spans="1:8" ht="15.75" customHeight="1" x14ac:dyDescent="0.25">
      <c r="A366" s="7" t="str">
        <f>IF(CARGA_DIARIA!A366="","",CARGA_DIARIA!A366)</f>
        <v/>
      </c>
      <c r="B366" s="8" t="str">
        <f>IF(CARGA_DIARIA!A366="","",CARGA_DIARIA!B366)</f>
        <v/>
      </c>
      <c r="C366" s="9" t="str">
        <f>IF(CARGA_DIARIA!A366="","",IF(CARGA_DIARIA!B366=0,0,(CARGA_DIARIA!C366+CARGA_DIARIA!D366+CARGA_DIARIA!E366+CARGA_DIARIA!F366+CARGA_DIARIA!G366+CARGA_DIARIA!H366+CARGA_DIARIA!I366+CARGA_DIARIA!AF366+CARGA_DIARIA!AG366+CARGA_DIARIA!AH366+CARGA_DIARIA!AI366)/CARGA_DIARIA!B366+CARGA_DIARIA!AE366))</f>
        <v/>
      </c>
      <c r="D366" s="10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10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13" t="s">
        <v>64</v>
      </c>
      <c r="G366" s="13" t="s">
        <v>64</v>
      </c>
      <c r="H366" s="12" t="str">
        <f>IF(CARGA_DIARIA!A366="","",C366-D366-E366)</f>
        <v/>
      </c>
    </row>
    <row r="367" spans="1:8" ht="15.75" customHeight="1" x14ac:dyDescent="0.25">
      <c r="A367" s="7" t="str">
        <f>IF(CARGA_DIARIA!A367="","",CARGA_DIARIA!A367)</f>
        <v/>
      </c>
      <c r="B367" s="8" t="str">
        <f>IF(CARGA_DIARIA!A367="","",CARGA_DIARIA!B367)</f>
        <v/>
      </c>
      <c r="C367" s="9" t="str">
        <f>IF(CARGA_DIARIA!A367="","",IF(CARGA_DIARIA!B367=0,0,(CARGA_DIARIA!C367+CARGA_DIARIA!D367+CARGA_DIARIA!E367+CARGA_DIARIA!F367+CARGA_DIARIA!G367+CARGA_DIARIA!H367+CARGA_DIARIA!I367+CARGA_DIARIA!AF367+CARGA_DIARIA!AG367+CARGA_DIARIA!AH367+CARGA_DIARIA!AI367)/CARGA_DIARIA!B367+CARGA_DIARIA!AE367))</f>
        <v/>
      </c>
      <c r="D367" s="10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10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13" t="s">
        <v>64</v>
      </c>
      <c r="G367" s="13" t="s">
        <v>64</v>
      </c>
      <c r="H367" s="12" t="str">
        <f>IF(CARGA_DIARIA!A367="","",C367-D367-E367)</f>
        <v/>
      </c>
    </row>
    <row r="368" spans="1:8" ht="15.75" customHeight="1" x14ac:dyDescent="0.25">
      <c r="A368" s="7" t="str">
        <f>IF(CARGA_DIARIA!A368="","",CARGA_DIARIA!A368)</f>
        <v/>
      </c>
      <c r="B368" s="8" t="str">
        <f>IF(CARGA_DIARIA!A368="","",CARGA_DIARIA!B368)</f>
        <v/>
      </c>
      <c r="C368" s="9" t="str">
        <f>IF(CARGA_DIARIA!A368="","",IF(CARGA_DIARIA!B368=0,0,(CARGA_DIARIA!C368+CARGA_DIARIA!D368+CARGA_DIARIA!E368+CARGA_DIARIA!F368+CARGA_DIARIA!G368+CARGA_DIARIA!H368+CARGA_DIARIA!I368+CARGA_DIARIA!AF368+CARGA_DIARIA!AG368+CARGA_DIARIA!AH368+CARGA_DIARIA!AI368)/CARGA_DIARIA!B368+CARGA_DIARIA!AE368))</f>
        <v/>
      </c>
      <c r="D368" s="10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10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13" t="s">
        <v>64</v>
      </c>
      <c r="G368" s="13" t="s">
        <v>64</v>
      </c>
      <c r="H368" s="12" t="str">
        <f>IF(CARGA_DIARIA!A368="","",C368-D368-E368)</f>
        <v/>
      </c>
    </row>
    <row r="369" spans="1:8" ht="15.75" customHeight="1" x14ac:dyDescent="0.25">
      <c r="A369" s="7" t="str">
        <f>IF(CARGA_DIARIA!A369="","",CARGA_DIARIA!A369)</f>
        <v/>
      </c>
      <c r="B369" s="8" t="str">
        <f>IF(CARGA_DIARIA!A369="","",CARGA_DIARIA!B369)</f>
        <v/>
      </c>
      <c r="C369" s="9" t="str">
        <f>IF(CARGA_DIARIA!A369="","",IF(CARGA_DIARIA!B369=0,0,(CARGA_DIARIA!C369+CARGA_DIARIA!D369+CARGA_DIARIA!E369+CARGA_DIARIA!F369+CARGA_DIARIA!G369+CARGA_DIARIA!H369+CARGA_DIARIA!I369+CARGA_DIARIA!AF369+CARGA_DIARIA!AG369+CARGA_DIARIA!AH369+CARGA_DIARIA!AI369)/CARGA_DIARIA!B369+CARGA_DIARIA!AE369))</f>
        <v/>
      </c>
      <c r="D369" s="10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10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13" t="s">
        <v>64</v>
      </c>
      <c r="G369" s="13" t="s">
        <v>64</v>
      </c>
      <c r="H369" s="12" t="str">
        <f>IF(CARGA_DIARIA!A369="","",C369-D369-E369)</f>
        <v/>
      </c>
    </row>
    <row r="370" spans="1:8" ht="15.75" customHeight="1" x14ac:dyDescent="0.25">
      <c r="A370" s="7" t="str">
        <f>IF(CARGA_DIARIA!A370="","",CARGA_DIARIA!A370)</f>
        <v/>
      </c>
      <c r="B370" s="8" t="str">
        <f>IF(CARGA_DIARIA!A370="","",CARGA_DIARIA!B370)</f>
        <v/>
      </c>
      <c r="C370" s="9" t="str">
        <f>IF(CARGA_DIARIA!A370="","",IF(CARGA_DIARIA!B370=0,0,(CARGA_DIARIA!C370+CARGA_DIARIA!D370+CARGA_DIARIA!E370+CARGA_DIARIA!F370+CARGA_DIARIA!G370+CARGA_DIARIA!H370+CARGA_DIARIA!I370+CARGA_DIARIA!AF370+CARGA_DIARIA!AG370+CARGA_DIARIA!AH370+CARGA_DIARIA!AI370)/CARGA_DIARIA!B370+CARGA_DIARIA!AE370))</f>
        <v/>
      </c>
      <c r="D370" s="10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10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13" t="s">
        <v>64</v>
      </c>
      <c r="G370" s="13" t="s">
        <v>64</v>
      </c>
      <c r="H370" s="12" t="str">
        <f>IF(CARGA_DIARIA!A370="","",C370-D370-E370)</f>
        <v/>
      </c>
    </row>
    <row r="371" spans="1:8" ht="15.75" customHeight="1" x14ac:dyDescent="0.25">
      <c r="A371" s="7" t="str">
        <f>IF(CARGA_DIARIA!A371="","",CARGA_DIARIA!A371)</f>
        <v/>
      </c>
      <c r="B371" s="8" t="str">
        <f>IF(CARGA_DIARIA!A371="","",CARGA_DIARIA!B371)</f>
        <v/>
      </c>
      <c r="C371" s="9" t="str">
        <f>IF(CARGA_DIARIA!A371="","",IF(CARGA_DIARIA!B371=0,0,(CARGA_DIARIA!C371+CARGA_DIARIA!D371+CARGA_DIARIA!E371+CARGA_DIARIA!F371+CARGA_DIARIA!G371+CARGA_DIARIA!H371+CARGA_DIARIA!I371+CARGA_DIARIA!AF371+CARGA_DIARIA!AG371+CARGA_DIARIA!AH371+CARGA_DIARIA!AI371)/CARGA_DIARIA!B371+CARGA_DIARIA!AE371))</f>
        <v/>
      </c>
      <c r="D371" s="10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10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13" t="s">
        <v>64</v>
      </c>
      <c r="G371" s="13" t="s">
        <v>64</v>
      </c>
      <c r="H371" s="12" t="str">
        <f>IF(CARGA_DIARIA!A371="","",C371-D371-E371)</f>
        <v/>
      </c>
    </row>
    <row r="372" spans="1:8" ht="15.75" customHeight="1" x14ac:dyDescent="0.25">
      <c r="A372" s="7" t="str">
        <f>IF(CARGA_DIARIA!A372="","",CARGA_DIARIA!A372)</f>
        <v/>
      </c>
      <c r="B372" s="8" t="str">
        <f>IF(CARGA_DIARIA!A372="","",CARGA_DIARIA!B372)</f>
        <v/>
      </c>
      <c r="C372" s="9" t="str">
        <f>IF(CARGA_DIARIA!A372="","",IF(CARGA_DIARIA!B372=0,0,(CARGA_DIARIA!C372+CARGA_DIARIA!D372+CARGA_DIARIA!E372+CARGA_DIARIA!F372+CARGA_DIARIA!G372+CARGA_DIARIA!H372+CARGA_DIARIA!I372+CARGA_DIARIA!AF372+CARGA_DIARIA!AG372+CARGA_DIARIA!AH372+CARGA_DIARIA!AI372)/CARGA_DIARIA!B372+CARGA_DIARIA!AE372))</f>
        <v/>
      </c>
      <c r="D372" s="10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10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13" t="s">
        <v>64</v>
      </c>
      <c r="G372" s="13" t="s">
        <v>64</v>
      </c>
      <c r="H372" s="12" t="str">
        <f>IF(CARGA_DIARIA!A372="","",C372-D372-E372)</f>
        <v/>
      </c>
    </row>
    <row r="373" spans="1:8" ht="15.75" customHeight="1" x14ac:dyDescent="0.25">
      <c r="A373" s="7" t="str">
        <f>IF(CARGA_DIARIA!A373="","",CARGA_DIARIA!A373)</f>
        <v/>
      </c>
      <c r="B373" s="8" t="str">
        <f>IF(CARGA_DIARIA!A373="","",CARGA_DIARIA!B373)</f>
        <v/>
      </c>
      <c r="C373" s="9" t="str">
        <f>IF(CARGA_DIARIA!A373="","",IF(CARGA_DIARIA!B373=0,0,(CARGA_DIARIA!C373+CARGA_DIARIA!D373+CARGA_DIARIA!E373+CARGA_DIARIA!F373+CARGA_DIARIA!G373+CARGA_DIARIA!H373+CARGA_DIARIA!I373+CARGA_DIARIA!AF373+CARGA_DIARIA!AG373+CARGA_DIARIA!AH373+CARGA_DIARIA!AI373)/CARGA_DIARIA!B373+CARGA_DIARIA!AE373))</f>
        <v/>
      </c>
      <c r="D373" s="10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10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13" t="s">
        <v>64</v>
      </c>
      <c r="G373" s="13" t="s">
        <v>64</v>
      </c>
      <c r="H373" s="12" t="str">
        <f>IF(CARGA_DIARIA!A373="","",C373-D373-E373)</f>
        <v/>
      </c>
    </row>
    <row r="374" spans="1:8" ht="15.75" customHeight="1" x14ac:dyDescent="0.25">
      <c r="A374" s="7" t="str">
        <f>IF(CARGA_DIARIA!A374="","",CARGA_DIARIA!A374)</f>
        <v/>
      </c>
      <c r="B374" s="8" t="str">
        <f>IF(CARGA_DIARIA!A374="","",CARGA_DIARIA!B374)</f>
        <v/>
      </c>
      <c r="C374" s="9" t="str">
        <f>IF(CARGA_DIARIA!A374="","",IF(CARGA_DIARIA!B374=0,0,(CARGA_DIARIA!C374+CARGA_DIARIA!D374+CARGA_DIARIA!E374+CARGA_DIARIA!F374+CARGA_DIARIA!G374+CARGA_DIARIA!H374+CARGA_DIARIA!I374+CARGA_DIARIA!AF374+CARGA_DIARIA!AG374+CARGA_DIARIA!AH374+CARGA_DIARIA!AI374)/CARGA_DIARIA!B374+CARGA_DIARIA!AE374))</f>
        <v/>
      </c>
      <c r="D374" s="10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10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13" t="s">
        <v>64</v>
      </c>
      <c r="G374" s="13" t="s">
        <v>64</v>
      </c>
      <c r="H374" s="12" t="str">
        <f>IF(CARGA_DIARIA!A374="","",C374-D374-E374)</f>
        <v/>
      </c>
    </row>
    <row r="375" spans="1:8" ht="15.75" customHeight="1" x14ac:dyDescent="0.25">
      <c r="A375" s="7" t="str">
        <f>IF(CARGA_DIARIA!A375="","",CARGA_DIARIA!A375)</f>
        <v/>
      </c>
      <c r="B375" s="8" t="str">
        <f>IF(CARGA_DIARIA!A375="","",CARGA_DIARIA!B375)</f>
        <v/>
      </c>
      <c r="C375" s="9" t="str">
        <f>IF(CARGA_DIARIA!A375="","",IF(CARGA_DIARIA!B375=0,0,(CARGA_DIARIA!C375+CARGA_DIARIA!D375+CARGA_DIARIA!E375+CARGA_DIARIA!F375+CARGA_DIARIA!G375+CARGA_DIARIA!H375+CARGA_DIARIA!I375+CARGA_DIARIA!AF375+CARGA_DIARIA!AG375+CARGA_DIARIA!AH375+CARGA_DIARIA!AI375)/CARGA_DIARIA!B375+CARGA_DIARIA!AE375))</f>
        <v/>
      </c>
      <c r="D375" s="10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10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13" t="s">
        <v>64</v>
      </c>
      <c r="G375" s="13" t="s">
        <v>64</v>
      </c>
      <c r="H375" s="12" t="str">
        <f>IF(CARGA_DIARIA!A375="","",C375-D375-E375)</f>
        <v/>
      </c>
    </row>
    <row r="376" spans="1:8" ht="15.75" customHeight="1" x14ac:dyDescent="0.25">
      <c r="A376" s="7" t="str">
        <f>IF(CARGA_DIARIA!A376="","",CARGA_DIARIA!A376)</f>
        <v/>
      </c>
      <c r="B376" s="8" t="str">
        <f>IF(CARGA_DIARIA!A376="","",CARGA_DIARIA!B376)</f>
        <v/>
      </c>
      <c r="C376" s="9" t="str">
        <f>IF(CARGA_DIARIA!A376="","",IF(CARGA_DIARIA!B376=0,0,(CARGA_DIARIA!C376+CARGA_DIARIA!D376+CARGA_DIARIA!E376+CARGA_DIARIA!F376+CARGA_DIARIA!G376+CARGA_DIARIA!H376+CARGA_DIARIA!I376+CARGA_DIARIA!AF376+CARGA_DIARIA!AG376+CARGA_DIARIA!AH376+CARGA_DIARIA!AI376)/CARGA_DIARIA!B376+CARGA_DIARIA!AE376))</f>
        <v/>
      </c>
      <c r="D376" s="10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10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13" t="s">
        <v>64</v>
      </c>
      <c r="G376" s="13" t="s">
        <v>64</v>
      </c>
      <c r="H376" s="12" t="str">
        <f>IF(CARGA_DIARIA!A376="","",C376-D376-E376)</f>
        <v/>
      </c>
    </row>
    <row r="377" spans="1:8" ht="15.75" customHeight="1" x14ac:dyDescent="0.25">
      <c r="A377" s="7" t="str">
        <f>IF(CARGA_DIARIA!A377="","",CARGA_DIARIA!A377)</f>
        <v/>
      </c>
      <c r="B377" s="8" t="str">
        <f>IF(CARGA_DIARIA!A377="","",CARGA_DIARIA!B377)</f>
        <v/>
      </c>
      <c r="C377" s="9" t="str">
        <f>IF(CARGA_DIARIA!A377="","",IF(CARGA_DIARIA!B377=0,0,(CARGA_DIARIA!C377+CARGA_DIARIA!D377+CARGA_DIARIA!E377+CARGA_DIARIA!F377+CARGA_DIARIA!G377+CARGA_DIARIA!H377+CARGA_DIARIA!I377+CARGA_DIARIA!AF377+CARGA_DIARIA!AG377+CARGA_DIARIA!AH377+CARGA_DIARIA!AI377)/CARGA_DIARIA!B377+CARGA_DIARIA!AE377))</f>
        <v/>
      </c>
      <c r="D377" s="10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10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13" t="s">
        <v>64</v>
      </c>
      <c r="G377" s="13" t="s">
        <v>64</v>
      </c>
      <c r="H377" s="12" t="str">
        <f>IF(CARGA_DIARIA!A377="","",C377-D377-E377)</f>
        <v/>
      </c>
    </row>
    <row r="378" spans="1:8" ht="15.75" customHeight="1" x14ac:dyDescent="0.25">
      <c r="A378" s="7" t="str">
        <f>IF(CARGA_DIARIA!A378="","",CARGA_DIARIA!A378)</f>
        <v/>
      </c>
      <c r="B378" s="8" t="str">
        <f>IF(CARGA_DIARIA!A378="","",CARGA_DIARIA!B378)</f>
        <v/>
      </c>
      <c r="C378" s="9" t="str">
        <f>IF(CARGA_DIARIA!A378="","",IF(CARGA_DIARIA!B378=0,0,(CARGA_DIARIA!C378+CARGA_DIARIA!D378+CARGA_DIARIA!E378+CARGA_DIARIA!F378+CARGA_DIARIA!G378+CARGA_DIARIA!H378+CARGA_DIARIA!I378+CARGA_DIARIA!AF378+CARGA_DIARIA!AG378+CARGA_DIARIA!AH378+CARGA_DIARIA!AI378)/CARGA_DIARIA!B378+CARGA_DIARIA!AE378))</f>
        <v/>
      </c>
      <c r="D378" s="10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10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13" t="s">
        <v>64</v>
      </c>
      <c r="G378" s="13" t="s">
        <v>64</v>
      </c>
      <c r="H378" s="12" t="str">
        <f>IF(CARGA_DIARIA!A378="","",C378-D378-E378)</f>
        <v/>
      </c>
    </row>
    <row r="379" spans="1:8" ht="15.75" customHeight="1" x14ac:dyDescent="0.25">
      <c r="A379" s="7" t="str">
        <f>IF(CARGA_DIARIA!A379="","",CARGA_DIARIA!A379)</f>
        <v/>
      </c>
      <c r="B379" s="8" t="str">
        <f>IF(CARGA_DIARIA!A379="","",CARGA_DIARIA!B379)</f>
        <v/>
      </c>
      <c r="C379" s="9" t="str">
        <f>IF(CARGA_DIARIA!A379="","",IF(CARGA_DIARIA!B379=0,0,(CARGA_DIARIA!C379+CARGA_DIARIA!D379+CARGA_DIARIA!E379+CARGA_DIARIA!F379+CARGA_DIARIA!G379+CARGA_DIARIA!H379+CARGA_DIARIA!I379+CARGA_DIARIA!AF379+CARGA_DIARIA!AG379+CARGA_DIARIA!AH379+CARGA_DIARIA!AI379)/CARGA_DIARIA!B379+CARGA_DIARIA!AE379))</f>
        <v/>
      </c>
      <c r="D379" s="10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10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13" t="s">
        <v>64</v>
      </c>
      <c r="G379" s="13" t="s">
        <v>64</v>
      </c>
      <c r="H379" s="12" t="str">
        <f>IF(CARGA_DIARIA!A379="","",C379-D379-E379)</f>
        <v/>
      </c>
    </row>
    <row r="380" spans="1:8" ht="15.75" customHeight="1" x14ac:dyDescent="0.25">
      <c r="A380" s="7" t="str">
        <f>IF(CARGA_DIARIA!A380="","",CARGA_DIARIA!A380)</f>
        <v/>
      </c>
      <c r="B380" s="8" t="str">
        <f>IF(CARGA_DIARIA!A380="","",CARGA_DIARIA!B380)</f>
        <v/>
      </c>
      <c r="C380" s="9" t="str">
        <f>IF(CARGA_DIARIA!A380="","",IF(CARGA_DIARIA!B380=0,0,(CARGA_DIARIA!C380+CARGA_DIARIA!D380+CARGA_DIARIA!E380+CARGA_DIARIA!F380+CARGA_DIARIA!G380+CARGA_DIARIA!H380+CARGA_DIARIA!I380+CARGA_DIARIA!AF380+CARGA_DIARIA!AG380+CARGA_DIARIA!AH380+CARGA_DIARIA!AI380)/CARGA_DIARIA!B380+CARGA_DIARIA!AE380))</f>
        <v/>
      </c>
      <c r="D380" s="10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10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13" t="s">
        <v>64</v>
      </c>
      <c r="G380" s="13" t="s">
        <v>64</v>
      </c>
      <c r="H380" s="12" t="str">
        <f>IF(CARGA_DIARIA!A380="","",C380-D380-E380)</f>
        <v/>
      </c>
    </row>
    <row r="381" spans="1:8" ht="15.75" customHeight="1" x14ac:dyDescent="0.25">
      <c r="A381" s="7" t="str">
        <f>IF(CARGA_DIARIA!A381="","",CARGA_DIARIA!A381)</f>
        <v/>
      </c>
      <c r="B381" s="8" t="str">
        <f>IF(CARGA_DIARIA!A381="","",CARGA_DIARIA!B381)</f>
        <v/>
      </c>
      <c r="C381" s="9" t="str">
        <f>IF(CARGA_DIARIA!A381="","",IF(CARGA_DIARIA!B381=0,0,(CARGA_DIARIA!C381+CARGA_DIARIA!D381+CARGA_DIARIA!E381+CARGA_DIARIA!F381+CARGA_DIARIA!G381+CARGA_DIARIA!H381+CARGA_DIARIA!I381+CARGA_DIARIA!AF381+CARGA_DIARIA!AG381+CARGA_DIARIA!AH381+CARGA_DIARIA!AI381)/CARGA_DIARIA!B381+CARGA_DIARIA!AE381))</f>
        <v/>
      </c>
      <c r="D381" s="10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10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13" t="s">
        <v>64</v>
      </c>
      <c r="G381" s="13" t="s">
        <v>64</v>
      </c>
      <c r="H381" s="12" t="str">
        <f>IF(CARGA_DIARIA!A381="","",C381-D381-E381)</f>
        <v/>
      </c>
    </row>
    <row r="382" spans="1:8" ht="15.75" customHeight="1" x14ac:dyDescent="0.25">
      <c r="A382" s="7" t="str">
        <f>IF(CARGA_DIARIA!A382="","",CARGA_DIARIA!A382)</f>
        <v/>
      </c>
      <c r="B382" s="8" t="str">
        <f>IF(CARGA_DIARIA!A382="","",CARGA_DIARIA!B382)</f>
        <v/>
      </c>
      <c r="C382" s="9" t="str">
        <f>IF(CARGA_DIARIA!A382="","",IF(CARGA_DIARIA!B382=0,0,(CARGA_DIARIA!C382+CARGA_DIARIA!D382+CARGA_DIARIA!E382+CARGA_DIARIA!F382+CARGA_DIARIA!G382+CARGA_DIARIA!H382+CARGA_DIARIA!I382+CARGA_DIARIA!AF382+CARGA_DIARIA!AG382+CARGA_DIARIA!AH382+CARGA_DIARIA!AI382)/CARGA_DIARIA!B382+CARGA_DIARIA!AE382))</f>
        <v/>
      </c>
      <c r="D382" s="10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10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13" t="s">
        <v>64</v>
      </c>
      <c r="G382" s="13" t="s">
        <v>64</v>
      </c>
      <c r="H382" s="12" t="str">
        <f>IF(CARGA_DIARIA!A382="","",C382-D382-E382)</f>
        <v/>
      </c>
    </row>
    <row r="383" spans="1:8" ht="15.75" customHeight="1" x14ac:dyDescent="0.25">
      <c r="A383" s="7" t="str">
        <f>IF(CARGA_DIARIA!A383="","",CARGA_DIARIA!A383)</f>
        <v/>
      </c>
      <c r="B383" s="8" t="str">
        <f>IF(CARGA_DIARIA!A383="","",CARGA_DIARIA!B383)</f>
        <v/>
      </c>
      <c r="C383" s="9" t="str">
        <f>IF(CARGA_DIARIA!A383="","",IF(CARGA_DIARIA!B383=0,0,(CARGA_DIARIA!C383+CARGA_DIARIA!D383+CARGA_DIARIA!E383+CARGA_DIARIA!F383+CARGA_DIARIA!G383+CARGA_DIARIA!H383+CARGA_DIARIA!I383+CARGA_DIARIA!AF383+CARGA_DIARIA!AG383+CARGA_DIARIA!AH383+CARGA_DIARIA!AI383)/CARGA_DIARIA!B383+CARGA_DIARIA!AE383))</f>
        <v/>
      </c>
      <c r="D383" s="10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10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13" t="s">
        <v>64</v>
      </c>
      <c r="G383" s="13" t="s">
        <v>64</v>
      </c>
      <c r="H383" s="12" t="str">
        <f>IF(CARGA_DIARIA!A383="","",C383-D383-E383)</f>
        <v/>
      </c>
    </row>
    <row r="384" spans="1:8" ht="15.75" customHeight="1" x14ac:dyDescent="0.25">
      <c r="A384" s="7" t="str">
        <f>IF(CARGA_DIARIA!A384="","",CARGA_DIARIA!A384)</f>
        <v/>
      </c>
      <c r="B384" s="8" t="str">
        <f>IF(CARGA_DIARIA!A384="","",CARGA_DIARIA!B384)</f>
        <v/>
      </c>
      <c r="C384" s="9" t="str">
        <f>IF(CARGA_DIARIA!A384="","",IF(CARGA_DIARIA!B384=0,0,(CARGA_DIARIA!C384+CARGA_DIARIA!D384+CARGA_DIARIA!E384+CARGA_DIARIA!F384+CARGA_DIARIA!G384+CARGA_DIARIA!H384+CARGA_DIARIA!I384+CARGA_DIARIA!AF384+CARGA_DIARIA!AG384+CARGA_DIARIA!AH384+CARGA_DIARIA!AI384)/CARGA_DIARIA!B384+CARGA_DIARIA!AE384))</f>
        <v/>
      </c>
      <c r="D384" s="10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10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13" t="s">
        <v>64</v>
      </c>
      <c r="G384" s="13" t="s">
        <v>64</v>
      </c>
      <c r="H384" s="12" t="str">
        <f>IF(CARGA_DIARIA!A384="","",C384-D384-E384)</f>
        <v/>
      </c>
    </row>
    <row r="385" spans="1:8" ht="15.75" customHeight="1" x14ac:dyDescent="0.25">
      <c r="A385" s="7" t="str">
        <f>IF(CARGA_DIARIA!A385="","",CARGA_DIARIA!A385)</f>
        <v/>
      </c>
      <c r="B385" s="8" t="str">
        <f>IF(CARGA_DIARIA!A385="","",CARGA_DIARIA!B385)</f>
        <v/>
      </c>
      <c r="C385" s="9" t="str">
        <f>IF(CARGA_DIARIA!A385="","",IF(CARGA_DIARIA!B385=0,0,(CARGA_DIARIA!C385+CARGA_DIARIA!D385+CARGA_DIARIA!E385+CARGA_DIARIA!F385+CARGA_DIARIA!G385+CARGA_DIARIA!H385+CARGA_DIARIA!I385+CARGA_DIARIA!AF385+CARGA_DIARIA!AG385+CARGA_DIARIA!AH385+CARGA_DIARIA!AI385)/CARGA_DIARIA!B385+CARGA_DIARIA!AE385))</f>
        <v/>
      </c>
      <c r="D385" s="10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10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13" t="s">
        <v>64</v>
      </c>
      <c r="G385" s="13" t="s">
        <v>64</v>
      </c>
      <c r="H385" s="12" t="str">
        <f>IF(CARGA_DIARIA!A385="","",C385-D385-E385)</f>
        <v/>
      </c>
    </row>
    <row r="386" spans="1:8" ht="15.75" customHeight="1" x14ac:dyDescent="0.25">
      <c r="A386" s="7" t="str">
        <f>IF(CARGA_DIARIA!A386="","",CARGA_DIARIA!A386)</f>
        <v/>
      </c>
      <c r="B386" s="8" t="str">
        <f>IF(CARGA_DIARIA!A386="","",CARGA_DIARIA!B386)</f>
        <v/>
      </c>
      <c r="C386" s="9" t="str">
        <f>IF(CARGA_DIARIA!A386="","",IF(CARGA_DIARIA!B386=0,0,(CARGA_DIARIA!C386+CARGA_DIARIA!D386+CARGA_DIARIA!E386+CARGA_DIARIA!F386+CARGA_DIARIA!G386+CARGA_DIARIA!H386+CARGA_DIARIA!I386+CARGA_DIARIA!AF386+CARGA_DIARIA!AG386+CARGA_DIARIA!AH386+CARGA_DIARIA!AI386)/CARGA_DIARIA!B386+CARGA_DIARIA!AE386))</f>
        <v/>
      </c>
      <c r="D386" s="10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10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13" t="s">
        <v>64</v>
      </c>
      <c r="G386" s="13" t="s">
        <v>64</v>
      </c>
      <c r="H386" s="12" t="str">
        <f>IF(CARGA_DIARIA!A386="","",C386-D386-E386)</f>
        <v/>
      </c>
    </row>
    <row r="387" spans="1:8" ht="15.75" customHeight="1" x14ac:dyDescent="0.25">
      <c r="A387" s="7" t="str">
        <f>IF(CARGA_DIARIA!A387="","",CARGA_DIARIA!A387)</f>
        <v/>
      </c>
      <c r="B387" s="8" t="str">
        <f>IF(CARGA_DIARIA!A387="","",CARGA_DIARIA!B387)</f>
        <v/>
      </c>
      <c r="C387" s="9" t="str">
        <f>IF(CARGA_DIARIA!A387="","",IF(CARGA_DIARIA!B387=0,0,(CARGA_DIARIA!C387+CARGA_DIARIA!D387+CARGA_DIARIA!E387+CARGA_DIARIA!F387+CARGA_DIARIA!G387+CARGA_DIARIA!H387+CARGA_DIARIA!I387+CARGA_DIARIA!AF387+CARGA_DIARIA!AG387+CARGA_DIARIA!AH387+CARGA_DIARIA!AI387)/CARGA_DIARIA!B387+CARGA_DIARIA!AE387))</f>
        <v/>
      </c>
      <c r="D387" s="10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10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13" t="s">
        <v>64</v>
      </c>
      <c r="G387" s="13" t="s">
        <v>64</v>
      </c>
      <c r="H387" s="12" t="str">
        <f>IF(CARGA_DIARIA!A387="","",C387-D387-E387)</f>
        <v/>
      </c>
    </row>
    <row r="388" spans="1:8" ht="15.75" customHeight="1" x14ac:dyDescent="0.25">
      <c r="A388" s="7" t="str">
        <f>IF(CARGA_DIARIA!A388="","",CARGA_DIARIA!A388)</f>
        <v/>
      </c>
      <c r="B388" s="8" t="str">
        <f>IF(CARGA_DIARIA!A388="","",CARGA_DIARIA!B388)</f>
        <v/>
      </c>
      <c r="C388" s="9" t="str">
        <f>IF(CARGA_DIARIA!A388="","",IF(CARGA_DIARIA!B388=0,0,(CARGA_DIARIA!C388+CARGA_DIARIA!D388+CARGA_DIARIA!E388+CARGA_DIARIA!F388+CARGA_DIARIA!G388+CARGA_DIARIA!H388+CARGA_DIARIA!I388+CARGA_DIARIA!AF388+CARGA_DIARIA!AG388+CARGA_DIARIA!AH388+CARGA_DIARIA!AI388)/CARGA_DIARIA!B388+CARGA_DIARIA!AE388))</f>
        <v/>
      </c>
      <c r="D388" s="10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10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13" t="s">
        <v>64</v>
      </c>
      <c r="G388" s="13" t="s">
        <v>64</v>
      </c>
      <c r="H388" s="12" t="str">
        <f>IF(CARGA_DIARIA!A388="","",C388-D388-E388)</f>
        <v/>
      </c>
    </row>
    <row r="389" spans="1:8" ht="15.75" customHeight="1" x14ac:dyDescent="0.25">
      <c r="A389" s="7" t="str">
        <f>IF(CARGA_DIARIA!A389="","",CARGA_DIARIA!A389)</f>
        <v/>
      </c>
      <c r="B389" s="8" t="str">
        <f>IF(CARGA_DIARIA!A389="","",CARGA_DIARIA!B389)</f>
        <v/>
      </c>
      <c r="C389" s="9" t="str">
        <f>IF(CARGA_DIARIA!A389="","",IF(CARGA_DIARIA!B389=0,0,(CARGA_DIARIA!C389+CARGA_DIARIA!D389+CARGA_DIARIA!E389+CARGA_DIARIA!F389+CARGA_DIARIA!G389+CARGA_DIARIA!H389+CARGA_DIARIA!I389+CARGA_DIARIA!AF389+CARGA_DIARIA!AG389+CARGA_DIARIA!AH389+CARGA_DIARIA!AI389)/CARGA_DIARIA!B389+CARGA_DIARIA!AE389))</f>
        <v/>
      </c>
      <c r="D389" s="10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10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13" t="s">
        <v>64</v>
      </c>
      <c r="G389" s="13" t="s">
        <v>64</v>
      </c>
      <c r="H389" s="12" t="str">
        <f>IF(CARGA_DIARIA!A389="","",C389-D389-E389)</f>
        <v/>
      </c>
    </row>
    <row r="390" spans="1:8" ht="15.75" customHeight="1" x14ac:dyDescent="0.25">
      <c r="A390" s="7" t="str">
        <f>IF(CARGA_DIARIA!A390="","",CARGA_DIARIA!A390)</f>
        <v/>
      </c>
      <c r="B390" s="8" t="str">
        <f>IF(CARGA_DIARIA!A390="","",CARGA_DIARIA!B390)</f>
        <v/>
      </c>
      <c r="C390" s="9" t="str">
        <f>IF(CARGA_DIARIA!A390="","",IF(CARGA_DIARIA!B390=0,0,(CARGA_DIARIA!C390+CARGA_DIARIA!D390+CARGA_DIARIA!E390+CARGA_DIARIA!F390+CARGA_DIARIA!G390+CARGA_DIARIA!H390+CARGA_DIARIA!I390+CARGA_DIARIA!AF390+CARGA_DIARIA!AG390+CARGA_DIARIA!AH390+CARGA_DIARIA!AI390)/CARGA_DIARIA!B390+CARGA_DIARIA!AE390))</f>
        <v/>
      </c>
      <c r="D390" s="10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10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13" t="s">
        <v>64</v>
      </c>
      <c r="G390" s="13" t="s">
        <v>64</v>
      </c>
      <c r="H390" s="12" t="str">
        <f>IF(CARGA_DIARIA!A390="","",C390-D390-E390)</f>
        <v/>
      </c>
    </row>
    <row r="391" spans="1:8" ht="15.75" customHeight="1" x14ac:dyDescent="0.25">
      <c r="A391" s="7" t="str">
        <f>IF(CARGA_DIARIA!A391="","",CARGA_DIARIA!A391)</f>
        <v/>
      </c>
      <c r="B391" s="8" t="str">
        <f>IF(CARGA_DIARIA!A391="","",CARGA_DIARIA!B391)</f>
        <v/>
      </c>
      <c r="C391" s="9" t="str">
        <f>IF(CARGA_DIARIA!A391="","",IF(CARGA_DIARIA!B391=0,0,(CARGA_DIARIA!C391+CARGA_DIARIA!D391+CARGA_DIARIA!E391+CARGA_DIARIA!F391+CARGA_DIARIA!G391+CARGA_DIARIA!H391+CARGA_DIARIA!I391+CARGA_DIARIA!AF391+CARGA_DIARIA!AG391+CARGA_DIARIA!AH391+CARGA_DIARIA!AI391)/CARGA_DIARIA!B391+CARGA_DIARIA!AE391))</f>
        <v/>
      </c>
      <c r="D391" s="10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10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13" t="s">
        <v>64</v>
      </c>
      <c r="G391" s="13" t="s">
        <v>64</v>
      </c>
      <c r="H391" s="12" t="str">
        <f>IF(CARGA_DIARIA!A391="","",C391-D391-E391)</f>
        <v/>
      </c>
    </row>
    <row r="392" spans="1:8" ht="15.75" customHeight="1" x14ac:dyDescent="0.25">
      <c r="A392" s="7" t="str">
        <f>IF(CARGA_DIARIA!A392="","",CARGA_DIARIA!A392)</f>
        <v/>
      </c>
      <c r="B392" s="8" t="str">
        <f>IF(CARGA_DIARIA!A392="","",CARGA_DIARIA!B392)</f>
        <v/>
      </c>
      <c r="C392" s="9" t="str">
        <f>IF(CARGA_DIARIA!A392="","",IF(CARGA_DIARIA!B392=0,0,(CARGA_DIARIA!C392+CARGA_DIARIA!D392+CARGA_DIARIA!E392+CARGA_DIARIA!F392+CARGA_DIARIA!G392+CARGA_DIARIA!H392+CARGA_DIARIA!I392+CARGA_DIARIA!AF392+CARGA_DIARIA!AG392+CARGA_DIARIA!AH392+CARGA_DIARIA!AI392)/CARGA_DIARIA!B392+CARGA_DIARIA!AE392))</f>
        <v/>
      </c>
      <c r="D392" s="10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10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13" t="s">
        <v>64</v>
      </c>
      <c r="G392" s="13" t="s">
        <v>64</v>
      </c>
      <c r="H392" s="12" t="str">
        <f>IF(CARGA_DIARIA!A392="","",C392-D392-E392)</f>
        <v/>
      </c>
    </row>
    <row r="393" spans="1:8" ht="15.75" customHeight="1" x14ac:dyDescent="0.25">
      <c r="A393" s="7" t="str">
        <f>IF(CARGA_DIARIA!A393="","",CARGA_DIARIA!A393)</f>
        <v/>
      </c>
      <c r="B393" s="8" t="str">
        <f>IF(CARGA_DIARIA!A393="","",CARGA_DIARIA!B393)</f>
        <v/>
      </c>
      <c r="C393" s="9" t="str">
        <f>IF(CARGA_DIARIA!A393="","",IF(CARGA_DIARIA!B393=0,0,(CARGA_DIARIA!C393+CARGA_DIARIA!D393+CARGA_DIARIA!E393+CARGA_DIARIA!F393+CARGA_DIARIA!G393+CARGA_DIARIA!H393+CARGA_DIARIA!I393+CARGA_DIARIA!AF393+CARGA_DIARIA!AG393+CARGA_DIARIA!AH393+CARGA_DIARIA!AI393)/CARGA_DIARIA!B393+CARGA_DIARIA!AE393))</f>
        <v/>
      </c>
      <c r="D393" s="10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10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13" t="s">
        <v>64</v>
      </c>
      <c r="G393" s="13" t="s">
        <v>64</v>
      </c>
      <c r="H393" s="12" t="str">
        <f>IF(CARGA_DIARIA!A393="","",C393-D393-E393)</f>
        <v/>
      </c>
    </row>
    <row r="394" spans="1:8" ht="15.75" customHeight="1" x14ac:dyDescent="0.25">
      <c r="A394" s="7" t="str">
        <f>IF(CARGA_DIARIA!A394="","",CARGA_DIARIA!A394)</f>
        <v/>
      </c>
      <c r="B394" s="8" t="str">
        <f>IF(CARGA_DIARIA!A394="","",CARGA_DIARIA!B394)</f>
        <v/>
      </c>
      <c r="C394" s="9" t="str">
        <f>IF(CARGA_DIARIA!A394="","",IF(CARGA_DIARIA!B394=0,0,(CARGA_DIARIA!C394+CARGA_DIARIA!D394+CARGA_DIARIA!E394+CARGA_DIARIA!F394+CARGA_DIARIA!G394+CARGA_DIARIA!H394+CARGA_DIARIA!I394+CARGA_DIARIA!AF394+CARGA_DIARIA!AG394+CARGA_DIARIA!AH394+CARGA_DIARIA!AI394)/CARGA_DIARIA!B394+CARGA_DIARIA!AE394))</f>
        <v/>
      </c>
      <c r="D394" s="10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10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13" t="s">
        <v>64</v>
      </c>
      <c r="G394" s="13" t="s">
        <v>64</v>
      </c>
      <c r="H394" s="12" t="str">
        <f>IF(CARGA_DIARIA!A394="","",C394-D394-E394)</f>
        <v/>
      </c>
    </row>
    <row r="395" spans="1:8" ht="15.75" customHeight="1" x14ac:dyDescent="0.25">
      <c r="A395" s="7" t="str">
        <f>IF(CARGA_DIARIA!A395="","",CARGA_DIARIA!A395)</f>
        <v/>
      </c>
      <c r="B395" s="8" t="str">
        <f>IF(CARGA_DIARIA!A395="","",CARGA_DIARIA!B395)</f>
        <v/>
      </c>
      <c r="C395" s="9" t="str">
        <f>IF(CARGA_DIARIA!A395="","",IF(CARGA_DIARIA!B395=0,0,(CARGA_DIARIA!C395+CARGA_DIARIA!D395+CARGA_DIARIA!E395+CARGA_DIARIA!F395+CARGA_DIARIA!G395+CARGA_DIARIA!H395+CARGA_DIARIA!I395+CARGA_DIARIA!AF395+CARGA_DIARIA!AG395+CARGA_DIARIA!AH395+CARGA_DIARIA!AI395)/CARGA_DIARIA!B395+CARGA_DIARIA!AE395))</f>
        <v/>
      </c>
      <c r="D395" s="10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10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13" t="s">
        <v>64</v>
      </c>
      <c r="G395" s="13" t="s">
        <v>64</v>
      </c>
      <c r="H395" s="12" t="str">
        <f>IF(CARGA_DIARIA!A395="","",C395-D395-E395)</f>
        <v/>
      </c>
    </row>
    <row r="396" spans="1:8" ht="15.75" customHeight="1" x14ac:dyDescent="0.25">
      <c r="A396" s="7" t="str">
        <f>IF(CARGA_DIARIA!A396="","",CARGA_DIARIA!A396)</f>
        <v/>
      </c>
      <c r="B396" s="8" t="str">
        <f>IF(CARGA_DIARIA!A396="","",CARGA_DIARIA!B396)</f>
        <v/>
      </c>
      <c r="C396" s="9" t="str">
        <f>IF(CARGA_DIARIA!A396="","",IF(CARGA_DIARIA!B396=0,0,(CARGA_DIARIA!C396+CARGA_DIARIA!D396+CARGA_DIARIA!E396+CARGA_DIARIA!F396+CARGA_DIARIA!G396+CARGA_DIARIA!H396+CARGA_DIARIA!I396+CARGA_DIARIA!AF396+CARGA_DIARIA!AG396+CARGA_DIARIA!AH396+CARGA_DIARIA!AI396)/CARGA_DIARIA!B396+CARGA_DIARIA!AE396))</f>
        <v/>
      </c>
      <c r="D396" s="10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10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13" t="s">
        <v>64</v>
      </c>
      <c r="G396" s="13" t="s">
        <v>64</v>
      </c>
      <c r="H396" s="12" t="str">
        <f>IF(CARGA_DIARIA!A396="","",C396-D396-E396)</f>
        <v/>
      </c>
    </row>
    <row r="397" spans="1:8" ht="15.75" customHeight="1" x14ac:dyDescent="0.25">
      <c r="A397" s="7" t="str">
        <f>IF(CARGA_DIARIA!A397="","",CARGA_DIARIA!A397)</f>
        <v/>
      </c>
      <c r="B397" s="8" t="str">
        <f>IF(CARGA_DIARIA!A397="","",CARGA_DIARIA!B397)</f>
        <v/>
      </c>
      <c r="C397" s="9" t="str">
        <f>IF(CARGA_DIARIA!A397="","",IF(CARGA_DIARIA!B397=0,0,(CARGA_DIARIA!C397+CARGA_DIARIA!D397+CARGA_DIARIA!E397+CARGA_DIARIA!F397+CARGA_DIARIA!G397+CARGA_DIARIA!H397+CARGA_DIARIA!I397+CARGA_DIARIA!AF397+CARGA_DIARIA!AG397+CARGA_DIARIA!AH397+CARGA_DIARIA!AI397)/CARGA_DIARIA!B397+CARGA_DIARIA!AE397))</f>
        <v/>
      </c>
      <c r="D397" s="10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10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13" t="s">
        <v>64</v>
      </c>
      <c r="G397" s="13" t="s">
        <v>64</v>
      </c>
      <c r="H397" s="12" t="str">
        <f>IF(CARGA_DIARIA!A397="","",C397-D397-E397)</f>
        <v/>
      </c>
    </row>
    <row r="398" spans="1:8" ht="15.75" customHeight="1" x14ac:dyDescent="0.25">
      <c r="A398" s="7" t="str">
        <f>IF(CARGA_DIARIA!A398="","",CARGA_DIARIA!A398)</f>
        <v/>
      </c>
      <c r="B398" s="8" t="str">
        <f>IF(CARGA_DIARIA!A398="","",CARGA_DIARIA!B398)</f>
        <v/>
      </c>
      <c r="C398" s="9" t="str">
        <f>IF(CARGA_DIARIA!A398="","",IF(CARGA_DIARIA!B398=0,0,(CARGA_DIARIA!C398+CARGA_DIARIA!D398+CARGA_DIARIA!E398+CARGA_DIARIA!F398+CARGA_DIARIA!G398+CARGA_DIARIA!H398+CARGA_DIARIA!I398+CARGA_DIARIA!AF398+CARGA_DIARIA!AG398+CARGA_DIARIA!AH398+CARGA_DIARIA!AI398)/CARGA_DIARIA!B398+CARGA_DIARIA!AE398))</f>
        <v/>
      </c>
      <c r="D398" s="10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10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13" t="s">
        <v>64</v>
      </c>
      <c r="G398" s="13" t="s">
        <v>64</v>
      </c>
      <c r="H398" s="12" t="str">
        <f>IF(CARGA_DIARIA!A398="","",C398-D398-E398)</f>
        <v/>
      </c>
    </row>
    <row r="399" spans="1:8" ht="15.75" customHeight="1" x14ac:dyDescent="0.25">
      <c r="A399" s="7" t="str">
        <f>IF(CARGA_DIARIA!A399="","",CARGA_DIARIA!A399)</f>
        <v/>
      </c>
      <c r="B399" s="8" t="str">
        <f>IF(CARGA_DIARIA!A399="","",CARGA_DIARIA!B399)</f>
        <v/>
      </c>
      <c r="C399" s="9" t="str">
        <f>IF(CARGA_DIARIA!A399="","",IF(CARGA_DIARIA!B399=0,0,(CARGA_DIARIA!C399+CARGA_DIARIA!D399+CARGA_DIARIA!E399+CARGA_DIARIA!F399+CARGA_DIARIA!G399+CARGA_DIARIA!H399+CARGA_DIARIA!I399+CARGA_DIARIA!AF399+CARGA_DIARIA!AG399+CARGA_DIARIA!AH399+CARGA_DIARIA!AI399)/CARGA_DIARIA!B399+CARGA_DIARIA!AE399))</f>
        <v/>
      </c>
      <c r="D399" s="10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10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13" t="s">
        <v>64</v>
      </c>
      <c r="G399" s="13" t="s">
        <v>64</v>
      </c>
      <c r="H399" s="12" t="str">
        <f>IF(CARGA_DIARIA!A399="","",C399-D399-E399)</f>
        <v/>
      </c>
    </row>
    <row r="400" spans="1:8" ht="15.75" customHeight="1" x14ac:dyDescent="0.25">
      <c r="A400" s="7" t="str">
        <f>IF(CARGA_DIARIA!A400="","",CARGA_DIARIA!A400)</f>
        <v/>
      </c>
      <c r="B400" s="8" t="str">
        <f>IF(CARGA_DIARIA!A400="","",CARGA_DIARIA!B400)</f>
        <v/>
      </c>
      <c r="C400" s="9" t="str">
        <f>IF(CARGA_DIARIA!A400="","",IF(CARGA_DIARIA!B400=0,0,(CARGA_DIARIA!C400+CARGA_DIARIA!D400+CARGA_DIARIA!E400+CARGA_DIARIA!F400+CARGA_DIARIA!G400+CARGA_DIARIA!H400+CARGA_DIARIA!I400+CARGA_DIARIA!AF400+CARGA_DIARIA!AG400+CARGA_DIARIA!AH400+CARGA_DIARIA!AI400)/CARGA_DIARIA!B400+CARGA_DIARIA!AE400))</f>
        <v/>
      </c>
      <c r="D400" s="10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10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13" t="s">
        <v>64</v>
      </c>
      <c r="G400" s="13" t="s">
        <v>64</v>
      </c>
      <c r="H400" s="12" t="str">
        <f>IF(CARGA_DIARIA!A400="","",C400-D400-E400)</f>
        <v/>
      </c>
    </row>
    <row r="401" spans="1:8" ht="15.75" customHeight="1" x14ac:dyDescent="0.25">
      <c r="A401" s="7" t="str">
        <f>IF(CARGA_DIARIA!A401="","",CARGA_DIARIA!A401)</f>
        <v/>
      </c>
      <c r="B401" s="8" t="str">
        <f>IF(CARGA_DIARIA!A401="","",CARGA_DIARIA!B401)</f>
        <v/>
      </c>
      <c r="C401" s="9" t="str">
        <f>IF(CARGA_DIARIA!A401="","",IF(CARGA_DIARIA!B401=0,0,(CARGA_DIARIA!C401+CARGA_DIARIA!D401+CARGA_DIARIA!E401+CARGA_DIARIA!F401+CARGA_DIARIA!G401+CARGA_DIARIA!H401+CARGA_DIARIA!I401+CARGA_DIARIA!AF401+CARGA_DIARIA!AG401+CARGA_DIARIA!AH401+CARGA_DIARIA!AI401)/CARGA_DIARIA!B401+CARGA_DIARIA!AE401))</f>
        <v/>
      </c>
      <c r="D401" s="10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10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13" t="s">
        <v>64</v>
      </c>
      <c r="G401" s="13" t="s">
        <v>64</v>
      </c>
      <c r="H401" s="12" t="str">
        <f>IF(CARGA_DIARIA!A401="","",C401-D401-E401)</f>
        <v/>
      </c>
    </row>
    <row r="402" spans="1:8" ht="15.75" customHeight="1" x14ac:dyDescent="0.25">
      <c r="A402" s="7" t="str">
        <f>IF(CARGA_DIARIA!A402="","",CARGA_DIARIA!A402)</f>
        <v/>
      </c>
      <c r="B402" s="8" t="str">
        <f>IF(CARGA_DIARIA!A402="","",CARGA_DIARIA!B402)</f>
        <v/>
      </c>
      <c r="C402" s="9" t="str">
        <f>IF(CARGA_DIARIA!A402="","",IF(CARGA_DIARIA!B402=0,0,(CARGA_DIARIA!C402+CARGA_DIARIA!D402+CARGA_DIARIA!E402+CARGA_DIARIA!F402+CARGA_DIARIA!G402+CARGA_DIARIA!H402+CARGA_DIARIA!I402+CARGA_DIARIA!AF402+CARGA_DIARIA!AG402+CARGA_DIARIA!AH402+CARGA_DIARIA!AI402)/CARGA_DIARIA!B402+CARGA_DIARIA!AE402))</f>
        <v/>
      </c>
      <c r="D402" s="10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10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13" t="s">
        <v>64</v>
      </c>
      <c r="G402" s="13" t="s">
        <v>64</v>
      </c>
      <c r="H402" s="12" t="str">
        <f>IF(CARGA_DIARIA!A402="","",C402-D402-E402)</f>
        <v/>
      </c>
    </row>
    <row r="403" spans="1:8" ht="15.75" customHeight="1" x14ac:dyDescent="0.25">
      <c r="A403" s="7" t="str">
        <f>IF(CARGA_DIARIA!A403="","",CARGA_DIARIA!A403)</f>
        <v/>
      </c>
      <c r="B403" s="8" t="str">
        <f>IF(CARGA_DIARIA!A403="","",CARGA_DIARIA!B403)</f>
        <v/>
      </c>
      <c r="C403" s="9" t="str">
        <f>IF(CARGA_DIARIA!A403="","",IF(CARGA_DIARIA!B403=0,0,(CARGA_DIARIA!C403+CARGA_DIARIA!D403+CARGA_DIARIA!E403+CARGA_DIARIA!F403+CARGA_DIARIA!G403+CARGA_DIARIA!H403+CARGA_DIARIA!I403+CARGA_DIARIA!AF403+CARGA_DIARIA!AG403+CARGA_DIARIA!AH403+CARGA_DIARIA!AI403)/CARGA_DIARIA!B403+CARGA_DIARIA!AE403))</f>
        <v/>
      </c>
      <c r="D403" s="10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10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13" t="s">
        <v>64</v>
      </c>
      <c r="G403" s="13" t="s">
        <v>64</v>
      </c>
      <c r="H403" s="12" t="str">
        <f>IF(CARGA_DIARIA!A403="","",C403-D403-E403)</f>
        <v/>
      </c>
    </row>
    <row r="404" spans="1:8" ht="15.75" customHeight="1" x14ac:dyDescent="0.25">
      <c r="A404" s="7" t="str">
        <f>IF(CARGA_DIARIA!A404="","",CARGA_DIARIA!A404)</f>
        <v/>
      </c>
      <c r="B404" s="8" t="str">
        <f>IF(CARGA_DIARIA!A404="","",CARGA_DIARIA!B404)</f>
        <v/>
      </c>
      <c r="C404" s="9" t="str">
        <f>IF(CARGA_DIARIA!A404="","",IF(CARGA_DIARIA!B404=0,0,(CARGA_DIARIA!C404+CARGA_DIARIA!D404+CARGA_DIARIA!E404+CARGA_DIARIA!F404+CARGA_DIARIA!G404+CARGA_DIARIA!H404+CARGA_DIARIA!I404+CARGA_DIARIA!AF404+CARGA_DIARIA!AG404+CARGA_DIARIA!AH404+CARGA_DIARIA!AI404)/CARGA_DIARIA!B404+CARGA_DIARIA!AE404))</f>
        <v/>
      </c>
      <c r="D404" s="10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10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13" t="s">
        <v>64</v>
      </c>
      <c r="G404" s="13" t="s">
        <v>64</v>
      </c>
      <c r="H404" s="12" t="str">
        <f>IF(CARGA_DIARIA!A404="","",C404-D404-E404)</f>
        <v/>
      </c>
    </row>
    <row r="405" spans="1:8" ht="15.75" customHeight="1" x14ac:dyDescent="0.25">
      <c r="A405" s="7" t="str">
        <f>IF(CARGA_DIARIA!A405="","",CARGA_DIARIA!A405)</f>
        <v/>
      </c>
      <c r="B405" s="8" t="str">
        <f>IF(CARGA_DIARIA!A405="","",CARGA_DIARIA!B405)</f>
        <v/>
      </c>
      <c r="C405" s="9" t="str">
        <f>IF(CARGA_DIARIA!A405="","",IF(CARGA_DIARIA!B405=0,0,(CARGA_DIARIA!C405+CARGA_DIARIA!D405+CARGA_DIARIA!E405+CARGA_DIARIA!F405+CARGA_DIARIA!G405+CARGA_DIARIA!H405+CARGA_DIARIA!I405+CARGA_DIARIA!AF405+CARGA_DIARIA!AG405+CARGA_DIARIA!AH405+CARGA_DIARIA!AI405)/CARGA_DIARIA!B405+CARGA_DIARIA!AE405))</f>
        <v/>
      </c>
      <c r="D405" s="10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10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13" t="s">
        <v>64</v>
      </c>
      <c r="G405" s="13" t="s">
        <v>64</v>
      </c>
      <c r="H405" s="12" t="str">
        <f>IF(CARGA_DIARIA!A405="","",C405-D405-E405)</f>
        <v/>
      </c>
    </row>
    <row r="406" spans="1:8" ht="15.75" customHeight="1" x14ac:dyDescent="0.25">
      <c r="A406" s="7" t="str">
        <f>IF(CARGA_DIARIA!A406="","",CARGA_DIARIA!A406)</f>
        <v/>
      </c>
      <c r="B406" s="8" t="str">
        <f>IF(CARGA_DIARIA!A406="","",CARGA_DIARIA!B406)</f>
        <v/>
      </c>
      <c r="C406" s="9" t="str">
        <f>IF(CARGA_DIARIA!A406="","",IF(CARGA_DIARIA!B406=0,0,(CARGA_DIARIA!C406+CARGA_DIARIA!D406+CARGA_DIARIA!E406+CARGA_DIARIA!F406+CARGA_DIARIA!G406+CARGA_DIARIA!H406+CARGA_DIARIA!I406+CARGA_DIARIA!AF406+CARGA_DIARIA!AG406+CARGA_DIARIA!AH406+CARGA_DIARIA!AI406)/CARGA_DIARIA!B406+CARGA_DIARIA!AE406))</f>
        <v/>
      </c>
      <c r="D406" s="10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10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13" t="s">
        <v>64</v>
      </c>
      <c r="G406" s="13" t="s">
        <v>64</v>
      </c>
      <c r="H406" s="12" t="str">
        <f>IF(CARGA_DIARIA!A406="","",C406-D406-E406)</f>
        <v/>
      </c>
    </row>
    <row r="407" spans="1:8" ht="15.75" customHeight="1" x14ac:dyDescent="0.25">
      <c r="A407" s="7" t="str">
        <f>IF(CARGA_DIARIA!A407="","",CARGA_DIARIA!A407)</f>
        <v/>
      </c>
      <c r="B407" s="8" t="str">
        <f>IF(CARGA_DIARIA!A407="","",CARGA_DIARIA!B407)</f>
        <v/>
      </c>
      <c r="C407" s="9" t="str">
        <f>IF(CARGA_DIARIA!A407="","",IF(CARGA_DIARIA!B407=0,0,(CARGA_DIARIA!C407+CARGA_DIARIA!D407+CARGA_DIARIA!E407+CARGA_DIARIA!F407+CARGA_DIARIA!G407+CARGA_DIARIA!H407+CARGA_DIARIA!I407+CARGA_DIARIA!AF407+CARGA_DIARIA!AG407+CARGA_DIARIA!AH407+CARGA_DIARIA!AI407)/CARGA_DIARIA!B407+CARGA_DIARIA!AE407))</f>
        <v/>
      </c>
      <c r="D407" s="10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10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13" t="s">
        <v>64</v>
      </c>
      <c r="G407" s="13" t="s">
        <v>64</v>
      </c>
      <c r="H407" s="12" t="str">
        <f>IF(CARGA_DIARIA!A407="","",C407-D407-E407)</f>
        <v/>
      </c>
    </row>
    <row r="408" spans="1:8" ht="15.75" customHeight="1" x14ac:dyDescent="0.25">
      <c r="A408" s="7" t="str">
        <f>IF(CARGA_DIARIA!A408="","",CARGA_DIARIA!A408)</f>
        <v/>
      </c>
      <c r="B408" s="8" t="str">
        <f>IF(CARGA_DIARIA!A408="","",CARGA_DIARIA!B408)</f>
        <v/>
      </c>
      <c r="C408" s="9" t="str">
        <f>IF(CARGA_DIARIA!A408="","",IF(CARGA_DIARIA!B408=0,0,(CARGA_DIARIA!C408+CARGA_DIARIA!D408+CARGA_DIARIA!E408+CARGA_DIARIA!F408+CARGA_DIARIA!G408+CARGA_DIARIA!H408+CARGA_DIARIA!I408+CARGA_DIARIA!AF408+CARGA_DIARIA!AG408+CARGA_DIARIA!AH408+CARGA_DIARIA!AI408)/CARGA_DIARIA!B408+CARGA_DIARIA!AE408))</f>
        <v/>
      </c>
      <c r="D408" s="10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10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13" t="s">
        <v>64</v>
      </c>
      <c r="G408" s="13" t="s">
        <v>64</v>
      </c>
      <c r="H408" s="12" t="str">
        <f>IF(CARGA_DIARIA!A408="","",C408-D408-E408)</f>
        <v/>
      </c>
    </row>
    <row r="409" spans="1:8" ht="15.75" customHeight="1" x14ac:dyDescent="0.25">
      <c r="A409" s="7" t="str">
        <f>IF(CARGA_DIARIA!A409="","",CARGA_DIARIA!A409)</f>
        <v/>
      </c>
      <c r="B409" s="8" t="str">
        <f>IF(CARGA_DIARIA!A409="","",CARGA_DIARIA!B409)</f>
        <v/>
      </c>
      <c r="C409" s="9" t="str">
        <f>IF(CARGA_DIARIA!A409="","",IF(CARGA_DIARIA!B409=0,0,(CARGA_DIARIA!C409+CARGA_DIARIA!D409+CARGA_DIARIA!E409+CARGA_DIARIA!F409+CARGA_DIARIA!G409+CARGA_DIARIA!H409+CARGA_DIARIA!I409+CARGA_DIARIA!AF409+CARGA_DIARIA!AG409+CARGA_DIARIA!AH409+CARGA_DIARIA!AI409)/CARGA_DIARIA!B409+CARGA_DIARIA!AE409))</f>
        <v/>
      </c>
      <c r="D409" s="10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10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13" t="s">
        <v>64</v>
      </c>
      <c r="G409" s="13" t="s">
        <v>64</v>
      </c>
      <c r="H409" s="12" t="str">
        <f>IF(CARGA_DIARIA!A409="","",C409-D409-E409)</f>
        <v/>
      </c>
    </row>
    <row r="410" spans="1:8" ht="15.75" customHeight="1" x14ac:dyDescent="0.25">
      <c r="A410" s="7" t="str">
        <f>IF(CARGA_DIARIA!A410="","",CARGA_DIARIA!A410)</f>
        <v/>
      </c>
      <c r="B410" s="8" t="str">
        <f>IF(CARGA_DIARIA!A410="","",CARGA_DIARIA!B410)</f>
        <v/>
      </c>
      <c r="C410" s="9" t="str">
        <f>IF(CARGA_DIARIA!A410="","",IF(CARGA_DIARIA!B410=0,0,(CARGA_DIARIA!C410+CARGA_DIARIA!D410+CARGA_DIARIA!E410+CARGA_DIARIA!F410+CARGA_DIARIA!G410+CARGA_DIARIA!H410+CARGA_DIARIA!I410+CARGA_DIARIA!AF410+CARGA_DIARIA!AG410+CARGA_DIARIA!AH410+CARGA_DIARIA!AI410)/CARGA_DIARIA!B410+CARGA_DIARIA!AE410))</f>
        <v/>
      </c>
      <c r="D410" s="10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10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13" t="s">
        <v>64</v>
      </c>
      <c r="G410" s="13" t="s">
        <v>64</v>
      </c>
      <c r="H410" s="12" t="str">
        <f>IF(CARGA_DIARIA!A410="","",C410-D410-E410)</f>
        <v/>
      </c>
    </row>
    <row r="411" spans="1:8" ht="15.75" customHeight="1" x14ac:dyDescent="0.25">
      <c r="A411" s="7" t="str">
        <f>IF(CARGA_DIARIA!A411="","",CARGA_DIARIA!A411)</f>
        <v/>
      </c>
      <c r="B411" s="8" t="str">
        <f>IF(CARGA_DIARIA!A411="","",CARGA_DIARIA!B411)</f>
        <v/>
      </c>
      <c r="C411" s="9" t="str">
        <f>IF(CARGA_DIARIA!A411="","",IF(CARGA_DIARIA!B411=0,0,(CARGA_DIARIA!C411+CARGA_DIARIA!D411+CARGA_DIARIA!E411+CARGA_DIARIA!F411+CARGA_DIARIA!G411+CARGA_DIARIA!H411+CARGA_DIARIA!I411+CARGA_DIARIA!AF411+CARGA_DIARIA!AG411+CARGA_DIARIA!AH411+CARGA_DIARIA!AI411)/CARGA_DIARIA!B411+CARGA_DIARIA!AE411))</f>
        <v/>
      </c>
      <c r="D411" s="10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10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13" t="s">
        <v>64</v>
      </c>
      <c r="G411" s="13" t="s">
        <v>64</v>
      </c>
      <c r="H411" s="12" t="str">
        <f>IF(CARGA_DIARIA!A411="","",C411-D411-E411)</f>
        <v/>
      </c>
    </row>
    <row r="412" spans="1:8" ht="15.75" customHeight="1" x14ac:dyDescent="0.25">
      <c r="A412" s="7" t="str">
        <f>IF(CARGA_DIARIA!A412="","",CARGA_DIARIA!A412)</f>
        <v/>
      </c>
      <c r="B412" s="8" t="str">
        <f>IF(CARGA_DIARIA!A412="","",CARGA_DIARIA!B412)</f>
        <v/>
      </c>
      <c r="C412" s="9" t="str">
        <f>IF(CARGA_DIARIA!A412="","",IF(CARGA_DIARIA!B412=0,0,(CARGA_DIARIA!C412+CARGA_DIARIA!D412+CARGA_DIARIA!E412+CARGA_DIARIA!F412+CARGA_DIARIA!G412+CARGA_DIARIA!H412+CARGA_DIARIA!I412+CARGA_DIARIA!AF412+CARGA_DIARIA!AG412+CARGA_DIARIA!AH412+CARGA_DIARIA!AI412)/CARGA_DIARIA!B412+CARGA_DIARIA!AE412))</f>
        <v/>
      </c>
      <c r="D412" s="10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10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13" t="s">
        <v>64</v>
      </c>
      <c r="G412" s="13" t="s">
        <v>64</v>
      </c>
      <c r="H412" s="12" t="str">
        <f>IF(CARGA_DIARIA!A412="","",C412-D412-E412)</f>
        <v/>
      </c>
    </row>
    <row r="413" spans="1:8" ht="15.75" customHeight="1" x14ac:dyDescent="0.25">
      <c r="A413" s="7" t="str">
        <f>IF(CARGA_DIARIA!A413="","",CARGA_DIARIA!A413)</f>
        <v/>
      </c>
      <c r="B413" s="8" t="str">
        <f>IF(CARGA_DIARIA!A413="","",CARGA_DIARIA!B413)</f>
        <v/>
      </c>
      <c r="C413" s="9" t="str">
        <f>IF(CARGA_DIARIA!A413="","",IF(CARGA_DIARIA!B413=0,0,(CARGA_DIARIA!C413+CARGA_DIARIA!D413+CARGA_DIARIA!E413+CARGA_DIARIA!F413+CARGA_DIARIA!G413+CARGA_DIARIA!H413+CARGA_DIARIA!I413+CARGA_DIARIA!AF413+CARGA_DIARIA!AG413+CARGA_DIARIA!AH413+CARGA_DIARIA!AI413)/CARGA_DIARIA!B413+CARGA_DIARIA!AE413))</f>
        <v/>
      </c>
      <c r="D413" s="10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10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13" t="s">
        <v>64</v>
      </c>
      <c r="G413" s="13" t="s">
        <v>64</v>
      </c>
      <c r="H413" s="12" t="str">
        <f>IF(CARGA_DIARIA!A413="","",C413-D413-E413)</f>
        <v/>
      </c>
    </row>
    <row r="414" spans="1:8" ht="15.75" customHeight="1" x14ac:dyDescent="0.25">
      <c r="A414" s="7" t="str">
        <f>IF(CARGA_DIARIA!A414="","",CARGA_DIARIA!A414)</f>
        <v/>
      </c>
      <c r="B414" s="8" t="str">
        <f>IF(CARGA_DIARIA!A414="","",CARGA_DIARIA!B414)</f>
        <v/>
      </c>
      <c r="C414" s="9" t="str">
        <f>IF(CARGA_DIARIA!A414="","",IF(CARGA_DIARIA!B414=0,0,(CARGA_DIARIA!C414+CARGA_DIARIA!D414+CARGA_DIARIA!E414+CARGA_DIARIA!F414+CARGA_DIARIA!G414+CARGA_DIARIA!H414+CARGA_DIARIA!I414+CARGA_DIARIA!AF414+CARGA_DIARIA!AG414+CARGA_DIARIA!AH414+CARGA_DIARIA!AI414)/CARGA_DIARIA!B414+CARGA_DIARIA!AE414))</f>
        <v/>
      </c>
      <c r="D414" s="10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10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13" t="s">
        <v>64</v>
      </c>
      <c r="G414" s="13" t="s">
        <v>64</v>
      </c>
      <c r="H414" s="12" t="str">
        <f>IF(CARGA_DIARIA!A414="","",C414-D414-E414)</f>
        <v/>
      </c>
    </row>
    <row r="415" spans="1:8" ht="15.75" customHeight="1" x14ac:dyDescent="0.25">
      <c r="A415" s="7" t="str">
        <f>IF(CARGA_DIARIA!A415="","",CARGA_DIARIA!A415)</f>
        <v/>
      </c>
      <c r="B415" s="8" t="str">
        <f>IF(CARGA_DIARIA!A415="","",CARGA_DIARIA!B415)</f>
        <v/>
      </c>
      <c r="C415" s="9" t="str">
        <f>IF(CARGA_DIARIA!A415="","",IF(CARGA_DIARIA!B415=0,0,(CARGA_DIARIA!C415+CARGA_DIARIA!D415+CARGA_DIARIA!E415+CARGA_DIARIA!F415+CARGA_DIARIA!G415+CARGA_DIARIA!H415+CARGA_DIARIA!I415+CARGA_DIARIA!AF415+CARGA_DIARIA!AG415+CARGA_DIARIA!AH415+CARGA_DIARIA!AI415)/CARGA_DIARIA!B415+CARGA_DIARIA!AE415))</f>
        <v/>
      </c>
      <c r="D415" s="10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10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13" t="s">
        <v>64</v>
      </c>
      <c r="G415" s="13" t="s">
        <v>64</v>
      </c>
      <c r="H415" s="12" t="str">
        <f>IF(CARGA_DIARIA!A415="","",C415-D415-E415)</f>
        <v/>
      </c>
    </row>
    <row r="416" spans="1:8" ht="15.75" customHeight="1" x14ac:dyDescent="0.25">
      <c r="A416" s="7" t="str">
        <f>IF(CARGA_DIARIA!A416="","",CARGA_DIARIA!A416)</f>
        <v/>
      </c>
      <c r="B416" s="8" t="str">
        <f>IF(CARGA_DIARIA!A416="","",CARGA_DIARIA!B416)</f>
        <v/>
      </c>
      <c r="C416" s="9" t="str">
        <f>IF(CARGA_DIARIA!A416="","",IF(CARGA_DIARIA!B416=0,0,(CARGA_DIARIA!C416+CARGA_DIARIA!D416+CARGA_DIARIA!E416+CARGA_DIARIA!F416+CARGA_DIARIA!G416+CARGA_DIARIA!H416+CARGA_DIARIA!I416+CARGA_DIARIA!AF416+CARGA_DIARIA!AG416+CARGA_DIARIA!AH416+CARGA_DIARIA!AI416)/CARGA_DIARIA!B416+CARGA_DIARIA!AE416))</f>
        <v/>
      </c>
      <c r="D416" s="10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10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13" t="s">
        <v>64</v>
      </c>
      <c r="G416" s="13" t="s">
        <v>64</v>
      </c>
      <c r="H416" s="12" t="str">
        <f>IF(CARGA_DIARIA!A416="","",C416-D416-E416)</f>
        <v/>
      </c>
    </row>
    <row r="417" spans="1:8" ht="15.75" customHeight="1" x14ac:dyDescent="0.25">
      <c r="A417" s="7" t="str">
        <f>IF(CARGA_DIARIA!A417="","",CARGA_DIARIA!A417)</f>
        <v/>
      </c>
      <c r="B417" s="8" t="str">
        <f>IF(CARGA_DIARIA!A417="","",CARGA_DIARIA!B417)</f>
        <v/>
      </c>
      <c r="C417" s="9" t="str">
        <f>IF(CARGA_DIARIA!A417="","",IF(CARGA_DIARIA!B417=0,0,(CARGA_DIARIA!C417+CARGA_DIARIA!D417+CARGA_DIARIA!E417+CARGA_DIARIA!F417+CARGA_DIARIA!G417+CARGA_DIARIA!H417+CARGA_DIARIA!I417+CARGA_DIARIA!AF417+CARGA_DIARIA!AG417+CARGA_DIARIA!AH417+CARGA_DIARIA!AI417)/CARGA_DIARIA!B417+CARGA_DIARIA!AE417))</f>
        <v/>
      </c>
      <c r="D417" s="10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10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13" t="s">
        <v>64</v>
      </c>
      <c r="G417" s="13" t="s">
        <v>64</v>
      </c>
      <c r="H417" s="12" t="str">
        <f>IF(CARGA_DIARIA!A417="","",C417-D417-E417)</f>
        <v/>
      </c>
    </row>
    <row r="418" spans="1:8" ht="15.75" customHeight="1" x14ac:dyDescent="0.25">
      <c r="A418" s="7" t="str">
        <f>IF(CARGA_DIARIA!A418="","",CARGA_DIARIA!A418)</f>
        <v/>
      </c>
      <c r="B418" s="8" t="str">
        <f>IF(CARGA_DIARIA!A418="","",CARGA_DIARIA!B418)</f>
        <v/>
      </c>
      <c r="C418" s="9" t="str">
        <f>IF(CARGA_DIARIA!A418="","",IF(CARGA_DIARIA!B418=0,0,(CARGA_DIARIA!C418+CARGA_DIARIA!D418+CARGA_DIARIA!E418+CARGA_DIARIA!F418+CARGA_DIARIA!G418+CARGA_DIARIA!H418+CARGA_DIARIA!I418+CARGA_DIARIA!AF418+CARGA_DIARIA!AG418+CARGA_DIARIA!AH418+CARGA_DIARIA!AI418)/CARGA_DIARIA!B418+CARGA_DIARIA!AE418))</f>
        <v/>
      </c>
      <c r="D418" s="10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10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13" t="s">
        <v>64</v>
      </c>
      <c r="G418" s="13" t="s">
        <v>64</v>
      </c>
      <c r="H418" s="12" t="str">
        <f>IF(CARGA_DIARIA!A418="","",C418-D418-E418)</f>
        <v/>
      </c>
    </row>
    <row r="419" spans="1:8" ht="15.75" customHeight="1" x14ac:dyDescent="0.25">
      <c r="A419" s="7" t="str">
        <f>IF(CARGA_DIARIA!A419="","",CARGA_DIARIA!A419)</f>
        <v/>
      </c>
      <c r="B419" s="8" t="str">
        <f>IF(CARGA_DIARIA!A419="","",CARGA_DIARIA!B419)</f>
        <v/>
      </c>
      <c r="C419" s="9" t="str">
        <f>IF(CARGA_DIARIA!A419="","",IF(CARGA_DIARIA!B419=0,0,(CARGA_DIARIA!C419+CARGA_DIARIA!D419+CARGA_DIARIA!E419+CARGA_DIARIA!F419+CARGA_DIARIA!G419+CARGA_DIARIA!H419+CARGA_DIARIA!I419+CARGA_DIARIA!AF419+CARGA_DIARIA!AG419+CARGA_DIARIA!AH419+CARGA_DIARIA!AI419)/CARGA_DIARIA!B419+CARGA_DIARIA!AE419))</f>
        <v/>
      </c>
      <c r="D419" s="10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10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13" t="s">
        <v>64</v>
      </c>
      <c r="G419" s="13" t="s">
        <v>64</v>
      </c>
      <c r="H419" s="12" t="str">
        <f>IF(CARGA_DIARIA!A419="","",C419-D419-E419)</f>
        <v/>
      </c>
    </row>
    <row r="420" spans="1:8" ht="15.75" customHeight="1" x14ac:dyDescent="0.25">
      <c r="A420" s="7" t="str">
        <f>IF(CARGA_DIARIA!A420="","",CARGA_DIARIA!A420)</f>
        <v/>
      </c>
      <c r="B420" s="8" t="str">
        <f>IF(CARGA_DIARIA!A420="","",CARGA_DIARIA!B420)</f>
        <v/>
      </c>
      <c r="C420" s="9" t="str">
        <f>IF(CARGA_DIARIA!A420="","",IF(CARGA_DIARIA!B420=0,0,(CARGA_DIARIA!C420+CARGA_DIARIA!D420+CARGA_DIARIA!E420+CARGA_DIARIA!F420+CARGA_DIARIA!G420+CARGA_DIARIA!H420+CARGA_DIARIA!I420+CARGA_DIARIA!AF420+CARGA_DIARIA!AG420+CARGA_DIARIA!AH420+CARGA_DIARIA!AI420)/CARGA_DIARIA!B420+CARGA_DIARIA!AE420))</f>
        <v/>
      </c>
      <c r="D420" s="10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10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13" t="s">
        <v>64</v>
      </c>
      <c r="G420" s="13" t="s">
        <v>64</v>
      </c>
      <c r="H420" s="12" t="str">
        <f>IF(CARGA_DIARIA!A420="","",C420-D420-E420)</f>
        <v/>
      </c>
    </row>
    <row r="421" spans="1:8" ht="15.75" customHeight="1" x14ac:dyDescent="0.25">
      <c r="A421" s="7" t="str">
        <f>IF(CARGA_DIARIA!A421="","",CARGA_DIARIA!A421)</f>
        <v/>
      </c>
      <c r="B421" s="8" t="str">
        <f>IF(CARGA_DIARIA!A421="","",CARGA_DIARIA!B421)</f>
        <v/>
      </c>
      <c r="C421" s="9" t="str">
        <f>IF(CARGA_DIARIA!A421="","",IF(CARGA_DIARIA!B421=0,0,(CARGA_DIARIA!C421+CARGA_DIARIA!D421+CARGA_DIARIA!E421+CARGA_DIARIA!F421+CARGA_DIARIA!G421+CARGA_DIARIA!H421+CARGA_DIARIA!I421+CARGA_DIARIA!AF421+CARGA_DIARIA!AG421+CARGA_DIARIA!AH421+CARGA_DIARIA!AI421)/CARGA_DIARIA!B421+CARGA_DIARIA!AE421))</f>
        <v/>
      </c>
      <c r="D421" s="10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10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13" t="s">
        <v>64</v>
      </c>
      <c r="G421" s="13" t="s">
        <v>64</v>
      </c>
      <c r="H421" s="12" t="str">
        <f>IF(CARGA_DIARIA!A421="","",C421-D421-E421)</f>
        <v/>
      </c>
    </row>
    <row r="422" spans="1:8" ht="15.75" customHeight="1" x14ac:dyDescent="0.25">
      <c r="A422" s="7" t="str">
        <f>IF(CARGA_DIARIA!A422="","",CARGA_DIARIA!A422)</f>
        <v/>
      </c>
      <c r="B422" s="8" t="str">
        <f>IF(CARGA_DIARIA!A422="","",CARGA_DIARIA!B422)</f>
        <v/>
      </c>
      <c r="C422" s="9" t="str">
        <f>IF(CARGA_DIARIA!A422="","",IF(CARGA_DIARIA!B422=0,0,(CARGA_DIARIA!C422+CARGA_DIARIA!D422+CARGA_DIARIA!E422+CARGA_DIARIA!F422+CARGA_DIARIA!G422+CARGA_DIARIA!H422+CARGA_DIARIA!I422+CARGA_DIARIA!AF422+CARGA_DIARIA!AG422+CARGA_DIARIA!AH422+CARGA_DIARIA!AI422)/CARGA_DIARIA!B422+CARGA_DIARIA!AE422))</f>
        <v/>
      </c>
      <c r="D422" s="10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10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13" t="s">
        <v>64</v>
      </c>
      <c r="G422" s="13" t="s">
        <v>64</v>
      </c>
      <c r="H422" s="12" t="str">
        <f>IF(CARGA_DIARIA!A422="","",C422-D422-E422)</f>
        <v/>
      </c>
    </row>
    <row r="423" spans="1:8" ht="15.75" customHeight="1" x14ac:dyDescent="0.25">
      <c r="A423" s="7" t="str">
        <f>IF(CARGA_DIARIA!A423="","",CARGA_DIARIA!A423)</f>
        <v/>
      </c>
      <c r="B423" s="8" t="str">
        <f>IF(CARGA_DIARIA!A423="","",CARGA_DIARIA!B423)</f>
        <v/>
      </c>
      <c r="C423" s="9" t="str">
        <f>IF(CARGA_DIARIA!A423="","",IF(CARGA_DIARIA!B423=0,0,(CARGA_DIARIA!C423+CARGA_DIARIA!D423+CARGA_DIARIA!E423+CARGA_DIARIA!F423+CARGA_DIARIA!G423+CARGA_DIARIA!H423+CARGA_DIARIA!I423+CARGA_DIARIA!AF423+CARGA_DIARIA!AG423+CARGA_DIARIA!AH423+CARGA_DIARIA!AI423)/CARGA_DIARIA!B423+CARGA_DIARIA!AE423))</f>
        <v/>
      </c>
      <c r="D423" s="10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10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13" t="s">
        <v>64</v>
      </c>
      <c r="G423" s="13" t="s">
        <v>64</v>
      </c>
      <c r="H423" s="12" t="str">
        <f>IF(CARGA_DIARIA!A423="","",C423-D423-E423)</f>
        <v/>
      </c>
    </row>
    <row r="424" spans="1:8" ht="15.75" customHeight="1" x14ac:dyDescent="0.25">
      <c r="A424" s="7" t="str">
        <f>IF(CARGA_DIARIA!A424="","",CARGA_DIARIA!A424)</f>
        <v/>
      </c>
      <c r="B424" s="8" t="str">
        <f>IF(CARGA_DIARIA!A424="","",CARGA_DIARIA!B424)</f>
        <v/>
      </c>
      <c r="C424" s="9" t="str">
        <f>IF(CARGA_DIARIA!A424="","",IF(CARGA_DIARIA!B424=0,0,(CARGA_DIARIA!C424+CARGA_DIARIA!D424+CARGA_DIARIA!E424+CARGA_DIARIA!F424+CARGA_DIARIA!G424+CARGA_DIARIA!H424+CARGA_DIARIA!I424+CARGA_DIARIA!AF424+CARGA_DIARIA!AG424+CARGA_DIARIA!AH424+CARGA_DIARIA!AI424)/CARGA_DIARIA!B424+CARGA_DIARIA!AE424))</f>
        <v/>
      </c>
      <c r="D424" s="10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10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13" t="s">
        <v>64</v>
      </c>
      <c r="G424" s="13" t="s">
        <v>64</v>
      </c>
      <c r="H424" s="12" t="str">
        <f>IF(CARGA_DIARIA!A424="","",C424-D424-E424)</f>
        <v/>
      </c>
    </row>
    <row r="425" spans="1:8" ht="15.75" customHeight="1" x14ac:dyDescent="0.25">
      <c r="A425" s="7" t="str">
        <f>IF(CARGA_DIARIA!A425="","",CARGA_DIARIA!A425)</f>
        <v/>
      </c>
      <c r="B425" s="8" t="str">
        <f>IF(CARGA_DIARIA!A425="","",CARGA_DIARIA!B425)</f>
        <v/>
      </c>
      <c r="C425" s="9" t="str">
        <f>IF(CARGA_DIARIA!A425="","",IF(CARGA_DIARIA!B425=0,0,(CARGA_DIARIA!C425+CARGA_DIARIA!D425+CARGA_DIARIA!E425+CARGA_DIARIA!F425+CARGA_DIARIA!G425+CARGA_DIARIA!H425+CARGA_DIARIA!I425+CARGA_DIARIA!AF425+CARGA_DIARIA!AG425+CARGA_DIARIA!AH425+CARGA_DIARIA!AI425)/CARGA_DIARIA!B425+CARGA_DIARIA!AE425))</f>
        <v/>
      </c>
      <c r="D425" s="10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10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13" t="s">
        <v>64</v>
      </c>
      <c r="G425" s="13" t="s">
        <v>64</v>
      </c>
      <c r="H425" s="12" t="str">
        <f>IF(CARGA_DIARIA!A425="","",C425-D425-E425)</f>
        <v/>
      </c>
    </row>
    <row r="426" spans="1:8" ht="15.75" customHeight="1" x14ac:dyDescent="0.25">
      <c r="A426" s="7" t="str">
        <f>IF(CARGA_DIARIA!A426="","",CARGA_DIARIA!A426)</f>
        <v/>
      </c>
      <c r="B426" s="8" t="str">
        <f>IF(CARGA_DIARIA!A426="","",CARGA_DIARIA!B426)</f>
        <v/>
      </c>
      <c r="C426" s="9" t="str">
        <f>IF(CARGA_DIARIA!A426="","",IF(CARGA_DIARIA!B426=0,0,(CARGA_DIARIA!C426+CARGA_DIARIA!D426+CARGA_DIARIA!E426+CARGA_DIARIA!F426+CARGA_DIARIA!G426+CARGA_DIARIA!H426+CARGA_DIARIA!I426+CARGA_DIARIA!AF426+CARGA_DIARIA!AG426+CARGA_DIARIA!AH426+CARGA_DIARIA!AI426)/CARGA_DIARIA!B426+CARGA_DIARIA!AE426))</f>
        <v/>
      </c>
      <c r="D426" s="10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10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13" t="s">
        <v>64</v>
      </c>
      <c r="G426" s="13" t="s">
        <v>64</v>
      </c>
      <c r="H426" s="12" t="str">
        <f>IF(CARGA_DIARIA!A426="","",C426-D426-E426)</f>
        <v/>
      </c>
    </row>
    <row r="427" spans="1:8" ht="15.75" customHeight="1" x14ac:dyDescent="0.25">
      <c r="A427" s="7" t="str">
        <f>IF(CARGA_DIARIA!A427="","",CARGA_DIARIA!A427)</f>
        <v/>
      </c>
      <c r="B427" s="8" t="str">
        <f>IF(CARGA_DIARIA!A427="","",CARGA_DIARIA!B427)</f>
        <v/>
      </c>
      <c r="C427" s="9" t="str">
        <f>IF(CARGA_DIARIA!A427="","",IF(CARGA_DIARIA!B427=0,0,(CARGA_DIARIA!C427+CARGA_DIARIA!D427+CARGA_DIARIA!E427+CARGA_DIARIA!F427+CARGA_DIARIA!G427+CARGA_DIARIA!H427+CARGA_DIARIA!I427+CARGA_DIARIA!AF427+CARGA_DIARIA!AG427+CARGA_DIARIA!AH427+CARGA_DIARIA!AI427)/CARGA_DIARIA!B427+CARGA_DIARIA!AE427))</f>
        <v/>
      </c>
      <c r="D427" s="10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10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13" t="s">
        <v>64</v>
      </c>
      <c r="G427" s="13" t="s">
        <v>64</v>
      </c>
      <c r="H427" s="12" t="str">
        <f>IF(CARGA_DIARIA!A427="","",C427-D427-E427)</f>
        <v/>
      </c>
    </row>
    <row r="428" spans="1:8" ht="15.75" customHeight="1" x14ac:dyDescent="0.25">
      <c r="A428" s="7" t="str">
        <f>IF(CARGA_DIARIA!A428="","",CARGA_DIARIA!A428)</f>
        <v/>
      </c>
      <c r="B428" s="8" t="str">
        <f>IF(CARGA_DIARIA!A428="","",CARGA_DIARIA!B428)</f>
        <v/>
      </c>
      <c r="C428" s="9" t="str">
        <f>IF(CARGA_DIARIA!A428="","",IF(CARGA_DIARIA!B428=0,0,(CARGA_DIARIA!C428+CARGA_DIARIA!D428+CARGA_DIARIA!E428+CARGA_DIARIA!F428+CARGA_DIARIA!G428+CARGA_DIARIA!H428+CARGA_DIARIA!I428+CARGA_DIARIA!AF428+CARGA_DIARIA!AG428+CARGA_DIARIA!AH428+CARGA_DIARIA!AI428)/CARGA_DIARIA!B428+CARGA_DIARIA!AE428))</f>
        <v/>
      </c>
      <c r="D428" s="10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10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13" t="s">
        <v>64</v>
      </c>
      <c r="G428" s="13" t="s">
        <v>64</v>
      </c>
      <c r="H428" s="12" t="str">
        <f>IF(CARGA_DIARIA!A428="","",C428-D428-E428)</f>
        <v/>
      </c>
    </row>
    <row r="429" spans="1:8" ht="15.75" customHeight="1" x14ac:dyDescent="0.25">
      <c r="A429" s="7" t="str">
        <f>IF(CARGA_DIARIA!A429="","",CARGA_DIARIA!A429)</f>
        <v/>
      </c>
      <c r="B429" s="8" t="str">
        <f>IF(CARGA_DIARIA!A429="","",CARGA_DIARIA!B429)</f>
        <v/>
      </c>
      <c r="C429" s="9" t="str">
        <f>IF(CARGA_DIARIA!A429="","",IF(CARGA_DIARIA!B429=0,0,(CARGA_DIARIA!C429+CARGA_DIARIA!D429+CARGA_DIARIA!E429+CARGA_DIARIA!F429+CARGA_DIARIA!G429+CARGA_DIARIA!H429+CARGA_DIARIA!I429+CARGA_DIARIA!AF429+CARGA_DIARIA!AG429+CARGA_DIARIA!AH429+CARGA_DIARIA!AI429)/CARGA_DIARIA!B429+CARGA_DIARIA!AE429))</f>
        <v/>
      </c>
      <c r="D429" s="10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10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13" t="s">
        <v>64</v>
      </c>
      <c r="G429" s="13" t="s">
        <v>64</v>
      </c>
      <c r="H429" s="12" t="str">
        <f>IF(CARGA_DIARIA!A429="","",C429-D429-E429)</f>
        <v/>
      </c>
    </row>
    <row r="430" spans="1:8" ht="15.75" customHeight="1" x14ac:dyDescent="0.25">
      <c r="A430" s="7" t="str">
        <f>IF(CARGA_DIARIA!A430="","",CARGA_DIARIA!A430)</f>
        <v/>
      </c>
      <c r="B430" s="8" t="str">
        <f>IF(CARGA_DIARIA!A430="","",CARGA_DIARIA!B430)</f>
        <v/>
      </c>
      <c r="C430" s="9" t="str">
        <f>IF(CARGA_DIARIA!A430="","",IF(CARGA_DIARIA!B430=0,0,(CARGA_DIARIA!C430+CARGA_DIARIA!D430+CARGA_DIARIA!E430+CARGA_DIARIA!F430+CARGA_DIARIA!G430+CARGA_DIARIA!H430+CARGA_DIARIA!I430+CARGA_DIARIA!AF430+CARGA_DIARIA!AG430+CARGA_DIARIA!AH430+CARGA_DIARIA!AI430)/CARGA_DIARIA!B430+CARGA_DIARIA!AE430))</f>
        <v/>
      </c>
      <c r="D430" s="10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10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13" t="s">
        <v>64</v>
      </c>
      <c r="G430" s="13" t="s">
        <v>64</v>
      </c>
      <c r="H430" s="12" t="str">
        <f>IF(CARGA_DIARIA!A430="","",C430-D430-E430)</f>
        <v/>
      </c>
    </row>
    <row r="431" spans="1:8" ht="15.75" customHeight="1" x14ac:dyDescent="0.25">
      <c r="A431" s="7" t="str">
        <f>IF(CARGA_DIARIA!A431="","",CARGA_DIARIA!A431)</f>
        <v/>
      </c>
      <c r="B431" s="8" t="str">
        <f>IF(CARGA_DIARIA!A431="","",CARGA_DIARIA!B431)</f>
        <v/>
      </c>
      <c r="C431" s="9" t="str">
        <f>IF(CARGA_DIARIA!A431="","",IF(CARGA_DIARIA!B431=0,0,(CARGA_DIARIA!C431+CARGA_DIARIA!D431+CARGA_DIARIA!E431+CARGA_DIARIA!F431+CARGA_DIARIA!G431+CARGA_DIARIA!H431+CARGA_DIARIA!I431+CARGA_DIARIA!AF431+CARGA_DIARIA!AG431+CARGA_DIARIA!AH431+CARGA_DIARIA!AI431)/CARGA_DIARIA!B431+CARGA_DIARIA!AE431))</f>
        <v/>
      </c>
      <c r="D431" s="10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10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13" t="s">
        <v>64</v>
      </c>
      <c r="G431" s="13" t="s">
        <v>64</v>
      </c>
      <c r="H431" s="12" t="str">
        <f>IF(CARGA_DIARIA!A431="","",C431-D431-E431)</f>
        <v/>
      </c>
    </row>
    <row r="432" spans="1:8" ht="15.75" customHeight="1" x14ac:dyDescent="0.25">
      <c r="A432" s="7" t="str">
        <f>IF(CARGA_DIARIA!A432="","",CARGA_DIARIA!A432)</f>
        <v/>
      </c>
      <c r="B432" s="8" t="str">
        <f>IF(CARGA_DIARIA!A432="","",CARGA_DIARIA!B432)</f>
        <v/>
      </c>
      <c r="C432" s="9" t="str">
        <f>IF(CARGA_DIARIA!A432="","",IF(CARGA_DIARIA!B432=0,0,(CARGA_DIARIA!C432+CARGA_DIARIA!D432+CARGA_DIARIA!E432+CARGA_DIARIA!F432+CARGA_DIARIA!G432+CARGA_DIARIA!H432+CARGA_DIARIA!I432+CARGA_DIARIA!AF432+CARGA_DIARIA!AG432+CARGA_DIARIA!AH432+CARGA_DIARIA!AI432)/CARGA_DIARIA!B432+CARGA_DIARIA!AE432))</f>
        <v/>
      </c>
      <c r="D432" s="10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10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13" t="s">
        <v>64</v>
      </c>
      <c r="G432" s="13" t="s">
        <v>64</v>
      </c>
      <c r="H432" s="12" t="str">
        <f>IF(CARGA_DIARIA!A432="","",C432-D432-E432)</f>
        <v/>
      </c>
    </row>
    <row r="433" spans="1:8" ht="15.75" customHeight="1" x14ac:dyDescent="0.25">
      <c r="A433" s="7" t="str">
        <f>IF(CARGA_DIARIA!A433="","",CARGA_DIARIA!A433)</f>
        <v/>
      </c>
      <c r="B433" s="8" t="str">
        <f>IF(CARGA_DIARIA!A433="","",CARGA_DIARIA!B433)</f>
        <v/>
      </c>
      <c r="C433" s="9" t="str">
        <f>IF(CARGA_DIARIA!A433="","",IF(CARGA_DIARIA!B433=0,0,(CARGA_DIARIA!C433+CARGA_DIARIA!D433+CARGA_DIARIA!E433+CARGA_DIARIA!F433+CARGA_DIARIA!G433+CARGA_DIARIA!H433+CARGA_DIARIA!I433+CARGA_DIARIA!AF433+CARGA_DIARIA!AG433+CARGA_DIARIA!AH433+CARGA_DIARIA!AI433)/CARGA_DIARIA!B433+CARGA_DIARIA!AE433))</f>
        <v/>
      </c>
      <c r="D433" s="10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10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13" t="s">
        <v>64</v>
      </c>
      <c r="G433" s="13" t="s">
        <v>64</v>
      </c>
      <c r="H433" s="12" t="str">
        <f>IF(CARGA_DIARIA!A433="","",C433-D433-E433)</f>
        <v/>
      </c>
    </row>
    <row r="434" spans="1:8" ht="15.75" customHeight="1" x14ac:dyDescent="0.25">
      <c r="A434" s="7" t="str">
        <f>IF(CARGA_DIARIA!A434="","",CARGA_DIARIA!A434)</f>
        <v/>
      </c>
      <c r="B434" s="8" t="str">
        <f>IF(CARGA_DIARIA!A434="","",CARGA_DIARIA!B434)</f>
        <v/>
      </c>
      <c r="C434" s="9" t="str">
        <f>IF(CARGA_DIARIA!A434="","",IF(CARGA_DIARIA!B434=0,0,(CARGA_DIARIA!C434+CARGA_DIARIA!D434+CARGA_DIARIA!E434+CARGA_DIARIA!F434+CARGA_DIARIA!G434+CARGA_DIARIA!H434+CARGA_DIARIA!I434+CARGA_DIARIA!AF434+CARGA_DIARIA!AG434+CARGA_DIARIA!AH434+CARGA_DIARIA!AI434)/CARGA_DIARIA!B434+CARGA_DIARIA!AE434))</f>
        <v/>
      </c>
      <c r="D434" s="10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10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13" t="s">
        <v>64</v>
      </c>
      <c r="G434" s="13" t="s">
        <v>64</v>
      </c>
      <c r="H434" s="12" t="str">
        <f>IF(CARGA_DIARIA!A434="","",C434-D434-E434)</f>
        <v/>
      </c>
    </row>
    <row r="435" spans="1:8" ht="15.75" customHeight="1" x14ac:dyDescent="0.25">
      <c r="A435" s="7" t="str">
        <f>IF(CARGA_DIARIA!A435="","",CARGA_DIARIA!A435)</f>
        <v/>
      </c>
      <c r="B435" s="8" t="str">
        <f>IF(CARGA_DIARIA!A435="","",CARGA_DIARIA!B435)</f>
        <v/>
      </c>
      <c r="C435" s="9" t="str">
        <f>IF(CARGA_DIARIA!A435="","",IF(CARGA_DIARIA!B435=0,0,(CARGA_DIARIA!C435+CARGA_DIARIA!D435+CARGA_DIARIA!E435+CARGA_DIARIA!F435+CARGA_DIARIA!G435+CARGA_DIARIA!H435+CARGA_DIARIA!I435+CARGA_DIARIA!AF435+CARGA_DIARIA!AG435+CARGA_DIARIA!AH435+CARGA_DIARIA!AI435)/CARGA_DIARIA!B435+CARGA_DIARIA!AE435))</f>
        <v/>
      </c>
      <c r="D435" s="10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10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13" t="s">
        <v>64</v>
      </c>
      <c r="G435" s="13" t="s">
        <v>64</v>
      </c>
      <c r="H435" s="12" t="str">
        <f>IF(CARGA_DIARIA!A435="","",C435-D435-E435)</f>
        <v/>
      </c>
    </row>
    <row r="436" spans="1:8" ht="15.75" customHeight="1" x14ac:dyDescent="0.25">
      <c r="A436" s="7" t="str">
        <f>IF(CARGA_DIARIA!A436="","",CARGA_DIARIA!A436)</f>
        <v/>
      </c>
      <c r="B436" s="8" t="str">
        <f>IF(CARGA_DIARIA!A436="","",CARGA_DIARIA!B436)</f>
        <v/>
      </c>
      <c r="C436" s="9" t="str">
        <f>IF(CARGA_DIARIA!A436="","",IF(CARGA_DIARIA!B436=0,0,(CARGA_DIARIA!C436+CARGA_DIARIA!D436+CARGA_DIARIA!E436+CARGA_DIARIA!F436+CARGA_DIARIA!G436+CARGA_DIARIA!H436+CARGA_DIARIA!I436+CARGA_DIARIA!AF436+CARGA_DIARIA!AG436+CARGA_DIARIA!AH436+CARGA_DIARIA!AI436)/CARGA_DIARIA!B436+CARGA_DIARIA!AE436))</f>
        <v/>
      </c>
      <c r="D436" s="10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10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13" t="s">
        <v>64</v>
      </c>
      <c r="G436" s="13" t="s">
        <v>64</v>
      </c>
      <c r="H436" s="12" t="str">
        <f>IF(CARGA_DIARIA!A436="","",C436-D436-E436)</f>
        <v/>
      </c>
    </row>
    <row r="437" spans="1:8" ht="15.75" customHeight="1" x14ac:dyDescent="0.25">
      <c r="A437" s="7" t="str">
        <f>IF(CARGA_DIARIA!A437="","",CARGA_DIARIA!A437)</f>
        <v/>
      </c>
      <c r="B437" s="8" t="str">
        <f>IF(CARGA_DIARIA!A437="","",CARGA_DIARIA!B437)</f>
        <v/>
      </c>
      <c r="C437" s="9" t="str">
        <f>IF(CARGA_DIARIA!A437="","",IF(CARGA_DIARIA!B437=0,0,(CARGA_DIARIA!C437+CARGA_DIARIA!D437+CARGA_DIARIA!E437+CARGA_DIARIA!F437+CARGA_DIARIA!G437+CARGA_DIARIA!H437+CARGA_DIARIA!I437+CARGA_DIARIA!AF437+CARGA_DIARIA!AG437+CARGA_DIARIA!AH437+CARGA_DIARIA!AI437)/CARGA_DIARIA!B437+CARGA_DIARIA!AE437))</f>
        <v/>
      </c>
      <c r="D437" s="10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10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13" t="s">
        <v>64</v>
      </c>
      <c r="G437" s="13" t="s">
        <v>64</v>
      </c>
      <c r="H437" s="12" t="str">
        <f>IF(CARGA_DIARIA!A437="","",C437-D437-E437)</f>
        <v/>
      </c>
    </row>
    <row r="438" spans="1:8" ht="15.75" customHeight="1" x14ac:dyDescent="0.25">
      <c r="A438" s="7" t="str">
        <f>IF(CARGA_DIARIA!A438="","",CARGA_DIARIA!A438)</f>
        <v/>
      </c>
      <c r="B438" s="8" t="str">
        <f>IF(CARGA_DIARIA!A438="","",CARGA_DIARIA!B438)</f>
        <v/>
      </c>
      <c r="C438" s="9" t="str">
        <f>IF(CARGA_DIARIA!A438="","",IF(CARGA_DIARIA!B438=0,0,(CARGA_DIARIA!C438+CARGA_DIARIA!D438+CARGA_DIARIA!E438+CARGA_DIARIA!F438+CARGA_DIARIA!G438+CARGA_DIARIA!H438+CARGA_DIARIA!I438+CARGA_DIARIA!AF438+CARGA_DIARIA!AG438+CARGA_DIARIA!AH438+CARGA_DIARIA!AI438)/CARGA_DIARIA!B438+CARGA_DIARIA!AE438))</f>
        <v/>
      </c>
      <c r="D438" s="10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10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13" t="s">
        <v>64</v>
      </c>
      <c r="G438" s="13" t="s">
        <v>64</v>
      </c>
      <c r="H438" s="12" t="str">
        <f>IF(CARGA_DIARIA!A438="","",C438-D438-E438)</f>
        <v/>
      </c>
    </row>
    <row r="439" spans="1:8" ht="15.75" customHeight="1" x14ac:dyDescent="0.25">
      <c r="A439" s="7" t="str">
        <f>IF(CARGA_DIARIA!A439="","",CARGA_DIARIA!A439)</f>
        <v/>
      </c>
      <c r="B439" s="8" t="str">
        <f>IF(CARGA_DIARIA!A439="","",CARGA_DIARIA!B439)</f>
        <v/>
      </c>
      <c r="C439" s="9" t="str">
        <f>IF(CARGA_DIARIA!A439="","",IF(CARGA_DIARIA!B439=0,0,(CARGA_DIARIA!C439+CARGA_DIARIA!D439+CARGA_DIARIA!E439+CARGA_DIARIA!F439+CARGA_DIARIA!G439+CARGA_DIARIA!H439+CARGA_DIARIA!I439+CARGA_DIARIA!AF439+CARGA_DIARIA!AG439+CARGA_DIARIA!AH439+CARGA_DIARIA!AI439)/CARGA_DIARIA!B439+CARGA_DIARIA!AE439))</f>
        <v/>
      </c>
      <c r="D439" s="10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10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13" t="s">
        <v>64</v>
      </c>
      <c r="G439" s="13" t="s">
        <v>64</v>
      </c>
      <c r="H439" s="12" t="str">
        <f>IF(CARGA_DIARIA!A439="","",C439-D439-E439)</f>
        <v/>
      </c>
    </row>
    <row r="440" spans="1:8" ht="15.75" customHeight="1" x14ac:dyDescent="0.25">
      <c r="A440" s="7" t="str">
        <f>IF(CARGA_DIARIA!A440="","",CARGA_DIARIA!A440)</f>
        <v/>
      </c>
      <c r="B440" s="8" t="str">
        <f>IF(CARGA_DIARIA!A440="","",CARGA_DIARIA!B440)</f>
        <v/>
      </c>
      <c r="C440" s="9" t="str">
        <f>IF(CARGA_DIARIA!A440="","",IF(CARGA_DIARIA!B440=0,0,(CARGA_DIARIA!C440+CARGA_DIARIA!D440+CARGA_DIARIA!E440+CARGA_DIARIA!F440+CARGA_DIARIA!G440+CARGA_DIARIA!H440+CARGA_DIARIA!I440+CARGA_DIARIA!AF440+CARGA_DIARIA!AG440+CARGA_DIARIA!AH440+CARGA_DIARIA!AI440)/CARGA_DIARIA!B440+CARGA_DIARIA!AE440))</f>
        <v/>
      </c>
      <c r="D440" s="10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10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13" t="s">
        <v>64</v>
      </c>
      <c r="G440" s="13" t="s">
        <v>64</v>
      </c>
      <c r="H440" s="12" t="str">
        <f>IF(CARGA_DIARIA!A440="","",C440-D440-E440)</f>
        <v/>
      </c>
    </row>
    <row r="441" spans="1:8" ht="15.75" customHeight="1" x14ac:dyDescent="0.25">
      <c r="A441" s="7" t="str">
        <f>IF(CARGA_DIARIA!A441="","",CARGA_DIARIA!A441)</f>
        <v/>
      </c>
      <c r="B441" s="8" t="str">
        <f>IF(CARGA_DIARIA!A441="","",CARGA_DIARIA!B441)</f>
        <v/>
      </c>
      <c r="C441" s="9" t="str">
        <f>IF(CARGA_DIARIA!A441="","",IF(CARGA_DIARIA!B441=0,0,(CARGA_DIARIA!C441+CARGA_DIARIA!D441+CARGA_DIARIA!E441+CARGA_DIARIA!F441+CARGA_DIARIA!G441+CARGA_DIARIA!H441+CARGA_DIARIA!I441+CARGA_DIARIA!AF441+CARGA_DIARIA!AG441+CARGA_DIARIA!AH441+CARGA_DIARIA!AI441)/CARGA_DIARIA!B441+CARGA_DIARIA!AE441))</f>
        <v/>
      </c>
      <c r="D441" s="10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10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13" t="s">
        <v>64</v>
      </c>
      <c r="G441" s="13" t="s">
        <v>64</v>
      </c>
      <c r="H441" s="12" t="str">
        <f>IF(CARGA_DIARIA!A441="","",C441-D441-E441)</f>
        <v/>
      </c>
    </row>
    <row r="442" spans="1:8" ht="15.75" customHeight="1" x14ac:dyDescent="0.25">
      <c r="A442" s="7" t="str">
        <f>IF(CARGA_DIARIA!A442="","",CARGA_DIARIA!A442)</f>
        <v/>
      </c>
      <c r="B442" s="8" t="str">
        <f>IF(CARGA_DIARIA!A442="","",CARGA_DIARIA!B442)</f>
        <v/>
      </c>
      <c r="C442" s="9" t="str">
        <f>IF(CARGA_DIARIA!A442="","",IF(CARGA_DIARIA!B442=0,0,(CARGA_DIARIA!C442+CARGA_DIARIA!D442+CARGA_DIARIA!E442+CARGA_DIARIA!F442+CARGA_DIARIA!G442+CARGA_DIARIA!H442+CARGA_DIARIA!I442+CARGA_DIARIA!AF442+CARGA_DIARIA!AG442+CARGA_DIARIA!AH442+CARGA_DIARIA!AI442)/CARGA_DIARIA!B442+CARGA_DIARIA!AE442))</f>
        <v/>
      </c>
      <c r="D442" s="10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10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13" t="s">
        <v>64</v>
      </c>
      <c r="G442" s="13" t="s">
        <v>64</v>
      </c>
      <c r="H442" s="12" t="str">
        <f>IF(CARGA_DIARIA!A442="","",C442-D442-E442)</f>
        <v/>
      </c>
    </row>
    <row r="443" spans="1:8" ht="15.75" customHeight="1" x14ac:dyDescent="0.25">
      <c r="A443" s="7" t="str">
        <f>IF(CARGA_DIARIA!A443="","",CARGA_DIARIA!A443)</f>
        <v/>
      </c>
      <c r="B443" s="8" t="str">
        <f>IF(CARGA_DIARIA!A443="","",CARGA_DIARIA!B443)</f>
        <v/>
      </c>
      <c r="C443" s="9" t="str">
        <f>IF(CARGA_DIARIA!A443="","",IF(CARGA_DIARIA!B443=0,0,(CARGA_DIARIA!C443+CARGA_DIARIA!D443+CARGA_DIARIA!E443+CARGA_DIARIA!F443+CARGA_DIARIA!G443+CARGA_DIARIA!H443+CARGA_DIARIA!I443+CARGA_DIARIA!AF443+CARGA_DIARIA!AG443+CARGA_DIARIA!AH443+CARGA_DIARIA!AI443)/CARGA_DIARIA!B443+CARGA_DIARIA!AE443))</f>
        <v/>
      </c>
      <c r="D443" s="10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10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13" t="s">
        <v>64</v>
      </c>
      <c r="G443" s="13" t="s">
        <v>64</v>
      </c>
      <c r="H443" s="12" t="str">
        <f>IF(CARGA_DIARIA!A443="","",C443-D443-E443)</f>
        <v/>
      </c>
    </row>
    <row r="444" spans="1:8" ht="15.75" customHeight="1" x14ac:dyDescent="0.25">
      <c r="A444" s="7" t="str">
        <f>IF(CARGA_DIARIA!A444="","",CARGA_DIARIA!A444)</f>
        <v/>
      </c>
      <c r="B444" s="8" t="str">
        <f>IF(CARGA_DIARIA!A444="","",CARGA_DIARIA!B444)</f>
        <v/>
      </c>
      <c r="C444" s="9" t="str">
        <f>IF(CARGA_DIARIA!A444="","",IF(CARGA_DIARIA!B444=0,0,(CARGA_DIARIA!C444+CARGA_DIARIA!D444+CARGA_DIARIA!E444+CARGA_DIARIA!F444+CARGA_DIARIA!G444+CARGA_DIARIA!H444+CARGA_DIARIA!I444+CARGA_DIARIA!AF444+CARGA_DIARIA!AG444+CARGA_DIARIA!AH444+CARGA_DIARIA!AI444)/CARGA_DIARIA!B444+CARGA_DIARIA!AE444))</f>
        <v/>
      </c>
      <c r="D444" s="10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10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13" t="s">
        <v>64</v>
      </c>
      <c r="G444" s="13" t="s">
        <v>64</v>
      </c>
      <c r="H444" s="12" t="str">
        <f>IF(CARGA_DIARIA!A444="","",C444-D444-E444)</f>
        <v/>
      </c>
    </row>
    <row r="445" spans="1:8" ht="15.75" customHeight="1" x14ac:dyDescent="0.25">
      <c r="A445" s="7" t="str">
        <f>IF(CARGA_DIARIA!A445="","",CARGA_DIARIA!A445)</f>
        <v/>
      </c>
      <c r="B445" s="8" t="str">
        <f>IF(CARGA_DIARIA!A445="","",CARGA_DIARIA!B445)</f>
        <v/>
      </c>
      <c r="C445" s="9" t="str">
        <f>IF(CARGA_DIARIA!A445="","",IF(CARGA_DIARIA!B445=0,0,(CARGA_DIARIA!C445+CARGA_DIARIA!D445+CARGA_DIARIA!E445+CARGA_DIARIA!F445+CARGA_DIARIA!G445+CARGA_DIARIA!H445+CARGA_DIARIA!I445+CARGA_DIARIA!AF445+CARGA_DIARIA!AG445+CARGA_DIARIA!AH445+CARGA_DIARIA!AI445)/CARGA_DIARIA!B445+CARGA_DIARIA!AE445))</f>
        <v/>
      </c>
      <c r="D445" s="10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10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13" t="s">
        <v>64</v>
      </c>
      <c r="G445" s="13" t="s">
        <v>64</v>
      </c>
      <c r="H445" s="12" t="str">
        <f>IF(CARGA_DIARIA!A445="","",C445-D445-E445)</f>
        <v/>
      </c>
    </row>
    <row r="446" spans="1:8" ht="15.75" customHeight="1" x14ac:dyDescent="0.25">
      <c r="A446" s="7" t="str">
        <f>IF(CARGA_DIARIA!A446="","",CARGA_DIARIA!A446)</f>
        <v/>
      </c>
      <c r="B446" s="8" t="str">
        <f>IF(CARGA_DIARIA!A446="","",CARGA_DIARIA!B446)</f>
        <v/>
      </c>
      <c r="C446" s="9" t="str">
        <f>IF(CARGA_DIARIA!A446="","",IF(CARGA_DIARIA!B446=0,0,(CARGA_DIARIA!C446+CARGA_DIARIA!D446+CARGA_DIARIA!E446+CARGA_DIARIA!F446+CARGA_DIARIA!G446+CARGA_DIARIA!H446+CARGA_DIARIA!I446+CARGA_DIARIA!AF446+CARGA_DIARIA!AG446+CARGA_DIARIA!AH446+CARGA_DIARIA!AI446)/CARGA_DIARIA!B446+CARGA_DIARIA!AE446))</f>
        <v/>
      </c>
      <c r="D446" s="10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10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13" t="s">
        <v>64</v>
      </c>
      <c r="G446" s="13" t="s">
        <v>64</v>
      </c>
      <c r="H446" s="12" t="str">
        <f>IF(CARGA_DIARIA!A446="","",C446-D446-E446)</f>
        <v/>
      </c>
    </row>
    <row r="447" spans="1:8" ht="15.75" customHeight="1" x14ac:dyDescent="0.25">
      <c r="A447" s="7" t="str">
        <f>IF(CARGA_DIARIA!A447="","",CARGA_DIARIA!A447)</f>
        <v/>
      </c>
      <c r="B447" s="8" t="str">
        <f>IF(CARGA_DIARIA!A447="","",CARGA_DIARIA!B447)</f>
        <v/>
      </c>
      <c r="C447" s="9" t="str">
        <f>IF(CARGA_DIARIA!A447="","",IF(CARGA_DIARIA!B447=0,0,(CARGA_DIARIA!C447+CARGA_DIARIA!D447+CARGA_DIARIA!E447+CARGA_DIARIA!F447+CARGA_DIARIA!G447+CARGA_DIARIA!H447+CARGA_DIARIA!I447+CARGA_DIARIA!AF447+CARGA_DIARIA!AG447+CARGA_DIARIA!AH447+CARGA_DIARIA!AI447)/CARGA_DIARIA!B447+CARGA_DIARIA!AE447))</f>
        <v/>
      </c>
      <c r="D447" s="10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10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13" t="s">
        <v>64</v>
      </c>
      <c r="G447" s="13" t="s">
        <v>64</v>
      </c>
      <c r="H447" s="12" t="str">
        <f>IF(CARGA_DIARIA!A447="","",C447-D447-E447)</f>
        <v/>
      </c>
    </row>
    <row r="448" spans="1:8" ht="15.75" customHeight="1" x14ac:dyDescent="0.25">
      <c r="A448" s="7" t="str">
        <f>IF(CARGA_DIARIA!A448="","",CARGA_DIARIA!A448)</f>
        <v/>
      </c>
      <c r="B448" s="8" t="str">
        <f>IF(CARGA_DIARIA!A448="","",CARGA_DIARIA!B448)</f>
        <v/>
      </c>
      <c r="C448" s="9" t="str">
        <f>IF(CARGA_DIARIA!A448="","",IF(CARGA_DIARIA!B448=0,0,(CARGA_DIARIA!C448+CARGA_DIARIA!D448+CARGA_DIARIA!E448+CARGA_DIARIA!F448+CARGA_DIARIA!G448+CARGA_DIARIA!H448+CARGA_DIARIA!I448+CARGA_DIARIA!AF448+CARGA_DIARIA!AG448+CARGA_DIARIA!AH448+CARGA_DIARIA!AI448)/CARGA_DIARIA!B448+CARGA_DIARIA!AE448))</f>
        <v/>
      </c>
      <c r="D448" s="10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10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13" t="s">
        <v>64</v>
      </c>
      <c r="G448" s="13" t="s">
        <v>64</v>
      </c>
      <c r="H448" s="12" t="str">
        <f>IF(CARGA_DIARIA!A448="","",C448-D448-E448)</f>
        <v/>
      </c>
    </row>
    <row r="449" spans="1:8" ht="15.75" customHeight="1" x14ac:dyDescent="0.25">
      <c r="A449" s="7" t="str">
        <f>IF(CARGA_DIARIA!A449="","",CARGA_DIARIA!A449)</f>
        <v/>
      </c>
      <c r="B449" s="8" t="str">
        <f>IF(CARGA_DIARIA!A449="","",CARGA_DIARIA!B449)</f>
        <v/>
      </c>
      <c r="C449" s="9" t="str">
        <f>IF(CARGA_DIARIA!A449="","",IF(CARGA_DIARIA!B449=0,0,(CARGA_DIARIA!C449+CARGA_DIARIA!D449+CARGA_DIARIA!E449+CARGA_DIARIA!F449+CARGA_DIARIA!G449+CARGA_DIARIA!H449+CARGA_DIARIA!I449+CARGA_DIARIA!AF449+CARGA_DIARIA!AG449+CARGA_DIARIA!AH449+CARGA_DIARIA!AI449)/CARGA_DIARIA!B449+CARGA_DIARIA!AE449))</f>
        <v/>
      </c>
      <c r="D449" s="10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10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13" t="s">
        <v>64</v>
      </c>
      <c r="G449" s="13" t="s">
        <v>64</v>
      </c>
      <c r="H449" s="12" t="str">
        <f>IF(CARGA_DIARIA!A449="","",C449-D449-E449)</f>
        <v/>
      </c>
    </row>
    <row r="450" spans="1:8" ht="15.75" customHeight="1" x14ac:dyDescent="0.25">
      <c r="A450" s="7" t="str">
        <f>IF(CARGA_DIARIA!A450="","",CARGA_DIARIA!A450)</f>
        <v/>
      </c>
      <c r="B450" s="8" t="str">
        <f>IF(CARGA_DIARIA!A450="","",CARGA_DIARIA!B450)</f>
        <v/>
      </c>
      <c r="C450" s="9" t="str">
        <f>IF(CARGA_DIARIA!A450="","",IF(CARGA_DIARIA!B450=0,0,(CARGA_DIARIA!C450+CARGA_DIARIA!D450+CARGA_DIARIA!E450+CARGA_DIARIA!F450+CARGA_DIARIA!G450+CARGA_DIARIA!H450+CARGA_DIARIA!I450+CARGA_DIARIA!AF450+CARGA_DIARIA!AG450+CARGA_DIARIA!AH450+CARGA_DIARIA!AI450)/CARGA_DIARIA!B450+CARGA_DIARIA!AE450))</f>
        <v/>
      </c>
      <c r="D450" s="10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10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13" t="s">
        <v>64</v>
      </c>
      <c r="G450" s="13" t="s">
        <v>64</v>
      </c>
      <c r="H450" s="12" t="str">
        <f>IF(CARGA_DIARIA!A450="","",C450-D450-E450)</f>
        <v/>
      </c>
    </row>
    <row r="451" spans="1:8" ht="15.75" customHeight="1" x14ac:dyDescent="0.25">
      <c r="A451" s="7" t="str">
        <f>IF(CARGA_DIARIA!A451="","",CARGA_DIARIA!A451)</f>
        <v/>
      </c>
      <c r="B451" s="8" t="str">
        <f>IF(CARGA_DIARIA!A451="","",CARGA_DIARIA!B451)</f>
        <v/>
      </c>
      <c r="C451" s="9" t="str">
        <f>IF(CARGA_DIARIA!A451="","",IF(CARGA_DIARIA!B451=0,0,(CARGA_DIARIA!C451+CARGA_DIARIA!D451+CARGA_DIARIA!E451+CARGA_DIARIA!F451+CARGA_DIARIA!G451+CARGA_DIARIA!H451+CARGA_DIARIA!I451+CARGA_DIARIA!AF451+CARGA_DIARIA!AG451+CARGA_DIARIA!AH451+CARGA_DIARIA!AI451)/CARGA_DIARIA!B451+CARGA_DIARIA!AE451))</f>
        <v/>
      </c>
      <c r="D451" s="10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10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13" t="s">
        <v>64</v>
      </c>
      <c r="G451" s="13" t="s">
        <v>64</v>
      </c>
      <c r="H451" s="12" t="str">
        <f>IF(CARGA_DIARIA!A451="","",C451-D451-E451)</f>
        <v/>
      </c>
    </row>
    <row r="452" spans="1:8" ht="15.75" customHeight="1" x14ac:dyDescent="0.25">
      <c r="A452" s="7" t="str">
        <f>IF(CARGA_DIARIA!A452="","",CARGA_DIARIA!A452)</f>
        <v/>
      </c>
      <c r="B452" s="8" t="str">
        <f>IF(CARGA_DIARIA!A452="","",CARGA_DIARIA!B452)</f>
        <v/>
      </c>
      <c r="C452" s="9" t="str">
        <f>IF(CARGA_DIARIA!A452="","",IF(CARGA_DIARIA!B452=0,0,(CARGA_DIARIA!C452+CARGA_DIARIA!D452+CARGA_DIARIA!E452+CARGA_DIARIA!F452+CARGA_DIARIA!G452+CARGA_DIARIA!H452+CARGA_DIARIA!I452+CARGA_DIARIA!AF452+CARGA_DIARIA!AG452+CARGA_DIARIA!AH452+CARGA_DIARIA!AI452)/CARGA_DIARIA!B452+CARGA_DIARIA!AE452))</f>
        <v/>
      </c>
      <c r="D452" s="10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10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13" t="s">
        <v>64</v>
      </c>
      <c r="G452" s="13" t="s">
        <v>64</v>
      </c>
      <c r="H452" s="12" t="str">
        <f>IF(CARGA_DIARIA!A452="","",C452-D452-E452)</f>
        <v/>
      </c>
    </row>
    <row r="453" spans="1:8" ht="15.75" customHeight="1" x14ac:dyDescent="0.25">
      <c r="A453" s="7" t="str">
        <f>IF(CARGA_DIARIA!A453="","",CARGA_DIARIA!A453)</f>
        <v/>
      </c>
      <c r="B453" s="8" t="str">
        <f>IF(CARGA_DIARIA!A453="","",CARGA_DIARIA!B453)</f>
        <v/>
      </c>
      <c r="C453" s="9" t="str">
        <f>IF(CARGA_DIARIA!A453="","",IF(CARGA_DIARIA!B453=0,0,(CARGA_DIARIA!C453+CARGA_DIARIA!D453+CARGA_DIARIA!E453+CARGA_DIARIA!F453+CARGA_DIARIA!G453+CARGA_DIARIA!H453+CARGA_DIARIA!I453+CARGA_DIARIA!AF453+CARGA_DIARIA!AG453+CARGA_DIARIA!AH453+CARGA_DIARIA!AI453)/CARGA_DIARIA!B453+CARGA_DIARIA!AE453))</f>
        <v/>
      </c>
      <c r="D453" s="10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10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13" t="s">
        <v>64</v>
      </c>
      <c r="G453" s="13" t="s">
        <v>64</v>
      </c>
      <c r="H453" s="12" t="str">
        <f>IF(CARGA_DIARIA!A453="","",C453-D453-E453)</f>
        <v/>
      </c>
    </row>
    <row r="454" spans="1:8" ht="15.75" customHeight="1" x14ac:dyDescent="0.25">
      <c r="A454" s="7" t="str">
        <f>IF(CARGA_DIARIA!A454="","",CARGA_DIARIA!A454)</f>
        <v/>
      </c>
      <c r="B454" s="8" t="str">
        <f>IF(CARGA_DIARIA!A454="","",CARGA_DIARIA!B454)</f>
        <v/>
      </c>
      <c r="C454" s="9" t="str">
        <f>IF(CARGA_DIARIA!A454="","",IF(CARGA_DIARIA!B454=0,0,(CARGA_DIARIA!C454+CARGA_DIARIA!D454+CARGA_DIARIA!E454+CARGA_DIARIA!F454+CARGA_DIARIA!G454+CARGA_DIARIA!H454+CARGA_DIARIA!I454+CARGA_DIARIA!AF454+CARGA_DIARIA!AG454+CARGA_DIARIA!AH454+CARGA_DIARIA!AI454)/CARGA_DIARIA!B454+CARGA_DIARIA!AE454))</f>
        <v/>
      </c>
      <c r="D454" s="10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10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13" t="s">
        <v>64</v>
      </c>
      <c r="G454" s="13" t="s">
        <v>64</v>
      </c>
      <c r="H454" s="12" t="str">
        <f>IF(CARGA_DIARIA!A454="","",C454-D454-E454)</f>
        <v/>
      </c>
    </row>
    <row r="455" spans="1:8" ht="15.75" customHeight="1" x14ac:dyDescent="0.25">
      <c r="A455" s="7" t="str">
        <f>IF(CARGA_DIARIA!A455="","",CARGA_DIARIA!A455)</f>
        <v/>
      </c>
      <c r="B455" s="8" t="str">
        <f>IF(CARGA_DIARIA!A455="","",CARGA_DIARIA!B455)</f>
        <v/>
      </c>
      <c r="C455" s="9" t="str">
        <f>IF(CARGA_DIARIA!A455="","",IF(CARGA_DIARIA!B455=0,0,(CARGA_DIARIA!C455+CARGA_DIARIA!D455+CARGA_DIARIA!E455+CARGA_DIARIA!F455+CARGA_DIARIA!G455+CARGA_DIARIA!H455+CARGA_DIARIA!I455+CARGA_DIARIA!AF455+CARGA_DIARIA!AG455+CARGA_DIARIA!AH455+CARGA_DIARIA!AI455)/CARGA_DIARIA!B455+CARGA_DIARIA!AE455))</f>
        <v/>
      </c>
      <c r="D455" s="10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10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13" t="s">
        <v>64</v>
      </c>
      <c r="G455" s="13" t="s">
        <v>64</v>
      </c>
      <c r="H455" s="12" t="str">
        <f>IF(CARGA_DIARIA!A455="","",C455-D455-E455)</f>
        <v/>
      </c>
    </row>
    <row r="456" spans="1:8" ht="15.75" customHeight="1" x14ac:dyDescent="0.25">
      <c r="A456" s="7" t="str">
        <f>IF(CARGA_DIARIA!A456="","",CARGA_DIARIA!A456)</f>
        <v/>
      </c>
      <c r="B456" s="8" t="str">
        <f>IF(CARGA_DIARIA!A456="","",CARGA_DIARIA!B456)</f>
        <v/>
      </c>
      <c r="C456" s="9" t="str">
        <f>IF(CARGA_DIARIA!A456="","",IF(CARGA_DIARIA!B456=0,0,(CARGA_DIARIA!C456+CARGA_DIARIA!D456+CARGA_DIARIA!E456+CARGA_DIARIA!F456+CARGA_DIARIA!G456+CARGA_DIARIA!H456+CARGA_DIARIA!I456+CARGA_DIARIA!AF456+CARGA_DIARIA!AG456+CARGA_DIARIA!AH456+CARGA_DIARIA!AI456)/CARGA_DIARIA!B456+CARGA_DIARIA!AE456))</f>
        <v/>
      </c>
      <c r="D456" s="10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10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13" t="s">
        <v>64</v>
      </c>
      <c r="G456" s="13" t="s">
        <v>64</v>
      </c>
      <c r="H456" s="12" t="str">
        <f>IF(CARGA_DIARIA!A456="","",C456-D456-E456)</f>
        <v/>
      </c>
    </row>
    <row r="457" spans="1:8" ht="15.75" customHeight="1" x14ac:dyDescent="0.25">
      <c r="A457" s="7" t="str">
        <f>IF(CARGA_DIARIA!A457="","",CARGA_DIARIA!A457)</f>
        <v/>
      </c>
      <c r="B457" s="8" t="str">
        <f>IF(CARGA_DIARIA!A457="","",CARGA_DIARIA!B457)</f>
        <v/>
      </c>
      <c r="C457" s="9" t="str">
        <f>IF(CARGA_DIARIA!A457="","",IF(CARGA_DIARIA!B457=0,0,(CARGA_DIARIA!C457+CARGA_DIARIA!D457+CARGA_DIARIA!E457+CARGA_DIARIA!F457+CARGA_DIARIA!G457+CARGA_DIARIA!H457+CARGA_DIARIA!I457+CARGA_DIARIA!AF457+CARGA_DIARIA!AG457+CARGA_DIARIA!AH457+CARGA_DIARIA!AI457)/CARGA_DIARIA!B457+CARGA_DIARIA!AE457))</f>
        <v/>
      </c>
      <c r="D457" s="10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10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13" t="s">
        <v>64</v>
      </c>
      <c r="G457" s="13" t="s">
        <v>64</v>
      </c>
      <c r="H457" s="12" t="str">
        <f>IF(CARGA_DIARIA!A457="","",C457-D457-E457)</f>
        <v/>
      </c>
    </row>
    <row r="458" spans="1:8" ht="15.75" customHeight="1" x14ac:dyDescent="0.25">
      <c r="A458" s="7" t="str">
        <f>IF(CARGA_DIARIA!A458="","",CARGA_DIARIA!A458)</f>
        <v/>
      </c>
      <c r="B458" s="8" t="str">
        <f>IF(CARGA_DIARIA!A458="","",CARGA_DIARIA!B458)</f>
        <v/>
      </c>
      <c r="C458" s="9" t="str">
        <f>IF(CARGA_DIARIA!A458="","",IF(CARGA_DIARIA!B458=0,0,(CARGA_DIARIA!C458+CARGA_DIARIA!D458+CARGA_DIARIA!E458+CARGA_DIARIA!F458+CARGA_DIARIA!G458+CARGA_DIARIA!H458+CARGA_DIARIA!I458+CARGA_DIARIA!AF458+CARGA_DIARIA!AG458+CARGA_DIARIA!AH458+CARGA_DIARIA!AI458)/CARGA_DIARIA!B458+CARGA_DIARIA!AE458))</f>
        <v/>
      </c>
      <c r="D458" s="10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10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13" t="s">
        <v>64</v>
      </c>
      <c r="G458" s="13" t="s">
        <v>64</v>
      </c>
      <c r="H458" s="12" t="str">
        <f>IF(CARGA_DIARIA!A458="","",C458-D458-E458)</f>
        <v/>
      </c>
    </row>
    <row r="459" spans="1:8" ht="15.75" customHeight="1" x14ac:dyDescent="0.25">
      <c r="A459" s="7" t="str">
        <f>IF(CARGA_DIARIA!A459="","",CARGA_DIARIA!A459)</f>
        <v/>
      </c>
      <c r="B459" s="8" t="str">
        <f>IF(CARGA_DIARIA!A459="","",CARGA_DIARIA!B459)</f>
        <v/>
      </c>
      <c r="C459" s="9" t="str">
        <f>IF(CARGA_DIARIA!A459="","",IF(CARGA_DIARIA!B459=0,0,(CARGA_DIARIA!C459+CARGA_DIARIA!D459+CARGA_DIARIA!E459+CARGA_DIARIA!F459+CARGA_DIARIA!G459+CARGA_DIARIA!H459+CARGA_DIARIA!I459+CARGA_DIARIA!AF459+CARGA_DIARIA!AG459+CARGA_DIARIA!AH459+CARGA_DIARIA!AI459)/CARGA_DIARIA!B459+CARGA_DIARIA!AE459))</f>
        <v/>
      </c>
      <c r="D459" s="10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10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13" t="s">
        <v>64</v>
      </c>
      <c r="G459" s="13" t="s">
        <v>64</v>
      </c>
      <c r="H459" s="12" t="str">
        <f>IF(CARGA_DIARIA!A459="","",C459-D459-E459)</f>
        <v/>
      </c>
    </row>
    <row r="460" spans="1:8" ht="15.75" customHeight="1" x14ac:dyDescent="0.25">
      <c r="A460" s="7" t="str">
        <f>IF(CARGA_DIARIA!A460="","",CARGA_DIARIA!A460)</f>
        <v/>
      </c>
      <c r="B460" s="8" t="str">
        <f>IF(CARGA_DIARIA!A460="","",CARGA_DIARIA!B460)</f>
        <v/>
      </c>
      <c r="C460" s="9" t="str">
        <f>IF(CARGA_DIARIA!A460="","",IF(CARGA_DIARIA!B460=0,0,(CARGA_DIARIA!C460+CARGA_DIARIA!D460+CARGA_DIARIA!E460+CARGA_DIARIA!F460+CARGA_DIARIA!G460+CARGA_DIARIA!H460+CARGA_DIARIA!I460+CARGA_DIARIA!AF460+CARGA_DIARIA!AG460+CARGA_DIARIA!AH460+CARGA_DIARIA!AI460)/CARGA_DIARIA!B460+CARGA_DIARIA!AE460))</f>
        <v/>
      </c>
      <c r="D460" s="10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10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13" t="s">
        <v>64</v>
      </c>
      <c r="G460" s="13" t="s">
        <v>64</v>
      </c>
      <c r="H460" s="12" t="str">
        <f>IF(CARGA_DIARIA!A460="","",C460-D460-E460)</f>
        <v/>
      </c>
    </row>
    <row r="461" spans="1:8" ht="15.75" customHeight="1" x14ac:dyDescent="0.25">
      <c r="A461" s="7" t="str">
        <f>IF(CARGA_DIARIA!A461="","",CARGA_DIARIA!A461)</f>
        <v/>
      </c>
      <c r="B461" s="8" t="str">
        <f>IF(CARGA_DIARIA!A461="","",CARGA_DIARIA!B461)</f>
        <v/>
      </c>
      <c r="C461" s="9" t="str">
        <f>IF(CARGA_DIARIA!A461="","",IF(CARGA_DIARIA!B461=0,0,(CARGA_DIARIA!C461+CARGA_DIARIA!D461+CARGA_DIARIA!E461+CARGA_DIARIA!F461+CARGA_DIARIA!G461+CARGA_DIARIA!H461+CARGA_DIARIA!I461+CARGA_DIARIA!AF461+CARGA_DIARIA!AG461+CARGA_DIARIA!AH461+CARGA_DIARIA!AI461)/CARGA_DIARIA!B461+CARGA_DIARIA!AE461))</f>
        <v/>
      </c>
      <c r="D461" s="10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10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13" t="s">
        <v>64</v>
      </c>
      <c r="G461" s="13" t="s">
        <v>64</v>
      </c>
      <c r="H461" s="12" t="str">
        <f>IF(CARGA_DIARIA!A461="","",C461-D461-E461)</f>
        <v/>
      </c>
    </row>
    <row r="462" spans="1:8" ht="15.75" customHeight="1" x14ac:dyDescent="0.25">
      <c r="A462" s="7" t="str">
        <f>IF(CARGA_DIARIA!A462="","",CARGA_DIARIA!A462)</f>
        <v/>
      </c>
      <c r="B462" s="8" t="str">
        <f>IF(CARGA_DIARIA!A462="","",CARGA_DIARIA!B462)</f>
        <v/>
      </c>
      <c r="C462" s="9" t="str">
        <f>IF(CARGA_DIARIA!A462="","",IF(CARGA_DIARIA!B462=0,0,(CARGA_DIARIA!C462+CARGA_DIARIA!D462+CARGA_DIARIA!E462+CARGA_DIARIA!F462+CARGA_DIARIA!G462+CARGA_DIARIA!H462+CARGA_DIARIA!I462+CARGA_DIARIA!AF462+CARGA_DIARIA!AG462+CARGA_DIARIA!AH462+CARGA_DIARIA!AI462)/CARGA_DIARIA!B462+CARGA_DIARIA!AE462))</f>
        <v/>
      </c>
      <c r="D462" s="10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10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13" t="s">
        <v>64</v>
      </c>
      <c r="G462" s="13" t="s">
        <v>64</v>
      </c>
      <c r="H462" s="12" t="str">
        <f>IF(CARGA_DIARIA!A462="","",C462-D462-E462)</f>
        <v/>
      </c>
    </row>
    <row r="463" spans="1:8" ht="15.75" customHeight="1" x14ac:dyDescent="0.25">
      <c r="A463" s="7" t="str">
        <f>IF(CARGA_DIARIA!A463="","",CARGA_DIARIA!A463)</f>
        <v/>
      </c>
      <c r="B463" s="8" t="str">
        <f>IF(CARGA_DIARIA!A463="","",CARGA_DIARIA!B463)</f>
        <v/>
      </c>
      <c r="C463" s="9" t="str">
        <f>IF(CARGA_DIARIA!A463="","",IF(CARGA_DIARIA!B463=0,0,(CARGA_DIARIA!C463+CARGA_DIARIA!D463+CARGA_DIARIA!E463+CARGA_DIARIA!F463+CARGA_DIARIA!G463+CARGA_DIARIA!H463+CARGA_DIARIA!I463+CARGA_DIARIA!AF463+CARGA_DIARIA!AG463+CARGA_DIARIA!AH463+CARGA_DIARIA!AI463)/CARGA_DIARIA!B463+CARGA_DIARIA!AE463))</f>
        <v/>
      </c>
      <c r="D463" s="10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10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13" t="s">
        <v>64</v>
      </c>
      <c r="G463" s="13" t="s">
        <v>64</v>
      </c>
      <c r="H463" s="12" t="str">
        <f>IF(CARGA_DIARIA!A463="","",C463-D463-E463)</f>
        <v/>
      </c>
    </row>
    <row r="464" spans="1:8" ht="15.75" customHeight="1" x14ac:dyDescent="0.25">
      <c r="A464" s="7" t="str">
        <f>IF(CARGA_DIARIA!A464="","",CARGA_DIARIA!A464)</f>
        <v/>
      </c>
      <c r="B464" s="8" t="str">
        <f>IF(CARGA_DIARIA!A464="","",CARGA_DIARIA!B464)</f>
        <v/>
      </c>
      <c r="C464" s="9" t="str">
        <f>IF(CARGA_DIARIA!A464="","",IF(CARGA_DIARIA!B464=0,0,(CARGA_DIARIA!C464+CARGA_DIARIA!D464+CARGA_DIARIA!E464+CARGA_DIARIA!F464+CARGA_DIARIA!G464+CARGA_DIARIA!H464+CARGA_DIARIA!I464+CARGA_DIARIA!AF464+CARGA_DIARIA!AG464+CARGA_DIARIA!AH464+CARGA_DIARIA!AI464)/CARGA_DIARIA!B464+CARGA_DIARIA!AE464))</f>
        <v/>
      </c>
      <c r="D464" s="10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10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13" t="s">
        <v>64</v>
      </c>
      <c r="G464" s="13" t="s">
        <v>64</v>
      </c>
      <c r="H464" s="12" t="str">
        <f>IF(CARGA_DIARIA!A464="","",C464-D464-E464)</f>
        <v/>
      </c>
    </row>
    <row r="465" spans="1:8" ht="15.75" customHeight="1" x14ac:dyDescent="0.25">
      <c r="A465" s="7" t="str">
        <f>IF(CARGA_DIARIA!A465="","",CARGA_DIARIA!A465)</f>
        <v/>
      </c>
      <c r="B465" s="8" t="str">
        <f>IF(CARGA_DIARIA!A465="","",CARGA_DIARIA!B465)</f>
        <v/>
      </c>
      <c r="C465" s="9" t="str">
        <f>IF(CARGA_DIARIA!A465="","",IF(CARGA_DIARIA!B465=0,0,(CARGA_DIARIA!C465+CARGA_DIARIA!D465+CARGA_DIARIA!E465+CARGA_DIARIA!F465+CARGA_DIARIA!G465+CARGA_DIARIA!H465+CARGA_DIARIA!I465+CARGA_DIARIA!AF465+CARGA_DIARIA!AG465+CARGA_DIARIA!AH465+CARGA_DIARIA!AI465)/CARGA_DIARIA!B465+CARGA_DIARIA!AE465))</f>
        <v/>
      </c>
      <c r="D465" s="10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10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13" t="s">
        <v>64</v>
      </c>
      <c r="G465" s="13" t="s">
        <v>64</v>
      </c>
      <c r="H465" s="12" t="str">
        <f>IF(CARGA_DIARIA!A465="","",C465-D465-E465)</f>
        <v/>
      </c>
    </row>
    <row r="466" spans="1:8" ht="15.75" customHeight="1" x14ac:dyDescent="0.25">
      <c r="A466" s="7" t="str">
        <f>IF(CARGA_DIARIA!A466="","",CARGA_DIARIA!A466)</f>
        <v/>
      </c>
      <c r="B466" s="8" t="str">
        <f>IF(CARGA_DIARIA!A466="","",CARGA_DIARIA!B466)</f>
        <v/>
      </c>
      <c r="C466" s="9" t="str">
        <f>IF(CARGA_DIARIA!A466="","",IF(CARGA_DIARIA!B466=0,0,(CARGA_DIARIA!C466+CARGA_DIARIA!D466+CARGA_DIARIA!E466+CARGA_DIARIA!F466+CARGA_DIARIA!G466+CARGA_DIARIA!H466+CARGA_DIARIA!I466+CARGA_DIARIA!AF466+CARGA_DIARIA!AG466+CARGA_DIARIA!AH466+CARGA_DIARIA!AI466)/CARGA_DIARIA!B466+CARGA_DIARIA!AE466))</f>
        <v/>
      </c>
      <c r="D466" s="10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10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13" t="s">
        <v>64</v>
      </c>
      <c r="G466" s="13" t="s">
        <v>64</v>
      </c>
      <c r="H466" s="12" t="str">
        <f>IF(CARGA_DIARIA!A466="","",C466-D466-E466)</f>
        <v/>
      </c>
    </row>
    <row r="467" spans="1:8" ht="15.75" customHeight="1" x14ac:dyDescent="0.25">
      <c r="A467" s="7" t="str">
        <f>IF(CARGA_DIARIA!A467="","",CARGA_DIARIA!A467)</f>
        <v/>
      </c>
      <c r="B467" s="8" t="str">
        <f>IF(CARGA_DIARIA!A467="","",CARGA_DIARIA!B467)</f>
        <v/>
      </c>
      <c r="C467" s="9" t="str">
        <f>IF(CARGA_DIARIA!A467="","",IF(CARGA_DIARIA!B467=0,0,(CARGA_DIARIA!C467+CARGA_DIARIA!D467+CARGA_DIARIA!E467+CARGA_DIARIA!F467+CARGA_DIARIA!G467+CARGA_DIARIA!H467+CARGA_DIARIA!I467+CARGA_DIARIA!AF467+CARGA_DIARIA!AG467+CARGA_DIARIA!AH467+CARGA_DIARIA!AI467)/CARGA_DIARIA!B467+CARGA_DIARIA!AE467))</f>
        <v/>
      </c>
      <c r="D467" s="10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10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13" t="s">
        <v>64</v>
      </c>
      <c r="G467" s="13" t="s">
        <v>64</v>
      </c>
      <c r="H467" s="12" t="str">
        <f>IF(CARGA_DIARIA!A467="","",C467-D467-E467)</f>
        <v/>
      </c>
    </row>
    <row r="468" spans="1:8" ht="15.75" customHeight="1" x14ac:dyDescent="0.25">
      <c r="A468" s="7" t="str">
        <f>IF(CARGA_DIARIA!A468="","",CARGA_DIARIA!A468)</f>
        <v/>
      </c>
      <c r="B468" s="8" t="str">
        <f>IF(CARGA_DIARIA!A468="","",CARGA_DIARIA!B468)</f>
        <v/>
      </c>
      <c r="C468" s="9" t="str">
        <f>IF(CARGA_DIARIA!A468="","",IF(CARGA_DIARIA!B468=0,0,(CARGA_DIARIA!C468+CARGA_DIARIA!D468+CARGA_DIARIA!E468+CARGA_DIARIA!F468+CARGA_DIARIA!G468+CARGA_DIARIA!H468+CARGA_DIARIA!I468+CARGA_DIARIA!AF468+CARGA_DIARIA!AG468+CARGA_DIARIA!AH468+CARGA_DIARIA!AI468)/CARGA_DIARIA!B468+CARGA_DIARIA!AE468))</f>
        <v/>
      </c>
      <c r="D468" s="10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10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13" t="s">
        <v>64</v>
      </c>
      <c r="G468" s="13" t="s">
        <v>64</v>
      </c>
      <c r="H468" s="12" t="str">
        <f>IF(CARGA_DIARIA!A468="","",C468-D468-E468)</f>
        <v/>
      </c>
    </row>
    <row r="469" spans="1:8" ht="15.75" customHeight="1" x14ac:dyDescent="0.25">
      <c r="A469" s="7" t="str">
        <f>IF(CARGA_DIARIA!A469="","",CARGA_DIARIA!A469)</f>
        <v/>
      </c>
      <c r="B469" s="8" t="str">
        <f>IF(CARGA_DIARIA!A469="","",CARGA_DIARIA!B469)</f>
        <v/>
      </c>
      <c r="C469" s="9" t="str">
        <f>IF(CARGA_DIARIA!A469="","",IF(CARGA_DIARIA!B469=0,0,(CARGA_DIARIA!C469+CARGA_DIARIA!D469+CARGA_DIARIA!E469+CARGA_DIARIA!F469+CARGA_DIARIA!G469+CARGA_DIARIA!H469+CARGA_DIARIA!I469+CARGA_DIARIA!AF469+CARGA_DIARIA!AG469+CARGA_DIARIA!AH469+CARGA_DIARIA!AI469)/CARGA_DIARIA!B469+CARGA_DIARIA!AE469))</f>
        <v/>
      </c>
      <c r="D469" s="10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10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13" t="s">
        <v>64</v>
      </c>
      <c r="G469" s="13" t="s">
        <v>64</v>
      </c>
      <c r="H469" s="12" t="str">
        <f>IF(CARGA_DIARIA!A469="","",C469-D469-E469)</f>
        <v/>
      </c>
    </row>
    <row r="470" spans="1:8" ht="15.75" customHeight="1" x14ac:dyDescent="0.25">
      <c r="A470" s="7" t="str">
        <f>IF(CARGA_DIARIA!A470="","",CARGA_DIARIA!A470)</f>
        <v/>
      </c>
      <c r="B470" s="8" t="str">
        <f>IF(CARGA_DIARIA!A470="","",CARGA_DIARIA!B470)</f>
        <v/>
      </c>
      <c r="C470" s="9" t="str">
        <f>IF(CARGA_DIARIA!A470="","",IF(CARGA_DIARIA!B470=0,0,(CARGA_DIARIA!C470+CARGA_DIARIA!D470+CARGA_DIARIA!E470+CARGA_DIARIA!F470+CARGA_DIARIA!G470+CARGA_DIARIA!H470+CARGA_DIARIA!I470+CARGA_DIARIA!AF470+CARGA_DIARIA!AG470+CARGA_DIARIA!AH470+CARGA_DIARIA!AI470)/CARGA_DIARIA!B470+CARGA_DIARIA!AE470))</f>
        <v/>
      </c>
      <c r="D470" s="10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10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13" t="s">
        <v>64</v>
      </c>
      <c r="G470" s="13" t="s">
        <v>64</v>
      </c>
      <c r="H470" s="12" t="str">
        <f>IF(CARGA_DIARIA!A470="","",C470-D470-E470)</f>
        <v/>
      </c>
    </row>
    <row r="471" spans="1:8" ht="15.75" customHeight="1" x14ac:dyDescent="0.25">
      <c r="A471" s="7" t="str">
        <f>IF(CARGA_DIARIA!A471="","",CARGA_DIARIA!A471)</f>
        <v/>
      </c>
      <c r="B471" s="8" t="str">
        <f>IF(CARGA_DIARIA!A471="","",CARGA_DIARIA!B471)</f>
        <v/>
      </c>
      <c r="C471" s="9" t="str">
        <f>IF(CARGA_DIARIA!A471="","",IF(CARGA_DIARIA!B471=0,0,(CARGA_DIARIA!C471+CARGA_DIARIA!D471+CARGA_DIARIA!E471+CARGA_DIARIA!F471+CARGA_DIARIA!G471+CARGA_DIARIA!H471+CARGA_DIARIA!I471+CARGA_DIARIA!AF471+CARGA_DIARIA!AG471+CARGA_DIARIA!AH471+CARGA_DIARIA!AI471)/CARGA_DIARIA!B471+CARGA_DIARIA!AE471))</f>
        <v/>
      </c>
      <c r="D471" s="10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10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13" t="s">
        <v>64</v>
      </c>
      <c r="G471" s="13" t="s">
        <v>64</v>
      </c>
      <c r="H471" s="12" t="str">
        <f>IF(CARGA_DIARIA!A471="","",C471-D471-E471)</f>
        <v/>
      </c>
    </row>
    <row r="472" spans="1:8" ht="15.75" customHeight="1" x14ac:dyDescent="0.25">
      <c r="A472" s="7" t="str">
        <f>IF(CARGA_DIARIA!A472="","",CARGA_DIARIA!A472)</f>
        <v/>
      </c>
      <c r="B472" s="8" t="str">
        <f>IF(CARGA_DIARIA!A472="","",CARGA_DIARIA!B472)</f>
        <v/>
      </c>
      <c r="C472" s="9" t="str">
        <f>IF(CARGA_DIARIA!A472="","",IF(CARGA_DIARIA!B472=0,0,(CARGA_DIARIA!C472+CARGA_DIARIA!D472+CARGA_DIARIA!E472+CARGA_DIARIA!F472+CARGA_DIARIA!G472+CARGA_DIARIA!H472+CARGA_DIARIA!I472+CARGA_DIARIA!AF472+CARGA_DIARIA!AG472+CARGA_DIARIA!AH472+CARGA_DIARIA!AI472)/CARGA_DIARIA!B472+CARGA_DIARIA!AE472))</f>
        <v/>
      </c>
      <c r="D472" s="10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10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13" t="s">
        <v>64</v>
      </c>
      <c r="G472" s="13" t="s">
        <v>64</v>
      </c>
      <c r="H472" s="12" t="str">
        <f>IF(CARGA_DIARIA!A472="","",C472-D472-E472)</f>
        <v/>
      </c>
    </row>
    <row r="473" spans="1:8" ht="15.75" customHeight="1" x14ac:dyDescent="0.25">
      <c r="A473" s="7" t="str">
        <f>IF(CARGA_DIARIA!A473="","",CARGA_DIARIA!A473)</f>
        <v/>
      </c>
      <c r="B473" s="8" t="str">
        <f>IF(CARGA_DIARIA!A473="","",CARGA_DIARIA!B473)</f>
        <v/>
      </c>
      <c r="C473" s="9" t="str">
        <f>IF(CARGA_DIARIA!A473="","",IF(CARGA_DIARIA!B473=0,0,(CARGA_DIARIA!C473+CARGA_DIARIA!D473+CARGA_DIARIA!E473+CARGA_DIARIA!F473+CARGA_DIARIA!G473+CARGA_DIARIA!H473+CARGA_DIARIA!I473+CARGA_DIARIA!AF473+CARGA_DIARIA!AG473+CARGA_DIARIA!AH473+CARGA_DIARIA!AI473)/CARGA_DIARIA!B473+CARGA_DIARIA!AE473))</f>
        <v/>
      </c>
      <c r="D473" s="10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10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13" t="s">
        <v>64</v>
      </c>
      <c r="G473" s="13" t="s">
        <v>64</v>
      </c>
      <c r="H473" s="12" t="str">
        <f>IF(CARGA_DIARIA!A473="","",C473-D473-E473)</f>
        <v/>
      </c>
    </row>
    <row r="474" spans="1:8" ht="15.75" customHeight="1" x14ac:dyDescent="0.25">
      <c r="A474" s="7" t="str">
        <f>IF(CARGA_DIARIA!A474="","",CARGA_DIARIA!A474)</f>
        <v/>
      </c>
      <c r="B474" s="8" t="str">
        <f>IF(CARGA_DIARIA!A474="","",CARGA_DIARIA!B474)</f>
        <v/>
      </c>
      <c r="C474" s="9" t="str">
        <f>IF(CARGA_DIARIA!A474="","",IF(CARGA_DIARIA!B474=0,0,(CARGA_DIARIA!C474+CARGA_DIARIA!D474+CARGA_DIARIA!E474+CARGA_DIARIA!F474+CARGA_DIARIA!G474+CARGA_DIARIA!H474+CARGA_DIARIA!I474+CARGA_DIARIA!AF474+CARGA_DIARIA!AG474+CARGA_DIARIA!AH474+CARGA_DIARIA!AI474)/CARGA_DIARIA!B474+CARGA_DIARIA!AE474))</f>
        <v/>
      </c>
      <c r="D474" s="10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10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13" t="s">
        <v>64</v>
      </c>
      <c r="G474" s="13" t="s">
        <v>64</v>
      </c>
      <c r="H474" s="12" t="str">
        <f>IF(CARGA_DIARIA!A474="","",C474-D474-E474)</f>
        <v/>
      </c>
    </row>
    <row r="475" spans="1:8" ht="15.75" customHeight="1" x14ac:dyDescent="0.25">
      <c r="A475" s="7" t="str">
        <f>IF(CARGA_DIARIA!A475="","",CARGA_DIARIA!A475)</f>
        <v/>
      </c>
      <c r="B475" s="8" t="str">
        <f>IF(CARGA_DIARIA!A475="","",CARGA_DIARIA!B475)</f>
        <v/>
      </c>
      <c r="C475" s="9" t="str">
        <f>IF(CARGA_DIARIA!A475="","",IF(CARGA_DIARIA!B475=0,0,(CARGA_DIARIA!C475+CARGA_DIARIA!D475+CARGA_DIARIA!E475+CARGA_DIARIA!F475+CARGA_DIARIA!G475+CARGA_DIARIA!H475+CARGA_DIARIA!I475+CARGA_DIARIA!AF475+CARGA_DIARIA!AG475+CARGA_DIARIA!AH475+CARGA_DIARIA!AI475)/CARGA_DIARIA!B475+CARGA_DIARIA!AE475))</f>
        <v/>
      </c>
      <c r="D475" s="10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10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13" t="s">
        <v>64</v>
      </c>
      <c r="G475" s="13" t="s">
        <v>64</v>
      </c>
      <c r="H475" s="12" t="str">
        <f>IF(CARGA_DIARIA!A475="","",C475-D475-E475)</f>
        <v/>
      </c>
    </row>
    <row r="476" spans="1:8" ht="15.75" customHeight="1" x14ac:dyDescent="0.25">
      <c r="A476" s="7" t="str">
        <f>IF(CARGA_DIARIA!A476="","",CARGA_DIARIA!A476)</f>
        <v/>
      </c>
      <c r="B476" s="8" t="str">
        <f>IF(CARGA_DIARIA!A476="","",CARGA_DIARIA!B476)</f>
        <v/>
      </c>
      <c r="C476" s="9" t="str">
        <f>IF(CARGA_DIARIA!A476="","",IF(CARGA_DIARIA!B476=0,0,(CARGA_DIARIA!C476+CARGA_DIARIA!D476+CARGA_DIARIA!E476+CARGA_DIARIA!F476+CARGA_DIARIA!G476+CARGA_DIARIA!H476+CARGA_DIARIA!I476+CARGA_DIARIA!AF476+CARGA_DIARIA!AG476+CARGA_DIARIA!AH476+CARGA_DIARIA!AI476)/CARGA_DIARIA!B476+CARGA_DIARIA!AE476))</f>
        <v/>
      </c>
      <c r="D476" s="10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10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13" t="s">
        <v>64</v>
      </c>
      <c r="G476" s="13" t="s">
        <v>64</v>
      </c>
      <c r="H476" s="12" t="str">
        <f>IF(CARGA_DIARIA!A476="","",C476-D476-E476)</f>
        <v/>
      </c>
    </row>
    <row r="477" spans="1:8" ht="15.75" customHeight="1" x14ac:dyDescent="0.25">
      <c r="A477" s="7" t="str">
        <f>IF(CARGA_DIARIA!A477="","",CARGA_DIARIA!A477)</f>
        <v/>
      </c>
      <c r="B477" s="8" t="str">
        <f>IF(CARGA_DIARIA!A477="","",CARGA_DIARIA!B477)</f>
        <v/>
      </c>
      <c r="C477" s="9" t="str">
        <f>IF(CARGA_DIARIA!A477="","",IF(CARGA_DIARIA!B477=0,0,(CARGA_DIARIA!C477+CARGA_DIARIA!D477+CARGA_DIARIA!E477+CARGA_DIARIA!F477+CARGA_DIARIA!G477+CARGA_DIARIA!H477+CARGA_DIARIA!I477+CARGA_DIARIA!AF477+CARGA_DIARIA!AG477+CARGA_DIARIA!AH477+CARGA_DIARIA!AI477)/CARGA_DIARIA!B477+CARGA_DIARIA!AE477))</f>
        <v/>
      </c>
      <c r="D477" s="10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10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13" t="s">
        <v>64</v>
      </c>
      <c r="G477" s="13" t="s">
        <v>64</v>
      </c>
      <c r="H477" s="12" t="str">
        <f>IF(CARGA_DIARIA!A477="","",C477-D477-E477)</f>
        <v/>
      </c>
    </row>
    <row r="478" spans="1:8" ht="15.75" customHeight="1" x14ac:dyDescent="0.25">
      <c r="A478" s="7" t="str">
        <f>IF(CARGA_DIARIA!A478="","",CARGA_DIARIA!A478)</f>
        <v/>
      </c>
      <c r="B478" s="8" t="str">
        <f>IF(CARGA_DIARIA!A478="","",CARGA_DIARIA!B478)</f>
        <v/>
      </c>
      <c r="C478" s="9" t="str">
        <f>IF(CARGA_DIARIA!A478="","",IF(CARGA_DIARIA!B478=0,0,(CARGA_DIARIA!C478+CARGA_DIARIA!D478+CARGA_DIARIA!E478+CARGA_DIARIA!F478+CARGA_DIARIA!G478+CARGA_DIARIA!H478+CARGA_DIARIA!I478+CARGA_DIARIA!AF478+CARGA_DIARIA!AG478+CARGA_DIARIA!AH478+CARGA_DIARIA!AI478)/CARGA_DIARIA!B478+CARGA_DIARIA!AE478))</f>
        <v/>
      </c>
      <c r="D478" s="10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10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13" t="s">
        <v>64</v>
      </c>
      <c r="G478" s="13" t="s">
        <v>64</v>
      </c>
      <c r="H478" s="12" t="str">
        <f>IF(CARGA_DIARIA!A478="","",C478-D478-E478)</f>
        <v/>
      </c>
    </row>
    <row r="479" spans="1:8" ht="15.75" customHeight="1" x14ac:dyDescent="0.25">
      <c r="A479" s="7" t="str">
        <f>IF(CARGA_DIARIA!A479="","",CARGA_DIARIA!A479)</f>
        <v/>
      </c>
      <c r="B479" s="8" t="str">
        <f>IF(CARGA_DIARIA!A479="","",CARGA_DIARIA!B479)</f>
        <v/>
      </c>
      <c r="C479" s="9" t="str">
        <f>IF(CARGA_DIARIA!A479="","",IF(CARGA_DIARIA!B479=0,0,(CARGA_DIARIA!C479+CARGA_DIARIA!D479+CARGA_DIARIA!E479+CARGA_DIARIA!F479+CARGA_DIARIA!G479+CARGA_DIARIA!H479+CARGA_DIARIA!I479+CARGA_DIARIA!AF479+CARGA_DIARIA!AG479+CARGA_DIARIA!AH479+CARGA_DIARIA!AI479)/CARGA_DIARIA!B479+CARGA_DIARIA!AE479))</f>
        <v/>
      </c>
      <c r="D479" s="10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10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13" t="s">
        <v>64</v>
      </c>
      <c r="G479" s="13" t="s">
        <v>64</v>
      </c>
      <c r="H479" s="12" t="str">
        <f>IF(CARGA_DIARIA!A479="","",C479-D479-E479)</f>
        <v/>
      </c>
    </row>
    <row r="480" spans="1:8" ht="15.75" customHeight="1" x14ac:dyDescent="0.25">
      <c r="A480" s="7" t="str">
        <f>IF(CARGA_DIARIA!A480="","",CARGA_DIARIA!A480)</f>
        <v/>
      </c>
      <c r="B480" s="8" t="str">
        <f>IF(CARGA_DIARIA!A480="","",CARGA_DIARIA!B480)</f>
        <v/>
      </c>
      <c r="C480" s="9" t="str">
        <f>IF(CARGA_DIARIA!A480="","",IF(CARGA_DIARIA!B480=0,0,(CARGA_DIARIA!C480+CARGA_DIARIA!D480+CARGA_DIARIA!E480+CARGA_DIARIA!F480+CARGA_DIARIA!G480+CARGA_DIARIA!H480+CARGA_DIARIA!I480+CARGA_DIARIA!AF480+CARGA_DIARIA!AG480+CARGA_DIARIA!AH480+CARGA_DIARIA!AI480)/CARGA_DIARIA!B480+CARGA_DIARIA!AE480))</f>
        <v/>
      </c>
      <c r="D480" s="10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10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13" t="s">
        <v>64</v>
      </c>
      <c r="G480" s="13" t="s">
        <v>64</v>
      </c>
      <c r="H480" s="12" t="str">
        <f>IF(CARGA_DIARIA!A480="","",C480-D480-E480)</f>
        <v/>
      </c>
    </row>
    <row r="481" spans="1:8" ht="15.75" customHeight="1" x14ac:dyDescent="0.25">
      <c r="A481" s="7" t="str">
        <f>IF(CARGA_DIARIA!A481="","",CARGA_DIARIA!A481)</f>
        <v/>
      </c>
      <c r="B481" s="8" t="str">
        <f>IF(CARGA_DIARIA!A481="","",CARGA_DIARIA!B481)</f>
        <v/>
      </c>
      <c r="C481" s="9" t="str">
        <f>IF(CARGA_DIARIA!A481="","",IF(CARGA_DIARIA!B481=0,0,(CARGA_DIARIA!C481+CARGA_DIARIA!D481+CARGA_DIARIA!E481+CARGA_DIARIA!F481+CARGA_DIARIA!G481+CARGA_DIARIA!H481+CARGA_DIARIA!I481+CARGA_DIARIA!AF481+CARGA_DIARIA!AG481+CARGA_DIARIA!AH481+CARGA_DIARIA!AI481)/CARGA_DIARIA!B481+CARGA_DIARIA!AE481))</f>
        <v/>
      </c>
      <c r="D481" s="10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10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13" t="s">
        <v>64</v>
      </c>
      <c r="G481" s="13" t="s">
        <v>64</v>
      </c>
      <c r="H481" s="12" t="str">
        <f>IF(CARGA_DIARIA!A481="","",C481-D481-E481)</f>
        <v/>
      </c>
    </row>
    <row r="482" spans="1:8" ht="15.75" customHeight="1" x14ac:dyDescent="0.25">
      <c r="A482" s="7" t="str">
        <f>IF(CARGA_DIARIA!A482="","",CARGA_DIARIA!A482)</f>
        <v/>
      </c>
      <c r="B482" s="8" t="str">
        <f>IF(CARGA_DIARIA!A482="","",CARGA_DIARIA!B482)</f>
        <v/>
      </c>
      <c r="C482" s="9" t="str">
        <f>IF(CARGA_DIARIA!A482="","",IF(CARGA_DIARIA!B482=0,0,(CARGA_DIARIA!C482+CARGA_DIARIA!D482+CARGA_DIARIA!E482+CARGA_DIARIA!F482+CARGA_DIARIA!G482+CARGA_DIARIA!H482+CARGA_DIARIA!I482+CARGA_DIARIA!AF482+CARGA_DIARIA!AG482+CARGA_DIARIA!AH482+CARGA_DIARIA!AI482)/CARGA_DIARIA!B482+CARGA_DIARIA!AE482))</f>
        <v/>
      </c>
      <c r="D482" s="10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10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13" t="s">
        <v>64</v>
      </c>
      <c r="G482" s="13" t="s">
        <v>64</v>
      </c>
      <c r="H482" s="12" t="str">
        <f>IF(CARGA_DIARIA!A482="","",C482-D482-E482)</f>
        <v/>
      </c>
    </row>
    <row r="483" spans="1:8" ht="15.75" customHeight="1" x14ac:dyDescent="0.25">
      <c r="A483" s="7" t="str">
        <f>IF(CARGA_DIARIA!A483="","",CARGA_DIARIA!A483)</f>
        <v/>
      </c>
      <c r="B483" s="8" t="str">
        <f>IF(CARGA_DIARIA!A483="","",CARGA_DIARIA!B483)</f>
        <v/>
      </c>
      <c r="C483" s="9" t="str">
        <f>IF(CARGA_DIARIA!A483="","",IF(CARGA_DIARIA!B483=0,0,(CARGA_DIARIA!C483+CARGA_DIARIA!D483+CARGA_DIARIA!E483+CARGA_DIARIA!F483+CARGA_DIARIA!G483+CARGA_DIARIA!H483+CARGA_DIARIA!I483+CARGA_DIARIA!AF483+CARGA_DIARIA!AG483+CARGA_DIARIA!AH483+CARGA_DIARIA!AI483)/CARGA_DIARIA!B483+CARGA_DIARIA!AE483))</f>
        <v/>
      </c>
      <c r="D483" s="10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10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13" t="s">
        <v>64</v>
      </c>
      <c r="G483" s="13" t="s">
        <v>64</v>
      </c>
      <c r="H483" s="12" t="str">
        <f>IF(CARGA_DIARIA!A483="","",C483-D483-E483)</f>
        <v/>
      </c>
    </row>
    <row r="484" spans="1:8" ht="15.75" customHeight="1" x14ac:dyDescent="0.25">
      <c r="A484" s="7" t="str">
        <f>IF(CARGA_DIARIA!A484="","",CARGA_DIARIA!A484)</f>
        <v/>
      </c>
      <c r="B484" s="8" t="str">
        <f>IF(CARGA_DIARIA!A484="","",CARGA_DIARIA!B484)</f>
        <v/>
      </c>
      <c r="C484" s="9" t="str">
        <f>IF(CARGA_DIARIA!A484="","",IF(CARGA_DIARIA!B484=0,0,(CARGA_DIARIA!C484+CARGA_DIARIA!D484+CARGA_DIARIA!E484+CARGA_DIARIA!F484+CARGA_DIARIA!G484+CARGA_DIARIA!H484+CARGA_DIARIA!I484+CARGA_DIARIA!AF484+CARGA_DIARIA!AG484+CARGA_DIARIA!AH484+CARGA_DIARIA!AI484)/CARGA_DIARIA!B484+CARGA_DIARIA!AE484))</f>
        <v/>
      </c>
      <c r="D484" s="10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10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13" t="s">
        <v>64</v>
      </c>
      <c r="G484" s="13" t="s">
        <v>64</v>
      </c>
      <c r="H484" s="12" t="str">
        <f>IF(CARGA_DIARIA!A484="","",C484-D484-E484)</f>
        <v/>
      </c>
    </row>
    <row r="485" spans="1:8" ht="15.75" customHeight="1" x14ac:dyDescent="0.25">
      <c r="A485" s="7" t="str">
        <f>IF(CARGA_DIARIA!A485="","",CARGA_DIARIA!A485)</f>
        <v/>
      </c>
      <c r="B485" s="8" t="str">
        <f>IF(CARGA_DIARIA!A485="","",CARGA_DIARIA!B485)</f>
        <v/>
      </c>
      <c r="C485" s="9" t="str">
        <f>IF(CARGA_DIARIA!A485="","",IF(CARGA_DIARIA!B485=0,0,(CARGA_DIARIA!C485+CARGA_DIARIA!D485+CARGA_DIARIA!E485+CARGA_DIARIA!F485+CARGA_DIARIA!G485+CARGA_DIARIA!H485+CARGA_DIARIA!I485+CARGA_DIARIA!AF485+CARGA_DIARIA!AG485+CARGA_DIARIA!AH485+CARGA_DIARIA!AI485)/CARGA_DIARIA!B485+CARGA_DIARIA!AE485))</f>
        <v/>
      </c>
      <c r="D485" s="10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10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13" t="s">
        <v>64</v>
      </c>
      <c r="G485" s="13" t="s">
        <v>64</v>
      </c>
      <c r="H485" s="12" t="str">
        <f>IF(CARGA_DIARIA!A485="","",C485-D485-E485)</f>
        <v/>
      </c>
    </row>
    <row r="486" spans="1:8" ht="15.75" customHeight="1" x14ac:dyDescent="0.25">
      <c r="A486" s="7" t="str">
        <f>IF(CARGA_DIARIA!A486="","",CARGA_DIARIA!A486)</f>
        <v/>
      </c>
      <c r="B486" s="8" t="str">
        <f>IF(CARGA_DIARIA!A486="","",CARGA_DIARIA!B486)</f>
        <v/>
      </c>
      <c r="C486" s="9" t="str">
        <f>IF(CARGA_DIARIA!A486="","",IF(CARGA_DIARIA!B486=0,0,(CARGA_DIARIA!C486+CARGA_DIARIA!D486+CARGA_DIARIA!E486+CARGA_DIARIA!F486+CARGA_DIARIA!G486+CARGA_DIARIA!H486+CARGA_DIARIA!I486+CARGA_DIARIA!AF486+CARGA_DIARIA!AG486+CARGA_DIARIA!AH486+CARGA_DIARIA!AI486)/CARGA_DIARIA!B486+CARGA_DIARIA!AE486))</f>
        <v/>
      </c>
      <c r="D486" s="10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10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13" t="s">
        <v>64</v>
      </c>
      <c r="G486" s="13" t="s">
        <v>64</v>
      </c>
      <c r="H486" s="12" t="str">
        <f>IF(CARGA_DIARIA!A486="","",C486-D486-E486)</f>
        <v/>
      </c>
    </row>
    <row r="487" spans="1:8" ht="15.75" customHeight="1" x14ac:dyDescent="0.25">
      <c r="A487" s="7" t="str">
        <f>IF(CARGA_DIARIA!A487="","",CARGA_DIARIA!A487)</f>
        <v/>
      </c>
      <c r="B487" s="8" t="str">
        <f>IF(CARGA_DIARIA!A487="","",CARGA_DIARIA!B487)</f>
        <v/>
      </c>
      <c r="C487" s="9" t="str">
        <f>IF(CARGA_DIARIA!A487="","",IF(CARGA_DIARIA!B487=0,0,(CARGA_DIARIA!C487+CARGA_DIARIA!D487+CARGA_DIARIA!E487+CARGA_DIARIA!F487+CARGA_DIARIA!G487+CARGA_DIARIA!H487+CARGA_DIARIA!I487+CARGA_DIARIA!AF487+CARGA_DIARIA!AG487+CARGA_DIARIA!AH487+CARGA_DIARIA!AI487)/CARGA_DIARIA!B487+CARGA_DIARIA!AE487))</f>
        <v/>
      </c>
      <c r="D487" s="10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10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13" t="s">
        <v>64</v>
      </c>
      <c r="G487" s="13" t="s">
        <v>64</v>
      </c>
      <c r="H487" s="12" t="str">
        <f>IF(CARGA_DIARIA!A487="","",C487-D487-E487)</f>
        <v/>
      </c>
    </row>
    <row r="488" spans="1:8" ht="15.75" customHeight="1" x14ac:dyDescent="0.25">
      <c r="A488" s="7" t="str">
        <f>IF(CARGA_DIARIA!A488="","",CARGA_DIARIA!A488)</f>
        <v/>
      </c>
      <c r="B488" s="8" t="str">
        <f>IF(CARGA_DIARIA!A488="","",CARGA_DIARIA!B488)</f>
        <v/>
      </c>
      <c r="C488" s="9" t="str">
        <f>IF(CARGA_DIARIA!A488="","",IF(CARGA_DIARIA!B488=0,0,(CARGA_DIARIA!C488+CARGA_DIARIA!D488+CARGA_DIARIA!E488+CARGA_DIARIA!F488+CARGA_DIARIA!G488+CARGA_DIARIA!H488+CARGA_DIARIA!I488+CARGA_DIARIA!AF488+CARGA_DIARIA!AG488+CARGA_DIARIA!AH488+CARGA_DIARIA!AI488)/CARGA_DIARIA!B488+CARGA_DIARIA!AE488))</f>
        <v/>
      </c>
      <c r="D488" s="10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10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13" t="s">
        <v>64</v>
      </c>
      <c r="G488" s="13" t="s">
        <v>64</v>
      </c>
      <c r="H488" s="12" t="str">
        <f>IF(CARGA_DIARIA!A488="","",C488-D488-E488)</f>
        <v/>
      </c>
    </row>
    <row r="489" spans="1:8" ht="15.75" customHeight="1" x14ac:dyDescent="0.25">
      <c r="A489" s="7" t="str">
        <f>IF(CARGA_DIARIA!A489="","",CARGA_DIARIA!A489)</f>
        <v/>
      </c>
      <c r="B489" s="8" t="str">
        <f>IF(CARGA_DIARIA!A489="","",CARGA_DIARIA!B489)</f>
        <v/>
      </c>
      <c r="C489" s="9" t="str">
        <f>IF(CARGA_DIARIA!A489="","",IF(CARGA_DIARIA!B489=0,0,(CARGA_DIARIA!C489+CARGA_DIARIA!D489+CARGA_DIARIA!E489+CARGA_DIARIA!F489+CARGA_DIARIA!G489+CARGA_DIARIA!H489+CARGA_DIARIA!I489+CARGA_DIARIA!AF489+CARGA_DIARIA!AG489+CARGA_DIARIA!AH489+CARGA_DIARIA!AI489)/CARGA_DIARIA!B489+CARGA_DIARIA!AE489))</f>
        <v/>
      </c>
      <c r="D489" s="10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10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13" t="s">
        <v>64</v>
      </c>
      <c r="G489" s="13" t="s">
        <v>64</v>
      </c>
      <c r="H489" s="12" t="str">
        <f>IF(CARGA_DIARIA!A489="","",C489-D489-E489)</f>
        <v/>
      </c>
    </row>
    <row r="490" spans="1:8" ht="15.75" customHeight="1" x14ac:dyDescent="0.25">
      <c r="A490" s="7" t="str">
        <f>IF(CARGA_DIARIA!A490="","",CARGA_DIARIA!A490)</f>
        <v/>
      </c>
      <c r="B490" s="8" t="str">
        <f>IF(CARGA_DIARIA!A490="","",CARGA_DIARIA!B490)</f>
        <v/>
      </c>
      <c r="C490" s="9" t="str">
        <f>IF(CARGA_DIARIA!A490="","",IF(CARGA_DIARIA!B490=0,0,(CARGA_DIARIA!C490+CARGA_DIARIA!D490+CARGA_DIARIA!E490+CARGA_DIARIA!F490+CARGA_DIARIA!G490+CARGA_DIARIA!H490+CARGA_DIARIA!I490+CARGA_DIARIA!AF490+CARGA_DIARIA!AG490+CARGA_DIARIA!AH490+CARGA_DIARIA!AI490)/CARGA_DIARIA!B490+CARGA_DIARIA!AE490))</f>
        <v/>
      </c>
      <c r="D490" s="10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10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13" t="s">
        <v>64</v>
      </c>
      <c r="G490" s="13" t="s">
        <v>64</v>
      </c>
      <c r="H490" s="12" t="str">
        <f>IF(CARGA_DIARIA!A490="","",C490-D490-E490)</f>
        <v/>
      </c>
    </row>
    <row r="491" spans="1:8" ht="15.75" customHeight="1" x14ac:dyDescent="0.25">
      <c r="A491" s="7" t="str">
        <f>IF(CARGA_DIARIA!A491="","",CARGA_DIARIA!A491)</f>
        <v/>
      </c>
      <c r="B491" s="8" t="str">
        <f>IF(CARGA_DIARIA!A491="","",CARGA_DIARIA!B491)</f>
        <v/>
      </c>
      <c r="C491" s="9" t="str">
        <f>IF(CARGA_DIARIA!A491="","",IF(CARGA_DIARIA!B491=0,0,(CARGA_DIARIA!C491+CARGA_DIARIA!D491+CARGA_DIARIA!E491+CARGA_DIARIA!F491+CARGA_DIARIA!G491+CARGA_DIARIA!H491+CARGA_DIARIA!I491+CARGA_DIARIA!AF491+CARGA_DIARIA!AG491+CARGA_DIARIA!AH491+CARGA_DIARIA!AI491)/CARGA_DIARIA!B491+CARGA_DIARIA!AE491))</f>
        <v/>
      </c>
      <c r="D491" s="10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10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13" t="s">
        <v>64</v>
      </c>
      <c r="G491" s="13" t="s">
        <v>64</v>
      </c>
      <c r="H491" s="12" t="str">
        <f>IF(CARGA_DIARIA!A491="","",C491-D491-E491)</f>
        <v/>
      </c>
    </row>
    <row r="492" spans="1:8" ht="15.75" customHeight="1" x14ac:dyDescent="0.25">
      <c r="A492" s="7" t="str">
        <f>IF(CARGA_DIARIA!A492="","",CARGA_DIARIA!A492)</f>
        <v/>
      </c>
      <c r="B492" s="8" t="str">
        <f>IF(CARGA_DIARIA!A492="","",CARGA_DIARIA!B492)</f>
        <v/>
      </c>
      <c r="C492" s="9" t="str">
        <f>IF(CARGA_DIARIA!A492="","",IF(CARGA_DIARIA!B492=0,0,(CARGA_DIARIA!C492+CARGA_DIARIA!D492+CARGA_DIARIA!E492+CARGA_DIARIA!F492+CARGA_DIARIA!G492+CARGA_DIARIA!H492+CARGA_DIARIA!I492+CARGA_DIARIA!AF492+CARGA_DIARIA!AG492+CARGA_DIARIA!AH492+CARGA_DIARIA!AI492)/CARGA_DIARIA!B492+CARGA_DIARIA!AE492))</f>
        <v/>
      </c>
      <c r="D492" s="10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10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13" t="s">
        <v>64</v>
      </c>
      <c r="G492" s="13" t="s">
        <v>64</v>
      </c>
      <c r="H492" s="12" t="str">
        <f>IF(CARGA_DIARIA!A492="","",C492-D492-E492)</f>
        <v/>
      </c>
    </row>
    <row r="493" spans="1:8" ht="15.75" customHeight="1" x14ac:dyDescent="0.25">
      <c r="A493" s="7" t="str">
        <f>IF(CARGA_DIARIA!A493="","",CARGA_DIARIA!A493)</f>
        <v/>
      </c>
      <c r="B493" s="8" t="str">
        <f>IF(CARGA_DIARIA!A493="","",CARGA_DIARIA!B493)</f>
        <v/>
      </c>
      <c r="C493" s="9" t="str">
        <f>IF(CARGA_DIARIA!A493="","",IF(CARGA_DIARIA!B493=0,0,(CARGA_DIARIA!C493+CARGA_DIARIA!D493+CARGA_DIARIA!E493+CARGA_DIARIA!F493+CARGA_DIARIA!G493+CARGA_DIARIA!H493+CARGA_DIARIA!I493+CARGA_DIARIA!AF493+CARGA_DIARIA!AG493+CARGA_DIARIA!AH493+CARGA_DIARIA!AI493)/CARGA_DIARIA!B493+CARGA_DIARIA!AE493))</f>
        <v/>
      </c>
      <c r="D493" s="10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10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13" t="s">
        <v>64</v>
      </c>
      <c r="G493" s="13" t="s">
        <v>64</v>
      </c>
      <c r="H493" s="12" t="str">
        <f>IF(CARGA_DIARIA!A493="","",C493-D493-E493)</f>
        <v/>
      </c>
    </row>
    <row r="494" spans="1:8" ht="15.75" customHeight="1" x14ac:dyDescent="0.25">
      <c r="A494" s="7" t="str">
        <f>IF(CARGA_DIARIA!A494="","",CARGA_DIARIA!A494)</f>
        <v/>
      </c>
      <c r="B494" s="8" t="str">
        <f>IF(CARGA_DIARIA!A494="","",CARGA_DIARIA!B494)</f>
        <v/>
      </c>
      <c r="C494" s="9" t="str">
        <f>IF(CARGA_DIARIA!A494="","",IF(CARGA_DIARIA!B494=0,0,(CARGA_DIARIA!C494+CARGA_DIARIA!D494+CARGA_DIARIA!E494+CARGA_DIARIA!F494+CARGA_DIARIA!G494+CARGA_DIARIA!H494+CARGA_DIARIA!I494+CARGA_DIARIA!AF494+CARGA_DIARIA!AG494+CARGA_DIARIA!AH494+CARGA_DIARIA!AI494)/CARGA_DIARIA!B494+CARGA_DIARIA!AE494))</f>
        <v/>
      </c>
      <c r="D494" s="10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10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13" t="s">
        <v>64</v>
      </c>
      <c r="G494" s="13" t="s">
        <v>64</v>
      </c>
      <c r="H494" s="12" t="str">
        <f>IF(CARGA_DIARIA!A494="","",C494-D494-E494)</f>
        <v/>
      </c>
    </row>
    <row r="495" spans="1:8" ht="15.75" customHeight="1" x14ac:dyDescent="0.25">
      <c r="A495" s="7" t="str">
        <f>IF(CARGA_DIARIA!A495="","",CARGA_DIARIA!A495)</f>
        <v/>
      </c>
      <c r="B495" s="8" t="str">
        <f>IF(CARGA_DIARIA!A495="","",CARGA_DIARIA!B495)</f>
        <v/>
      </c>
      <c r="C495" s="9" t="str">
        <f>IF(CARGA_DIARIA!A495="","",IF(CARGA_DIARIA!B495=0,0,(CARGA_DIARIA!C495+CARGA_DIARIA!D495+CARGA_DIARIA!E495+CARGA_DIARIA!F495+CARGA_DIARIA!G495+CARGA_DIARIA!H495+CARGA_DIARIA!I495+CARGA_DIARIA!AF495+CARGA_DIARIA!AG495+CARGA_DIARIA!AH495+CARGA_DIARIA!AI495)/CARGA_DIARIA!B495+CARGA_DIARIA!AE495))</f>
        <v/>
      </c>
      <c r="D495" s="10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10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13" t="s">
        <v>64</v>
      </c>
      <c r="G495" s="13" t="s">
        <v>64</v>
      </c>
      <c r="H495" s="12" t="str">
        <f>IF(CARGA_DIARIA!A495="","",C495-D495-E495)</f>
        <v/>
      </c>
    </row>
    <row r="496" spans="1:8" ht="15.75" customHeight="1" x14ac:dyDescent="0.25">
      <c r="A496" s="7" t="str">
        <f>IF(CARGA_DIARIA!A496="","",CARGA_DIARIA!A496)</f>
        <v/>
      </c>
      <c r="B496" s="8" t="str">
        <f>IF(CARGA_DIARIA!A496="","",CARGA_DIARIA!B496)</f>
        <v/>
      </c>
      <c r="C496" s="9" t="str">
        <f>IF(CARGA_DIARIA!A496="","",IF(CARGA_DIARIA!B496=0,0,(CARGA_DIARIA!C496+CARGA_DIARIA!D496+CARGA_DIARIA!E496+CARGA_DIARIA!F496+CARGA_DIARIA!G496+CARGA_DIARIA!H496+CARGA_DIARIA!I496+CARGA_DIARIA!AF496+CARGA_DIARIA!AG496+CARGA_DIARIA!AH496+CARGA_DIARIA!AI496)/CARGA_DIARIA!B496+CARGA_DIARIA!AE496))</f>
        <v/>
      </c>
      <c r="D496" s="10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10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13" t="s">
        <v>64</v>
      </c>
      <c r="G496" s="13" t="s">
        <v>64</v>
      </c>
      <c r="H496" s="12" t="str">
        <f>IF(CARGA_DIARIA!A496="","",C496-D496-E496)</f>
        <v/>
      </c>
    </row>
    <row r="497" spans="1:8" ht="15.75" customHeight="1" x14ac:dyDescent="0.25">
      <c r="A497" s="7" t="str">
        <f>IF(CARGA_DIARIA!A497="","",CARGA_DIARIA!A497)</f>
        <v/>
      </c>
      <c r="B497" s="8" t="str">
        <f>IF(CARGA_DIARIA!A497="","",CARGA_DIARIA!B497)</f>
        <v/>
      </c>
      <c r="C497" s="9" t="str">
        <f>IF(CARGA_DIARIA!A497="","",IF(CARGA_DIARIA!B497=0,0,(CARGA_DIARIA!C497+CARGA_DIARIA!D497+CARGA_DIARIA!E497+CARGA_DIARIA!F497+CARGA_DIARIA!G497+CARGA_DIARIA!H497+CARGA_DIARIA!I497+CARGA_DIARIA!AF497+CARGA_DIARIA!AG497+CARGA_DIARIA!AH497+CARGA_DIARIA!AI497)/CARGA_DIARIA!B497+CARGA_DIARIA!AE497))</f>
        <v/>
      </c>
      <c r="D497" s="10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10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13" t="s">
        <v>64</v>
      </c>
      <c r="G497" s="13" t="s">
        <v>64</v>
      </c>
      <c r="H497" s="12" t="str">
        <f>IF(CARGA_DIARIA!A497="","",C497-D497-E497)</f>
        <v/>
      </c>
    </row>
    <row r="498" spans="1:8" ht="15.75" customHeight="1" x14ac:dyDescent="0.25">
      <c r="A498" s="7" t="str">
        <f>IF(CARGA_DIARIA!A498="","",CARGA_DIARIA!A498)</f>
        <v/>
      </c>
      <c r="B498" s="8" t="str">
        <f>IF(CARGA_DIARIA!A498="","",CARGA_DIARIA!B498)</f>
        <v/>
      </c>
      <c r="C498" s="9" t="str">
        <f>IF(CARGA_DIARIA!A498="","",IF(CARGA_DIARIA!B498=0,0,(CARGA_DIARIA!C498+CARGA_DIARIA!D498+CARGA_DIARIA!E498+CARGA_DIARIA!F498+CARGA_DIARIA!G498+CARGA_DIARIA!H498+CARGA_DIARIA!I498+CARGA_DIARIA!AF498+CARGA_DIARIA!AG498+CARGA_DIARIA!AH498+CARGA_DIARIA!AI498)/CARGA_DIARIA!B498+CARGA_DIARIA!AE498))</f>
        <v/>
      </c>
      <c r="D498" s="10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10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13" t="s">
        <v>64</v>
      </c>
      <c r="G498" s="13" t="s">
        <v>64</v>
      </c>
      <c r="H498" s="12" t="str">
        <f>IF(CARGA_DIARIA!A498="","",C498-D498-E498)</f>
        <v/>
      </c>
    </row>
    <row r="499" spans="1:8" ht="15.75" customHeight="1" x14ac:dyDescent="0.25">
      <c r="A499" s="7" t="str">
        <f>IF(CARGA_DIARIA!A499="","",CARGA_DIARIA!A499)</f>
        <v/>
      </c>
      <c r="B499" s="8" t="str">
        <f>IF(CARGA_DIARIA!A499="","",CARGA_DIARIA!B499)</f>
        <v/>
      </c>
      <c r="C499" s="9" t="str">
        <f>IF(CARGA_DIARIA!A499="","",IF(CARGA_DIARIA!B499=0,0,(CARGA_DIARIA!C499+CARGA_DIARIA!D499+CARGA_DIARIA!E499+CARGA_DIARIA!F499+CARGA_DIARIA!G499+CARGA_DIARIA!H499+CARGA_DIARIA!I499+CARGA_DIARIA!AF499+CARGA_DIARIA!AG499+CARGA_DIARIA!AH499+CARGA_DIARIA!AI499)/CARGA_DIARIA!B499+CARGA_DIARIA!AE499))</f>
        <v/>
      </c>
      <c r="D499" s="10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10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13" t="s">
        <v>64</v>
      </c>
      <c r="G499" s="13" t="s">
        <v>64</v>
      </c>
      <c r="H499" s="12" t="str">
        <f>IF(CARGA_DIARIA!A499="","",C499-D499-E499)</f>
        <v/>
      </c>
    </row>
    <row r="500" spans="1:8" ht="15.75" customHeight="1" x14ac:dyDescent="0.25">
      <c r="A500" s="7" t="str">
        <f>IF(CARGA_DIARIA!A500="","",CARGA_DIARIA!A500)</f>
        <v/>
      </c>
      <c r="B500" s="8" t="str">
        <f>IF(CARGA_DIARIA!A500="","",CARGA_DIARIA!B500)</f>
        <v/>
      </c>
      <c r="C500" s="9" t="str">
        <f>IF(CARGA_DIARIA!A500="","",IF(CARGA_DIARIA!B500=0,0,(CARGA_DIARIA!C500+CARGA_DIARIA!D500+CARGA_DIARIA!E500+CARGA_DIARIA!F500+CARGA_DIARIA!G500+CARGA_DIARIA!H500+CARGA_DIARIA!I500+CARGA_DIARIA!AF500+CARGA_DIARIA!AG500+CARGA_DIARIA!AH500+CARGA_DIARIA!AI500)/CARGA_DIARIA!B500+CARGA_DIARIA!AE500))</f>
        <v/>
      </c>
      <c r="D500" s="10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10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13" t="s">
        <v>64</v>
      </c>
      <c r="G500" s="13" t="s">
        <v>64</v>
      </c>
      <c r="H500" s="12" t="str">
        <f>IF(CARGA_DIARIA!A500="","",C500-D500-E500)</f>
        <v/>
      </c>
    </row>
    <row r="501" spans="1:8" ht="15.75" customHeight="1" x14ac:dyDescent="0.25">
      <c r="A501" s="7" t="str">
        <f>IF(CARGA_DIARIA!A501="","",CARGA_DIARIA!A501)</f>
        <v/>
      </c>
      <c r="B501" s="8" t="str">
        <f>IF(CARGA_DIARIA!A501="","",CARGA_DIARIA!B501)</f>
        <v/>
      </c>
      <c r="C501" s="9" t="str">
        <f>IF(CARGA_DIARIA!A501="","",IF(CARGA_DIARIA!B501=0,0,(CARGA_DIARIA!C501+CARGA_DIARIA!D501+CARGA_DIARIA!E501+CARGA_DIARIA!F501+CARGA_DIARIA!G501+CARGA_DIARIA!H501+CARGA_DIARIA!I501+CARGA_DIARIA!AF501+CARGA_DIARIA!AG501+CARGA_DIARIA!AH501+CARGA_DIARIA!AI501)/CARGA_DIARIA!B501+CARGA_DIARIA!AE501))</f>
        <v/>
      </c>
      <c r="D501" s="10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10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13" t="s">
        <v>64</v>
      </c>
      <c r="G501" s="13" t="s">
        <v>64</v>
      </c>
      <c r="H501" s="12" t="str">
        <f>IF(CARGA_DIARIA!A501="","",C501-D501-E501)</f>
        <v/>
      </c>
    </row>
    <row r="502" spans="1:8" ht="15.75" customHeight="1" x14ac:dyDescent="0.25">
      <c r="A502" s="7" t="str">
        <f>IF(CARGA_DIARIA!A502="","",CARGA_DIARIA!A502)</f>
        <v/>
      </c>
      <c r="B502" s="8" t="str">
        <f>IF(CARGA_DIARIA!A502="","",CARGA_DIARIA!B502)</f>
        <v/>
      </c>
      <c r="C502" s="9" t="str">
        <f>IF(CARGA_DIARIA!A502="","",IF(CARGA_DIARIA!B502=0,0,(CARGA_DIARIA!C502+CARGA_DIARIA!D502+CARGA_DIARIA!E502+CARGA_DIARIA!F502+CARGA_DIARIA!G502+CARGA_DIARIA!H502+CARGA_DIARIA!I502+CARGA_DIARIA!AF502+CARGA_DIARIA!AG502+CARGA_DIARIA!AH502+CARGA_DIARIA!AI502)/CARGA_DIARIA!B502+CARGA_DIARIA!AE502))</f>
        <v/>
      </c>
      <c r="D502" s="10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10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13" t="s">
        <v>64</v>
      </c>
      <c r="G502" s="13" t="s">
        <v>64</v>
      </c>
      <c r="H502" s="12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49" t="s">
        <v>65</v>
      </c>
      <c r="B1" s="49"/>
      <c r="C1" s="49"/>
      <c r="D1" s="49"/>
      <c r="E1" s="49"/>
      <c r="F1" s="49"/>
      <c r="G1" s="49"/>
    </row>
    <row r="2" spans="1:7" ht="15.75" customHeight="1" x14ac:dyDescent="0.25">
      <c r="A2" s="58" t="s">
        <v>66</v>
      </c>
      <c r="B2" s="58"/>
      <c r="C2" s="58"/>
      <c r="D2" s="58"/>
      <c r="E2" s="58"/>
      <c r="F2" s="58"/>
      <c r="G2" s="58"/>
    </row>
    <row r="3" spans="1:7" ht="21.75" customHeight="1" x14ac:dyDescent="0.25">
      <c r="A3" s="5" t="s">
        <v>56</v>
      </c>
      <c r="B3" s="5" t="s">
        <v>67</v>
      </c>
      <c r="C3" s="5" t="s">
        <v>68</v>
      </c>
      <c r="D3" s="5" t="s">
        <v>69</v>
      </c>
      <c r="E3" s="5" t="s">
        <v>70</v>
      </c>
      <c r="F3" s="5" t="s">
        <v>71</v>
      </c>
      <c r="G3" s="5" t="s">
        <v>72</v>
      </c>
    </row>
    <row r="4" spans="1:7" ht="15.75" customHeight="1" x14ac:dyDescent="0.25">
      <c r="A4" s="14">
        <v>46148</v>
      </c>
      <c r="B4" s="15" t="s">
        <v>73</v>
      </c>
      <c r="C4" s="16" t="s">
        <v>74</v>
      </c>
      <c r="D4" s="17">
        <v>42000000</v>
      </c>
      <c r="E4" s="18">
        <v>1197</v>
      </c>
      <c r="F4" s="19">
        <f t="shared" ref="F4:F12" si="0">IFERROR(D4/E4,0)</f>
        <v>35087.719298245611</v>
      </c>
      <c r="G4" s="20" t="s">
        <v>75</v>
      </c>
    </row>
    <row r="5" spans="1:7" ht="15.75" customHeight="1" x14ac:dyDescent="0.25">
      <c r="A5" s="14">
        <v>46149</v>
      </c>
      <c r="B5" s="21" t="s">
        <v>76</v>
      </c>
      <c r="C5" s="16" t="s">
        <v>77</v>
      </c>
      <c r="D5" s="17">
        <v>87000000</v>
      </c>
      <c r="E5" s="18">
        <v>1197</v>
      </c>
      <c r="F5" s="22">
        <f t="shared" si="0"/>
        <v>72681.704260651633</v>
      </c>
      <c r="G5" s="20" t="s">
        <v>75</v>
      </c>
    </row>
    <row r="6" spans="1:7" ht="15.75" customHeight="1" x14ac:dyDescent="0.25">
      <c r="A6" s="14">
        <v>46150</v>
      </c>
      <c r="B6" s="15" t="s">
        <v>73</v>
      </c>
      <c r="C6" s="16" t="s">
        <v>78</v>
      </c>
      <c r="D6" s="17">
        <v>65000000</v>
      </c>
      <c r="E6" s="18">
        <v>1197</v>
      </c>
      <c r="F6" s="19">
        <f t="shared" si="0"/>
        <v>54302.422723475356</v>
      </c>
      <c r="G6" s="20" t="s">
        <v>75</v>
      </c>
    </row>
    <row r="7" spans="1:7" ht="15.75" customHeight="1" x14ac:dyDescent="0.25">
      <c r="A7" s="14">
        <v>46151</v>
      </c>
      <c r="B7" s="21" t="s">
        <v>76</v>
      </c>
      <c r="C7" s="16" t="s">
        <v>79</v>
      </c>
      <c r="D7" s="17">
        <v>48500000</v>
      </c>
      <c r="E7" s="18">
        <v>1197</v>
      </c>
      <c r="F7" s="22">
        <f t="shared" si="0"/>
        <v>40517.96157059315</v>
      </c>
      <c r="G7" s="20" t="s">
        <v>75</v>
      </c>
    </row>
    <row r="8" spans="1:7" ht="15.75" customHeight="1" x14ac:dyDescent="0.25">
      <c r="A8" s="14">
        <v>46152</v>
      </c>
      <c r="B8" s="15" t="s">
        <v>73</v>
      </c>
      <c r="C8" s="16" t="s">
        <v>80</v>
      </c>
      <c r="D8" s="17">
        <v>113715000</v>
      </c>
      <c r="E8" s="18">
        <v>1197</v>
      </c>
      <c r="F8" s="19">
        <f t="shared" si="0"/>
        <v>95000</v>
      </c>
      <c r="G8" s="20" t="s">
        <v>75</v>
      </c>
    </row>
    <row r="9" spans="1:7" ht="15.75" customHeight="1" x14ac:dyDescent="0.25">
      <c r="A9" s="14">
        <v>46152</v>
      </c>
      <c r="B9" s="21" t="s">
        <v>76</v>
      </c>
      <c r="C9" s="16" t="s">
        <v>81</v>
      </c>
      <c r="D9" s="17">
        <v>96000000</v>
      </c>
      <c r="E9" s="18">
        <v>1197</v>
      </c>
      <c r="F9" s="22">
        <f t="shared" si="0"/>
        <v>80200.501253132839</v>
      </c>
      <c r="G9" s="20" t="s">
        <v>75</v>
      </c>
    </row>
    <row r="10" spans="1:7" ht="15.75" customHeight="1" x14ac:dyDescent="0.25">
      <c r="A10" s="14">
        <v>46154</v>
      </c>
      <c r="B10" s="21" t="s">
        <v>76</v>
      </c>
      <c r="C10" s="16" t="s">
        <v>82</v>
      </c>
      <c r="D10" s="17">
        <v>23000000</v>
      </c>
      <c r="E10" s="18">
        <v>1197</v>
      </c>
      <c r="F10" s="22">
        <f t="shared" si="0"/>
        <v>19214.703425229742</v>
      </c>
      <c r="G10" s="20" t="s">
        <v>75</v>
      </c>
    </row>
    <row r="11" spans="1:7" ht="15.75" customHeight="1" x14ac:dyDescent="0.25">
      <c r="A11" s="14">
        <v>46157</v>
      </c>
      <c r="B11" s="15" t="s">
        <v>73</v>
      </c>
      <c r="C11" s="16" t="s">
        <v>83</v>
      </c>
      <c r="D11" s="17">
        <v>145000000</v>
      </c>
      <c r="E11" s="18">
        <v>1197</v>
      </c>
      <c r="F11" s="19">
        <f t="shared" si="0"/>
        <v>121136.17376775271</v>
      </c>
      <c r="G11" s="20" t="s">
        <v>75</v>
      </c>
    </row>
    <row r="12" spans="1:7" ht="15.75" customHeight="1" x14ac:dyDescent="0.25">
      <c r="A12" s="14">
        <v>46162</v>
      </c>
      <c r="B12" s="21" t="s">
        <v>76</v>
      </c>
      <c r="C12" s="16" t="s">
        <v>84</v>
      </c>
      <c r="D12" s="17">
        <v>95760000</v>
      </c>
      <c r="E12" s="18">
        <v>1197</v>
      </c>
      <c r="F12" s="22">
        <f t="shared" si="0"/>
        <v>80000</v>
      </c>
      <c r="G12" s="20" t="s">
        <v>75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49" t="s">
        <v>85</v>
      </c>
      <c r="B1" s="49"/>
      <c r="C1" s="49"/>
      <c r="D1" s="49"/>
      <c r="E1" s="49"/>
      <c r="F1" s="49"/>
    </row>
    <row r="2" spans="1:6" ht="21.75" customHeight="1" x14ac:dyDescent="0.25">
      <c r="A2" s="5" t="s">
        <v>56</v>
      </c>
      <c r="B2" s="5" t="s">
        <v>57</v>
      </c>
      <c r="C2" s="5" t="s">
        <v>86</v>
      </c>
      <c r="D2" s="5" t="s">
        <v>87</v>
      </c>
      <c r="E2" s="5" t="s">
        <v>88</v>
      </c>
      <c r="F2" s="5" t="s">
        <v>89</v>
      </c>
    </row>
    <row r="3" spans="1:6" ht="15.75" customHeight="1" x14ac:dyDescent="0.25">
      <c r="A3" s="23">
        <v>46140</v>
      </c>
      <c r="B3" s="24">
        <v>1194</v>
      </c>
      <c r="C3" s="25">
        <v>285000</v>
      </c>
      <c r="D3" s="25">
        <v>140000</v>
      </c>
      <c r="E3" s="26">
        <f>C3+D3</f>
        <v>425000</v>
      </c>
      <c r="F3" s="25">
        <v>87000</v>
      </c>
    </row>
    <row r="4" spans="1:6" ht="15.75" customHeight="1" x14ac:dyDescent="0.25">
      <c r="A4" s="23">
        <v>46141</v>
      </c>
      <c r="B4" s="24">
        <v>1196</v>
      </c>
      <c r="C4" s="25">
        <v>268000</v>
      </c>
      <c r="D4" s="25">
        <v>135000</v>
      </c>
      <c r="E4" s="26">
        <f>C4+D4</f>
        <v>403000</v>
      </c>
      <c r="F4" s="25">
        <v>72000</v>
      </c>
    </row>
    <row r="5" spans="1:6" ht="15.75" customHeight="1" x14ac:dyDescent="0.25">
      <c r="A5" s="23">
        <v>46142</v>
      </c>
      <c r="B5" s="24">
        <v>1197</v>
      </c>
      <c r="C5" s="25">
        <v>301000</v>
      </c>
      <c r="D5" s="25">
        <v>148000</v>
      </c>
      <c r="E5" s="26">
        <f>C5+D5</f>
        <v>449000</v>
      </c>
      <c r="F5" s="25">
        <v>95000</v>
      </c>
    </row>
    <row r="6" spans="1:6" ht="15.75" customHeight="1" x14ac:dyDescent="0.25">
      <c r="A6" s="23">
        <v>46144</v>
      </c>
      <c r="B6" s="24">
        <v>1198.5</v>
      </c>
      <c r="C6" s="25">
        <v>275000</v>
      </c>
      <c r="D6" s="25">
        <v>128000</v>
      </c>
      <c r="E6" s="26">
        <f>C6+D6</f>
        <v>403000</v>
      </c>
      <c r="F6" s="25">
        <v>68000</v>
      </c>
    </row>
    <row r="7" spans="1:6" ht="15.75" customHeight="1" x14ac:dyDescent="0.25">
      <c r="A7" s="23">
        <v>46147</v>
      </c>
      <c r="B7" s="24">
        <v>1197</v>
      </c>
      <c r="C7" s="25">
        <v>285000</v>
      </c>
      <c r="D7" s="25">
        <v>140000</v>
      </c>
      <c r="E7" s="26">
        <f>C7+D7</f>
        <v>425000</v>
      </c>
      <c r="F7" s="25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49" t="s">
        <v>90</v>
      </c>
      <c r="B1" s="49"/>
      <c r="C1" s="49"/>
      <c r="D1" s="49"/>
      <c r="E1" s="49"/>
      <c r="F1" s="49"/>
      <c r="G1" s="49"/>
      <c r="H1" s="49"/>
    </row>
    <row r="2" spans="1:9" ht="21.75" customHeight="1" x14ac:dyDescent="0.25">
      <c r="A2" s="5" t="s">
        <v>91</v>
      </c>
      <c r="B2" s="5" t="s">
        <v>92</v>
      </c>
      <c r="C2" s="5" t="s">
        <v>93</v>
      </c>
      <c r="D2" s="5" t="s">
        <v>94</v>
      </c>
      <c r="E2" s="5" t="s">
        <v>95</v>
      </c>
      <c r="F2" s="5" t="s">
        <v>71</v>
      </c>
      <c r="G2" s="5" t="s">
        <v>96</v>
      </c>
      <c r="H2" s="5" t="s">
        <v>97</v>
      </c>
      <c r="I2" s="5" t="s">
        <v>72</v>
      </c>
    </row>
    <row r="3" spans="1:9" ht="15.75" customHeight="1" x14ac:dyDescent="0.25">
      <c r="A3" s="27" t="s">
        <v>98</v>
      </c>
      <c r="B3" s="27" t="s">
        <v>99</v>
      </c>
      <c r="C3" s="23">
        <v>46096</v>
      </c>
      <c r="D3" s="23">
        <v>46157</v>
      </c>
      <c r="E3" s="28">
        <f ca="1">IFERROR(D3-TODAY(),"")</f>
        <v>8</v>
      </c>
      <c r="F3" s="25">
        <v>320000</v>
      </c>
      <c r="G3" s="24">
        <v>1197</v>
      </c>
      <c r="H3" s="9">
        <f>IFERROR(F3*G3,0)</f>
        <v>383040000</v>
      </c>
      <c r="I3" s="27" t="s">
        <v>75</v>
      </c>
    </row>
    <row r="4" spans="1:9" ht="15.75" customHeight="1" x14ac:dyDescent="0.25">
      <c r="A4" s="27" t="s">
        <v>100</v>
      </c>
      <c r="B4" s="27" t="s">
        <v>101</v>
      </c>
      <c r="C4" s="23">
        <v>46113</v>
      </c>
      <c r="D4" s="23">
        <v>46172</v>
      </c>
      <c r="E4" s="28">
        <f ca="1">IFERROR(D4-TODAY(),"")</f>
        <v>23</v>
      </c>
      <c r="F4" s="25">
        <v>185000</v>
      </c>
      <c r="G4" s="24">
        <v>1197</v>
      </c>
      <c r="H4" s="9">
        <f>IFERROR(F4*G4,0)</f>
        <v>221445000</v>
      </c>
      <c r="I4" s="27" t="s">
        <v>75</v>
      </c>
    </row>
    <row r="5" spans="1:9" ht="15.75" customHeight="1" x14ac:dyDescent="0.25">
      <c r="A5" s="27" t="s">
        <v>102</v>
      </c>
      <c r="B5" s="27" t="s">
        <v>103</v>
      </c>
      <c r="C5" s="23">
        <v>46122</v>
      </c>
      <c r="D5" s="23">
        <v>46183</v>
      </c>
      <c r="E5" s="28">
        <f ca="1">IFERROR(D5-TODAY(),"")</f>
        <v>34</v>
      </c>
      <c r="F5" s="25">
        <v>240000</v>
      </c>
      <c r="G5" s="24">
        <v>1197</v>
      </c>
      <c r="H5" s="9">
        <f>IFERROR(F5*G5,0)</f>
        <v>287280000</v>
      </c>
      <c r="I5" s="27" t="s">
        <v>75</v>
      </c>
    </row>
    <row r="6" spans="1:9" ht="15.75" customHeight="1" x14ac:dyDescent="0.25">
      <c r="A6" s="27" t="s">
        <v>104</v>
      </c>
      <c r="B6" s="27" t="s">
        <v>105</v>
      </c>
      <c r="C6" s="23">
        <v>46132</v>
      </c>
      <c r="D6" s="23">
        <v>46193</v>
      </c>
      <c r="E6" s="28">
        <f ca="1">IFERROR(D6-TODAY(),"")</f>
        <v>44</v>
      </c>
      <c r="F6" s="25">
        <v>495000</v>
      </c>
      <c r="G6" s="24">
        <v>1197</v>
      </c>
      <c r="H6" s="9">
        <f>IFERROR(F6*G6,0)</f>
        <v>592515000</v>
      </c>
      <c r="I6" s="27" t="s">
        <v>75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503"/>
  <sheetViews>
    <sheetView showGridLines="0" topLeftCell="A3" zoomScaleNormal="100" workbookViewId="0">
      <pane ySplit="1" topLeftCell="A72" activePane="bottomLeft" state="frozen"/>
      <selection activeCell="A3" sqref="A3"/>
      <selection pane="bottomLeft" activeCell="B83" sqref="B8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9" width="11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49" t="s">
        <v>106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37" ht="21.75" hidden="1" customHeight="1" x14ac:dyDescent="0.25">
      <c r="A2" s="29" t="s">
        <v>107</v>
      </c>
      <c r="B2" s="29" t="s">
        <v>108</v>
      </c>
      <c r="C2" s="50" t="s">
        <v>109</v>
      </c>
      <c r="D2" s="50"/>
      <c r="E2" s="50"/>
      <c r="F2" s="50"/>
      <c r="G2" s="50"/>
      <c r="H2" s="50"/>
      <c r="I2" s="50"/>
      <c r="J2" s="51" t="s">
        <v>110</v>
      </c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2" t="s">
        <v>111</v>
      </c>
      <c r="X2" s="52"/>
      <c r="Y2" s="52"/>
      <c r="Z2" s="52"/>
      <c r="AA2" s="52"/>
      <c r="AB2" s="52"/>
      <c r="AC2" s="52"/>
      <c r="AD2" s="52"/>
      <c r="AE2" s="52"/>
      <c r="AF2" s="1"/>
      <c r="AG2" s="53"/>
      <c r="AH2" s="53"/>
      <c r="AI2" s="53"/>
      <c r="AJ2" s="53"/>
    </row>
    <row r="3" spans="1:37" ht="36" customHeight="1" x14ac:dyDescent="0.25">
      <c r="A3" s="30" t="s">
        <v>56</v>
      </c>
      <c r="B3" s="30" t="s">
        <v>112</v>
      </c>
      <c r="C3" s="31" t="s">
        <v>113</v>
      </c>
      <c r="D3" s="31" t="s">
        <v>114</v>
      </c>
      <c r="E3" s="31" t="s">
        <v>115</v>
      </c>
      <c r="F3" s="31" t="s">
        <v>116</v>
      </c>
      <c r="G3" s="31" t="s">
        <v>117</v>
      </c>
      <c r="H3" s="31" t="s">
        <v>118</v>
      </c>
      <c r="I3" s="31" t="s">
        <v>119</v>
      </c>
      <c r="J3" s="32" t="s">
        <v>120</v>
      </c>
      <c r="K3" s="32" t="s">
        <v>121</v>
      </c>
      <c r="L3" s="32" t="s">
        <v>122</v>
      </c>
      <c r="M3" s="32" t="s">
        <v>123</v>
      </c>
      <c r="N3" s="32" t="s">
        <v>124</v>
      </c>
      <c r="O3" s="32" t="s">
        <v>125</v>
      </c>
      <c r="P3" s="32" t="s">
        <v>126</v>
      </c>
      <c r="Q3" s="32" t="s">
        <v>127</v>
      </c>
      <c r="R3" s="32" t="s">
        <v>128</v>
      </c>
      <c r="S3" s="32" t="s">
        <v>129</v>
      </c>
      <c r="T3" s="32" t="s">
        <v>130</v>
      </c>
      <c r="U3" s="32" t="s">
        <v>131</v>
      </c>
      <c r="V3" s="32" t="s">
        <v>132</v>
      </c>
      <c r="W3" s="33" t="s">
        <v>133</v>
      </c>
      <c r="X3" s="33" t="s">
        <v>134</v>
      </c>
      <c r="Y3" s="33" t="s">
        <v>135</v>
      </c>
      <c r="Z3" s="34" t="s">
        <v>136</v>
      </c>
      <c r="AA3" s="33" t="s">
        <v>137</v>
      </c>
      <c r="AB3" s="33" t="s">
        <v>138</v>
      </c>
      <c r="AC3" s="33" t="s">
        <v>139</v>
      </c>
      <c r="AD3" s="33" t="s">
        <v>140</v>
      </c>
      <c r="AE3" s="33" t="s">
        <v>141</v>
      </c>
      <c r="AF3" s="35" t="s">
        <v>142</v>
      </c>
      <c r="AG3" s="36" t="s">
        <v>143</v>
      </c>
      <c r="AH3" s="36" t="s">
        <v>144</v>
      </c>
      <c r="AI3" s="36" t="s">
        <v>145</v>
      </c>
      <c r="AJ3" s="36" t="s">
        <v>146</v>
      </c>
    </row>
    <row r="4" spans="1:37" ht="15.75" customHeight="1" x14ac:dyDescent="0.25">
      <c r="A4" s="14">
        <v>46029</v>
      </c>
      <c r="B4" s="37">
        <v>1463</v>
      </c>
      <c r="C4" s="38">
        <v>0</v>
      </c>
      <c r="D4" s="38">
        <v>147143953</v>
      </c>
      <c r="E4" s="38">
        <v>-17312000</v>
      </c>
      <c r="F4" s="38">
        <v>0</v>
      </c>
      <c r="G4" s="38">
        <v>5368000</v>
      </c>
      <c r="H4" s="38">
        <v>6913000</v>
      </c>
      <c r="I4" s="38">
        <v>984848664</v>
      </c>
      <c r="J4" s="38">
        <v>93118000</v>
      </c>
      <c r="K4" s="38">
        <v>0</v>
      </c>
      <c r="L4" s="38">
        <v>0</v>
      </c>
      <c r="M4" s="38">
        <v>0</v>
      </c>
      <c r="N4" s="38">
        <v>0</v>
      </c>
      <c r="O4" s="38">
        <v>0</v>
      </c>
      <c r="P4" s="38">
        <v>0</v>
      </c>
      <c r="Q4" s="38">
        <v>331346284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396177166</v>
      </c>
      <c r="Y4" s="38">
        <v>2543380519</v>
      </c>
      <c r="Z4" s="38">
        <v>220357000</v>
      </c>
      <c r="AA4" s="38">
        <v>4106866784</v>
      </c>
      <c r="AB4" s="37">
        <v>2600000</v>
      </c>
      <c r="AC4" s="37">
        <v>6975000</v>
      </c>
      <c r="AD4" s="37">
        <v>159934</v>
      </c>
      <c r="AE4" s="37">
        <v>2044803</v>
      </c>
      <c r="AF4" s="37">
        <v>6441928</v>
      </c>
      <c r="AG4" s="38">
        <v>4314967894</v>
      </c>
      <c r="AH4" s="38">
        <v>6208398504</v>
      </c>
      <c r="AI4" s="38">
        <v>4836302009</v>
      </c>
      <c r="AJ4" s="38">
        <v>1972327480</v>
      </c>
      <c r="AK4" s="17"/>
    </row>
    <row r="5" spans="1:37" ht="15.75" customHeight="1" x14ac:dyDescent="0.25">
      <c r="A5" s="14">
        <v>46030</v>
      </c>
      <c r="B5" s="37">
        <v>1469</v>
      </c>
      <c r="C5" s="38">
        <v>0</v>
      </c>
      <c r="D5" s="38">
        <v>147143953.16999999</v>
      </c>
      <c r="E5" s="38">
        <v>103831332</v>
      </c>
      <c r="F5" s="38">
        <v>0</v>
      </c>
      <c r="G5" s="38">
        <v>24804817.870000001</v>
      </c>
      <c r="H5" s="38">
        <v>3794000</v>
      </c>
      <c r="I5" s="38">
        <v>1127668632</v>
      </c>
      <c r="J5" s="38">
        <v>98556000</v>
      </c>
      <c r="K5" s="38">
        <v>0</v>
      </c>
      <c r="L5" s="38">
        <v>0</v>
      </c>
      <c r="M5" s="38">
        <v>0</v>
      </c>
      <c r="N5" s="38">
        <v>0</v>
      </c>
      <c r="O5" s="38">
        <v>0</v>
      </c>
      <c r="P5" s="38">
        <v>366732120</v>
      </c>
      <c r="Q5" s="38">
        <v>3010892.09</v>
      </c>
      <c r="R5" s="38">
        <v>0</v>
      </c>
      <c r="S5" s="38">
        <v>0</v>
      </c>
      <c r="T5" s="38">
        <v>45929347</v>
      </c>
      <c r="U5" s="38">
        <v>0</v>
      </c>
      <c r="V5" s="38">
        <v>0</v>
      </c>
      <c r="W5" s="38">
        <v>0</v>
      </c>
      <c r="X5" s="38">
        <v>343083825.89999998</v>
      </c>
      <c r="Y5" s="38">
        <v>2493689353</v>
      </c>
      <c r="Z5" s="38">
        <v>220357000</v>
      </c>
      <c r="AA5" s="38">
        <v>4094188807</v>
      </c>
      <c r="AB5" s="37">
        <v>2600000</v>
      </c>
      <c r="AC5" s="37">
        <v>6975000</v>
      </c>
      <c r="AD5" s="37">
        <v>159934</v>
      </c>
      <c r="AE5" s="37">
        <v>2044803</v>
      </c>
      <c r="AF5" s="37">
        <v>6480455</v>
      </c>
      <c r="AG5" s="38">
        <v>4314967894</v>
      </c>
      <c r="AH5" s="38">
        <v>6110180635</v>
      </c>
      <c r="AI5" s="38">
        <v>4816967051</v>
      </c>
      <c r="AJ5" s="38">
        <v>422641035</v>
      </c>
      <c r="AK5" s="17"/>
    </row>
    <row r="6" spans="1:37" ht="15.75" customHeight="1" x14ac:dyDescent="0.25">
      <c r="A6" s="14">
        <v>46031</v>
      </c>
      <c r="B6" s="37">
        <v>1455</v>
      </c>
      <c r="C6" s="38">
        <v>0</v>
      </c>
      <c r="D6" s="38">
        <v>102302314</v>
      </c>
      <c r="E6" s="38">
        <v>63095000</v>
      </c>
      <c r="F6" s="38">
        <v>0</v>
      </c>
      <c r="G6" s="38">
        <v>14747000</v>
      </c>
      <c r="H6" s="38">
        <v>12301000</v>
      </c>
      <c r="I6" s="38">
        <v>996009122</v>
      </c>
      <c r="J6" s="38">
        <v>2347817</v>
      </c>
      <c r="K6" s="38">
        <v>0</v>
      </c>
      <c r="L6" s="38">
        <v>0</v>
      </c>
      <c r="M6" s="38">
        <v>0</v>
      </c>
      <c r="N6" s="38">
        <v>0</v>
      </c>
      <c r="O6" s="38">
        <v>0</v>
      </c>
      <c r="P6" s="38">
        <v>126421132</v>
      </c>
      <c r="Q6" s="38">
        <v>7044405</v>
      </c>
      <c r="R6" s="38">
        <v>0</v>
      </c>
      <c r="S6" s="38">
        <v>0</v>
      </c>
      <c r="T6" s="38">
        <v>0</v>
      </c>
      <c r="U6" s="38">
        <v>0</v>
      </c>
      <c r="V6" s="38">
        <v>0</v>
      </c>
      <c r="W6" s="38">
        <v>0</v>
      </c>
      <c r="X6" s="38">
        <v>506350251.04000002</v>
      </c>
      <c r="Y6" s="38">
        <v>1113182008</v>
      </c>
      <c r="Z6" s="38">
        <v>220357000</v>
      </c>
      <c r="AA6" s="38">
        <v>4182158189</v>
      </c>
      <c r="AB6" s="37">
        <v>2600000</v>
      </c>
      <c r="AC6" s="37">
        <v>6975000</v>
      </c>
      <c r="AD6" s="37">
        <v>159934</v>
      </c>
      <c r="AE6" s="37">
        <v>2044803</v>
      </c>
      <c r="AF6" s="37">
        <v>7740751.1799999997</v>
      </c>
      <c r="AG6" s="38">
        <v>4314967894</v>
      </c>
      <c r="AH6" s="38">
        <v>5581783035</v>
      </c>
      <c r="AI6" s="38">
        <v>4658234880</v>
      </c>
      <c r="AJ6" s="38">
        <v>422947645</v>
      </c>
      <c r="AK6" s="17"/>
    </row>
    <row r="7" spans="1:37" ht="15.75" customHeight="1" x14ac:dyDescent="0.25">
      <c r="A7" s="14">
        <v>46034</v>
      </c>
      <c r="B7" s="37">
        <v>1465.5</v>
      </c>
      <c r="C7" s="38">
        <v>0</v>
      </c>
      <c r="D7" s="38">
        <v>191195891.53999999</v>
      </c>
      <c r="E7" s="38">
        <v>19902000</v>
      </c>
      <c r="F7" s="38">
        <v>0</v>
      </c>
      <c r="G7" s="38">
        <v>1103000</v>
      </c>
      <c r="H7" s="38">
        <v>309000</v>
      </c>
      <c r="I7" s="38">
        <v>1129839976</v>
      </c>
      <c r="J7" s="38">
        <v>38460000</v>
      </c>
      <c r="K7" s="38">
        <v>0</v>
      </c>
      <c r="L7" s="38">
        <v>23625223</v>
      </c>
      <c r="M7" s="38">
        <v>0</v>
      </c>
      <c r="N7" s="38">
        <v>0</v>
      </c>
      <c r="O7" s="38">
        <v>0</v>
      </c>
      <c r="P7" s="38">
        <v>109006535</v>
      </c>
      <c r="Q7" s="38">
        <v>224149787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717079149</v>
      </c>
      <c r="Y7" s="38">
        <v>944499841</v>
      </c>
      <c r="Z7" s="38">
        <v>220357000</v>
      </c>
      <c r="AA7" s="38">
        <v>4087351389</v>
      </c>
      <c r="AB7" s="37">
        <v>2600000</v>
      </c>
      <c r="AC7" s="37">
        <v>6975000</v>
      </c>
      <c r="AD7" s="37">
        <v>159934</v>
      </c>
      <c r="AE7" s="37">
        <v>2344803</v>
      </c>
      <c r="AF7" s="37">
        <v>8315409</v>
      </c>
      <c r="AG7" s="38">
        <v>4314967894</v>
      </c>
      <c r="AH7" s="38">
        <v>4486855402.5</v>
      </c>
      <c r="AI7" s="38">
        <v>4988005110</v>
      </c>
      <c r="AJ7" s="38">
        <v>423827578</v>
      </c>
      <c r="AK7" s="17"/>
    </row>
    <row r="8" spans="1:37" ht="15.75" customHeight="1" x14ac:dyDescent="0.25">
      <c r="A8" s="14">
        <v>46035</v>
      </c>
      <c r="B8" s="37">
        <v>1462</v>
      </c>
      <c r="C8" s="38">
        <v>0</v>
      </c>
      <c r="D8" s="38">
        <v>191195891</v>
      </c>
      <c r="E8" s="38">
        <v>41915000</v>
      </c>
      <c r="F8" s="38">
        <v>0</v>
      </c>
      <c r="G8" s="38">
        <v>15637889</v>
      </c>
      <c r="H8" s="38">
        <v>0</v>
      </c>
      <c r="I8" s="38">
        <v>1129839976</v>
      </c>
      <c r="J8" s="38">
        <v>167756834</v>
      </c>
      <c r="K8" s="38">
        <v>0</v>
      </c>
      <c r="L8" s="38">
        <v>39116189</v>
      </c>
      <c r="M8" s="38">
        <v>0</v>
      </c>
      <c r="N8" s="38">
        <v>0</v>
      </c>
      <c r="O8" s="38">
        <v>0</v>
      </c>
      <c r="P8" s="38">
        <v>15121860</v>
      </c>
      <c r="Q8" s="38">
        <v>180946598</v>
      </c>
      <c r="R8" s="38">
        <v>0</v>
      </c>
      <c r="S8" s="38">
        <v>0</v>
      </c>
      <c r="T8" s="38">
        <v>0</v>
      </c>
      <c r="U8" s="38">
        <v>0</v>
      </c>
      <c r="V8" s="38">
        <v>0</v>
      </c>
      <c r="W8" s="38">
        <v>0</v>
      </c>
      <c r="X8" s="38">
        <v>828454859</v>
      </c>
      <c r="Y8" s="38">
        <v>705798673</v>
      </c>
      <c r="Z8" s="38">
        <v>220357000</v>
      </c>
      <c r="AA8" s="38">
        <v>3882411723</v>
      </c>
      <c r="AB8" s="37">
        <v>2600000</v>
      </c>
      <c r="AC8" s="37">
        <v>6975000</v>
      </c>
      <c r="AD8" s="37">
        <v>159934</v>
      </c>
      <c r="AE8" s="37">
        <v>2344803</v>
      </c>
      <c r="AF8" s="37">
        <v>8965227.4900000002</v>
      </c>
      <c r="AG8" s="38">
        <v>4314967894</v>
      </c>
      <c r="AH8" s="38">
        <v>4284443632</v>
      </c>
      <c r="AI8" s="38">
        <v>4713813455.8199997</v>
      </c>
      <c r="AJ8" s="38">
        <v>424124427</v>
      </c>
      <c r="AK8" s="17"/>
    </row>
    <row r="9" spans="1:37" ht="15.75" customHeight="1" x14ac:dyDescent="0.25">
      <c r="A9" s="14">
        <v>46036</v>
      </c>
      <c r="B9" s="37">
        <v>1464.5</v>
      </c>
      <c r="C9" s="38">
        <v>0</v>
      </c>
      <c r="D9" s="38">
        <v>62480863.369999997</v>
      </c>
      <c r="E9" s="38">
        <v>60536771</v>
      </c>
      <c r="F9" s="38">
        <v>0</v>
      </c>
      <c r="G9" s="38">
        <v>25159457</v>
      </c>
      <c r="H9" s="38">
        <v>0</v>
      </c>
      <c r="I9" s="38">
        <v>1143603954</v>
      </c>
      <c r="J9" s="38">
        <v>170000000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183177718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938129312</v>
      </c>
      <c r="Y9" s="38">
        <v>569683193</v>
      </c>
      <c r="Z9" s="38">
        <v>220357000</v>
      </c>
      <c r="AA9" s="38">
        <v>3764632228</v>
      </c>
      <c r="AB9" s="37">
        <v>2600000</v>
      </c>
      <c r="AC9" s="37">
        <v>6975000</v>
      </c>
      <c r="AD9" s="37">
        <v>159934</v>
      </c>
      <c r="AE9" s="37">
        <v>2344803</v>
      </c>
      <c r="AF9" s="37">
        <v>8783530.5700000003</v>
      </c>
      <c r="AG9" s="38">
        <v>4314967894</v>
      </c>
      <c r="AH9" s="38">
        <v>4092690235.5</v>
      </c>
      <c r="AI9" s="38">
        <v>4672764040.5</v>
      </c>
      <c r="AJ9" s="38">
        <v>424459423</v>
      </c>
      <c r="AK9" s="20"/>
    </row>
    <row r="10" spans="1:37" ht="15.75" customHeight="1" x14ac:dyDescent="0.25">
      <c r="A10" s="14">
        <v>46037</v>
      </c>
      <c r="B10" s="37">
        <v>1450</v>
      </c>
      <c r="C10" s="38">
        <v>0</v>
      </c>
      <c r="D10" s="38">
        <v>62480863.369999997</v>
      </c>
      <c r="E10" s="38">
        <v>74751000</v>
      </c>
      <c r="F10" s="38">
        <v>0</v>
      </c>
      <c r="G10" s="38">
        <v>9758000</v>
      </c>
      <c r="H10" s="38">
        <v>0</v>
      </c>
      <c r="I10" s="38">
        <v>1214275683</v>
      </c>
      <c r="J10" s="38">
        <v>276864200</v>
      </c>
      <c r="K10" s="38">
        <v>0</v>
      </c>
      <c r="L10" s="38">
        <v>1009800</v>
      </c>
      <c r="M10" s="38">
        <v>0</v>
      </c>
      <c r="N10" s="38">
        <v>0</v>
      </c>
      <c r="O10" s="38">
        <v>0</v>
      </c>
      <c r="P10" s="38">
        <v>0</v>
      </c>
      <c r="Q10" s="38">
        <v>10591253.68</v>
      </c>
      <c r="R10" s="38">
        <v>0</v>
      </c>
      <c r="S10" s="38">
        <v>0</v>
      </c>
      <c r="T10" s="38">
        <v>0</v>
      </c>
      <c r="U10" s="38">
        <v>194000000</v>
      </c>
      <c r="V10" s="38">
        <v>0</v>
      </c>
      <c r="W10" s="38">
        <v>0</v>
      </c>
      <c r="X10" s="38">
        <v>764830293.83000004</v>
      </c>
      <c r="Y10" s="38">
        <v>604673438</v>
      </c>
      <c r="Z10" s="38">
        <v>220357000</v>
      </c>
      <c r="AA10" s="38">
        <v>3766894667</v>
      </c>
      <c r="AB10" s="37">
        <v>2600000</v>
      </c>
      <c r="AC10" s="37">
        <v>6975000</v>
      </c>
      <c r="AD10" s="37">
        <v>159934</v>
      </c>
      <c r="AE10" s="37">
        <v>2344803</v>
      </c>
      <c r="AF10" s="37">
        <v>8886136.3100000005</v>
      </c>
      <c r="AG10" s="38">
        <v>4314967894</v>
      </c>
      <c r="AH10" s="38">
        <v>4231934388</v>
      </c>
      <c r="AI10" s="38">
        <v>4759593100</v>
      </c>
      <c r="AJ10" s="38">
        <v>194610289.44</v>
      </c>
      <c r="AK10" s="20"/>
    </row>
    <row r="11" spans="1:37" ht="15.75" customHeight="1" x14ac:dyDescent="0.25">
      <c r="A11" s="14">
        <v>46038</v>
      </c>
      <c r="B11" s="37">
        <v>1440</v>
      </c>
      <c r="C11" s="38">
        <v>0</v>
      </c>
      <c r="D11" s="38">
        <v>170748138</v>
      </c>
      <c r="E11" s="38">
        <v>164880000</v>
      </c>
      <c r="F11" s="38">
        <v>0</v>
      </c>
      <c r="G11" s="38">
        <v>-3450000</v>
      </c>
      <c r="H11" s="38">
        <v>0</v>
      </c>
      <c r="I11" s="38">
        <v>1096607000</v>
      </c>
      <c r="J11" s="38">
        <v>180913832.91999999</v>
      </c>
      <c r="K11" s="38">
        <v>0</v>
      </c>
      <c r="L11" s="38">
        <v>2919605</v>
      </c>
      <c r="M11" s="38">
        <v>0</v>
      </c>
      <c r="N11" s="38">
        <v>0</v>
      </c>
      <c r="O11" s="38">
        <v>0</v>
      </c>
      <c r="P11" s="38">
        <v>7054822</v>
      </c>
      <c r="Q11" s="38">
        <v>3191483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995710009</v>
      </c>
      <c r="Y11" s="38">
        <v>487074663</v>
      </c>
      <c r="Z11" s="38">
        <v>220357000</v>
      </c>
      <c r="AA11" s="38">
        <v>3172758684</v>
      </c>
      <c r="AB11" s="37">
        <v>2600000</v>
      </c>
      <c r="AC11" s="37">
        <v>6975000</v>
      </c>
      <c r="AD11" s="37">
        <v>159934</v>
      </c>
      <c r="AE11" s="37">
        <v>2344803</v>
      </c>
      <c r="AF11" s="37">
        <v>9582201.909</v>
      </c>
      <c r="AG11" s="38">
        <v>4314967894</v>
      </c>
      <c r="AH11" s="38">
        <v>4073068713.5999999</v>
      </c>
      <c r="AI11" s="38">
        <v>4577526720</v>
      </c>
      <c r="AJ11" s="38">
        <v>611311.32999999996</v>
      </c>
      <c r="AK11" s="20"/>
    </row>
    <row r="12" spans="1:37" ht="15.75" customHeight="1" x14ac:dyDescent="0.25">
      <c r="A12" s="14">
        <v>46041</v>
      </c>
      <c r="B12" s="37">
        <v>1428</v>
      </c>
      <c r="C12" s="38">
        <v>0</v>
      </c>
      <c r="D12" s="38">
        <v>170748138</v>
      </c>
      <c r="E12" s="38">
        <v>176500595</v>
      </c>
      <c r="F12" s="38">
        <v>0</v>
      </c>
      <c r="G12" s="38">
        <v>9812921</v>
      </c>
      <c r="H12" s="38">
        <v>0</v>
      </c>
      <c r="I12" s="38">
        <v>1098875342</v>
      </c>
      <c r="J12" s="38">
        <v>93270575</v>
      </c>
      <c r="K12" s="38">
        <v>0</v>
      </c>
      <c r="L12" s="38">
        <v>30686642</v>
      </c>
      <c r="M12" s="38">
        <v>0</v>
      </c>
      <c r="N12" s="38">
        <v>0</v>
      </c>
      <c r="O12" s="38">
        <v>0</v>
      </c>
      <c r="P12" s="38">
        <v>0</v>
      </c>
      <c r="Q12" s="38">
        <v>2786622</v>
      </c>
      <c r="R12" s="38">
        <v>106064322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727601822</v>
      </c>
      <c r="Y12" s="38">
        <v>55545741</v>
      </c>
      <c r="Z12" s="38">
        <v>220357000</v>
      </c>
      <c r="AA12" s="38">
        <v>3286079509</v>
      </c>
      <c r="AB12" s="37">
        <v>2600000</v>
      </c>
      <c r="AC12" s="37">
        <v>6975000</v>
      </c>
      <c r="AD12" s="37">
        <v>159934</v>
      </c>
      <c r="AE12" s="37">
        <v>2194803</v>
      </c>
      <c r="AF12" s="37">
        <v>10991009.26</v>
      </c>
      <c r="AG12" s="38">
        <v>4314967894</v>
      </c>
      <c r="AH12" s="38">
        <v>3619803342.1199999</v>
      </c>
      <c r="AI12" s="38">
        <v>4647360312</v>
      </c>
      <c r="AJ12" s="38">
        <v>612693</v>
      </c>
      <c r="AK12" s="20"/>
    </row>
    <row r="13" spans="1:37" ht="15.75" customHeight="1" x14ac:dyDescent="0.25">
      <c r="A13" s="14">
        <v>46042</v>
      </c>
      <c r="B13" s="37">
        <v>1428.5</v>
      </c>
      <c r="C13" s="38">
        <v>0</v>
      </c>
      <c r="D13" s="38">
        <v>138310839.40000001</v>
      </c>
      <c r="E13" s="38">
        <v>73444051</v>
      </c>
      <c r="F13" s="38">
        <v>0</v>
      </c>
      <c r="G13" s="38">
        <v>15092051</v>
      </c>
      <c r="H13" s="38">
        <v>0</v>
      </c>
      <c r="I13" s="38">
        <v>1039256943</v>
      </c>
      <c r="J13" s="38">
        <v>173300000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157286696</v>
      </c>
      <c r="R13" s="38">
        <v>0</v>
      </c>
      <c r="S13" s="38">
        <v>0</v>
      </c>
      <c r="T13" s="38">
        <v>0</v>
      </c>
      <c r="U13" s="38">
        <v>180000000</v>
      </c>
      <c r="V13" s="38">
        <v>0</v>
      </c>
      <c r="W13" s="38">
        <v>0</v>
      </c>
      <c r="X13" s="38">
        <v>763073132</v>
      </c>
      <c r="Y13" s="38">
        <v>801275230</v>
      </c>
      <c r="Z13" s="38">
        <v>220357000</v>
      </c>
      <c r="AA13" s="38">
        <v>3243064886.5</v>
      </c>
      <c r="AB13" s="37">
        <v>2600000</v>
      </c>
      <c r="AC13" s="37">
        <v>6975000</v>
      </c>
      <c r="AD13" s="37">
        <v>159934</v>
      </c>
      <c r="AE13" s="37">
        <v>2194803</v>
      </c>
      <c r="AF13" s="37">
        <v>11490332.2655</v>
      </c>
      <c r="AG13" s="38">
        <v>4314967894</v>
      </c>
      <c r="AH13" s="38">
        <v>3552467067.7649999</v>
      </c>
      <c r="AI13" s="38">
        <v>4648987539</v>
      </c>
      <c r="AJ13" s="38">
        <v>613144.98</v>
      </c>
      <c r="AK13" s="20"/>
    </row>
    <row r="14" spans="1:37" ht="15.75" customHeight="1" x14ac:dyDescent="0.25">
      <c r="A14" s="14">
        <v>46043</v>
      </c>
      <c r="B14" s="37">
        <v>1432</v>
      </c>
      <c r="C14" s="38">
        <v>0</v>
      </c>
      <c r="D14" s="38">
        <v>114890681.03</v>
      </c>
      <c r="E14" s="38">
        <v>84544428.829999998</v>
      </c>
      <c r="F14" s="38">
        <v>0</v>
      </c>
      <c r="G14" s="38">
        <v>8979855</v>
      </c>
      <c r="H14" s="38">
        <v>0</v>
      </c>
      <c r="I14" s="38">
        <v>1039256943</v>
      </c>
      <c r="J14" s="38">
        <v>107253172</v>
      </c>
      <c r="K14" s="38">
        <v>0</v>
      </c>
      <c r="L14" s="38">
        <v>27735508</v>
      </c>
      <c r="M14" s="38">
        <v>0</v>
      </c>
      <c r="N14" s="38">
        <v>0</v>
      </c>
      <c r="O14" s="38">
        <v>43586760</v>
      </c>
      <c r="P14" s="38">
        <v>144447864</v>
      </c>
      <c r="Q14" s="38">
        <v>37176621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759957476</v>
      </c>
      <c r="Y14" s="38">
        <v>624555549</v>
      </c>
      <c r="Z14" s="38">
        <v>220357000</v>
      </c>
      <c r="AA14" s="38">
        <v>3592955206</v>
      </c>
      <c r="AB14" s="37">
        <v>2600000</v>
      </c>
      <c r="AC14" s="37">
        <v>6975000</v>
      </c>
      <c r="AD14" s="37">
        <v>159934</v>
      </c>
      <c r="AE14" s="37">
        <v>2194803</v>
      </c>
      <c r="AF14" s="37">
        <v>12252881</v>
      </c>
      <c r="AG14" s="38">
        <v>4314967894</v>
      </c>
      <c r="AH14" s="38">
        <v>3574347452.0799999</v>
      </c>
      <c r="AI14" s="38">
        <v>4087129912</v>
      </c>
      <c r="AJ14" s="38">
        <v>613592.34</v>
      </c>
      <c r="AK14" s="20"/>
    </row>
    <row r="15" spans="1:37" ht="15.75" customHeight="1" x14ac:dyDescent="0.25">
      <c r="A15" s="14">
        <v>46044</v>
      </c>
      <c r="B15" s="37">
        <v>1427</v>
      </c>
      <c r="C15" s="38">
        <v>0</v>
      </c>
      <c r="D15" s="38">
        <v>61294019</v>
      </c>
      <c r="E15" s="38">
        <v>404952346.39999998</v>
      </c>
      <c r="F15" s="38">
        <v>0</v>
      </c>
      <c r="G15" s="38">
        <v>8492957.3100000005</v>
      </c>
      <c r="H15" s="38">
        <v>4032000</v>
      </c>
      <c r="I15" s="38">
        <v>1039256943</v>
      </c>
      <c r="J15" s="38">
        <v>133501600</v>
      </c>
      <c r="K15" s="38">
        <v>0</v>
      </c>
      <c r="L15" s="38">
        <v>80264892</v>
      </c>
      <c r="M15" s="38">
        <v>0</v>
      </c>
      <c r="N15" s="38">
        <v>0</v>
      </c>
      <c r="O15" s="38">
        <v>0</v>
      </c>
      <c r="P15" s="38">
        <v>19105502</v>
      </c>
      <c r="Q15" s="38">
        <v>1046236</v>
      </c>
      <c r="R15" s="38">
        <v>176000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685317771.53999996</v>
      </c>
      <c r="Y15" s="38">
        <v>570093319</v>
      </c>
      <c r="Z15" s="38">
        <v>220357000</v>
      </c>
      <c r="AA15" s="38">
        <v>3508883840.3200002</v>
      </c>
      <c r="AB15" s="37">
        <v>2600000</v>
      </c>
      <c r="AC15" s="37">
        <v>6975000</v>
      </c>
      <c r="AD15" s="37">
        <v>159934</v>
      </c>
      <c r="AE15" s="37">
        <v>2194803</v>
      </c>
      <c r="AF15" s="37">
        <v>12482991</v>
      </c>
      <c r="AG15" s="38">
        <v>4314967894</v>
      </c>
      <c r="AH15" s="38">
        <v>3428136169.0300002</v>
      </c>
      <c r="AI15" s="38">
        <v>4072859207</v>
      </c>
      <c r="AJ15" s="38">
        <v>614057</v>
      </c>
      <c r="AK15" s="20"/>
    </row>
    <row r="16" spans="1:37" ht="15.75" customHeight="1" x14ac:dyDescent="0.25">
      <c r="A16" s="14">
        <v>46045</v>
      </c>
      <c r="B16" s="37">
        <v>1421</v>
      </c>
      <c r="C16" s="38">
        <v>0</v>
      </c>
      <c r="D16" s="38">
        <v>61294019</v>
      </c>
      <c r="E16" s="38">
        <v>152245000</v>
      </c>
      <c r="F16" s="38">
        <v>0</v>
      </c>
      <c r="G16" s="38">
        <v>107905000</v>
      </c>
      <c r="H16" s="38">
        <v>4032000</v>
      </c>
      <c r="I16" s="38">
        <v>1259696842</v>
      </c>
      <c r="J16" s="38">
        <v>102950586</v>
      </c>
      <c r="K16" s="38">
        <v>0</v>
      </c>
      <c r="L16" s="38">
        <v>0</v>
      </c>
      <c r="M16" s="38">
        <v>0</v>
      </c>
      <c r="N16" s="38">
        <v>0</v>
      </c>
      <c r="O16" s="38">
        <v>1110780</v>
      </c>
      <c r="P16" s="38">
        <v>5821979</v>
      </c>
      <c r="Q16" s="38">
        <v>99080826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1060139595</v>
      </c>
      <c r="Y16" s="38">
        <v>481474496</v>
      </c>
      <c r="Z16" s="38">
        <v>220357000</v>
      </c>
      <c r="AA16" s="38">
        <v>2923682435.5799999</v>
      </c>
      <c r="AB16" s="37">
        <v>2600000</v>
      </c>
      <c r="AC16" s="37">
        <v>6975000</v>
      </c>
      <c r="AD16" s="37">
        <v>159934</v>
      </c>
      <c r="AE16" s="37">
        <v>2194803</v>
      </c>
      <c r="AF16" s="37">
        <v>13171481</v>
      </c>
      <c r="AG16" s="38">
        <v>4314967894</v>
      </c>
      <c r="AH16" s="38">
        <v>3568680927</v>
      </c>
      <c r="AI16" s="38">
        <v>3804214519</v>
      </c>
      <c r="AJ16" s="38">
        <v>614524</v>
      </c>
      <c r="AK16" s="20"/>
    </row>
    <row r="17" spans="1:37" ht="15.75" customHeight="1" x14ac:dyDescent="0.25">
      <c r="A17" s="14">
        <v>46048</v>
      </c>
      <c r="B17" s="37">
        <v>1428</v>
      </c>
      <c r="C17" s="38">
        <v>0</v>
      </c>
      <c r="D17" s="38">
        <v>16846129</v>
      </c>
      <c r="E17" s="38">
        <v>7882910.9100000001</v>
      </c>
      <c r="F17" s="38">
        <v>0</v>
      </c>
      <c r="G17" s="38">
        <v>7362455.4299999997</v>
      </c>
      <c r="H17" s="38">
        <v>2143000</v>
      </c>
      <c r="I17" s="38">
        <v>1197683340</v>
      </c>
      <c r="J17" s="38">
        <v>135016848.68000001</v>
      </c>
      <c r="K17" s="38">
        <v>0</v>
      </c>
      <c r="L17" s="38">
        <v>0</v>
      </c>
      <c r="M17" s="38">
        <v>0</v>
      </c>
      <c r="N17" s="38">
        <v>0</v>
      </c>
      <c r="O17" s="38">
        <v>0</v>
      </c>
      <c r="P17" s="38">
        <v>0</v>
      </c>
      <c r="Q17" s="38">
        <v>5000000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808925046</v>
      </c>
      <c r="Y17" s="38">
        <v>661985561</v>
      </c>
      <c r="Z17" s="38">
        <v>220357000</v>
      </c>
      <c r="AA17" s="38">
        <v>2946289434.0999999</v>
      </c>
      <c r="AB17" s="37">
        <v>2600000</v>
      </c>
      <c r="AC17" s="37">
        <v>6975000</v>
      </c>
      <c r="AD17" s="37">
        <v>159934</v>
      </c>
      <c r="AE17" s="37">
        <v>2194803</v>
      </c>
      <c r="AF17" s="37">
        <v>14450695</v>
      </c>
      <c r="AG17" s="38">
        <v>4314967894</v>
      </c>
      <c r="AH17" s="38">
        <v>3377708932.9200001</v>
      </c>
      <c r="AI17" s="38">
        <v>3808674492</v>
      </c>
      <c r="AJ17" s="38">
        <v>615840</v>
      </c>
      <c r="AK17" s="20"/>
    </row>
    <row r="18" spans="1:37" ht="15.75" customHeight="1" x14ac:dyDescent="0.25">
      <c r="A18" s="14">
        <v>46049</v>
      </c>
      <c r="B18" s="37">
        <v>1435</v>
      </c>
      <c r="C18" s="38">
        <v>0</v>
      </c>
      <c r="D18" s="38">
        <v>21598493.559999999</v>
      </c>
      <c r="E18" s="38">
        <v>63357361.978</v>
      </c>
      <c r="F18" s="38">
        <v>0</v>
      </c>
      <c r="G18" s="38">
        <v>7831332.1200000001</v>
      </c>
      <c r="H18" s="38">
        <v>2143000</v>
      </c>
      <c r="I18" s="38">
        <v>1192572236</v>
      </c>
      <c r="J18" s="38">
        <v>194500000</v>
      </c>
      <c r="K18" s="38">
        <v>0</v>
      </c>
      <c r="L18" s="38">
        <v>9187620</v>
      </c>
      <c r="M18" s="38">
        <v>0</v>
      </c>
      <c r="N18" s="38">
        <v>0</v>
      </c>
      <c r="O18" s="38">
        <v>0</v>
      </c>
      <c r="P18" s="38">
        <v>0</v>
      </c>
      <c r="Q18" s="38">
        <v>3600000</v>
      </c>
      <c r="R18" s="38">
        <v>0</v>
      </c>
      <c r="S18" s="38">
        <v>0</v>
      </c>
      <c r="T18" s="38">
        <v>14506818</v>
      </c>
      <c r="U18" s="38">
        <v>110000000</v>
      </c>
      <c r="V18" s="38">
        <v>0</v>
      </c>
      <c r="W18" s="38">
        <v>0</v>
      </c>
      <c r="X18" s="38">
        <v>1366580164</v>
      </c>
      <c r="Y18" s="38">
        <v>625397941</v>
      </c>
      <c r="Z18" s="38">
        <v>220357000</v>
      </c>
      <c r="AA18" s="38">
        <v>2348072514</v>
      </c>
      <c r="AB18" s="37">
        <v>2600000</v>
      </c>
      <c r="AC18" s="37">
        <v>8975000</v>
      </c>
      <c r="AD18" s="37">
        <v>159934</v>
      </c>
      <c r="AE18" s="37">
        <v>2194803</v>
      </c>
      <c r="AF18" s="37">
        <v>14131936</v>
      </c>
      <c r="AG18" s="38">
        <v>4314967894</v>
      </c>
      <c r="AH18" s="38">
        <v>3131216981.9000001</v>
      </c>
      <c r="AI18" s="38">
        <v>3827344465</v>
      </c>
      <c r="AJ18" s="38">
        <v>2822528351.6399999</v>
      </c>
      <c r="AK18" s="20"/>
    </row>
    <row r="19" spans="1:37" ht="15.75" customHeight="1" x14ac:dyDescent="0.25">
      <c r="A19" s="14">
        <v>46050</v>
      </c>
      <c r="B19" s="37">
        <v>1437</v>
      </c>
      <c r="C19" s="38">
        <v>0</v>
      </c>
      <c r="D19" s="38">
        <v>223072014.13999999</v>
      </c>
      <c r="E19" s="38">
        <v>98803000</v>
      </c>
      <c r="F19" s="38">
        <v>0</v>
      </c>
      <c r="G19" s="38">
        <v>7648485.5599999996</v>
      </c>
      <c r="H19" s="38">
        <v>2143000</v>
      </c>
      <c r="I19" s="38">
        <v>985649251.25999999</v>
      </c>
      <c r="J19" s="38">
        <v>129244842</v>
      </c>
      <c r="K19" s="38">
        <v>0</v>
      </c>
      <c r="L19" s="38">
        <v>33343638</v>
      </c>
      <c r="M19" s="38">
        <v>0</v>
      </c>
      <c r="N19" s="38">
        <v>0</v>
      </c>
      <c r="O19" s="38">
        <v>0</v>
      </c>
      <c r="P19" s="38">
        <v>0</v>
      </c>
      <c r="Q19" s="38">
        <v>50977092</v>
      </c>
      <c r="R19" s="38">
        <v>0</v>
      </c>
      <c r="S19" s="38">
        <v>0</v>
      </c>
      <c r="T19" s="38">
        <v>3864000</v>
      </c>
      <c r="U19" s="38">
        <v>0</v>
      </c>
      <c r="V19" s="38">
        <v>0</v>
      </c>
      <c r="W19" s="38">
        <v>0</v>
      </c>
      <c r="X19" s="38">
        <v>1292174715.8800001</v>
      </c>
      <c r="Y19" s="38">
        <v>697178747</v>
      </c>
      <c r="Z19" s="38">
        <v>220357000</v>
      </c>
      <c r="AA19" s="38">
        <v>2785575928</v>
      </c>
      <c r="AB19" s="37">
        <v>2600000</v>
      </c>
      <c r="AC19" s="37">
        <v>7975000</v>
      </c>
      <c r="AD19" s="37">
        <v>159934</v>
      </c>
      <c r="AE19" s="37">
        <v>2194803</v>
      </c>
      <c r="AF19" s="37">
        <v>14827729</v>
      </c>
      <c r="AG19" s="38">
        <v>4314967894</v>
      </c>
      <c r="AH19" s="38">
        <v>2799280311</v>
      </c>
      <c r="AI19" s="38">
        <v>4226717076</v>
      </c>
      <c r="AJ19" s="38">
        <v>1487066027.5899999</v>
      </c>
      <c r="AK19" s="20"/>
    </row>
    <row r="20" spans="1:37" ht="15.75" customHeight="1" x14ac:dyDescent="0.25">
      <c r="A20" s="14">
        <v>46051</v>
      </c>
      <c r="B20" s="37">
        <v>1437</v>
      </c>
      <c r="C20" s="38">
        <v>0</v>
      </c>
      <c r="D20" s="38">
        <v>223072014.13999999</v>
      </c>
      <c r="E20" s="38">
        <v>33207000</v>
      </c>
      <c r="F20" s="38">
        <v>0</v>
      </c>
      <c r="G20" s="38">
        <v>7613526.4500000002</v>
      </c>
      <c r="H20" s="38">
        <v>2143000</v>
      </c>
      <c r="I20" s="38">
        <v>964224603.60000002</v>
      </c>
      <c r="J20" s="38">
        <v>73947517</v>
      </c>
      <c r="K20" s="38">
        <v>0</v>
      </c>
      <c r="L20" s="38">
        <v>0</v>
      </c>
      <c r="M20" s="38">
        <v>0</v>
      </c>
      <c r="N20" s="38">
        <v>0</v>
      </c>
      <c r="O20" s="38">
        <v>0</v>
      </c>
      <c r="P20" s="38">
        <v>0</v>
      </c>
      <c r="Q20" s="38">
        <v>17000000</v>
      </c>
      <c r="R20" s="38">
        <v>260000</v>
      </c>
      <c r="S20" s="38">
        <v>0</v>
      </c>
      <c r="T20" s="38">
        <v>0</v>
      </c>
      <c r="U20" s="38">
        <v>0</v>
      </c>
      <c r="V20" s="38">
        <v>0</v>
      </c>
      <c r="W20" s="38">
        <v>0</v>
      </c>
      <c r="X20" s="38">
        <v>1094847541</v>
      </c>
      <c r="Y20" s="38">
        <v>690113410</v>
      </c>
      <c r="Z20" s="38">
        <v>220357000</v>
      </c>
      <c r="AA20" s="38">
        <v>2876937776.6199999</v>
      </c>
      <c r="AB20" s="37">
        <v>2600000</v>
      </c>
      <c r="AC20" s="37">
        <v>7975000</v>
      </c>
      <c r="AD20" s="37">
        <v>159934</v>
      </c>
      <c r="AE20" s="37">
        <v>2194803</v>
      </c>
      <c r="AF20" s="37">
        <v>17819584.093499999</v>
      </c>
      <c r="AG20" s="38">
        <v>4314967894</v>
      </c>
      <c r="AH20" s="38">
        <v>3067941831</v>
      </c>
      <c r="AI20" s="38">
        <v>5846274993</v>
      </c>
      <c r="AJ20" s="38">
        <v>1379229325.1900001</v>
      </c>
      <c r="AK20" s="20"/>
    </row>
    <row r="21" spans="1:37" ht="15.75" customHeight="1" x14ac:dyDescent="0.25">
      <c r="A21" s="14">
        <v>46052</v>
      </c>
      <c r="B21" s="37">
        <v>1443</v>
      </c>
      <c r="C21" s="38">
        <v>0</v>
      </c>
      <c r="D21" s="38">
        <v>223072014</v>
      </c>
      <c r="E21" s="38">
        <v>380315000</v>
      </c>
      <c r="F21" s="38">
        <v>0</v>
      </c>
      <c r="G21" s="38">
        <v>6785000</v>
      </c>
      <c r="H21" s="38">
        <v>1553000</v>
      </c>
      <c r="I21" s="38">
        <v>810455502</v>
      </c>
      <c r="J21" s="38">
        <v>291486000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2433260</v>
      </c>
      <c r="Q21" s="38">
        <v>99600000</v>
      </c>
      <c r="R21" s="38">
        <v>0</v>
      </c>
      <c r="S21" s="38">
        <v>0</v>
      </c>
      <c r="T21" s="38">
        <v>14346000</v>
      </c>
      <c r="U21" s="38">
        <v>0</v>
      </c>
      <c r="V21" s="38">
        <v>0</v>
      </c>
      <c r="W21" s="38">
        <v>0</v>
      </c>
      <c r="X21" s="38">
        <v>962573839.13999999</v>
      </c>
      <c r="Y21" s="38">
        <v>3536632120</v>
      </c>
      <c r="Z21" s="38">
        <v>220357000</v>
      </c>
      <c r="AA21" s="38">
        <v>2957288505</v>
      </c>
      <c r="AB21" s="37">
        <v>2600000</v>
      </c>
      <c r="AC21" s="37">
        <v>7000000</v>
      </c>
      <c r="AD21" s="37">
        <v>159934</v>
      </c>
      <c r="AE21" s="37">
        <v>340000</v>
      </c>
      <c r="AF21" s="37">
        <v>18426332</v>
      </c>
      <c r="AG21" s="38">
        <v>4314967894</v>
      </c>
      <c r="AH21" s="38">
        <v>2981995708</v>
      </c>
      <c r="AI21" s="38">
        <v>4017095550</v>
      </c>
      <c r="AJ21" s="38">
        <v>0</v>
      </c>
      <c r="AK21" s="20"/>
    </row>
    <row r="22" spans="1:37" ht="15.75" customHeight="1" x14ac:dyDescent="0.25">
      <c r="A22" s="14">
        <v>46055</v>
      </c>
      <c r="B22" s="37">
        <v>1444</v>
      </c>
      <c r="C22" s="38">
        <v>0</v>
      </c>
      <c r="D22" s="38">
        <v>252012755</v>
      </c>
      <c r="E22" s="38">
        <v>113034969</v>
      </c>
      <c r="F22" s="38">
        <v>0</v>
      </c>
      <c r="G22" s="38">
        <v>5059607</v>
      </c>
      <c r="H22" s="38">
        <v>1551000</v>
      </c>
      <c r="I22" s="38">
        <v>885303260</v>
      </c>
      <c r="J22" s="38">
        <v>130714631</v>
      </c>
      <c r="K22" s="38">
        <v>0</v>
      </c>
      <c r="L22" s="38">
        <v>55360166</v>
      </c>
      <c r="M22" s="38">
        <v>0</v>
      </c>
      <c r="N22" s="38">
        <v>0</v>
      </c>
      <c r="O22" s="38">
        <v>0</v>
      </c>
      <c r="P22" s="38">
        <v>0</v>
      </c>
      <c r="Q22" s="38">
        <v>46139128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706893555</v>
      </c>
      <c r="Y22" s="38">
        <v>3524579436</v>
      </c>
      <c r="Z22" s="38">
        <v>214477560.11614999</v>
      </c>
      <c r="AA22" s="38">
        <v>3133277362</v>
      </c>
      <c r="AB22" s="37">
        <v>2600000</v>
      </c>
      <c r="AC22" s="37">
        <v>7000000</v>
      </c>
      <c r="AD22" s="37">
        <v>159934</v>
      </c>
      <c r="AE22" s="37">
        <v>2194803</v>
      </c>
      <c r="AF22" s="37">
        <v>20143331</v>
      </c>
      <c r="AG22" s="38">
        <v>4314967894</v>
      </c>
      <c r="AH22" s="38">
        <v>4342932524</v>
      </c>
      <c r="AI22" s="38">
        <v>4476960272</v>
      </c>
      <c r="AJ22" s="38">
        <v>0</v>
      </c>
      <c r="AK22" s="20"/>
    </row>
    <row r="23" spans="1:37" ht="15.75" customHeight="1" x14ac:dyDescent="0.25">
      <c r="A23" s="14">
        <v>46056</v>
      </c>
      <c r="B23" s="37">
        <v>1447</v>
      </c>
      <c r="C23" s="38">
        <v>0</v>
      </c>
      <c r="D23" s="38">
        <v>289560308.57999998</v>
      </c>
      <c r="E23" s="38">
        <v>56664237.909999996</v>
      </c>
      <c r="F23" s="38">
        <v>0</v>
      </c>
      <c r="G23" s="38">
        <v>5023804</v>
      </c>
      <c r="H23" s="38">
        <v>1551000</v>
      </c>
      <c r="I23" s="38">
        <v>1011518184</v>
      </c>
      <c r="J23" s="38">
        <v>152811655</v>
      </c>
      <c r="K23" s="38">
        <v>0</v>
      </c>
      <c r="L23" s="38">
        <v>5216923</v>
      </c>
      <c r="M23" s="38">
        <v>0</v>
      </c>
      <c r="N23" s="38">
        <v>0</v>
      </c>
      <c r="O23" s="38">
        <v>0</v>
      </c>
      <c r="P23" s="38">
        <v>12273664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416780127</v>
      </c>
      <c r="Y23" s="38">
        <v>3522362513</v>
      </c>
      <c r="Z23" s="38">
        <v>214477560.11614999</v>
      </c>
      <c r="AA23" s="38">
        <v>3116732200</v>
      </c>
      <c r="AB23" s="37">
        <v>2600000</v>
      </c>
      <c r="AC23" s="37">
        <v>7000000</v>
      </c>
      <c r="AD23" s="37">
        <v>159934</v>
      </c>
      <c r="AE23" s="37">
        <v>2194803</v>
      </c>
      <c r="AF23" s="37">
        <v>18381717</v>
      </c>
      <c r="AG23" s="38">
        <v>4314967894</v>
      </c>
      <c r="AH23" s="38">
        <v>4202886744</v>
      </c>
      <c r="AI23" s="38">
        <v>4486261436</v>
      </c>
      <c r="AJ23" s="38">
        <v>0</v>
      </c>
      <c r="AK23" s="20"/>
    </row>
    <row r="24" spans="1:37" ht="15.75" customHeight="1" x14ac:dyDescent="0.25">
      <c r="A24" s="14">
        <v>46057</v>
      </c>
      <c r="B24" s="37">
        <v>1444</v>
      </c>
      <c r="C24" s="38">
        <v>0</v>
      </c>
      <c r="D24" s="38">
        <v>256839729</v>
      </c>
      <c r="E24" s="38">
        <v>51206465</v>
      </c>
      <c r="F24" s="38">
        <v>0</v>
      </c>
      <c r="G24" s="38">
        <v>7177357</v>
      </c>
      <c r="H24" s="38">
        <v>1551000</v>
      </c>
      <c r="I24" s="38">
        <v>992210152</v>
      </c>
      <c r="J24" s="38">
        <v>5345000</v>
      </c>
      <c r="K24" s="38">
        <v>0</v>
      </c>
      <c r="L24" s="38">
        <v>33970959</v>
      </c>
      <c r="M24" s="38">
        <v>0</v>
      </c>
      <c r="N24" s="38">
        <v>0</v>
      </c>
      <c r="O24" s="38">
        <v>0</v>
      </c>
      <c r="P24" s="38">
        <v>0</v>
      </c>
      <c r="Q24" s="38">
        <v>26200000</v>
      </c>
      <c r="R24" s="38">
        <v>0</v>
      </c>
      <c r="S24" s="38">
        <v>0</v>
      </c>
      <c r="T24" s="38">
        <v>0</v>
      </c>
      <c r="U24" s="38">
        <v>160000000</v>
      </c>
      <c r="V24" s="38">
        <v>0</v>
      </c>
      <c r="W24" s="38">
        <v>0</v>
      </c>
      <c r="X24" s="38">
        <v>438934452</v>
      </c>
      <c r="Y24" s="38">
        <v>3447658413</v>
      </c>
      <c r="Z24" s="38">
        <v>214477560.11614999</v>
      </c>
      <c r="AA24" s="38">
        <v>3165176592</v>
      </c>
      <c r="AB24" s="37">
        <v>2600000</v>
      </c>
      <c r="AC24" s="37">
        <v>7000000</v>
      </c>
      <c r="AD24" s="37">
        <v>159934</v>
      </c>
      <c r="AE24" s="37">
        <v>2194803</v>
      </c>
      <c r="AF24" s="37">
        <v>15968160</v>
      </c>
      <c r="AG24" s="38">
        <v>4314967894</v>
      </c>
      <c r="AH24" s="38">
        <v>4914658332</v>
      </c>
      <c r="AI24" s="38">
        <v>4173773700</v>
      </c>
      <c r="AJ24" s="38">
        <v>0</v>
      </c>
      <c r="AK24" s="20"/>
    </row>
    <row r="25" spans="1:37" ht="15.75" customHeight="1" x14ac:dyDescent="0.25">
      <c r="A25" s="14">
        <v>46058</v>
      </c>
      <c r="B25" s="37">
        <v>1444.5</v>
      </c>
      <c r="C25" s="38">
        <v>0</v>
      </c>
      <c r="D25" s="38">
        <v>320945719.27999997</v>
      </c>
      <c r="E25" s="38">
        <v>11279310.41</v>
      </c>
      <c r="F25" s="38">
        <v>0</v>
      </c>
      <c r="G25" s="38">
        <v>7035000</v>
      </c>
      <c r="H25" s="38">
        <v>0</v>
      </c>
      <c r="I25" s="38">
        <v>927364812</v>
      </c>
      <c r="J25" s="38">
        <v>39500000</v>
      </c>
      <c r="K25" s="38">
        <v>0</v>
      </c>
      <c r="L25" s="38">
        <v>1370000</v>
      </c>
      <c r="M25" s="38">
        <v>0</v>
      </c>
      <c r="N25" s="38">
        <v>0</v>
      </c>
      <c r="O25" s="38">
        <v>0</v>
      </c>
      <c r="P25" s="38">
        <v>4485303</v>
      </c>
      <c r="Q25" s="38">
        <v>324204358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454796478</v>
      </c>
      <c r="Y25" s="38">
        <v>3020651934</v>
      </c>
      <c r="Z25" s="38">
        <v>214477560.11614999</v>
      </c>
      <c r="AA25" s="38">
        <v>3207730808.8299999</v>
      </c>
      <c r="AB25" s="37">
        <v>2600000</v>
      </c>
      <c r="AC25" s="37">
        <v>7000000</v>
      </c>
      <c r="AD25" s="37">
        <v>159934</v>
      </c>
      <c r="AE25" s="37">
        <v>2194803</v>
      </c>
      <c r="AF25" s="37">
        <v>17519790.008900002</v>
      </c>
      <c r="AG25" s="38">
        <v>4314967894</v>
      </c>
      <c r="AH25" s="38">
        <v>5096658066.6599998</v>
      </c>
      <c r="AI25" s="38">
        <v>4040751852</v>
      </c>
      <c r="AJ25" s="38">
        <v>0</v>
      </c>
      <c r="AK25" s="20"/>
    </row>
    <row r="26" spans="1:37" ht="15.75" customHeight="1" x14ac:dyDescent="0.25">
      <c r="A26" s="14">
        <v>46059</v>
      </c>
      <c r="B26" s="37">
        <v>1444.5</v>
      </c>
      <c r="C26" s="38">
        <v>0</v>
      </c>
      <c r="D26" s="38">
        <v>367721375</v>
      </c>
      <c r="E26" s="38">
        <v>91488275.230000004</v>
      </c>
      <c r="F26" s="38">
        <v>0</v>
      </c>
      <c r="G26" s="38">
        <v>5023000</v>
      </c>
      <c r="H26" s="38">
        <v>0</v>
      </c>
      <c r="I26" s="38">
        <v>936468481.95000005</v>
      </c>
      <c r="J26" s="38">
        <v>180790748.56</v>
      </c>
      <c r="K26" s="38">
        <v>0</v>
      </c>
      <c r="L26" s="38">
        <v>910000</v>
      </c>
      <c r="M26" s="38">
        <v>0</v>
      </c>
      <c r="N26" s="38">
        <v>0</v>
      </c>
      <c r="O26" s="38">
        <v>0</v>
      </c>
      <c r="P26" s="38">
        <v>0</v>
      </c>
      <c r="Q26" s="38">
        <v>234774657</v>
      </c>
      <c r="R26" s="38">
        <v>0</v>
      </c>
      <c r="S26" s="38">
        <v>820000</v>
      </c>
      <c r="T26" s="38">
        <v>0</v>
      </c>
      <c r="U26" s="38">
        <v>0</v>
      </c>
      <c r="V26" s="38">
        <v>0</v>
      </c>
      <c r="W26" s="38">
        <v>0</v>
      </c>
      <c r="X26" s="38">
        <v>674592454.94000006</v>
      </c>
      <c r="Y26" s="38">
        <v>2784376363</v>
      </c>
      <c r="Z26" s="38">
        <v>214477560.11614999</v>
      </c>
      <c r="AA26" s="38">
        <v>2925341786</v>
      </c>
      <c r="AB26" s="37">
        <v>2600000</v>
      </c>
      <c r="AC26" s="37">
        <v>7000000</v>
      </c>
      <c r="AD26" s="37">
        <v>159934</v>
      </c>
      <c r="AE26" s="37">
        <v>2194803</v>
      </c>
      <c r="AF26" s="37">
        <v>18502771.1349</v>
      </c>
      <c r="AG26" s="38">
        <v>4314967894</v>
      </c>
      <c r="AH26" s="38">
        <v>5435993073.0600004</v>
      </c>
      <c r="AI26" s="38">
        <v>4040751852</v>
      </c>
      <c r="AJ26" s="38">
        <v>0</v>
      </c>
      <c r="AK26" s="20"/>
    </row>
    <row r="27" spans="1:37" ht="15.75" customHeight="1" x14ac:dyDescent="0.25">
      <c r="A27" s="14">
        <v>46062</v>
      </c>
      <c r="B27" s="37">
        <v>1420</v>
      </c>
      <c r="C27" s="38">
        <v>0</v>
      </c>
      <c r="D27" s="38">
        <v>367721375.77999997</v>
      </c>
      <c r="E27" s="38">
        <v>131584000</v>
      </c>
      <c r="F27" s="38">
        <v>0</v>
      </c>
      <c r="G27" s="38">
        <v>7870000</v>
      </c>
      <c r="H27" s="38">
        <v>3162000</v>
      </c>
      <c r="I27" s="38">
        <v>936468481.95000005</v>
      </c>
      <c r="J27" s="38">
        <v>57538516.460000001</v>
      </c>
      <c r="K27" s="38">
        <v>0</v>
      </c>
      <c r="L27" s="38">
        <v>2011060</v>
      </c>
      <c r="M27" s="38">
        <v>0</v>
      </c>
      <c r="N27" s="38">
        <v>0</v>
      </c>
      <c r="O27" s="38">
        <v>5208938</v>
      </c>
      <c r="P27" s="38">
        <v>80444176</v>
      </c>
      <c r="Q27" s="38">
        <v>8740000</v>
      </c>
      <c r="R27" s="38">
        <v>0</v>
      </c>
      <c r="S27" s="38">
        <v>0</v>
      </c>
      <c r="T27" s="38">
        <v>0</v>
      </c>
      <c r="U27" s="38">
        <v>0</v>
      </c>
      <c r="V27" s="38">
        <v>0</v>
      </c>
      <c r="W27" s="38">
        <v>0</v>
      </c>
      <c r="X27" s="38">
        <v>721916440</v>
      </c>
      <c r="Y27" s="38">
        <v>2024911920</v>
      </c>
      <c r="Z27" s="38">
        <v>214477560.11614999</v>
      </c>
      <c r="AA27" s="38">
        <v>2876463440</v>
      </c>
      <c r="AB27" s="37">
        <v>2600000</v>
      </c>
      <c r="AC27" s="37">
        <v>7000000</v>
      </c>
      <c r="AD27" s="37">
        <v>159934</v>
      </c>
      <c r="AE27" s="37">
        <v>340000</v>
      </c>
      <c r="AF27" s="37">
        <v>17415153.775899999</v>
      </c>
      <c r="AG27" s="38">
        <v>4314967894</v>
      </c>
      <c r="AH27" s="38">
        <v>5576187293.1999998</v>
      </c>
      <c r="AI27" s="38">
        <v>4754093260</v>
      </c>
      <c r="AJ27" s="38">
        <v>0</v>
      </c>
      <c r="AK27" s="20"/>
    </row>
    <row r="28" spans="1:37" ht="15.75" customHeight="1" x14ac:dyDescent="0.25">
      <c r="A28" s="14">
        <v>46063</v>
      </c>
      <c r="B28" s="37">
        <v>1424</v>
      </c>
      <c r="C28" s="38">
        <v>0</v>
      </c>
      <c r="D28" s="38">
        <v>250860342.03</v>
      </c>
      <c r="E28" s="38">
        <v>148910080</v>
      </c>
      <c r="F28" s="38">
        <v>0</v>
      </c>
      <c r="G28" s="38">
        <v>7870000</v>
      </c>
      <c r="H28" s="38">
        <v>1837000</v>
      </c>
      <c r="I28" s="38">
        <v>1085878106</v>
      </c>
      <c r="J28" s="38">
        <v>53000000</v>
      </c>
      <c r="K28" s="38">
        <v>86098436</v>
      </c>
      <c r="L28" s="38">
        <v>10562189</v>
      </c>
      <c r="M28" s="38">
        <v>0</v>
      </c>
      <c r="N28" s="38">
        <v>0</v>
      </c>
      <c r="O28" s="38">
        <v>0</v>
      </c>
      <c r="P28" s="38">
        <v>39373808</v>
      </c>
      <c r="Q28" s="38">
        <v>144828097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720500835</v>
      </c>
      <c r="Y28" s="38">
        <v>1737786590</v>
      </c>
      <c r="Z28" s="38">
        <v>214477560.11614999</v>
      </c>
      <c r="AA28" s="38">
        <v>2876463440</v>
      </c>
      <c r="AB28" s="37">
        <v>2600000</v>
      </c>
      <c r="AC28" s="37">
        <v>7000000</v>
      </c>
      <c r="AD28" s="37">
        <v>159934</v>
      </c>
      <c r="AE28" s="37">
        <v>340000</v>
      </c>
      <c r="AF28" s="37">
        <v>16586630.9059</v>
      </c>
      <c r="AG28" s="38">
        <v>4314967894</v>
      </c>
      <c r="AH28" s="38">
        <v>5145348427.5200005</v>
      </c>
      <c r="AI28" s="38">
        <v>4487293136</v>
      </c>
      <c r="AJ28" s="38">
        <v>0</v>
      </c>
      <c r="AK28" s="20"/>
    </row>
    <row r="29" spans="1:37" ht="15.75" customHeight="1" x14ac:dyDescent="0.25">
      <c r="A29" s="14">
        <v>46064</v>
      </c>
      <c r="B29" s="37">
        <v>1401</v>
      </c>
      <c r="C29" s="38">
        <v>0</v>
      </c>
      <c r="D29" s="38">
        <v>412962529.63</v>
      </c>
      <c r="E29" s="38">
        <v>75857335.900000006</v>
      </c>
      <c r="F29" s="38">
        <v>0</v>
      </c>
      <c r="G29" s="38">
        <v>25974420</v>
      </c>
      <c r="H29" s="38">
        <v>1837000</v>
      </c>
      <c r="I29" s="38">
        <v>1085878106</v>
      </c>
      <c r="J29" s="38">
        <v>36252671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303297684</v>
      </c>
      <c r="R29" s="38">
        <v>0</v>
      </c>
      <c r="S29" s="38">
        <v>0</v>
      </c>
      <c r="T29" s="38">
        <v>6357800</v>
      </c>
      <c r="U29" s="38">
        <v>0</v>
      </c>
      <c r="V29" s="38">
        <v>0</v>
      </c>
      <c r="W29" s="38">
        <v>0</v>
      </c>
      <c r="X29" s="38">
        <v>757496514</v>
      </c>
      <c r="Y29" s="38">
        <v>1431349255</v>
      </c>
      <c r="Z29" s="38">
        <v>214477560.11614999</v>
      </c>
      <c r="AA29" s="38">
        <v>2711962132.23</v>
      </c>
      <c r="AB29" s="37">
        <v>1891000</v>
      </c>
      <c r="AC29" s="37">
        <v>7000000</v>
      </c>
      <c r="AD29" s="37">
        <v>159934</v>
      </c>
      <c r="AE29" s="37">
        <v>340000</v>
      </c>
      <c r="AF29" s="37">
        <v>19341120.947900001</v>
      </c>
      <c r="AG29" s="38">
        <v>4314967894</v>
      </c>
      <c r="AH29" s="38">
        <v>5182685087.5799999</v>
      </c>
      <c r="AI29" s="38">
        <v>4414815789</v>
      </c>
      <c r="AJ29" s="38">
        <v>0</v>
      </c>
      <c r="AK29" s="20"/>
    </row>
    <row r="30" spans="1:37" ht="15.75" customHeight="1" x14ac:dyDescent="0.25">
      <c r="A30" s="14">
        <v>46065</v>
      </c>
      <c r="B30" s="37">
        <v>1397</v>
      </c>
      <c r="C30" s="38">
        <v>0</v>
      </c>
      <c r="D30" s="38">
        <v>293776490</v>
      </c>
      <c r="E30" s="38">
        <v>14988736.300000001</v>
      </c>
      <c r="F30" s="38">
        <v>0</v>
      </c>
      <c r="G30" s="38">
        <v>84253263</v>
      </c>
      <c r="H30" s="38">
        <v>3592000</v>
      </c>
      <c r="I30" s="38">
        <v>1044507436.3</v>
      </c>
      <c r="J30" s="38">
        <v>121070139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163646918</v>
      </c>
      <c r="R30" s="38">
        <v>196000</v>
      </c>
      <c r="S30" s="38">
        <v>0</v>
      </c>
      <c r="T30" s="38">
        <v>44183000</v>
      </c>
      <c r="U30" s="38">
        <v>217500000</v>
      </c>
      <c r="V30" s="38">
        <v>0</v>
      </c>
      <c r="W30" s="38">
        <v>0</v>
      </c>
      <c r="X30" s="38">
        <v>876190197</v>
      </c>
      <c r="Y30" s="38">
        <v>1326635250</v>
      </c>
      <c r="Z30" s="38">
        <v>214477560.11614999</v>
      </c>
      <c r="AA30" s="38">
        <v>3033457515</v>
      </c>
      <c r="AB30" s="37">
        <v>1891000</v>
      </c>
      <c r="AC30" s="37">
        <v>7000000</v>
      </c>
      <c r="AD30" s="37">
        <v>159934</v>
      </c>
      <c r="AE30" s="37">
        <v>340000</v>
      </c>
      <c r="AF30" s="37">
        <v>20968249.771899998</v>
      </c>
      <c r="AG30" s="38">
        <v>4314967894</v>
      </c>
      <c r="AH30" s="38">
        <v>5060995622.21</v>
      </c>
      <c r="AI30" s="38">
        <v>4871410247</v>
      </c>
      <c r="AJ30" s="38">
        <v>0</v>
      </c>
      <c r="AK30" s="20"/>
    </row>
    <row r="31" spans="1:37" ht="15.75" customHeight="1" x14ac:dyDescent="0.25">
      <c r="A31" s="14">
        <v>46066</v>
      </c>
      <c r="B31" s="37">
        <v>1390</v>
      </c>
      <c r="C31" s="38">
        <v>0</v>
      </c>
      <c r="D31" s="38">
        <v>370086639</v>
      </c>
      <c r="E31" s="38">
        <v>303102290.5</v>
      </c>
      <c r="F31" s="38">
        <v>0</v>
      </c>
      <c r="G31" s="38">
        <v>13209512</v>
      </c>
      <c r="H31" s="38">
        <v>3592000</v>
      </c>
      <c r="I31" s="38">
        <v>1029555798.8</v>
      </c>
      <c r="J31" s="38">
        <v>253863807</v>
      </c>
      <c r="K31" s="38">
        <v>0</v>
      </c>
      <c r="L31" s="38">
        <v>15597130</v>
      </c>
      <c r="M31" s="38">
        <v>0</v>
      </c>
      <c r="N31" s="38">
        <v>0</v>
      </c>
      <c r="O31" s="38">
        <v>0</v>
      </c>
      <c r="P31" s="38">
        <v>2695066</v>
      </c>
      <c r="Q31" s="38">
        <v>296267289</v>
      </c>
      <c r="R31" s="38">
        <v>0</v>
      </c>
      <c r="S31" s="38">
        <v>0</v>
      </c>
      <c r="T31" s="38">
        <v>3407600</v>
      </c>
      <c r="U31" s="38">
        <v>0</v>
      </c>
      <c r="V31" s="38">
        <v>0</v>
      </c>
      <c r="W31" s="38">
        <v>0</v>
      </c>
      <c r="X31" s="38">
        <v>619794022</v>
      </c>
      <c r="Y31" s="38">
        <v>890074006</v>
      </c>
      <c r="Z31" s="38">
        <v>214477560.11614999</v>
      </c>
      <c r="AA31" s="38">
        <v>3377991458</v>
      </c>
      <c r="AB31" s="37">
        <v>1891000</v>
      </c>
      <c r="AC31" s="37">
        <v>7000000</v>
      </c>
      <c r="AD31" s="37">
        <v>159934</v>
      </c>
      <c r="AE31" s="37">
        <v>340000</v>
      </c>
      <c r="AF31" s="37">
        <v>21569863.229899999</v>
      </c>
      <c r="AG31" s="38">
        <v>4314967894</v>
      </c>
      <c r="AH31" s="38">
        <v>4400949862.1999998</v>
      </c>
      <c r="AI31" s="38">
        <v>4847000890</v>
      </c>
      <c r="AJ31" s="38">
        <v>0</v>
      </c>
      <c r="AK31" s="20"/>
    </row>
    <row r="32" spans="1:37" ht="15.75" customHeight="1" x14ac:dyDescent="0.25">
      <c r="A32" s="14">
        <v>46071</v>
      </c>
      <c r="B32" s="37">
        <v>1392</v>
      </c>
      <c r="C32" s="38">
        <v>0</v>
      </c>
      <c r="D32" s="38">
        <v>199109312.43000001</v>
      </c>
      <c r="E32" s="38">
        <v>144835038</v>
      </c>
      <c r="F32" s="38">
        <v>0</v>
      </c>
      <c r="G32" s="38">
        <v>0</v>
      </c>
      <c r="H32" s="38">
        <v>8738000</v>
      </c>
      <c r="I32" s="38">
        <v>948986533</v>
      </c>
      <c r="J32" s="38">
        <v>186793349</v>
      </c>
      <c r="K32" s="38">
        <v>0</v>
      </c>
      <c r="L32" s="38">
        <v>86625124</v>
      </c>
      <c r="M32" s="38">
        <v>0</v>
      </c>
      <c r="N32" s="38">
        <v>0</v>
      </c>
      <c r="O32" s="38">
        <v>0</v>
      </c>
      <c r="P32" s="38">
        <v>161197972</v>
      </c>
      <c r="Q32" s="38">
        <v>33591907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835051875</v>
      </c>
      <c r="Y32" s="38">
        <v>867784665</v>
      </c>
      <c r="Z32" s="38">
        <v>214477560.11614999</v>
      </c>
      <c r="AA32" s="38">
        <v>3005364474</v>
      </c>
      <c r="AB32" s="37">
        <v>2069775.5603799999</v>
      </c>
      <c r="AC32" s="37">
        <v>7000000</v>
      </c>
      <c r="AD32" s="37">
        <v>159934</v>
      </c>
      <c r="AE32" s="37">
        <v>160000</v>
      </c>
      <c r="AF32" s="37">
        <v>25001268.1459</v>
      </c>
      <c r="AG32" s="38">
        <v>4314967894</v>
      </c>
      <c r="AH32" s="38">
        <v>4176337671.3600001</v>
      </c>
      <c r="AI32" s="38">
        <v>4780591536</v>
      </c>
      <c r="AJ32" s="38">
        <v>0</v>
      </c>
      <c r="AK32" s="20"/>
    </row>
    <row r="33" spans="1:37" ht="15.75" customHeight="1" x14ac:dyDescent="0.25">
      <c r="A33" s="14">
        <v>46072</v>
      </c>
      <c r="B33" s="37">
        <v>1400</v>
      </c>
      <c r="C33" s="38">
        <v>0</v>
      </c>
      <c r="D33" s="38">
        <v>199109312.43000001</v>
      </c>
      <c r="E33" s="38">
        <v>432170063.72000003</v>
      </c>
      <c r="F33" s="38">
        <v>0</v>
      </c>
      <c r="G33" s="38">
        <v>9203904</v>
      </c>
      <c r="H33" s="38">
        <v>8027000</v>
      </c>
      <c r="I33" s="38">
        <v>948986533</v>
      </c>
      <c r="J33" s="38">
        <v>206806634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2851083</v>
      </c>
      <c r="Q33" s="38">
        <v>169606421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680394629</v>
      </c>
      <c r="Y33" s="38">
        <v>828444868</v>
      </c>
      <c r="Z33" s="38">
        <v>214477560.11614999</v>
      </c>
      <c r="AA33" s="38">
        <v>3088402474</v>
      </c>
      <c r="AB33" s="37">
        <v>2069775.5603799999</v>
      </c>
      <c r="AC33" s="37">
        <v>7000000</v>
      </c>
      <c r="AD33" s="37">
        <v>159934</v>
      </c>
      <c r="AE33" s="37">
        <v>160000</v>
      </c>
      <c r="AF33" s="37">
        <v>24517322.505899999</v>
      </c>
      <c r="AG33" s="38">
        <v>4314967894</v>
      </c>
      <c r="AH33" s="38">
        <v>5044274592</v>
      </c>
      <c r="AI33" s="38">
        <v>4299401400</v>
      </c>
      <c r="AJ33" s="38">
        <v>0</v>
      </c>
      <c r="AK33" s="20"/>
    </row>
    <row r="34" spans="1:37" ht="15.75" customHeight="1" x14ac:dyDescent="0.25">
      <c r="A34" s="14">
        <v>46073</v>
      </c>
      <c r="B34" s="37">
        <v>1400</v>
      </c>
      <c r="C34" s="38">
        <v>0</v>
      </c>
      <c r="D34" s="38">
        <v>237801783</v>
      </c>
      <c r="E34" s="38">
        <v>100111404</v>
      </c>
      <c r="F34" s="38">
        <v>0</v>
      </c>
      <c r="G34" s="38">
        <v>9063066</v>
      </c>
      <c r="H34" s="38">
        <v>8027000</v>
      </c>
      <c r="I34" s="38">
        <v>1072996073</v>
      </c>
      <c r="J34" s="38">
        <v>311844291.68000001</v>
      </c>
      <c r="K34" s="38">
        <v>0</v>
      </c>
      <c r="L34" s="38">
        <v>3414402</v>
      </c>
      <c r="M34" s="38">
        <v>0</v>
      </c>
      <c r="N34" s="38">
        <v>0</v>
      </c>
      <c r="O34" s="38">
        <v>0</v>
      </c>
      <c r="P34" s="38">
        <v>31673245</v>
      </c>
      <c r="Q34" s="38">
        <v>225992533</v>
      </c>
      <c r="R34" s="38">
        <v>99212211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581961431.82000005</v>
      </c>
      <c r="Y34" s="38">
        <v>508533057</v>
      </c>
      <c r="Z34" s="38">
        <v>214477560.11614999</v>
      </c>
      <c r="AA34" s="38">
        <v>3164986661</v>
      </c>
      <c r="AB34" s="37">
        <v>2069775.5603799999</v>
      </c>
      <c r="AC34" s="37">
        <v>7000000</v>
      </c>
      <c r="AD34" s="37">
        <v>159934</v>
      </c>
      <c r="AE34" s="37">
        <v>160000</v>
      </c>
      <c r="AF34" s="37">
        <v>23952278.835900001</v>
      </c>
      <c r="AG34" s="38">
        <v>4314967894</v>
      </c>
      <c r="AH34" s="38">
        <v>5063733332</v>
      </c>
      <c r="AI34" s="38">
        <v>4299402800</v>
      </c>
      <c r="AJ34" s="38">
        <v>0</v>
      </c>
      <c r="AK34" s="20"/>
    </row>
    <row r="35" spans="1:37" ht="15.75" customHeight="1" x14ac:dyDescent="0.25">
      <c r="A35" s="14">
        <v>46076</v>
      </c>
      <c r="B35" s="37">
        <v>1381</v>
      </c>
      <c r="C35" s="38">
        <v>0</v>
      </c>
      <c r="D35" s="38">
        <v>271127724.37</v>
      </c>
      <c r="E35" s="38">
        <v>109253469</v>
      </c>
      <c r="F35" s="38">
        <v>0</v>
      </c>
      <c r="G35" s="38">
        <v>8330094.5599999996</v>
      </c>
      <c r="H35" s="38">
        <v>1789000</v>
      </c>
      <c r="I35" s="38">
        <v>969499641</v>
      </c>
      <c r="J35" s="38">
        <v>126135705.5</v>
      </c>
      <c r="K35" s="38">
        <v>0</v>
      </c>
      <c r="L35" s="38">
        <v>5088637</v>
      </c>
      <c r="M35" s="38">
        <v>0</v>
      </c>
      <c r="N35" s="38">
        <v>0</v>
      </c>
      <c r="O35" s="38">
        <v>74920045</v>
      </c>
      <c r="P35" s="38">
        <v>10247874</v>
      </c>
      <c r="Q35" s="38">
        <v>1001203</v>
      </c>
      <c r="R35" s="38">
        <v>169473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573391030</v>
      </c>
      <c r="Y35" s="38">
        <v>531590280</v>
      </c>
      <c r="Z35" s="38">
        <v>214477560.11614999</v>
      </c>
      <c r="AA35" s="38">
        <v>3108514290</v>
      </c>
      <c r="AB35" s="37">
        <v>2069775.5603799999</v>
      </c>
      <c r="AC35" s="37">
        <v>7000000</v>
      </c>
      <c r="AD35" s="37">
        <v>159934</v>
      </c>
      <c r="AE35" s="37">
        <v>160000</v>
      </c>
      <c r="AF35" s="37">
        <v>27925531.285399999</v>
      </c>
      <c r="AG35" s="38">
        <v>5449654020.2399998</v>
      </c>
      <c r="AH35" s="38">
        <v>4300010557.7799997</v>
      </c>
      <c r="AI35" s="38">
        <v>4241053762</v>
      </c>
      <c r="AJ35" s="38">
        <v>0</v>
      </c>
      <c r="AK35" s="20"/>
    </row>
    <row r="36" spans="1:37" ht="15.75" customHeight="1" x14ac:dyDescent="0.25">
      <c r="A36" s="14">
        <v>46077</v>
      </c>
      <c r="B36" s="37">
        <v>1360.5</v>
      </c>
      <c r="C36" s="38">
        <v>0</v>
      </c>
      <c r="D36" s="38">
        <v>327480214</v>
      </c>
      <c r="E36" s="38">
        <v>57330000</v>
      </c>
      <c r="F36" s="38">
        <v>0</v>
      </c>
      <c r="G36" s="38">
        <v>8189000</v>
      </c>
      <c r="H36" s="38">
        <v>20047000</v>
      </c>
      <c r="I36" s="38">
        <v>923362814</v>
      </c>
      <c r="J36" s="38">
        <v>137500000</v>
      </c>
      <c r="K36" s="38">
        <v>0</v>
      </c>
      <c r="L36" s="38">
        <v>0</v>
      </c>
      <c r="M36" s="38">
        <v>0</v>
      </c>
      <c r="N36" s="38">
        <v>0</v>
      </c>
      <c r="O36" s="38">
        <v>19226592</v>
      </c>
      <c r="P36" s="38">
        <v>0</v>
      </c>
      <c r="Q36" s="38">
        <v>47848812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676639022.63999999</v>
      </c>
      <c r="Y36" s="38">
        <v>673637824</v>
      </c>
      <c r="Z36" s="38">
        <v>214477560.11614999</v>
      </c>
      <c r="AA36" s="38">
        <v>3377260148</v>
      </c>
      <c r="AB36" s="37">
        <v>2069775.5603799999</v>
      </c>
      <c r="AC36" s="37">
        <v>7000000</v>
      </c>
      <c r="AD36" s="37">
        <v>91766.133942161294</v>
      </c>
      <c r="AE36" s="37">
        <v>160000</v>
      </c>
      <c r="AF36" s="37">
        <v>29064269.106400002</v>
      </c>
      <c r="AG36" s="38">
        <v>5449654020.2399998</v>
      </c>
      <c r="AH36" s="38">
        <v>4370822117</v>
      </c>
      <c r="AI36" s="38">
        <v>3971432697</v>
      </c>
      <c r="AJ36" s="38">
        <v>0</v>
      </c>
      <c r="AK36" s="20"/>
    </row>
    <row r="37" spans="1:37" ht="15.75" customHeight="1" x14ac:dyDescent="0.25">
      <c r="A37" s="14">
        <v>46078</v>
      </c>
      <c r="B37" s="37">
        <v>1373.5</v>
      </c>
      <c r="C37" s="38">
        <v>0</v>
      </c>
      <c r="D37" s="38">
        <v>334068220</v>
      </c>
      <c r="E37" s="38">
        <v>72223559</v>
      </c>
      <c r="F37" s="38">
        <v>0</v>
      </c>
      <c r="G37" s="38">
        <v>8330094</v>
      </c>
      <c r="H37" s="38">
        <v>18349000</v>
      </c>
      <c r="I37" s="38">
        <v>1085019063</v>
      </c>
      <c r="J37" s="38">
        <v>151271830.47999999</v>
      </c>
      <c r="K37" s="38">
        <v>0</v>
      </c>
      <c r="L37" s="38">
        <v>6906450</v>
      </c>
      <c r="M37" s="38">
        <v>0</v>
      </c>
      <c r="N37" s="38">
        <v>0</v>
      </c>
      <c r="O37" s="38">
        <v>0</v>
      </c>
      <c r="P37" s="38">
        <v>0</v>
      </c>
      <c r="Q37" s="38">
        <v>101005178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520316940.91000003</v>
      </c>
      <c r="Y37" s="38">
        <v>661826703</v>
      </c>
      <c r="Z37" s="38">
        <v>214477560.11614999</v>
      </c>
      <c r="AA37" s="38">
        <v>3423061266</v>
      </c>
      <c r="AB37" s="37">
        <v>2069775.5603799999</v>
      </c>
      <c r="AC37" s="37">
        <v>7000000</v>
      </c>
      <c r="AD37" s="37">
        <v>91766.133942161294</v>
      </c>
      <c r="AE37" s="37">
        <v>160000</v>
      </c>
      <c r="AF37" s="37">
        <v>23422686.356400002</v>
      </c>
      <c r="AG37" s="38">
        <v>5449654020.2399998</v>
      </c>
      <c r="AH37" s="38">
        <v>4254339169.1799998</v>
      </c>
      <c r="AI37" s="38">
        <v>3950371422.5</v>
      </c>
      <c r="AJ37" s="38">
        <v>0</v>
      </c>
      <c r="AK37" s="20"/>
    </row>
    <row r="38" spans="1:37" ht="15.75" customHeight="1" x14ac:dyDescent="0.25">
      <c r="A38" s="14">
        <v>46079</v>
      </c>
      <c r="B38" s="37">
        <v>1383.5</v>
      </c>
      <c r="C38" s="38">
        <v>0</v>
      </c>
      <c r="D38" s="38">
        <v>351573427</v>
      </c>
      <c r="E38" s="38">
        <v>71669169</v>
      </c>
      <c r="F38" s="38">
        <v>0</v>
      </c>
      <c r="G38" s="38">
        <v>7843397</v>
      </c>
      <c r="H38" s="38">
        <v>13132000</v>
      </c>
      <c r="I38" s="38">
        <v>1179025403</v>
      </c>
      <c r="J38" s="38">
        <v>204642170</v>
      </c>
      <c r="K38" s="38">
        <v>0</v>
      </c>
      <c r="L38" s="38">
        <v>76598976</v>
      </c>
      <c r="M38" s="38">
        <v>0</v>
      </c>
      <c r="N38" s="38">
        <v>0</v>
      </c>
      <c r="O38" s="38">
        <v>0</v>
      </c>
      <c r="P38" s="38">
        <v>0</v>
      </c>
      <c r="Q38" s="38">
        <v>89512252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483343000.49000001</v>
      </c>
      <c r="Y38" s="38">
        <v>576973938</v>
      </c>
      <c r="Z38" s="38">
        <v>214477560.11614999</v>
      </c>
      <c r="AA38" s="38">
        <v>3737477951</v>
      </c>
      <c r="AB38" s="37">
        <v>2069775.5603799999</v>
      </c>
      <c r="AC38" s="37">
        <v>7000000</v>
      </c>
      <c r="AD38" s="37">
        <v>91766.133942161294</v>
      </c>
      <c r="AE38" s="37">
        <v>160000</v>
      </c>
      <c r="AF38" s="37">
        <v>23733137.106400002</v>
      </c>
      <c r="AG38" s="38">
        <v>5449654020.2399998</v>
      </c>
      <c r="AH38" s="38">
        <v>4437541773.1800003</v>
      </c>
      <c r="AI38" s="38">
        <v>3979132772.5</v>
      </c>
      <c r="AJ38" s="38">
        <v>0</v>
      </c>
      <c r="AK38" s="20"/>
    </row>
    <row r="39" spans="1:37" ht="15.75" customHeight="1" x14ac:dyDescent="0.25">
      <c r="A39" s="14">
        <v>46080</v>
      </c>
      <c r="B39" s="37">
        <v>1401</v>
      </c>
      <c r="C39" s="38">
        <v>0</v>
      </c>
      <c r="D39" s="38">
        <v>183330106</v>
      </c>
      <c r="E39" s="38">
        <v>84920362.920000002</v>
      </c>
      <c r="F39" s="38">
        <v>0</v>
      </c>
      <c r="G39" s="38">
        <v>5730085</v>
      </c>
      <c r="H39" s="38">
        <v>13132000</v>
      </c>
      <c r="I39" s="38">
        <v>1179025403</v>
      </c>
      <c r="J39" s="38">
        <v>172297523</v>
      </c>
      <c r="K39" s="38">
        <v>0</v>
      </c>
      <c r="L39" s="38">
        <v>16268450</v>
      </c>
      <c r="M39" s="38">
        <v>0</v>
      </c>
      <c r="N39" s="38">
        <v>0</v>
      </c>
      <c r="O39" s="38">
        <v>2577030</v>
      </c>
      <c r="P39" s="38">
        <v>2105000</v>
      </c>
      <c r="Q39" s="38">
        <v>41967151</v>
      </c>
      <c r="R39" s="38">
        <v>0</v>
      </c>
      <c r="S39" s="38">
        <v>0</v>
      </c>
      <c r="T39" s="38">
        <v>0</v>
      </c>
      <c r="U39" s="38">
        <v>0</v>
      </c>
      <c r="V39" s="38">
        <v>0</v>
      </c>
      <c r="W39" s="38">
        <v>0</v>
      </c>
      <c r="X39" s="38">
        <v>366919093</v>
      </c>
      <c r="Y39" s="38">
        <v>806671433</v>
      </c>
      <c r="Z39" s="38">
        <v>214477560.11614999</v>
      </c>
      <c r="AA39" s="38">
        <v>3339538712</v>
      </c>
      <c r="AB39" s="37">
        <v>2069775.5603799999</v>
      </c>
      <c r="AC39" s="37">
        <v>7000000</v>
      </c>
      <c r="AD39" s="37">
        <v>91766.133942161294</v>
      </c>
      <c r="AE39" s="37">
        <v>160000</v>
      </c>
      <c r="AF39" s="37">
        <v>19134326.856400002</v>
      </c>
      <c r="AG39" s="38">
        <v>5449654020.2399998</v>
      </c>
      <c r="AH39" s="38">
        <v>5427743020.0200005</v>
      </c>
      <c r="AI39" s="38">
        <v>4029465135</v>
      </c>
      <c r="AJ39" s="38">
        <v>0</v>
      </c>
      <c r="AK39" s="20"/>
    </row>
    <row r="40" spans="1:37" ht="15.75" customHeight="1" x14ac:dyDescent="0.25">
      <c r="A40" s="14">
        <v>46083</v>
      </c>
      <c r="B40" s="37">
        <v>1407</v>
      </c>
      <c r="C40" s="38">
        <v>0</v>
      </c>
      <c r="D40" s="38">
        <v>306435931</v>
      </c>
      <c r="E40" s="38">
        <v>150556000</v>
      </c>
      <c r="F40" s="38">
        <v>0</v>
      </c>
      <c r="G40" s="38">
        <v>2454000</v>
      </c>
      <c r="H40" s="38">
        <v>7836000</v>
      </c>
      <c r="I40" s="38">
        <v>884827301</v>
      </c>
      <c r="J40" s="38">
        <v>71036107</v>
      </c>
      <c r="K40" s="38">
        <v>0</v>
      </c>
      <c r="L40" s="38">
        <v>120145994</v>
      </c>
      <c r="M40" s="38">
        <v>0</v>
      </c>
      <c r="N40" s="38">
        <v>0</v>
      </c>
      <c r="O40" s="38">
        <v>0</v>
      </c>
      <c r="P40" s="38">
        <v>0</v>
      </c>
      <c r="Q40" s="38">
        <v>218398243</v>
      </c>
      <c r="R40" s="38">
        <v>0</v>
      </c>
      <c r="S40" s="38">
        <v>0</v>
      </c>
      <c r="T40" s="38">
        <v>0</v>
      </c>
      <c r="U40" s="38">
        <v>300000000</v>
      </c>
      <c r="V40" s="38">
        <v>0</v>
      </c>
      <c r="W40" s="38">
        <v>0</v>
      </c>
      <c r="X40" s="38">
        <v>835950369.23000002</v>
      </c>
      <c r="Y40" s="38">
        <v>4912915306</v>
      </c>
      <c r="Z40" s="38">
        <v>208603111.9149</v>
      </c>
      <c r="AA40" s="38">
        <v>3680992093</v>
      </c>
      <c r="AB40" s="37">
        <v>2069775.5603799999</v>
      </c>
      <c r="AC40" s="37">
        <v>8000000</v>
      </c>
      <c r="AD40" s="37">
        <v>121516.133942161</v>
      </c>
      <c r="AE40" s="37">
        <v>160000</v>
      </c>
      <c r="AF40" s="37">
        <v>20540711.7064</v>
      </c>
      <c r="AG40" s="38">
        <v>5449654020.2399998</v>
      </c>
      <c r="AH40" s="38">
        <v>6279791343</v>
      </c>
      <c r="AI40" s="38">
        <v>5798480562</v>
      </c>
      <c r="AJ40" s="38">
        <v>534521439.73000002</v>
      </c>
      <c r="AK40" s="20"/>
    </row>
    <row r="41" spans="1:37" ht="15.75" customHeight="1" x14ac:dyDescent="0.25">
      <c r="A41" s="14">
        <v>46084</v>
      </c>
      <c r="B41" s="37">
        <v>1403</v>
      </c>
      <c r="C41" s="38">
        <v>0</v>
      </c>
      <c r="D41" s="38">
        <v>356734583.68000001</v>
      </c>
      <c r="E41" s="38">
        <v>-19705000</v>
      </c>
      <c r="F41" s="38">
        <v>0</v>
      </c>
      <c r="G41" s="38">
        <v>5648339</v>
      </c>
      <c r="H41" s="38">
        <v>7836000</v>
      </c>
      <c r="I41" s="38">
        <v>834315279</v>
      </c>
      <c r="J41" s="38">
        <v>199849164</v>
      </c>
      <c r="K41" s="38">
        <v>0</v>
      </c>
      <c r="L41" s="38">
        <v>31790070</v>
      </c>
      <c r="M41" s="38">
        <v>0</v>
      </c>
      <c r="N41" s="38">
        <v>0</v>
      </c>
      <c r="O41" s="38">
        <v>0</v>
      </c>
      <c r="P41" s="38">
        <v>0</v>
      </c>
      <c r="Q41" s="38">
        <v>163566887</v>
      </c>
      <c r="R41" s="38">
        <v>0</v>
      </c>
      <c r="S41" s="38">
        <v>0</v>
      </c>
      <c r="T41" s="38">
        <v>0</v>
      </c>
      <c r="U41" s="38">
        <v>40000000</v>
      </c>
      <c r="V41" s="38">
        <v>0</v>
      </c>
      <c r="W41" s="38">
        <v>0</v>
      </c>
      <c r="X41" s="38">
        <v>585291899</v>
      </c>
      <c r="Y41" s="38">
        <v>4741020562</v>
      </c>
      <c r="Z41" s="38">
        <v>208603111.9149</v>
      </c>
      <c r="AA41" s="38">
        <v>3684822493</v>
      </c>
      <c r="AB41" s="37">
        <v>2069775.5603799999</v>
      </c>
      <c r="AC41" s="37">
        <v>8000000</v>
      </c>
      <c r="AD41" s="37">
        <v>121516.133942161</v>
      </c>
      <c r="AE41" s="37">
        <v>160000</v>
      </c>
      <c r="AF41" s="37">
        <v>20789326.056400001</v>
      </c>
      <c r="AG41" s="38">
        <v>5449654020.2399998</v>
      </c>
      <c r="AH41" s="38">
        <v>6199819175.1199999</v>
      </c>
      <c r="AI41" s="38">
        <v>5781995898</v>
      </c>
      <c r="AJ41" s="38">
        <v>39992216</v>
      </c>
      <c r="AK41" s="20"/>
    </row>
    <row r="42" spans="1:37" ht="15.75" customHeight="1" x14ac:dyDescent="0.25">
      <c r="A42" s="14">
        <v>46085</v>
      </c>
      <c r="B42" s="37">
        <v>1407</v>
      </c>
      <c r="C42" s="38">
        <v>0</v>
      </c>
      <c r="D42" s="38">
        <v>393222849.68000001</v>
      </c>
      <c r="E42" s="38">
        <v>90636589.129999995</v>
      </c>
      <c r="F42" s="38">
        <v>0</v>
      </c>
      <c r="G42" s="38">
        <v>5357000</v>
      </c>
      <c r="H42" s="38">
        <v>4507000</v>
      </c>
      <c r="I42" s="38">
        <v>872621589</v>
      </c>
      <c r="J42" s="38">
        <v>104843862</v>
      </c>
      <c r="K42" s="38">
        <v>0</v>
      </c>
      <c r="L42" s="38">
        <v>14678610</v>
      </c>
      <c r="M42" s="38">
        <v>0</v>
      </c>
      <c r="N42" s="38">
        <v>0</v>
      </c>
      <c r="O42" s="38">
        <v>0</v>
      </c>
      <c r="P42" s="38">
        <v>7753901</v>
      </c>
      <c r="Q42" s="38">
        <v>67696843</v>
      </c>
      <c r="R42" s="38">
        <v>0</v>
      </c>
      <c r="S42" s="38">
        <v>0</v>
      </c>
      <c r="T42" s="38">
        <v>0</v>
      </c>
      <c r="U42" s="38">
        <v>300000000</v>
      </c>
      <c r="V42" s="38">
        <v>0</v>
      </c>
      <c r="W42" s="38">
        <v>0</v>
      </c>
      <c r="X42" s="38">
        <v>1325376841.9200001</v>
      </c>
      <c r="Y42" s="38">
        <v>4648463632</v>
      </c>
      <c r="Z42" s="38">
        <v>208603111.9149</v>
      </c>
      <c r="AA42" s="38">
        <v>4651050912</v>
      </c>
      <c r="AB42" s="37">
        <v>2069775.5603799999</v>
      </c>
      <c r="AC42" s="37">
        <v>8000000</v>
      </c>
      <c r="AD42" s="37">
        <v>121516.133942161</v>
      </c>
      <c r="AE42" s="37">
        <v>160000</v>
      </c>
      <c r="AF42" s="37">
        <v>15795731.806399999</v>
      </c>
      <c r="AG42" s="38">
        <v>5449654020.2399998</v>
      </c>
      <c r="AH42" s="38">
        <v>5551402920</v>
      </c>
      <c r="AI42" s="38">
        <v>5685934632</v>
      </c>
      <c r="AJ42" s="38">
        <v>298040764</v>
      </c>
      <c r="AK42" s="20"/>
    </row>
    <row r="43" spans="1:37" ht="15.75" customHeight="1" x14ac:dyDescent="0.25">
      <c r="A43" s="14">
        <v>46086</v>
      </c>
      <c r="B43" s="37">
        <v>1400.5</v>
      </c>
      <c r="C43" s="38">
        <v>0</v>
      </c>
      <c r="D43" s="38">
        <v>412879299</v>
      </c>
      <c r="E43" s="38">
        <v>137297000</v>
      </c>
      <c r="F43" s="38">
        <v>0</v>
      </c>
      <c r="G43" s="38">
        <v>13802000</v>
      </c>
      <c r="H43" s="38">
        <v>2072000</v>
      </c>
      <c r="I43" s="38">
        <v>894699296</v>
      </c>
      <c r="J43" s="38">
        <v>69280210</v>
      </c>
      <c r="K43" s="38">
        <v>0</v>
      </c>
      <c r="L43" s="38">
        <v>8400000</v>
      </c>
      <c r="M43" s="38">
        <v>0</v>
      </c>
      <c r="N43" s="38">
        <v>0</v>
      </c>
      <c r="O43" s="38">
        <v>0</v>
      </c>
      <c r="P43" s="38">
        <v>0</v>
      </c>
      <c r="Q43" s="38">
        <v>496982362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  <c r="X43" s="38">
        <v>870700115</v>
      </c>
      <c r="Y43" s="38">
        <v>3956419857</v>
      </c>
      <c r="Z43" s="38">
        <v>208603111.9149</v>
      </c>
      <c r="AA43" s="38">
        <v>4662476319</v>
      </c>
      <c r="AB43" s="37">
        <v>2069775.5603799999</v>
      </c>
      <c r="AC43" s="37">
        <v>8000000</v>
      </c>
      <c r="AD43" s="37">
        <v>121807.80060882799</v>
      </c>
      <c r="AE43" s="37">
        <v>160000</v>
      </c>
      <c r="AF43" s="37">
        <v>15828196.7064</v>
      </c>
      <c r="AG43" s="38">
        <v>5449654020.2399998</v>
      </c>
      <c r="AH43" s="38">
        <v>5722690888.5</v>
      </c>
      <c r="AI43" s="38">
        <v>6727934776</v>
      </c>
      <c r="AJ43" s="38">
        <v>840</v>
      </c>
      <c r="AK43" s="20"/>
    </row>
    <row r="44" spans="1:37" ht="15.75" customHeight="1" x14ac:dyDescent="0.25">
      <c r="A44" s="14">
        <v>46087</v>
      </c>
      <c r="B44" s="37">
        <v>1405</v>
      </c>
      <c r="C44" s="38">
        <v>0</v>
      </c>
      <c r="D44" s="38">
        <v>412879299</v>
      </c>
      <c r="E44" s="38">
        <v>158495000</v>
      </c>
      <c r="F44" s="38">
        <v>0</v>
      </c>
      <c r="G44" s="38">
        <v>12795000</v>
      </c>
      <c r="H44" s="38">
        <v>8048000</v>
      </c>
      <c r="I44" s="38">
        <v>1105369336</v>
      </c>
      <c r="J44" s="38">
        <v>138205000</v>
      </c>
      <c r="K44" s="38">
        <v>0</v>
      </c>
      <c r="L44" s="38">
        <v>2644096</v>
      </c>
      <c r="M44" s="38">
        <v>0</v>
      </c>
      <c r="N44" s="38">
        <v>0</v>
      </c>
      <c r="O44" s="38">
        <v>0</v>
      </c>
      <c r="P44" s="38">
        <v>0</v>
      </c>
      <c r="Q44" s="38">
        <v>165132703</v>
      </c>
      <c r="R44" s="38">
        <v>0</v>
      </c>
      <c r="S44" s="38">
        <v>0</v>
      </c>
      <c r="T44" s="38">
        <v>0</v>
      </c>
      <c r="U44" s="38">
        <v>300000000</v>
      </c>
      <c r="V44" s="38">
        <v>0</v>
      </c>
      <c r="W44" s="38">
        <v>0</v>
      </c>
      <c r="X44" s="38">
        <v>547535196</v>
      </c>
      <c r="Y44" s="38">
        <v>3952725761</v>
      </c>
      <c r="Z44" s="38">
        <v>208603111.9149</v>
      </c>
      <c r="AA44" s="38">
        <v>4660238685</v>
      </c>
      <c r="AB44" s="37">
        <v>2069775.5603799999</v>
      </c>
      <c r="AC44" s="37">
        <v>8000000</v>
      </c>
      <c r="AD44" s="37">
        <v>121807.80060882799</v>
      </c>
      <c r="AE44" s="37">
        <v>160000</v>
      </c>
      <c r="AF44" s="37">
        <v>15828196.7064</v>
      </c>
      <c r="AG44" s="38">
        <v>5449654020.2399998</v>
      </c>
      <c r="AH44" s="38">
        <v>5669231298.3500004</v>
      </c>
      <c r="AI44" s="38">
        <v>5790238230</v>
      </c>
      <c r="AJ44" s="38">
        <v>840</v>
      </c>
      <c r="AK44" s="20"/>
    </row>
    <row r="45" spans="1:37" ht="15.75" customHeight="1" x14ac:dyDescent="0.25">
      <c r="A45" s="14">
        <v>46090</v>
      </c>
      <c r="B45" s="37">
        <v>1405</v>
      </c>
      <c r="C45" s="38">
        <v>0</v>
      </c>
      <c r="D45" s="38">
        <v>445688779.68000001</v>
      </c>
      <c r="E45" s="38">
        <v>107811032</v>
      </c>
      <c r="F45" s="38">
        <v>0</v>
      </c>
      <c r="G45" s="38">
        <v>18663717</v>
      </c>
      <c r="H45" s="38">
        <v>8048000</v>
      </c>
      <c r="I45" s="38">
        <v>1249156888</v>
      </c>
      <c r="J45" s="38">
        <v>844639.62</v>
      </c>
      <c r="K45" s="38">
        <v>0</v>
      </c>
      <c r="L45" s="38">
        <v>88098086</v>
      </c>
      <c r="M45" s="38">
        <v>0</v>
      </c>
      <c r="N45" s="38">
        <v>0</v>
      </c>
      <c r="O45" s="38">
        <v>2118950</v>
      </c>
      <c r="P45" s="38">
        <v>40110389</v>
      </c>
      <c r="Q45" s="38">
        <v>1356016293.2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  <c r="X45" s="38">
        <v>621207239</v>
      </c>
      <c r="Y45" s="38">
        <v>2772139921</v>
      </c>
      <c r="Z45" s="38">
        <v>208603111.9149</v>
      </c>
      <c r="AA45" s="38">
        <v>5451953419</v>
      </c>
      <c r="AB45" s="37">
        <v>2069775.5603799999</v>
      </c>
      <c r="AC45" s="37">
        <v>8000000</v>
      </c>
      <c r="AD45" s="37">
        <v>121807.80060882799</v>
      </c>
      <c r="AE45" s="37">
        <v>160000</v>
      </c>
      <c r="AF45" s="37">
        <v>16845041.739999998</v>
      </c>
      <c r="AG45" s="38">
        <v>5449654020.2399998</v>
      </c>
      <c r="AH45" s="38">
        <v>5713197710.4499998</v>
      </c>
      <c r="AI45" s="38">
        <v>8674829680</v>
      </c>
      <c r="AJ45" s="38">
        <v>840</v>
      </c>
      <c r="AK45" s="20"/>
    </row>
    <row r="46" spans="1:37" ht="15.75" customHeight="1" x14ac:dyDescent="0.25">
      <c r="A46" s="14">
        <v>46091</v>
      </c>
      <c r="B46" s="37">
        <v>1417</v>
      </c>
      <c r="C46" s="38">
        <v>0</v>
      </c>
      <c r="D46" s="38">
        <v>445688779</v>
      </c>
      <c r="E46" s="38">
        <v>-39984000</v>
      </c>
      <c r="F46" s="38">
        <v>0</v>
      </c>
      <c r="G46" s="38">
        <v>9298000</v>
      </c>
      <c r="H46" s="38">
        <v>8048000</v>
      </c>
      <c r="I46" s="38">
        <v>1595762118</v>
      </c>
      <c r="J46" s="38">
        <v>19280660</v>
      </c>
      <c r="K46" s="38">
        <v>86098436</v>
      </c>
      <c r="L46" s="38">
        <v>114305640</v>
      </c>
      <c r="M46" s="38">
        <v>0</v>
      </c>
      <c r="N46" s="38">
        <v>0</v>
      </c>
      <c r="O46" s="38">
        <v>0</v>
      </c>
      <c r="P46" s="38">
        <v>16800700</v>
      </c>
      <c r="Q46" s="38">
        <v>234494885</v>
      </c>
      <c r="R46" s="38">
        <v>0</v>
      </c>
      <c r="S46" s="38">
        <v>0</v>
      </c>
      <c r="T46" s="38">
        <v>0</v>
      </c>
      <c r="U46" s="38">
        <v>0</v>
      </c>
      <c r="V46" s="38">
        <v>0</v>
      </c>
      <c r="W46" s="38">
        <v>0</v>
      </c>
      <c r="X46" s="38">
        <v>743364933</v>
      </c>
      <c r="Y46" s="38">
        <v>2278604381</v>
      </c>
      <c r="Z46" s="38">
        <v>208603111.9149</v>
      </c>
      <c r="AA46" s="38">
        <v>5438640665.6700001</v>
      </c>
      <c r="AB46" s="37">
        <v>2069775.5603799999</v>
      </c>
      <c r="AC46" s="37">
        <v>9000000</v>
      </c>
      <c r="AD46" s="37">
        <v>121807.80060882799</v>
      </c>
      <c r="AE46" s="37">
        <v>160000</v>
      </c>
      <c r="AF46" s="37">
        <v>14197400.124</v>
      </c>
      <c r="AG46" s="38">
        <v>5449654020.2399998</v>
      </c>
      <c r="AH46" s="38">
        <v>4859179616.5900002</v>
      </c>
      <c r="AI46" s="38">
        <v>8533988775</v>
      </c>
      <c r="AJ46" s="38">
        <v>1420000840</v>
      </c>
      <c r="AK46" s="20"/>
    </row>
    <row r="47" spans="1:37" ht="15.75" customHeight="1" x14ac:dyDescent="0.25">
      <c r="A47" s="14">
        <v>46092</v>
      </c>
      <c r="B47" s="37">
        <v>1401</v>
      </c>
      <c r="C47" s="38">
        <v>0</v>
      </c>
      <c r="D47" s="38">
        <v>496406750.56</v>
      </c>
      <c r="E47" s="38">
        <v>59736452</v>
      </c>
      <c r="F47" s="38">
        <v>0</v>
      </c>
      <c r="G47" s="38">
        <v>9298113</v>
      </c>
      <c r="H47" s="38">
        <v>7867000</v>
      </c>
      <c r="I47" s="38">
        <v>1579975629</v>
      </c>
      <c r="J47" s="38">
        <v>84800000</v>
      </c>
      <c r="K47" s="38">
        <v>0</v>
      </c>
      <c r="L47" s="38">
        <v>12400000</v>
      </c>
      <c r="M47" s="38">
        <v>0</v>
      </c>
      <c r="N47" s="38">
        <v>0</v>
      </c>
      <c r="O47" s="38">
        <v>0</v>
      </c>
      <c r="P47" s="38">
        <v>2195000</v>
      </c>
      <c r="Q47" s="38">
        <v>278397543</v>
      </c>
      <c r="R47" s="38">
        <v>0</v>
      </c>
      <c r="S47" s="38">
        <v>0</v>
      </c>
      <c r="T47" s="38">
        <v>0</v>
      </c>
      <c r="U47" s="38">
        <v>235000000</v>
      </c>
      <c r="V47" s="38">
        <v>0</v>
      </c>
      <c r="W47" s="38">
        <v>0</v>
      </c>
      <c r="X47" s="38">
        <v>2295766389.98</v>
      </c>
      <c r="Y47" s="38">
        <v>2142458235</v>
      </c>
      <c r="Z47" s="38">
        <v>208603111.9149</v>
      </c>
      <c r="AA47" s="38">
        <v>5136570401</v>
      </c>
      <c r="AB47" s="37">
        <v>2069775.5603799999</v>
      </c>
      <c r="AC47" s="37">
        <v>9000000</v>
      </c>
      <c r="AD47" s="37">
        <v>141199.467275495</v>
      </c>
      <c r="AE47" s="37">
        <v>160000</v>
      </c>
      <c r="AF47" s="37">
        <v>14246092.524</v>
      </c>
      <c r="AG47" s="38">
        <v>5449654020.2399998</v>
      </c>
      <c r="AH47" s="38">
        <v>4426491442.8000002</v>
      </c>
      <c r="AI47" s="38">
        <v>8437627575</v>
      </c>
      <c r="AJ47" s="38">
        <v>1653153603</v>
      </c>
      <c r="AK47" s="20"/>
    </row>
    <row r="48" spans="1:37" ht="15.75" customHeight="1" x14ac:dyDescent="0.25">
      <c r="A48" s="14">
        <v>46093</v>
      </c>
      <c r="B48" s="37">
        <v>1393</v>
      </c>
      <c r="C48" s="38">
        <v>0</v>
      </c>
      <c r="D48" s="38">
        <v>494096752</v>
      </c>
      <c r="E48" s="38">
        <v>64814000</v>
      </c>
      <c r="F48" s="38">
        <v>17746000</v>
      </c>
      <c r="G48" s="38">
        <v>16790000</v>
      </c>
      <c r="H48" s="38">
        <v>6108000</v>
      </c>
      <c r="I48" s="38">
        <v>1458063964</v>
      </c>
      <c r="J48" s="38">
        <v>176366449</v>
      </c>
      <c r="K48" s="38">
        <v>0</v>
      </c>
      <c r="L48" s="38">
        <v>6629023</v>
      </c>
      <c r="M48" s="38">
        <v>0</v>
      </c>
      <c r="N48" s="38">
        <v>0</v>
      </c>
      <c r="O48" s="38">
        <v>0</v>
      </c>
      <c r="P48" s="38">
        <v>0</v>
      </c>
      <c r="Q48" s="38">
        <v>469916271</v>
      </c>
      <c r="R48" s="38">
        <v>0</v>
      </c>
      <c r="S48" s="38">
        <v>0</v>
      </c>
      <c r="T48" s="38">
        <v>0</v>
      </c>
      <c r="U48" s="38">
        <v>200000000</v>
      </c>
      <c r="V48" s="38">
        <v>0</v>
      </c>
      <c r="W48" s="38">
        <v>0</v>
      </c>
      <c r="X48" s="38">
        <v>1638571298</v>
      </c>
      <c r="Y48" s="38">
        <v>1738903689</v>
      </c>
      <c r="Z48" s="38">
        <v>208603111.9149</v>
      </c>
      <c r="AA48" s="38">
        <v>5135688097</v>
      </c>
      <c r="AB48" s="37">
        <v>2069775.5603799999</v>
      </c>
      <c r="AC48" s="37">
        <v>9000000</v>
      </c>
      <c r="AD48" s="37">
        <v>141199.467275495</v>
      </c>
      <c r="AE48" s="37">
        <v>160000</v>
      </c>
      <c r="AF48" s="37">
        <v>13740489.874</v>
      </c>
      <c r="AG48" s="38">
        <v>5449654020.2399998</v>
      </c>
      <c r="AH48" s="38">
        <v>4651580822</v>
      </c>
      <c r="AI48" s="38">
        <v>8624032354</v>
      </c>
      <c r="AJ48" s="38">
        <v>1619790359.95</v>
      </c>
      <c r="AK48" s="20"/>
    </row>
    <row r="49" spans="1:37" ht="15.75" customHeight="1" x14ac:dyDescent="0.25">
      <c r="A49" s="14">
        <v>46094</v>
      </c>
      <c r="B49" s="37">
        <v>1397</v>
      </c>
      <c r="C49" s="38">
        <v>0</v>
      </c>
      <c r="D49" s="38">
        <v>776624900</v>
      </c>
      <c r="E49" s="38">
        <v>48288000</v>
      </c>
      <c r="F49" s="38">
        <v>21849000</v>
      </c>
      <c r="G49" s="38">
        <v>7750000</v>
      </c>
      <c r="H49" s="38">
        <v>2381000</v>
      </c>
      <c r="I49" s="38">
        <v>1171499857</v>
      </c>
      <c r="J49" s="38">
        <v>284416095</v>
      </c>
      <c r="K49" s="38">
        <v>0</v>
      </c>
      <c r="L49" s="38">
        <v>0</v>
      </c>
      <c r="M49" s="38">
        <v>0</v>
      </c>
      <c r="N49" s="38">
        <v>0</v>
      </c>
      <c r="O49" s="38">
        <v>5192799</v>
      </c>
      <c r="P49" s="38">
        <v>2899508</v>
      </c>
      <c r="Q49" s="38">
        <v>64291510</v>
      </c>
      <c r="R49" s="38">
        <v>0</v>
      </c>
      <c r="S49" s="38">
        <v>0</v>
      </c>
      <c r="T49" s="38">
        <v>0</v>
      </c>
      <c r="U49" s="38">
        <v>0</v>
      </c>
      <c r="V49" s="38">
        <v>0</v>
      </c>
      <c r="W49" s="38">
        <v>0</v>
      </c>
      <c r="X49" s="38">
        <v>1297943637</v>
      </c>
      <c r="Y49" s="38">
        <v>1632533382</v>
      </c>
      <c r="Z49" s="38">
        <v>208603111.9149</v>
      </c>
      <c r="AA49" s="38">
        <v>5165195285</v>
      </c>
      <c r="AB49" s="37">
        <v>1250975</v>
      </c>
      <c r="AC49" s="37">
        <v>9000000</v>
      </c>
      <c r="AD49" s="37">
        <v>141199.467275495</v>
      </c>
      <c r="AE49" s="37">
        <v>160000</v>
      </c>
      <c r="AF49" s="37">
        <v>12820143.101</v>
      </c>
      <c r="AG49" s="38">
        <v>5449654020.2399998</v>
      </c>
      <c r="AH49" s="38">
        <v>4006602985</v>
      </c>
      <c r="AI49" s="38">
        <v>8648796266</v>
      </c>
      <c r="AJ49" s="38">
        <v>1620034443.6600001</v>
      </c>
      <c r="AK49" s="20"/>
    </row>
    <row r="50" spans="1:37" ht="15.75" customHeight="1" x14ac:dyDescent="0.25">
      <c r="A50" s="14">
        <v>46097</v>
      </c>
      <c r="B50" s="37">
        <v>1386</v>
      </c>
      <c r="C50" s="38">
        <v>0</v>
      </c>
      <c r="D50" s="38">
        <v>496041968.31</v>
      </c>
      <c r="E50" s="38">
        <v>78696000</v>
      </c>
      <c r="F50" s="38">
        <v>3849000</v>
      </c>
      <c r="G50" s="38">
        <v>4113000</v>
      </c>
      <c r="H50" s="38">
        <v>2381000</v>
      </c>
      <c r="I50" s="38">
        <v>1313630359</v>
      </c>
      <c r="J50" s="38">
        <v>175013626</v>
      </c>
      <c r="K50" s="38">
        <v>0</v>
      </c>
      <c r="L50" s="38">
        <v>93376144</v>
      </c>
      <c r="M50" s="38">
        <v>0</v>
      </c>
      <c r="N50" s="38">
        <v>0</v>
      </c>
      <c r="O50" s="38">
        <v>0</v>
      </c>
      <c r="P50" s="38">
        <v>7115202</v>
      </c>
      <c r="Q50" s="38">
        <v>7999270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1059874987</v>
      </c>
      <c r="Y50" s="38">
        <v>1751061941</v>
      </c>
      <c r="Z50" s="38">
        <v>208603111.9149</v>
      </c>
      <c r="AA50" s="38">
        <v>4945026674</v>
      </c>
      <c r="AB50" s="37">
        <v>1250975</v>
      </c>
      <c r="AC50" s="37">
        <v>9000000</v>
      </c>
      <c r="AD50" s="37">
        <v>141199.467275495</v>
      </c>
      <c r="AE50" s="37">
        <v>160000</v>
      </c>
      <c r="AF50" s="37">
        <v>14290777.001</v>
      </c>
      <c r="AG50" s="38">
        <v>5449654020.2399998</v>
      </c>
      <c r="AH50" s="38">
        <v>3440491694.6399999</v>
      </c>
      <c r="AI50" s="38">
        <v>9209146716</v>
      </c>
      <c r="AJ50" s="38">
        <v>1425244303.3499999</v>
      </c>
      <c r="AK50" s="20"/>
    </row>
    <row r="51" spans="1:37" ht="15.75" customHeight="1" x14ac:dyDescent="0.25">
      <c r="A51" s="14">
        <v>46098</v>
      </c>
      <c r="B51" s="37">
        <v>1390</v>
      </c>
      <c r="C51" s="38">
        <v>0</v>
      </c>
      <c r="D51" s="38">
        <v>475044247</v>
      </c>
      <c r="E51" s="38">
        <v>116518922</v>
      </c>
      <c r="F51" s="38">
        <v>5205905</v>
      </c>
      <c r="G51" s="38">
        <v>10432992.640000001</v>
      </c>
      <c r="H51" s="38">
        <v>2381000</v>
      </c>
      <c r="I51" s="38">
        <v>1469409002</v>
      </c>
      <c r="J51" s="38">
        <v>174057809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10492117</v>
      </c>
      <c r="Q51" s="38">
        <v>97995171</v>
      </c>
      <c r="R51" s="38">
        <v>141034158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  <c r="X51" s="38">
        <v>861327456</v>
      </c>
      <c r="Y51" s="38">
        <v>1731117568</v>
      </c>
      <c r="Z51" s="38">
        <v>208603111.9149</v>
      </c>
      <c r="AA51" s="38">
        <v>5259320043</v>
      </c>
      <c r="AB51" s="37">
        <v>1228556.9603800001</v>
      </c>
      <c r="AC51" s="37">
        <v>9000000</v>
      </c>
      <c r="AD51" s="37">
        <v>141199.467275495</v>
      </c>
      <c r="AE51" s="37">
        <v>160000</v>
      </c>
      <c r="AF51" s="37">
        <v>14867224.501</v>
      </c>
      <c r="AG51" s="38">
        <v>5449654020.2399998</v>
      </c>
      <c r="AH51" s="38">
        <v>2938927373.5999999</v>
      </c>
      <c r="AI51" s="38">
        <v>9189021730</v>
      </c>
      <c r="AJ51" s="38">
        <v>1574225880.5799999</v>
      </c>
      <c r="AK51" s="20"/>
    </row>
    <row r="52" spans="1:37" ht="15.75" customHeight="1" x14ac:dyDescent="0.25">
      <c r="A52" s="14">
        <v>46099</v>
      </c>
      <c r="B52" s="37">
        <v>1394</v>
      </c>
      <c r="C52" s="38">
        <v>0</v>
      </c>
      <c r="D52" s="38">
        <v>538099582</v>
      </c>
      <c r="E52" s="38">
        <v>201265012</v>
      </c>
      <c r="F52" s="38">
        <v>4500000</v>
      </c>
      <c r="G52" s="38">
        <v>10432696</v>
      </c>
      <c r="H52" s="38">
        <v>3800000</v>
      </c>
      <c r="I52" s="38">
        <v>1590332187</v>
      </c>
      <c r="J52" s="38">
        <v>188091983</v>
      </c>
      <c r="K52" s="38">
        <v>0</v>
      </c>
      <c r="L52" s="38">
        <v>38908506</v>
      </c>
      <c r="M52" s="38">
        <v>0</v>
      </c>
      <c r="N52" s="38">
        <v>0</v>
      </c>
      <c r="O52" s="38">
        <v>0</v>
      </c>
      <c r="P52" s="38">
        <v>0</v>
      </c>
      <c r="Q52" s="38">
        <v>117971240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0</v>
      </c>
      <c r="X52" s="38">
        <v>751509509</v>
      </c>
      <c r="Y52" s="38">
        <v>1693875769</v>
      </c>
      <c r="Z52" s="38">
        <v>208603111.9149</v>
      </c>
      <c r="AA52" s="38">
        <v>5461024896</v>
      </c>
      <c r="AB52" s="37">
        <v>1228556.9603800001</v>
      </c>
      <c r="AC52" s="37">
        <v>9000000</v>
      </c>
      <c r="AD52" s="37">
        <v>141199.467275495</v>
      </c>
      <c r="AE52" s="37">
        <v>160000</v>
      </c>
      <c r="AF52" s="37">
        <v>14554407.215</v>
      </c>
      <c r="AG52" s="38">
        <v>5449654020.2399998</v>
      </c>
      <c r="AH52" s="38">
        <v>2669906230.5599999</v>
      </c>
      <c r="AI52" s="38">
        <v>9211918622</v>
      </c>
      <c r="AJ52" s="38">
        <v>1691358076</v>
      </c>
      <c r="AK52" s="20"/>
    </row>
    <row r="53" spans="1:37" ht="15.75" customHeight="1" x14ac:dyDescent="0.25">
      <c r="A53" s="14">
        <v>46100</v>
      </c>
      <c r="B53" s="37">
        <v>1397</v>
      </c>
      <c r="C53" s="38">
        <v>0</v>
      </c>
      <c r="D53" s="38">
        <v>542935582</v>
      </c>
      <c r="E53" s="38">
        <v>60469000</v>
      </c>
      <c r="F53" s="38">
        <v>5164000</v>
      </c>
      <c r="G53" s="38">
        <v>9993772.9100000001</v>
      </c>
      <c r="H53" s="38">
        <v>3800000</v>
      </c>
      <c r="I53" s="38">
        <v>1660165654</v>
      </c>
      <c r="J53" s="38">
        <v>133869939</v>
      </c>
      <c r="K53" s="38">
        <v>0</v>
      </c>
      <c r="L53" s="38">
        <v>9156035</v>
      </c>
      <c r="M53" s="38">
        <v>0</v>
      </c>
      <c r="N53" s="38">
        <v>0</v>
      </c>
      <c r="O53" s="38">
        <v>0</v>
      </c>
      <c r="P53" s="38">
        <v>0</v>
      </c>
      <c r="Q53" s="38">
        <v>47379354</v>
      </c>
      <c r="R53" s="38">
        <v>0</v>
      </c>
      <c r="S53" s="38">
        <v>0</v>
      </c>
      <c r="T53" s="38">
        <v>0</v>
      </c>
      <c r="U53" s="38">
        <v>0</v>
      </c>
      <c r="V53" s="38">
        <v>0</v>
      </c>
      <c r="W53" s="38">
        <v>0</v>
      </c>
      <c r="X53" s="38">
        <v>1638081318</v>
      </c>
      <c r="Y53" s="38">
        <v>1601091447</v>
      </c>
      <c r="Z53" s="38">
        <v>208603111.9149</v>
      </c>
      <c r="AA53" s="38">
        <v>4607813786.4399996</v>
      </c>
      <c r="AB53" s="37">
        <v>1228556.9603800001</v>
      </c>
      <c r="AC53" s="37">
        <v>9000000</v>
      </c>
      <c r="AD53" s="37">
        <v>141199.467275495</v>
      </c>
      <c r="AE53" s="37">
        <v>160000</v>
      </c>
      <c r="AF53" s="37">
        <v>13902830.249</v>
      </c>
      <c r="AG53" s="38">
        <v>5449654020.2399998</v>
      </c>
      <c r="AH53" s="38">
        <v>2382337963.2800002</v>
      </c>
      <c r="AI53" s="38">
        <v>9231743411</v>
      </c>
      <c r="AJ53" s="38">
        <v>1691358076</v>
      </c>
      <c r="AK53" s="20"/>
    </row>
    <row r="54" spans="1:37" ht="15.75" customHeight="1" x14ac:dyDescent="0.25">
      <c r="A54" s="14">
        <v>46101</v>
      </c>
      <c r="B54" s="37">
        <v>1391</v>
      </c>
      <c r="C54" s="38">
        <v>0</v>
      </c>
      <c r="D54" s="38">
        <v>657838152</v>
      </c>
      <c r="E54" s="38">
        <v>225017000</v>
      </c>
      <c r="F54" s="38">
        <v>2600000</v>
      </c>
      <c r="G54" s="38">
        <v>9993772.9100000001</v>
      </c>
      <c r="H54" s="38">
        <v>3800000</v>
      </c>
      <c r="I54" s="38">
        <v>1658651333</v>
      </c>
      <c r="J54" s="38">
        <v>211047561</v>
      </c>
      <c r="K54" s="38">
        <v>0</v>
      </c>
      <c r="L54" s="38">
        <v>178622803</v>
      </c>
      <c r="M54" s="38">
        <v>0</v>
      </c>
      <c r="N54" s="38">
        <v>0</v>
      </c>
      <c r="O54" s="38">
        <v>336600</v>
      </c>
      <c r="P54" s="38">
        <v>0</v>
      </c>
      <c r="Q54" s="38">
        <v>91189797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1448972679</v>
      </c>
      <c r="Y54" s="38">
        <v>1357212772</v>
      </c>
      <c r="Z54" s="38">
        <v>208603111.9149</v>
      </c>
      <c r="AA54" s="38">
        <v>5127082976</v>
      </c>
      <c r="AB54" s="37">
        <v>1228556.9603800001</v>
      </c>
      <c r="AC54" s="37">
        <v>9000000</v>
      </c>
      <c r="AD54" s="37">
        <v>141199.467275495</v>
      </c>
      <c r="AE54" s="37">
        <v>160000</v>
      </c>
      <c r="AF54" s="37">
        <v>14578331.668</v>
      </c>
      <c r="AG54" s="38">
        <v>5449654020.2399998</v>
      </c>
      <c r="AH54" s="38">
        <v>2981715106.2399998</v>
      </c>
      <c r="AI54" s="38">
        <v>9192093833</v>
      </c>
      <c r="AJ54" s="38">
        <v>1691358076</v>
      </c>
      <c r="AK54" s="20"/>
    </row>
    <row r="55" spans="1:37" ht="15.75" customHeight="1" x14ac:dyDescent="0.25">
      <c r="A55" s="14">
        <v>46106</v>
      </c>
      <c r="B55" s="37">
        <v>1392</v>
      </c>
      <c r="C55" s="38">
        <v>0</v>
      </c>
      <c r="D55" s="38">
        <v>752903080</v>
      </c>
      <c r="E55" s="38">
        <v>26119000</v>
      </c>
      <c r="F55" s="38">
        <v>2162000</v>
      </c>
      <c r="G55" s="38">
        <v>15791000</v>
      </c>
      <c r="H55" s="38">
        <v>3207000</v>
      </c>
      <c r="I55" s="38">
        <v>1610115708</v>
      </c>
      <c r="J55" s="38">
        <v>135527709</v>
      </c>
      <c r="K55" s="38">
        <v>0</v>
      </c>
      <c r="L55" s="38">
        <v>69163617</v>
      </c>
      <c r="M55" s="38">
        <v>0</v>
      </c>
      <c r="N55" s="38">
        <v>0</v>
      </c>
      <c r="O55" s="38">
        <v>1009800</v>
      </c>
      <c r="P55" s="38">
        <v>200629151</v>
      </c>
      <c r="Q55" s="38">
        <v>47630937</v>
      </c>
      <c r="R55" s="38">
        <v>0</v>
      </c>
      <c r="S55" s="38">
        <v>0</v>
      </c>
      <c r="T55" s="38">
        <v>0</v>
      </c>
      <c r="U55" s="38">
        <v>0</v>
      </c>
      <c r="V55" s="38">
        <v>0</v>
      </c>
      <c r="W55" s="38">
        <v>0</v>
      </c>
      <c r="X55" s="38">
        <v>1180253141</v>
      </c>
      <c r="Y55" s="38">
        <v>710103092</v>
      </c>
      <c r="Z55" s="38">
        <v>208603111.9149</v>
      </c>
      <c r="AA55" s="38">
        <v>5481497772</v>
      </c>
      <c r="AB55" s="37">
        <v>1228556.9603800001</v>
      </c>
      <c r="AC55" s="37">
        <v>9000000</v>
      </c>
      <c r="AD55" s="37">
        <v>141199.467275495</v>
      </c>
      <c r="AE55" s="37">
        <v>160000</v>
      </c>
      <c r="AF55" s="37">
        <v>14669820.595000001</v>
      </c>
      <c r="AG55" s="38">
        <v>5449654020.2399998</v>
      </c>
      <c r="AH55" s="38">
        <v>3126846816</v>
      </c>
      <c r="AI55" s="38">
        <v>10956290016</v>
      </c>
      <c r="AJ55" s="38">
        <v>1692912381</v>
      </c>
      <c r="AK55" s="20"/>
    </row>
    <row r="56" spans="1:37" ht="15.75" customHeight="1" x14ac:dyDescent="0.25">
      <c r="A56" s="14">
        <v>46107</v>
      </c>
      <c r="B56" s="37">
        <v>1375</v>
      </c>
      <c r="C56" s="38">
        <v>0</v>
      </c>
      <c r="D56" s="38">
        <v>941322312</v>
      </c>
      <c r="E56" s="38">
        <v>-34900000</v>
      </c>
      <c r="F56" s="38">
        <v>90520000</v>
      </c>
      <c r="G56" s="38">
        <v>15791000</v>
      </c>
      <c r="H56" s="38">
        <v>3207000</v>
      </c>
      <c r="I56" s="38">
        <v>1560973000</v>
      </c>
      <c r="J56" s="38">
        <v>218255439</v>
      </c>
      <c r="K56" s="38">
        <v>0</v>
      </c>
      <c r="L56" s="38">
        <v>64598704</v>
      </c>
      <c r="M56" s="38">
        <v>0</v>
      </c>
      <c r="N56" s="38">
        <v>0</v>
      </c>
      <c r="O56" s="38">
        <v>4634982</v>
      </c>
      <c r="P56" s="38">
        <v>0</v>
      </c>
      <c r="Q56" s="38">
        <v>67600000</v>
      </c>
      <c r="R56" s="38">
        <v>0</v>
      </c>
      <c r="S56" s="38">
        <v>0</v>
      </c>
      <c r="T56" s="38">
        <v>0</v>
      </c>
      <c r="U56" s="38">
        <v>150000000</v>
      </c>
      <c r="V56" s="38">
        <v>0</v>
      </c>
      <c r="W56" s="38">
        <v>0</v>
      </c>
      <c r="X56" s="38">
        <v>1264387796</v>
      </c>
      <c r="Y56" s="38">
        <v>773190886</v>
      </c>
      <c r="Z56" s="38">
        <v>208603111.9149</v>
      </c>
      <c r="AA56" s="38">
        <v>5381776094</v>
      </c>
      <c r="AB56" s="37">
        <v>1186423.85038</v>
      </c>
      <c r="AC56" s="37">
        <v>9000000</v>
      </c>
      <c r="AD56" s="37">
        <v>141199.467275495</v>
      </c>
      <c r="AE56" s="37">
        <v>160000</v>
      </c>
      <c r="AF56" s="37">
        <v>14618622.710999999</v>
      </c>
      <c r="AG56" s="38">
        <v>5449654020.2399998</v>
      </c>
      <c r="AH56" s="38">
        <v>3368501207.5</v>
      </c>
      <c r="AI56" s="38">
        <v>10308834250</v>
      </c>
      <c r="AJ56" s="38">
        <v>1692912381</v>
      </c>
      <c r="AK56" s="20"/>
    </row>
    <row r="57" spans="1:37" ht="15.75" customHeight="1" x14ac:dyDescent="0.25">
      <c r="A57" s="14">
        <v>46108</v>
      </c>
      <c r="B57" s="37">
        <v>1366</v>
      </c>
      <c r="C57" s="38">
        <v>0</v>
      </c>
      <c r="D57" s="38">
        <v>827701000</v>
      </c>
      <c r="E57" s="38">
        <v>44961000</v>
      </c>
      <c r="F57" s="38">
        <v>181000000</v>
      </c>
      <c r="G57" s="38">
        <v>13532000</v>
      </c>
      <c r="H57" s="38">
        <v>3207000</v>
      </c>
      <c r="I57" s="38">
        <v>1511985003</v>
      </c>
      <c r="J57" s="38">
        <v>141809269</v>
      </c>
      <c r="K57" s="38">
        <v>0</v>
      </c>
      <c r="L57" s="38">
        <v>111489207</v>
      </c>
      <c r="M57" s="38">
        <v>0</v>
      </c>
      <c r="N57" s="38">
        <v>0</v>
      </c>
      <c r="O57" s="38">
        <v>104346000</v>
      </c>
      <c r="P57" s="38">
        <v>0</v>
      </c>
      <c r="Q57" s="38">
        <v>32757200</v>
      </c>
      <c r="R57" s="38">
        <v>0</v>
      </c>
      <c r="S57" s="38">
        <v>0</v>
      </c>
      <c r="T57" s="38">
        <v>0</v>
      </c>
      <c r="U57" s="38">
        <v>0</v>
      </c>
      <c r="V57" s="38">
        <v>0</v>
      </c>
      <c r="W57" s="38">
        <v>0</v>
      </c>
      <c r="X57" s="38">
        <v>1212579961</v>
      </c>
      <c r="Y57" s="38">
        <v>764659987</v>
      </c>
      <c r="Z57" s="38">
        <v>208603111.9149</v>
      </c>
      <c r="AA57" s="38">
        <v>5314929980</v>
      </c>
      <c r="AB57" s="37">
        <v>1186423.85038</v>
      </c>
      <c r="AC57" s="37">
        <v>9000000</v>
      </c>
      <c r="AD57" s="37">
        <v>141199.467275495</v>
      </c>
      <c r="AE57" s="37">
        <v>160000</v>
      </c>
      <c r="AF57" s="37">
        <v>14554143.091</v>
      </c>
      <c r="AG57" s="38">
        <v>5449654020.2399998</v>
      </c>
      <c r="AH57" s="38">
        <v>3605178563.3600001</v>
      </c>
      <c r="AI57" s="38">
        <v>9881450028</v>
      </c>
      <c r="AJ57" s="38">
        <v>1657306981</v>
      </c>
      <c r="AK57" s="20"/>
    </row>
    <row r="58" spans="1:37" ht="15.75" customHeight="1" x14ac:dyDescent="0.25">
      <c r="A58" s="14">
        <v>46111</v>
      </c>
      <c r="B58" s="37">
        <v>1371.5</v>
      </c>
      <c r="C58" s="38">
        <v>0</v>
      </c>
      <c r="D58" s="38">
        <v>832701000</v>
      </c>
      <c r="E58" s="38">
        <v>975542000</v>
      </c>
      <c r="F58" s="38">
        <v>1442000</v>
      </c>
      <c r="G58" s="38">
        <v>14842000</v>
      </c>
      <c r="H58" s="38">
        <v>2800000</v>
      </c>
      <c r="I58" s="38">
        <v>935692970</v>
      </c>
      <c r="J58" s="38">
        <v>336145864</v>
      </c>
      <c r="K58" s="38">
        <v>0</v>
      </c>
      <c r="L58" s="38">
        <v>86897738</v>
      </c>
      <c r="M58" s="38">
        <v>0</v>
      </c>
      <c r="N58" s="38">
        <v>0</v>
      </c>
      <c r="O58" s="38">
        <v>0</v>
      </c>
      <c r="P58" s="38">
        <v>445000</v>
      </c>
      <c r="Q58" s="38">
        <v>25600000</v>
      </c>
      <c r="R58" s="38">
        <v>0</v>
      </c>
      <c r="S58" s="38">
        <v>0</v>
      </c>
      <c r="T58" s="38">
        <v>0</v>
      </c>
      <c r="U58" s="38">
        <v>300000000</v>
      </c>
      <c r="V58" s="38">
        <v>0</v>
      </c>
      <c r="W58" s="38">
        <v>0</v>
      </c>
      <c r="X58" s="38">
        <v>1016347490</v>
      </c>
      <c r="Y58" s="38">
        <v>962035178</v>
      </c>
      <c r="Z58" s="38">
        <v>208603111.9149</v>
      </c>
      <c r="AA58" s="38">
        <v>5546363032</v>
      </c>
      <c r="AB58" s="37">
        <v>1261501.4325300001</v>
      </c>
      <c r="AC58" s="37">
        <v>9000000</v>
      </c>
      <c r="AD58" s="37">
        <v>141199.467275495</v>
      </c>
      <c r="AE58" s="37">
        <v>160000</v>
      </c>
      <c r="AF58" s="37">
        <v>14623486.5525</v>
      </c>
      <c r="AG58" s="38">
        <v>5449654020.2399998</v>
      </c>
      <c r="AH58" s="38">
        <v>3282208636</v>
      </c>
      <c r="AI58" s="38">
        <v>10251360411.5</v>
      </c>
      <c r="AJ58" s="38">
        <v>1678236596</v>
      </c>
      <c r="AK58" s="20"/>
    </row>
    <row r="59" spans="1:37" ht="15.75" customHeight="1" x14ac:dyDescent="0.25">
      <c r="A59" s="14">
        <v>46112</v>
      </c>
      <c r="B59" s="37">
        <v>1371.5</v>
      </c>
      <c r="C59" s="38">
        <v>0</v>
      </c>
      <c r="D59" s="38">
        <v>1020478576.9299999</v>
      </c>
      <c r="E59" s="38">
        <v>96180000</v>
      </c>
      <c r="F59" s="38">
        <v>56816000</v>
      </c>
      <c r="G59" s="38">
        <v>10024326</v>
      </c>
      <c r="H59" s="38">
        <v>2800000</v>
      </c>
      <c r="I59" s="38">
        <v>1225007012</v>
      </c>
      <c r="J59" s="38">
        <v>485176000</v>
      </c>
      <c r="K59" s="38">
        <v>0</v>
      </c>
      <c r="L59" s="38">
        <v>655000</v>
      </c>
      <c r="M59" s="38">
        <v>0</v>
      </c>
      <c r="N59" s="38">
        <v>0</v>
      </c>
      <c r="O59" s="38">
        <v>14591610</v>
      </c>
      <c r="P59" s="38">
        <v>0</v>
      </c>
      <c r="Q59" s="38">
        <v>127954559</v>
      </c>
      <c r="R59" s="38">
        <v>0</v>
      </c>
      <c r="S59" s="38">
        <v>0</v>
      </c>
      <c r="T59" s="38">
        <v>0</v>
      </c>
      <c r="U59" s="38">
        <v>0</v>
      </c>
      <c r="V59" s="38">
        <v>0</v>
      </c>
      <c r="W59" s="38">
        <v>0</v>
      </c>
      <c r="X59" s="38">
        <v>1001318794</v>
      </c>
      <c r="Y59" s="38">
        <v>873946433</v>
      </c>
      <c r="Z59" s="38">
        <v>208603111.9149</v>
      </c>
      <c r="AA59" s="38">
        <v>5009764245</v>
      </c>
      <c r="AB59" s="37">
        <v>1173173.7125299999</v>
      </c>
      <c r="AC59" s="37">
        <v>9000000</v>
      </c>
      <c r="AD59" s="37">
        <v>141199.467275495</v>
      </c>
      <c r="AE59" s="37">
        <v>160000</v>
      </c>
      <c r="AF59" s="37">
        <v>10642274.986</v>
      </c>
      <c r="AG59" s="38">
        <v>5582721359</v>
      </c>
      <c r="AH59" s="38">
        <v>3998648215.5100002</v>
      </c>
      <c r="AI59" s="38">
        <v>10251360411.5</v>
      </c>
      <c r="AJ59" s="38">
        <v>1678236596</v>
      </c>
      <c r="AK59" s="20"/>
    </row>
    <row r="60" spans="1:37" ht="15.75" customHeight="1" x14ac:dyDescent="0.25">
      <c r="A60" s="14">
        <v>46118</v>
      </c>
      <c r="B60" s="37">
        <v>1383</v>
      </c>
      <c r="C60" s="38">
        <v>0</v>
      </c>
      <c r="D60" s="38">
        <v>906680076</v>
      </c>
      <c r="E60" s="38">
        <v>87527408</v>
      </c>
      <c r="F60" s="38">
        <v>164533000</v>
      </c>
      <c r="G60" s="38">
        <v>9691000</v>
      </c>
      <c r="H60" s="38">
        <v>2500000</v>
      </c>
      <c r="I60" s="38">
        <v>1424949749</v>
      </c>
      <c r="J60" s="38">
        <v>168305085</v>
      </c>
      <c r="K60" s="38">
        <v>0</v>
      </c>
      <c r="L60" s="38">
        <v>0</v>
      </c>
      <c r="M60" s="38">
        <v>0</v>
      </c>
      <c r="N60" s="38">
        <v>0</v>
      </c>
      <c r="O60" s="38">
        <v>0</v>
      </c>
      <c r="P60" s="38">
        <v>66378278</v>
      </c>
      <c r="Q60" s="38">
        <v>244819590</v>
      </c>
      <c r="R60" s="38">
        <v>0</v>
      </c>
      <c r="S60" s="38">
        <v>0</v>
      </c>
      <c r="T60" s="38">
        <v>0</v>
      </c>
      <c r="U60" s="38">
        <v>0</v>
      </c>
      <c r="V60" s="38">
        <v>0</v>
      </c>
      <c r="W60" s="38">
        <v>0</v>
      </c>
      <c r="X60" s="38">
        <v>1217405688</v>
      </c>
      <c r="Y60" s="38">
        <v>4192506916</v>
      </c>
      <c r="Z60" s="38">
        <v>202734656.16865</v>
      </c>
      <c r="AA60" s="38">
        <v>5070299230</v>
      </c>
      <c r="AB60" s="37">
        <v>1043837.65169</v>
      </c>
      <c r="AC60" s="37">
        <v>9000000</v>
      </c>
      <c r="AD60" s="37">
        <v>141199.467275495</v>
      </c>
      <c r="AE60" s="37">
        <v>160000</v>
      </c>
      <c r="AF60" s="37">
        <v>11964450.0055</v>
      </c>
      <c r="AG60" s="38">
        <v>5582721359</v>
      </c>
      <c r="AH60" s="38">
        <v>4335886957.9200001</v>
      </c>
      <c r="AI60" s="38">
        <v>10537028595</v>
      </c>
      <c r="AJ60" s="38">
        <v>1639971486</v>
      </c>
      <c r="AK60" s="20"/>
    </row>
    <row r="61" spans="1:37" ht="15.75" customHeight="1" x14ac:dyDescent="0.25">
      <c r="A61" s="14">
        <v>46119</v>
      </c>
      <c r="B61" s="37">
        <v>1382</v>
      </c>
      <c r="C61" s="38">
        <v>0</v>
      </c>
      <c r="D61" s="38">
        <v>976450190</v>
      </c>
      <c r="E61" s="38">
        <v>-276711000</v>
      </c>
      <c r="F61" s="38">
        <v>114129000</v>
      </c>
      <c r="G61" s="38">
        <v>9690000</v>
      </c>
      <c r="H61" s="38">
        <v>2500000</v>
      </c>
      <c r="I61" s="38">
        <v>1550678134</v>
      </c>
      <c r="J61" s="38">
        <v>228205027</v>
      </c>
      <c r="K61" s="38">
        <v>0</v>
      </c>
      <c r="L61" s="38">
        <v>13908000</v>
      </c>
      <c r="M61" s="38">
        <v>0</v>
      </c>
      <c r="N61" s="38">
        <v>0</v>
      </c>
      <c r="O61" s="38">
        <v>0</v>
      </c>
      <c r="P61" s="38">
        <v>1099000</v>
      </c>
      <c r="Q61" s="38">
        <v>448716641</v>
      </c>
      <c r="R61" s="38">
        <v>0</v>
      </c>
      <c r="S61" s="38">
        <v>0</v>
      </c>
      <c r="T61" s="38">
        <v>0</v>
      </c>
      <c r="U61" s="38">
        <v>0</v>
      </c>
      <c r="V61" s="38">
        <v>0</v>
      </c>
      <c r="W61" s="38">
        <v>0</v>
      </c>
      <c r="X61" s="38">
        <v>1570067713</v>
      </c>
      <c r="Y61" s="38">
        <v>3719608294</v>
      </c>
      <c r="Z61" s="38">
        <v>202734656.16865</v>
      </c>
      <c r="AA61" s="38">
        <v>5205859918</v>
      </c>
      <c r="AB61" s="37">
        <v>1043837.65169</v>
      </c>
      <c r="AC61" s="37">
        <v>9000000</v>
      </c>
      <c r="AD61" s="37">
        <v>141199.467275495</v>
      </c>
      <c r="AE61" s="37">
        <v>160000</v>
      </c>
      <c r="AF61" s="37">
        <v>11612685.6785</v>
      </c>
      <c r="AG61" s="38">
        <v>5582721359</v>
      </c>
      <c r="AH61" s="38">
        <v>4809318318.8800001</v>
      </c>
      <c r="AI61" s="38">
        <v>10529409630</v>
      </c>
      <c r="AJ61" s="38">
        <v>1674297146</v>
      </c>
      <c r="AK61" s="20"/>
    </row>
    <row r="62" spans="1:37" ht="15.75" customHeight="1" x14ac:dyDescent="0.25">
      <c r="A62" s="14">
        <v>46120</v>
      </c>
      <c r="B62" s="37">
        <v>1382.5</v>
      </c>
      <c r="C62" s="38">
        <v>0</v>
      </c>
      <c r="D62" s="38">
        <v>1017149904</v>
      </c>
      <c r="E62" s="38">
        <v>12670000</v>
      </c>
      <c r="F62" s="38">
        <v>120419000</v>
      </c>
      <c r="G62" s="38">
        <v>314757</v>
      </c>
      <c r="H62" s="38">
        <v>2500000</v>
      </c>
      <c r="I62" s="38">
        <v>1601244716</v>
      </c>
      <c r="J62" s="38">
        <v>398655000</v>
      </c>
      <c r="K62" s="38">
        <v>0</v>
      </c>
      <c r="L62" s="38">
        <v>23306385</v>
      </c>
      <c r="M62" s="38">
        <v>0</v>
      </c>
      <c r="N62" s="38">
        <v>0</v>
      </c>
      <c r="O62" s="38">
        <v>0</v>
      </c>
      <c r="P62" s="38">
        <v>0</v>
      </c>
      <c r="Q62" s="38">
        <v>199614538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  <c r="W62" s="38">
        <v>0</v>
      </c>
      <c r="X62" s="38">
        <v>1287374179</v>
      </c>
      <c r="Y62" s="38">
        <v>3746628000</v>
      </c>
      <c r="Z62" s="38">
        <v>202734656.16865</v>
      </c>
      <c r="AA62" s="38">
        <v>5443486561</v>
      </c>
      <c r="AB62" s="37">
        <v>1043837.65169</v>
      </c>
      <c r="AC62" s="37">
        <v>9000000</v>
      </c>
      <c r="AD62" s="37">
        <v>141199.467275495</v>
      </c>
      <c r="AE62" s="37">
        <v>160000</v>
      </c>
      <c r="AF62" s="37">
        <v>11790325.294500001</v>
      </c>
      <c r="AG62" s="38">
        <v>5582721359</v>
      </c>
      <c r="AH62" s="38">
        <v>4140256031.8000002</v>
      </c>
      <c r="AI62" s="38">
        <v>10533219112.5</v>
      </c>
      <c r="AJ62" s="38">
        <v>1674902898</v>
      </c>
      <c r="AK62" s="20"/>
    </row>
    <row r="63" spans="1:37" ht="15.75" customHeight="1" x14ac:dyDescent="0.25">
      <c r="A63" s="14">
        <v>46121</v>
      </c>
      <c r="B63" s="37">
        <v>1382.5</v>
      </c>
      <c r="C63" s="38">
        <v>0</v>
      </c>
      <c r="D63" s="38">
        <v>1175631886</v>
      </c>
      <c r="E63" s="38">
        <v>123676000</v>
      </c>
      <c r="F63" s="38">
        <v>65535000</v>
      </c>
      <c r="G63" s="38">
        <v>1601901</v>
      </c>
      <c r="H63" s="38">
        <v>2500000</v>
      </c>
      <c r="I63" s="38">
        <v>1576163559</v>
      </c>
      <c r="J63" s="38">
        <v>42810000</v>
      </c>
      <c r="K63" s="38">
        <v>0</v>
      </c>
      <c r="L63" s="38">
        <v>0</v>
      </c>
      <c r="M63" s="38">
        <v>0</v>
      </c>
      <c r="N63" s="38">
        <v>0</v>
      </c>
      <c r="O63" s="38">
        <v>0</v>
      </c>
      <c r="P63" s="38">
        <v>0</v>
      </c>
      <c r="Q63" s="38">
        <v>1134776419</v>
      </c>
      <c r="R63" s="38">
        <v>0</v>
      </c>
      <c r="S63" s="38">
        <v>0</v>
      </c>
      <c r="T63" s="38">
        <v>0</v>
      </c>
      <c r="U63" s="38">
        <v>0</v>
      </c>
      <c r="V63" s="38">
        <v>0</v>
      </c>
      <c r="W63" s="38">
        <v>0</v>
      </c>
      <c r="X63" s="38">
        <v>1686304226</v>
      </c>
      <c r="Y63" s="38">
        <v>2366743698</v>
      </c>
      <c r="Z63" s="38">
        <v>202734656.16865</v>
      </c>
      <c r="AA63" s="38">
        <v>5260055414</v>
      </c>
      <c r="AB63" s="37">
        <v>1043837.65169</v>
      </c>
      <c r="AC63" s="37">
        <v>9000000</v>
      </c>
      <c r="AD63" s="37">
        <v>141199.467275495</v>
      </c>
      <c r="AE63" s="37">
        <v>160000</v>
      </c>
      <c r="AF63" s="37">
        <v>12461597.5765</v>
      </c>
      <c r="AG63" s="38">
        <v>5582721359</v>
      </c>
      <c r="AH63" s="38">
        <v>5314070090</v>
      </c>
      <c r="AI63" s="38">
        <v>10533219112.5</v>
      </c>
      <c r="AJ63" s="38">
        <v>1674902898</v>
      </c>
      <c r="AK63" s="20"/>
    </row>
    <row r="64" spans="1:37" ht="15.75" customHeight="1" x14ac:dyDescent="0.25">
      <c r="A64" s="14">
        <v>46122</v>
      </c>
      <c r="B64" s="37">
        <v>1382</v>
      </c>
      <c r="C64" s="38">
        <v>0</v>
      </c>
      <c r="D64" s="38">
        <v>1094067815</v>
      </c>
      <c r="E64" s="38">
        <v>-24741000</v>
      </c>
      <c r="F64" s="38">
        <v>50432000</v>
      </c>
      <c r="G64" s="38">
        <v>-47296000</v>
      </c>
      <c r="H64" s="38">
        <v>-12432000</v>
      </c>
      <c r="I64" s="38">
        <v>1608021539</v>
      </c>
      <c r="J64" s="38">
        <v>151448140</v>
      </c>
      <c r="K64" s="38">
        <v>0</v>
      </c>
      <c r="L64" s="38">
        <v>280819495</v>
      </c>
      <c r="M64" s="38">
        <v>0</v>
      </c>
      <c r="N64" s="38">
        <v>0</v>
      </c>
      <c r="O64" s="38">
        <v>0</v>
      </c>
      <c r="P64" s="38">
        <v>121038032</v>
      </c>
      <c r="Q64" s="38">
        <v>348167135</v>
      </c>
      <c r="R64" s="38">
        <v>0</v>
      </c>
      <c r="S64" s="38">
        <v>0</v>
      </c>
      <c r="T64" s="38">
        <v>0</v>
      </c>
      <c r="U64" s="38">
        <v>0</v>
      </c>
      <c r="V64" s="38">
        <v>0</v>
      </c>
      <c r="W64" s="38">
        <v>0</v>
      </c>
      <c r="X64" s="38">
        <v>2103842933</v>
      </c>
      <c r="Y64" s="38">
        <v>2027049642</v>
      </c>
      <c r="Z64" s="38">
        <v>202734656.16865</v>
      </c>
      <c r="AA64" s="38">
        <v>5682562836</v>
      </c>
      <c r="AB64" s="37">
        <v>1043837.65169</v>
      </c>
      <c r="AC64" s="37">
        <v>9000000</v>
      </c>
      <c r="AD64" s="37">
        <v>141199.467275495</v>
      </c>
      <c r="AE64" s="37">
        <v>160000</v>
      </c>
      <c r="AF64" s="37">
        <v>14538528.596999999</v>
      </c>
      <c r="AG64" s="38">
        <v>5582721359</v>
      </c>
      <c r="AH64" s="38">
        <v>5504015514.3800001</v>
      </c>
      <c r="AI64" s="38">
        <v>10529409630</v>
      </c>
      <c r="AJ64" s="38">
        <v>1674902898</v>
      </c>
      <c r="AK64" s="20"/>
    </row>
    <row r="65" spans="1:37" ht="15.75" customHeight="1" x14ac:dyDescent="0.25">
      <c r="A65" s="14">
        <v>46125</v>
      </c>
      <c r="B65" s="37">
        <v>1371.5</v>
      </c>
      <c r="C65" s="38">
        <v>0</v>
      </c>
      <c r="D65" s="38">
        <v>1175319480</v>
      </c>
      <c r="E65" s="38">
        <v>-14800000</v>
      </c>
      <c r="F65" s="38">
        <v>80000000</v>
      </c>
      <c r="G65" s="38">
        <v>-47296000</v>
      </c>
      <c r="H65" s="38">
        <v>2500000</v>
      </c>
      <c r="I65" s="38">
        <v>1542847285</v>
      </c>
      <c r="J65" s="38">
        <v>351202908</v>
      </c>
      <c r="K65" s="38">
        <v>0</v>
      </c>
      <c r="L65" s="38">
        <v>218300000</v>
      </c>
      <c r="M65" s="38">
        <v>0</v>
      </c>
      <c r="N65" s="38">
        <v>0</v>
      </c>
      <c r="O65" s="38">
        <v>0</v>
      </c>
      <c r="P65" s="38">
        <v>6971504</v>
      </c>
      <c r="Q65" s="38">
        <v>111568478</v>
      </c>
      <c r="R65" s="38">
        <v>0</v>
      </c>
      <c r="S65" s="38">
        <v>0</v>
      </c>
      <c r="T65" s="38">
        <v>0</v>
      </c>
      <c r="U65" s="38">
        <v>0</v>
      </c>
      <c r="V65" s="38">
        <v>0</v>
      </c>
      <c r="W65" s="38">
        <v>0</v>
      </c>
      <c r="X65" s="38">
        <v>1932169958</v>
      </c>
      <c r="Y65" s="38">
        <v>1746864264</v>
      </c>
      <c r="Z65" s="38">
        <v>202734656.16865</v>
      </c>
      <c r="AA65" s="38">
        <v>5567248779</v>
      </c>
      <c r="AB65" s="37">
        <v>1043837.65169</v>
      </c>
      <c r="AC65" s="37">
        <v>9000000</v>
      </c>
      <c r="AD65" s="37">
        <v>141199.467275495</v>
      </c>
      <c r="AE65" s="37">
        <v>160000</v>
      </c>
      <c r="AF65" s="37">
        <v>15414085.287</v>
      </c>
      <c r="AG65" s="38">
        <v>5582721359</v>
      </c>
      <c r="AH65" s="38">
        <v>4662286275.335</v>
      </c>
      <c r="AI65" s="38">
        <v>8655009844</v>
      </c>
      <c r="AJ65" s="38">
        <v>1525590577</v>
      </c>
      <c r="AK65" s="20"/>
    </row>
    <row r="66" spans="1:37" ht="15.75" customHeight="1" x14ac:dyDescent="0.25">
      <c r="A66" s="14">
        <v>46126</v>
      </c>
      <c r="B66" s="37">
        <v>1360</v>
      </c>
      <c r="C66" s="38">
        <v>0</v>
      </c>
      <c r="D66" s="38">
        <v>1403445482</v>
      </c>
      <c r="E66" s="38">
        <v>101354000</v>
      </c>
      <c r="F66" s="38">
        <v>85648232</v>
      </c>
      <c r="G66" s="38">
        <v>2698000</v>
      </c>
      <c r="H66" s="38">
        <v>3456000</v>
      </c>
      <c r="I66" s="38">
        <v>1310322293</v>
      </c>
      <c r="J66" s="38">
        <v>369655847</v>
      </c>
      <c r="K66" s="38">
        <v>0</v>
      </c>
      <c r="L66" s="38">
        <v>11005220</v>
      </c>
      <c r="M66" s="38">
        <v>0</v>
      </c>
      <c r="N66" s="38">
        <v>0</v>
      </c>
      <c r="O66" s="38">
        <v>0</v>
      </c>
      <c r="P66" s="38">
        <v>170686877</v>
      </c>
      <c r="Q66" s="38">
        <v>194410416</v>
      </c>
      <c r="R66" s="38">
        <v>0</v>
      </c>
      <c r="S66" s="38">
        <v>0</v>
      </c>
      <c r="T66" s="38">
        <v>0</v>
      </c>
      <c r="U66" s="38">
        <v>0</v>
      </c>
      <c r="V66" s="38">
        <v>0</v>
      </c>
      <c r="W66" s="38">
        <v>0</v>
      </c>
      <c r="X66" s="38">
        <v>2839096283</v>
      </c>
      <c r="Y66" s="38">
        <v>1459313632</v>
      </c>
      <c r="Z66" s="38">
        <v>202734656.16865</v>
      </c>
      <c r="AA66" s="38">
        <v>5323936474</v>
      </c>
      <c r="AB66" s="37">
        <v>1043837.65169</v>
      </c>
      <c r="AC66" s="37">
        <v>9000000</v>
      </c>
      <c r="AD66" s="37">
        <v>141199.467275495</v>
      </c>
      <c r="AE66" s="37">
        <v>160000</v>
      </c>
      <c r="AF66" s="37">
        <v>15805699.747</v>
      </c>
      <c r="AG66" s="38">
        <v>5582721359</v>
      </c>
      <c r="AH66" s="38">
        <v>3817389440</v>
      </c>
      <c r="AI66" s="38">
        <v>8988796240</v>
      </c>
      <c r="AJ66" s="38">
        <v>0</v>
      </c>
      <c r="AK66" s="20"/>
    </row>
    <row r="67" spans="1:37" ht="15.75" customHeight="1" x14ac:dyDescent="0.25">
      <c r="A67" s="14">
        <v>46127</v>
      </c>
      <c r="B67" s="37">
        <v>1352</v>
      </c>
      <c r="C67" s="38">
        <v>0</v>
      </c>
      <c r="D67" s="38">
        <v>1403445482</v>
      </c>
      <c r="E67" s="38">
        <v>206593000</v>
      </c>
      <c r="F67" s="38">
        <v>85648232</v>
      </c>
      <c r="G67" s="38">
        <v>2611000</v>
      </c>
      <c r="H67" s="38">
        <v>3456000</v>
      </c>
      <c r="I67" s="38">
        <v>1310322293</v>
      </c>
      <c r="J67" s="38">
        <v>337214711</v>
      </c>
      <c r="K67" s="38">
        <v>0</v>
      </c>
      <c r="L67" s="38">
        <v>17878000</v>
      </c>
      <c r="M67" s="38">
        <v>0</v>
      </c>
      <c r="N67" s="38">
        <v>0</v>
      </c>
      <c r="O67" s="38">
        <v>0</v>
      </c>
      <c r="P67" s="38">
        <v>10914176</v>
      </c>
      <c r="Q67" s="38">
        <v>135510630</v>
      </c>
      <c r="R67" s="38">
        <v>0</v>
      </c>
      <c r="S67" s="38">
        <v>0</v>
      </c>
      <c r="T67" s="38">
        <v>0</v>
      </c>
      <c r="U67" s="38">
        <v>0</v>
      </c>
      <c r="V67" s="38">
        <v>0</v>
      </c>
      <c r="W67" s="38">
        <v>0</v>
      </c>
      <c r="X67" s="38">
        <v>2495481224</v>
      </c>
      <c r="Y67" s="38">
        <v>1377700645</v>
      </c>
      <c r="Z67" s="38">
        <v>202734656.16865</v>
      </c>
      <c r="AA67" s="38">
        <v>5326477214</v>
      </c>
      <c r="AB67" s="37">
        <v>1043837.65169</v>
      </c>
      <c r="AC67" s="37">
        <v>9000000</v>
      </c>
      <c r="AD67" s="37">
        <v>141199.467275495</v>
      </c>
      <c r="AE67" s="37">
        <v>160000</v>
      </c>
      <c r="AF67" s="37">
        <v>14987064.137</v>
      </c>
      <c r="AG67" s="38">
        <v>5582721359</v>
      </c>
      <c r="AH67" s="38">
        <v>3567315544</v>
      </c>
      <c r="AI67" s="38">
        <v>8935920968</v>
      </c>
      <c r="AJ67" s="38">
        <v>0</v>
      </c>
      <c r="AK67" s="20"/>
    </row>
    <row r="68" spans="1:37" ht="15.75" customHeight="1" x14ac:dyDescent="0.25">
      <c r="A68" s="14">
        <v>46128</v>
      </c>
      <c r="B68" s="37">
        <v>1360</v>
      </c>
      <c r="C68" s="38">
        <v>0</v>
      </c>
      <c r="D68" s="38">
        <v>1210218285</v>
      </c>
      <c r="E68" s="38">
        <v>154506000</v>
      </c>
      <c r="F68" s="38">
        <v>206414000</v>
      </c>
      <c r="G68" s="38">
        <v>2669000</v>
      </c>
      <c r="H68" s="38">
        <v>3456000</v>
      </c>
      <c r="I68" s="38">
        <v>1265122000</v>
      </c>
      <c r="J68" s="38">
        <v>192956961</v>
      </c>
      <c r="K68" s="38">
        <v>0</v>
      </c>
      <c r="L68" s="38">
        <v>3652167</v>
      </c>
      <c r="M68" s="38">
        <v>0</v>
      </c>
      <c r="N68" s="38">
        <v>0</v>
      </c>
      <c r="O68" s="38">
        <v>0</v>
      </c>
      <c r="P68" s="38">
        <v>0</v>
      </c>
      <c r="Q68" s="38">
        <v>5532358</v>
      </c>
      <c r="R68" s="38">
        <v>0</v>
      </c>
      <c r="S68" s="38">
        <v>0</v>
      </c>
      <c r="T68" s="38">
        <v>27315764</v>
      </c>
      <c r="U68" s="38">
        <v>60000000</v>
      </c>
      <c r="V68" s="38">
        <v>0</v>
      </c>
      <c r="W68" s="38">
        <v>0</v>
      </c>
      <c r="X68" s="38">
        <v>2893419877</v>
      </c>
      <c r="Y68" s="38">
        <v>1329325329</v>
      </c>
      <c r="Z68" s="38">
        <v>202734656.16865</v>
      </c>
      <c r="AA68" s="38">
        <v>5326477214</v>
      </c>
      <c r="AB68" s="37">
        <v>1073356.5716899999</v>
      </c>
      <c r="AC68" s="37">
        <v>9000000</v>
      </c>
      <c r="AD68" s="37">
        <v>141199.467275495</v>
      </c>
      <c r="AE68" s="37">
        <v>160000</v>
      </c>
      <c r="AF68" s="37">
        <v>15105321.484999999</v>
      </c>
      <c r="AG68" s="38">
        <v>5582721359</v>
      </c>
      <c r="AH68" s="38">
        <v>3627743288</v>
      </c>
      <c r="AI68" s="38">
        <v>8756902640</v>
      </c>
      <c r="AJ68" s="38">
        <v>0</v>
      </c>
      <c r="AK68" s="20"/>
    </row>
    <row r="69" spans="1:37" ht="15.75" customHeight="1" x14ac:dyDescent="0.25">
      <c r="A69" s="14">
        <v>46129</v>
      </c>
      <c r="B69" s="37">
        <v>1350.5</v>
      </c>
      <c r="C69" s="38">
        <v>0</v>
      </c>
      <c r="D69" s="38">
        <v>1267593265</v>
      </c>
      <c r="E69" s="38">
        <v>76372453</v>
      </c>
      <c r="F69" s="38">
        <v>74285000</v>
      </c>
      <c r="G69" s="38">
        <v>9854000</v>
      </c>
      <c r="H69" s="38">
        <v>5000000</v>
      </c>
      <c r="I69" s="38">
        <v>1123224296</v>
      </c>
      <c r="J69" s="38">
        <v>469448182</v>
      </c>
      <c r="K69" s="38">
        <v>0</v>
      </c>
      <c r="L69" s="38">
        <v>29391431</v>
      </c>
      <c r="M69" s="38">
        <v>0</v>
      </c>
      <c r="N69" s="38">
        <v>0</v>
      </c>
      <c r="O69" s="38">
        <v>0</v>
      </c>
      <c r="P69" s="38">
        <v>0</v>
      </c>
      <c r="Q69" s="38">
        <v>5316363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  <c r="X69" s="38">
        <v>2690024375</v>
      </c>
      <c r="Y69" s="38">
        <v>1324212687</v>
      </c>
      <c r="Z69" s="38">
        <v>202734656.16865</v>
      </c>
      <c r="AA69" s="38">
        <v>4452570427</v>
      </c>
      <c r="AB69" s="37">
        <v>1073356.5716899999</v>
      </c>
      <c r="AC69" s="37">
        <v>9000000</v>
      </c>
      <c r="AD69" s="37">
        <v>141199.467275495</v>
      </c>
      <c r="AE69" s="37">
        <v>160000</v>
      </c>
      <c r="AF69" s="37">
        <v>15276296.839</v>
      </c>
      <c r="AG69" s="38">
        <v>5582721359</v>
      </c>
      <c r="AH69" s="38">
        <v>3303933250.4349999</v>
      </c>
      <c r="AI69" s="38">
        <v>8165952205</v>
      </c>
      <c r="AJ69" s="38">
        <v>0</v>
      </c>
      <c r="AK69" s="20"/>
    </row>
    <row r="70" spans="1:37" ht="15.75" customHeight="1" x14ac:dyDescent="0.25">
      <c r="A70" s="14">
        <v>46132</v>
      </c>
      <c r="B70" s="37">
        <v>1355.5</v>
      </c>
      <c r="C70" s="38">
        <v>0</v>
      </c>
      <c r="D70" s="38">
        <v>1267593265</v>
      </c>
      <c r="E70" s="38">
        <v>-116067000</v>
      </c>
      <c r="F70" s="38">
        <v>52600000</v>
      </c>
      <c r="G70" s="38">
        <v>4790000</v>
      </c>
      <c r="H70" s="38">
        <v>5000000</v>
      </c>
      <c r="I70" s="38">
        <v>1240572794</v>
      </c>
      <c r="J70" s="38">
        <v>300914150</v>
      </c>
      <c r="K70" s="38">
        <v>0</v>
      </c>
      <c r="L70" s="38">
        <v>77682307</v>
      </c>
      <c r="M70" s="38">
        <v>0</v>
      </c>
      <c r="N70" s="38">
        <v>0</v>
      </c>
      <c r="O70" s="38">
        <v>0</v>
      </c>
      <c r="P70" s="38">
        <v>14964634</v>
      </c>
      <c r="Q70" s="38">
        <v>158411799</v>
      </c>
      <c r="R70" s="38">
        <v>0</v>
      </c>
      <c r="S70" s="38">
        <v>0</v>
      </c>
      <c r="T70" s="38">
        <v>0</v>
      </c>
      <c r="U70" s="38">
        <v>0</v>
      </c>
      <c r="V70" s="38">
        <v>0</v>
      </c>
      <c r="W70" s="38">
        <v>0</v>
      </c>
      <c r="X70" s="38">
        <v>2626877814</v>
      </c>
      <c r="Y70" s="38">
        <v>1210621552</v>
      </c>
      <c r="Z70" s="38">
        <v>202734656.16865</v>
      </c>
      <c r="AA70" s="38">
        <v>4251587803</v>
      </c>
      <c r="AB70" s="37">
        <v>1073356.5716899999</v>
      </c>
      <c r="AC70" s="37">
        <v>9000000</v>
      </c>
      <c r="AD70" s="37">
        <v>141199.467275495</v>
      </c>
      <c r="AE70" s="37">
        <v>160000</v>
      </c>
      <c r="AF70" s="37">
        <v>15276296.839</v>
      </c>
      <c r="AG70" s="38">
        <v>5582721359</v>
      </c>
      <c r="AH70" s="38">
        <v>2711482923.9850001</v>
      </c>
      <c r="AI70" s="38">
        <v>9988148144</v>
      </c>
      <c r="AJ70" s="38">
        <v>80200000</v>
      </c>
      <c r="AK70" s="20"/>
    </row>
    <row r="71" spans="1:37" ht="15.75" customHeight="1" x14ac:dyDescent="0.25">
      <c r="A71" s="14">
        <v>46133</v>
      </c>
      <c r="B71" s="37">
        <v>1372</v>
      </c>
      <c r="C71" s="38">
        <v>0</v>
      </c>
      <c r="D71" s="38">
        <v>1338654892</v>
      </c>
      <c r="E71" s="38">
        <v>-35371000</v>
      </c>
      <c r="F71" s="38">
        <v>163000000</v>
      </c>
      <c r="G71" s="38">
        <v>4790000</v>
      </c>
      <c r="H71" s="38">
        <v>5000000</v>
      </c>
      <c r="I71" s="38">
        <v>1110138054</v>
      </c>
      <c r="J71" s="38">
        <v>292098764</v>
      </c>
      <c r="K71" s="38">
        <v>0</v>
      </c>
      <c r="L71" s="38">
        <v>0</v>
      </c>
      <c r="M71" s="38">
        <v>0</v>
      </c>
      <c r="N71" s="38">
        <v>0</v>
      </c>
      <c r="O71" s="38">
        <v>0</v>
      </c>
      <c r="P71" s="38">
        <v>201453922</v>
      </c>
      <c r="Q71" s="38">
        <v>133001436</v>
      </c>
      <c r="R71" s="38">
        <v>0</v>
      </c>
      <c r="S71" s="38">
        <v>0</v>
      </c>
      <c r="T71" s="38">
        <v>0</v>
      </c>
      <c r="U71" s="38">
        <v>0</v>
      </c>
      <c r="V71" s="38">
        <v>0</v>
      </c>
      <c r="W71" s="38">
        <v>0</v>
      </c>
      <c r="X71" s="38">
        <v>2169131172</v>
      </c>
      <c r="Y71" s="38">
        <v>765562959</v>
      </c>
      <c r="Z71" s="38">
        <v>202734656.16865</v>
      </c>
      <c r="AA71" s="38">
        <v>4290166643</v>
      </c>
      <c r="AB71" s="37">
        <v>1146353.5376899999</v>
      </c>
      <c r="AC71" s="37">
        <v>9000000</v>
      </c>
      <c r="AD71" s="37">
        <v>141199.467275495</v>
      </c>
      <c r="AE71" s="37">
        <v>160000</v>
      </c>
      <c r="AF71" s="37">
        <v>16078914.694499999</v>
      </c>
      <c r="AG71" s="38">
        <v>5582721359</v>
      </c>
      <c r="AH71" s="38">
        <v>2560829452.4400001</v>
      </c>
      <c r="AI71" s="38">
        <v>10109730176</v>
      </c>
      <c r="AJ71" s="38">
        <v>80265000</v>
      </c>
      <c r="AK71" s="20"/>
    </row>
    <row r="72" spans="1:37" ht="15.75" customHeight="1" x14ac:dyDescent="0.25">
      <c r="A72" s="14">
        <v>46134</v>
      </c>
      <c r="B72" s="37">
        <v>1377</v>
      </c>
      <c r="C72" s="38">
        <v>0</v>
      </c>
      <c r="D72" s="38">
        <v>1391899942</v>
      </c>
      <c r="E72" s="38">
        <v>295000000</v>
      </c>
      <c r="F72" s="38">
        <v>143000000</v>
      </c>
      <c r="G72" s="38">
        <v>9743000</v>
      </c>
      <c r="H72" s="38">
        <v>5000000</v>
      </c>
      <c r="I72" s="38">
        <v>1055697748</v>
      </c>
      <c r="J72" s="38">
        <v>211947173</v>
      </c>
      <c r="K72" s="38">
        <v>0</v>
      </c>
      <c r="L72" s="38">
        <v>842000</v>
      </c>
      <c r="M72" s="38">
        <v>0</v>
      </c>
      <c r="N72" s="38">
        <v>0</v>
      </c>
      <c r="O72" s="38">
        <v>141952080</v>
      </c>
      <c r="P72" s="38">
        <v>0</v>
      </c>
      <c r="Q72" s="38">
        <v>89500000</v>
      </c>
      <c r="R72" s="38">
        <v>0</v>
      </c>
      <c r="S72" s="38">
        <v>0</v>
      </c>
      <c r="T72" s="38">
        <v>0</v>
      </c>
      <c r="U72" s="38">
        <v>80000000</v>
      </c>
      <c r="V72" s="38">
        <v>0</v>
      </c>
      <c r="W72" s="38">
        <v>0</v>
      </c>
      <c r="X72" s="38">
        <v>1992139178</v>
      </c>
      <c r="Y72" s="38">
        <v>560117810</v>
      </c>
      <c r="Z72" s="38">
        <v>202734656.16865</v>
      </c>
      <c r="AA72" s="38">
        <v>4379298833</v>
      </c>
      <c r="AB72" s="37">
        <v>1146353.5376899999</v>
      </c>
      <c r="AC72" s="37">
        <v>9000000</v>
      </c>
      <c r="AD72" s="37">
        <v>141199.467275495</v>
      </c>
      <c r="AE72" s="37">
        <v>160000</v>
      </c>
      <c r="AF72" s="37">
        <v>16224100.4625</v>
      </c>
      <c r="AG72" s="38">
        <v>5582721359</v>
      </c>
      <c r="AH72" s="38">
        <v>2313985529.79</v>
      </c>
      <c r="AI72" s="38">
        <v>9900817272</v>
      </c>
      <c r="AJ72" s="38">
        <v>80300000</v>
      </c>
      <c r="AK72" s="20"/>
    </row>
    <row r="73" spans="1:37" ht="15.75" customHeight="1" x14ac:dyDescent="0.25">
      <c r="A73" s="14">
        <v>46135</v>
      </c>
      <c r="B73" s="37">
        <v>1373.5</v>
      </c>
      <c r="C73" s="38">
        <v>0</v>
      </c>
      <c r="D73" s="38">
        <v>1414433742</v>
      </c>
      <c r="E73" s="38">
        <v>27566000</v>
      </c>
      <c r="F73" s="38">
        <v>17046000</v>
      </c>
      <c r="G73" s="38">
        <v>2895000</v>
      </c>
      <c r="H73" s="38">
        <v>5000000</v>
      </c>
      <c r="I73" s="38">
        <v>1206468829</v>
      </c>
      <c r="J73" s="38">
        <v>255556200</v>
      </c>
      <c r="K73" s="38">
        <v>0</v>
      </c>
      <c r="L73" s="38">
        <v>33242998</v>
      </c>
      <c r="M73" s="38">
        <v>0</v>
      </c>
      <c r="N73" s="38">
        <v>0</v>
      </c>
      <c r="O73" s="38">
        <v>0</v>
      </c>
      <c r="P73" s="38">
        <v>21014869</v>
      </c>
      <c r="Q73" s="38">
        <v>15400000</v>
      </c>
      <c r="R73" s="38">
        <v>0</v>
      </c>
      <c r="S73" s="38">
        <v>0</v>
      </c>
      <c r="T73" s="38">
        <v>22900000</v>
      </c>
      <c r="U73" s="38">
        <v>0</v>
      </c>
      <c r="V73" s="38">
        <v>0</v>
      </c>
      <c r="W73" s="38">
        <v>0</v>
      </c>
      <c r="X73" s="38">
        <v>1519394912</v>
      </c>
      <c r="Y73" s="38">
        <v>551752466</v>
      </c>
      <c r="Z73" s="38">
        <v>202734656.16865</v>
      </c>
      <c r="AA73" s="38">
        <v>4712030319</v>
      </c>
      <c r="AB73" s="37">
        <v>1146353.5376899999</v>
      </c>
      <c r="AC73" s="37">
        <v>9000000</v>
      </c>
      <c r="AD73" s="37">
        <v>141199.467275495</v>
      </c>
      <c r="AE73" s="37">
        <v>160000</v>
      </c>
      <c r="AF73" s="37">
        <v>16778257.956500001</v>
      </c>
      <c r="AG73" s="38">
        <v>5582721359</v>
      </c>
      <c r="AH73" s="38">
        <v>1753393164.7449999</v>
      </c>
      <c r="AI73" s="38">
        <v>9875651796</v>
      </c>
      <c r="AJ73" s="38">
        <v>15309000</v>
      </c>
      <c r="AK73" s="20"/>
    </row>
    <row r="74" spans="1:37" ht="15.75" customHeight="1" x14ac:dyDescent="0.25">
      <c r="A74" s="14">
        <v>46136</v>
      </c>
      <c r="B74" s="37">
        <v>1382</v>
      </c>
      <c r="C74" s="38">
        <v>0</v>
      </c>
      <c r="D74" s="38">
        <v>1597175171</v>
      </c>
      <c r="E74" s="38">
        <v>75000000</v>
      </c>
      <c r="F74" s="38">
        <v>43802000</v>
      </c>
      <c r="G74" s="38">
        <v>9793000</v>
      </c>
      <c r="H74" s="38">
        <v>5000000</v>
      </c>
      <c r="I74" s="38">
        <v>1077543013</v>
      </c>
      <c r="J74" s="38">
        <v>234611000</v>
      </c>
      <c r="K74" s="38">
        <v>0</v>
      </c>
      <c r="L74" s="38">
        <v>5400000</v>
      </c>
      <c r="M74" s="38">
        <v>0</v>
      </c>
      <c r="N74" s="38">
        <v>0</v>
      </c>
      <c r="O74" s="38">
        <v>2056026</v>
      </c>
      <c r="P74" s="38">
        <v>0</v>
      </c>
      <c r="Q74" s="38">
        <v>15684872</v>
      </c>
      <c r="R74" s="38">
        <v>0</v>
      </c>
      <c r="S74" s="38">
        <v>0</v>
      </c>
      <c r="T74" s="38">
        <v>0</v>
      </c>
      <c r="U74" s="38">
        <v>0</v>
      </c>
      <c r="V74" s="38">
        <v>0</v>
      </c>
      <c r="W74" s="38">
        <v>0</v>
      </c>
      <c r="X74" s="38">
        <v>1585276144</v>
      </c>
      <c r="Y74" s="38">
        <v>881125903</v>
      </c>
      <c r="Z74" s="38">
        <v>202734656.16865</v>
      </c>
      <c r="AA74" s="38">
        <v>4694734694</v>
      </c>
      <c r="AB74" s="37">
        <v>1197403.0916899999</v>
      </c>
      <c r="AC74" s="37">
        <v>9000000</v>
      </c>
      <c r="AD74" s="37">
        <v>141199.467275495</v>
      </c>
      <c r="AE74" s="37">
        <v>160000</v>
      </c>
      <c r="AF74" s="37">
        <v>17866546.067499999</v>
      </c>
      <c r="AG74" s="38">
        <v>5582721359</v>
      </c>
      <c r="AH74" s="38">
        <v>1415845622.24</v>
      </c>
      <c r="AI74" s="38">
        <v>9936767952</v>
      </c>
      <c r="AJ74" s="38">
        <v>15316000</v>
      </c>
      <c r="AK74" s="20"/>
    </row>
    <row r="75" spans="1:37" ht="15.75" customHeight="1" x14ac:dyDescent="0.25">
      <c r="A75" s="14">
        <v>46139</v>
      </c>
      <c r="B75" s="37">
        <v>1392</v>
      </c>
      <c r="C75" s="38">
        <v>0</v>
      </c>
      <c r="D75" s="38">
        <v>1175405558</v>
      </c>
      <c r="E75" s="38">
        <v>60784000</v>
      </c>
      <c r="F75" s="38">
        <v>52904000</v>
      </c>
      <c r="G75" s="38">
        <v>-850000</v>
      </c>
      <c r="H75" s="38">
        <v>5000000</v>
      </c>
      <c r="I75" s="38">
        <v>1508308609</v>
      </c>
      <c r="J75" s="38">
        <v>252767155</v>
      </c>
      <c r="K75" s="38">
        <v>0</v>
      </c>
      <c r="L75" s="38">
        <v>4233335</v>
      </c>
      <c r="M75" s="38">
        <v>0</v>
      </c>
      <c r="N75" s="38">
        <v>0</v>
      </c>
      <c r="O75" s="38">
        <v>13501112</v>
      </c>
      <c r="P75" s="38">
        <v>0</v>
      </c>
      <c r="Q75" s="38">
        <v>0</v>
      </c>
      <c r="R75" s="38">
        <v>0</v>
      </c>
      <c r="S75" s="38">
        <v>0</v>
      </c>
      <c r="T75" s="38">
        <v>0</v>
      </c>
      <c r="U75" s="38">
        <v>0</v>
      </c>
      <c r="V75" s="38">
        <v>0</v>
      </c>
      <c r="W75" s="38">
        <v>0</v>
      </c>
      <c r="X75" s="38">
        <v>1343741521</v>
      </c>
      <c r="Y75" s="38">
        <v>864331855</v>
      </c>
      <c r="Z75" s="38">
        <v>202734656.16865</v>
      </c>
      <c r="AA75" s="38">
        <v>5547195047</v>
      </c>
      <c r="AB75" s="37">
        <v>1197403.0916899999</v>
      </c>
      <c r="AC75" s="37">
        <v>9000000</v>
      </c>
      <c r="AD75" s="37">
        <v>141199.467275495</v>
      </c>
      <c r="AE75" s="37">
        <v>160000</v>
      </c>
      <c r="AF75" s="37">
        <v>19735952.995499998</v>
      </c>
      <c r="AG75" s="38">
        <v>5582721359</v>
      </c>
      <c r="AH75" s="38">
        <v>1255812844.8</v>
      </c>
      <c r="AI75" s="38">
        <v>10846823136</v>
      </c>
      <c r="AJ75" s="38">
        <v>15337000</v>
      </c>
      <c r="AK75" s="20"/>
    </row>
    <row r="76" spans="1:37" ht="15.75" customHeight="1" x14ac:dyDescent="0.25">
      <c r="A76" s="14">
        <v>46140</v>
      </c>
      <c r="B76" s="37">
        <v>1406</v>
      </c>
      <c r="C76" s="38">
        <v>0</v>
      </c>
      <c r="D76" s="38">
        <v>1246590848</v>
      </c>
      <c r="E76" s="38">
        <v>155954000</v>
      </c>
      <c r="F76" s="38">
        <v>168196000</v>
      </c>
      <c r="G76" s="38">
        <v>1889000</v>
      </c>
      <c r="H76" s="38">
        <v>2000000</v>
      </c>
      <c r="I76" s="38">
        <v>988265645</v>
      </c>
      <c r="J76" s="38">
        <v>253969477</v>
      </c>
      <c r="K76" s="38">
        <v>0</v>
      </c>
      <c r="L76" s="38">
        <v>2400000</v>
      </c>
      <c r="M76" s="38">
        <v>0</v>
      </c>
      <c r="N76" s="38">
        <v>0</v>
      </c>
      <c r="O76" s="38">
        <v>0</v>
      </c>
      <c r="P76" s="38">
        <v>0</v>
      </c>
      <c r="Q76" s="38">
        <v>29500000</v>
      </c>
      <c r="R76" s="38">
        <v>0</v>
      </c>
      <c r="S76" s="38">
        <v>0</v>
      </c>
      <c r="T76" s="38">
        <v>0</v>
      </c>
      <c r="U76" s="38">
        <v>0</v>
      </c>
      <c r="V76" s="38">
        <v>0</v>
      </c>
      <c r="W76" s="38">
        <v>0</v>
      </c>
      <c r="X76" s="38">
        <v>1095625975</v>
      </c>
      <c r="Y76" s="38">
        <v>847059423</v>
      </c>
      <c r="Z76" s="38">
        <v>202734656.16865</v>
      </c>
      <c r="AA76" s="38">
        <v>5696016937</v>
      </c>
      <c r="AB76" s="37">
        <v>1197403.0916899999</v>
      </c>
      <c r="AC76" s="37">
        <v>9000000</v>
      </c>
      <c r="AD76" s="37">
        <v>141199.467275495</v>
      </c>
      <c r="AE76" s="37">
        <v>160000</v>
      </c>
      <c r="AF76" s="37">
        <v>20113367.468499999</v>
      </c>
      <c r="AG76" s="38">
        <v>5582721359</v>
      </c>
      <c r="AH76" s="38">
        <v>1000314869</v>
      </c>
      <c r="AI76" s="38">
        <v>10886710022</v>
      </c>
      <c r="AJ76" s="38">
        <v>15344000</v>
      </c>
      <c r="AK76" s="20"/>
    </row>
    <row r="77" spans="1:37" ht="15.75" customHeight="1" x14ac:dyDescent="0.25">
      <c r="A77" s="14">
        <v>46141</v>
      </c>
      <c r="B77" s="37">
        <v>1400</v>
      </c>
      <c r="C77" s="38">
        <v>0</v>
      </c>
      <c r="D77" s="38">
        <v>957101202</v>
      </c>
      <c r="E77" s="38">
        <v>-105615000</v>
      </c>
      <c r="F77" s="38">
        <v>183500000</v>
      </c>
      <c r="G77" s="38">
        <v>1946000</v>
      </c>
      <c r="H77" s="38">
        <v>2000000</v>
      </c>
      <c r="I77" s="38">
        <v>955153045</v>
      </c>
      <c r="J77" s="38">
        <v>387161334</v>
      </c>
      <c r="K77" s="38">
        <v>0</v>
      </c>
      <c r="L77" s="38">
        <v>4086149</v>
      </c>
      <c r="M77" s="38">
        <v>0</v>
      </c>
      <c r="N77" s="38">
        <v>0</v>
      </c>
      <c r="O77" s="38">
        <v>7328761</v>
      </c>
      <c r="P77" s="38">
        <v>0</v>
      </c>
      <c r="Q77" s="38">
        <v>0</v>
      </c>
      <c r="R77" s="38">
        <v>0</v>
      </c>
      <c r="S77" s="38">
        <v>0</v>
      </c>
      <c r="T77" s="38">
        <v>0</v>
      </c>
      <c r="U77" s="38">
        <v>0</v>
      </c>
      <c r="V77" s="38">
        <v>0</v>
      </c>
      <c r="W77" s="38">
        <v>0</v>
      </c>
      <c r="X77" s="38">
        <v>870640000</v>
      </c>
      <c r="Y77" s="38">
        <v>1020219535</v>
      </c>
      <c r="Z77" s="38">
        <v>202734656.16865</v>
      </c>
      <c r="AA77" s="38">
        <v>6059237792</v>
      </c>
      <c r="AB77" s="37">
        <v>1197403.0916899999</v>
      </c>
      <c r="AC77" s="37">
        <v>9000000</v>
      </c>
      <c r="AD77" s="37">
        <v>141199.467275495</v>
      </c>
      <c r="AE77" s="37">
        <v>160000</v>
      </c>
      <c r="AF77" s="37">
        <v>20113367.468499999</v>
      </c>
      <c r="AG77" s="38">
        <v>5582721359</v>
      </c>
      <c r="AH77" s="38">
        <v>1440833100</v>
      </c>
      <c r="AI77" s="38">
        <v>10870927200</v>
      </c>
      <c r="AJ77" s="38">
        <v>15351000</v>
      </c>
      <c r="AK77" s="20"/>
    </row>
    <row r="78" spans="1:37" ht="15.75" customHeight="1" x14ac:dyDescent="0.25">
      <c r="A78" s="14">
        <v>46142</v>
      </c>
      <c r="B78" s="37">
        <v>1400</v>
      </c>
      <c r="C78" s="38">
        <v>0</v>
      </c>
      <c r="D78" s="38">
        <v>1116981335</v>
      </c>
      <c r="E78" s="38">
        <v>21500000</v>
      </c>
      <c r="F78" s="38">
        <v>324500000</v>
      </c>
      <c r="G78" s="38">
        <v>1946000</v>
      </c>
      <c r="H78" s="38">
        <v>2000000</v>
      </c>
      <c r="I78" s="38">
        <v>1013495558</v>
      </c>
      <c r="J78" s="38">
        <v>419782337</v>
      </c>
      <c r="K78" s="38">
        <v>0</v>
      </c>
      <c r="L78" s="38">
        <v>115404377</v>
      </c>
      <c r="M78" s="38">
        <v>0</v>
      </c>
      <c r="N78" s="38">
        <v>0</v>
      </c>
      <c r="O78" s="38">
        <v>0</v>
      </c>
      <c r="P78" s="38">
        <v>0</v>
      </c>
      <c r="Q78" s="38">
        <v>4527200</v>
      </c>
      <c r="R78" s="38">
        <v>0</v>
      </c>
      <c r="S78" s="38">
        <v>0</v>
      </c>
      <c r="T78" s="38">
        <v>0</v>
      </c>
      <c r="U78" s="38">
        <v>0</v>
      </c>
      <c r="V78" s="38">
        <v>0</v>
      </c>
      <c r="W78" s="38">
        <v>0</v>
      </c>
      <c r="X78" s="38">
        <v>949484713</v>
      </c>
      <c r="Y78" s="38">
        <v>1574004295</v>
      </c>
      <c r="Z78" s="38">
        <v>202734656.16865</v>
      </c>
      <c r="AA78" s="38">
        <v>6734890193</v>
      </c>
      <c r="AB78" s="37">
        <v>1197403.0916899999</v>
      </c>
      <c r="AC78" s="37">
        <v>9000000</v>
      </c>
      <c r="AD78" s="37">
        <v>141199.467275495</v>
      </c>
      <c r="AE78" s="37">
        <v>160000</v>
      </c>
      <c r="AF78" s="37">
        <v>10799849.478499999</v>
      </c>
      <c r="AG78" s="38">
        <v>5582721359</v>
      </c>
      <c r="AH78" s="38">
        <v>2504740980</v>
      </c>
      <c r="AI78" s="38">
        <v>10664858400</v>
      </c>
      <c r="AJ78" s="38">
        <v>15375000</v>
      </c>
      <c r="AK78" s="20"/>
    </row>
    <row r="79" spans="1:37" ht="15.75" customHeight="1" x14ac:dyDescent="0.25">
      <c r="A79" s="14">
        <v>46146</v>
      </c>
      <c r="B79" s="37">
        <v>1375</v>
      </c>
      <c r="C79" s="38">
        <v>0</v>
      </c>
      <c r="D79" s="38">
        <v>1131935735</v>
      </c>
      <c r="E79" s="38">
        <v>166033000</v>
      </c>
      <c r="F79" s="38">
        <v>28500000</v>
      </c>
      <c r="G79" s="38">
        <v>8048000</v>
      </c>
      <c r="H79" s="38">
        <v>2000000</v>
      </c>
      <c r="I79" s="38">
        <v>903817018</v>
      </c>
      <c r="J79" s="38">
        <v>229734851</v>
      </c>
      <c r="K79" s="38">
        <v>0</v>
      </c>
      <c r="L79" s="38">
        <v>150337439</v>
      </c>
      <c r="M79" s="38">
        <v>0</v>
      </c>
      <c r="N79" s="38">
        <v>0</v>
      </c>
      <c r="O79" s="38">
        <v>0</v>
      </c>
      <c r="P79" s="38">
        <v>0</v>
      </c>
      <c r="Q79" s="38">
        <v>219029189</v>
      </c>
      <c r="R79" s="38">
        <v>0</v>
      </c>
      <c r="S79" s="38">
        <v>0</v>
      </c>
      <c r="T79" s="38">
        <v>0</v>
      </c>
      <c r="U79" s="38">
        <v>0</v>
      </c>
      <c r="V79" s="38">
        <v>0</v>
      </c>
      <c r="W79" s="38">
        <v>0</v>
      </c>
      <c r="X79" s="38">
        <v>761417437</v>
      </c>
      <c r="Y79" s="38">
        <v>1204637667</v>
      </c>
      <c r="Z79" s="38">
        <v>202734656.16865</v>
      </c>
      <c r="AA79" s="38">
        <v>6714755409</v>
      </c>
      <c r="AB79" s="37">
        <v>1197403.0916899999</v>
      </c>
      <c r="AC79" s="37">
        <v>9000000</v>
      </c>
      <c r="AD79" s="37">
        <v>141199.467275495</v>
      </c>
      <c r="AE79" s="37">
        <v>280000</v>
      </c>
      <c r="AF79" s="37">
        <v>11061867.478499999</v>
      </c>
      <c r="AG79" s="38">
        <v>5582721359</v>
      </c>
      <c r="AH79" s="38">
        <v>2267595962.5</v>
      </c>
      <c r="AI79" s="38">
        <v>10000689875</v>
      </c>
      <c r="AJ79" s="38">
        <v>15387507</v>
      </c>
      <c r="AK79" s="20"/>
    </row>
    <row r="80" spans="1:37" ht="15.75" customHeight="1" x14ac:dyDescent="0.25">
      <c r="A80" s="14">
        <v>46147</v>
      </c>
      <c r="B80" s="37">
        <v>1396.5</v>
      </c>
      <c r="C80" s="38">
        <v>0</v>
      </c>
      <c r="D80" s="38">
        <v>915176645</v>
      </c>
      <c r="E80" s="38">
        <v>148789000</v>
      </c>
      <c r="F80" s="38">
        <v>56350000</v>
      </c>
      <c r="G80" s="38">
        <v>7900000</v>
      </c>
      <c r="H80" s="38">
        <v>2000000</v>
      </c>
      <c r="I80" s="38">
        <v>1234633053</v>
      </c>
      <c r="J80" s="38">
        <v>78748672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22222231</v>
      </c>
      <c r="Q80" s="38">
        <v>371180743</v>
      </c>
      <c r="R80" s="38">
        <v>0</v>
      </c>
      <c r="S80" s="38">
        <v>0</v>
      </c>
      <c r="T80" s="38">
        <v>0</v>
      </c>
      <c r="U80" s="38">
        <v>100000000</v>
      </c>
      <c r="V80" s="38">
        <v>0</v>
      </c>
      <c r="W80" s="38">
        <v>0</v>
      </c>
      <c r="X80" s="38">
        <v>841723050</v>
      </c>
      <c r="Y80" s="38">
        <v>3021797600</v>
      </c>
      <c r="Z80" s="38">
        <v>202734656.16865</v>
      </c>
      <c r="AA80" s="38">
        <v>6871897895</v>
      </c>
      <c r="AB80" s="37">
        <v>1196248.61769</v>
      </c>
      <c r="AC80" s="37">
        <v>9000000</v>
      </c>
      <c r="AD80" s="37">
        <v>141199.467275495</v>
      </c>
      <c r="AE80" s="37">
        <v>280000</v>
      </c>
      <c r="AF80" s="37">
        <v>11210473.578500001</v>
      </c>
      <c r="AG80" s="38">
        <v>5582721359</v>
      </c>
      <c r="AH80" s="38">
        <v>3108364389.0599999</v>
      </c>
      <c r="AI80" s="38">
        <v>9693476572.5</v>
      </c>
      <c r="AJ80" s="38">
        <v>15392000</v>
      </c>
      <c r="AK80" s="20"/>
    </row>
    <row r="81" spans="1:37" ht="15.75" customHeight="1" x14ac:dyDescent="0.25">
      <c r="A81" s="14">
        <v>46148</v>
      </c>
      <c r="B81" s="37">
        <v>1394</v>
      </c>
      <c r="C81" s="38">
        <v>0</v>
      </c>
      <c r="D81" s="38">
        <v>1004100985</v>
      </c>
      <c r="E81" s="38">
        <v>169968000</v>
      </c>
      <c r="F81" s="38">
        <v>154116000</v>
      </c>
      <c r="G81" s="38">
        <v>5631000</v>
      </c>
      <c r="H81" s="38">
        <v>2000000</v>
      </c>
      <c r="I81" s="38">
        <v>1157142384</v>
      </c>
      <c r="J81" s="38">
        <v>164021678</v>
      </c>
      <c r="K81" s="38">
        <v>0</v>
      </c>
      <c r="L81" s="38">
        <v>8902350</v>
      </c>
      <c r="M81" s="38">
        <v>0</v>
      </c>
      <c r="N81" s="38">
        <v>0</v>
      </c>
      <c r="O81" s="38">
        <v>0</v>
      </c>
      <c r="P81" s="38">
        <v>15369453</v>
      </c>
      <c r="Q81" s="38">
        <v>196498507</v>
      </c>
      <c r="R81" s="38">
        <v>0</v>
      </c>
      <c r="S81" s="38">
        <v>0</v>
      </c>
      <c r="T81" s="38">
        <v>0</v>
      </c>
      <c r="U81" s="38">
        <v>180000000</v>
      </c>
      <c r="V81" s="38">
        <v>0</v>
      </c>
      <c r="W81" s="38">
        <v>0</v>
      </c>
      <c r="X81" s="38">
        <v>1105183352</v>
      </c>
      <c r="Y81" s="38">
        <v>3123849992</v>
      </c>
      <c r="Z81" s="38">
        <v>202734656.16865</v>
      </c>
      <c r="AA81" s="38">
        <v>7025155800</v>
      </c>
      <c r="AB81" s="37">
        <v>1196248.61769</v>
      </c>
      <c r="AC81" s="37">
        <v>9000000</v>
      </c>
      <c r="AD81" s="37">
        <v>141199.467275495</v>
      </c>
      <c r="AE81" s="37">
        <v>280000</v>
      </c>
      <c r="AF81" s="37">
        <v>12797567.936000001</v>
      </c>
      <c r="AG81" s="38">
        <v>5582721359</v>
      </c>
      <c r="AH81" s="38">
        <v>2680599046.96</v>
      </c>
      <c r="AI81" s="38">
        <v>8928795828</v>
      </c>
      <c r="AJ81" s="38">
        <v>67392000</v>
      </c>
      <c r="AK81" s="20"/>
    </row>
    <row r="82" spans="1:37" ht="15.75" customHeight="1" x14ac:dyDescent="0.25">
      <c r="A82" s="14">
        <v>46149</v>
      </c>
      <c r="B82" s="37">
        <v>1383</v>
      </c>
      <c r="C82" s="38">
        <v>0</v>
      </c>
      <c r="D82" s="38">
        <v>1004100985</v>
      </c>
      <c r="E82" s="38">
        <v>56178000</v>
      </c>
      <c r="F82" s="38">
        <v>13243000</v>
      </c>
      <c r="G82" s="38">
        <v>4270000</v>
      </c>
      <c r="H82" s="38">
        <v>2000000</v>
      </c>
      <c r="I82" s="38">
        <v>1586995953</v>
      </c>
      <c r="J82" s="38">
        <v>114418365</v>
      </c>
      <c r="K82" s="38">
        <v>0</v>
      </c>
      <c r="L82" s="38">
        <v>8455000</v>
      </c>
      <c r="M82" s="38">
        <v>0</v>
      </c>
      <c r="N82" s="38">
        <v>0</v>
      </c>
      <c r="O82" s="38">
        <v>0</v>
      </c>
      <c r="P82" s="38">
        <v>7364768</v>
      </c>
      <c r="Q82" s="38">
        <v>446269199</v>
      </c>
      <c r="R82" s="38">
        <v>0</v>
      </c>
      <c r="S82" s="38">
        <v>0</v>
      </c>
      <c r="T82" s="38">
        <v>0</v>
      </c>
      <c r="U82" s="38">
        <v>0</v>
      </c>
      <c r="V82" s="38">
        <v>0</v>
      </c>
      <c r="W82" s="38">
        <v>0</v>
      </c>
      <c r="X82" s="38">
        <v>1237302832.29</v>
      </c>
      <c r="Y82" s="38">
        <v>2896014463</v>
      </c>
      <c r="Z82" s="38">
        <v>202734656.16865</v>
      </c>
      <c r="AA82" s="38">
        <v>7174765725</v>
      </c>
      <c r="AB82" s="37">
        <v>1196248.61769</v>
      </c>
      <c r="AC82" s="37">
        <v>9000000</v>
      </c>
      <c r="AD82" s="37">
        <v>141199.467275495</v>
      </c>
      <c r="AE82" s="37">
        <v>280000</v>
      </c>
      <c r="AF82" s="37">
        <v>12657303.614</v>
      </c>
      <c r="AG82" s="38">
        <v>5582721359</v>
      </c>
      <c r="AH82" s="38">
        <v>2731278746</v>
      </c>
      <c r="AI82" s="38">
        <v>8858339046</v>
      </c>
      <c r="AJ82" s="38">
        <v>102471144</v>
      </c>
      <c r="AK82" s="20"/>
    </row>
    <row r="83" spans="1:37" ht="15.75" customHeight="1" x14ac:dyDescent="0.25">
      <c r="A83" s="14"/>
      <c r="B83" s="24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39"/>
      <c r="AB83" s="39"/>
      <c r="AC83" s="39"/>
      <c r="AD83" s="39"/>
      <c r="AE83" s="39"/>
      <c r="AF83" s="17"/>
      <c r="AG83" s="17"/>
      <c r="AH83" s="17"/>
      <c r="AI83" s="17"/>
      <c r="AJ83" s="17"/>
      <c r="AK83" s="20"/>
    </row>
    <row r="84" spans="1:37" ht="15.75" customHeight="1" x14ac:dyDescent="0.25">
      <c r="A84" s="14"/>
      <c r="B84" s="24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39"/>
      <c r="AB84" s="39"/>
      <c r="AC84" s="39"/>
      <c r="AD84" s="39"/>
      <c r="AE84" s="39"/>
      <c r="AF84" s="17"/>
      <c r="AG84" s="17"/>
      <c r="AH84" s="17"/>
      <c r="AI84" s="17"/>
      <c r="AJ84" s="17"/>
      <c r="AK84" s="20"/>
    </row>
    <row r="85" spans="1:37" ht="15.75" customHeight="1" x14ac:dyDescent="0.25">
      <c r="A85" s="14"/>
      <c r="B85" s="24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39"/>
      <c r="AB85" s="39"/>
      <c r="AC85" s="39"/>
      <c r="AD85" s="39"/>
      <c r="AE85" s="39"/>
      <c r="AF85" s="17"/>
      <c r="AG85" s="17"/>
      <c r="AH85" s="17"/>
      <c r="AI85" s="17"/>
      <c r="AJ85" s="17"/>
      <c r="AK85" s="20"/>
    </row>
    <row r="86" spans="1:37" ht="15.75" customHeight="1" x14ac:dyDescent="0.25">
      <c r="A86" s="14"/>
      <c r="B86" s="24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39"/>
      <c r="AB86" s="39"/>
      <c r="AC86" s="39"/>
      <c r="AD86" s="39"/>
      <c r="AE86" s="39"/>
      <c r="AF86" s="17"/>
      <c r="AG86" s="17"/>
      <c r="AH86" s="17"/>
      <c r="AI86" s="17"/>
      <c r="AJ86" s="17"/>
      <c r="AK86" s="20"/>
    </row>
    <row r="87" spans="1:37" ht="15.75" customHeight="1" x14ac:dyDescent="0.25">
      <c r="A87" s="14"/>
      <c r="B87" s="24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39"/>
      <c r="AB87" s="39"/>
      <c r="AC87" s="39"/>
      <c r="AD87" s="39"/>
      <c r="AE87" s="39"/>
      <c r="AF87" s="17"/>
      <c r="AG87" s="17"/>
      <c r="AH87" s="17"/>
      <c r="AI87" s="17"/>
      <c r="AJ87" s="17"/>
      <c r="AK87" s="20"/>
    </row>
    <row r="88" spans="1:37" ht="15.75" customHeight="1" x14ac:dyDescent="0.25">
      <c r="A88" s="14"/>
      <c r="B88" s="24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39"/>
      <c r="AB88" s="39"/>
      <c r="AC88" s="39"/>
      <c r="AD88" s="39"/>
      <c r="AE88" s="39"/>
      <c r="AF88" s="17"/>
      <c r="AG88" s="17"/>
      <c r="AH88" s="17"/>
      <c r="AI88" s="17"/>
      <c r="AJ88" s="17"/>
      <c r="AK88" s="20"/>
    </row>
    <row r="89" spans="1:37" ht="15.75" customHeight="1" x14ac:dyDescent="0.25">
      <c r="A89" s="14"/>
      <c r="B89" s="24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39"/>
      <c r="AB89" s="39"/>
      <c r="AC89" s="39"/>
      <c r="AD89" s="39"/>
      <c r="AE89" s="39"/>
      <c r="AF89" s="17"/>
      <c r="AG89" s="17"/>
      <c r="AH89" s="17"/>
      <c r="AI89" s="17"/>
      <c r="AJ89" s="17"/>
      <c r="AK89" s="20"/>
    </row>
    <row r="90" spans="1:37" ht="15.75" customHeight="1" x14ac:dyDescent="0.25">
      <c r="A90" s="14"/>
      <c r="B90" s="24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39"/>
      <c r="AB90" s="39"/>
      <c r="AC90" s="39"/>
      <c r="AD90" s="39"/>
      <c r="AE90" s="39"/>
      <c r="AF90" s="17"/>
      <c r="AG90" s="17"/>
      <c r="AH90" s="17"/>
      <c r="AI90" s="17"/>
      <c r="AJ90" s="17"/>
      <c r="AK90" s="20"/>
    </row>
    <row r="91" spans="1:37" ht="15.75" customHeight="1" x14ac:dyDescent="0.25">
      <c r="A91" s="14"/>
      <c r="B91" s="24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39"/>
      <c r="AB91" s="39"/>
      <c r="AC91" s="39"/>
      <c r="AD91" s="39"/>
      <c r="AE91" s="39"/>
      <c r="AF91" s="17"/>
      <c r="AG91" s="17"/>
      <c r="AH91" s="17"/>
      <c r="AI91" s="17"/>
      <c r="AJ91" s="17"/>
      <c r="AK91" s="20"/>
    </row>
    <row r="92" spans="1:37" ht="15.75" customHeight="1" x14ac:dyDescent="0.25">
      <c r="A92" s="14"/>
      <c r="B92" s="24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39"/>
      <c r="AB92" s="39"/>
      <c r="AC92" s="39"/>
      <c r="AD92" s="39"/>
      <c r="AE92" s="39"/>
      <c r="AF92" s="17"/>
      <c r="AG92" s="17"/>
      <c r="AH92" s="17"/>
      <c r="AI92" s="17"/>
      <c r="AJ92" s="17"/>
      <c r="AK92" s="20"/>
    </row>
    <row r="93" spans="1:37" ht="15.75" customHeight="1" x14ac:dyDescent="0.25">
      <c r="A93" s="14"/>
      <c r="B93" s="24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39"/>
      <c r="AB93" s="39"/>
      <c r="AC93" s="39"/>
      <c r="AD93" s="39"/>
      <c r="AE93" s="39"/>
      <c r="AF93" s="17"/>
      <c r="AG93" s="17"/>
      <c r="AH93" s="17"/>
      <c r="AI93" s="17"/>
      <c r="AJ93" s="17"/>
      <c r="AK93" s="20"/>
    </row>
    <row r="94" spans="1:37" ht="15.75" customHeight="1" x14ac:dyDescent="0.25">
      <c r="A94" s="14"/>
      <c r="B94" s="24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39"/>
      <c r="AB94" s="39"/>
      <c r="AC94" s="39"/>
      <c r="AD94" s="39"/>
      <c r="AE94" s="39"/>
      <c r="AF94" s="17"/>
      <c r="AG94" s="17"/>
      <c r="AH94" s="17"/>
      <c r="AI94" s="17"/>
      <c r="AJ94" s="17"/>
      <c r="AK94" s="20"/>
    </row>
    <row r="95" spans="1:37" ht="15.75" customHeight="1" x14ac:dyDescent="0.25">
      <c r="A95" s="14"/>
      <c r="B95" s="24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39"/>
      <c r="AB95" s="39"/>
      <c r="AC95" s="39"/>
      <c r="AD95" s="39"/>
      <c r="AE95" s="39"/>
      <c r="AF95" s="17"/>
      <c r="AG95" s="17"/>
      <c r="AH95" s="17"/>
      <c r="AI95" s="17"/>
      <c r="AJ95" s="17"/>
      <c r="AK95" s="20"/>
    </row>
    <row r="96" spans="1:37" ht="15.75" customHeight="1" x14ac:dyDescent="0.25">
      <c r="A96" s="14"/>
      <c r="B96" s="24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39"/>
      <c r="AB96" s="39"/>
      <c r="AC96" s="39"/>
      <c r="AD96" s="39"/>
      <c r="AE96" s="39"/>
      <c r="AF96" s="17"/>
      <c r="AG96" s="17"/>
      <c r="AH96" s="17"/>
      <c r="AI96" s="17"/>
      <c r="AJ96" s="17"/>
      <c r="AK96" s="20"/>
    </row>
    <row r="97" spans="1:37" ht="15.75" customHeight="1" x14ac:dyDescent="0.25">
      <c r="A97" s="14"/>
      <c r="B97" s="24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39"/>
      <c r="AB97" s="39"/>
      <c r="AC97" s="39"/>
      <c r="AD97" s="39"/>
      <c r="AE97" s="39"/>
      <c r="AF97" s="17"/>
      <c r="AG97" s="17"/>
      <c r="AH97" s="17"/>
      <c r="AI97" s="17"/>
      <c r="AJ97" s="17"/>
      <c r="AK97" s="20"/>
    </row>
    <row r="98" spans="1:37" ht="15.75" customHeight="1" x14ac:dyDescent="0.25">
      <c r="A98" s="14"/>
      <c r="B98" s="24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39"/>
      <c r="AB98" s="39"/>
      <c r="AC98" s="39"/>
      <c r="AD98" s="39"/>
      <c r="AE98" s="39"/>
      <c r="AF98" s="17"/>
      <c r="AG98" s="17"/>
      <c r="AH98" s="17"/>
      <c r="AI98" s="17"/>
      <c r="AJ98" s="17"/>
      <c r="AK98" s="20"/>
    </row>
    <row r="99" spans="1:37" ht="15.75" customHeight="1" x14ac:dyDescent="0.25">
      <c r="A99" s="14"/>
      <c r="B99" s="24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39"/>
      <c r="AB99" s="39"/>
      <c r="AC99" s="39"/>
      <c r="AD99" s="39"/>
      <c r="AE99" s="39"/>
      <c r="AF99" s="17"/>
      <c r="AG99" s="17"/>
      <c r="AH99" s="17"/>
      <c r="AI99" s="17"/>
      <c r="AJ99" s="17"/>
      <c r="AK99" s="20"/>
    </row>
    <row r="100" spans="1:37" ht="15.75" customHeight="1" x14ac:dyDescent="0.25">
      <c r="A100" s="14"/>
      <c r="B100" s="24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39"/>
      <c r="AB100" s="39"/>
      <c r="AC100" s="39"/>
      <c r="AD100" s="39"/>
      <c r="AE100" s="39"/>
      <c r="AF100" s="17"/>
      <c r="AG100" s="17"/>
      <c r="AH100" s="17"/>
      <c r="AI100" s="17"/>
      <c r="AJ100" s="17"/>
      <c r="AK100" s="20"/>
    </row>
    <row r="101" spans="1:37" ht="15.75" customHeight="1" x14ac:dyDescent="0.25">
      <c r="A101" s="14"/>
      <c r="B101" s="24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39"/>
      <c r="AB101" s="39"/>
      <c r="AC101" s="39"/>
      <c r="AD101" s="39"/>
      <c r="AE101" s="39"/>
      <c r="AF101" s="17"/>
      <c r="AG101" s="17"/>
      <c r="AH101" s="17"/>
      <c r="AI101" s="17"/>
      <c r="AJ101" s="17"/>
      <c r="AK101" s="20"/>
    </row>
    <row r="102" spans="1:37" ht="15.75" customHeight="1" x14ac:dyDescent="0.25">
      <c r="A102" s="14"/>
      <c r="B102" s="24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39"/>
      <c r="AB102" s="39"/>
      <c r="AC102" s="39"/>
      <c r="AD102" s="39"/>
      <c r="AE102" s="39"/>
      <c r="AF102" s="17"/>
      <c r="AG102" s="17"/>
      <c r="AH102" s="17"/>
      <c r="AI102" s="17"/>
      <c r="AJ102" s="17"/>
      <c r="AK102" s="20"/>
    </row>
    <row r="103" spans="1:37" ht="15.75" customHeight="1" x14ac:dyDescent="0.25">
      <c r="A103" s="14"/>
      <c r="B103" s="24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39"/>
      <c r="AB103" s="39"/>
      <c r="AC103" s="39"/>
      <c r="AD103" s="39"/>
      <c r="AE103" s="39"/>
      <c r="AF103" s="17"/>
      <c r="AG103" s="17"/>
      <c r="AH103" s="17"/>
      <c r="AI103" s="17"/>
      <c r="AJ103" s="17"/>
      <c r="AK103" s="20"/>
    </row>
    <row r="104" spans="1:37" ht="15.75" customHeight="1" x14ac:dyDescent="0.25">
      <c r="A104" s="14"/>
      <c r="B104" s="24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39"/>
      <c r="AB104" s="39"/>
      <c r="AC104" s="39"/>
      <c r="AD104" s="39"/>
      <c r="AE104" s="39"/>
      <c r="AF104" s="17"/>
      <c r="AG104" s="17"/>
      <c r="AH104" s="17"/>
      <c r="AI104" s="17"/>
      <c r="AJ104" s="17"/>
      <c r="AK104" s="20"/>
    </row>
    <row r="105" spans="1:37" ht="15.75" customHeight="1" x14ac:dyDescent="0.25">
      <c r="A105" s="14"/>
      <c r="B105" s="24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39"/>
      <c r="AB105" s="39"/>
      <c r="AC105" s="39"/>
      <c r="AD105" s="39"/>
      <c r="AE105" s="39"/>
      <c r="AF105" s="17"/>
      <c r="AG105" s="17"/>
      <c r="AH105" s="17"/>
      <c r="AI105" s="17"/>
      <c r="AJ105" s="17"/>
      <c r="AK105" s="20"/>
    </row>
    <row r="106" spans="1:37" ht="15.75" customHeight="1" x14ac:dyDescent="0.25">
      <c r="A106" s="14"/>
      <c r="B106" s="24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39"/>
      <c r="AB106" s="39"/>
      <c r="AC106" s="39"/>
      <c r="AD106" s="39"/>
      <c r="AE106" s="39"/>
      <c r="AF106" s="17"/>
      <c r="AG106" s="17"/>
      <c r="AH106" s="17"/>
      <c r="AI106" s="17"/>
      <c r="AJ106" s="17"/>
      <c r="AK106" s="20"/>
    </row>
    <row r="107" spans="1:37" ht="15.75" customHeight="1" x14ac:dyDescent="0.25">
      <c r="A107" s="14"/>
      <c r="B107" s="24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39"/>
      <c r="AB107" s="39"/>
      <c r="AC107" s="39"/>
      <c r="AD107" s="39"/>
      <c r="AE107" s="39"/>
      <c r="AF107" s="17"/>
      <c r="AG107" s="17"/>
      <c r="AH107" s="17"/>
      <c r="AI107" s="17"/>
      <c r="AJ107" s="17"/>
      <c r="AK107" s="20"/>
    </row>
    <row r="108" spans="1:37" ht="15.75" customHeight="1" x14ac:dyDescent="0.25">
      <c r="A108" s="14"/>
      <c r="B108" s="24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39"/>
      <c r="AB108" s="39"/>
      <c r="AC108" s="39"/>
      <c r="AD108" s="39"/>
      <c r="AE108" s="39"/>
      <c r="AF108" s="17"/>
      <c r="AG108" s="17"/>
      <c r="AH108" s="17"/>
      <c r="AI108" s="17"/>
      <c r="AJ108" s="17"/>
      <c r="AK108" s="20"/>
    </row>
    <row r="109" spans="1:37" ht="15.75" customHeight="1" x14ac:dyDescent="0.25">
      <c r="A109" s="14"/>
      <c r="B109" s="24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39"/>
      <c r="AB109" s="39"/>
      <c r="AC109" s="39"/>
      <c r="AD109" s="39"/>
      <c r="AE109" s="39"/>
      <c r="AF109" s="17"/>
      <c r="AG109" s="17"/>
      <c r="AH109" s="17"/>
      <c r="AI109" s="17"/>
      <c r="AJ109" s="17"/>
      <c r="AK109" s="20"/>
    </row>
    <row r="110" spans="1:37" ht="15.75" customHeight="1" x14ac:dyDescent="0.25">
      <c r="A110" s="14"/>
      <c r="B110" s="24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39"/>
      <c r="AB110" s="39"/>
      <c r="AC110" s="39"/>
      <c r="AD110" s="39"/>
      <c r="AE110" s="39"/>
      <c r="AF110" s="17"/>
      <c r="AG110" s="17"/>
      <c r="AH110" s="17"/>
      <c r="AI110" s="17"/>
      <c r="AJ110" s="17"/>
      <c r="AK110" s="20"/>
    </row>
    <row r="111" spans="1:37" ht="15.75" customHeight="1" x14ac:dyDescent="0.25">
      <c r="A111" s="14"/>
      <c r="B111" s="24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39"/>
      <c r="AB111" s="39"/>
      <c r="AC111" s="39"/>
      <c r="AD111" s="39"/>
      <c r="AE111" s="39"/>
      <c r="AF111" s="17"/>
      <c r="AG111" s="17"/>
      <c r="AH111" s="17"/>
      <c r="AI111" s="17"/>
      <c r="AJ111" s="17"/>
      <c r="AK111" s="20"/>
    </row>
    <row r="112" spans="1:37" ht="15.75" customHeight="1" x14ac:dyDescent="0.25">
      <c r="A112" s="14"/>
      <c r="B112" s="24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39"/>
      <c r="AB112" s="39"/>
      <c r="AC112" s="39"/>
      <c r="AD112" s="39"/>
      <c r="AE112" s="39"/>
      <c r="AF112" s="17"/>
      <c r="AG112" s="17"/>
      <c r="AH112" s="17"/>
      <c r="AI112" s="17"/>
      <c r="AJ112" s="17"/>
      <c r="AK112" s="20"/>
    </row>
    <row r="113" spans="1:37" ht="15.75" customHeight="1" x14ac:dyDescent="0.25">
      <c r="A113" s="14"/>
      <c r="B113" s="24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39"/>
      <c r="AB113" s="39"/>
      <c r="AC113" s="39"/>
      <c r="AD113" s="39"/>
      <c r="AE113" s="39"/>
      <c r="AF113" s="17"/>
      <c r="AG113" s="17"/>
      <c r="AH113" s="17"/>
      <c r="AI113" s="17"/>
      <c r="AJ113" s="17"/>
      <c r="AK113" s="20"/>
    </row>
    <row r="114" spans="1:37" ht="15.75" customHeight="1" x14ac:dyDescent="0.25">
      <c r="A114" s="14"/>
      <c r="B114" s="24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39"/>
      <c r="AB114" s="39"/>
      <c r="AC114" s="39"/>
      <c r="AD114" s="39"/>
      <c r="AE114" s="39"/>
      <c r="AF114" s="17"/>
      <c r="AG114" s="17"/>
      <c r="AH114" s="17"/>
      <c r="AI114" s="17"/>
      <c r="AJ114" s="17"/>
      <c r="AK114" s="20"/>
    </row>
    <row r="115" spans="1:37" ht="15.75" customHeight="1" x14ac:dyDescent="0.25">
      <c r="A115" s="14"/>
      <c r="B115" s="24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39"/>
      <c r="AB115" s="39"/>
      <c r="AC115" s="39"/>
      <c r="AD115" s="39"/>
      <c r="AE115" s="39"/>
      <c r="AF115" s="17"/>
      <c r="AG115" s="17"/>
      <c r="AH115" s="17"/>
      <c r="AI115" s="17"/>
      <c r="AJ115" s="17"/>
      <c r="AK115" s="20"/>
    </row>
    <row r="116" spans="1:37" ht="15.75" customHeight="1" x14ac:dyDescent="0.25">
      <c r="A116" s="14"/>
      <c r="B116" s="24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39"/>
      <c r="AB116" s="39"/>
      <c r="AC116" s="39"/>
      <c r="AD116" s="39"/>
      <c r="AE116" s="39"/>
      <c r="AF116" s="17"/>
      <c r="AG116" s="17"/>
      <c r="AH116" s="17"/>
      <c r="AI116" s="17"/>
      <c r="AJ116" s="17"/>
      <c r="AK116" s="20"/>
    </row>
    <row r="117" spans="1:37" ht="15.75" customHeight="1" x14ac:dyDescent="0.25">
      <c r="A117" s="14"/>
      <c r="B117" s="24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39"/>
      <c r="AB117" s="39"/>
      <c r="AC117" s="39"/>
      <c r="AD117" s="39"/>
      <c r="AE117" s="39"/>
      <c r="AF117" s="17"/>
      <c r="AG117" s="17"/>
      <c r="AH117" s="17"/>
      <c r="AI117" s="17"/>
      <c r="AJ117" s="17"/>
      <c r="AK117" s="20"/>
    </row>
    <row r="118" spans="1:37" ht="15.75" customHeight="1" x14ac:dyDescent="0.25">
      <c r="A118" s="14"/>
      <c r="B118" s="24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39"/>
      <c r="AB118" s="39"/>
      <c r="AC118" s="39"/>
      <c r="AD118" s="39"/>
      <c r="AE118" s="39"/>
      <c r="AF118" s="17"/>
      <c r="AG118" s="17"/>
      <c r="AH118" s="17"/>
      <c r="AI118" s="17"/>
      <c r="AJ118" s="17"/>
      <c r="AK118" s="20"/>
    </row>
    <row r="119" spans="1:37" ht="15.75" customHeight="1" x14ac:dyDescent="0.25">
      <c r="A119" s="14"/>
      <c r="B119" s="24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39"/>
      <c r="AB119" s="39"/>
      <c r="AC119" s="39"/>
      <c r="AD119" s="39"/>
      <c r="AE119" s="39"/>
      <c r="AF119" s="17"/>
      <c r="AG119" s="17"/>
      <c r="AH119" s="17"/>
      <c r="AI119" s="17"/>
      <c r="AJ119" s="17"/>
      <c r="AK119" s="20"/>
    </row>
    <row r="120" spans="1:37" ht="15.75" customHeight="1" x14ac:dyDescent="0.25">
      <c r="A120" s="14"/>
      <c r="B120" s="24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39"/>
      <c r="AB120" s="39"/>
      <c r="AC120" s="39"/>
      <c r="AD120" s="39"/>
      <c r="AE120" s="39"/>
      <c r="AF120" s="17"/>
      <c r="AG120" s="17"/>
      <c r="AH120" s="17"/>
      <c r="AI120" s="17"/>
      <c r="AJ120" s="17"/>
      <c r="AK120" s="20"/>
    </row>
    <row r="121" spans="1:37" ht="15.75" customHeight="1" x14ac:dyDescent="0.25">
      <c r="A121" s="14"/>
      <c r="B121" s="24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39"/>
      <c r="AB121" s="39"/>
      <c r="AC121" s="39"/>
      <c r="AD121" s="39"/>
      <c r="AE121" s="39"/>
      <c r="AF121" s="17"/>
      <c r="AG121" s="17"/>
      <c r="AH121" s="17"/>
      <c r="AI121" s="17"/>
      <c r="AJ121" s="17"/>
      <c r="AK121" s="20"/>
    </row>
    <row r="122" spans="1:37" ht="15.75" customHeight="1" x14ac:dyDescent="0.25">
      <c r="A122" s="14"/>
      <c r="B122" s="24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39"/>
      <c r="AB122" s="39"/>
      <c r="AC122" s="39"/>
      <c r="AD122" s="39"/>
      <c r="AE122" s="39"/>
      <c r="AF122" s="17"/>
      <c r="AG122" s="17"/>
      <c r="AH122" s="17"/>
      <c r="AI122" s="17"/>
      <c r="AJ122" s="17"/>
      <c r="AK122" s="20"/>
    </row>
    <row r="123" spans="1:37" ht="15.75" customHeight="1" x14ac:dyDescent="0.25">
      <c r="A123" s="14"/>
      <c r="B123" s="24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39"/>
      <c r="AB123" s="39"/>
      <c r="AC123" s="39"/>
      <c r="AD123" s="39"/>
      <c r="AE123" s="39"/>
      <c r="AF123" s="17"/>
      <c r="AG123" s="17"/>
      <c r="AH123" s="17"/>
      <c r="AI123" s="17"/>
      <c r="AJ123" s="17"/>
      <c r="AK123" s="20"/>
    </row>
    <row r="124" spans="1:37" ht="15.75" customHeight="1" x14ac:dyDescent="0.25">
      <c r="A124" s="14"/>
      <c r="B124" s="24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39"/>
      <c r="AB124" s="39"/>
      <c r="AC124" s="39"/>
      <c r="AD124" s="39"/>
      <c r="AE124" s="39"/>
      <c r="AF124" s="17"/>
      <c r="AG124" s="17"/>
      <c r="AH124" s="17"/>
      <c r="AI124" s="17"/>
      <c r="AJ124" s="17"/>
      <c r="AK124" s="20"/>
    </row>
    <row r="125" spans="1:37" ht="15.75" customHeight="1" x14ac:dyDescent="0.25">
      <c r="A125" s="14"/>
      <c r="B125" s="24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39"/>
      <c r="AB125" s="39"/>
      <c r="AC125" s="39"/>
      <c r="AD125" s="39"/>
      <c r="AE125" s="39"/>
      <c r="AF125" s="17"/>
      <c r="AG125" s="17"/>
      <c r="AH125" s="17"/>
      <c r="AI125" s="17"/>
      <c r="AJ125" s="17"/>
      <c r="AK125" s="20"/>
    </row>
    <row r="126" spans="1:37" ht="15.75" customHeight="1" x14ac:dyDescent="0.25">
      <c r="A126" s="14"/>
      <c r="B126" s="24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39"/>
      <c r="AB126" s="39"/>
      <c r="AC126" s="39"/>
      <c r="AD126" s="39"/>
      <c r="AE126" s="39"/>
      <c r="AF126" s="17"/>
      <c r="AG126" s="17"/>
      <c r="AH126" s="17"/>
      <c r="AI126" s="17"/>
      <c r="AJ126" s="17"/>
      <c r="AK126" s="20"/>
    </row>
    <row r="127" spans="1:37" ht="15.75" customHeight="1" x14ac:dyDescent="0.25">
      <c r="A127" s="14"/>
      <c r="B127" s="24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39"/>
      <c r="AB127" s="39"/>
      <c r="AC127" s="39"/>
      <c r="AD127" s="39"/>
      <c r="AE127" s="39"/>
      <c r="AF127" s="17"/>
      <c r="AG127" s="17"/>
      <c r="AH127" s="17"/>
      <c r="AI127" s="17"/>
      <c r="AJ127" s="17"/>
      <c r="AK127" s="20"/>
    </row>
    <row r="128" spans="1:37" ht="15.75" customHeight="1" x14ac:dyDescent="0.25">
      <c r="A128" s="14"/>
      <c r="B128" s="24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39"/>
      <c r="AB128" s="39"/>
      <c r="AC128" s="39"/>
      <c r="AD128" s="39"/>
      <c r="AE128" s="39"/>
      <c r="AF128" s="17"/>
      <c r="AG128" s="17"/>
      <c r="AH128" s="17"/>
      <c r="AI128" s="17"/>
      <c r="AJ128" s="17"/>
      <c r="AK128" s="20"/>
    </row>
    <row r="129" spans="1:37" ht="15.75" customHeight="1" x14ac:dyDescent="0.25">
      <c r="A129" s="14"/>
      <c r="B129" s="24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39"/>
      <c r="AB129" s="39"/>
      <c r="AC129" s="39"/>
      <c r="AD129" s="39"/>
      <c r="AE129" s="39"/>
      <c r="AF129" s="17"/>
      <c r="AG129" s="17"/>
      <c r="AH129" s="17"/>
      <c r="AI129" s="17"/>
      <c r="AJ129" s="17"/>
      <c r="AK129" s="20"/>
    </row>
    <row r="130" spans="1:37" ht="15.75" customHeight="1" x14ac:dyDescent="0.25">
      <c r="A130" s="14"/>
      <c r="B130" s="24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39"/>
      <c r="AB130" s="39"/>
      <c r="AC130" s="39"/>
      <c r="AD130" s="39"/>
      <c r="AE130" s="39"/>
      <c r="AF130" s="17"/>
      <c r="AG130" s="17"/>
      <c r="AH130" s="17"/>
      <c r="AI130" s="17"/>
      <c r="AJ130" s="17"/>
      <c r="AK130" s="20"/>
    </row>
    <row r="131" spans="1:37" ht="15.75" customHeight="1" x14ac:dyDescent="0.25">
      <c r="A131" s="14"/>
      <c r="B131" s="24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39"/>
      <c r="AB131" s="39"/>
      <c r="AC131" s="39"/>
      <c r="AD131" s="39"/>
      <c r="AE131" s="39"/>
      <c r="AF131" s="17"/>
      <c r="AG131" s="17"/>
      <c r="AH131" s="17"/>
      <c r="AI131" s="17"/>
      <c r="AJ131" s="17"/>
      <c r="AK131" s="20"/>
    </row>
    <row r="132" spans="1:37" ht="15.75" customHeight="1" x14ac:dyDescent="0.25">
      <c r="A132" s="14"/>
      <c r="B132" s="24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39"/>
      <c r="AB132" s="39"/>
      <c r="AC132" s="39"/>
      <c r="AD132" s="39"/>
      <c r="AE132" s="39"/>
      <c r="AF132" s="17"/>
      <c r="AG132" s="17"/>
      <c r="AH132" s="17"/>
      <c r="AI132" s="17"/>
      <c r="AJ132" s="17"/>
      <c r="AK132" s="20"/>
    </row>
    <row r="133" spans="1:37" ht="15.75" customHeight="1" x14ac:dyDescent="0.25">
      <c r="A133" s="14"/>
      <c r="B133" s="24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39"/>
      <c r="AB133" s="39"/>
      <c r="AC133" s="39"/>
      <c r="AD133" s="39"/>
      <c r="AE133" s="39"/>
      <c r="AF133" s="17"/>
      <c r="AG133" s="17"/>
      <c r="AH133" s="17"/>
      <c r="AI133" s="17"/>
      <c r="AJ133" s="17"/>
      <c r="AK133" s="20"/>
    </row>
    <row r="134" spans="1:37" ht="15.75" customHeight="1" x14ac:dyDescent="0.25">
      <c r="A134" s="14"/>
      <c r="B134" s="24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39"/>
      <c r="AB134" s="39"/>
      <c r="AC134" s="39"/>
      <c r="AD134" s="39"/>
      <c r="AE134" s="39"/>
      <c r="AF134" s="17"/>
      <c r="AG134" s="17"/>
      <c r="AH134" s="17"/>
      <c r="AI134" s="17"/>
      <c r="AJ134" s="17"/>
      <c r="AK134" s="20"/>
    </row>
    <row r="135" spans="1:37" ht="15.75" customHeight="1" x14ac:dyDescent="0.25">
      <c r="A135" s="14"/>
      <c r="B135" s="24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39"/>
      <c r="AB135" s="39"/>
      <c r="AC135" s="39"/>
      <c r="AD135" s="39"/>
      <c r="AE135" s="39"/>
      <c r="AF135" s="17"/>
      <c r="AG135" s="17"/>
      <c r="AH135" s="17"/>
      <c r="AI135" s="17"/>
      <c r="AJ135" s="17"/>
      <c r="AK135" s="20"/>
    </row>
    <row r="136" spans="1:37" ht="15.75" customHeight="1" x14ac:dyDescent="0.25">
      <c r="A136" s="14"/>
      <c r="B136" s="24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39"/>
      <c r="AB136" s="39"/>
      <c r="AC136" s="39"/>
      <c r="AD136" s="39"/>
      <c r="AE136" s="39"/>
      <c r="AF136" s="17"/>
      <c r="AG136" s="17"/>
      <c r="AH136" s="17"/>
      <c r="AI136" s="17"/>
      <c r="AJ136" s="17"/>
      <c r="AK136" s="20"/>
    </row>
    <row r="137" spans="1:37" ht="15.75" customHeight="1" x14ac:dyDescent="0.25">
      <c r="A137" s="14"/>
      <c r="B137" s="24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39"/>
      <c r="AB137" s="39"/>
      <c r="AC137" s="39"/>
      <c r="AD137" s="39"/>
      <c r="AE137" s="39"/>
      <c r="AF137" s="17"/>
      <c r="AG137" s="17"/>
      <c r="AH137" s="17"/>
      <c r="AI137" s="17"/>
      <c r="AJ137" s="17"/>
      <c r="AK137" s="20"/>
    </row>
    <row r="138" spans="1:37" ht="15.75" customHeight="1" x14ac:dyDescent="0.25">
      <c r="A138" s="14"/>
      <c r="B138" s="24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39"/>
      <c r="AB138" s="39"/>
      <c r="AC138" s="39"/>
      <c r="AD138" s="39"/>
      <c r="AE138" s="39"/>
      <c r="AF138" s="17"/>
      <c r="AG138" s="17"/>
      <c r="AH138" s="17"/>
      <c r="AI138" s="17"/>
      <c r="AJ138" s="17"/>
      <c r="AK138" s="20"/>
    </row>
    <row r="139" spans="1:37" ht="15.75" customHeight="1" x14ac:dyDescent="0.25">
      <c r="A139" s="14"/>
      <c r="B139" s="24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39"/>
      <c r="AB139" s="39"/>
      <c r="AC139" s="39"/>
      <c r="AD139" s="39"/>
      <c r="AE139" s="39"/>
      <c r="AF139" s="17"/>
      <c r="AG139" s="17"/>
      <c r="AH139" s="17"/>
      <c r="AI139" s="17"/>
      <c r="AJ139" s="17"/>
      <c r="AK139" s="20"/>
    </row>
    <row r="140" spans="1:37" ht="15.75" customHeight="1" x14ac:dyDescent="0.25">
      <c r="A140" s="14"/>
      <c r="B140" s="24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39"/>
      <c r="AB140" s="39"/>
      <c r="AC140" s="39"/>
      <c r="AD140" s="39"/>
      <c r="AE140" s="39"/>
      <c r="AF140" s="17"/>
      <c r="AG140" s="17"/>
      <c r="AH140" s="17"/>
      <c r="AI140" s="17"/>
      <c r="AJ140" s="17"/>
      <c r="AK140" s="20"/>
    </row>
    <row r="141" spans="1:37" ht="15.75" customHeight="1" x14ac:dyDescent="0.25">
      <c r="A141" s="14"/>
      <c r="B141" s="24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39"/>
      <c r="AB141" s="39"/>
      <c r="AC141" s="39"/>
      <c r="AD141" s="39"/>
      <c r="AE141" s="39"/>
      <c r="AF141" s="17"/>
      <c r="AG141" s="17"/>
      <c r="AH141" s="17"/>
      <c r="AI141" s="17"/>
      <c r="AJ141" s="17"/>
      <c r="AK141" s="20"/>
    </row>
    <row r="142" spans="1:37" ht="15.75" customHeight="1" x14ac:dyDescent="0.25">
      <c r="A142" s="14"/>
      <c r="B142" s="24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39"/>
      <c r="AB142" s="39"/>
      <c r="AC142" s="39"/>
      <c r="AD142" s="39"/>
      <c r="AE142" s="39"/>
      <c r="AF142" s="17"/>
      <c r="AG142" s="17"/>
      <c r="AH142" s="17"/>
      <c r="AI142" s="17"/>
      <c r="AJ142" s="17"/>
      <c r="AK142" s="20"/>
    </row>
    <row r="143" spans="1:37" ht="15.75" customHeight="1" x14ac:dyDescent="0.25">
      <c r="A143" s="14"/>
      <c r="B143" s="24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39"/>
      <c r="AB143" s="39"/>
      <c r="AC143" s="39"/>
      <c r="AD143" s="39"/>
      <c r="AE143" s="39"/>
      <c r="AF143" s="17"/>
      <c r="AG143" s="17"/>
      <c r="AH143" s="17"/>
      <c r="AI143" s="17"/>
      <c r="AJ143" s="17"/>
      <c r="AK143" s="20"/>
    </row>
    <row r="144" spans="1:37" ht="15.75" customHeight="1" x14ac:dyDescent="0.25">
      <c r="A144" s="14"/>
      <c r="B144" s="24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39"/>
      <c r="AB144" s="39"/>
      <c r="AC144" s="39"/>
      <c r="AD144" s="39"/>
      <c r="AE144" s="39"/>
      <c r="AF144" s="17"/>
      <c r="AG144" s="17"/>
      <c r="AH144" s="17"/>
      <c r="AI144" s="17"/>
      <c r="AJ144" s="17"/>
      <c r="AK144" s="20"/>
    </row>
    <row r="145" spans="1:37" ht="15.75" customHeight="1" x14ac:dyDescent="0.25">
      <c r="A145" s="14"/>
      <c r="B145" s="24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39"/>
      <c r="AB145" s="39"/>
      <c r="AC145" s="39"/>
      <c r="AD145" s="39"/>
      <c r="AE145" s="39"/>
      <c r="AF145" s="17"/>
      <c r="AG145" s="17"/>
      <c r="AH145" s="17"/>
      <c r="AI145" s="17"/>
      <c r="AJ145" s="17"/>
      <c r="AK145" s="20"/>
    </row>
    <row r="146" spans="1:37" ht="15.75" customHeight="1" x14ac:dyDescent="0.25">
      <c r="A146" s="14"/>
      <c r="B146" s="24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39"/>
      <c r="AB146" s="39"/>
      <c r="AC146" s="39"/>
      <c r="AD146" s="39"/>
      <c r="AE146" s="39"/>
      <c r="AF146" s="17"/>
      <c r="AG146" s="17"/>
      <c r="AH146" s="17"/>
      <c r="AI146" s="17"/>
      <c r="AJ146" s="17"/>
      <c r="AK146" s="20"/>
    </row>
    <row r="147" spans="1:37" ht="15.75" customHeight="1" x14ac:dyDescent="0.25">
      <c r="A147" s="14"/>
      <c r="B147" s="24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39"/>
      <c r="AB147" s="39"/>
      <c r="AC147" s="39"/>
      <c r="AD147" s="39"/>
      <c r="AE147" s="39"/>
      <c r="AF147" s="17"/>
      <c r="AG147" s="17"/>
      <c r="AH147" s="17"/>
      <c r="AI147" s="17"/>
      <c r="AJ147" s="17"/>
      <c r="AK147" s="20"/>
    </row>
    <row r="148" spans="1:37" ht="15.75" customHeight="1" x14ac:dyDescent="0.25">
      <c r="A148" s="14"/>
      <c r="B148" s="24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39"/>
      <c r="AB148" s="39"/>
      <c r="AC148" s="39"/>
      <c r="AD148" s="39"/>
      <c r="AE148" s="39"/>
      <c r="AF148" s="17"/>
      <c r="AG148" s="17"/>
      <c r="AH148" s="17"/>
      <c r="AI148" s="17"/>
      <c r="AJ148" s="17"/>
      <c r="AK148" s="20"/>
    </row>
    <row r="149" spans="1:37" ht="15.75" customHeight="1" x14ac:dyDescent="0.25">
      <c r="A149" s="14"/>
      <c r="B149" s="24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39"/>
      <c r="AB149" s="39"/>
      <c r="AC149" s="39"/>
      <c r="AD149" s="39"/>
      <c r="AE149" s="39"/>
      <c r="AF149" s="17"/>
      <c r="AG149" s="17"/>
      <c r="AH149" s="17"/>
      <c r="AI149" s="17"/>
      <c r="AJ149" s="17"/>
      <c r="AK149" s="20"/>
    </row>
    <row r="150" spans="1:37" ht="15.75" customHeight="1" x14ac:dyDescent="0.25">
      <c r="A150" s="14"/>
      <c r="B150" s="24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39"/>
      <c r="AB150" s="39"/>
      <c r="AC150" s="39"/>
      <c r="AD150" s="39"/>
      <c r="AE150" s="39"/>
      <c r="AF150" s="17"/>
      <c r="AG150" s="17"/>
      <c r="AH150" s="17"/>
      <c r="AI150" s="17"/>
      <c r="AJ150" s="17"/>
      <c r="AK150" s="20"/>
    </row>
    <row r="151" spans="1:37" ht="15.75" customHeight="1" x14ac:dyDescent="0.25">
      <c r="A151" s="14"/>
      <c r="B151" s="24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39"/>
      <c r="AB151" s="39"/>
      <c r="AC151" s="39"/>
      <c r="AD151" s="39"/>
      <c r="AE151" s="39"/>
      <c r="AF151" s="17"/>
      <c r="AG151" s="17"/>
      <c r="AH151" s="17"/>
      <c r="AI151" s="17"/>
      <c r="AJ151" s="17"/>
      <c r="AK151" s="20"/>
    </row>
    <row r="152" spans="1:37" ht="15.75" customHeight="1" x14ac:dyDescent="0.25">
      <c r="A152" s="14"/>
      <c r="B152" s="24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39"/>
      <c r="AB152" s="39"/>
      <c r="AC152" s="39"/>
      <c r="AD152" s="39"/>
      <c r="AE152" s="39"/>
      <c r="AF152" s="17"/>
      <c r="AG152" s="17"/>
      <c r="AH152" s="17"/>
      <c r="AI152" s="17"/>
      <c r="AJ152" s="17"/>
      <c r="AK152" s="20"/>
    </row>
    <row r="153" spans="1:37" ht="15.75" customHeight="1" x14ac:dyDescent="0.25">
      <c r="A153" s="14"/>
      <c r="B153" s="24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39"/>
      <c r="AB153" s="39"/>
      <c r="AC153" s="39"/>
      <c r="AD153" s="39"/>
      <c r="AE153" s="39"/>
      <c r="AF153" s="17"/>
      <c r="AG153" s="17"/>
      <c r="AH153" s="17"/>
      <c r="AI153" s="17"/>
      <c r="AJ153" s="17"/>
      <c r="AK153" s="20"/>
    </row>
    <row r="154" spans="1:37" ht="15.75" customHeight="1" x14ac:dyDescent="0.25">
      <c r="A154" s="14"/>
      <c r="B154" s="24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39"/>
      <c r="AB154" s="39"/>
      <c r="AC154" s="39"/>
      <c r="AD154" s="39"/>
      <c r="AE154" s="39"/>
      <c r="AF154" s="17"/>
      <c r="AG154" s="17"/>
      <c r="AH154" s="17"/>
      <c r="AI154" s="17"/>
      <c r="AJ154" s="17"/>
      <c r="AK154" s="20"/>
    </row>
    <row r="155" spans="1:37" ht="15.75" customHeight="1" x14ac:dyDescent="0.25">
      <c r="A155" s="14"/>
      <c r="B155" s="24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39"/>
      <c r="AB155" s="39"/>
      <c r="AC155" s="39"/>
      <c r="AD155" s="39"/>
      <c r="AE155" s="39"/>
      <c r="AF155" s="17"/>
      <c r="AG155" s="17"/>
      <c r="AH155" s="17"/>
      <c r="AI155" s="17"/>
      <c r="AJ155" s="17"/>
      <c r="AK155" s="20"/>
    </row>
    <row r="156" spans="1:37" ht="15.75" customHeight="1" x14ac:dyDescent="0.25">
      <c r="A156" s="14"/>
      <c r="B156" s="24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39"/>
      <c r="AB156" s="39"/>
      <c r="AC156" s="39"/>
      <c r="AD156" s="39"/>
      <c r="AE156" s="39"/>
      <c r="AF156" s="17"/>
      <c r="AG156" s="17"/>
      <c r="AH156" s="17"/>
      <c r="AI156" s="17"/>
      <c r="AJ156" s="17"/>
      <c r="AK156" s="20"/>
    </row>
    <row r="157" spans="1:37" ht="15.75" customHeight="1" x14ac:dyDescent="0.25">
      <c r="A157" s="14"/>
      <c r="B157" s="24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39"/>
      <c r="AB157" s="39"/>
      <c r="AC157" s="39"/>
      <c r="AD157" s="39"/>
      <c r="AE157" s="39"/>
      <c r="AF157" s="17"/>
      <c r="AG157" s="17"/>
      <c r="AH157" s="17"/>
      <c r="AI157" s="17"/>
      <c r="AJ157" s="17"/>
      <c r="AK157" s="20"/>
    </row>
    <row r="158" spans="1:37" ht="15.75" customHeight="1" x14ac:dyDescent="0.25">
      <c r="A158" s="14"/>
      <c r="B158" s="24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39"/>
      <c r="AB158" s="39"/>
      <c r="AC158" s="39"/>
      <c r="AD158" s="39"/>
      <c r="AE158" s="39"/>
      <c r="AF158" s="17"/>
      <c r="AG158" s="17"/>
      <c r="AH158" s="17"/>
      <c r="AI158" s="17"/>
      <c r="AJ158" s="17"/>
      <c r="AK158" s="20"/>
    </row>
    <row r="159" spans="1:37" ht="15.75" customHeight="1" x14ac:dyDescent="0.25">
      <c r="A159" s="14"/>
      <c r="B159" s="24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39"/>
      <c r="AB159" s="39"/>
      <c r="AC159" s="39"/>
      <c r="AD159" s="39"/>
      <c r="AE159" s="39"/>
      <c r="AF159" s="17"/>
      <c r="AG159" s="17"/>
      <c r="AH159" s="17"/>
      <c r="AI159" s="17"/>
      <c r="AJ159" s="17"/>
      <c r="AK159" s="20"/>
    </row>
    <row r="160" spans="1:37" ht="15.75" customHeight="1" x14ac:dyDescent="0.25">
      <c r="A160" s="14"/>
      <c r="B160" s="24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39"/>
      <c r="AB160" s="39"/>
      <c r="AC160" s="39"/>
      <c r="AD160" s="39"/>
      <c r="AE160" s="39"/>
      <c r="AF160" s="17"/>
      <c r="AG160" s="17"/>
      <c r="AH160" s="17"/>
      <c r="AI160" s="17"/>
      <c r="AJ160" s="17"/>
      <c r="AK160" s="20"/>
    </row>
    <row r="161" spans="1:37" ht="15.75" customHeight="1" x14ac:dyDescent="0.25">
      <c r="A161" s="14"/>
      <c r="B161" s="24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39"/>
      <c r="AB161" s="39"/>
      <c r="AC161" s="39"/>
      <c r="AD161" s="39"/>
      <c r="AE161" s="39"/>
      <c r="AF161" s="17"/>
      <c r="AG161" s="17"/>
      <c r="AH161" s="17"/>
      <c r="AI161" s="17"/>
      <c r="AJ161" s="17"/>
      <c r="AK161" s="20"/>
    </row>
    <row r="162" spans="1:37" ht="15.75" customHeight="1" x14ac:dyDescent="0.25">
      <c r="A162" s="14"/>
      <c r="B162" s="24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39"/>
      <c r="AB162" s="39"/>
      <c r="AC162" s="39"/>
      <c r="AD162" s="39"/>
      <c r="AE162" s="39"/>
      <c r="AF162" s="17"/>
      <c r="AG162" s="17"/>
      <c r="AH162" s="17"/>
      <c r="AI162" s="17"/>
      <c r="AJ162" s="17"/>
      <c r="AK162" s="20"/>
    </row>
    <row r="163" spans="1:37" ht="15.75" customHeight="1" x14ac:dyDescent="0.25">
      <c r="A163" s="14"/>
      <c r="B163" s="24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39"/>
      <c r="AB163" s="39"/>
      <c r="AC163" s="39"/>
      <c r="AD163" s="39"/>
      <c r="AE163" s="39"/>
      <c r="AF163" s="17"/>
      <c r="AG163" s="17"/>
      <c r="AH163" s="17"/>
      <c r="AI163" s="17"/>
      <c r="AJ163" s="17"/>
      <c r="AK163" s="20"/>
    </row>
    <row r="164" spans="1:37" ht="15.75" customHeight="1" x14ac:dyDescent="0.25">
      <c r="A164" s="14"/>
      <c r="B164" s="24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39"/>
      <c r="AB164" s="39"/>
      <c r="AC164" s="39"/>
      <c r="AD164" s="39"/>
      <c r="AE164" s="39"/>
      <c r="AF164" s="17"/>
      <c r="AG164" s="17"/>
      <c r="AH164" s="17"/>
      <c r="AI164" s="17"/>
      <c r="AJ164" s="17"/>
      <c r="AK164" s="20"/>
    </row>
    <row r="165" spans="1:37" ht="15.75" customHeight="1" x14ac:dyDescent="0.25">
      <c r="A165" s="14"/>
      <c r="B165" s="24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39"/>
      <c r="AB165" s="39"/>
      <c r="AC165" s="39"/>
      <c r="AD165" s="39"/>
      <c r="AE165" s="39"/>
      <c r="AF165" s="17"/>
      <c r="AG165" s="17"/>
      <c r="AH165" s="17"/>
      <c r="AI165" s="17"/>
      <c r="AJ165" s="17"/>
      <c r="AK165" s="20"/>
    </row>
    <row r="166" spans="1:37" ht="15.75" customHeight="1" x14ac:dyDescent="0.25">
      <c r="A166" s="14"/>
      <c r="B166" s="24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39"/>
      <c r="AB166" s="39"/>
      <c r="AC166" s="39"/>
      <c r="AD166" s="39"/>
      <c r="AE166" s="39"/>
      <c r="AF166" s="17"/>
      <c r="AG166" s="17"/>
      <c r="AH166" s="17"/>
      <c r="AI166" s="17"/>
      <c r="AJ166" s="17"/>
      <c r="AK166" s="20"/>
    </row>
    <row r="167" spans="1:37" ht="15.75" customHeight="1" x14ac:dyDescent="0.25">
      <c r="A167" s="14"/>
      <c r="B167" s="24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39"/>
      <c r="AB167" s="39"/>
      <c r="AC167" s="39"/>
      <c r="AD167" s="39"/>
      <c r="AE167" s="39"/>
      <c r="AF167" s="17"/>
      <c r="AG167" s="17"/>
      <c r="AH167" s="17"/>
      <c r="AI167" s="17"/>
      <c r="AJ167" s="17"/>
      <c r="AK167" s="20"/>
    </row>
    <row r="168" spans="1:37" ht="15.75" customHeight="1" x14ac:dyDescent="0.25">
      <c r="A168" s="14"/>
      <c r="B168" s="24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39"/>
      <c r="AB168" s="39"/>
      <c r="AC168" s="39"/>
      <c r="AD168" s="39"/>
      <c r="AE168" s="39"/>
      <c r="AF168" s="17"/>
      <c r="AG168" s="17"/>
      <c r="AH168" s="17"/>
      <c r="AI168" s="17"/>
      <c r="AJ168" s="17"/>
      <c r="AK168" s="20"/>
    </row>
    <row r="169" spans="1:37" ht="15.75" customHeight="1" x14ac:dyDescent="0.25">
      <c r="A169" s="14"/>
      <c r="B169" s="24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39"/>
      <c r="AB169" s="39"/>
      <c r="AC169" s="39"/>
      <c r="AD169" s="39"/>
      <c r="AE169" s="39"/>
      <c r="AF169" s="17"/>
      <c r="AG169" s="17"/>
      <c r="AH169" s="17"/>
      <c r="AI169" s="17"/>
      <c r="AJ169" s="17"/>
      <c r="AK169" s="20"/>
    </row>
    <row r="170" spans="1:37" ht="15.75" customHeight="1" x14ac:dyDescent="0.25">
      <c r="A170" s="14"/>
      <c r="B170" s="24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39"/>
      <c r="AB170" s="39"/>
      <c r="AC170" s="39"/>
      <c r="AD170" s="39"/>
      <c r="AE170" s="39"/>
      <c r="AF170" s="17"/>
      <c r="AG170" s="17"/>
      <c r="AH170" s="17"/>
      <c r="AI170" s="17"/>
      <c r="AJ170" s="17"/>
      <c r="AK170" s="20"/>
    </row>
    <row r="171" spans="1:37" ht="15.75" customHeight="1" x14ac:dyDescent="0.25">
      <c r="A171" s="14"/>
      <c r="B171" s="24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39"/>
      <c r="AB171" s="39"/>
      <c r="AC171" s="39"/>
      <c r="AD171" s="39"/>
      <c r="AE171" s="39"/>
      <c r="AF171" s="17"/>
      <c r="AG171" s="17"/>
      <c r="AH171" s="17"/>
      <c r="AI171" s="17"/>
      <c r="AJ171" s="17"/>
      <c r="AK171" s="20"/>
    </row>
    <row r="172" spans="1:37" ht="15.75" customHeight="1" x14ac:dyDescent="0.25">
      <c r="A172" s="14"/>
      <c r="B172" s="24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39"/>
      <c r="AB172" s="39"/>
      <c r="AC172" s="39"/>
      <c r="AD172" s="39"/>
      <c r="AE172" s="39"/>
      <c r="AF172" s="17"/>
      <c r="AG172" s="17"/>
      <c r="AH172" s="17"/>
      <c r="AI172" s="17"/>
      <c r="AJ172" s="17"/>
      <c r="AK172" s="20"/>
    </row>
    <row r="173" spans="1:37" ht="15.75" customHeight="1" x14ac:dyDescent="0.25">
      <c r="A173" s="14"/>
      <c r="B173" s="24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39"/>
      <c r="AB173" s="39"/>
      <c r="AC173" s="39"/>
      <c r="AD173" s="39"/>
      <c r="AE173" s="39"/>
      <c r="AF173" s="17"/>
      <c r="AG173" s="17"/>
      <c r="AH173" s="17"/>
      <c r="AI173" s="17"/>
      <c r="AJ173" s="17"/>
      <c r="AK173" s="20"/>
    </row>
    <row r="174" spans="1:37" ht="15.75" customHeight="1" x14ac:dyDescent="0.25">
      <c r="A174" s="14"/>
      <c r="B174" s="24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39"/>
      <c r="AB174" s="39"/>
      <c r="AC174" s="39"/>
      <c r="AD174" s="39"/>
      <c r="AE174" s="39"/>
      <c r="AF174" s="17"/>
      <c r="AG174" s="17"/>
      <c r="AH174" s="17"/>
      <c r="AI174" s="17"/>
      <c r="AJ174" s="17"/>
      <c r="AK174" s="20"/>
    </row>
    <row r="175" spans="1:37" ht="15.75" customHeight="1" x14ac:dyDescent="0.25">
      <c r="A175" s="14"/>
      <c r="B175" s="24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39"/>
      <c r="AB175" s="39"/>
      <c r="AC175" s="39"/>
      <c r="AD175" s="39"/>
      <c r="AE175" s="39"/>
      <c r="AF175" s="17"/>
      <c r="AG175" s="17"/>
      <c r="AH175" s="17"/>
      <c r="AI175" s="17"/>
      <c r="AJ175" s="17"/>
      <c r="AK175" s="20"/>
    </row>
    <row r="176" spans="1:37" ht="15.75" customHeight="1" x14ac:dyDescent="0.25">
      <c r="A176" s="14"/>
      <c r="B176" s="24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39"/>
      <c r="AB176" s="39"/>
      <c r="AC176" s="39"/>
      <c r="AD176" s="39"/>
      <c r="AE176" s="39"/>
      <c r="AF176" s="17"/>
      <c r="AG176" s="17"/>
      <c r="AH176" s="17"/>
      <c r="AI176" s="17"/>
      <c r="AJ176" s="17"/>
      <c r="AK176" s="20"/>
    </row>
    <row r="177" spans="1:37" ht="15.75" customHeight="1" x14ac:dyDescent="0.25">
      <c r="A177" s="14"/>
      <c r="B177" s="24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39"/>
      <c r="AB177" s="39"/>
      <c r="AC177" s="39"/>
      <c r="AD177" s="39"/>
      <c r="AE177" s="39"/>
      <c r="AF177" s="17"/>
      <c r="AG177" s="17"/>
      <c r="AH177" s="17"/>
      <c r="AI177" s="17"/>
      <c r="AJ177" s="17"/>
      <c r="AK177" s="20"/>
    </row>
    <row r="178" spans="1:37" ht="15.75" customHeight="1" x14ac:dyDescent="0.25">
      <c r="A178" s="14"/>
      <c r="B178" s="24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39"/>
      <c r="AB178" s="39"/>
      <c r="AC178" s="39"/>
      <c r="AD178" s="39"/>
      <c r="AE178" s="39"/>
      <c r="AF178" s="17"/>
      <c r="AG178" s="17"/>
      <c r="AH178" s="17"/>
      <c r="AI178" s="17"/>
      <c r="AJ178" s="17"/>
      <c r="AK178" s="20"/>
    </row>
    <row r="179" spans="1:37" ht="15.75" customHeight="1" x14ac:dyDescent="0.25">
      <c r="A179" s="14"/>
      <c r="B179" s="24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39"/>
      <c r="AB179" s="39"/>
      <c r="AC179" s="39"/>
      <c r="AD179" s="39"/>
      <c r="AE179" s="39"/>
      <c r="AF179" s="17"/>
      <c r="AG179" s="17"/>
      <c r="AH179" s="17"/>
      <c r="AI179" s="17"/>
      <c r="AJ179" s="17"/>
      <c r="AK179" s="20"/>
    </row>
    <row r="180" spans="1:37" ht="15.75" customHeight="1" x14ac:dyDescent="0.25">
      <c r="A180" s="14"/>
      <c r="B180" s="24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39"/>
      <c r="AB180" s="39"/>
      <c r="AC180" s="39"/>
      <c r="AD180" s="39"/>
      <c r="AE180" s="39"/>
      <c r="AF180" s="17"/>
      <c r="AG180" s="17"/>
      <c r="AH180" s="17"/>
      <c r="AI180" s="17"/>
      <c r="AJ180" s="17"/>
      <c r="AK180" s="20"/>
    </row>
    <row r="181" spans="1:37" ht="15.75" customHeight="1" x14ac:dyDescent="0.25">
      <c r="A181" s="14"/>
      <c r="B181" s="24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39"/>
      <c r="AB181" s="39"/>
      <c r="AC181" s="39"/>
      <c r="AD181" s="39"/>
      <c r="AE181" s="39"/>
      <c r="AF181" s="17"/>
      <c r="AG181" s="17"/>
      <c r="AH181" s="17"/>
      <c r="AI181" s="17"/>
      <c r="AJ181" s="17"/>
      <c r="AK181" s="20"/>
    </row>
    <row r="182" spans="1:37" ht="15.75" customHeight="1" x14ac:dyDescent="0.25">
      <c r="A182" s="14"/>
      <c r="B182" s="24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39"/>
      <c r="AB182" s="39"/>
      <c r="AC182" s="39"/>
      <c r="AD182" s="39"/>
      <c r="AE182" s="39"/>
      <c r="AF182" s="17"/>
      <c r="AG182" s="17"/>
      <c r="AH182" s="17"/>
      <c r="AI182" s="17"/>
      <c r="AJ182" s="17"/>
      <c r="AK182" s="20"/>
    </row>
    <row r="183" spans="1:37" ht="15.75" customHeight="1" x14ac:dyDescent="0.25">
      <c r="A183" s="14"/>
      <c r="B183" s="24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39"/>
      <c r="AB183" s="39"/>
      <c r="AC183" s="39"/>
      <c r="AD183" s="39"/>
      <c r="AE183" s="39"/>
      <c r="AF183" s="17"/>
      <c r="AG183" s="17"/>
      <c r="AH183" s="17"/>
      <c r="AI183" s="17"/>
      <c r="AJ183" s="17"/>
      <c r="AK183" s="20"/>
    </row>
    <row r="184" spans="1:37" ht="15.75" customHeight="1" x14ac:dyDescent="0.25">
      <c r="A184" s="14"/>
      <c r="B184" s="24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39"/>
      <c r="AB184" s="39"/>
      <c r="AC184" s="39"/>
      <c r="AD184" s="39"/>
      <c r="AE184" s="39"/>
      <c r="AF184" s="17"/>
      <c r="AG184" s="17"/>
      <c r="AH184" s="17"/>
      <c r="AI184" s="17"/>
      <c r="AJ184" s="17"/>
      <c r="AK184" s="20"/>
    </row>
    <row r="185" spans="1:37" ht="15.75" customHeight="1" x14ac:dyDescent="0.25">
      <c r="A185" s="14"/>
      <c r="B185" s="24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39"/>
      <c r="AB185" s="39"/>
      <c r="AC185" s="39"/>
      <c r="AD185" s="39"/>
      <c r="AE185" s="39"/>
      <c r="AF185" s="17"/>
      <c r="AG185" s="17"/>
      <c r="AH185" s="17"/>
      <c r="AI185" s="17"/>
      <c r="AJ185" s="17"/>
      <c r="AK185" s="20"/>
    </row>
    <row r="186" spans="1:37" ht="15.75" customHeight="1" x14ac:dyDescent="0.25">
      <c r="A186" s="14"/>
      <c r="B186" s="24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39"/>
      <c r="AB186" s="39"/>
      <c r="AC186" s="39"/>
      <c r="AD186" s="39"/>
      <c r="AE186" s="39"/>
      <c r="AF186" s="17"/>
      <c r="AG186" s="17"/>
      <c r="AH186" s="17"/>
      <c r="AI186" s="17"/>
      <c r="AJ186" s="17"/>
      <c r="AK186" s="20"/>
    </row>
    <row r="187" spans="1:37" ht="15.75" customHeight="1" x14ac:dyDescent="0.25">
      <c r="A187" s="14"/>
      <c r="B187" s="24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39"/>
      <c r="AB187" s="39"/>
      <c r="AC187" s="39"/>
      <c r="AD187" s="39"/>
      <c r="AE187" s="39"/>
      <c r="AF187" s="17"/>
      <c r="AG187" s="17"/>
      <c r="AH187" s="17"/>
      <c r="AI187" s="17"/>
      <c r="AJ187" s="17"/>
      <c r="AK187" s="20"/>
    </row>
    <row r="188" spans="1:37" ht="15.75" customHeight="1" x14ac:dyDescent="0.25">
      <c r="A188" s="14"/>
      <c r="B188" s="24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39"/>
      <c r="AB188" s="39"/>
      <c r="AC188" s="39"/>
      <c r="AD188" s="39"/>
      <c r="AE188" s="39"/>
      <c r="AF188" s="17"/>
      <c r="AG188" s="17"/>
      <c r="AH188" s="17"/>
      <c r="AI188" s="17"/>
      <c r="AJ188" s="17"/>
      <c r="AK188" s="20"/>
    </row>
    <row r="189" spans="1:37" ht="15.75" customHeight="1" x14ac:dyDescent="0.25">
      <c r="A189" s="14"/>
      <c r="B189" s="24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39"/>
      <c r="AB189" s="39"/>
      <c r="AC189" s="39"/>
      <c r="AD189" s="39"/>
      <c r="AE189" s="39"/>
      <c r="AF189" s="17"/>
      <c r="AG189" s="17"/>
      <c r="AH189" s="17"/>
      <c r="AI189" s="17"/>
      <c r="AJ189" s="17"/>
      <c r="AK189" s="20"/>
    </row>
    <row r="190" spans="1:37" ht="15.75" customHeight="1" x14ac:dyDescent="0.25">
      <c r="A190" s="14"/>
      <c r="B190" s="24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39"/>
      <c r="AB190" s="39"/>
      <c r="AC190" s="39"/>
      <c r="AD190" s="39"/>
      <c r="AE190" s="39"/>
      <c r="AF190" s="17"/>
      <c r="AG190" s="17"/>
      <c r="AH190" s="17"/>
      <c r="AI190" s="17"/>
      <c r="AJ190" s="17"/>
      <c r="AK190" s="20"/>
    </row>
    <row r="191" spans="1:37" ht="15.75" customHeight="1" x14ac:dyDescent="0.25">
      <c r="A191" s="14"/>
      <c r="B191" s="24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39"/>
      <c r="AB191" s="39"/>
      <c r="AC191" s="39"/>
      <c r="AD191" s="39"/>
      <c r="AE191" s="39"/>
      <c r="AF191" s="17"/>
      <c r="AG191" s="17"/>
      <c r="AH191" s="17"/>
      <c r="AI191" s="17"/>
      <c r="AJ191" s="17"/>
      <c r="AK191" s="20"/>
    </row>
    <row r="192" spans="1:37" ht="15.75" customHeight="1" x14ac:dyDescent="0.25">
      <c r="A192" s="14"/>
      <c r="B192" s="24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39"/>
      <c r="AB192" s="39"/>
      <c r="AC192" s="39"/>
      <c r="AD192" s="39"/>
      <c r="AE192" s="39"/>
      <c r="AF192" s="17"/>
      <c r="AG192" s="17"/>
      <c r="AH192" s="17"/>
      <c r="AI192" s="17"/>
      <c r="AJ192" s="17"/>
      <c r="AK192" s="20"/>
    </row>
    <row r="193" spans="1:37" ht="15.75" customHeight="1" x14ac:dyDescent="0.25">
      <c r="A193" s="14"/>
      <c r="B193" s="24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39"/>
      <c r="AB193" s="39"/>
      <c r="AC193" s="39"/>
      <c r="AD193" s="39"/>
      <c r="AE193" s="39"/>
      <c r="AF193" s="17"/>
      <c r="AG193" s="17"/>
      <c r="AH193" s="17"/>
      <c r="AI193" s="17"/>
      <c r="AJ193" s="17"/>
      <c r="AK193" s="20"/>
    </row>
    <row r="194" spans="1:37" ht="15.75" customHeight="1" x14ac:dyDescent="0.25">
      <c r="A194" s="14"/>
      <c r="B194" s="24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39"/>
      <c r="AB194" s="39"/>
      <c r="AC194" s="39"/>
      <c r="AD194" s="39"/>
      <c r="AE194" s="39"/>
      <c r="AF194" s="17"/>
      <c r="AG194" s="17"/>
      <c r="AH194" s="17"/>
      <c r="AI194" s="17"/>
      <c r="AJ194" s="17"/>
      <c r="AK194" s="20"/>
    </row>
    <row r="195" spans="1:37" ht="15.75" customHeight="1" x14ac:dyDescent="0.25">
      <c r="A195" s="14"/>
      <c r="B195" s="24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39"/>
      <c r="AB195" s="39"/>
      <c r="AC195" s="39"/>
      <c r="AD195" s="39"/>
      <c r="AE195" s="39"/>
      <c r="AF195" s="17"/>
      <c r="AG195" s="17"/>
      <c r="AH195" s="17"/>
      <c r="AI195" s="17"/>
      <c r="AJ195" s="17"/>
      <c r="AK195" s="20"/>
    </row>
    <row r="196" spans="1:37" ht="15.75" customHeight="1" x14ac:dyDescent="0.25">
      <c r="A196" s="14"/>
      <c r="B196" s="24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39"/>
      <c r="AB196" s="39"/>
      <c r="AC196" s="39"/>
      <c r="AD196" s="39"/>
      <c r="AE196" s="39"/>
      <c r="AF196" s="17"/>
      <c r="AG196" s="17"/>
      <c r="AH196" s="17"/>
      <c r="AI196" s="17"/>
      <c r="AJ196" s="17"/>
      <c r="AK196" s="20"/>
    </row>
    <row r="197" spans="1:37" ht="15.75" customHeight="1" x14ac:dyDescent="0.25">
      <c r="A197" s="14"/>
      <c r="B197" s="24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39"/>
      <c r="AB197" s="39"/>
      <c r="AC197" s="39"/>
      <c r="AD197" s="39"/>
      <c r="AE197" s="39"/>
      <c r="AF197" s="17"/>
      <c r="AG197" s="17"/>
      <c r="AH197" s="17"/>
      <c r="AI197" s="17"/>
      <c r="AJ197" s="17"/>
      <c r="AK197" s="20"/>
    </row>
    <row r="198" spans="1:37" ht="15.75" customHeight="1" x14ac:dyDescent="0.25">
      <c r="A198" s="14"/>
      <c r="B198" s="24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39"/>
      <c r="AB198" s="39"/>
      <c r="AC198" s="39"/>
      <c r="AD198" s="39"/>
      <c r="AE198" s="39"/>
      <c r="AF198" s="17"/>
      <c r="AG198" s="17"/>
      <c r="AH198" s="17"/>
      <c r="AI198" s="17"/>
      <c r="AJ198" s="17"/>
      <c r="AK198" s="20"/>
    </row>
    <row r="199" spans="1:37" ht="15.75" customHeight="1" x14ac:dyDescent="0.25">
      <c r="A199" s="14"/>
      <c r="B199" s="24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39"/>
      <c r="AB199" s="39"/>
      <c r="AC199" s="39"/>
      <c r="AD199" s="39"/>
      <c r="AE199" s="39"/>
      <c r="AF199" s="17"/>
      <c r="AG199" s="17"/>
      <c r="AH199" s="17"/>
      <c r="AI199" s="17"/>
      <c r="AJ199" s="17"/>
      <c r="AK199" s="20"/>
    </row>
    <row r="200" spans="1:37" ht="15.75" customHeight="1" x14ac:dyDescent="0.25">
      <c r="A200" s="14"/>
      <c r="B200" s="24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39"/>
      <c r="AB200" s="39"/>
      <c r="AC200" s="39"/>
      <c r="AD200" s="39"/>
      <c r="AE200" s="39"/>
      <c r="AF200" s="17"/>
      <c r="AG200" s="17"/>
      <c r="AH200" s="17"/>
      <c r="AI200" s="17"/>
      <c r="AJ200" s="17"/>
      <c r="AK200" s="20"/>
    </row>
    <row r="201" spans="1:37" ht="15.75" customHeight="1" x14ac:dyDescent="0.25">
      <c r="A201" s="14"/>
      <c r="B201" s="24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39"/>
      <c r="AB201" s="39"/>
      <c r="AC201" s="39"/>
      <c r="AD201" s="39"/>
      <c r="AE201" s="39"/>
      <c r="AF201" s="17"/>
      <c r="AG201" s="17"/>
      <c r="AH201" s="17"/>
      <c r="AI201" s="17"/>
      <c r="AJ201" s="17"/>
      <c r="AK201" s="20"/>
    </row>
    <row r="202" spans="1:37" ht="15.75" customHeight="1" x14ac:dyDescent="0.25">
      <c r="A202" s="14"/>
      <c r="B202" s="24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39"/>
      <c r="AB202" s="39"/>
      <c r="AC202" s="39"/>
      <c r="AD202" s="39"/>
      <c r="AE202" s="39"/>
      <c r="AF202" s="17"/>
      <c r="AG202" s="17"/>
      <c r="AH202" s="17"/>
      <c r="AI202" s="17"/>
      <c r="AJ202" s="17"/>
      <c r="AK202" s="20"/>
    </row>
    <row r="203" spans="1:37" ht="15.75" customHeight="1" x14ac:dyDescent="0.25">
      <c r="A203" s="14"/>
      <c r="B203" s="24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39"/>
      <c r="AB203" s="39"/>
      <c r="AC203" s="39"/>
      <c r="AD203" s="39"/>
      <c r="AE203" s="39"/>
      <c r="AF203" s="17"/>
      <c r="AG203" s="17"/>
      <c r="AH203" s="17"/>
      <c r="AI203" s="17"/>
      <c r="AJ203" s="17"/>
      <c r="AK203" s="20"/>
    </row>
    <row r="204" spans="1:37" ht="15.75" customHeight="1" x14ac:dyDescent="0.25">
      <c r="A204" s="14"/>
      <c r="B204" s="24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39"/>
      <c r="AB204" s="39"/>
      <c r="AC204" s="39"/>
      <c r="AD204" s="39"/>
      <c r="AE204" s="39"/>
      <c r="AF204" s="17"/>
      <c r="AG204" s="17"/>
      <c r="AH204" s="17"/>
      <c r="AI204" s="17"/>
      <c r="AJ204" s="17"/>
      <c r="AK204" s="20"/>
    </row>
    <row r="205" spans="1:37" ht="15.75" customHeight="1" x14ac:dyDescent="0.25">
      <c r="A205" s="14"/>
      <c r="B205" s="24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39"/>
      <c r="AB205" s="39"/>
      <c r="AC205" s="39"/>
      <c r="AD205" s="39"/>
      <c r="AE205" s="39"/>
      <c r="AF205" s="17"/>
      <c r="AG205" s="17"/>
      <c r="AH205" s="17"/>
      <c r="AI205" s="17"/>
      <c r="AJ205" s="17"/>
      <c r="AK205" s="20"/>
    </row>
    <row r="206" spans="1:37" ht="15.75" customHeight="1" x14ac:dyDescent="0.25">
      <c r="A206" s="14"/>
      <c r="B206" s="24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39"/>
      <c r="AB206" s="39"/>
      <c r="AC206" s="39"/>
      <c r="AD206" s="39"/>
      <c r="AE206" s="39"/>
      <c r="AF206" s="17"/>
      <c r="AG206" s="17"/>
      <c r="AH206" s="17"/>
      <c r="AI206" s="17"/>
      <c r="AJ206" s="17"/>
      <c r="AK206" s="20"/>
    </row>
    <row r="207" spans="1:37" ht="15.75" customHeight="1" x14ac:dyDescent="0.25">
      <c r="A207" s="14"/>
      <c r="B207" s="24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39"/>
      <c r="AB207" s="39"/>
      <c r="AC207" s="39"/>
      <c r="AD207" s="39"/>
      <c r="AE207" s="39"/>
      <c r="AF207" s="17"/>
      <c r="AG207" s="17"/>
      <c r="AH207" s="17"/>
      <c r="AI207" s="17"/>
      <c r="AJ207" s="17"/>
      <c r="AK207" s="20"/>
    </row>
    <row r="208" spans="1:37" ht="15.75" customHeight="1" x14ac:dyDescent="0.25">
      <c r="A208" s="14"/>
      <c r="B208" s="24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39"/>
      <c r="AB208" s="39"/>
      <c r="AC208" s="39"/>
      <c r="AD208" s="39"/>
      <c r="AE208" s="39"/>
      <c r="AF208" s="17"/>
      <c r="AG208" s="17"/>
      <c r="AH208" s="17"/>
      <c r="AI208" s="17"/>
      <c r="AJ208" s="17"/>
      <c r="AK208" s="20"/>
    </row>
    <row r="209" spans="1:37" ht="15.75" customHeight="1" x14ac:dyDescent="0.25">
      <c r="A209" s="14"/>
      <c r="B209" s="24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39"/>
      <c r="AB209" s="39"/>
      <c r="AC209" s="39"/>
      <c r="AD209" s="39"/>
      <c r="AE209" s="39"/>
      <c r="AF209" s="17"/>
      <c r="AG209" s="17"/>
      <c r="AH209" s="17"/>
      <c r="AI209" s="17"/>
      <c r="AJ209" s="17"/>
      <c r="AK209" s="20"/>
    </row>
    <row r="210" spans="1:37" ht="15.75" customHeight="1" x14ac:dyDescent="0.25">
      <c r="A210" s="14"/>
      <c r="B210" s="24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39"/>
      <c r="AB210" s="39"/>
      <c r="AC210" s="39"/>
      <c r="AD210" s="39"/>
      <c r="AE210" s="39"/>
      <c r="AF210" s="17"/>
      <c r="AG210" s="17"/>
      <c r="AH210" s="17"/>
      <c r="AI210" s="17"/>
      <c r="AJ210" s="17"/>
      <c r="AK210" s="20"/>
    </row>
    <row r="211" spans="1:37" ht="15.75" customHeight="1" x14ac:dyDescent="0.25">
      <c r="A211" s="14"/>
      <c r="B211" s="24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39"/>
      <c r="AB211" s="39"/>
      <c r="AC211" s="39"/>
      <c r="AD211" s="39"/>
      <c r="AE211" s="39"/>
      <c r="AF211" s="17"/>
      <c r="AG211" s="17"/>
      <c r="AH211" s="17"/>
      <c r="AI211" s="17"/>
      <c r="AJ211" s="17"/>
      <c r="AK211" s="20"/>
    </row>
    <row r="212" spans="1:37" ht="15.75" customHeight="1" x14ac:dyDescent="0.25">
      <c r="A212" s="14"/>
      <c r="B212" s="24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39"/>
      <c r="AB212" s="39"/>
      <c r="AC212" s="39"/>
      <c r="AD212" s="39"/>
      <c r="AE212" s="39"/>
      <c r="AF212" s="17"/>
      <c r="AG212" s="17"/>
      <c r="AH212" s="17"/>
      <c r="AI212" s="17"/>
      <c r="AJ212" s="17"/>
      <c r="AK212" s="20"/>
    </row>
    <row r="213" spans="1:37" ht="15.75" customHeight="1" x14ac:dyDescent="0.25">
      <c r="A213" s="14"/>
      <c r="B213" s="24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39"/>
      <c r="AB213" s="39"/>
      <c r="AC213" s="39"/>
      <c r="AD213" s="39"/>
      <c r="AE213" s="39"/>
      <c r="AF213" s="17"/>
      <c r="AG213" s="17"/>
      <c r="AH213" s="17"/>
      <c r="AI213" s="17"/>
      <c r="AJ213" s="17"/>
      <c r="AK213" s="20"/>
    </row>
    <row r="214" spans="1:37" ht="15.75" customHeight="1" x14ac:dyDescent="0.25">
      <c r="A214" s="14"/>
      <c r="B214" s="24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39"/>
      <c r="AB214" s="39"/>
      <c r="AC214" s="39"/>
      <c r="AD214" s="39"/>
      <c r="AE214" s="39"/>
      <c r="AF214" s="17"/>
      <c r="AG214" s="17"/>
      <c r="AH214" s="17"/>
      <c r="AI214" s="17"/>
      <c r="AJ214" s="17"/>
      <c r="AK214" s="20"/>
    </row>
    <row r="215" spans="1:37" ht="15.75" customHeight="1" x14ac:dyDescent="0.25">
      <c r="A215" s="14"/>
      <c r="B215" s="24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39"/>
      <c r="AB215" s="39"/>
      <c r="AC215" s="39"/>
      <c r="AD215" s="39"/>
      <c r="AE215" s="39"/>
      <c r="AF215" s="17"/>
      <c r="AG215" s="17"/>
      <c r="AH215" s="17"/>
      <c r="AI215" s="17"/>
      <c r="AJ215" s="17"/>
      <c r="AK215" s="20"/>
    </row>
    <row r="216" spans="1:37" ht="15.75" customHeight="1" x14ac:dyDescent="0.25">
      <c r="A216" s="14"/>
      <c r="B216" s="24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39"/>
      <c r="AB216" s="39"/>
      <c r="AC216" s="39"/>
      <c r="AD216" s="39"/>
      <c r="AE216" s="39"/>
      <c r="AF216" s="17"/>
      <c r="AG216" s="17"/>
      <c r="AH216" s="17"/>
      <c r="AI216" s="17"/>
      <c r="AJ216" s="17"/>
      <c r="AK216" s="20"/>
    </row>
    <row r="217" spans="1:37" ht="15.75" customHeight="1" x14ac:dyDescent="0.25">
      <c r="A217" s="14"/>
      <c r="B217" s="24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39"/>
      <c r="AB217" s="39"/>
      <c r="AC217" s="39"/>
      <c r="AD217" s="39"/>
      <c r="AE217" s="39"/>
      <c r="AF217" s="17"/>
      <c r="AG217" s="17"/>
      <c r="AH217" s="17"/>
      <c r="AI217" s="17"/>
      <c r="AJ217" s="17"/>
      <c r="AK217" s="20"/>
    </row>
    <row r="218" spans="1:37" ht="15.75" customHeight="1" x14ac:dyDescent="0.25">
      <c r="A218" s="14"/>
      <c r="B218" s="24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39"/>
      <c r="AB218" s="39"/>
      <c r="AC218" s="39"/>
      <c r="AD218" s="39"/>
      <c r="AE218" s="39"/>
      <c r="AF218" s="17"/>
      <c r="AG218" s="17"/>
      <c r="AH218" s="17"/>
      <c r="AI218" s="17"/>
      <c r="AJ218" s="17"/>
      <c r="AK218" s="20"/>
    </row>
    <row r="219" spans="1:37" ht="15.75" customHeight="1" x14ac:dyDescent="0.25">
      <c r="A219" s="14"/>
      <c r="B219" s="24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39"/>
      <c r="AB219" s="39"/>
      <c r="AC219" s="39"/>
      <c r="AD219" s="39"/>
      <c r="AE219" s="39"/>
      <c r="AF219" s="17"/>
      <c r="AG219" s="17"/>
      <c r="AH219" s="17"/>
      <c r="AI219" s="17"/>
      <c r="AJ219" s="17"/>
      <c r="AK219" s="20"/>
    </row>
    <row r="220" spans="1:37" ht="15.75" customHeight="1" x14ac:dyDescent="0.25">
      <c r="A220" s="14"/>
      <c r="B220" s="24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39"/>
      <c r="AB220" s="39"/>
      <c r="AC220" s="39"/>
      <c r="AD220" s="39"/>
      <c r="AE220" s="39"/>
      <c r="AF220" s="17"/>
      <c r="AG220" s="17"/>
      <c r="AH220" s="17"/>
      <c r="AI220" s="17"/>
      <c r="AJ220" s="17"/>
      <c r="AK220" s="20"/>
    </row>
    <row r="221" spans="1:37" ht="15.75" customHeight="1" x14ac:dyDescent="0.25">
      <c r="A221" s="14"/>
      <c r="B221" s="24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39"/>
      <c r="AB221" s="39"/>
      <c r="AC221" s="39"/>
      <c r="AD221" s="39"/>
      <c r="AE221" s="39"/>
      <c r="AF221" s="17"/>
      <c r="AG221" s="17"/>
      <c r="AH221" s="17"/>
      <c r="AI221" s="17"/>
      <c r="AJ221" s="17"/>
      <c r="AK221" s="20"/>
    </row>
    <row r="222" spans="1:37" ht="15.75" customHeight="1" x14ac:dyDescent="0.25">
      <c r="A222" s="14"/>
      <c r="B222" s="24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39"/>
      <c r="AB222" s="39"/>
      <c r="AC222" s="39"/>
      <c r="AD222" s="39"/>
      <c r="AE222" s="39"/>
      <c r="AF222" s="17"/>
      <c r="AG222" s="17"/>
      <c r="AH222" s="17"/>
      <c r="AI222" s="17"/>
      <c r="AJ222" s="17"/>
      <c r="AK222" s="20"/>
    </row>
    <row r="223" spans="1:37" ht="15.75" customHeight="1" x14ac:dyDescent="0.25">
      <c r="A223" s="14"/>
      <c r="B223" s="24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39"/>
      <c r="AB223" s="39"/>
      <c r="AC223" s="39"/>
      <c r="AD223" s="39"/>
      <c r="AE223" s="39"/>
      <c r="AF223" s="17"/>
      <c r="AG223" s="17"/>
      <c r="AH223" s="17"/>
      <c r="AI223" s="17"/>
      <c r="AJ223" s="17"/>
      <c r="AK223" s="20"/>
    </row>
    <row r="224" spans="1:37" ht="15.75" customHeight="1" x14ac:dyDescent="0.25">
      <c r="A224" s="14"/>
      <c r="B224" s="24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39"/>
      <c r="AB224" s="39"/>
      <c r="AC224" s="39"/>
      <c r="AD224" s="39"/>
      <c r="AE224" s="39"/>
      <c r="AF224" s="17"/>
      <c r="AG224" s="17"/>
      <c r="AH224" s="17"/>
      <c r="AI224" s="17"/>
      <c r="AJ224" s="17"/>
      <c r="AK224" s="20"/>
    </row>
    <row r="225" spans="1:37" ht="15.75" customHeight="1" x14ac:dyDescent="0.25">
      <c r="A225" s="14"/>
      <c r="B225" s="24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39"/>
      <c r="AB225" s="39"/>
      <c r="AC225" s="39"/>
      <c r="AD225" s="39"/>
      <c r="AE225" s="39"/>
      <c r="AF225" s="17"/>
      <c r="AG225" s="17"/>
      <c r="AH225" s="17"/>
      <c r="AI225" s="17"/>
      <c r="AJ225" s="17"/>
      <c r="AK225" s="20"/>
    </row>
    <row r="226" spans="1:37" ht="15.75" customHeight="1" x14ac:dyDescent="0.25">
      <c r="A226" s="14"/>
      <c r="B226" s="24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39"/>
      <c r="AB226" s="39"/>
      <c r="AC226" s="39"/>
      <c r="AD226" s="39"/>
      <c r="AE226" s="39"/>
      <c r="AF226" s="17"/>
      <c r="AG226" s="17"/>
      <c r="AH226" s="17"/>
      <c r="AI226" s="17"/>
      <c r="AJ226" s="17"/>
      <c r="AK226" s="20"/>
    </row>
    <row r="227" spans="1:37" ht="15.75" customHeight="1" x14ac:dyDescent="0.25">
      <c r="A227" s="14"/>
      <c r="B227" s="24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39"/>
      <c r="AB227" s="39"/>
      <c r="AC227" s="39"/>
      <c r="AD227" s="39"/>
      <c r="AE227" s="39"/>
      <c r="AF227" s="17"/>
      <c r="AG227" s="17"/>
      <c r="AH227" s="17"/>
      <c r="AI227" s="17"/>
      <c r="AJ227" s="17"/>
      <c r="AK227" s="20"/>
    </row>
    <row r="228" spans="1:37" ht="15.75" customHeight="1" x14ac:dyDescent="0.25">
      <c r="A228" s="14"/>
      <c r="B228" s="24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39"/>
      <c r="AB228" s="39"/>
      <c r="AC228" s="39"/>
      <c r="AD228" s="39"/>
      <c r="AE228" s="39"/>
      <c r="AF228" s="17"/>
      <c r="AG228" s="17"/>
      <c r="AH228" s="17"/>
      <c r="AI228" s="17"/>
      <c r="AJ228" s="17"/>
      <c r="AK228" s="20"/>
    </row>
    <row r="229" spans="1:37" ht="15.75" customHeight="1" x14ac:dyDescent="0.25">
      <c r="A229" s="14"/>
      <c r="B229" s="24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39"/>
      <c r="AB229" s="39"/>
      <c r="AC229" s="39"/>
      <c r="AD229" s="39"/>
      <c r="AE229" s="39"/>
      <c r="AF229" s="17"/>
      <c r="AG229" s="17"/>
      <c r="AH229" s="17"/>
      <c r="AI229" s="17"/>
      <c r="AJ229" s="17"/>
      <c r="AK229" s="20"/>
    </row>
    <row r="230" spans="1:37" ht="15.75" customHeight="1" x14ac:dyDescent="0.25">
      <c r="A230" s="14"/>
      <c r="B230" s="24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39"/>
      <c r="AB230" s="39"/>
      <c r="AC230" s="39"/>
      <c r="AD230" s="39"/>
      <c r="AE230" s="39"/>
      <c r="AF230" s="17"/>
      <c r="AG230" s="17"/>
      <c r="AH230" s="17"/>
      <c r="AI230" s="17"/>
      <c r="AJ230" s="17"/>
      <c r="AK230" s="20"/>
    </row>
    <row r="231" spans="1:37" ht="15.75" customHeight="1" x14ac:dyDescent="0.25">
      <c r="A231" s="14"/>
      <c r="B231" s="24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39"/>
      <c r="AB231" s="39"/>
      <c r="AC231" s="39"/>
      <c r="AD231" s="39"/>
      <c r="AE231" s="39"/>
      <c r="AF231" s="17"/>
      <c r="AG231" s="17"/>
      <c r="AH231" s="17"/>
      <c r="AI231" s="17"/>
      <c r="AJ231" s="17"/>
      <c r="AK231" s="20"/>
    </row>
    <row r="232" spans="1:37" ht="15.75" customHeight="1" x14ac:dyDescent="0.25">
      <c r="A232" s="14"/>
      <c r="B232" s="24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39"/>
      <c r="AB232" s="39"/>
      <c r="AC232" s="39"/>
      <c r="AD232" s="39"/>
      <c r="AE232" s="39"/>
      <c r="AF232" s="17"/>
      <c r="AG232" s="17"/>
      <c r="AH232" s="17"/>
      <c r="AI232" s="17"/>
      <c r="AJ232" s="17"/>
      <c r="AK232" s="20"/>
    </row>
    <row r="233" spans="1:37" ht="15.75" customHeight="1" x14ac:dyDescent="0.25">
      <c r="A233" s="14"/>
      <c r="B233" s="24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39"/>
      <c r="AB233" s="39"/>
      <c r="AC233" s="39"/>
      <c r="AD233" s="39"/>
      <c r="AE233" s="39"/>
      <c r="AF233" s="17"/>
      <c r="AG233" s="17"/>
      <c r="AH233" s="17"/>
      <c r="AI233" s="17"/>
      <c r="AJ233" s="17"/>
      <c r="AK233" s="20"/>
    </row>
    <row r="234" spans="1:37" ht="15.75" customHeight="1" x14ac:dyDescent="0.25">
      <c r="A234" s="14"/>
      <c r="B234" s="24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39"/>
      <c r="AB234" s="39"/>
      <c r="AC234" s="39"/>
      <c r="AD234" s="39"/>
      <c r="AE234" s="39"/>
      <c r="AF234" s="17"/>
      <c r="AG234" s="17"/>
      <c r="AH234" s="17"/>
      <c r="AI234" s="17"/>
      <c r="AJ234" s="17"/>
      <c r="AK234" s="20"/>
    </row>
    <row r="235" spans="1:37" ht="15.75" customHeight="1" x14ac:dyDescent="0.25">
      <c r="A235" s="14"/>
      <c r="B235" s="24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39"/>
      <c r="AB235" s="39"/>
      <c r="AC235" s="39"/>
      <c r="AD235" s="39"/>
      <c r="AE235" s="39"/>
      <c r="AF235" s="17"/>
      <c r="AG235" s="17"/>
      <c r="AH235" s="17"/>
      <c r="AI235" s="17"/>
      <c r="AJ235" s="17"/>
      <c r="AK235" s="20"/>
    </row>
    <row r="236" spans="1:37" ht="15.75" customHeight="1" x14ac:dyDescent="0.25">
      <c r="A236" s="14"/>
      <c r="B236" s="24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39"/>
      <c r="AB236" s="39"/>
      <c r="AC236" s="39"/>
      <c r="AD236" s="39"/>
      <c r="AE236" s="39"/>
      <c r="AF236" s="17"/>
      <c r="AG236" s="17"/>
      <c r="AH236" s="17"/>
      <c r="AI236" s="17"/>
      <c r="AJ236" s="17"/>
      <c r="AK236" s="20"/>
    </row>
    <row r="237" spans="1:37" ht="15.75" customHeight="1" x14ac:dyDescent="0.25">
      <c r="A237" s="14"/>
      <c r="B237" s="24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39"/>
      <c r="AB237" s="39"/>
      <c r="AC237" s="39"/>
      <c r="AD237" s="39"/>
      <c r="AE237" s="39"/>
      <c r="AF237" s="17"/>
      <c r="AG237" s="17"/>
      <c r="AH237" s="17"/>
      <c r="AI237" s="17"/>
      <c r="AJ237" s="17"/>
      <c r="AK237" s="20"/>
    </row>
    <row r="238" spans="1:37" ht="15.75" customHeight="1" x14ac:dyDescent="0.25">
      <c r="A238" s="14"/>
      <c r="B238" s="24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39"/>
      <c r="AB238" s="39"/>
      <c r="AC238" s="39"/>
      <c r="AD238" s="39"/>
      <c r="AE238" s="39"/>
      <c r="AF238" s="17"/>
      <c r="AG238" s="17"/>
      <c r="AH238" s="17"/>
      <c r="AI238" s="17"/>
      <c r="AJ238" s="17"/>
      <c r="AK238" s="20"/>
    </row>
    <row r="239" spans="1:37" ht="15.75" customHeight="1" x14ac:dyDescent="0.25">
      <c r="A239" s="14"/>
      <c r="B239" s="24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39"/>
      <c r="AB239" s="39"/>
      <c r="AC239" s="39"/>
      <c r="AD239" s="39"/>
      <c r="AE239" s="39"/>
      <c r="AF239" s="17"/>
      <c r="AG239" s="17"/>
      <c r="AH239" s="17"/>
      <c r="AI239" s="17"/>
      <c r="AJ239" s="17"/>
      <c r="AK239" s="20"/>
    </row>
    <row r="240" spans="1:37" ht="15.75" customHeight="1" x14ac:dyDescent="0.25">
      <c r="A240" s="14"/>
      <c r="B240" s="24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39"/>
      <c r="AB240" s="39"/>
      <c r="AC240" s="39"/>
      <c r="AD240" s="39"/>
      <c r="AE240" s="39"/>
      <c r="AF240" s="17"/>
      <c r="AG240" s="17"/>
      <c r="AH240" s="17"/>
      <c r="AI240" s="17"/>
      <c r="AJ240" s="17"/>
      <c r="AK240" s="20"/>
    </row>
    <row r="241" spans="1:37" ht="15.75" customHeight="1" x14ac:dyDescent="0.25">
      <c r="A241" s="14"/>
      <c r="B241" s="24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39"/>
      <c r="AB241" s="39"/>
      <c r="AC241" s="39"/>
      <c r="AD241" s="39"/>
      <c r="AE241" s="39"/>
      <c r="AF241" s="17"/>
      <c r="AG241" s="17"/>
      <c r="AH241" s="17"/>
      <c r="AI241" s="17"/>
      <c r="AJ241" s="17"/>
      <c r="AK241" s="20"/>
    </row>
    <row r="242" spans="1:37" ht="15.75" customHeight="1" x14ac:dyDescent="0.25">
      <c r="A242" s="14"/>
      <c r="B242" s="24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39"/>
      <c r="AB242" s="39"/>
      <c r="AC242" s="39"/>
      <c r="AD242" s="39"/>
      <c r="AE242" s="39"/>
      <c r="AF242" s="17"/>
      <c r="AG242" s="17"/>
      <c r="AH242" s="17"/>
      <c r="AI242" s="17"/>
      <c r="AJ242" s="17"/>
      <c r="AK242" s="20"/>
    </row>
    <row r="243" spans="1:37" ht="15.75" customHeight="1" x14ac:dyDescent="0.25">
      <c r="A243" s="14"/>
      <c r="B243" s="24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39"/>
      <c r="AB243" s="39"/>
      <c r="AC243" s="39"/>
      <c r="AD243" s="39"/>
      <c r="AE243" s="39"/>
      <c r="AF243" s="17"/>
      <c r="AG243" s="17"/>
      <c r="AH243" s="17"/>
      <c r="AI243" s="17"/>
      <c r="AJ243" s="17"/>
      <c r="AK243" s="20"/>
    </row>
    <row r="244" spans="1:37" ht="15.75" customHeight="1" x14ac:dyDescent="0.25">
      <c r="A244" s="14"/>
      <c r="B244" s="24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39"/>
      <c r="AB244" s="39"/>
      <c r="AC244" s="39"/>
      <c r="AD244" s="39"/>
      <c r="AE244" s="39"/>
      <c r="AF244" s="17"/>
      <c r="AG244" s="17"/>
      <c r="AH244" s="17"/>
      <c r="AI244" s="17"/>
      <c r="AJ244" s="17"/>
      <c r="AK244" s="20"/>
    </row>
    <row r="245" spans="1:37" ht="15.75" customHeight="1" x14ac:dyDescent="0.25">
      <c r="A245" s="14"/>
      <c r="B245" s="24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39"/>
      <c r="AB245" s="39"/>
      <c r="AC245" s="39"/>
      <c r="AD245" s="39"/>
      <c r="AE245" s="39"/>
      <c r="AF245" s="17"/>
      <c r="AG245" s="17"/>
      <c r="AH245" s="17"/>
      <c r="AI245" s="17"/>
      <c r="AJ245" s="17"/>
      <c r="AK245" s="20"/>
    </row>
    <row r="246" spans="1:37" ht="15.75" customHeight="1" x14ac:dyDescent="0.25">
      <c r="A246" s="14"/>
      <c r="B246" s="24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39"/>
      <c r="AB246" s="39"/>
      <c r="AC246" s="39"/>
      <c r="AD246" s="39"/>
      <c r="AE246" s="39"/>
      <c r="AF246" s="17"/>
      <c r="AG246" s="17"/>
      <c r="AH246" s="17"/>
      <c r="AI246" s="17"/>
      <c r="AJ246" s="17"/>
      <c r="AK246" s="20"/>
    </row>
    <row r="247" spans="1:37" ht="15.75" customHeight="1" x14ac:dyDescent="0.25">
      <c r="A247" s="14"/>
      <c r="B247" s="24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39"/>
      <c r="AB247" s="39"/>
      <c r="AC247" s="39"/>
      <c r="AD247" s="39"/>
      <c r="AE247" s="39"/>
      <c r="AF247" s="17"/>
      <c r="AG247" s="17"/>
      <c r="AH247" s="17"/>
      <c r="AI247" s="17"/>
      <c r="AJ247" s="17"/>
      <c r="AK247" s="20"/>
    </row>
    <row r="248" spans="1:37" ht="15.75" customHeight="1" x14ac:dyDescent="0.25">
      <c r="A248" s="14"/>
      <c r="B248" s="24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39"/>
      <c r="AB248" s="39"/>
      <c r="AC248" s="39"/>
      <c r="AD248" s="39"/>
      <c r="AE248" s="39"/>
      <c r="AF248" s="17"/>
      <c r="AG248" s="17"/>
      <c r="AH248" s="17"/>
      <c r="AI248" s="17"/>
      <c r="AJ248" s="17"/>
      <c r="AK248" s="20"/>
    </row>
    <row r="249" spans="1:37" ht="15.75" customHeight="1" x14ac:dyDescent="0.25">
      <c r="A249" s="14"/>
      <c r="B249" s="24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39"/>
      <c r="AB249" s="39"/>
      <c r="AC249" s="39"/>
      <c r="AD249" s="39"/>
      <c r="AE249" s="39"/>
      <c r="AF249" s="17"/>
      <c r="AG249" s="17"/>
      <c r="AH249" s="17"/>
      <c r="AI249" s="17"/>
      <c r="AJ249" s="17"/>
      <c r="AK249" s="20"/>
    </row>
    <row r="250" spans="1:37" ht="15.75" customHeight="1" x14ac:dyDescent="0.25">
      <c r="A250" s="14"/>
      <c r="B250" s="24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39"/>
      <c r="AB250" s="39"/>
      <c r="AC250" s="39"/>
      <c r="AD250" s="39"/>
      <c r="AE250" s="39"/>
      <c r="AF250" s="17"/>
      <c r="AG250" s="17"/>
      <c r="AH250" s="17"/>
      <c r="AI250" s="17"/>
      <c r="AJ250" s="17"/>
      <c r="AK250" s="20"/>
    </row>
    <row r="251" spans="1:37" ht="15.75" customHeight="1" x14ac:dyDescent="0.25">
      <c r="A251" s="14"/>
      <c r="B251" s="24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39"/>
      <c r="AB251" s="39"/>
      <c r="AC251" s="39"/>
      <c r="AD251" s="39"/>
      <c r="AE251" s="39"/>
      <c r="AF251" s="17"/>
      <c r="AG251" s="17"/>
      <c r="AH251" s="17"/>
      <c r="AI251" s="17"/>
      <c r="AJ251" s="17"/>
      <c r="AK251" s="20"/>
    </row>
    <row r="252" spans="1:37" ht="15.75" customHeight="1" x14ac:dyDescent="0.25">
      <c r="A252" s="14"/>
      <c r="B252" s="24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39"/>
      <c r="AB252" s="39"/>
      <c r="AC252" s="39"/>
      <c r="AD252" s="39"/>
      <c r="AE252" s="39"/>
      <c r="AF252" s="17"/>
      <c r="AG252" s="17"/>
      <c r="AH252" s="17"/>
      <c r="AI252" s="17"/>
      <c r="AJ252" s="17"/>
      <c r="AK252" s="20"/>
    </row>
    <row r="253" spans="1:37" ht="15.75" customHeight="1" x14ac:dyDescent="0.25">
      <c r="A253" s="14"/>
      <c r="B253" s="24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39"/>
      <c r="AB253" s="39"/>
      <c r="AC253" s="39"/>
      <c r="AD253" s="39"/>
      <c r="AE253" s="39"/>
      <c r="AF253" s="17"/>
      <c r="AG253" s="17"/>
      <c r="AH253" s="17"/>
      <c r="AI253" s="17"/>
      <c r="AJ253" s="17"/>
      <c r="AK253" s="20"/>
    </row>
    <row r="254" spans="1:37" ht="15.75" customHeight="1" x14ac:dyDescent="0.25">
      <c r="A254" s="14"/>
      <c r="B254" s="24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39"/>
      <c r="AB254" s="39"/>
      <c r="AC254" s="39"/>
      <c r="AD254" s="39"/>
      <c r="AE254" s="39"/>
      <c r="AF254" s="17"/>
      <c r="AG254" s="17"/>
      <c r="AH254" s="17"/>
      <c r="AI254" s="17"/>
      <c r="AJ254" s="17"/>
      <c r="AK254" s="20"/>
    </row>
    <row r="255" spans="1:37" ht="15.75" customHeight="1" x14ac:dyDescent="0.25">
      <c r="A255" s="14"/>
      <c r="B255" s="24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39"/>
      <c r="AB255" s="39"/>
      <c r="AC255" s="39"/>
      <c r="AD255" s="39"/>
      <c r="AE255" s="39"/>
      <c r="AF255" s="17"/>
      <c r="AG255" s="17"/>
      <c r="AH255" s="17"/>
      <c r="AI255" s="17"/>
      <c r="AJ255" s="17"/>
      <c r="AK255" s="20"/>
    </row>
    <row r="256" spans="1:37" ht="15.75" customHeight="1" x14ac:dyDescent="0.25">
      <c r="A256" s="14"/>
      <c r="B256" s="24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39"/>
      <c r="AB256" s="39"/>
      <c r="AC256" s="39"/>
      <c r="AD256" s="39"/>
      <c r="AE256" s="39"/>
      <c r="AF256" s="17"/>
      <c r="AG256" s="17"/>
      <c r="AH256" s="17"/>
      <c r="AI256" s="17"/>
      <c r="AJ256" s="17"/>
      <c r="AK256" s="20"/>
    </row>
    <row r="257" spans="1:37" ht="15.75" customHeight="1" x14ac:dyDescent="0.25">
      <c r="A257" s="14"/>
      <c r="B257" s="24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39"/>
      <c r="AB257" s="39"/>
      <c r="AC257" s="39"/>
      <c r="AD257" s="39"/>
      <c r="AE257" s="39"/>
      <c r="AF257" s="17"/>
      <c r="AG257" s="17"/>
      <c r="AH257" s="17"/>
      <c r="AI257" s="17"/>
      <c r="AJ257" s="17"/>
      <c r="AK257" s="20"/>
    </row>
    <row r="258" spans="1:37" ht="15.75" customHeight="1" x14ac:dyDescent="0.25">
      <c r="A258" s="14"/>
      <c r="B258" s="24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39"/>
      <c r="AB258" s="39"/>
      <c r="AC258" s="39"/>
      <c r="AD258" s="39"/>
      <c r="AE258" s="39"/>
      <c r="AF258" s="17"/>
      <c r="AG258" s="17"/>
      <c r="AH258" s="17"/>
      <c r="AI258" s="17"/>
      <c r="AJ258" s="17"/>
      <c r="AK258" s="20"/>
    </row>
    <row r="259" spans="1:37" ht="15.75" customHeight="1" x14ac:dyDescent="0.25">
      <c r="A259" s="14"/>
      <c r="B259" s="24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39"/>
      <c r="AB259" s="39"/>
      <c r="AC259" s="39"/>
      <c r="AD259" s="39"/>
      <c r="AE259" s="39"/>
      <c r="AF259" s="17"/>
      <c r="AG259" s="17"/>
      <c r="AH259" s="17"/>
      <c r="AI259" s="17"/>
      <c r="AJ259" s="17"/>
      <c r="AK259" s="20"/>
    </row>
    <row r="260" spans="1:37" ht="15.75" customHeight="1" x14ac:dyDescent="0.25">
      <c r="A260" s="14"/>
      <c r="B260" s="24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39"/>
      <c r="AB260" s="39"/>
      <c r="AC260" s="39"/>
      <c r="AD260" s="39"/>
      <c r="AE260" s="39"/>
      <c r="AF260" s="17"/>
      <c r="AG260" s="17"/>
      <c r="AH260" s="17"/>
      <c r="AI260" s="17"/>
      <c r="AJ260" s="17"/>
      <c r="AK260" s="20"/>
    </row>
    <row r="261" spans="1:37" ht="15.75" customHeight="1" x14ac:dyDescent="0.25">
      <c r="A261" s="14"/>
      <c r="B261" s="24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39"/>
      <c r="AB261" s="39"/>
      <c r="AC261" s="39"/>
      <c r="AD261" s="39"/>
      <c r="AE261" s="39"/>
      <c r="AF261" s="17"/>
      <c r="AG261" s="17"/>
      <c r="AH261" s="17"/>
      <c r="AI261" s="17"/>
      <c r="AJ261" s="17"/>
      <c r="AK261" s="20"/>
    </row>
    <row r="262" spans="1:37" ht="15.75" customHeight="1" x14ac:dyDescent="0.25">
      <c r="A262" s="14"/>
      <c r="B262" s="24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39"/>
      <c r="AB262" s="39"/>
      <c r="AC262" s="39"/>
      <c r="AD262" s="39"/>
      <c r="AE262" s="39"/>
      <c r="AF262" s="17"/>
      <c r="AG262" s="17"/>
      <c r="AH262" s="17"/>
      <c r="AI262" s="17"/>
      <c r="AJ262" s="17"/>
      <c r="AK262" s="20"/>
    </row>
    <row r="263" spans="1:37" ht="15.75" customHeight="1" x14ac:dyDescent="0.25">
      <c r="A263" s="14"/>
      <c r="B263" s="24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39"/>
      <c r="AB263" s="39"/>
      <c r="AC263" s="39"/>
      <c r="AD263" s="39"/>
      <c r="AE263" s="39"/>
      <c r="AF263" s="17"/>
      <c r="AG263" s="17"/>
      <c r="AH263" s="17"/>
      <c r="AI263" s="17"/>
      <c r="AJ263" s="17"/>
      <c r="AK263" s="20"/>
    </row>
    <row r="264" spans="1:37" ht="15.75" customHeight="1" x14ac:dyDescent="0.25">
      <c r="A264" s="14"/>
      <c r="B264" s="24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39"/>
      <c r="AB264" s="39"/>
      <c r="AC264" s="39"/>
      <c r="AD264" s="39"/>
      <c r="AE264" s="39"/>
      <c r="AF264" s="17"/>
      <c r="AG264" s="17"/>
      <c r="AH264" s="17"/>
      <c r="AI264" s="17"/>
      <c r="AJ264" s="17"/>
      <c r="AK264" s="20"/>
    </row>
    <row r="265" spans="1:37" ht="15.75" customHeight="1" x14ac:dyDescent="0.25">
      <c r="A265" s="14"/>
      <c r="B265" s="24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39"/>
      <c r="AB265" s="39"/>
      <c r="AC265" s="39"/>
      <c r="AD265" s="39"/>
      <c r="AE265" s="39"/>
      <c r="AF265" s="17"/>
      <c r="AG265" s="17"/>
      <c r="AH265" s="17"/>
      <c r="AI265" s="17"/>
      <c r="AJ265" s="17"/>
      <c r="AK265" s="20"/>
    </row>
    <row r="266" spans="1:37" ht="15.75" customHeight="1" x14ac:dyDescent="0.25">
      <c r="A266" s="14"/>
      <c r="B266" s="24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39"/>
      <c r="AB266" s="39"/>
      <c r="AC266" s="39"/>
      <c r="AD266" s="39"/>
      <c r="AE266" s="39"/>
      <c r="AF266" s="17"/>
      <c r="AG266" s="17"/>
      <c r="AH266" s="17"/>
      <c r="AI266" s="17"/>
      <c r="AJ266" s="17"/>
      <c r="AK266" s="20"/>
    </row>
    <row r="267" spans="1:37" ht="15.75" customHeight="1" x14ac:dyDescent="0.25">
      <c r="A267" s="14"/>
      <c r="B267" s="24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39"/>
      <c r="AB267" s="39"/>
      <c r="AC267" s="39"/>
      <c r="AD267" s="39"/>
      <c r="AE267" s="39"/>
      <c r="AF267" s="17"/>
      <c r="AG267" s="17"/>
      <c r="AH267" s="17"/>
      <c r="AI267" s="17"/>
      <c r="AJ267" s="17"/>
      <c r="AK267" s="20"/>
    </row>
    <row r="268" spans="1:37" ht="15.75" customHeight="1" x14ac:dyDescent="0.25">
      <c r="A268" s="14"/>
      <c r="B268" s="24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39"/>
      <c r="AB268" s="39"/>
      <c r="AC268" s="39"/>
      <c r="AD268" s="39"/>
      <c r="AE268" s="39"/>
      <c r="AF268" s="17"/>
      <c r="AG268" s="17"/>
      <c r="AH268" s="17"/>
      <c r="AI268" s="17"/>
      <c r="AJ268" s="17"/>
      <c r="AK268" s="20"/>
    </row>
    <row r="269" spans="1:37" ht="15.75" customHeight="1" x14ac:dyDescent="0.25">
      <c r="A269" s="14"/>
      <c r="B269" s="24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39"/>
      <c r="AB269" s="39"/>
      <c r="AC269" s="39"/>
      <c r="AD269" s="39"/>
      <c r="AE269" s="39"/>
      <c r="AF269" s="17"/>
      <c r="AG269" s="17"/>
      <c r="AH269" s="17"/>
      <c r="AI269" s="17"/>
      <c r="AJ269" s="17"/>
      <c r="AK269" s="20"/>
    </row>
    <row r="270" spans="1:37" ht="15.75" customHeight="1" x14ac:dyDescent="0.25">
      <c r="A270" s="14"/>
      <c r="B270" s="24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39"/>
      <c r="AB270" s="39"/>
      <c r="AC270" s="39"/>
      <c r="AD270" s="39"/>
      <c r="AE270" s="39"/>
      <c r="AF270" s="17"/>
      <c r="AG270" s="17"/>
      <c r="AH270" s="17"/>
      <c r="AI270" s="17"/>
      <c r="AJ270" s="17"/>
      <c r="AK270" s="20"/>
    </row>
    <row r="271" spans="1:37" ht="15.75" customHeight="1" x14ac:dyDescent="0.25">
      <c r="A271" s="14"/>
      <c r="B271" s="24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39"/>
      <c r="AB271" s="39"/>
      <c r="AC271" s="39"/>
      <c r="AD271" s="39"/>
      <c r="AE271" s="39"/>
      <c r="AF271" s="17"/>
      <c r="AG271" s="17"/>
      <c r="AH271" s="17"/>
      <c r="AI271" s="17"/>
      <c r="AJ271" s="17"/>
      <c r="AK271" s="20"/>
    </row>
    <row r="272" spans="1:37" ht="15.75" customHeight="1" x14ac:dyDescent="0.25">
      <c r="A272" s="14"/>
      <c r="B272" s="24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39"/>
      <c r="AB272" s="39"/>
      <c r="AC272" s="39"/>
      <c r="AD272" s="39"/>
      <c r="AE272" s="39"/>
      <c r="AF272" s="17"/>
      <c r="AG272" s="17"/>
      <c r="AH272" s="17"/>
      <c r="AI272" s="17"/>
      <c r="AJ272" s="17"/>
      <c r="AK272" s="20"/>
    </row>
    <row r="273" spans="1:37" ht="15.75" customHeight="1" x14ac:dyDescent="0.25">
      <c r="A273" s="14"/>
      <c r="B273" s="24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39"/>
      <c r="AB273" s="39"/>
      <c r="AC273" s="39"/>
      <c r="AD273" s="39"/>
      <c r="AE273" s="39"/>
      <c r="AF273" s="17"/>
      <c r="AG273" s="17"/>
      <c r="AH273" s="17"/>
      <c r="AI273" s="17"/>
      <c r="AJ273" s="17"/>
      <c r="AK273" s="20"/>
    </row>
    <row r="274" spans="1:37" ht="15.75" customHeight="1" x14ac:dyDescent="0.25">
      <c r="A274" s="14"/>
      <c r="B274" s="24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39"/>
      <c r="AB274" s="39"/>
      <c r="AC274" s="39"/>
      <c r="AD274" s="39"/>
      <c r="AE274" s="39"/>
      <c r="AF274" s="17"/>
      <c r="AG274" s="17"/>
      <c r="AH274" s="17"/>
      <c r="AI274" s="17"/>
      <c r="AJ274" s="17"/>
      <c r="AK274" s="20"/>
    </row>
    <row r="275" spans="1:37" ht="15.75" customHeight="1" x14ac:dyDescent="0.25">
      <c r="A275" s="14"/>
      <c r="B275" s="24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39"/>
      <c r="AB275" s="39"/>
      <c r="AC275" s="39"/>
      <c r="AD275" s="39"/>
      <c r="AE275" s="39"/>
      <c r="AF275" s="17"/>
      <c r="AG275" s="17"/>
      <c r="AH275" s="17"/>
      <c r="AI275" s="17"/>
      <c r="AJ275" s="17"/>
      <c r="AK275" s="20"/>
    </row>
    <row r="276" spans="1:37" ht="15.75" customHeight="1" x14ac:dyDescent="0.25">
      <c r="A276" s="14"/>
      <c r="B276" s="24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39"/>
      <c r="AB276" s="39"/>
      <c r="AC276" s="39"/>
      <c r="AD276" s="39"/>
      <c r="AE276" s="39"/>
      <c r="AF276" s="17"/>
      <c r="AG276" s="17"/>
      <c r="AH276" s="17"/>
      <c r="AI276" s="17"/>
      <c r="AJ276" s="17"/>
      <c r="AK276" s="20"/>
    </row>
    <row r="277" spans="1:37" ht="15.75" customHeight="1" x14ac:dyDescent="0.25">
      <c r="A277" s="14"/>
      <c r="B277" s="24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39"/>
      <c r="AB277" s="39"/>
      <c r="AC277" s="39"/>
      <c r="AD277" s="39"/>
      <c r="AE277" s="39"/>
      <c r="AF277" s="17"/>
      <c r="AG277" s="17"/>
      <c r="AH277" s="17"/>
      <c r="AI277" s="17"/>
      <c r="AJ277" s="17"/>
      <c r="AK277" s="20"/>
    </row>
    <row r="278" spans="1:37" ht="15.75" customHeight="1" x14ac:dyDescent="0.25">
      <c r="A278" s="14"/>
      <c r="B278" s="24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39"/>
      <c r="AB278" s="39"/>
      <c r="AC278" s="39"/>
      <c r="AD278" s="39"/>
      <c r="AE278" s="39"/>
      <c r="AF278" s="17"/>
      <c r="AG278" s="17"/>
      <c r="AH278" s="17"/>
      <c r="AI278" s="17"/>
      <c r="AJ278" s="17"/>
      <c r="AK278" s="20"/>
    </row>
    <row r="279" spans="1:37" ht="15.75" customHeight="1" x14ac:dyDescent="0.25">
      <c r="A279" s="14"/>
      <c r="B279" s="24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39"/>
      <c r="AB279" s="39"/>
      <c r="AC279" s="39"/>
      <c r="AD279" s="39"/>
      <c r="AE279" s="39"/>
      <c r="AF279" s="17"/>
      <c r="AG279" s="17"/>
      <c r="AH279" s="17"/>
      <c r="AI279" s="17"/>
      <c r="AJ279" s="17"/>
      <c r="AK279" s="20"/>
    </row>
    <row r="280" spans="1:37" ht="15.75" customHeight="1" x14ac:dyDescent="0.25">
      <c r="A280" s="14"/>
      <c r="B280" s="24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39"/>
      <c r="AB280" s="39"/>
      <c r="AC280" s="39"/>
      <c r="AD280" s="39"/>
      <c r="AE280" s="39"/>
      <c r="AF280" s="17"/>
      <c r="AG280" s="17"/>
      <c r="AH280" s="17"/>
      <c r="AI280" s="17"/>
      <c r="AJ280" s="17"/>
      <c r="AK280" s="20"/>
    </row>
    <row r="281" spans="1:37" ht="15.75" customHeight="1" x14ac:dyDescent="0.25">
      <c r="A281" s="14"/>
      <c r="B281" s="24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39"/>
      <c r="AB281" s="39"/>
      <c r="AC281" s="39"/>
      <c r="AD281" s="39"/>
      <c r="AE281" s="39"/>
      <c r="AF281" s="17"/>
      <c r="AG281" s="17"/>
      <c r="AH281" s="17"/>
      <c r="AI281" s="17"/>
      <c r="AJ281" s="17"/>
      <c r="AK281" s="20"/>
    </row>
    <row r="282" spans="1:37" ht="15.75" customHeight="1" x14ac:dyDescent="0.25">
      <c r="A282" s="14"/>
      <c r="B282" s="24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39"/>
      <c r="AB282" s="39"/>
      <c r="AC282" s="39"/>
      <c r="AD282" s="39"/>
      <c r="AE282" s="39"/>
      <c r="AF282" s="17"/>
      <c r="AG282" s="17"/>
      <c r="AH282" s="17"/>
      <c r="AI282" s="17"/>
      <c r="AJ282" s="17"/>
      <c r="AK282" s="20"/>
    </row>
    <row r="283" spans="1:37" ht="15.75" customHeight="1" x14ac:dyDescent="0.25">
      <c r="A283" s="14"/>
      <c r="B283" s="24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39"/>
      <c r="AB283" s="39"/>
      <c r="AC283" s="39"/>
      <c r="AD283" s="39"/>
      <c r="AE283" s="39"/>
      <c r="AF283" s="17"/>
      <c r="AG283" s="17"/>
      <c r="AH283" s="17"/>
      <c r="AI283" s="17"/>
      <c r="AJ283" s="17"/>
      <c r="AK283" s="20"/>
    </row>
    <row r="284" spans="1:37" ht="15.75" customHeight="1" x14ac:dyDescent="0.25">
      <c r="A284" s="14"/>
      <c r="B284" s="24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39"/>
      <c r="AB284" s="39"/>
      <c r="AC284" s="39"/>
      <c r="AD284" s="39"/>
      <c r="AE284" s="39"/>
      <c r="AF284" s="17"/>
      <c r="AG284" s="17"/>
      <c r="AH284" s="17"/>
      <c r="AI284" s="17"/>
      <c r="AJ284" s="17"/>
      <c r="AK284" s="20"/>
    </row>
    <row r="285" spans="1:37" ht="15.75" customHeight="1" x14ac:dyDescent="0.25">
      <c r="A285" s="14"/>
      <c r="B285" s="24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39"/>
      <c r="AB285" s="39"/>
      <c r="AC285" s="39"/>
      <c r="AD285" s="39"/>
      <c r="AE285" s="39"/>
      <c r="AF285" s="17"/>
      <c r="AG285" s="17"/>
      <c r="AH285" s="17"/>
      <c r="AI285" s="17"/>
      <c r="AJ285" s="17"/>
      <c r="AK285" s="20"/>
    </row>
    <row r="286" spans="1:37" ht="15.75" customHeight="1" x14ac:dyDescent="0.25">
      <c r="A286" s="14"/>
      <c r="B286" s="24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39"/>
      <c r="AB286" s="39"/>
      <c r="AC286" s="39"/>
      <c r="AD286" s="39"/>
      <c r="AE286" s="39"/>
      <c r="AF286" s="17"/>
      <c r="AG286" s="17"/>
      <c r="AH286" s="17"/>
      <c r="AI286" s="17"/>
      <c r="AJ286" s="17"/>
      <c r="AK286" s="20"/>
    </row>
    <row r="287" spans="1:37" ht="15.75" customHeight="1" x14ac:dyDescent="0.25">
      <c r="A287" s="14"/>
      <c r="B287" s="24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39"/>
      <c r="AB287" s="39"/>
      <c r="AC287" s="39"/>
      <c r="AD287" s="39"/>
      <c r="AE287" s="39"/>
      <c r="AF287" s="17"/>
      <c r="AG287" s="17"/>
      <c r="AH287" s="17"/>
      <c r="AI287" s="17"/>
      <c r="AJ287" s="17"/>
      <c r="AK287" s="20"/>
    </row>
    <row r="288" spans="1:37" ht="15.75" customHeight="1" x14ac:dyDescent="0.25">
      <c r="A288" s="14"/>
      <c r="B288" s="24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39"/>
      <c r="AB288" s="39"/>
      <c r="AC288" s="39"/>
      <c r="AD288" s="39"/>
      <c r="AE288" s="39"/>
      <c r="AF288" s="17"/>
      <c r="AG288" s="17"/>
      <c r="AH288" s="17"/>
      <c r="AI288" s="17"/>
      <c r="AJ288" s="17"/>
      <c r="AK288" s="20"/>
    </row>
    <row r="289" spans="1:37" ht="15.75" customHeight="1" x14ac:dyDescent="0.25">
      <c r="A289" s="14"/>
      <c r="B289" s="24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39"/>
      <c r="AB289" s="39"/>
      <c r="AC289" s="39"/>
      <c r="AD289" s="39"/>
      <c r="AE289" s="39"/>
      <c r="AF289" s="17"/>
      <c r="AG289" s="17"/>
      <c r="AH289" s="17"/>
      <c r="AI289" s="17"/>
      <c r="AJ289" s="17"/>
      <c r="AK289" s="20"/>
    </row>
    <row r="290" spans="1:37" ht="15.75" customHeight="1" x14ac:dyDescent="0.25">
      <c r="A290" s="14"/>
      <c r="B290" s="24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39"/>
      <c r="AB290" s="39"/>
      <c r="AC290" s="39"/>
      <c r="AD290" s="39"/>
      <c r="AE290" s="39"/>
      <c r="AF290" s="17"/>
      <c r="AG290" s="17"/>
      <c r="AH290" s="17"/>
      <c r="AI290" s="17"/>
      <c r="AJ290" s="17"/>
      <c r="AK290" s="20"/>
    </row>
    <row r="291" spans="1:37" ht="15.75" customHeight="1" x14ac:dyDescent="0.25">
      <c r="A291" s="14"/>
      <c r="B291" s="24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39"/>
      <c r="AB291" s="39"/>
      <c r="AC291" s="39"/>
      <c r="AD291" s="39"/>
      <c r="AE291" s="39"/>
      <c r="AF291" s="17"/>
      <c r="AG291" s="17"/>
      <c r="AH291" s="17"/>
      <c r="AI291" s="17"/>
      <c r="AJ291" s="17"/>
      <c r="AK291" s="20"/>
    </row>
    <row r="292" spans="1:37" ht="15.75" customHeight="1" x14ac:dyDescent="0.25">
      <c r="A292" s="14"/>
      <c r="B292" s="24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39"/>
      <c r="AB292" s="39"/>
      <c r="AC292" s="39"/>
      <c r="AD292" s="39"/>
      <c r="AE292" s="39"/>
      <c r="AF292" s="17"/>
      <c r="AG292" s="17"/>
      <c r="AH292" s="17"/>
      <c r="AI292" s="17"/>
      <c r="AJ292" s="17"/>
      <c r="AK292" s="20"/>
    </row>
    <row r="293" spans="1:37" ht="15.75" customHeight="1" x14ac:dyDescent="0.25">
      <c r="A293" s="14"/>
      <c r="B293" s="24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39"/>
      <c r="AB293" s="39"/>
      <c r="AC293" s="39"/>
      <c r="AD293" s="39"/>
      <c r="AE293" s="39"/>
      <c r="AF293" s="17"/>
      <c r="AG293" s="17"/>
      <c r="AH293" s="17"/>
      <c r="AI293" s="17"/>
      <c r="AJ293" s="17"/>
      <c r="AK293" s="20"/>
    </row>
    <row r="294" spans="1:37" ht="15.75" customHeight="1" x14ac:dyDescent="0.25">
      <c r="A294" s="14"/>
      <c r="B294" s="24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39"/>
      <c r="AB294" s="39"/>
      <c r="AC294" s="39"/>
      <c r="AD294" s="39"/>
      <c r="AE294" s="39"/>
      <c r="AF294" s="17"/>
      <c r="AG294" s="17"/>
      <c r="AH294" s="17"/>
      <c r="AI294" s="17"/>
      <c r="AJ294" s="17"/>
      <c r="AK294" s="20"/>
    </row>
    <row r="295" spans="1:37" ht="15.75" customHeight="1" x14ac:dyDescent="0.25">
      <c r="A295" s="14"/>
      <c r="B295" s="24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39"/>
      <c r="AB295" s="39"/>
      <c r="AC295" s="39"/>
      <c r="AD295" s="39"/>
      <c r="AE295" s="39"/>
      <c r="AF295" s="17"/>
      <c r="AG295" s="17"/>
      <c r="AH295" s="17"/>
      <c r="AI295" s="17"/>
      <c r="AJ295" s="17"/>
      <c r="AK295" s="20"/>
    </row>
    <row r="296" spans="1:37" ht="15.75" customHeight="1" x14ac:dyDescent="0.25">
      <c r="A296" s="14"/>
      <c r="B296" s="24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39"/>
      <c r="AB296" s="39"/>
      <c r="AC296" s="39"/>
      <c r="AD296" s="39"/>
      <c r="AE296" s="39"/>
      <c r="AF296" s="17"/>
      <c r="AG296" s="17"/>
      <c r="AH296" s="17"/>
      <c r="AI296" s="17"/>
      <c r="AJ296" s="17"/>
      <c r="AK296" s="20"/>
    </row>
    <row r="297" spans="1:37" ht="15.75" customHeight="1" x14ac:dyDescent="0.25">
      <c r="A297" s="14"/>
      <c r="B297" s="24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39"/>
      <c r="AB297" s="39"/>
      <c r="AC297" s="39"/>
      <c r="AD297" s="39"/>
      <c r="AE297" s="39"/>
      <c r="AF297" s="17"/>
      <c r="AG297" s="17"/>
      <c r="AH297" s="17"/>
      <c r="AI297" s="17"/>
      <c r="AJ297" s="17"/>
      <c r="AK297" s="20"/>
    </row>
    <row r="298" spans="1:37" ht="15.75" customHeight="1" x14ac:dyDescent="0.25">
      <c r="A298" s="14"/>
      <c r="B298" s="24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39"/>
      <c r="AB298" s="39"/>
      <c r="AC298" s="39"/>
      <c r="AD298" s="39"/>
      <c r="AE298" s="39"/>
      <c r="AF298" s="17"/>
      <c r="AG298" s="17"/>
      <c r="AH298" s="17"/>
      <c r="AI298" s="17"/>
      <c r="AJ298" s="17"/>
      <c r="AK298" s="20"/>
    </row>
    <row r="299" spans="1:37" ht="15.75" customHeight="1" x14ac:dyDescent="0.25">
      <c r="A299" s="14"/>
      <c r="B299" s="24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39"/>
      <c r="AB299" s="39"/>
      <c r="AC299" s="39"/>
      <c r="AD299" s="39"/>
      <c r="AE299" s="39"/>
      <c r="AF299" s="17"/>
      <c r="AG299" s="17"/>
      <c r="AH299" s="17"/>
      <c r="AI299" s="17"/>
      <c r="AJ299" s="17"/>
      <c r="AK299" s="20"/>
    </row>
    <row r="300" spans="1:37" ht="15.75" customHeight="1" x14ac:dyDescent="0.25">
      <c r="A300" s="14"/>
      <c r="B300" s="24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39"/>
      <c r="AB300" s="39"/>
      <c r="AC300" s="39"/>
      <c r="AD300" s="39"/>
      <c r="AE300" s="39"/>
      <c r="AF300" s="17"/>
      <c r="AG300" s="17"/>
      <c r="AH300" s="17"/>
      <c r="AI300" s="17"/>
      <c r="AJ300" s="17"/>
      <c r="AK300" s="20"/>
    </row>
    <row r="301" spans="1:37" ht="15.75" customHeight="1" x14ac:dyDescent="0.25">
      <c r="A301" s="14"/>
      <c r="B301" s="24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39"/>
      <c r="AB301" s="39"/>
      <c r="AC301" s="39"/>
      <c r="AD301" s="39"/>
      <c r="AE301" s="39"/>
      <c r="AF301" s="17"/>
      <c r="AG301" s="17"/>
      <c r="AH301" s="17"/>
      <c r="AI301" s="17"/>
      <c r="AJ301" s="17"/>
      <c r="AK301" s="20"/>
    </row>
    <row r="302" spans="1:37" ht="15.75" customHeight="1" x14ac:dyDescent="0.25">
      <c r="A302" s="14"/>
      <c r="B302" s="24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39"/>
      <c r="AB302" s="39"/>
      <c r="AC302" s="39"/>
      <c r="AD302" s="39"/>
      <c r="AE302" s="39"/>
      <c r="AF302" s="17"/>
      <c r="AG302" s="17"/>
      <c r="AH302" s="17"/>
      <c r="AI302" s="17"/>
      <c r="AJ302" s="17"/>
      <c r="AK302" s="20"/>
    </row>
    <row r="303" spans="1:37" ht="15.75" customHeight="1" x14ac:dyDescent="0.25">
      <c r="A303" s="14"/>
      <c r="B303" s="24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39"/>
      <c r="AB303" s="39"/>
      <c r="AC303" s="39"/>
      <c r="AD303" s="39"/>
      <c r="AE303" s="39"/>
      <c r="AF303" s="17"/>
      <c r="AG303" s="17"/>
      <c r="AH303" s="17"/>
      <c r="AI303" s="17"/>
      <c r="AJ303" s="17"/>
      <c r="AK303" s="20"/>
    </row>
    <row r="304" spans="1:37" ht="15.75" customHeight="1" x14ac:dyDescent="0.25">
      <c r="A304" s="14"/>
      <c r="B304" s="24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39"/>
      <c r="AB304" s="39"/>
      <c r="AC304" s="39"/>
      <c r="AD304" s="39"/>
      <c r="AE304" s="39"/>
      <c r="AF304" s="17"/>
      <c r="AG304" s="17"/>
      <c r="AH304" s="17"/>
      <c r="AI304" s="17"/>
      <c r="AJ304" s="17"/>
      <c r="AK304" s="20"/>
    </row>
    <row r="305" spans="1:37" ht="15.75" customHeight="1" x14ac:dyDescent="0.25">
      <c r="A305" s="14"/>
      <c r="B305" s="24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39"/>
      <c r="AB305" s="39"/>
      <c r="AC305" s="39"/>
      <c r="AD305" s="39"/>
      <c r="AE305" s="39"/>
      <c r="AF305" s="17"/>
      <c r="AG305" s="17"/>
      <c r="AH305" s="17"/>
      <c r="AI305" s="17"/>
      <c r="AJ305" s="17"/>
      <c r="AK305" s="20"/>
    </row>
    <row r="306" spans="1:37" ht="15.75" customHeight="1" x14ac:dyDescent="0.25">
      <c r="A306" s="14"/>
      <c r="B306" s="24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39"/>
      <c r="AB306" s="39"/>
      <c r="AC306" s="39"/>
      <c r="AD306" s="39"/>
      <c r="AE306" s="39"/>
      <c r="AF306" s="17"/>
      <c r="AG306" s="17"/>
      <c r="AH306" s="17"/>
      <c r="AI306" s="17"/>
      <c r="AJ306" s="17"/>
      <c r="AK306" s="20"/>
    </row>
    <row r="307" spans="1:37" ht="15.75" customHeight="1" x14ac:dyDescent="0.25">
      <c r="A307" s="14"/>
      <c r="B307" s="24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39"/>
      <c r="AB307" s="39"/>
      <c r="AC307" s="39"/>
      <c r="AD307" s="39"/>
      <c r="AE307" s="39"/>
      <c r="AF307" s="17"/>
      <c r="AG307" s="17"/>
      <c r="AH307" s="17"/>
      <c r="AI307" s="17"/>
      <c r="AJ307" s="17"/>
      <c r="AK307" s="20"/>
    </row>
    <row r="308" spans="1:37" ht="15.75" customHeight="1" x14ac:dyDescent="0.25">
      <c r="A308" s="14"/>
      <c r="B308" s="24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39"/>
      <c r="AB308" s="39"/>
      <c r="AC308" s="39"/>
      <c r="AD308" s="39"/>
      <c r="AE308" s="39"/>
      <c r="AF308" s="17"/>
      <c r="AG308" s="17"/>
      <c r="AH308" s="17"/>
      <c r="AI308" s="17"/>
      <c r="AJ308" s="17"/>
      <c r="AK308" s="20"/>
    </row>
    <row r="309" spans="1:37" ht="15.75" customHeight="1" x14ac:dyDescent="0.25">
      <c r="A309" s="14"/>
      <c r="B309" s="24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39"/>
      <c r="AB309" s="39"/>
      <c r="AC309" s="39"/>
      <c r="AD309" s="39"/>
      <c r="AE309" s="39"/>
      <c r="AF309" s="17"/>
      <c r="AG309" s="17"/>
      <c r="AH309" s="17"/>
      <c r="AI309" s="17"/>
      <c r="AJ309" s="17"/>
      <c r="AK309" s="20"/>
    </row>
    <row r="310" spans="1:37" ht="15.75" customHeight="1" x14ac:dyDescent="0.25">
      <c r="A310" s="14"/>
      <c r="B310" s="24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39"/>
      <c r="AB310" s="39"/>
      <c r="AC310" s="39"/>
      <c r="AD310" s="39"/>
      <c r="AE310" s="39"/>
      <c r="AF310" s="17"/>
      <c r="AG310" s="17"/>
      <c r="AH310" s="17"/>
      <c r="AI310" s="17"/>
      <c r="AJ310" s="17"/>
      <c r="AK310" s="20"/>
    </row>
    <row r="311" spans="1:37" ht="15.75" customHeight="1" x14ac:dyDescent="0.25">
      <c r="A311" s="14"/>
      <c r="B311" s="24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39"/>
      <c r="AB311" s="39"/>
      <c r="AC311" s="39"/>
      <c r="AD311" s="39"/>
      <c r="AE311" s="39"/>
      <c r="AF311" s="17"/>
      <c r="AG311" s="17"/>
      <c r="AH311" s="17"/>
      <c r="AI311" s="17"/>
      <c r="AJ311" s="17"/>
      <c r="AK311" s="20"/>
    </row>
    <row r="312" spans="1:37" ht="15.75" customHeight="1" x14ac:dyDescent="0.25">
      <c r="A312" s="14"/>
      <c r="B312" s="24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39"/>
      <c r="AB312" s="39"/>
      <c r="AC312" s="39"/>
      <c r="AD312" s="39"/>
      <c r="AE312" s="39"/>
      <c r="AF312" s="17"/>
      <c r="AG312" s="17"/>
      <c r="AH312" s="17"/>
      <c r="AI312" s="17"/>
      <c r="AJ312" s="17"/>
      <c r="AK312" s="20"/>
    </row>
    <row r="313" spans="1:37" ht="15.75" customHeight="1" x14ac:dyDescent="0.25">
      <c r="A313" s="14"/>
      <c r="B313" s="24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39"/>
      <c r="AB313" s="39"/>
      <c r="AC313" s="39"/>
      <c r="AD313" s="39"/>
      <c r="AE313" s="39"/>
      <c r="AF313" s="17"/>
      <c r="AG313" s="17"/>
      <c r="AH313" s="17"/>
      <c r="AI313" s="17"/>
      <c r="AJ313" s="17"/>
      <c r="AK313" s="20"/>
    </row>
    <row r="314" spans="1:37" ht="15.75" customHeight="1" x14ac:dyDescent="0.25">
      <c r="A314" s="14"/>
      <c r="B314" s="24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39"/>
      <c r="AB314" s="39"/>
      <c r="AC314" s="39"/>
      <c r="AD314" s="39"/>
      <c r="AE314" s="39"/>
      <c r="AF314" s="17"/>
      <c r="AG314" s="17"/>
      <c r="AH314" s="17"/>
      <c r="AI314" s="17"/>
      <c r="AJ314" s="17"/>
      <c r="AK314" s="20"/>
    </row>
    <row r="315" spans="1:37" ht="15.75" customHeight="1" x14ac:dyDescent="0.25">
      <c r="A315" s="14"/>
      <c r="B315" s="24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39"/>
      <c r="AB315" s="39"/>
      <c r="AC315" s="39"/>
      <c r="AD315" s="39"/>
      <c r="AE315" s="39"/>
      <c r="AF315" s="17"/>
      <c r="AG315" s="17"/>
      <c r="AH315" s="17"/>
      <c r="AI315" s="17"/>
      <c r="AJ315" s="17"/>
      <c r="AK315" s="20"/>
    </row>
    <row r="316" spans="1:37" ht="15.75" customHeight="1" x14ac:dyDescent="0.25">
      <c r="A316" s="14"/>
      <c r="B316" s="24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39"/>
      <c r="AB316" s="39"/>
      <c r="AC316" s="39"/>
      <c r="AD316" s="39"/>
      <c r="AE316" s="39"/>
      <c r="AF316" s="17"/>
      <c r="AG316" s="17"/>
      <c r="AH316" s="17"/>
      <c r="AI316" s="17"/>
      <c r="AJ316" s="17"/>
      <c r="AK316" s="20"/>
    </row>
    <row r="317" spans="1:37" ht="15.75" customHeight="1" x14ac:dyDescent="0.25">
      <c r="A317" s="14"/>
      <c r="B317" s="24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39"/>
      <c r="AB317" s="39"/>
      <c r="AC317" s="39"/>
      <c r="AD317" s="39"/>
      <c r="AE317" s="39"/>
      <c r="AF317" s="17"/>
      <c r="AG317" s="17"/>
      <c r="AH317" s="17"/>
      <c r="AI317" s="17"/>
      <c r="AJ317" s="17"/>
      <c r="AK317" s="20"/>
    </row>
    <row r="318" spans="1:37" ht="15.75" customHeight="1" x14ac:dyDescent="0.25">
      <c r="A318" s="14"/>
      <c r="B318" s="24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39"/>
      <c r="AB318" s="39"/>
      <c r="AC318" s="39"/>
      <c r="AD318" s="39"/>
      <c r="AE318" s="39"/>
      <c r="AF318" s="17"/>
      <c r="AG318" s="17"/>
      <c r="AH318" s="17"/>
      <c r="AI318" s="17"/>
      <c r="AJ318" s="17"/>
      <c r="AK318" s="20"/>
    </row>
    <row r="319" spans="1:37" ht="15.75" customHeight="1" x14ac:dyDescent="0.25">
      <c r="A319" s="14"/>
      <c r="B319" s="24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39"/>
      <c r="AB319" s="39"/>
      <c r="AC319" s="39"/>
      <c r="AD319" s="39"/>
      <c r="AE319" s="39"/>
      <c r="AF319" s="17"/>
      <c r="AG319" s="17"/>
      <c r="AH319" s="17"/>
      <c r="AI319" s="17"/>
      <c r="AJ319" s="17"/>
      <c r="AK319" s="20"/>
    </row>
    <row r="320" spans="1:37" ht="15.75" customHeight="1" x14ac:dyDescent="0.25">
      <c r="A320" s="14"/>
      <c r="B320" s="24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39"/>
      <c r="AB320" s="39"/>
      <c r="AC320" s="39"/>
      <c r="AD320" s="39"/>
      <c r="AE320" s="39"/>
      <c r="AF320" s="17"/>
      <c r="AG320" s="17"/>
      <c r="AH320" s="17"/>
      <c r="AI320" s="17"/>
      <c r="AJ320" s="17"/>
      <c r="AK320" s="20"/>
    </row>
    <row r="321" spans="1:37" ht="15.75" customHeight="1" x14ac:dyDescent="0.25">
      <c r="A321" s="14"/>
      <c r="B321" s="24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39"/>
      <c r="AB321" s="39"/>
      <c r="AC321" s="39"/>
      <c r="AD321" s="39"/>
      <c r="AE321" s="39"/>
      <c r="AF321" s="17"/>
      <c r="AG321" s="17"/>
      <c r="AH321" s="17"/>
      <c r="AI321" s="17"/>
      <c r="AJ321" s="17"/>
      <c r="AK321" s="20"/>
    </row>
    <row r="322" spans="1:37" ht="15.75" customHeight="1" x14ac:dyDescent="0.25">
      <c r="A322" s="14"/>
      <c r="B322" s="24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39"/>
      <c r="AB322" s="39"/>
      <c r="AC322" s="39"/>
      <c r="AD322" s="39"/>
      <c r="AE322" s="39"/>
      <c r="AF322" s="17"/>
      <c r="AG322" s="17"/>
      <c r="AH322" s="17"/>
      <c r="AI322" s="17"/>
      <c r="AJ322" s="17"/>
      <c r="AK322" s="20"/>
    </row>
    <row r="323" spans="1:37" ht="15.75" customHeight="1" x14ac:dyDescent="0.25">
      <c r="A323" s="14"/>
      <c r="B323" s="24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39"/>
      <c r="AB323" s="39"/>
      <c r="AC323" s="39"/>
      <c r="AD323" s="39"/>
      <c r="AE323" s="39"/>
      <c r="AF323" s="17"/>
      <c r="AG323" s="17"/>
      <c r="AH323" s="17"/>
      <c r="AI323" s="17"/>
      <c r="AJ323" s="17"/>
      <c r="AK323" s="20"/>
    </row>
    <row r="324" spans="1:37" ht="15.75" customHeight="1" x14ac:dyDescent="0.25">
      <c r="A324" s="14"/>
      <c r="B324" s="24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39"/>
      <c r="AB324" s="39"/>
      <c r="AC324" s="39"/>
      <c r="AD324" s="39"/>
      <c r="AE324" s="39"/>
      <c r="AF324" s="17"/>
      <c r="AG324" s="17"/>
      <c r="AH324" s="17"/>
      <c r="AI324" s="17"/>
      <c r="AJ324" s="17"/>
      <c r="AK324" s="20"/>
    </row>
    <row r="325" spans="1:37" ht="15.75" customHeight="1" x14ac:dyDescent="0.25">
      <c r="A325" s="14"/>
      <c r="B325" s="24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39"/>
      <c r="AB325" s="39"/>
      <c r="AC325" s="39"/>
      <c r="AD325" s="39"/>
      <c r="AE325" s="39"/>
      <c r="AF325" s="17"/>
      <c r="AG325" s="17"/>
      <c r="AH325" s="17"/>
      <c r="AI325" s="17"/>
      <c r="AJ325" s="17"/>
      <c r="AK325" s="20"/>
    </row>
    <row r="326" spans="1:37" ht="15.75" customHeight="1" x14ac:dyDescent="0.25">
      <c r="A326" s="14"/>
      <c r="B326" s="24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39"/>
      <c r="AB326" s="39"/>
      <c r="AC326" s="39"/>
      <c r="AD326" s="39"/>
      <c r="AE326" s="39"/>
      <c r="AF326" s="17"/>
      <c r="AG326" s="17"/>
      <c r="AH326" s="17"/>
      <c r="AI326" s="17"/>
      <c r="AJ326" s="17"/>
      <c r="AK326" s="20"/>
    </row>
    <row r="327" spans="1:37" ht="15.75" customHeight="1" x14ac:dyDescent="0.25">
      <c r="A327" s="14"/>
      <c r="B327" s="24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39"/>
      <c r="AB327" s="39"/>
      <c r="AC327" s="39"/>
      <c r="AD327" s="39"/>
      <c r="AE327" s="39"/>
      <c r="AF327" s="17"/>
      <c r="AG327" s="17"/>
      <c r="AH327" s="17"/>
      <c r="AI327" s="17"/>
      <c r="AJ327" s="17"/>
      <c r="AK327" s="20"/>
    </row>
    <row r="328" spans="1:37" ht="15.75" customHeight="1" x14ac:dyDescent="0.25">
      <c r="A328" s="14"/>
      <c r="B328" s="24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39"/>
      <c r="AB328" s="39"/>
      <c r="AC328" s="39"/>
      <c r="AD328" s="39"/>
      <c r="AE328" s="39"/>
      <c r="AF328" s="17"/>
      <c r="AG328" s="17"/>
      <c r="AH328" s="17"/>
      <c r="AI328" s="17"/>
      <c r="AJ328" s="17"/>
      <c r="AK328" s="20"/>
    </row>
    <row r="329" spans="1:37" ht="15.75" customHeight="1" x14ac:dyDescent="0.25">
      <c r="A329" s="14"/>
      <c r="B329" s="24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39"/>
      <c r="AB329" s="39"/>
      <c r="AC329" s="39"/>
      <c r="AD329" s="39"/>
      <c r="AE329" s="39"/>
      <c r="AF329" s="17"/>
      <c r="AG329" s="17"/>
      <c r="AH329" s="17"/>
      <c r="AI329" s="17"/>
      <c r="AJ329" s="17"/>
      <c r="AK329" s="20"/>
    </row>
    <row r="330" spans="1:37" ht="15.75" customHeight="1" x14ac:dyDescent="0.25">
      <c r="A330" s="14"/>
      <c r="B330" s="24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39"/>
      <c r="AB330" s="39"/>
      <c r="AC330" s="39"/>
      <c r="AD330" s="39"/>
      <c r="AE330" s="39"/>
      <c r="AF330" s="17"/>
      <c r="AG330" s="17"/>
      <c r="AH330" s="17"/>
      <c r="AI330" s="17"/>
      <c r="AJ330" s="17"/>
      <c r="AK330" s="20"/>
    </row>
    <row r="331" spans="1:37" ht="15.75" customHeight="1" x14ac:dyDescent="0.25">
      <c r="A331" s="14"/>
      <c r="B331" s="24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39"/>
      <c r="AB331" s="39"/>
      <c r="AC331" s="39"/>
      <c r="AD331" s="39"/>
      <c r="AE331" s="39"/>
      <c r="AF331" s="17"/>
      <c r="AG331" s="17"/>
      <c r="AH331" s="17"/>
      <c r="AI331" s="17"/>
      <c r="AJ331" s="17"/>
      <c r="AK331" s="20"/>
    </row>
    <row r="332" spans="1:37" ht="15.75" customHeight="1" x14ac:dyDescent="0.25">
      <c r="A332" s="14"/>
      <c r="B332" s="24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39"/>
      <c r="AB332" s="39"/>
      <c r="AC332" s="39"/>
      <c r="AD332" s="39"/>
      <c r="AE332" s="39"/>
      <c r="AF332" s="17"/>
      <c r="AG332" s="17"/>
      <c r="AH332" s="17"/>
      <c r="AI332" s="17"/>
      <c r="AJ332" s="17"/>
      <c r="AK332" s="20"/>
    </row>
    <row r="333" spans="1:37" ht="15.75" customHeight="1" x14ac:dyDescent="0.25">
      <c r="A333" s="14"/>
      <c r="B333" s="24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39"/>
      <c r="AB333" s="39"/>
      <c r="AC333" s="39"/>
      <c r="AD333" s="39"/>
      <c r="AE333" s="39"/>
      <c r="AF333" s="17"/>
      <c r="AG333" s="17"/>
      <c r="AH333" s="17"/>
      <c r="AI333" s="17"/>
      <c r="AJ333" s="17"/>
      <c r="AK333" s="20"/>
    </row>
    <row r="334" spans="1:37" ht="15.75" customHeight="1" x14ac:dyDescent="0.25">
      <c r="A334" s="14"/>
      <c r="B334" s="24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39"/>
      <c r="AB334" s="39"/>
      <c r="AC334" s="39"/>
      <c r="AD334" s="39"/>
      <c r="AE334" s="39"/>
      <c r="AF334" s="17"/>
      <c r="AG334" s="17"/>
      <c r="AH334" s="17"/>
      <c r="AI334" s="17"/>
      <c r="AJ334" s="17"/>
      <c r="AK334" s="20"/>
    </row>
    <row r="335" spans="1:37" ht="15.75" customHeight="1" x14ac:dyDescent="0.25">
      <c r="A335" s="14"/>
      <c r="B335" s="24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39"/>
      <c r="AB335" s="39"/>
      <c r="AC335" s="39"/>
      <c r="AD335" s="39"/>
      <c r="AE335" s="39"/>
      <c r="AF335" s="17"/>
      <c r="AG335" s="17"/>
      <c r="AH335" s="17"/>
      <c r="AI335" s="17"/>
      <c r="AJ335" s="17"/>
      <c r="AK335" s="20"/>
    </row>
    <row r="336" spans="1:37" ht="15.75" customHeight="1" x14ac:dyDescent="0.25">
      <c r="A336" s="14"/>
      <c r="B336" s="24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39"/>
      <c r="AB336" s="39"/>
      <c r="AC336" s="39"/>
      <c r="AD336" s="39"/>
      <c r="AE336" s="39"/>
      <c r="AF336" s="17"/>
      <c r="AG336" s="17"/>
      <c r="AH336" s="17"/>
      <c r="AI336" s="17"/>
      <c r="AJ336" s="17"/>
      <c r="AK336" s="20"/>
    </row>
    <row r="337" spans="1:37" ht="15.75" customHeight="1" x14ac:dyDescent="0.25">
      <c r="A337" s="14"/>
      <c r="B337" s="24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39"/>
      <c r="AB337" s="39"/>
      <c r="AC337" s="39"/>
      <c r="AD337" s="39"/>
      <c r="AE337" s="39"/>
      <c r="AF337" s="17"/>
      <c r="AG337" s="17"/>
      <c r="AH337" s="17"/>
      <c r="AI337" s="17"/>
      <c r="AJ337" s="17"/>
      <c r="AK337" s="20"/>
    </row>
    <row r="338" spans="1:37" ht="15.75" customHeight="1" x14ac:dyDescent="0.25">
      <c r="A338" s="14"/>
      <c r="B338" s="24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39"/>
      <c r="AB338" s="39"/>
      <c r="AC338" s="39"/>
      <c r="AD338" s="39"/>
      <c r="AE338" s="39"/>
      <c r="AF338" s="17"/>
      <c r="AG338" s="17"/>
      <c r="AH338" s="17"/>
      <c r="AI338" s="17"/>
      <c r="AJ338" s="17"/>
      <c r="AK338" s="20"/>
    </row>
    <row r="339" spans="1:37" ht="15.75" customHeight="1" x14ac:dyDescent="0.25">
      <c r="A339" s="14"/>
      <c r="B339" s="24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39"/>
      <c r="AB339" s="39"/>
      <c r="AC339" s="39"/>
      <c r="AD339" s="39"/>
      <c r="AE339" s="39"/>
      <c r="AF339" s="17"/>
      <c r="AG339" s="17"/>
      <c r="AH339" s="17"/>
      <c r="AI339" s="17"/>
      <c r="AJ339" s="17"/>
      <c r="AK339" s="20"/>
    </row>
    <row r="340" spans="1:37" ht="15.75" customHeight="1" x14ac:dyDescent="0.25">
      <c r="A340" s="14"/>
      <c r="B340" s="24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39"/>
      <c r="AB340" s="39"/>
      <c r="AC340" s="39"/>
      <c r="AD340" s="39"/>
      <c r="AE340" s="39"/>
      <c r="AF340" s="17"/>
      <c r="AG340" s="17"/>
      <c r="AH340" s="17"/>
      <c r="AI340" s="17"/>
      <c r="AJ340" s="17"/>
      <c r="AK340" s="20"/>
    </row>
    <row r="341" spans="1:37" ht="15.75" customHeight="1" x14ac:dyDescent="0.25">
      <c r="A341" s="14"/>
      <c r="B341" s="24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39"/>
      <c r="AB341" s="39"/>
      <c r="AC341" s="39"/>
      <c r="AD341" s="39"/>
      <c r="AE341" s="39"/>
      <c r="AF341" s="17"/>
      <c r="AG341" s="17"/>
      <c r="AH341" s="17"/>
      <c r="AI341" s="17"/>
      <c r="AJ341" s="17"/>
      <c r="AK341" s="20"/>
    </row>
    <row r="342" spans="1:37" ht="15.75" customHeight="1" x14ac:dyDescent="0.25">
      <c r="A342" s="14"/>
      <c r="B342" s="24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39"/>
      <c r="AB342" s="39"/>
      <c r="AC342" s="39"/>
      <c r="AD342" s="39"/>
      <c r="AE342" s="39"/>
      <c r="AF342" s="17"/>
      <c r="AG342" s="17"/>
      <c r="AH342" s="17"/>
      <c r="AI342" s="17"/>
      <c r="AJ342" s="17"/>
      <c r="AK342" s="20"/>
    </row>
    <row r="343" spans="1:37" ht="15.75" customHeight="1" x14ac:dyDescent="0.25">
      <c r="A343" s="14"/>
      <c r="B343" s="24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39"/>
      <c r="AB343" s="39"/>
      <c r="AC343" s="39"/>
      <c r="AD343" s="39"/>
      <c r="AE343" s="39"/>
      <c r="AF343" s="17"/>
      <c r="AG343" s="17"/>
      <c r="AH343" s="17"/>
      <c r="AI343" s="17"/>
      <c r="AJ343" s="17"/>
      <c r="AK343" s="20"/>
    </row>
    <row r="344" spans="1:37" ht="15.75" customHeight="1" x14ac:dyDescent="0.25">
      <c r="A344" s="14"/>
      <c r="B344" s="24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39"/>
      <c r="AB344" s="39"/>
      <c r="AC344" s="39"/>
      <c r="AD344" s="39"/>
      <c r="AE344" s="39"/>
      <c r="AF344" s="17"/>
      <c r="AG344" s="17"/>
      <c r="AH344" s="17"/>
      <c r="AI344" s="17"/>
      <c r="AJ344" s="17"/>
      <c r="AK344" s="20"/>
    </row>
    <row r="345" spans="1:37" ht="15.75" customHeight="1" x14ac:dyDescent="0.25">
      <c r="A345" s="14"/>
      <c r="B345" s="24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39"/>
      <c r="AB345" s="39"/>
      <c r="AC345" s="39"/>
      <c r="AD345" s="39"/>
      <c r="AE345" s="39"/>
      <c r="AF345" s="17"/>
      <c r="AG345" s="17"/>
      <c r="AH345" s="17"/>
      <c r="AI345" s="17"/>
      <c r="AJ345" s="17"/>
      <c r="AK345" s="20"/>
    </row>
    <row r="346" spans="1:37" ht="15.75" customHeight="1" x14ac:dyDescent="0.25">
      <c r="A346" s="14"/>
      <c r="B346" s="24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39"/>
      <c r="AB346" s="39"/>
      <c r="AC346" s="39"/>
      <c r="AD346" s="39"/>
      <c r="AE346" s="39"/>
      <c r="AF346" s="17"/>
      <c r="AG346" s="17"/>
      <c r="AH346" s="17"/>
      <c r="AI346" s="17"/>
      <c r="AJ346" s="17"/>
      <c r="AK346" s="20"/>
    </row>
    <row r="347" spans="1:37" ht="15.75" customHeight="1" x14ac:dyDescent="0.25">
      <c r="A347" s="14"/>
      <c r="B347" s="24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39"/>
      <c r="AB347" s="39"/>
      <c r="AC347" s="39"/>
      <c r="AD347" s="39"/>
      <c r="AE347" s="39"/>
      <c r="AF347" s="17"/>
      <c r="AG347" s="17"/>
      <c r="AH347" s="17"/>
      <c r="AI347" s="17"/>
      <c r="AJ347" s="17"/>
      <c r="AK347" s="20"/>
    </row>
    <row r="348" spans="1:37" ht="15.75" customHeight="1" x14ac:dyDescent="0.25">
      <c r="A348" s="14"/>
      <c r="B348" s="24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39"/>
      <c r="AB348" s="39"/>
      <c r="AC348" s="39"/>
      <c r="AD348" s="39"/>
      <c r="AE348" s="39"/>
      <c r="AF348" s="17"/>
      <c r="AG348" s="17"/>
      <c r="AH348" s="17"/>
      <c r="AI348" s="17"/>
      <c r="AJ348" s="17"/>
      <c r="AK348" s="20"/>
    </row>
    <row r="349" spans="1:37" ht="15.75" customHeight="1" x14ac:dyDescent="0.25">
      <c r="A349" s="14"/>
      <c r="B349" s="24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39"/>
      <c r="AB349" s="39"/>
      <c r="AC349" s="39"/>
      <c r="AD349" s="39"/>
      <c r="AE349" s="39"/>
      <c r="AF349" s="17"/>
      <c r="AG349" s="17"/>
      <c r="AH349" s="17"/>
      <c r="AI349" s="17"/>
      <c r="AJ349" s="17"/>
      <c r="AK349" s="20"/>
    </row>
    <row r="350" spans="1:37" ht="15.75" customHeight="1" x14ac:dyDescent="0.25">
      <c r="A350" s="14"/>
      <c r="B350" s="24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39"/>
      <c r="AB350" s="39"/>
      <c r="AC350" s="39"/>
      <c r="AD350" s="39"/>
      <c r="AE350" s="39"/>
      <c r="AF350" s="17"/>
      <c r="AG350" s="17"/>
      <c r="AH350" s="17"/>
      <c r="AI350" s="17"/>
      <c r="AJ350" s="17"/>
      <c r="AK350" s="20"/>
    </row>
    <row r="351" spans="1:37" ht="15.75" customHeight="1" x14ac:dyDescent="0.25">
      <c r="A351" s="14"/>
      <c r="B351" s="24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39"/>
      <c r="AB351" s="39"/>
      <c r="AC351" s="39"/>
      <c r="AD351" s="39"/>
      <c r="AE351" s="39"/>
      <c r="AF351" s="17"/>
      <c r="AG351" s="17"/>
      <c r="AH351" s="17"/>
      <c r="AI351" s="17"/>
      <c r="AJ351" s="17"/>
      <c r="AK351" s="20"/>
    </row>
    <row r="352" spans="1:37" ht="15.75" customHeight="1" x14ac:dyDescent="0.25">
      <c r="A352" s="14"/>
      <c r="B352" s="24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39"/>
      <c r="AB352" s="39"/>
      <c r="AC352" s="39"/>
      <c r="AD352" s="39"/>
      <c r="AE352" s="39"/>
      <c r="AF352" s="17"/>
      <c r="AG352" s="17"/>
      <c r="AH352" s="17"/>
      <c r="AI352" s="17"/>
      <c r="AJ352" s="17"/>
      <c r="AK352" s="20"/>
    </row>
    <row r="353" spans="1:37" ht="15.75" customHeight="1" x14ac:dyDescent="0.25">
      <c r="A353" s="14"/>
      <c r="B353" s="24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39"/>
      <c r="AB353" s="39"/>
      <c r="AC353" s="39"/>
      <c r="AD353" s="39"/>
      <c r="AE353" s="39"/>
      <c r="AF353" s="17"/>
      <c r="AG353" s="17"/>
      <c r="AH353" s="17"/>
      <c r="AI353" s="17"/>
      <c r="AJ353" s="17"/>
      <c r="AK353" s="20"/>
    </row>
    <row r="354" spans="1:37" ht="15.75" customHeight="1" x14ac:dyDescent="0.25">
      <c r="A354" s="14"/>
      <c r="B354" s="24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39"/>
      <c r="AB354" s="39"/>
      <c r="AC354" s="39"/>
      <c r="AD354" s="39"/>
      <c r="AE354" s="39"/>
      <c r="AF354" s="17"/>
      <c r="AG354" s="17"/>
      <c r="AH354" s="17"/>
      <c r="AI354" s="17"/>
      <c r="AJ354" s="17"/>
      <c r="AK354" s="20"/>
    </row>
    <row r="355" spans="1:37" ht="15.75" customHeight="1" x14ac:dyDescent="0.25">
      <c r="A355" s="14"/>
      <c r="B355" s="24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39"/>
      <c r="AB355" s="39"/>
      <c r="AC355" s="39"/>
      <c r="AD355" s="39"/>
      <c r="AE355" s="39"/>
      <c r="AF355" s="17"/>
      <c r="AG355" s="17"/>
      <c r="AH355" s="17"/>
      <c r="AI355" s="17"/>
      <c r="AJ355" s="17"/>
      <c r="AK355" s="20"/>
    </row>
    <row r="356" spans="1:37" ht="15.75" customHeight="1" x14ac:dyDescent="0.25">
      <c r="A356" s="14"/>
      <c r="B356" s="24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39"/>
      <c r="AB356" s="39"/>
      <c r="AC356" s="39"/>
      <c r="AD356" s="39"/>
      <c r="AE356" s="39"/>
      <c r="AF356" s="17"/>
      <c r="AG356" s="17"/>
      <c r="AH356" s="17"/>
      <c r="AI356" s="17"/>
      <c r="AJ356" s="17"/>
      <c r="AK356" s="20"/>
    </row>
    <row r="357" spans="1:37" ht="15.75" customHeight="1" x14ac:dyDescent="0.25">
      <c r="A357" s="14"/>
      <c r="B357" s="24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39"/>
      <c r="AB357" s="39"/>
      <c r="AC357" s="39"/>
      <c r="AD357" s="39"/>
      <c r="AE357" s="39"/>
      <c r="AF357" s="17"/>
      <c r="AG357" s="17"/>
      <c r="AH357" s="17"/>
      <c r="AI357" s="17"/>
      <c r="AJ357" s="17"/>
      <c r="AK357" s="20"/>
    </row>
    <row r="358" spans="1:37" ht="15.75" customHeight="1" x14ac:dyDescent="0.25">
      <c r="A358" s="14"/>
      <c r="B358" s="24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39"/>
      <c r="AB358" s="39"/>
      <c r="AC358" s="39"/>
      <c r="AD358" s="39"/>
      <c r="AE358" s="39"/>
      <c r="AF358" s="17"/>
      <c r="AG358" s="17"/>
      <c r="AH358" s="17"/>
      <c r="AI358" s="17"/>
      <c r="AJ358" s="17"/>
      <c r="AK358" s="20"/>
    </row>
    <row r="359" spans="1:37" ht="15.75" customHeight="1" x14ac:dyDescent="0.25">
      <c r="A359" s="14"/>
      <c r="B359" s="24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39"/>
      <c r="AB359" s="39"/>
      <c r="AC359" s="39"/>
      <c r="AD359" s="39"/>
      <c r="AE359" s="39"/>
      <c r="AF359" s="17"/>
      <c r="AG359" s="17"/>
      <c r="AH359" s="17"/>
      <c r="AI359" s="17"/>
      <c r="AJ359" s="17"/>
      <c r="AK359" s="20"/>
    </row>
    <row r="360" spans="1:37" ht="15.75" customHeight="1" x14ac:dyDescent="0.25">
      <c r="A360" s="14"/>
      <c r="B360" s="24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39"/>
      <c r="AB360" s="39"/>
      <c r="AC360" s="39"/>
      <c r="AD360" s="39"/>
      <c r="AE360" s="39"/>
      <c r="AF360" s="17"/>
      <c r="AG360" s="17"/>
      <c r="AH360" s="17"/>
      <c r="AI360" s="17"/>
      <c r="AJ360" s="17"/>
      <c r="AK360" s="20"/>
    </row>
    <row r="361" spans="1:37" ht="15.75" customHeight="1" x14ac:dyDescent="0.25">
      <c r="A361" s="14"/>
      <c r="B361" s="24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39"/>
      <c r="AB361" s="39"/>
      <c r="AC361" s="39"/>
      <c r="AD361" s="39"/>
      <c r="AE361" s="39"/>
      <c r="AF361" s="17"/>
      <c r="AG361" s="17"/>
      <c r="AH361" s="17"/>
      <c r="AI361" s="17"/>
      <c r="AJ361" s="17"/>
      <c r="AK361" s="20"/>
    </row>
    <row r="362" spans="1:37" ht="15.75" customHeight="1" x14ac:dyDescent="0.25">
      <c r="A362" s="14"/>
      <c r="B362" s="24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39"/>
      <c r="AB362" s="39"/>
      <c r="AC362" s="39"/>
      <c r="AD362" s="39"/>
      <c r="AE362" s="39"/>
      <c r="AF362" s="17"/>
      <c r="AG362" s="17"/>
      <c r="AH362" s="17"/>
      <c r="AI362" s="17"/>
      <c r="AJ362" s="17"/>
      <c r="AK362" s="20"/>
    </row>
    <row r="363" spans="1:37" ht="15.75" customHeight="1" x14ac:dyDescent="0.25">
      <c r="A363" s="14"/>
      <c r="B363" s="24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39"/>
      <c r="AB363" s="39"/>
      <c r="AC363" s="39"/>
      <c r="AD363" s="39"/>
      <c r="AE363" s="39"/>
      <c r="AF363" s="17"/>
      <c r="AG363" s="17"/>
      <c r="AH363" s="17"/>
      <c r="AI363" s="17"/>
      <c r="AJ363" s="17"/>
      <c r="AK363" s="20"/>
    </row>
    <row r="364" spans="1:37" ht="15.75" customHeight="1" x14ac:dyDescent="0.25">
      <c r="A364" s="14"/>
      <c r="B364" s="24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39"/>
      <c r="AB364" s="39"/>
      <c r="AC364" s="39"/>
      <c r="AD364" s="39"/>
      <c r="AE364" s="39"/>
      <c r="AF364" s="17"/>
      <c r="AG364" s="17"/>
      <c r="AH364" s="17"/>
      <c r="AI364" s="17"/>
      <c r="AJ364" s="17"/>
      <c r="AK364" s="20"/>
    </row>
    <row r="365" spans="1:37" ht="15.75" customHeight="1" x14ac:dyDescent="0.25">
      <c r="A365" s="14"/>
      <c r="B365" s="24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39"/>
      <c r="AB365" s="39"/>
      <c r="AC365" s="39"/>
      <c r="AD365" s="39"/>
      <c r="AE365" s="39"/>
      <c r="AF365" s="17"/>
      <c r="AG365" s="17"/>
      <c r="AH365" s="17"/>
      <c r="AI365" s="17"/>
      <c r="AJ365" s="17"/>
      <c r="AK365" s="20"/>
    </row>
    <row r="366" spans="1:37" ht="15.75" customHeight="1" x14ac:dyDescent="0.25">
      <c r="A366" s="14"/>
      <c r="B366" s="24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39"/>
      <c r="AB366" s="39"/>
      <c r="AC366" s="39"/>
      <c r="AD366" s="39"/>
      <c r="AE366" s="39"/>
      <c r="AF366" s="17"/>
      <c r="AG366" s="17"/>
      <c r="AH366" s="17"/>
      <c r="AI366" s="17"/>
      <c r="AJ366" s="17"/>
      <c r="AK366" s="20"/>
    </row>
    <row r="367" spans="1:37" ht="15.75" customHeight="1" x14ac:dyDescent="0.25">
      <c r="A367" s="14"/>
      <c r="B367" s="24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39"/>
      <c r="AB367" s="39"/>
      <c r="AC367" s="39"/>
      <c r="AD367" s="39"/>
      <c r="AE367" s="39"/>
      <c r="AF367" s="17"/>
      <c r="AG367" s="17"/>
      <c r="AH367" s="17"/>
      <c r="AI367" s="17"/>
      <c r="AJ367" s="17"/>
      <c r="AK367" s="20"/>
    </row>
    <row r="368" spans="1:37" ht="15.75" customHeight="1" x14ac:dyDescent="0.25">
      <c r="A368" s="14"/>
      <c r="B368" s="24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39"/>
      <c r="AB368" s="39"/>
      <c r="AC368" s="39"/>
      <c r="AD368" s="39"/>
      <c r="AE368" s="39"/>
      <c r="AF368" s="17"/>
      <c r="AG368" s="17"/>
      <c r="AH368" s="17"/>
      <c r="AI368" s="17"/>
      <c r="AJ368" s="17"/>
      <c r="AK368" s="20"/>
    </row>
    <row r="369" spans="1:37" ht="15.75" customHeight="1" x14ac:dyDescent="0.25">
      <c r="A369" s="14"/>
      <c r="B369" s="24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39"/>
      <c r="AB369" s="39"/>
      <c r="AC369" s="39"/>
      <c r="AD369" s="39"/>
      <c r="AE369" s="39"/>
      <c r="AF369" s="17"/>
      <c r="AG369" s="17"/>
      <c r="AH369" s="17"/>
      <c r="AI369" s="17"/>
      <c r="AJ369" s="17"/>
      <c r="AK369" s="20"/>
    </row>
    <row r="370" spans="1:37" ht="15.75" customHeight="1" x14ac:dyDescent="0.25">
      <c r="A370" s="14"/>
      <c r="B370" s="24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39"/>
      <c r="AB370" s="39"/>
      <c r="AC370" s="39"/>
      <c r="AD370" s="39"/>
      <c r="AE370" s="39"/>
      <c r="AF370" s="17"/>
      <c r="AG370" s="17"/>
      <c r="AH370" s="17"/>
      <c r="AI370" s="17"/>
      <c r="AJ370" s="17"/>
      <c r="AK370" s="20"/>
    </row>
    <row r="371" spans="1:37" ht="15.75" customHeight="1" x14ac:dyDescent="0.25">
      <c r="A371" s="14"/>
      <c r="B371" s="24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39"/>
      <c r="AB371" s="39"/>
      <c r="AC371" s="39"/>
      <c r="AD371" s="39"/>
      <c r="AE371" s="39"/>
      <c r="AF371" s="17"/>
      <c r="AG371" s="17"/>
      <c r="AH371" s="17"/>
      <c r="AI371" s="17"/>
      <c r="AJ371" s="17"/>
      <c r="AK371" s="20"/>
    </row>
    <row r="372" spans="1:37" ht="15.75" customHeight="1" x14ac:dyDescent="0.25">
      <c r="A372" s="14"/>
      <c r="B372" s="24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39"/>
      <c r="AB372" s="39"/>
      <c r="AC372" s="39"/>
      <c r="AD372" s="39"/>
      <c r="AE372" s="39"/>
      <c r="AF372" s="17"/>
      <c r="AG372" s="17"/>
      <c r="AH372" s="17"/>
      <c r="AI372" s="17"/>
      <c r="AJ372" s="17"/>
      <c r="AK372" s="20"/>
    </row>
    <row r="373" spans="1:37" ht="15.75" customHeight="1" x14ac:dyDescent="0.25">
      <c r="A373" s="14"/>
      <c r="B373" s="24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39"/>
      <c r="AB373" s="39"/>
      <c r="AC373" s="39"/>
      <c r="AD373" s="39"/>
      <c r="AE373" s="39"/>
      <c r="AF373" s="17"/>
      <c r="AG373" s="17"/>
      <c r="AH373" s="17"/>
      <c r="AI373" s="17"/>
      <c r="AJ373" s="17"/>
      <c r="AK373" s="20"/>
    </row>
    <row r="374" spans="1:37" ht="15.75" customHeight="1" x14ac:dyDescent="0.25">
      <c r="A374" s="14"/>
      <c r="B374" s="24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39"/>
      <c r="AB374" s="39"/>
      <c r="AC374" s="39"/>
      <c r="AD374" s="39"/>
      <c r="AE374" s="39"/>
      <c r="AF374" s="17"/>
      <c r="AG374" s="17"/>
      <c r="AH374" s="17"/>
      <c r="AI374" s="17"/>
      <c r="AJ374" s="17"/>
      <c r="AK374" s="20"/>
    </row>
    <row r="375" spans="1:37" ht="15.75" customHeight="1" x14ac:dyDescent="0.25">
      <c r="A375" s="14"/>
      <c r="B375" s="24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39"/>
      <c r="AB375" s="39"/>
      <c r="AC375" s="39"/>
      <c r="AD375" s="39"/>
      <c r="AE375" s="39"/>
      <c r="AF375" s="17"/>
      <c r="AG375" s="17"/>
      <c r="AH375" s="17"/>
      <c r="AI375" s="17"/>
      <c r="AJ375" s="17"/>
      <c r="AK375" s="20"/>
    </row>
    <row r="376" spans="1:37" ht="15.75" customHeight="1" x14ac:dyDescent="0.25">
      <c r="A376" s="14"/>
      <c r="B376" s="24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39"/>
      <c r="AB376" s="39"/>
      <c r="AC376" s="39"/>
      <c r="AD376" s="39"/>
      <c r="AE376" s="39"/>
      <c r="AF376" s="17"/>
      <c r="AG376" s="17"/>
      <c r="AH376" s="17"/>
      <c r="AI376" s="17"/>
      <c r="AJ376" s="17"/>
      <c r="AK376" s="20"/>
    </row>
    <row r="377" spans="1:37" ht="15.75" customHeight="1" x14ac:dyDescent="0.25">
      <c r="A377" s="14"/>
      <c r="B377" s="24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39"/>
      <c r="AB377" s="39"/>
      <c r="AC377" s="39"/>
      <c r="AD377" s="39"/>
      <c r="AE377" s="39"/>
      <c r="AF377" s="17"/>
      <c r="AG377" s="17"/>
      <c r="AH377" s="17"/>
      <c r="AI377" s="17"/>
      <c r="AJ377" s="17"/>
      <c r="AK377" s="20"/>
    </row>
    <row r="378" spans="1:37" ht="15.75" customHeight="1" x14ac:dyDescent="0.25">
      <c r="A378" s="14"/>
      <c r="B378" s="24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39"/>
      <c r="AB378" s="39"/>
      <c r="AC378" s="39"/>
      <c r="AD378" s="39"/>
      <c r="AE378" s="39"/>
      <c r="AF378" s="17"/>
      <c r="AG378" s="17"/>
      <c r="AH378" s="17"/>
      <c r="AI378" s="17"/>
      <c r="AJ378" s="17"/>
      <c r="AK378" s="20"/>
    </row>
    <row r="379" spans="1:37" ht="15.75" customHeight="1" x14ac:dyDescent="0.25">
      <c r="A379" s="14"/>
      <c r="B379" s="24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39"/>
      <c r="AB379" s="39"/>
      <c r="AC379" s="39"/>
      <c r="AD379" s="39"/>
      <c r="AE379" s="39"/>
      <c r="AF379" s="17"/>
      <c r="AG379" s="17"/>
      <c r="AH379" s="17"/>
      <c r="AI379" s="17"/>
      <c r="AJ379" s="17"/>
      <c r="AK379" s="20"/>
    </row>
    <row r="380" spans="1:37" ht="15.75" customHeight="1" x14ac:dyDescent="0.25">
      <c r="A380" s="14"/>
      <c r="B380" s="24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39"/>
      <c r="AB380" s="39"/>
      <c r="AC380" s="39"/>
      <c r="AD380" s="39"/>
      <c r="AE380" s="39"/>
      <c r="AF380" s="17"/>
      <c r="AG380" s="17"/>
      <c r="AH380" s="17"/>
      <c r="AI380" s="17"/>
      <c r="AJ380" s="17"/>
      <c r="AK380" s="20"/>
    </row>
    <row r="381" spans="1:37" ht="15.75" customHeight="1" x14ac:dyDescent="0.25">
      <c r="A381" s="14"/>
      <c r="B381" s="24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39"/>
      <c r="AB381" s="39"/>
      <c r="AC381" s="39"/>
      <c r="AD381" s="39"/>
      <c r="AE381" s="39"/>
      <c r="AF381" s="17"/>
      <c r="AG381" s="17"/>
      <c r="AH381" s="17"/>
      <c r="AI381" s="17"/>
      <c r="AJ381" s="17"/>
      <c r="AK381" s="20"/>
    </row>
    <row r="382" spans="1:37" ht="15.75" customHeight="1" x14ac:dyDescent="0.25">
      <c r="A382" s="14"/>
      <c r="B382" s="24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39"/>
      <c r="AB382" s="39"/>
      <c r="AC382" s="39"/>
      <c r="AD382" s="39"/>
      <c r="AE382" s="39"/>
      <c r="AF382" s="17"/>
      <c r="AG382" s="17"/>
      <c r="AH382" s="17"/>
      <c r="AI382" s="17"/>
      <c r="AJ382" s="17"/>
      <c r="AK382" s="20"/>
    </row>
    <row r="383" spans="1:37" ht="15.75" customHeight="1" x14ac:dyDescent="0.25">
      <c r="A383" s="14"/>
      <c r="B383" s="24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39"/>
      <c r="AB383" s="39"/>
      <c r="AC383" s="39"/>
      <c r="AD383" s="39"/>
      <c r="AE383" s="39"/>
      <c r="AF383" s="17"/>
      <c r="AG383" s="17"/>
      <c r="AH383" s="17"/>
      <c r="AI383" s="17"/>
      <c r="AJ383" s="17"/>
      <c r="AK383" s="20"/>
    </row>
    <row r="384" spans="1:37" ht="15.75" customHeight="1" x14ac:dyDescent="0.25">
      <c r="A384" s="14"/>
      <c r="B384" s="24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39"/>
      <c r="AB384" s="39"/>
      <c r="AC384" s="39"/>
      <c r="AD384" s="39"/>
      <c r="AE384" s="39"/>
      <c r="AF384" s="17"/>
      <c r="AG384" s="17"/>
      <c r="AH384" s="17"/>
      <c r="AI384" s="17"/>
      <c r="AJ384" s="17"/>
      <c r="AK384" s="20"/>
    </row>
    <row r="385" spans="1:37" ht="15.75" customHeight="1" x14ac:dyDescent="0.25">
      <c r="A385" s="14"/>
      <c r="B385" s="24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39"/>
      <c r="AB385" s="39"/>
      <c r="AC385" s="39"/>
      <c r="AD385" s="39"/>
      <c r="AE385" s="39"/>
      <c r="AF385" s="17"/>
      <c r="AG385" s="17"/>
      <c r="AH385" s="17"/>
      <c r="AI385" s="17"/>
      <c r="AJ385" s="17"/>
      <c r="AK385" s="20"/>
    </row>
    <row r="386" spans="1:37" ht="15.75" customHeight="1" x14ac:dyDescent="0.25">
      <c r="A386" s="14"/>
      <c r="B386" s="24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39"/>
      <c r="AB386" s="39"/>
      <c r="AC386" s="39"/>
      <c r="AD386" s="39"/>
      <c r="AE386" s="39"/>
      <c r="AF386" s="17"/>
      <c r="AG386" s="17"/>
      <c r="AH386" s="17"/>
      <c r="AI386" s="17"/>
      <c r="AJ386" s="17"/>
      <c r="AK386" s="20"/>
    </row>
    <row r="387" spans="1:37" ht="15.75" customHeight="1" x14ac:dyDescent="0.25">
      <c r="A387" s="14"/>
      <c r="B387" s="24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39"/>
      <c r="AB387" s="39"/>
      <c r="AC387" s="39"/>
      <c r="AD387" s="39"/>
      <c r="AE387" s="39"/>
      <c r="AF387" s="17"/>
      <c r="AG387" s="17"/>
      <c r="AH387" s="17"/>
      <c r="AI387" s="17"/>
      <c r="AJ387" s="17"/>
      <c r="AK387" s="20"/>
    </row>
    <row r="388" spans="1:37" ht="15.75" customHeight="1" x14ac:dyDescent="0.25">
      <c r="A388" s="14"/>
      <c r="B388" s="24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39"/>
      <c r="AB388" s="39"/>
      <c r="AC388" s="39"/>
      <c r="AD388" s="39"/>
      <c r="AE388" s="39"/>
      <c r="AF388" s="17"/>
      <c r="AG388" s="17"/>
      <c r="AH388" s="17"/>
      <c r="AI388" s="17"/>
      <c r="AJ388" s="17"/>
      <c r="AK388" s="20"/>
    </row>
    <row r="389" spans="1:37" ht="15.75" customHeight="1" x14ac:dyDescent="0.25">
      <c r="A389" s="14"/>
      <c r="B389" s="24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39"/>
      <c r="AB389" s="39"/>
      <c r="AC389" s="39"/>
      <c r="AD389" s="39"/>
      <c r="AE389" s="39"/>
      <c r="AF389" s="17"/>
      <c r="AG389" s="17"/>
      <c r="AH389" s="17"/>
      <c r="AI389" s="17"/>
      <c r="AJ389" s="17"/>
      <c r="AK389" s="20"/>
    </row>
    <row r="390" spans="1:37" ht="15.75" customHeight="1" x14ac:dyDescent="0.25">
      <c r="A390" s="14"/>
      <c r="B390" s="24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39"/>
      <c r="AB390" s="39"/>
      <c r="AC390" s="39"/>
      <c r="AD390" s="39"/>
      <c r="AE390" s="39"/>
      <c r="AF390" s="17"/>
      <c r="AG390" s="17"/>
      <c r="AH390" s="17"/>
      <c r="AI390" s="17"/>
      <c r="AJ390" s="17"/>
      <c r="AK390" s="20"/>
    </row>
    <row r="391" spans="1:37" ht="15.75" customHeight="1" x14ac:dyDescent="0.25">
      <c r="A391" s="14"/>
      <c r="B391" s="24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39"/>
      <c r="AB391" s="39"/>
      <c r="AC391" s="39"/>
      <c r="AD391" s="39"/>
      <c r="AE391" s="39"/>
      <c r="AF391" s="17"/>
      <c r="AG391" s="17"/>
      <c r="AH391" s="17"/>
      <c r="AI391" s="17"/>
      <c r="AJ391" s="17"/>
      <c r="AK391" s="20"/>
    </row>
    <row r="392" spans="1:37" ht="15.75" customHeight="1" x14ac:dyDescent="0.25">
      <c r="A392" s="14"/>
      <c r="B392" s="24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39"/>
      <c r="AB392" s="39"/>
      <c r="AC392" s="39"/>
      <c r="AD392" s="39"/>
      <c r="AE392" s="39"/>
      <c r="AF392" s="17"/>
      <c r="AG392" s="17"/>
      <c r="AH392" s="17"/>
      <c r="AI392" s="17"/>
      <c r="AJ392" s="17"/>
      <c r="AK392" s="20"/>
    </row>
    <row r="393" spans="1:37" ht="15.75" customHeight="1" x14ac:dyDescent="0.25">
      <c r="A393" s="14"/>
      <c r="B393" s="24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39"/>
      <c r="AB393" s="39"/>
      <c r="AC393" s="39"/>
      <c r="AD393" s="39"/>
      <c r="AE393" s="39"/>
      <c r="AF393" s="17"/>
      <c r="AG393" s="17"/>
      <c r="AH393" s="17"/>
      <c r="AI393" s="17"/>
      <c r="AJ393" s="17"/>
      <c r="AK393" s="20"/>
    </row>
    <row r="394" spans="1:37" ht="15.75" customHeight="1" x14ac:dyDescent="0.25">
      <c r="A394" s="14"/>
      <c r="B394" s="24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39"/>
      <c r="AB394" s="39"/>
      <c r="AC394" s="39"/>
      <c r="AD394" s="39"/>
      <c r="AE394" s="39"/>
      <c r="AF394" s="17"/>
      <c r="AG394" s="17"/>
      <c r="AH394" s="17"/>
      <c r="AI394" s="17"/>
      <c r="AJ394" s="17"/>
      <c r="AK394" s="20"/>
    </row>
    <row r="395" spans="1:37" ht="15.75" customHeight="1" x14ac:dyDescent="0.25">
      <c r="A395" s="14"/>
      <c r="B395" s="24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39"/>
      <c r="AB395" s="39"/>
      <c r="AC395" s="39"/>
      <c r="AD395" s="39"/>
      <c r="AE395" s="39"/>
      <c r="AF395" s="17"/>
      <c r="AG395" s="17"/>
      <c r="AH395" s="17"/>
      <c r="AI395" s="17"/>
      <c r="AJ395" s="17"/>
      <c r="AK395" s="20"/>
    </row>
    <row r="396" spans="1:37" ht="15.75" customHeight="1" x14ac:dyDescent="0.25">
      <c r="A396" s="14"/>
      <c r="B396" s="24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39"/>
      <c r="AB396" s="39"/>
      <c r="AC396" s="39"/>
      <c r="AD396" s="39"/>
      <c r="AE396" s="39"/>
      <c r="AF396" s="17"/>
      <c r="AG396" s="17"/>
      <c r="AH396" s="17"/>
      <c r="AI396" s="17"/>
      <c r="AJ396" s="17"/>
      <c r="AK396" s="20"/>
    </row>
    <row r="397" spans="1:37" ht="15.75" customHeight="1" x14ac:dyDescent="0.25">
      <c r="A397" s="14"/>
      <c r="B397" s="24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39"/>
      <c r="AB397" s="39"/>
      <c r="AC397" s="39"/>
      <c r="AD397" s="39"/>
      <c r="AE397" s="39"/>
      <c r="AF397" s="17"/>
      <c r="AG397" s="17"/>
      <c r="AH397" s="17"/>
      <c r="AI397" s="17"/>
      <c r="AJ397" s="17"/>
      <c r="AK397" s="20"/>
    </row>
    <row r="398" spans="1:37" ht="15.75" customHeight="1" x14ac:dyDescent="0.25">
      <c r="A398" s="14"/>
      <c r="B398" s="24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39"/>
      <c r="AB398" s="39"/>
      <c r="AC398" s="39"/>
      <c r="AD398" s="39"/>
      <c r="AE398" s="39"/>
      <c r="AF398" s="17"/>
      <c r="AG398" s="17"/>
      <c r="AH398" s="17"/>
      <c r="AI398" s="17"/>
      <c r="AJ398" s="17"/>
      <c r="AK398" s="20"/>
    </row>
    <row r="399" spans="1:37" ht="15.75" customHeight="1" x14ac:dyDescent="0.25">
      <c r="A399" s="14"/>
      <c r="B399" s="24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39"/>
      <c r="AB399" s="39"/>
      <c r="AC399" s="39"/>
      <c r="AD399" s="39"/>
      <c r="AE399" s="39"/>
      <c r="AF399" s="17"/>
      <c r="AG399" s="17"/>
      <c r="AH399" s="17"/>
      <c r="AI399" s="17"/>
      <c r="AJ399" s="17"/>
      <c r="AK399" s="20"/>
    </row>
    <row r="400" spans="1:37" ht="15.75" customHeight="1" x14ac:dyDescent="0.25">
      <c r="A400" s="14"/>
      <c r="B400" s="24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39"/>
      <c r="AB400" s="39"/>
      <c r="AC400" s="39"/>
      <c r="AD400" s="39"/>
      <c r="AE400" s="39"/>
      <c r="AF400" s="17"/>
      <c r="AG400" s="17"/>
      <c r="AH400" s="17"/>
      <c r="AI400" s="17"/>
      <c r="AJ400" s="17"/>
      <c r="AK400" s="20"/>
    </row>
    <row r="401" spans="1:37" ht="15.75" customHeight="1" x14ac:dyDescent="0.25">
      <c r="A401" s="14"/>
      <c r="B401" s="24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39"/>
      <c r="AB401" s="39"/>
      <c r="AC401" s="39"/>
      <c r="AD401" s="39"/>
      <c r="AE401" s="39"/>
      <c r="AF401" s="17"/>
      <c r="AG401" s="17"/>
      <c r="AH401" s="17"/>
      <c r="AI401" s="17"/>
      <c r="AJ401" s="17"/>
      <c r="AK401" s="20"/>
    </row>
    <row r="402" spans="1:37" ht="15.75" customHeight="1" x14ac:dyDescent="0.25">
      <c r="A402" s="14"/>
      <c r="B402" s="24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39"/>
      <c r="AB402" s="39"/>
      <c r="AC402" s="39"/>
      <c r="AD402" s="39"/>
      <c r="AE402" s="39"/>
      <c r="AF402" s="17"/>
      <c r="AG402" s="17"/>
      <c r="AH402" s="17"/>
      <c r="AI402" s="17"/>
      <c r="AJ402" s="17"/>
      <c r="AK402" s="20"/>
    </row>
    <row r="403" spans="1:37" ht="15.75" customHeight="1" x14ac:dyDescent="0.25">
      <c r="A403" s="14"/>
      <c r="B403" s="24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39"/>
      <c r="AB403" s="39"/>
      <c r="AC403" s="39"/>
      <c r="AD403" s="39"/>
      <c r="AE403" s="39"/>
      <c r="AF403" s="17"/>
      <c r="AG403" s="17"/>
      <c r="AH403" s="17"/>
      <c r="AI403" s="17"/>
      <c r="AJ403" s="17"/>
      <c r="AK403" s="20"/>
    </row>
    <row r="404" spans="1:37" ht="15.75" customHeight="1" x14ac:dyDescent="0.25">
      <c r="A404" s="14"/>
      <c r="B404" s="24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39"/>
      <c r="AB404" s="39"/>
      <c r="AC404" s="39"/>
      <c r="AD404" s="39"/>
      <c r="AE404" s="39"/>
      <c r="AF404" s="17"/>
      <c r="AG404" s="17"/>
      <c r="AH404" s="17"/>
      <c r="AI404" s="17"/>
      <c r="AJ404" s="17"/>
      <c r="AK404" s="20"/>
    </row>
    <row r="405" spans="1:37" ht="15.75" customHeight="1" x14ac:dyDescent="0.25">
      <c r="A405" s="14"/>
      <c r="B405" s="24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39"/>
      <c r="AB405" s="39"/>
      <c r="AC405" s="39"/>
      <c r="AD405" s="39"/>
      <c r="AE405" s="39"/>
      <c r="AF405" s="17"/>
      <c r="AG405" s="17"/>
      <c r="AH405" s="17"/>
      <c r="AI405" s="17"/>
      <c r="AJ405" s="17"/>
      <c r="AK405" s="20"/>
    </row>
    <row r="406" spans="1:37" ht="15.75" customHeight="1" x14ac:dyDescent="0.25">
      <c r="A406" s="14"/>
      <c r="B406" s="24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39"/>
      <c r="AB406" s="39"/>
      <c r="AC406" s="39"/>
      <c r="AD406" s="39"/>
      <c r="AE406" s="39"/>
      <c r="AF406" s="17"/>
      <c r="AG406" s="17"/>
      <c r="AH406" s="17"/>
      <c r="AI406" s="17"/>
      <c r="AJ406" s="17"/>
      <c r="AK406" s="20"/>
    </row>
    <row r="407" spans="1:37" ht="15.75" customHeight="1" x14ac:dyDescent="0.25">
      <c r="A407" s="14"/>
      <c r="B407" s="24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39"/>
      <c r="AB407" s="39"/>
      <c r="AC407" s="39"/>
      <c r="AD407" s="39"/>
      <c r="AE407" s="39"/>
      <c r="AF407" s="17"/>
      <c r="AG407" s="17"/>
      <c r="AH407" s="17"/>
      <c r="AI407" s="17"/>
      <c r="AJ407" s="17"/>
      <c r="AK407" s="20"/>
    </row>
    <row r="408" spans="1:37" ht="15.75" customHeight="1" x14ac:dyDescent="0.25">
      <c r="A408" s="14"/>
      <c r="B408" s="24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39"/>
      <c r="AB408" s="39"/>
      <c r="AC408" s="39"/>
      <c r="AD408" s="39"/>
      <c r="AE408" s="39"/>
      <c r="AF408" s="17"/>
      <c r="AG408" s="17"/>
      <c r="AH408" s="17"/>
      <c r="AI408" s="17"/>
      <c r="AJ408" s="17"/>
      <c r="AK408" s="20"/>
    </row>
    <row r="409" spans="1:37" ht="15.75" customHeight="1" x14ac:dyDescent="0.25">
      <c r="A409" s="14"/>
      <c r="B409" s="24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39"/>
      <c r="AB409" s="39"/>
      <c r="AC409" s="39"/>
      <c r="AD409" s="39"/>
      <c r="AE409" s="39"/>
      <c r="AF409" s="17"/>
      <c r="AG409" s="17"/>
      <c r="AH409" s="17"/>
      <c r="AI409" s="17"/>
      <c r="AJ409" s="17"/>
      <c r="AK409" s="20"/>
    </row>
    <row r="410" spans="1:37" ht="15.75" customHeight="1" x14ac:dyDescent="0.25">
      <c r="A410" s="14"/>
      <c r="B410" s="24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39"/>
      <c r="AB410" s="39"/>
      <c r="AC410" s="39"/>
      <c r="AD410" s="39"/>
      <c r="AE410" s="39"/>
      <c r="AF410" s="17"/>
      <c r="AG410" s="17"/>
      <c r="AH410" s="17"/>
      <c r="AI410" s="17"/>
      <c r="AJ410" s="17"/>
      <c r="AK410" s="20"/>
    </row>
    <row r="411" spans="1:37" ht="15.75" customHeight="1" x14ac:dyDescent="0.25">
      <c r="A411" s="14"/>
      <c r="B411" s="24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39"/>
      <c r="AB411" s="39"/>
      <c r="AC411" s="39"/>
      <c r="AD411" s="39"/>
      <c r="AE411" s="39"/>
      <c r="AF411" s="17"/>
      <c r="AG411" s="17"/>
      <c r="AH411" s="17"/>
      <c r="AI411" s="17"/>
      <c r="AJ411" s="17"/>
      <c r="AK411" s="20"/>
    </row>
    <row r="412" spans="1:37" ht="15.75" customHeight="1" x14ac:dyDescent="0.25">
      <c r="A412" s="14"/>
      <c r="B412" s="24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39"/>
      <c r="AB412" s="39"/>
      <c r="AC412" s="39"/>
      <c r="AD412" s="39"/>
      <c r="AE412" s="39"/>
      <c r="AF412" s="17"/>
      <c r="AG412" s="17"/>
      <c r="AH412" s="17"/>
      <c r="AI412" s="17"/>
      <c r="AJ412" s="17"/>
      <c r="AK412" s="20"/>
    </row>
    <row r="413" spans="1:37" ht="15.75" customHeight="1" x14ac:dyDescent="0.25">
      <c r="A413" s="14"/>
      <c r="B413" s="24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39"/>
      <c r="AB413" s="39"/>
      <c r="AC413" s="39"/>
      <c r="AD413" s="39"/>
      <c r="AE413" s="39"/>
      <c r="AF413" s="17"/>
      <c r="AG413" s="17"/>
      <c r="AH413" s="17"/>
      <c r="AI413" s="17"/>
      <c r="AJ413" s="17"/>
      <c r="AK413" s="20"/>
    </row>
    <row r="414" spans="1:37" ht="15.75" customHeight="1" x14ac:dyDescent="0.25">
      <c r="A414" s="14"/>
      <c r="B414" s="24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39"/>
      <c r="AB414" s="39"/>
      <c r="AC414" s="39"/>
      <c r="AD414" s="39"/>
      <c r="AE414" s="39"/>
      <c r="AF414" s="17"/>
      <c r="AG414" s="17"/>
      <c r="AH414" s="17"/>
      <c r="AI414" s="17"/>
      <c r="AJ414" s="17"/>
      <c r="AK414" s="20"/>
    </row>
    <row r="415" spans="1:37" ht="15.75" customHeight="1" x14ac:dyDescent="0.25">
      <c r="A415" s="14"/>
      <c r="B415" s="24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39"/>
      <c r="AB415" s="39"/>
      <c r="AC415" s="39"/>
      <c r="AD415" s="39"/>
      <c r="AE415" s="39"/>
      <c r="AF415" s="17"/>
      <c r="AG415" s="17"/>
      <c r="AH415" s="17"/>
      <c r="AI415" s="17"/>
      <c r="AJ415" s="17"/>
      <c r="AK415" s="20"/>
    </row>
    <row r="416" spans="1:37" ht="15.75" customHeight="1" x14ac:dyDescent="0.25">
      <c r="A416" s="14"/>
      <c r="B416" s="24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39"/>
      <c r="AB416" s="39"/>
      <c r="AC416" s="39"/>
      <c r="AD416" s="39"/>
      <c r="AE416" s="39"/>
      <c r="AF416" s="17"/>
      <c r="AG416" s="17"/>
      <c r="AH416" s="17"/>
      <c r="AI416" s="17"/>
      <c r="AJ416" s="17"/>
      <c r="AK416" s="20"/>
    </row>
    <row r="417" spans="1:37" ht="15.75" customHeight="1" x14ac:dyDescent="0.25">
      <c r="A417" s="14"/>
      <c r="B417" s="24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39"/>
      <c r="AB417" s="39"/>
      <c r="AC417" s="39"/>
      <c r="AD417" s="39"/>
      <c r="AE417" s="39"/>
      <c r="AF417" s="17"/>
      <c r="AG417" s="17"/>
      <c r="AH417" s="17"/>
      <c r="AI417" s="17"/>
      <c r="AJ417" s="17"/>
      <c r="AK417" s="20"/>
    </row>
    <row r="418" spans="1:37" ht="15.75" customHeight="1" x14ac:dyDescent="0.25">
      <c r="A418" s="14"/>
      <c r="B418" s="24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39"/>
      <c r="AB418" s="39"/>
      <c r="AC418" s="39"/>
      <c r="AD418" s="39"/>
      <c r="AE418" s="39"/>
      <c r="AF418" s="17"/>
      <c r="AG418" s="17"/>
      <c r="AH418" s="17"/>
      <c r="AI418" s="17"/>
      <c r="AJ418" s="17"/>
      <c r="AK418" s="20"/>
    </row>
    <row r="419" spans="1:37" ht="15.75" customHeight="1" x14ac:dyDescent="0.25">
      <c r="A419" s="14"/>
      <c r="B419" s="24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39"/>
      <c r="AB419" s="39"/>
      <c r="AC419" s="39"/>
      <c r="AD419" s="39"/>
      <c r="AE419" s="39"/>
      <c r="AF419" s="17"/>
      <c r="AG419" s="17"/>
      <c r="AH419" s="17"/>
      <c r="AI419" s="17"/>
      <c r="AJ419" s="17"/>
      <c r="AK419" s="20"/>
    </row>
    <row r="420" spans="1:37" ht="15.75" customHeight="1" x14ac:dyDescent="0.25">
      <c r="A420" s="14"/>
      <c r="B420" s="24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39"/>
      <c r="AB420" s="39"/>
      <c r="AC420" s="39"/>
      <c r="AD420" s="39"/>
      <c r="AE420" s="39"/>
      <c r="AF420" s="17"/>
      <c r="AG420" s="17"/>
      <c r="AH420" s="17"/>
      <c r="AI420" s="17"/>
      <c r="AJ420" s="17"/>
      <c r="AK420" s="20"/>
    </row>
    <row r="421" spans="1:37" ht="15.75" customHeight="1" x14ac:dyDescent="0.25">
      <c r="A421" s="14"/>
      <c r="B421" s="24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39"/>
      <c r="AB421" s="39"/>
      <c r="AC421" s="39"/>
      <c r="AD421" s="39"/>
      <c r="AE421" s="39"/>
      <c r="AF421" s="17"/>
      <c r="AG421" s="17"/>
      <c r="AH421" s="17"/>
      <c r="AI421" s="17"/>
      <c r="AJ421" s="17"/>
      <c r="AK421" s="20"/>
    </row>
    <row r="422" spans="1:37" ht="15.75" customHeight="1" x14ac:dyDescent="0.25">
      <c r="A422" s="14"/>
      <c r="B422" s="24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39"/>
      <c r="AB422" s="39"/>
      <c r="AC422" s="39"/>
      <c r="AD422" s="39"/>
      <c r="AE422" s="39"/>
      <c r="AF422" s="17"/>
      <c r="AG422" s="17"/>
      <c r="AH422" s="17"/>
      <c r="AI422" s="17"/>
      <c r="AJ422" s="17"/>
      <c r="AK422" s="20"/>
    </row>
    <row r="423" spans="1:37" ht="15.75" customHeight="1" x14ac:dyDescent="0.25">
      <c r="A423" s="14"/>
      <c r="B423" s="24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39"/>
      <c r="AB423" s="39"/>
      <c r="AC423" s="39"/>
      <c r="AD423" s="39"/>
      <c r="AE423" s="39"/>
      <c r="AF423" s="17"/>
      <c r="AG423" s="17"/>
      <c r="AH423" s="17"/>
      <c r="AI423" s="17"/>
      <c r="AJ423" s="17"/>
      <c r="AK423" s="20"/>
    </row>
    <row r="424" spans="1:37" ht="15.75" customHeight="1" x14ac:dyDescent="0.25">
      <c r="A424" s="14"/>
      <c r="B424" s="24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39"/>
      <c r="AB424" s="39"/>
      <c r="AC424" s="39"/>
      <c r="AD424" s="39"/>
      <c r="AE424" s="39"/>
      <c r="AF424" s="17"/>
      <c r="AG424" s="17"/>
      <c r="AH424" s="17"/>
      <c r="AI424" s="17"/>
      <c r="AJ424" s="17"/>
      <c r="AK424" s="20"/>
    </row>
    <row r="425" spans="1:37" ht="15.75" customHeight="1" x14ac:dyDescent="0.25">
      <c r="A425" s="14"/>
      <c r="B425" s="24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39"/>
      <c r="AB425" s="39"/>
      <c r="AC425" s="39"/>
      <c r="AD425" s="39"/>
      <c r="AE425" s="39"/>
      <c r="AF425" s="17"/>
      <c r="AG425" s="17"/>
      <c r="AH425" s="17"/>
      <c r="AI425" s="17"/>
      <c r="AJ425" s="17"/>
      <c r="AK425" s="20"/>
    </row>
    <row r="426" spans="1:37" ht="15.75" customHeight="1" x14ac:dyDescent="0.25">
      <c r="A426" s="14"/>
      <c r="B426" s="24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39"/>
      <c r="AB426" s="39"/>
      <c r="AC426" s="39"/>
      <c r="AD426" s="39"/>
      <c r="AE426" s="39"/>
      <c r="AF426" s="17"/>
      <c r="AG426" s="17"/>
      <c r="AH426" s="17"/>
      <c r="AI426" s="17"/>
      <c r="AJ426" s="17"/>
      <c r="AK426" s="20"/>
    </row>
    <row r="427" spans="1:37" ht="15.75" customHeight="1" x14ac:dyDescent="0.25">
      <c r="A427" s="14"/>
      <c r="B427" s="24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39"/>
      <c r="AB427" s="39"/>
      <c r="AC427" s="39"/>
      <c r="AD427" s="39"/>
      <c r="AE427" s="39"/>
      <c r="AF427" s="17"/>
      <c r="AG427" s="17"/>
      <c r="AH427" s="17"/>
      <c r="AI427" s="17"/>
      <c r="AJ427" s="17"/>
      <c r="AK427" s="20"/>
    </row>
    <row r="428" spans="1:37" ht="15.75" customHeight="1" x14ac:dyDescent="0.25">
      <c r="A428" s="14"/>
      <c r="B428" s="24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39"/>
      <c r="AB428" s="39"/>
      <c r="AC428" s="39"/>
      <c r="AD428" s="39"/>
      <c r="AE428" s="39"/>
      <c r="AF428" s="17"/>
      <c r="AG428" s="17"/>
      <c r="AH428" s="17"/>
      <c r="AI428" s="17"/>
      <c r="AJ428" s="17"/>
      <c r="AK428" s="20"/>
    </row>
    <row r="429" spans="1:37" ht="15.75" customHeight="1" x14ac:dyDescent="0.25">
      <c r="A429" s="14"/>
      <c r="B429" s="24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39"/>
      <c r="AB429" s="39"/>
      <c r="AC429" s="39"/>
      <c r="AD429" s="39"/>
      <c r="AE429" s="39"/>
      <c r="AF429" s="17"/>
      <c r="AG429" s="17"/>
      <c r="AH429" s="17"/>
      <c r="AI429" s="17"/>
      <c r="AJ429" s="17"/>
      <c r="AK429" s="20"/>
    </row>
    <row r="430" spans="1:37" ht="15.75" customHeight="1" x14ac:dyDescent="0.25">
      <c r="A430" s="14"/>
      <c r="B430" s="24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39"/>
      <c r="AB430" s="39"/>
      <c r="AC430" s="39"/>
      <c r="AD430" s="39"/>
      <c r="AE430" s="39"/>
      <c r="AF430" s="17"/>
      <c r="AG430" s="17"/>
      <c r="AH430" s="17"/>
      <c r="AI430" s="17"/>
      <c r="AJ430" s="17"/>
      <c r="AK430" s="20"/>
    </row>
    <row r="431" spans="1:37" ht="15.75" customHeight="1" x14ac:dyDescent="0.25">
      <c r="A431" s="14"/>
      <c r="B431" s="24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39"/>
      <c r="AB431" s="39"/>
      <c r="AC431" s="39"/>
      <c r="AD431" s="39"/>
      <c r="AE431" s="39"/>
      <c r="AF431" s="17"/>
      <c r="AG431" s="17"/>
      <c r="AH431" s="17"/>
      <c r="AI431" s="17"/>
      <c r="AJ431" s="17"/>
      <c r="AK431" s="20"/>
    </row>
    <row r="432" spans="1:37" ht="15.75" customHeight="1" x14ac:dyDescent="0.25">
      <c r="A432" s="14"/>
      <c r="B432" s="24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39"/>
      <c r="AB432" s="39"/>
      <c r="AC432" s="39"/>
      <c r="AD432" s="39"/>
      <c r="AE432" s="39"/>
      <c r="AF432" s="17"/>
      <c r="AG432" s="17"/>
      <c r="AH432" s="17"/>
      <c r="AI432" s="17"/>
      <c r="AJ432" s="17"/>
      <c r="AK432" s="20"/>
    </row>
    <row r="433" spans="1:37" ht="15.75" customHeight="1" x14ac:dyDescent="0.25">
      <c r="A433" s="14"/>
      <c r="B433" s="24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39"/>
      <c r="AB433" s="39"/>
      <c r="AC433" s="39"/>
      <c r="AD433" s="39"/>
      <c r="AE433" s="39"/>
      <c r="AF433" s="17"/>
      <c r="AG433" s="17"/>
      <c r="AH433" s="17"/>
      <c r="AI433" s="17"/>
      <c r="AJ433" s="17"/>
      <c r="AK433" s="20"/>
    </row>
    <row r="434" spans="1:37" ht="15.75" customHeight="1" x14ac:dyDescent="0.25">
      <c r="A434" s="14"/>
      <c r="B434" s="24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39"/>
      <c r="AB434" s="39"/>
      <c r="AC434" s="39"/>
      <c r="AD434" s="39"/>
      <c r="AE434" s="39"/>
      <c r="AF434" s="17"/>
      <c r="AG434" s="17"/>
      <c r="AH434" s="17"/>
      <c r="AI434" s="17"/>
      <c r="AJ434" s="17"/>
      <c r="AK434" s="20"/>
    </row>
    <row r="435" spans="1:37" ht="15.75" customHeight="1" x14ac:dyDescent="0.25">
      <c r="A435" s="14"/>
      <c r="B435" s="24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39"/>
      <c r="AB435" s="39"/>
      <c r="AC435" s="39"/>
      <c r="AD435" s="39"/>
      <c r="AE435" s="39"/>
      <c r="AF435" s="17"/>
      <c r="AG435" s="17"/>
      <c r="AH435" s="17"/>
      <c r="AI435" s="17"/>
      <c r="AJ435" s="17"/>
      <c r="AK435" s="20"/>
    </row>
    <row r="436" spans="1:37" ht="15.75" customHeight="1" x14ac:dyDescent="0.25">
      <c r="A436" s="14"/>
      <c r="B436" s="24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39"/>
      <c r="AB436" s="39"/>
      <c r="AC436" s="39"/>
      <c r="AD436" s="39"/>
      <c r="AE436" s="39"/>
      <c r="AF436" s="17"/>
      <c r="AG436" s="17"/>
      <c r="AH436" s="17"/>
      <c r="AI436" s="17"/>
      <c r="AJ436" s="17"/>
      <c r="AK436" s="20"/>
    </row>
    <row r="437" spans="1:37" ht="15.75" customHeight="1" x14ac:dyDescent="0.25">
      <c r="A437" s="14"/>
      <c r="B437" s="24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39"/>
      <c r="AB437" s="39"/>
      <c r="AC437" s="39"/>
      <c r="AD437" s="39"/>
      <c r="AE437" s="39"/>
      <c r="AF437" s="17"/>
      <c r="AG437" s="17"/>
      <c r="AH437" s="17"/>
      <c r="AI437" s="17"/>
      <c r="AJ437" s="17"/>
      <c r="AK437" s="20"/>
    </row>
    <row r="438" spans="1:37" ht="15.75" customHeight="1" x14ac:dyDescent="0.25">
      <c r="A438" s="14"/>
      <c r="B438" s="24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39"/>
      <c r="AB438" s="39"/>
      <c r="AC438" s="39"/>
      <c r="AD438" s="39"/>
      <c r="AE438" s="39"/>
      <c r="AF438" s="17"/>
      <c r="AG438" s="17"/>
      <c r="AH438" s="17"/>
      <c r="AI438" s="17"/>
      <c r="AJ438" s="17"/>
      <c r="AK438" s="20"/>
    </row>
    <row r="439" spans="1:37" ht="15.75" customHeight="1" x14ac:dyDescent="0.25">
      <c r="A439" s="14"/>
      <c r="B439" s="24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39"/>
      <c r="AB439" s="39"/>
      <c r="AC439" s="39"/>
      <c r="AD439" s="39"/>
      <c r="AE439" s="39"/>
      <c r="AF439" s="17"/>
      <c r="AG439" s="17"/>
      <c r="AH439" s="17"/>
      <c r="AI439" s="17"/>
      <c r="AJ439" s="17"/>
      <c r="AK439" s="20"/>
    </row>
    <row r="440" spans="1:37" ht="15.75" customHeight="1" x14ac:dyDescent="0.25">
      <c r="A440" s="14"/>
      <c r="B440" s="24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39"/>
      <c r="AB440" s="39"/>
      <c r="AC440" s="39"/>
      <c r="AD440" s="39"/>
      <c r="AE440" s="39"/>
      <c r="AF440" s="17"/>
      <c r="AG440" s="17"/>
      <c r="AH440" s="17"/>
      <c r="AI440" s="17"/>
      <c r="AJ440" s="17"/>
      <c r="AK440" s="20"/>
    </row>
    <row r="441" spans="1:37" ht="15.75" customHeight="1" x14ac:dyDescent="0.25">
      <c r="A441" s="14"/>
      <c r="B441" s="24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39"/>
      <c r="AB441" s="39"/>
      <c r="AC441" s="39"/>
      <c r="AD441" s="39"/>
      <c r="AE441" s="39"/>
      <c r="AF441" s="17"/>
      <c r="AG441" s="17"/>
      <c r="AH441" s="17"/>
      <c r="AI441" s="17"/>
      <c r="AJ441" s="17"/>
      <c r="AK441" s="20"/>
    </row>
    <row r="442" spans="1:37" ht="15.75" customHeight="1" x14ac:dyDescent="0.25">
      <c r="A442" s="14"/>
      <c r="B442" s="24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39"/>
      <c r="AB442" s="39"/>
      <c r="AC442" s="39"/>
      <c r="AD442" s="39"/>
      <c r="AE442" s="39"/>
      <c r="AF442" s="17"/>
      <c r="AG442" s="17"/>
      <c r="AH442" s="17"/>
      <c r="AI442" s="17"/>
      <c r="AJ442" s="17"/>
      <c r="AK442" s="20"/>
    </row>
    <row r="443" spans="1:37" ht="15.75" customHeight="1" x14ac:dyDescent="0.25">
      <c r="A443" s="14"/>
      <c r="B443" s="24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39"/>
      <c r="AB443" s="39"/>
      <c r="AC443" s="39"/>
      <c r="AD443" s="39"/>
      <c r="AE443" s="39"/>
      <c r="AF443" s="17"/>
      <c r="AG443" s="17"/>
      <c r="AH443" s="17"/>
      <c r="AI443" s="17"/>
      <c r="AJ443" s="17"/>
      <c r="AK443" s="20"/>
    </row>
    <row r="444" spans="1:37" ht="15.75" customHeight="1" x14ac:dyDescent="0.25">
      <c r="A444" s="14"/>
      <c r="B444" s="24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39"/>
      <c r="AB444" s="39"/>
      <c r="AC444" s="39"/>
      <c r="AD444" s="39"/>
      <c r="AE444" s="39"/>
      <c r="AF444" s="17"/>
      <c r="AG444" s="17"/>
      <c r="AH444" s="17"/>
      <c r="AI444" s="17"/>
      <c r="AJ444" s="17"/>
      <c r="AK444" s="20"/>
    </row>
    <row r="445" spans="1:37" ht="15.75" customHeight="1" x14ac:dyDescent="0.25">
      <c r="A445" s="14"/>
      <c r="B445" s="24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39"/>
      <c r="AB445" s="39"/>
      <c r="AC445" s="39"/>
      <c r="AD445" s="39"/>
      <c r="AE445" s="39"/>
      <c r="AF445" s="17"/>
      <c r="AG445" s="17"/>
      <c r="AH445" s="17"/>
      <c r="AI445" s="17"/>
      <c r="AJ445" s="17"/>
      <c r="AK445" s="20"/>
    </row>
    <row r="446" spans="1:37" ht="15.75" customHeight="1" x14ac:dyDescent="0.25">
      <c r="A446" s="14"/>
      <c r="B446" s="24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39"/>
      <c r="AB446" s="39"/>
      <c r="AC446" s="39"/>
      <c r="AD446" s="39"/>
      <c r="AE446" s="39"/>
      <c r="AF446" s="17"/>
      <c r="AG446" s="17"/>
      <c r="AH446" s="17"/>
      <c r="AI446" s="17"/>
      <c r="AJ446" s="17"/>
      <c r="AK446" s="20"/>
    </row>
    <row r="447" spans="1:37" ht="15.75" customHeight="1" x14ac:dyDescent="0.25">
      <c r="A447" s="14"/>
      <c r="B447" s="24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39"/>
      <c r="AB447" s="39"/>
      <c r="AC447" s="39"/>
      <c r="AD447" s="39"/>
      <c r="AE447" s="39"/>
      <c r="AF447" s="17"/>
      <c r="AG447" s="17"/>
      <c r="AH447" s="17"/>
      <c r="AI447" s="17"/>
      <c r="AJ447" s="17"/>
      <c r="AK447" s="20"/>
    </row>
    <row r="448" spans="1:37" ht="15.75" customHeight="1" x14ac:dyDescent="0.25">
      <c r="A448" s="14"/>
      <c r="B448" s="24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39"/>
      <c r="AB448" s="39"/>
      <c r="AC448" s="39"/>
      <c r="AD448" s="39"/>
      <c r="AE448" s="39"/>
      <c r="AF448" s="17"/>
      <c r="AG448" s="17"/>
      <c r="AH448" s="17"/>
      <c r="AI448" s="17"/>
      <c r="AJ448" s="17"/>
      <c r="AK448" s="20"/>
    </row>
    <row r="449" spans="1:37" ht="15.75" customHeight="1" x14ac:dyDescent="0.25">
      <c r="A449" s="14"/>
      <c r="B449" s="24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39"/>
      <c r="AB449" s="39"/>
      <c r="AC449" s="39"/>
      <c r="AD449" s="39"/>
      <c r="AE449" s="39"/>
      <c r="AF449" s="17"/>
      <c r="AG449" s="17"/>
      <c r="AH449" s="17"/>
      <c r="AI449" s="17"/>
      <c r="AJ449" s="17"/>
      <c r="AK449" s="20"/>
    </row>
    <row r="450" spans="1:37" ht="15.75" customHeight="1" x14ac:dyDescent="0.25">
      <c r="A450" s="14"/>
      <c r="B450" s="24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39"/>
      <c r="AB450" s="39"/>
      <c r="AC450" s="39"/>
      <c r="AD450" s="39"/>
      <c r="AE450" s="39"/>
      <c r="AF450" s="17"/>
      <c r="AG450" s="17"/>
      <c r="AH450" s="17"/>
      <c r="AI450" s="17"/>
      <c r="AJ450" s="17"/>
      <c r="AK450" s="20"/>
    </row>
    <row r="451" spans="1:37" ht="15.75" customHeight="1" x14ac:dyDescent="0.25">
      <c r="A451" s="14"/>
      <c r="B451" s="24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39"/>
      <c r="AB451" s="39"/>
      <c r="AC451" s="39"/>
      <c r="AD451" s="39"/>
      <c r="AE451" s="39"/>
      <c r="AF451" s="17"/>
      <c r="AG451" s="17"/>
      <c r="AH451" s="17"/>
      <c r="AI451" s="17"/>
      <c r="AJ451" s="17"/>
      <c r="AK451" s="20"/>
    </row>
    <row r="452" spans="1:37" ht="15.75" customHeight="1" x14ac:dyDescent="0.25">
      <c r="A452" s="14"/>
      <c r="B452" s="24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39"/>
      <c r="AB452" s="39"/>
      <c r="AC452" s="39"/>
      <c r="AD452" s="39"/>
      <c r="AE452" s="39"/>
      <c r="AF452" s="17"/>
      <c r="AG452" s="17"/>
      <c r="AH452" s="17"/>
      <c r="AI452" s="17"/>
      <c r="AJ452" s="17"/>
      <c r="AK452" s="20"/>
    </row>
    <row r="453" spans="1:37" ht="15.75" customHeight="1" x14ac:dyDescent="0.25">
      <c r="A453" s="14"/>
      <c r="B453" s="24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39"/>
      <c r="AB453" s="39"/>
      <c r="AC453" s="39"/>
      <c r="AD453" s="39"/>
      <c r="AE453" s="39"/>
      <c r="AF453" s="17"/>
      <c r="AG453" s="17"/>
      <c r="AH453" s="17"/>
      <c r="AI453" s="17"/>
      <c r="AJ453" s="17"/>
      <c r="AK453" s="20"/>
    </row>
    <row r="454" spans="1:37" ht="15.75" customHeight="1" x14ac:dyDescent="0.25">
      <c r="A454" s="14"/>
      <c r="B454" s="24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39"/>
      <c r="AB454" s="39"/>
      <c r="AC454" s="39"/>
      <c r="AD454" s="39"/>
      <c r="AE454" s="39"/>
      <c r="AF454" s="17"/>
      <c r="AG454" s="17"/>
      <c r="AH454" s="17"/>
      <c r="AI454" s="17"/>
      <c r="AJ454" s="17"/>
      <c r="AK454" s="20"/>
    </row>
    <row r="455" spans="1:37" ht="15.75" customHeight="1" x14ac:dyDescent="0.25">
      <c r="A455" s="14"/>
      <c r="B455" s="24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39"/>
      <c r="AB455" s="39"/>
      <c r="AC455" s="39"/>
      <c r="AD455" s="39"/>
      <c r="AE455" s="39"/>
      <c r="AF455" s="17"/>
      <c r="AG455" s="17"/>
      <c r="AH455" s="17"/>
      <c r="AI455" s="17"/>
      <c r="AJ455" s="17"/>
      <c r="AK455" s="20"/>
    </row>
    <row r="456" spans="1:37" ht="15.75" customHeight="1" x14ac:dyDescent="0.25">
      <c r="A456" s="14"/>
      <c r="B456" s="24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39"/>
      <c r="AB456" s="39"/>
      <c r="AC456" s="39"/>
      <c r="AD456" s="39"/>
      <c r="AE456" s="39"/>
      <c r="AF456" s="17"/>
      <c r="AG456" s="17"/>
      <c r="AH456" s="17"/>
      <c r="AI456" s="17"/>
      <c r="AJ456" s="17"/>
      <c r="AK456" s="20"/>
    </row>
    <row r="457" spans="1:37" ht="15.75" customHeight="1" x14ac:dyDescent="0.25">
      <c r="A457" s="14"/>
      <c r="B457" s="24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39"/>
      <c r="AB457" s="39"/>
      <c r="AC457" s="39"/>
      <c r="AD457" s="39"/>
      <c r="AE457" s="39"/>
      <c r="AF457" s="17"/>
      <c r="AG457" s="17"/>
      <c r="AH457" s="17"/>
      <c r="AI457" s="17"/>
      <c r="AJ457" s="17"/>
      <c r="AK457" s="20"/>
    </row>
    <row r="458" spans="1:37" ht="15.75" customHeight="1" x14ac:dyDescent="0.25">
      <c r="A458" s="14"/>
      <c r="B458" s="24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39"/>
      <c r="AB458" s="39"/>
      <c r="AC458" s="39"/>
      <c r="AD458" s="39"/>
      <c r="AE458" s="39"/>
      <c r="AF458" s="17"/>
      <c r="AG458" s="17"/>
      <c r="AH458" s="17"/>
      <c r="AI458" s="17"/>
      <c r="AJ458" s="17"/>
      <c r="AK458" s="20"/>
    </row>
    <row r="459" spans="1:37" ht="15.75" customHeight="1" x14ac:dyDescent="0.25">
      <c r="A459" s="14"/>
      <c r="B459" s="24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39"/>
      <c r="AB459" s="39"/>
      <c r="AC459" s="39"/>
      <c r="AD459" s="39"/>
      <c r="AE459" s="39"/>
      <c r="AF459" s="17"/>
      <c r="AG459" s="17"/>
      <c r="AH459" s="17"/>
      <c r="AI459" s="17"/>
      <c r="AJ459" s="17"/>
      <c r="AK459" s="20"/>
    </row>
    <row r="460" spans="1:37" ht="15.75" customHeight="1" x14ac:dyDescent="0.25">
      <c r="A460" s="14"/>
      <c r="B460" s="24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39"/>
      <c r="AB460" s="39"/>
      <c r="AC460" s="39"/>
      <c r="AD460" s="39"/>
      <c r="AE460" s="39"/>
      <c r="AF460" s="17"/>
      <c r="AG460" s="17"/>
      <c r="AH460" s="17"/>
      <c r="AI460" s="17"/>
      <c r="AJ460" s="17"/>
      <c r="AK460" s="20"/>
    </row>
    <row r="461" spans="1:37" ht="15.75" customHeight="1" x14ac:dyDescent="0.25">
      <c r="A461" s="14"/>
      <c r="B461" s="24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39"/>
      <c r="AB461" s="39"/>
      <c r="AC461" s="39"/>
      <c r="AD461" s="39"/>
      <c r="AE461" s="39"/>
      <c r="AF461" s="17"/>
      <c r="AG461" s="17"/>
      <c r="AH461" s="17"/>
      <c r="AI461" s="17"/>
      <c r="AJ461" s="17"/>
      <c r="AK461" s="20"/>
    </row>
    <row r="462" spans="1:37" ht="15.75" customHeight="1" x14ac:dyDescent="0.25">
      <c r="A462" s="14"/>
      <c r="B462" s="24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39"/>
      <c r="AB462" s="39"/>
      <c r="AC462" s="39"/>
      <c r="AD462" s="39"/>
      <c r="AE462" s="39"/>
      <c r="AF462" s="17"/>
      <c r="AG462" s="17"/>
      <c r="AH462" s="17"/>
      <c r="AI462" s="17"/>
      <c r="AJ462" s="17"/>
      <c r="AK462" s="20"/>
    </row>
    <row r="463" spans="1:37" ht="15.75" customHeight="1" x14ac:dyDescent="0.25">
      <c r="A463" s="14"/>
      <c r="B463" s="24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39"/>
      <c r="AB463" s="39"/>
      <c r="AC463" s="39"/>
      <c r="AD463" s="39"/>
      <c r="AE463" s="39"/>
      <c r="AF463" s="17"/>
      <c r="AG463" s="17"/>
      <c r="AH463" s="17"/>
      <c r="AI463" s="17"/>
      <c r="AJ463" s="17"/>
      <c r="AK463" s="20"/>
    </row>
    <row r="464" spans="1:37" ht="15.75" customHeight="1" x14ac:dyDescent="0.25">
      <c r="A464" s="14"/>
      <c r="B464" s="24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39"/>
      <c r="AB464" s="39"/>
      <c r="AC464" s="39"/>
      <c r="AD464" s="39"/>
      <c r="AE464" s="39"/>
      <c r="AF464" s="17"/>
      <c r="AG464" s="17"/>
      <c r="AH464" s="17"/>
      <c r="AI464" s="17"/>
      <c r="AJ464" s="17"/>
      <c r="AK464" s="20"/>
    </row>
    <row r="465" spans="1:37" ht="15.75" customHeight="1" x14ac:dyDescent="0.25">
      <c r="A465" s="14"/>
      <c r="B465" s="24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39"/>
      <c r="AB465" s="39"/>
      <c r="AC465" s="39"/>
      <c r="AD465" s="39"/>
      <c r="AE465" s="39"/>
      <c r="AF465" s="17"/>
      <c r="AG465" s="17"/>
      <c r="AH465" s="17"/>
      <c r="AI465" s="17"/>
      <c r="AJ465" s="17"/>
      <c r="AK465" s="20"/>
    </row>
    <row r="466" spans="1:37" ht="15.75" customHeight="1" x14ac:dyDescent="0.25">
      <c r="A466" s="14"/>
      <c r="B466" s="24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39"/>
      <c r="AB466" s="39"/>
      <c r="AC466" s="39"/>
      <c r="AD466" s="39"/>
      <c r="AE466" s="39"/>
      <c r="AF466" s="17"/>
      <c r="AG466" s="17"/>
      <c r="AH466" s="17"/>
      <c r="AI466" s="17"/>
      <c r="AJ466" s="17"/>
      <c r="AK466" s="20"/>
    </row>
    <row r="467" spans="1:37" ht="15.75" customHeight="1" x14ac:dyDescent="0.25">
      <c r="A467" s="14"/>
      <c r="B467" s="24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39"/>
      <c r="AB467" s="39"/>
      <c r="AC467" s="39"/>
      <c r="AD467" s="39"/>
      <c r="AE467" s="39"/>
      <c r="AF467" s="17"/>
      <c r="AG467" s="17"/>
      <c r="AH467" s="17"/>
      <c r="AI467" s="17"/>
      <c r="AJ467" s="17"/>
      <c r="AK467" s="20"/>
    </row>
    <row r="468" spans="1:37" ht="15.75" customHeight="1" x14ac:dyDescent="0.25">
      <c r="A468" s="14"/>
      <c r="B468" s="24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39"/>
      <c r="AB468" s="39"/>
      <c r="AC468" s="39"/>
      <c r="AD468" s="39"/>
      <c r="AE468" s="39"/>
      <c r="AF468" s="17"/>
      <c r="AG468" s="17"/>
      <c r="AH468" s="17"/>
      <c r="AI468" s="17"/>
      <c r="AJ468" s="17"/>
      <c r="AK468" s="20"/>
    </row>
    <row r="469" spans="1:37" ht="15.75" customHeight="1" x14ac:dyDescent="0.25">
      <c r="A469" s="14"/>
      <c r="B469" s="24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39"/>
      <c r="AB469" s="39"/>
      <c r="AC469" s="39"/>
      <c r="AD469" s="39"/>
      <c r="AE469" s="39"/>
      <c r="AF469" s="17"/>
      <c r="AG469" s="17"/>
      <c r="AH469" s="17"/>
      <c r="AI469" s="17"/>
      <c r="AJ469" s="17"/>
      <c r="AK469" s="20"/>
    </row>
    <row r="470" spans="1:37" ht="15.75" customHeight="1" x14ac:dyDescent="0.25">
      <c r="A470" s="14"/>
      <c r="B470" s="24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39"/>
      <c r="AB470" s="39"/>
      <c r="AC470" s="39"/>
      <c r="AD470" s="39"/>
      <c r="AE470" s="39"/>
      <c r="AF470" s="17"/>
      <c r="AG470" s="17"/>
      <c r="AH470" s="17"/>
      <c r="AI470" s="17"/>
      <c r="AJ470" s="17"/>
      <c r="AK470" s="20"/>
    </row>
    <row r="471" spans="1:37" ht="15.75" customHeight="1" x14ac:dyDescent="0.25">
      <c r="A471" s="14"/>
      <c r="B471" s="24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39"/>
      <c r="AB471" s="39"/>
      <c r="AC471" s="39"/>
      <c r="AD471" s="39"/>
      <c r="AE471" s="39"/>
      <c r="AF471" s="17"/>
      <c r="AG471" s="17"/>
      <c r="AH471" s="17"/>
      <c r="AI471" s="17"/>
      <c r="AJ471" s="17"/>
      <c r="AK471" s="20"/>
    </row>
    <row r="472" spans="1:37" ht="15.75" customHeight="1" x14ac:dyDescent="0.25">
      <c r="A472" s="14"/>
      <c r="B472" s="24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39"/>
      <c r="AB472" s="39"/>
      <c r="AC472" s="39"/>
      <c r="AD472" s="39"/>
      <c r="AE472" s="39"/>
      <c r="AF472" s="17"/>
      <c r="AG472" s="17"/>
      <c r="AH472" s="17"/>
      <c r="AI472" s="17"/>
      <c r="AJ472" s="17"/>
      <c r="AK472" s="20"/>
    </row>
    <row r="473" spans="1:37" ht="15.75" customHeight="1" x14ac:dyDescent="0.25">
      <c r="A473" s="14"/>
      <c r="B473" s="24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39"/>
      <c r="AB473" s="39"/>
      <c r="AC473" s="39"/>
      <c r="AD473" s="39"/>
      <c r="AE473" s="39"/>
      <c r="AF473" s="17"/>
      <c r="AG473" s="17"/>
      <c r="AH473" s="17"/>
      <c r="AI473" s="17"/>
      <c r="AJ473" s="17"/>
      <c r="AK473" s="20"/>
    </row>
    <row r="474" spans="1:37" ht="15.75" customHeight="1" x14ac:dyDescent="0.25">
      <c r="A474" s="14"/>
      <c r="B474" s="24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39"/>
      <c r="AB474" s="39"/>
      <c r="AC474" s="39"/>
      <c r="AD474" s="39"/>
      <c r="AE474" s="39"/>
      <c r="AF474" s="17"/>
      <c r="AG474" s="17"/>
      <c r="AH474" s="17"/>
      <c r="AI474" s="17"/>
      <c r="AJ474" s="17"/>
      <c r="AK474" s="20"/>
    </row>
    <row r="475" spans="1:37" ht="15.75" customHeight="1" x14ac:dyDescent="0.25">
      <c r="A475" s="14"/>
      <c r="B475" s="24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39"/>
      <c r="AB475" s="39"/>
      <c r="AC475" s="39"/>
      <c r="AD475" s="39"/>
      <c r="AE475" s="39"/>
      <c r="AF475" s="17"/>
      <c r="AG475" s="17"/>
      <c r="AH475" s="17"/>
      <c r="AI475" s="17"/>
      <c r="AJ475" s="17"/>
      <c r="AK475" s="20"/>
    </row>
    <row r="476" spans="1:37" ht="15.75" customHeight="1" x14ac:dyDescent="0.25">
      <c r="A476" s="14"/>
      <c r="B476" s="24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39"/>
      <c r="AB476" s="39"/>
      <c r="AC476" s="39"/>
      <c r="AD476" s="39"/>
      <c r="AE476" s="39"/>
      <c r="AF476" s="17"/>
      <c r="AG476" s="17"/>
      <c r="AH476" s="17"/>
      <c r="AI476" s="17"/>
      <c r="AJ476" s="17"/>
      <c r="AK476" s="20"/>
    </row>
    <row r="477" spans="1:37" ht="15.75" customHeight="1" x14ac:dyDescent="0.25">
      <c r="A477" s="14"/>
      <c r="B477" s="24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39"/>
      <c r="AB477" s="39"/>
      <c r="AC477" s="39"/>
      <c r="AD477" s="39"/>
      <c r="AE477" s="39"/>
      <c r="AF477" s="17"/>
      <c r="AG477" s="17"/>
      <c r="AH477" s="17"/>
      <c r="AI477" s="17"/>
      <c r="AJ477" s="17"/>
      <c r="AK477" s="20"/>
    </row>
    <row r="478" spans="1:37" ht="15.75" customHeight="1" x14ac:dyDescent="0.25">
      <c r="A478" s="14"/>
      <c r="B478" s="24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39"/>
      <c r="AB478" s="39"/>
      <c r="AC478" s="39"/>
      <c r="AD478" s="39"/>
      <c r="AE478" s="39"/>
      <c r="AF478" s="17"/>
      <c r="AG478" s="17"/>
      <c r="AH478" s="17"/>
      <c r="AI478" s="17"/>
      <c r="AJ478" s="17"/>
      <c r="AK478" s="20"/>
    </row>
    <row r="479" spans="1:37" ht="15.75" customHeight="1" x14ac:dyDescent="0.25">
      <c r="A479" s="14"/>
      <c r="B479" s="24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39"/>
      <c r="AB479" s="39"/>
      <c r="AC479" s="39"/>
      <c r="AD479" s="39"/>
      <c r="AE479" s="39"/>
      <c r="AF479" s="17"/>
      <c r="AG479" s="17"/>
      <c r="AH479" s="17"/>
      <c r="AI479" s="17"/>
      <c r="AJ479" s="17"/>
      <c r="AK479" s="20"/>
    </row>
    <row r="480" spans="1:37" ht="15.75" customHeight="1" x14ac:dyDescent="0.25">
      <c r="A480" s="14"/>
      <c r="B480" s="24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39"/>
      <c r="AB480" s="39"/>
      <c r="AC480" s="39"/>
      <c r="AD480" s="39"/>
      <c r="AE480" s="39"/>
      <c r="AF480" s="17"/>
      <c r="AG480" s="17"/>
      <c r="AH480" s="17"/>
      <c r="AI480" s="17"/>
      <c r="AJ480" s="17"/>
      <c r="AK480" s="20"/>
    </row>
    <row r="481" spans="1:37" ht="15.75" customHeight="1" x14ac:dyDescent="0.25">
      <c r="A481" s="14"/>
      <c r="B481" s="24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39"/>
      <c r="AB481" s="39"/>
      <c r="AC481" s="39"/>
      <c r="AD481" s="39"/>
      <c r="AE481" s="39"/>
      <c r="AF481" s="17"/>
      <c r="AG481" s="17"/>
      <c r="AH481" s="17"/>
      <c r="AI481" s="17"/>
      <c r="AJ481" s="17"/>
      <c r="AK481" s="20"/>
    </row>
    <row r="482" spans="1:37" ht="15.75" customHeight="1" x14ac:dyDescent="0.25">
      <c r="A482" s="14"/>
      <c r="B482" s="24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39"/>
      <c r="AB482" s="39"/>
      <c r="AC482" s="39"/>
      <c r="AD482" s="39"/>
      <c r="AE482" s="39"/>
      <c r="AF482" s="17"/>
      <c r="AG482" s="17"/>
      <c r="AH482" s="17"/>
      <c r="AI482" s="17"/>
      <c r="AJ482" s="17"/>
      <c r="AK482" s="20"/>
    </row>
    <row r="483" spans="1:37" ht="15.75" customHeight="1" x14ac:dyDescent="0.25">
      <c r="A483" s="14"/>
      <c r="B483" s="24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39"/>
      <c r="AB483" s="39"/>
      <c r="AC483" s="39"/>
      <c r="AD483" s="39"/>
      <c r="AE483" s="39"/>
      <c r="AF483" s="17"/>
      <c r="AG483" s="17"/>
      <c r="AH483" s="17"/>
      <c r="AI483" s="17"/>
      <c r="AJ483" s="17"/>
      <c r="AK483" s="20"/>
    </row>
    <row r="484" spans="1:37" ht="15.75" customHeight="1" x14ac:dyDescent="0.25">
      <c r="A484" s="14"/>
      <c r="B484" s="24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39"/>
      <c r="AB484" s="39"/>
      <c r="AC484" s="39"/>
      <c r="AD484" s="39"/>
      <c r="AE484" s="39"/>
      <c r="AF484" s="17"/>
      <c r="AG484" s="17"/>
      <c r="AH484" s="17"/>
      <c r="AI484" s="17"/>
      <c r="AJ484" s="17"/>
      <c r="AK484" s="20"/>
    </row>
    <row r="485" spans="1:37" ht="15.75" customHeight="1" x14ac:dyDescent="0.25">
      <c r="A485" s="14"/>
      <c r="B485" s="24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39"/>
      <c r="AB485" s="39"/>
      <c r="AC485" s="39"/>
      <c r="AD485" s="39"/>
      <c r="AE485" s="39"/>
      <c r="AF485" s="17"/>
      <c r="AG485" s="17"/>
      <c r="AH485" s="17"/>
      <c r="AI485" s="17"/>
      <c r="AJ485" s="17"/>
      <c r="AK485" s="20"/>
    </row>
    <row r="486" spans="1:37" ht="15.75" customHeight="1" x14ac:dyDescent="0.25">
      <c r="A486" s="14"/>
      <c r="B486" s="24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39"/>
      <c r="AB486" s="39"/>
      <c r="AC486" s="39"/>
      <c r="AD486" s="39"/>
      <c r="AE486" s="39"/>
      <c r="AF486" s="17"/>
      <c r="AG486" s="17"/>
      <c r="AH486" s="17"/>
      <c r="AI486" s="17"/>
      <c r="AJ486" s="17"/>
      <c r="AK486" s="20"/>
    </row>
    <row r="487" spans="1:37" ht="15.75" customHeight="1" x14ac:dyDescent="0.25">
      <c r="A487" s="14"/>
      <c r="B487" s="24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39"/>
      <c r="AB487" s="39"/>
      <c r="AC487" s="39"/>
      <c r="AD487" s="39"/>
      <c r="AE487" s="39"/>
      <c r="AF487" s="17"/>
      <c r="AG487" s="17"/>
      <c r="AH487" s="17"/>
      <c r="AI487" s="17"/>
      <c r="AJ487" s="17"/>
      <c r="AK487" s="20"/>
    </row>
    <row r="488" spans="1:37" ht="15.75" customHeight="1" x14ac:dyDescent="0.25">
      <c r="A488" s="14"/>
      <c r="B488" s="24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39"/>
      <c r="AB488" s="39"/>
      <c r="AC488" s="39"/>
      <c r="AD488" s="39"/>
      <c r="AE488" s="39"/>
      <c r="AF488" s="17"/>
      <c r="AG488" s="17"/>
      <c r="AH488" s="17"/>
      <c r="AI488" s="17"/>
      <c r="AJ488" s="17"/>
      <c r="AK488" s="20"/>
    </row>
    <row r="489" spans="1:37" ht="15.75" customHeight="1" x14ac:dyDescent="0.25">
      <c r="A489" s="14"/>
      <c r="B489" s="24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39"/>
      <c r="AB489" s="39"/>
      <c r="AC489" s="39"/>
      <c r="AD489" s="39"/>
      <c r="AE489" s="39"/>
      <c r="AF489" s="17"/>
      <c r="AG489" s="17"/>
      <c r="AH489" s="17"/>
      <c r="AI489" s="17"/>
      <c r="AJ489" s="17"/>
      <c r="AK489" s="20"/>
    </row>
    <row r="490" spans="1:37" ht="15.75" customHeight="1" x14ac:dyDescent="0.25">
      <c r="A490" s="14"/>
      <c r="B490" s="24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39"/>
      <c r="AB490" s="39"/>
      <c r="AC490" s="39"/>
      <c r="AD490" s="39"/>
      <c r="AE490" s="39"/>
      <c r="AF490" s="17"/>
      <c r="AG490" s="17"/>
      <c r="AH490" s="17"/>
      <c r="AI490" s="17"/>
      <c r="AJ490" s="17"/>
      <c r="AK490" s="20"/>
    </row>
    <row r="491" spans="1:37" ht="15.75" customHeight="1" x14ac:dyDescent="0.25">
      <c r="A491" s="14"/>
      <c r="B491" s="24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39"/>
      <c r="AB491" s="39"/>
      <c r="AC491" s="39"/>
      <c r="AD491" s="39"/>
      <c r="AE491" s="39"/>
      <c r="AF491" s="17"/>
      <c r="AG491" s="17"/>
      <c r="AH491" s="17"/>
      <c r="AI491" s="17"/>
      <c r="AJ491" s="17"/>
      <c r="AK491" s="20"/>
    </row>
    <row r="492" spans="1:37" ht="15.75" customHeight="1" x14ac:dyDescent="0.25">
      <c r="A492" s="14"/>
      <c r="B492" s="24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39"/>
      <c r="AB492" s="39"/>
      <c r="AC492" s="39"/>
      <c r="AD492" s="39"/>
      <c r="AE492" s="39"/>
      <c r="AF492" s="17"/>
      <c r="AG492" s="17"/>
      <c r="AH492" s="17"/>
      <c r="AI492" s="17"/>
      <c r="AJ492" s="17"/>
      <c r="AK492" s="20"/>
    </row>
    <row r="493" spans="1:37" ht="15.75" customHeight="1" x14ac:dyDescent="0.25">
      <c r="A493" s="14"/>
      <c r="B493" s="24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39"/>
      <c r="AB493" s="39"/>
      <c r="AC493" s="39"/>
      <c r="AD493" s="39"/>
      <c r="AE493" s="39"/>
      <c r="AF493" s="17"/>
      <c r="AG493" s="17"/>
      <c r="AH493" s="17"/>
      <c r="AI493" s="17"/>
      <c r="AJ493" s="17"/>
      <c r="AK493" s="20"/>
    </row>
    <row r="494" spans="1:37" ht="15.75" customHeight="1" x14ac:dyDescent="0.25">
      <c r="A494" s="14"/>
      <c r="B494" s="24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39"/>
      <c r="AB494" s="39"/>
      <c r="AC494" s="39"/>
      <c r="AD494" s="39"/>
      <c r="AE494" s="39"/>
      <c r="AF494" s="17"/>
      <c r="AG494" s="17"/>
      <c r="AH494" s="17"/>
      <c r="AI494" s="17"/>
      <c r="AJ494" s="17"/>
      <c r="AK494" s="20"/>
    </row>
    <row r="495" spans="1:37" ht="15.75" customHeight="1" x14ac:dyDescent="0.25">
      <c r="A495" s="14"/>
      <c r="B495" s="24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39"/>
      <c r="AB495" s="39"/>
      <c r="AC495" s="39"/>
      <c r="AD495" s="39"/>
      <c r="AE495" s="39"/>
      <c r="AF495" s="17"/>
      <c r="AG495" s="17"/>
      <c r="AH495" s="17"/>
      <c r="AI495" s="17"/>
      <c r="AJ495" s="17"/>
      <c r="AK495" s="20"/>
    </row>
    <row r="496" spans="1:37" ht="15.75" customHeight="1" x14ac:dyDescent="0.25">
      <c r="A496" s="14"/>
      <c r="B496" s="24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39"/>
      <c r="AB496" s="39"/>
      <c r="AC496" s="39"/>
      <c r="AD496" s="39"/>
      <c r="AE496" s="39"/>
      <c r="AF496" s="17"/>
      <c r="AG496" s="17"/>
      <c r="AH496" s="17"/>
      <c r="AI496" s="17"/>
      <c r="AJ496" s="17"/>
      <c r="AK496" s="20"/>
    </row>
    <row r="497" spans="1:37" ht="15.75" customHeight="1" x14ac:dyDescent="0.25">
      <c r="A497" s="14"/>
      <c r="B497" s="24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39"/>
      <c r="AB497" s="39"/>
      <c r="AC497" s="39"/>
      <c r="AD497" s="39"/>
      <c r="AE497" s="39"/>
      <c r="AF497" s="17"/>
      <c r="AG497" s="17"/>
      <c r="AH497" s="17"/>
      <c r="AI497" s="17"/>
      <c r="AJ497" s="17"/>
      <c r="AK497" s="20"/>
    </row>
    <row r="498" spans="1:37" ht="15.75" customHeight="1" x14ac:dyDescent="0.25">
      <c r="A498" s="14"/>
      <c r="B498" s="24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39"/>
      <c r="AB498" s="39"/>
      <c r="AC498" s="39"/>
      <c r="AD498" s="39"/>
      <c r="AE498" s="39"/>
      <c r="AF498" s="17"/>
      <c r="AG498" s="17"/>
      <c r="AH498" s="17"/>
      <c r="AI498" s="17"/>
      <c r="AJ498" s="17"/>
      <c r="AK498" s="20"/>
    </row>
    <row r="499" spans="1:37" ht="15.75" customHeight="1" x14ac:dyDescent="0.25">
      <c r="A499" s="14"/>
      <c r="B499" s="24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39"/>
      <c r="AB499" s="39"/>
      <c r="AC499" s="39"/>
      <c r="AD499" s="39"/>
      <c r="AE499" s="39"/>
      <c r="AF499" s="17"/>
      <c r="AG499" s="17"/>
      <c r="AH499" s="17"/>
      <c r="AI499" s="17"/>
      <c r="AJ499" s="17"/>
      <c r="AK499" s="20"/>
    </row>
    <row r="500" spans="1:37" ht="15.75" customHeight="1" x14ac:dyDescent="0.25">
      <c r="A500" s="14"/>
      <c r="B500" s="24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39"/>
      <c r="AB500" s="39"/>
      <c r="AC500" s="39"/>
      <c r="AD500" s="39"/>
      <c r="AE500" s="39"/>
      <c r="AF500" s="17"/>
      <c r="AG500" s="17"/>
      <c r="AH500" s="17"/>
      <c r="AI500" s="17"/>
      <c r="AJ500" s="17"/>
      <c r="AK500" s="20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37"/>
  <sheetViews>
    <sheetView showGridLines="0" tabSelected="1" zoomScaleNormal="100" workbookViewId="0">
      <pane ySplit="3" topLeftCell="A4" activePane="bottomLeft" state="frozen"/>
      <selection pane="bottomLeft" activeCell="F4" sqref="F4:F19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49" t="s">
        <v>147</v>
      </c>
      <c r="B1" s="49"/>
      <c r="C1" s="49"/>
      <c r="D1" s="49"/>
      <c r="E1" s="49"/>
      <c r="F1" s="49"/>
      <c r="G1" s="49"/>
    </row>
    <row r="2" spans="1:7" ht="15.75" customHeight="1" x14ac:dyDescent="0.25">
      <c r="A2" s="59" t="s">
        <v>148</v>
      </c>
      <c r="B2" s="59"/>
      <c r="C2" s="59"/>
      <c r="D2" s="59"/>
      <c r="E2" s="59"/>
      <c r="F2" s="59"/>
      <c r="G2" s="59"/>
    </row>
    <row r="3" spans="1:7" ht="30" customHeight="1" x14ac:dyDescent="0.25">
      <c r="A3" s="5" t="s">
        <v>149</v>
      </c>
      <c r="B3" s="5" t="s">
        <v>150</v>
      </c>
      <c r="C3" s="5" t="s">
        <v>69</v>
      </c>
      <c r="D3" s="5" t="s">
        <v>151</v>
      </c>
      <c r="E3" s="5" t="s">
        <v>152</v>
      </c>
      <c r="F3" s="5" t="s">
        <v>153</v>
      </c>
      <c r="G3" s="5" t="s">
        <v>154</v>
      </c>
    </row>
    <row r="4" spans="1:7" ht="15.75" customHeight="1" x14ac:dyDescent="0.25">
      <c r="A4" t="s">
        <v>176</v>
      </c>
      <c r="B4">
        <v>2219061</v>
      </c>
      <c r="C4">
        <v>3400000</v>
      </c>
      <c r="D4" s="14"/>
      <c r="E4" s="61">
        <v>46127</v>
      </c>
      <c r="F4" s="41">
        <f>+E4+2</f>
        <v>46129</v>
      </c>
      <c r="G4" s="16"/>
    </row>
    <row r="5" spans="1:7" ht="15.75" customHeight="1" x14ac:dyDescent="0.25">
      <c r="A5" t="s">
        <v>181</v>
      </c>
      <c r="B5">
        <v>13111470</v>
      </c>
      <c r="C5">
        <v>3224950</v>
      </c>
      <c r="D5" s="14"/>
      <c r="E5" s="61">
        <v>46132</v>
      </c>
      <c r="F5" s="41">
        <f t="shared" ref="F5:F68" si="0">+E5+2</f>
        <v>46134</v>
      </c>
      <c r="G5" s="16"/>
    </row>
    <row r="6" spans="1:7" ht="15.75" customHeight="1" x14ac:dyDescent="0.25">
      <c r="A6" t="s">
        <v>186</v>
      </c>
      <c r="B6">
        <v>13377997</v>
      </c>
      <c r="C6">
        <v>3100000</v>
      </c>
      <c r="D6" s="14"/>
      <c r="E6" s="61">
        <v>46147</v>
      </c>
      <c r="F6" s="41">
        <f t="shared" si="0"/>
        <v>46149</v>
      </c>
      <c r="G6" s="16"/>
    </row>
    <row r="7" spans="1:7" ht="15.75" customHeight="1" x14ac:dyDescent="0.25">
      <c r="A7" t="s">
        <v>181</v>
      </c>
      <c r="B7">
        <v>12924495</v>
      </c>
      <c r="C7">
        <v>4981600</v>
      </c>
      <c r="D7" s="14"/>
      <c r="E7" s="61">
        <v>46147</v>
      </c>
      <c r="F7" s="41">
        <f t="shared" si="0"/>
        <v>46149</v>
      </c>
      <c r="G7" s="16"/>
    </row>
    <row r="8" spans="1:7" ht="15.75" customHeight="1" x14ac:dyDescent="0.25">
      <c r="A8" t="s">
        <v>192</v>
      </c>
      <c r="B8">
        <v>78055845</v>
      </c>
      <c r="C8">
        <v>600000</v>
      </c>
      <c r="D8" s="14"/>
      <c r="E8" s="61">
        <v>46147</v>
      </c>
      <c r="F8" s="41">
        <f t="shared" si="0"/>
        <v>46149</v>
      </c>
      <c r="G8" s="16"/>
    </row>
    <row r="9" spans="1:7" ht="15.75" customHeight="1" x14ac:dyDescent="0.25">
      <c r="A9" t="s">
        <v>196</v>
      </c>
      <c r="B9">
        <v>66003981</v>
      </c>
      <c r="C9">
        <v>4000000</v>
      </c>
      <c r="D9" s="14"/>
      <c r="E9" s="61">
        <v>46147</v>
      </c>
      <c r="F9" s="41">
        <f t="shared" si="0"/>
        <v>46149</v>
      </c>
      <c r="G9" s="16"/>
    </row>
    <row r="10" spans="1:7" ht="15.75" customHeight="1" x14ac:dyDescent="0.25">
      <c r="A10" t="s">
        <v>192</v>
      </c>
      <c r="B10">
        <v>78055854</v>
      </c>
      <c r="C10">
        <v>1235000</v>
      </c>
      <c r="D10" s="14"/>
      <c r="E10" s="61">
        <v>46147</v>
      </c>
      <c r="F10" s="41">
        <f t="shared" si="0"/>
        <v>46149</v>
      </c>
      <c r="G10" s="16"/>
    </row>
    <row r="11" spans="1:7" ht="15.75" customHeight="1" x14ac:dyDescent="0.25">
      <c r="A11" t="s">
        <v>192</v>
      </c>
      <c r="B11">
        <v>78055860</v>
      </c>
      <c r="C11">
        <v>1325000</v>
      </c>
      <c r="D11" s="14"/>
      <c r="E11" s="61">
        <v>46147</v>
      </c>
      <c r="F11" s="41">
        <f t="shared" si="0"/>
        <v>46149</v>
      </c>
      <c r="G11" s="16"/>
    </row>
    <row r="12" spans="1:7" ht="15.75" customHeight="1" x14ac:dyDescent="0.25">
      <c r="A12" t="s">
        <v>199</v>
      </c>
      <c r="B12">
        <v>9583069</v>
      </c>
      <c r="C12">
        <v>12938400</v>
      </c>
      <c r="D12" s="14"/>
      <c r="E12" s="61">
        <v>46147</v>
      </c>
      <c r="F12" s="41">
        <f t="shared" si="0"/>
        <v>46149</v>
      </c>
      <c r="G12" s="16"/>
    </row>
    <row r="13" spans="1:7" ht="15.75" customHeight="1" x14ac:dyDescent="0.25">
      <c r="A13" t="s">
        <v>201</v>
      </c>
      <c r="B13">
        <v>3940</v>
      </c>
      <c r="C13">
        <v>115144.56</v>
      </c>
      <c r="D13" s="14"/>
      <c r="E13" s="61">
        <v>46147</v>
      </c>
      <c r="F13" s="41">
        <f t="shared" si="0"/>
        <v>46149</v>
      </c>
      <c r="G13" s="16"/>
    </row>
    <row r="14" spans="1:7" ht="15.75" customHeight="1" x14ac:dyDescent="0.25">
      <c r="A14" t="s">
        <v>201</v>
      </c>
      <c r="B14">
        <v>10333097</v>
      </c>
      <c r="C14">
        <v>509557.57</v>
      </c>
      <c r="D14" s="14"/>
      <c r="E14" s="61">
        <v>46147</v>
      </c>
      <c r="F14" s="41">
        <f t="shared" si="0"/>
        <v>46149</v>
      </c>
      <c r="G14" s="16"/>
    </row>
    <row r="15" spans="1:7" ht="15.75" customHeight="1" x14ac:dyDescent="0.25">
      <c r="A15" t="s">
        <v>186</v>
      </c>
      <c r="B15">
        <v>13377998</v>
      </c>
      <c r="C15">
        <v>3100000</v>
      </c>
      <c r="D15" s="14"/>
      <c r="E15" s="61">
        <v>46148</v>
      </c>
      <c r="F15" s="41">
        <f t="shared" si="0"/>
        <v>46150</v>
      </c>
      <c r="G15" s="16"/>
    </row>
    <row r="16" spans="1:7" ht="15.75" customHeight="1" x14ac:dyDescent="0.25">
      <c r="A16" t="s">
        <v>186</v>
      </c>
      <c r="B16">
        <v>13378000</v>
      </c>
      <c r="C16">
        <v>3100000</v>
      </c>
      <c r="D16" s="14"/>
      <c r="E16" s="61">
        <v>46148</v>
      </c>
      <c r="F16" s="41">
        <f t="shared" si="0"/>
        <v>46150</v>
      </c>
      <c r="G16" s="16"/>
    </row>
    <row r="17" spans="1:7" ht="15.75" customHeight="1" x14ac:dyDescent="0.25">
      <c r="A17" t="s">
        <v>206</v>
      </c>
      <c r="B17">
        <v>1142</v>
      </c>
      <c r="C17">
        <v>24001062.5</v>
      </c>
      <c r="D17" s="14"/>
      <c r="E17" s="61">
        <v>46148</v>
      </c>
      <c r="F17" s="41">
        <f t="shared" si="0"/>
        <v>46150</v>
      </c>
      <c r="G17" s="16"/>
    </row>
    <row r="18" spans="1:7" ht="15.75" customHeight="1" x14ac:dyDescent="0.25">
      <c r="A18" t="s">
        <v>209</v>
      </c>
      <c r="B18">
        <v>4444</v>
      </c>
      <c r="C18">
        <v>1200000</v>
      </c>
      <c r="D18" s="14"/>
      <c r="E18" s="61">
        <v>46148</v>
      </c>
      <c r="F18" s="41">
        <f t="shared" si="0"/>
        <v>46150</v>
      </c>
      <c r="G18" s="16"/>
    </row>
    <row r="19" spans="1:7" ht="15.75" customHeight="1" x14ac:dyDescent="0.25">
      <c r="A19" t="s">
        <v>211</v>
      </c>
      <c r="B19">
        <v>4945</v>
      </c>
      <c r="C19">
        <v>1553004</v>
      </c>
      <c r="D19" s="14"/>
      <c r="E19" s="61">
        <v>46148</v>
      </c>
      <c r="F19" s="41">
        <f t="shared" si="0"/>
        <v>46150</v>
      </c>
      <c r="G19" s="16"/>
    </row>
    <row r="20" spans="1:7" ht="15.75" customHeight="1" x14ac:dyDescent="0.25">
      <c r="A20" t="s">
        <v>214</v>
      </c>
      <c r="B20">
        <v>90018009</v>
      </c>
      <c r="C20">
        <v>17271355</v>
      </c>
      <c r="D20" s="14"/>
      <c r="E20" s="61">
        <v>46148</v>
      </c>
      <c r="F20" s="41">
        <f t="shared" si="0"/>
        <v>46150</v>
      </c>
      <c r="G20" s="16"/>
    </row>
    <row r="21" spans="1:7" ht="15.75" customHeight="1" x14ac:dyDescent="0.25">
      <c r="A21" t="s">
        <v>201</v>
      </c>
      <c r="B21">
        <v>29065549</v>
      </c>
      <c r="C21">
        <v>3281631</v>
      </c>
      <c r="D21" s="14"/>
      <c r="E21" s="61">
        <v>46148</v>
      </c>
      <c r="F21" s="41">
        <f t="shared" si="0"/>
        <v>46150</v>
      </c>
      <c r="G21" s="16"/>
    </row>
    <row r="22" spans="1:7" ht="15.75" customHeight="1" x14ac:dyDescent="0.25">
      <c r="A22" t="s">
        <v>219</v>
      </c>
      <c r="B22">
        <v>29133198</v>
      </c>
      <c r="C22">
        <v>6539100</v>
      </c>
      <c r="D22" s="14"/>
      <c r="E22" s="61">
        <v>46148</v>
      </c>
      <c r="F22" s="41">
        <f t="shared" si="0"/>
        <v>46150</v>
      </c>
      <c r="G22" s="16"/>
    </row>
    <row r="23" spans="1:7" ht="15.75" customHeight="1" x14ac:dyDescent="0.25">
      <c r="A23" t="s">
        <v>186</v>
      </c>
      <c r="B23">
        <v>13377999</v>
      </c>
      <c r="C23">
        <v>3100000</v>
      </c>
      <c r="D23" s="14"/>
      <c r="E23" s="61">
        <v>46149</v>
      </c>
      <c r="F23" s="41">
        <f t="shared" si="0"/>
        <v>46151</v>
      </c>
      <c r="G23" s="16"/>
    </row>
    <row r="24" spans="1:7" ht="15.75" customHeight="1" x14ac:dyDescent="0.25">
      <c r="A24" t="s">
        <v>192</v>
      </c>
      <c r="B24">
        <v>78055846</v>
      </c>
      <c r="C24">
        <v>600000</v>
      </c>
      <c r="D24" s="14"/>
      <c r="E24" s="61">
        <v>46149</v>
      </c>
      <c r="F24" s="41">
        <f t="shared" si="0"/>
        <v>46151</v>
      </c>
      <c r="G24" s="16"/>
    </row>
    <row r="25" spans="1:7" ht="15.75" customHeight="1" x14ac:dyDescent="0.25">
      <c r="A25" t="s">
        <v>192</v>
      </c>
      <c r="B25">
        <v>78055855</v>
      </c>
      <c r="C25">
        <v>1235000</v>
      </c>
      <c r="D25" s="14"/>
      <c r="E25" s="61">
        <v>46149</v>
      </c>
      <c r="F25" s="41">
        <f t="shared" si="0"/>
        <v>46151</v>
      </c>
      <c r="G25" s="16"/>
    </row>
    <row r="26" spans="1:7" ht="15.75" customHeight="1" x14ac:dyDescent="0.25">
      <c r="A26" t="s">
        <v>192</v>
      </c>
      <c r="B26">
        <v>78055861</v>
      </c>
      <c r="C26">
        <v>1325000</v>
      </c>
      <c r="D26" s="14"/>
      <c r="E26" s="61">
        <v>46149</v>
      </c>
      <c r="F26" s="41">
        <f t="shared" si="0"/>
        <v>46151</v>
      </c>
      <c r="G26" s="16"/>
    </row>
    <row r="27" spans="1:7" ht="15.75" customHeight="1" x14ac:dyDescent="0.25">
      <c r="A27" t="s">
        <v>201</v>
      </c>
      <c r="B27">
        <v>29050276</v>
      </c>
      <c r="C27">
        <v>9811200</v>
      </c>
      <c r="D27" s="14"/>
      <c r="E27" s="61">
        <v>46149</v>
      </c>
      <c r="F27" s="41">
        <f t="shared" si="0"/>
        <v>46151</v>
      </c>
      <c r="G27" s="16"/>
    </row>
    <row r="28" spans="1:7" ht="15.75" customHeight="1" x14ac:dyDescent="0.25">
      <c r="A28" t="s">
        <v>176</v>
      </c>
      <c r="B28">
        <v>65636545</v>
      </c>
      <c r="C28">
        <v>2800000</v>
      </c>
      <c r="D28" s="14"/>
      <c r="E28" s="61">
        <v>46149</v>
      </c>
      <c r="F28" s="41">
        <f t="shared" si="0"/>
        <v>46151</v>
      </c>
      <c r="G28" s="16"/>
    </row>
    <row r="29" spans="1:7" ht="15.75" customHeight="1" x14ac:dyDescent="0.25">
      <c r="A29" t="s">
        <v>209</v>
      </c>
      <c r="B29">
        <v>4510</v>
      </c>
      <c r="C29">
        <v>1200000</v>
      </c>
      <c r="D29" s="14"/>
      <c r="E29" s="61">
        <v>46149</v>
      </c>
      <c r="F29" s="41">
        <f t="shared" si="0"/>
        <v>46151</v>
      </c>
      <c r="G29" s="16"/>
    </row>
    <row r="30" spans="1:7" ht="15.75" customHeight="1" x14ac:dyDescent="0.25">
      <c r="A30" t="s">
        <v>192</v>
      </c>
      <c r="B30">
        <v>78055847</v>
      </c>
      <c r="C30">
        <v>589500</v>
      </c>
      <c r="D30" s="14"/>
      <c r="E30" s="61">
        <v>46150</v>
      </c>
      <c r="F30" s="41">
        <f t="shared" si="0"/>
        <v>46152</v>
      </c>
      <c r="G30" s="16"/>
    </row>
    <row r="31" spans="1:7" ht="15.75" customHeight="1" x14ac:dyDescent="0.25">
      <c r="A31" t="s">
        <v>209</v>
      </c>
      <c r="B31">
        <v>4445</v>
      </c>
      <c r="C31">
        <v>1200000</v>
      </c>
      <c r="D31" s="14"/>
      <c r="E31" s="61">
        <v>46150</v>
      </c>
      <c r="F31" s="41">
        <f t="shared" si="0"/>
        <v>46152</v>
      </c>
      <c r="G31" s="16"/>
    </row>
    <row r="32" spans="1:7" ht="15.75" customHeight="1" x14ac:dyDescent="0.25">
      <c r="A32" t="s">
        <v>223</v>
      </c>
      <c r="B32">
        <v>6753</v>
      </c>
      <c r="C32">
        <v>19891200</v>
      </c>
      <c r="D32" s="14"/>
      <c r="E32" s="61">
        <v>46150</v>
      </c>
      <c r="F32" s="41">
        <f t="shared" si="0"/>
        <v>46152</v>
      </c>
      <c r="G32" s="16"/>
    </row>
    <row r="33" spans="1:7" ht="15.75" customHeight="1" x14ac:dyDescent="0.25">
      <c r="A33" t="s">
        <v>206</v>
      </c>
      <c r="B33">
        <v>1198</v>
      </c>
      <c r="C33">
        <v>9846730</v>
      </c>
      <c r="D33" s="14"/>
      <c r="E33" s="61">
        <v>46150</v>
      </c>
      <c r="F33" s="41">
        <f t="shared" si="0"/>
        <v>46152</v>
      </c>
      <c r="G33" s="16"/>
    </row>
    <row r="34" spans="1:7" ht="15.75" customHeight="1" x14ac:dyDescent="0.25">
      <c r="A34" t="s">
        <v>199</v>
      </c>
      <c r="B34">
        <v>9583048</v>
      </c>
      <c r="C34">
        <v>12134230</v>
      </c>
      <c r="D34" s="14"/>
      <c r="E34" s="61">
        <v>46150</v>
      </c>
      <c r="F34" s="41">
        <f t="shared" si="0"/>
        <v>46152</v>
      </c>
      <c r="G34" s="16"/>
    </row>
    <row r="35" spans="1:7" ht="15.75" customHeight="1" x14ac:dyDescent="0.25">
      <c r="A35" t="s">
        <v>192</v>
      </c>
      <c r="B35">
        <v>78055856</v>
      </c>
      <c r="C35">
        <v>1235000</v>
      </c>
      <c r="D35" s="14"/>
      <c r="E35" s="61">
        <v>46150</v>
      </c>
      <c r="F35" s="41">
        <f t="shared" si="0"/>
        <v>46152</v>
      </c>
      <c r="G35" s="16"/>
    </row>
    <row r="36" spans="1:7" ht="15.75" customHeight="1" x14ac:dyDescent="0.25">
      <c r="A36" t="s">
        <v>192</v>
      </c>
      <c r="B36">
        <v>78055862</v>
      </c>
      <c r="C36">
        <v>1325000</v>
      </c>
      <c r="D36" s="14"/>
      <c r="E36" s="61">
        <v>46150</v>
      </c>
      <c r="F36" s="41">
        <f t="shared" si="0"/>
        <v>46152</v>
      </c>
      <c r="G36" s="16"/>
    </row>
    <row r="37" spans="1:7" ht="15.75" customHeight="1" x14ac:dyDescent="0.25">
      <c r="A37" t="s">
        <v>225</v>
      </c>
      <c r="B37">
        <v>90000109</v>
      </c>
      <c r="C37">
        <v>2000000</v>
      </c>
      <c r="D37" s="14"/>
      <c r="E37" s="61">
        <v>46150</v>
      </c>
      <c r="F37" s="41">
        <f t="shared" si="0"/>
        <v>46152</v>
      </c>
      <c r="G37" s="16"/>
    </row>
    <row r="38" spans="1:7" ht="15.75" customHeight="1" x14ac:dyDescent="0.25">
      <c r="A38" t="s">
        <v>209</v>
      </c>
      <c r="B38">
        <v>4511</v>
      </c>
      <c r="C38">
        <v>966000</v>
      </c>
      <c r="D38" s="14"/>
      <c r="E38" s="61">
        <v>46150</v>
      </c>
      <c r="F38" s="41">
        <f t="shared" si="0"/>
        <v>46152</v>
      </c>
      <c r="G38" s="16"/>
    </row>
    <row r="39" spans="1:7" ht="15.75" customHeight="1" x14ac:dyDescent="0.25">
      <c r="A39" t="s">
        <v>209</v>
      </c>
      <c r="B39">
        <v>4536</v>
      </c>
      <c r="C39">
        <v>930000</v>
      </c>
      <c r="D39" s="14"/>
      <c r="E39" s="61">
        <v>46150</v>
      </c>
      <c r="F39" s="41">
        <f t="shared" si="0"/>
        <v>46152</v>
      </c>
      <c r="G39" s="16"/>
    </row>
    <row r="40" spans="1:7" ht="15.75" customHeight="1" x14ac:dyDescent="0.25">
      <c r="A40" t="s">
        <v>192</v>
      </c>
      <c r="B40">
        <v>78055879</v>
      </c>
      <c r="C40">
        <v>500000</v>
      </c>
      <c r="D40" s="14"/>
      <c r="E40" s="61">
        <v>46150</v>
      </c>
      <c r="F40" s="41">
        <f t="shared" si="0"/>
        <v>46152</v>
      </c>
      <c r="G40" s="16"/>
    </row>
    <row r="41" spans="1:7" ht="15.75" customHeight="1" x14ac:dyDescent="0.25">
      <c r="A41" t="s">
        <v>227</v>
      </c>
      <c r="B41">
        <v>51747693</v>
      </c>
      <c r="C41">
        <v>7588800</v>
      </c>
      <c r="D41" s="14"/>
      <c r="E41" s="61">
        <v>46150</v>
      </c>
      <c r="F41" s="41">
        <f t="shared" si="0"/>
        <v>46152</v>
      </c>
      <c r="G41" s="16"/>
    </row>
    <row r="42" spans="1:7" ht="15.75" customHeight="1" x14ac:dyDescent="0.25">
      <c r="A42" t="s">
        <v>186</v>
      </c>
      <c r="B42">
        <v>13378001</v>
      </c>
      <c r="C42">
        <v>3100000</v>
      </c>
      <c r="D42" s="14"/>
      <c r="E42" s="61">
        <v>46153</v>
      </c>
      <c r="F42" s="41">
        <f t="shared" si="0"/>
        <v>46155</v>
      </c>
      <c r="G42" s="16"/>
    </row>
    <row r="43" spans="1:7" ht="15.75" customHeight="1" x14ac:dyDescent="0.25">
      <c r="A43" t="s">
        <v>186</v>
      </c>
      <c r="B43">
        <v>13378002</v>
      </c>
      <c r="C43">
        <v>3100000</v>
      </c>
      <c r="D43" s="14"/>
      <c r="E43" s="61">
        <v>46153</v>
      </c>
      <c r="F43" s="41">
        <f t="shared" si="0"/>
        <v>46155</v>
      </c>
      <c r="G43" s="16"/>
    </row>
    <row r="44" spans="1:7" ht="15.75" customHeight="1" x14ac:dyDescent="0.25">
      <c r="A44" t="s">
        <v>186</v>
      </c>
      <c r="B44">
        <v>13378003</v>
      </c>
      <c r="C44">
        <v>3100000</v>
      </c>
      <c r="D44" s="14"/>
      <c r="E44" s="61">
        <v>46153</v>
      </c>
      <c r="F44" s="41">
        <f t="shared" si="0"/>
        <v>46155</v>
      </c>
      <c r="G44" s="16"/>
    </row>
    <row r="45" spans="1:7" ht="15.75" customHeight="1" x14ac:dyDescent="0.25">
      <c r="A45" t="s">
        <v>230</v>
      </c>
      <c r="B45">
        <v>65991486</v>
      </c>
      <c r="C45">
        <v>10000000</v>
      </c>
      <c r="D45" s="14"/>
      <c r="E45" s="61">
        <v>46153</v>
      </c>
      <c r="F45" s="41">
        <f t="shared" si="0"/>
        <v>46155</v>
      </c>
      <c r="G45" s="16"/>
    </row>
    <row r="46" spans="1:7" ht="15.75" customHeight="1" x14ac:dyDescent="0.25">
      <c r="A46" t="s">
        <v>230</v>
      </c>
      <c r="B46">
        <v>65991495</v>
      </c>
      <c r="C46">
        <v>10000000</v>
      </c>
      <c r="D46" s="14"/>
      <c r="E46" s="61">
        <v>46153</v>
      </c>
      <c r="F46" s="41">
        <f t="shared" si="0"/>
        <v>46155</v>
      </c>
      <c r="G46" s="16"/>
    </row>
    <row r="47" spans="1:7" ht="15.75" customHeight="1" x14ac:dyDescent="0.25">
      <c r="A47" t="s">
        <v>230</v>
      </c>
      <c r="B47">
        <v>65991500</v>
      </c>
      <c r="C47">
        <v>10000000</v>
      </c>
      <c r="D47" s="14"/>
      <c r="E47" s="61">
        <v>46153</v>
      </c>
      <c r="F47" s="41">
        <f t="shared" si="0"/>
        <v>46155</v>
      </c>
      <c r="G47" s="16"/>
    </row>
    <row r="48" spans="1:7" ht="15.75" customHeight="1" x14ac:dyDescent="0.25">
      <c r="A48" t="s">
        <v>230</v>
      </c>
      <c r="B48">
        <v>65991510</v>
      </c>
      <c r="C48">
        <v>10000000</v>
      </c>
      <c r="D48" s="14"/>
      <c r="E48" s="61">
        <v>46153</v>
      </c>
      <c r="F48" s="41">
        <f t="shared" si="0"/>
        <v>46155</v>
      </c>
      <c r="G48" s="16"/>
    </row>
    <row r="49" spans="1:7" ht="15.75" customHeight="1" x14ac:dyDescent="0.25">
      <c r="A49" t="s">
        <v>230</v>
      </c>
      <c r="B49">
        <v>65991522</v>
      </c>
      <c r="C49">
        <v>9035234.8800000008</v>
      </c>
      <c r="D49" s="14"/>
      <c r="E49" s="61">
        <v>46153</v>
      </c>
      <c r="F49" s="41">
        <f t="shared" si="0"/>
        <v>46155</v>
      </c>
      <c r="G49" s="16"/>
    </row>
    <row r="50" spans="1:7" ht="15.75" customHeight="1" x14ac:dyDescent="0.25">
      <c r="A50" t="s">
        <v>223</v>
      </c>
      <c r="B50">
        <v>6747</v>
      </c>
      <c r="C50">
        <v>11370880</v>
      </c>
      <c r="D50" s="14"/>
      <c r="E50" s="61">
        <v>46153</v>
      </c>
      <c r="F50" s="41">
        <f t="shared" si="0"/>
        <v>46155</v>
      </c>
      <c r="G50" s="16"/>
    </row>
    <row r="51" spans="1:7" ht="15.75" customHeight="1" x14ac:dyDescent="0.25">
      <c r="A51" t="s">
        <v>192</v>
      </c>
      <c r="B51">
        <v>78055857</v>
      </c>
      <c r="C51">
        <v>1227000</v>
      </c>
      <c r="D51" s="14"/>
      <c r="E51" s="61">
        <v>46153</v>
      </c>
      <c r="F51" s="41">
        <f t="shared" si="0"/>
        <v>46155</v>
      </c>
      <c r="G51" s="16"/>
    </row>
    <row r="52" spans="1:7" ht="15.75" customHeight="1" x14ac:dyDescent="0.25">
      <c r="A52" t="s">
        <v>192</v>
      </c>
      <c r="B52">
        <v>78055863</v>
      </c>
      <c r="C52">
        <v>1325000</v>
      </c>
      <c r="D52" s="14"/>
      <c r="E52" s="61">
        <v>46153</v>
      </c>
      <c r="F52" s="41">
        <f t="shared" si="0"/>
        <v>46155</v>
      </c>
      <c r="G52" s="16"/>
    </row>
    <row r="53" spans="1:7" ht="15.75" customHeight="1" x14ac:dyDescent="0.25">
      <c r="A53" t="s">
        <v>219</v>
      </c>
      <c r="B53">
        <v>29057187</v>
      </c>
      <c r="C53">
        <v>43000000</v>
      </c>
      <c r="D53" s="14"/>
      <c r="E53" s="61">
        <v>46153</v>
      </c>
      <c r="F53" s="41">
        <f t="shared" si="0"/>
        <v>46155</v>
      </c>
      <c r="G53" s="16"/>
    </row>
    <row r="54" spans="1:7" ht="15.75" customHeight="1" x14ac:dyDescent="0.25">
      <c r="A54" t="s">
        <v>232</v>
      </c>
      <c r="B54">
        <v>9487742</v>
      </c>
      <c r="C54">
        <v>12289006.199999999</v>
      </c>
      <c r="D54" s="14"/>
      <c r="E54" s="61">
        <v>46153</v>
      </c>
      <c r="F54" s="41">
        <f t="shared" si="0"/>
        <v>46155</v>
      </c>
      <c r="G54" s="16"/>
    </row>
    <row r="55" spans="1:7" ht="15.75" customHeight="1" x14ac:dyDescent="0.25">
      <c r="A55" t="s">
        <v>176</v>
      </c>
      <c r="B55">
        <v>14974124</v>
      </c>
      <c r="C55">
        <v>990000</v>
      </c>
      <c r="D55" s="14"/>
      <c r="E55" s="61">
        <v>46153</v>
      </c>
      <c r="F55" s="41">
        <f t="shared" si="0"/>
        <v>46155</v>
      </c>
      <c r="G55" s="16"/>
    </row>
    <row r="56" spans="1:7" ht="15.75" customHeight="1" x14ac:dyDescent="0.25">
      <c r="A56" t="s">
        <v>199</v>
      </c>
      <c r="B56">
        <v>9583068</v>
      </c>
      <c r="C56">
        <v>12938400</v>
      </c>
      <c r="D56" s="14"/>
      <c r="E56" s="61">
        <v>46153</v>
      </c>
      <c r="F56" s="41">
        <f t="shared" si="0"/>
        <v>46155</v>
      </c>
      <c r="G56" s="16"/>
    </row>
    <row r="57" spans="1:7" ht="15.75" customHeight="1" x14ac:dyDescent="0.25">
      <c r="A57" t="s">
        <v>181</v>
      </c>
      <c r="B57">
        <v>12924512</v>
      </c>
      <c r="C57">
        <v>10000000</v>
      </c>
      <c r="D57" s="14"/>
      <c r="E57" s="61">
        <v>46153</v>
      </c>
      <c r="F57" s="41">
        <f t="shared" si="0"/>
        <v>46155</v>
      </c>
      <c r="G57" s="16"/>
    </row>
    <row r="58" spans="1:7" ht="15.75" customHeight="1" x14ac:dyDescent="0.25">
      <c r="A58" t="s">
        <v>209</v>
      </c>
      <c r="B58">
        <v>4537</v>
      </c>
      <c r="C58">
        <v>930000</v>
      </c>
      <c r="D58" s="14"/>
      <c r="E58" s="61">
        <v>46153</v>
      </c>
      <c r="F58" s="41">
        <f t="shared" si="0"/>
        <v>46155</v>
      </c>
      <c r="G58" s="16"/>
    </row>
    <row r="59" spans="1:7" ht="15.75" customHeight="1" x14ac:dyDescent="0.25">
      <c r="A59" t="s">
        <v>209</v>
      </c>
      <c r="B59">
        <v>4571</v>
      </c>
      <c r="C59">
        <v>1300000</v>
      </c>
      <c r="D59" s="14"/>
      <c r="E59" s="61">
        <v>46153</v>
      </c>
      <c r="F59" s="41">
        <f t="shared" si="0"/>
        <v>46155</v>
      </c>
      <c r="G59" s="16"/>
    </row>
    <row r="60" spans="1:7" ht="15.75" customHeight="1" x14ac:dyDescent="0.25">
      <c r="A60" t="s">
        <v>234</v>
      </c>
      <c r="B60">
        <v>9564653</v>
      </c>
      <c r="C60">
        <v>2754200</v>
      </c>
      <c r="D60" s="14"/>
      <c r="E60" s="61">
        <v>46153</v>
      </c>
      <c r="F60" s="41">
        <f t="shared" si="0"/>
        <v>46155</v>
      </c>
      <c r="G60" s="16"/>
    </row>
    <row r="61" spans="1:7" ht="15.75" customHeight="1" x14ac:dyDescent="0.25">
      <c r="A61" t="s">
        <v>234</v>
      </c>
      <c r="B61">
        <v>9564654</v>
      </c>
      <c r="C61">
        <v>4500000</v>
      </c>
      <c r="D61" s="14"/>
      <c r="E61" s="61">
        <v>46153</v>
      </c>
      <c r="F61" s="41">
        <f t="shared" si="0"/>
        <v>46155</v>
      </c>
      <c r="G61" s="16"/>
    </row>
    <row r="62" spans="1:7" ht="15.75" customHeight="1" x14ac:dyDescent="0.25">
      <c r="A62" t="s">
        <v>234</v>
      </c>
      <c r="B62">
        <v>9564655</v>
      </c>
      <c r="C62">
        <v>4500000</v>
      </c>
      <c r="D62" s="14"/>
      <c r="E62" s="61">
        <v>46153</v>
      </c>
      <c r="F62" s="41">
        <f t="shared" si="0"/>
        <v>46155</v>
      </c>
      <c r="G62" s="16"/>
    </row>
    <row r="63" spans="1:7" ht="15.75" customHeight="1" x14ac:dyDescent="0.25">
      <c r="A63" t="s">
        <v>234</v>
      </c>
      <c r="B63">
        <v>9564656</v>
      </c>
      <c r="C63">
        <v>4500000</v>
      </c>
      <c r="D63" s="14"/>
      <c r="E63" s="61">
        <v>46153</v>
      </c>
      <c r="F63" s="41">
        <f t="shared" si="0"/>
        <v>46155</v>
      </c>
      <c r="G63" s="16"/>
    </row>
    <row r="64" spans="1:7" ht="15.75" customHeight="1" x14ac:dyDescent="0.25">
      <c r="A64" t="s">
        <v>234</v>
      </c>
      <c r="B64">
        <v>697</v>
      </c>
      <c r="C64">
        <v>5000000</v>
      </c>
      <c r="D64" s="14"/>
      <c r="E64" s="61">
        <v>46153</v>
      </c>
      <c r="F64" s="41">
        <f t="shared" si="0"/>
        <v>46155</v>
      </c>
      <c r="G64" s="16"/>
    </row>
    <row r="65" spans="1:7" ht="15.75" customHeight="1" x14ac:dyDescent="0.25">
      <c r="A65" t="s">
        <v>234</v>
      </c>
      <c r="B65">
        <v>698</v>
      </c>
      <c r="C65">
        <v>6756340</v>
      </c>
      <c r="D65" s="14"/>
      <c r="E65" s="61">
        <v>46153</v>
      </c>
      <c r="F65" s="41">
        <f t="shared" si="0"/>
        <v>46155</v>
      </c>
      <c r="G65" s="16"/>
    </row>
    <row r="66" spans="1:7" ht="15.75" customHeight="1" x14ac:dyDescent="0.25">
      <c r="A66" t="s">
        <v>234</v>
      </c>
      <c r="B66">
        <v>699</v>
      </c>
      <c r="C66">
        <v>5000000</v>
      </c>
      <c r="D66" s="14"/>
      <c r="E66" s="61">
        <v>46153</v>
      </c>
      <c r="F66" s="41">
        <f t="shared" si="0"/>
        <v>46155</v>
      </c>
      <c r="G66" s="16"/>
    </row>
    <row r="67" spans="1:7" ht="15.75" customHeight="1" x14ac:dyDescent="0.25">
      <c r="A67" t="s">
        <v>234</v>
      </c>
      <c r="B67">
        <v>700</v>
      </c>
      <c r="C67">
        <v>5000000</v>
      </c>
      <c r="D67" s="14"/>
      <c r="E67" s="61">
        <v>46153</v>
      </c>
      <c r="F67" s="41">
        <f t="shared" si="0"/>
        <v>46155</v>
      </c>
      <c r="G67" s="16"/>
    </row>
    <row r="68" spans="1:7" ht="15.75" customHeight="1" x14ac:dyDescent="0.25">
      <c r="A68" t="s">
        <v>234</v>
      </c>
      <c r="B68">
        <v>701</v>
      </c>
      <c r="C68">
        <v>5000000</v>
      </c>
      <c r="D68" s="14"/>
      <c r="E68" s="61">
        <v>46153</v>
      </c>
      <c r="F68" s="41">
        <f t="shared" si="0"/>
        <v>46155</v>
      </c>
      <c r="G68" s="16"/>
    </row>
    <row r="69" spans="1:7" ht="15.75" customHeight="1" x14ac:dyDescent="0.25">
      <c r="A69" t="s">
        <v>234</v>
      </c>
      <c r="B69">
        <v>711</v>
      </c>
      <c r="C69">
        <v>5000000</v>
      </c>
      <c r="D69" s="14"/>
      <c r="E69" s="61">
        <v>46153</v>
      </c>
      <c r="F69" s="41">
        <f t="shared" ref="F69:F132" si="1">+E69+2</f>
        <v>46155</v>
      </c>
      <c r="G69" s="16"/>
    </row>
    <row r="70" spans="1:7" ht="15.75" customHeight="1" x14ac:dyDescent="0.25">
      <c r="A70" t="s">
        <v>192</v>
      </c>
      <c r="B70">
        <v>78055880</v>
      </c>
      <c r="C70">
        <v>500000</v>
      </c>
      <c r="D70" s="14"/>
      <c r="E70" s="61">
        <v>46153</v>
      </c>
      <c r="F70" s="41">
        <f t="shared" si="1"/>
        <v>46155</v>
      </c>
      <c r="G70" s="16"/>
    </row>
    <row r="71" spans="1:7" ht="15.75" customHeight="1" x14ac:dyDescent="0.25">
      <c r="A71" t="s">
        <v>192</v>
      </c>
      <c r="B71">
        <v>78055888</v>
      </c>
      <c r="C71">
        <v>890000</v>
      </c>
      <c r="D71" s="14"/>
      <c r="E71" s="61">
        <v>46153</v>
      </c>
      <c r="F71" s="41">
        <f t="shared" si="1"/>
        <v>46155</v>
      </c>
      <c r="G71" s="16"/>
    </row>
    <row r="72" spans="1:7" ht="15.75" customHeight="1" x14ac:dyDescent="0.25">
      <c r="A72" t="s">
        <v>238</v>
      </c>
      <c r="B72">
        <v>120</v>
      </c>
      <c r="C72">
        <v>3000343.8</v>
      </c>
      <c r="D72" s="14"/>
      <c r="E72" s="61">
        <v>46153</v>
      </c>
      <c r="F72" s="41">
        <f t="shared" si="1"/>
        <v>46155</v>
      </c>
      <c r="G72" s="16"/>
    </row>
    <row r="73" spans="1:7" ht="15.75" customHeight="1" x14ac:dyDescent="0.25">
      <c r="A73" t="s">
        <v>238</v>
      </c>
      <c r="B73">
        <v>121</v>
      </c>
      <c r="C73">
        <v>4024000</v>
      </c>
      <c r="D73" s="14"/>
      <c r="E73" s="61">
        <v>46153</v>
      </c>
      <c r="F73" s="41">
        <f t="shared" si="1"/>
        <v>46155</v>
      </c>
      <c r="G73" s="16"/>
    </row>
    <row r="74" spans="1:7" ht="15.75" customHeight="1" x14ac:dyDescent="0.25">
      <c r="A74" t="s">
        <v>186</v>
      </c>
      <c r="B74">
        <v>13378004</v>
      </c>
      <c r="C74">
        <v>3100000</v>
      </c>
      <c r="D74" s="14"/>
      <c r="E74" s="61">
        <v>46154</v>
      </c>
      <c r="F74" s="41">
        <f t="shared" si="1"/>
        <v>46156</v>
      </c>
      <c r="G74" s="16"/>
    </row>
    <row r="75" spans="1:7" ht="15.75" customHeight="1" x14ac:dyDescent="0.25">
      <c r="A75" t="s">
        <v>186</v>
      </c>
      <c r="B75">
        <v>13378019</v>
      </c>
      <c r="C75">
        <v>2027843.4</v>
      </c>
      <c r="D75" s="14"/>
      <c r="E75" s="61">
        <v>46154</v>
      </c>
      <c r="F75" s="41">
        <f t="shared" si="1"/>
        <v>46156</v>
      </c>
      <c r="G75" s="16"/>
    </row>
    <row r="76" spans="1:7" ht="15.75" customHeight="1" x14ac:dyDescent="0.25">
      <c r="A76" t="s">
        <v>192</v>
      </c>
      <c r="B76">
        <v>78055864</v>
      </c>
      <c r="C76">
        <v>1325000</v>
      </c>
      <c r="D76" s="14"/>
      <c r="E76" s="61">
        <v>46154</v>
      </c>
      <c r="F76" s="41">
        <f t="shared" si="1"/>
        <v>46156</v>
      </c>
      <c r="G76" s="16"/>
    </row>
    <row r="77" spans="1:7" ht="15.75" customHeight="1" x14ac:dyDescent="0.25">
      <c r="A77" t="s">
        <v>181</v>
      </c>
      <c r="B77">
        <v>12924513</v>
      </c>
      <c r="C77">
        <v>10000000</v>
      </c>
      <c r="D77" s="14"/>
      <c r="E77" s="61">
        <v>46154</v>
      </c>
      <c r="F77" s="41">
        <f t="shared" si="1"/>
        <v>46156</v>
      </c>
      <c r="G77" s="16"/>
    </row>
    <row r="78" spans="1:7" ht="15.75" customHeight="1" x14ac:dyDescent="0.25">
      <c r="A78" t="s">
        <v>209</v>
      </c>
      <c r="B78">
        <v>4538</v>
      </c>
      <c r="C78">
        <v>930000</v>
      </c>
      <c r="D78" s="14"/>
      <c r="E78" s="61">
        <v>46154</v>
      </c>
      <c r="F78" s="41">
        <f t="shared" si="1"/>
        <v>46156</v>
      </c>
      <c r="G78" s="16"/>
    </row>
    <row r="79" spans="1:7" ht="15.75" customHeight="1" x14ac:dyDescent="0.25">
      <c r="A79" t="s">
        <v>209</v>
      </c>
      <c r="B79">
        <v>4572</v>
      </c>
      <c r="C79">
        <v>1300000</v>
      </c>
      <c r="D79" s="14"/>
      <c r="E79" s="61">
        <v>46154</v>
      </c>
      <c r="F79" s="41">
        <f t="shared" si="1"/>
        <v>46156</v>
      </c>
      <c r="G79" s="16"/>
    </row>
    <row r="80" spans="1:7" ht="15.75" customHeight="1" x14ac:dyDescent="0.25">
      <c r="A80" t="s">
        <v>192</v>
      </c>
      <c r="B80">
        <v>78055881</v>
      </c>
      <c r="C80">
        <v>500000</v>
      </c>
      <c r="D80" s="14"/>
      <c r="E80" s="61">
        <v>46154</v>
      </c>
      <c r="F80" s="41">
        <f t="shared" si="1"/>
        <v>46156</v>
      </c>
      <c r="G80" s="16"/>
    </row>
    <row r="81" spans="1:7" ht="15.75" customHeight="1" x14ac:dyDescent="0.25">
      <c r="A81" t="s">
        <v>192</v>
      </c>
      <c r="B81">
        <v>78055889</v>
      </c>
      <c r="C81">
        <v>890000</v>
      </c>
      <c r="D81" s="14"/>
      <c r="E81" s="61">
        <v>46154</v>
      </c>
      <c r="F81" s="41">
        <f t="shared" si="1"/>
        <v>46156</v>
      </c>
      <c r="G81" s="16"/>
    </row>
    <row r="82" spans="1:7" ht="15.75" customHeight="1" x14ac:dyDescent="0.25">
      <c r="A82" t="s">
        <v>186</v>
      </c>
      <c r="B82">
        <v>13378005</v>
      </c>
      <c r="C82">
        <v>3100000</v>
      </c>
      <c r="D82" s="14"/>
      <c r="E82" s="61">
        <v>46155</v>
      </c>
      <c r="F82" s="41">
        <f t="shared" si="1"/>
        <v>46157</v>
      </c>
      <c r="G82" s="16"/>
    </row>
    <row r="83" spans="1:7" ht="15.75" customHeight="1" x14ac:dyDescent="0.25">
      <c r="A83" t="s">
        <v>186</v>
      </c>
      <c r="B83">
        <v>13378020</v>
      </c>
      <c r="C83">
        <v>2200000</v>
      </c>
      <c r="D83" s="14"/>
      <c r="E83" s="61">
        <v>46155</v>
      </c>
      <c r="F83" s="41">
        <f t="shared" si="1"/>
        <v>46157</v>
      </c>
      <c r="G83" s="16"/>
    </row>
    <row r="84" spans="1:7" ht="15.75" customHeight="1" x14ac:dyDescent="0.25">
      <c r="A84" t="s">
        <v>181</v>
      </c>
      <c r="B84">
        <v>12924514</v>
      </c>
      <c r="C84">
        <v>10000000</v>
      </c>
      <c r="D84" s="14"/>
      <c r="E84" s="61">
        <v>46155</v>
      </c>
      <c r="F84" s="41">
        <f t="shared" si="1"/>
        <v>46157</v>
      </c>
      <c r="G84" s="16"/>
    </row>
    <row r="85" spans="1:7" ht="15.75" customHeight="1" x14ac:dyDescent="0.25">
      <c r="A85" t="s">
        <v>209</v>
      </c>
      <c r="B85">
        <v>4539</v>
      </c>
      <c r="C85">
        <v>930000</v>
      </c>
      <c r="D85" s="14"/>
      <c r="E85" s="61">
        <v>46155</v>
      </c>
      <c r="F85" s="41">
        <f t="shared" si="1"/>
        <v>46157</v>
      </c>
      <c r="G85" s="16"/>
    </row>
    <row r="86" spans="1:7" ht="15.75" customHeight="1" x14ac:dyDescent="0.25">
      <c r="A86" t="s">
        <v>209</v>
      </c>
      <c r="B86">
        <v>4573</v>
      </c>
      <c r="C86">
        <v>1300000</v>
      </c>
      <c r="D86" s="14"/>
      <c r="E86" s="61">
        <v>46155</v>
      </c>
      <c r="F86" s="41">
        <f t="shared" si="1"/>
        <v>46157</v>
      </c>
      <c r="G86" s="16"/>
    </row>
    <row r="87" spans="1:7" ht="15.75" customHeight="1" x14ac:dyDescent="0.25">
      <c r="A87" t="s">
        <v>206</v>
      </c>
      <c r="B87">
        <v>1367</v>
      </c>
      <c r="C87">
        <v>25000000</v>
      </c>
      <c r="D87" s="14"/>
      <c r="E87" s="61">
        <v>46155</v>
      </c>
      <c r="F87" s="41">
        <f t="shared" si="1"/>
        <v>46157</v>
      </c>
      <c r="G87" s="16"/>
    </row>
    <row r="88" spans="1:7" ht="15.75" customHeight="1" x14ac:dyDescent="0.25">
      <c r="A88" t="s">
        <v>186</v>
      </c>
      <c r="B88">
        <v>13378006</v>
      </c>
      <c r="C88">
        <v>3100000</v>
      </c>
      <c r="D88" s="14"/>
      <c r="E88" s="61">
        <v>46156</v>
      </c>
      <c r="F88" s="41">
        <f t="shared" si="1"/>
        <v>46158</v>
      </c>
      <c r="G88" s="16"/>
    </row>
    <row r="89" spans="1:7" ht="15.75" customHeight="1" x14ac:dyDescent="0.25">
      <c r="A89" t="s">
        <v>186</v>
      </c>
      <c r="B89">
        <v>13378021</v>
      </c>
      <c r="C89">
        <v>2200000</v>
      </c>
      <c r="D89" s="14"/>
      <c r="E89" s="61">
        <v>46156</v>
      </c>
      <c r="F89" s="41">
        <f t="shared" si="1"/>
        <v>46158</v>
      </c>
      <c r="G89" s="16"/>
    </row>
    <row r="90" spans="1:7" ht="15.75" customHeight="1" x14ac:dyDescent="0.25">
      <c r="A90" t="s">
        <v>192</v>
      </c>
      <c r="B90">
        <v>78055865</v>
      </c>
      <c r="C90">
        <v>1325000</v>
      </c>
      <c r="D90" s="14"/>
      <c r="E90" s="61">
        <v>46156</v>
      </c>
      <c r="F90" s="41">
        <f t="shared" si="1"/>
        <v>46158</v>
      </c>
      <c r="G90" s="16"/>
    </row>
    <row r="91" spans="1:7" ht="15.75" customHeight="1" x14ac:dyDescent="0.25">
      <c r="A91" t="s">
        <v>181</v>
      </c>
      <c r="B91">
        <v>12924515</v>
      </c>
      <c r="C91">
        <v>10000000</v>
      </c>
      <c r="D91" s="14"/>
      <c r="E91" s="61">
        <v>46156</v>
      </c>
      <c r="F91" s="41">
        <f t="shared" si="1"/>
        <v>46158</v>
      </c>
      <c r="G91" s="16"/>
    </row>
    <row r="92" spans="1:7" ht="15.75" customHeight="1" x14ac:dyDescent="0.25">
      <c r="A92" t="s">
        <v>211</v>
      </c>
      <c r="B92">
        <v>4959</v>
      </c>
      <c r="C92">
        <v>3118540</v>
      </c>
      <c r="D92" s="14"/>
      <c r="E92" s="61">
        <v>46156</v>
      </c>
      <c r="F92" s="41">
        <f t="shared" si="1"/>
        <v>46158</v>
      </c>
      <c r="G92" s="16"/>
    </row>
    <row r="93" spans="1:7" ht="15.75" customHeight="1" x14ac:dyDescent="0.25">
      <c r="A93" t="s">
        <v>192</v>
      </c>
      <c r="B93">
        <v>78055890</v>
      </c>
      <c r="C93">
        <v>890000</v>
      </c>
      <c r="D93" s="14"/>
      <c r="E93" s="61">
        <v>46156</v>
      </c>
      <c r="F93" s="41">
        <f t="shared" si="1"/>
        <v>46158</v>
      </c>
      <c r="G93" s="16"/>
    </row>
    <row r="94" spans="1:7" ht="15.75" customHeight="1" x14ac:dyDescent="0.25">
      <c r="A94" t="s">
        <v>192</v>
      </c>
      <c r="B94">
        <v>8055882</v>
      </c>
      <c r="C94">
        <v>500000</v>
      </c>
      <c r="D94" s="14"/>
      <c r="E94" s="61">
        <v>46156</v>
      </c>
      <c r="F94" s="41">
        <f t="shared" si="1"/>
        <v>46158</v>
      </c>
      <c r="G94" s="16"/>
    </row>
    <row r="95" spans="1:7" ht="15.75" customHeight="1" x14ac:dyDescent="0.25">
      <c r="A95" t="s">
        <v>186</v>
      </c>
      <c r="B95">
        <v>13378022</v>
      </c>
      <c r="C95">
        <v>2200000</v>
      </c>
      <c r="D95" s="14"/>
      <c r="E95" s="61">
        <v>46157</v>
      </c>
      <c r="F95" s="41">
        <f t="shared" si="1"/>
        <v>46159</v>
      </c>
      <c r="G95" s="16"/>
    </row>
    <row r="96" spans="1:7" ht="15.75" customHeight="1" x14ac:dyDescent="0.25">
      <c r="A96" t="s">
        <v>192</v>
      </c>
      <c r="B96">
        <v>78055866</v>
      </c>
      <c r="C96">
        <v>1325000</v>
      </c>
      <c r="D96" s="14"/>
      <c r="E96" s="61">
        <v>46157</v>
      </c>
      <c r="F96" s="41">
        <f t="shared" si="1"/>
        <v>46159</v>
      </c>
      <c r="G96" s="16"/>
    </row>
    <row r="97" spans="1:7" ht="15.75" customHeight="1" x14ac:dyDescent="0.25">
      <c r="A97" t="s">
        <v>223</v>
      </c>
      <c r="B97">
        <v>6769</v>
      </c>
      <c r="C97">
        <v>17049600</v>
      </c>
      <c r="D97" s="14"/>
      <c r="E97" s="61">
        <v>46157</v>
      </c>
      <c r="F97" s="41">
        <f t="shared" si="1"/>
        <v>46159</v>
      </c>
      <c r="G97" s="16"/>
    </row>
    <row r="98" spans="1:7" ht="15.75" customHeight="1" x14ac:dyDescent="0.25">
      <c r="A98" t="s">
        <v>181</v>
      </c>
      <c r="B98">
        <v>12924516</v>
      </c>
      <c r="C98">
        <v>10000000</v>
      </c>
      <c r="D98" s="14"/>
      <c r="E98" s="61">
        <v>46157</v>
      </c>
      <c r="F98" s="41">
        <f t="shared" si="1"/>
        <v>46159</v>
      </c>
      <c r="G98" s="16"/>
    </row>
    <row r="99" spans="1:7" ht="15.75" customHeight="1" x14ac:dyDescent="0.25">
      <c r="A99" t="s">
        <v>201</v>
      </c>
      <c r="B99">
        <v>29117288</v>
      </c>
      <c r="C99">
        <v>10000000</v>
      </c>
      <c r="D99" s="14"/>
      <c r="E99" s="61">
        <v>46157</v>
      </c>
      <c r="F99" s="41">
        <f t="shared" si="1"/>
        <v>46159</v>
      </c>
      <c r="G99" s="16"/>
    </row>
    <row r="100" spans="1:7" ht="15.75" customHeight="1" x14ac:dyDescent="0.25">
      <c r="A100" t="s">
        <v>209</v>
      </c>
      <c r="B100">
        <v>4540</v>
      </c>
      <c r="C100">
        <v>891750</v>
      </c>
      <c r="D100" s="14"/>
      <c r="E100" s="61">
        <v>46157</v>
      </c>
      <c r="F100" s="41">
        <f t="shared" si="1"/>
        <v>46159</v>
      </c>
      <c r="G100" s="16"/>
    </row>
    <row r="101" spans="1:7" ht="15.75" customHeight="1" x14ac:dyDescent="0.25">
      <c r="A101" t="s">
        <v>209</v>
      </c>
      <c r="B101">
        <v>4574</v>
      </c>
      <c r="C101">
        <v>1300000</v>
      </c>
      <c r="D101" s="14"/>
      <c r="E101" s="61">
        <v>46157</v>
      </c>
      <c r="F101" s="41">
        <f t="shared" si="1"/>
        <v>46159</v>
      </c>
      <c r="G101" s="16"/>
    </row>
    <row r="102" spans="1:7" ht="15.75" customHeight="1" x14ac:dyDescent="0.25">
      <c r="A102" t="s">
        <v>201</v>
      </c>
      <c r="B102">
        <v>3360</v>
      </c>
      <c r="C102">
        <v>2190000</v>
      </c>
      <c r="D102" s="14"/>
      <c r="E102" s="61">
        <v>46157</v>
      </c>
      <c r="F102" s="41">
        <f t="shared" si="1"/>
        <v>46159</v>
      </c>
      <c r="G102" s="16"/>
    </row>
    <row r="103" spans="1:7" ht="15.75" customHeight="1" x14ac:dyDescent="0.25">
      <c r="A103" t="s">
        <v>192</v>
      </c>
      <c r="B103">
        <v>78055883</v>
      </c>
      <c r="C103">
        <v>500000</v>
      </c>
      <c r="D103" s="14"/>
      <c r="E103" s="61">
        <v>46157</v>
      </c>
      <c r="F103" s="41">
        <f t="shared" si="1"/>
        <v>46159</v>
      </c>
      <c r="G103" s="16"/>
    </row>
    <row r="104" spans="1:7" ht="15.75" customHeight="1" x14ac:dyDescent="0.25">
      <c r="A104" t="s">
        <v>192</v>
      </c>
      <c r="B104">
        <v>78055891</v>
      </c>
      <c r="C104">
        <v>890000</v>
      </c>
      <c r="D104" s="14"/>
      <c r="E104" s="61">
        <v>46157</v>
      </c>
      <c r="F104" s="41">
        <f t="shared" si="1"/>
        <v>46159</v>
      </c>
      <c r="G104" s="16"/>
    </row>
    <row r="105" spans="1:7" ht="15.75" customHeight="1" x14ac:dyDescent="0.25">
      <c r="A105" t="s">
        <v>238</v>
      </c>
      <c r="B105">
        <v>122</v>
      </c>
      <c r="C105">
        <v>3000261.82</v>
      </c>
      <c r="D105" s="14"/>
      <c r="E105" s="61">
        <v>46157</v>
      </c>
      <c r="F105" s="41">
        <f t="shared" si="1"/>
        <v>46159</v>
      </c>
      <c r="G105" s="16"/>
    </row>
    <row r="106" spans="1:7" ht="15.75" customHeight="1" x14ac:dyDescent="0.25">
      <c r="A106" t="s">
        <v>238</v>
      </c>
      <c r="B106">
        <v>123</v>
      </c>
      <c r="C106">
        <v>3870000</v>
      </c>
      <c r="D106" s="14"/>
      <c r="E106" s="61">
        <v>46157</v>
      </c>
      <c r="F106" s="41">
        <f t="shared" si="1"/>
        <v>46159</v>
      </c>
      <c r="G106" s="16"/>
    </row>
    <row r="107" spans="1:7" ht="15.75" customHeight="1" x14ac:dyDescent="0.25">
      <c r="A107" t="s">
        <v>238</v>
      </c>
      <c r="B107">
        <v>124</v>
      </c>
      <c r="C107">
        <v>4000000</v>
      </c>
      <c r="D107" s="14"/>
      <c r="E107" s="61">
        <v>46157</v>
      </c>
      <c r="F107" s="41">
        <f t="shared" si="1"/>
        <v>46159</v>
      </c>
      <c r="G107" s="16"/>
    </row>
    <row r="108" spans="1:7" ht="15.75" customHeight="1" x14ac:dyDescent="0.25">
      <c r="A108" t="s">
        <v>196</v>
      </c>
      <c r="B108">
        <v>66486728</v>
      </c>
      <c r="C108">
        <v>4528200</v>
      </c>
      <c r="D108" s="14"/>
      <c r="E108" s="61">
        <v>46157</v>
      </c>
      <c r="F108" s="41">
        <f t="shared" si="1"/>
        <v>46159</v>
      </c>
      <c r="G108" s="16"/>
    </row>
    <row r="109" spans="1:7" ht="15.75" customHeight="1" x14ac:dyDescent="0.25">
      <c r="A109" t="s">
        <v>227</v>
      </c>
      <c r="B109">
        <v>61747694</v>
      </c>
      <c r="C109">
        <v>7365600</v>
      </c>
      <c r="D109" s="14"/>
      <c r="E109" s="61">
        <v>46157</v>
      </c>
      <c r="F109" s="41">
        <f t="shared" si="1"/>
        <v>46159</v>
      </c>
      <c r="G109" s="16"/>
    </row>
    <row r="110" spans="1:7" ht="15.75" customHeight="1" x14ac:dyDescent="0.25">
      <c r="A110" t="s">
        <v>209</v>
      </c>
      <c r="B110">
        <v>4628</v>
      </c>
      <c r="C110">
        <v>1300000</v>
      </c>
      <c r="D110" s="14"/>
      <c r="E110" s="61">
        <v>46157</v>
      </c>
      <c r="F110" s="41">
        <f t="shared" si="1"/>
        <v>46159</v>
      </c>
      <c r="G110" s="16"/>
    </row>
    <row r="111" spans="1:7" ht="15.75" customHeight="1" x14ac:dyDescent="0.25">
      <c r="A111" t="s">
        <v>241</v>
      </c>
      <c r="B111">
        <v>3436586</v>
      </c>
      <c r="C111">
        <v>1800000</v>
      </c>
      <c r="D111" s="14"/>
      <c r="E111" s="61">
        <v>46160</v>
      </c>
      <c r="F111" s="41">
        <f t="shared" si="1"/>
        <v>46162</v>
      </c>
      <c r="G111" s="16"/>
    </row>
    <row r="112" spans="1:7" ht="15.75" customHeight="1" x14ac:dyDescent="0.25">
      <c r="A112" t="s">
        <v>241</v>
      </c>
      <c r="B112">
        <v>3436587</v>
      </c>
      <c r="C112">
        <v>1850000</v>
      </c>
      <c r="D112" s="14"/>
      <c r="E112" s="61">
        <v>46160</v>
      </c>
      <c r="F112" s="41">
        <f t="shared" si="1"/>
        <v>46162</v>
      </c>
      <c r="G112" s="16"/>
    </row>
    <row r="113" spans="1:7" ht="15.75" customHeight="1" x14ac:dyDescent="0.25">
      <c r="A113" t="s">
        <v>192</v>
      </c>
      <c r="B113">
        <v>78055867</v>
      </c>
      <c r="C113">
        <v>1324500</v>
      </c>
      <c r="D113" s="14"/>
      <c r="E113" s="61">
        <v>46160</v>
      </c>
      <c r="F113" s="41">
        <f t="shared" si="1"/>
        <v>46162</v>
      </c>
      <c r="G113" s="16"/>
    </row>
    <row r="114" spans="1:7" ht="15.75" customHeight="1" x14ac:dyDescent="0.25">
      <c r="A114" t="s">
        <v>232</v>
      </c>
      <c r="B114">
        <v>9487743</v>
      </c>
      <c r="C114">
        <v>12220447.59</v>
      </c>
      <c r="D114" s="14"/>
      <c r="E114" s="61">
        <v>46160</v>
      </c>
      <c r="F114" s="41">
        <f t="shared" si="1"/>
        <v>46162</v>
      </c>
      <c r="G114" s="16"/>
    </row>
    <row r="115" spans="1:7" ht="15.75" customHeight="1" x14ac:dyDescent="0.25">
      <c r="A115" t="s">
        <v>181</v>
      </c>
      <c r="B115">
        <v>12924517</v>
      </c>
      <c r="C115">
        <v>7374980</v>
      </c>
      <c r="D115" s="14"/>
      <c r="E115" s="61">
        <v>46160</v>
      </c>
      <c r="F115" s="41">
        <f t="shared" si="1"/>
        <v>46162</v>
      </c>
      <c r="G115" s="16"/>
    </row>
    <row r="116" spans="1:7" ht="15.75" customHeight="1" x14ac:dyDescent="0.25">
      <c r="A116" t="s">
        <v>209</v>
      </c>
      <c r="B116">
        <v>4575</v>
      </c>
      <c r="C116">
        <v>1300000</v>
      </c>
      <c r="D116" s="14"/>
      <c r="E116" s="61">
        <v>46160</v>
      </c>
      <c r="F116" s="41">
        <f t="shared" si="1"/>
        <v>46162</v>
      </c>
      <c r="G116" s="16"/>
    </row>
    <row r="117" spans="1:7" ht="15.75" customHeight="1" x14ac:dyDescent="0.25">
      <c r="A117" t="s">
        <v>234</v>
      </c>
      <c r="B117">
        <v>674</v>
      </c>
      <c r="C117">
        <v>4500000</v>
      </c>
      <c r="D117" s="14"/>
      <c r="E117" s="61">
        <v>46160</v>
      </c>
      <c r="F117" s="41">
        <f t="shared" si="1"/>
        <v>46162</v>
      </c>
      <c r="G117" s="16"/>
    </row>
    <row r="118" spans="1:7" ht="15.75" customHeight="1" x14ac:dyDescent="0.25">
      <c r="A118" t="s">
        <v>234</v>
      </c>
      <c r="B118">
        <v>675</v>
      </c>
      <c r="C118">
        <v>4500000</v>
      </c>
      <c r="D118" s="14"/>
      <c r="E118" s="61">
        <v>46160</v>
      </c>
      <c r="F118" s="41">
        <f t="shared" si="1"/>
        <v>46162</v>
      </c>
      <c r="G118" s="16"/>
    </row>
    <row r="119" spans="1:7" ht="15.75" customHeight="1" x14ac:dyDescent="0.25">
      <c r="A119" t="s">
        <v>234</v>
      </c>
      <c r="B119">
        <v>676</v>
      </c>
      <c r="C119">
        <v>3724600</v>
      </c>
      <c r="D119" s="14"/>
      <c r="E119" s="61">
        <v>46160</v>
      </c>
      <c r="F119" s="41">
        <f t="shared" si="1"/>
        <v>46162</v>
      </c>
      <c r="G119" s="16"/>
    </row>
    <row r="120" spans="1:7" ht="15.75" customHeight="1" x14ac:dyDescent="0.25">
      <c r="A120" t="s">
        <v>234</v>
      </c>
      <c r="B120">
        <v>677</v>
      </c>
      <c r="C120">
        <v>4500000</v>
      </c>
      <c r="D120" s="14"/>
      <c r="E120" s="61">
        <v>46160</v>
      </c>
      <c r="F120" s="41">
        <f t="shared" si="1"/>
        <v>46162</v>
      </c>
      <c r="G120" s="16"/>
    </row>
    <row r="121" spans="1:7" ht="15.75" customHeight="1" x14ac:dyDescent="0.25">
      <c r="A121" t="s">
        <v>230</v>
      </c>
      <c r="B121">
        <v>66288756</v>
      </c>
      <c r="C121">
        <v>10766250</v>
      </c>
      <c r="D121" s="14"/>
      <c r="E121" s="61">
        <v>46160</v>
      </c>
      <c r="F121" s="41">
        <f t="shared" si="1"/>
        <v>46162</v>
      </c>
      <c r="G121" s="16"/>
    </row>
    <row r="122" spans="1:7" ht="15.75" customHeight="1" x14ac:dyDescent="0.25">
      <c r="A122" t="s">
        <v>230</v>
      </c>
      <c r="B122">
        <v>66288779</v>
      </c>
      <c r="C122">
        <v>9000000</v>
      </c>
      <c r="D122" s="14"/>
      <c r="E122" s="61">
        <v>46160</v>
      </c>
      <c r="F122" s="41">
        <f t="shared" si="1"/>
        <v>46162</v>
      </c>
      <c r="G122" s="16"/>
    </row>
    <row r="123" spans="1:7" ht="15.75" customHeight="1" x14ac:dyDescent="0.25">
      <c r="A123" t="s">
        <v>219</v>
      </c>
      <c r="B123">
        <v>29133200</v>
      </c>
      <c r="C123">
        <v>9455600</v>
      </c>
      <c r="D123" s="14"/>
      <c r="E123" s="61">
        <v>46160</v>
      </c>
      <c r="F123" s="41">
        <f t="shared" si="1"/>
        <v>46162</v>
      </c>
      <c r="G123" s="16"/>
    </row>
    <row r="124" spans="1:7" ht="15.75" customHeight="1" x14ac:dyDescent="0.25">
      <c r="A124" t="s">
        <v>211</v>
      </c>
      <c r="B124">
        <v>4960</v>
      </c>
      <c r="C124">
        <v>1864135</v>
      </c>
      <c r="D124" s="14"/>
      <c r="E124" s="61">
        <v>46160</v>
      </c>
      <c r="F124" s="41">
        <f t="shared" si="1"/>
        <v>46162</v>
      </c>
      <c r="G124" s="16"/>
    </row>
    <row r="125" spans="1:7" ht="15.75" customHeight="1" x14ac:dyDescent="0.25">
      <c r="A125" t="s">
        <v>192</v>
      </c>
      <c r="B125">
        <v>78055884</v>
      </c>
      <c r="C125">
        <v>500000</v>
      </c>
      <c r="D125" s="14"/>
      <c r="E125" s="61">
        <v>46160</v>
      </c>
      <c r="F125" s="41">
        <f t="shared" si="1"/>
        <v>46162</v>
      </c>
      <c r="G125" s="16"/>
    </row>
    <row r="126" spans="1:7" ht="15.75" customHeight="1" x14ac:dyDescent="0.25">
      <c r="A126" t="s">
        <v>192</v>
      </c>
      <c r="B126">
        <v>78055892</v>
      </c>
      <c r="C126">
        <v>890000</v>
      </c>
      <c r="D126" s="14"/>
      <c r="E126" s="61">
        <v>46160</v>
      </c>
      <c r="F126" s="41">
        <f t="shared" si="1"/>
        <v>46162</v>
      </c>
      <c r="G126" s="16"/>
    </row>
    <row r="127" spans="1:7" ht="15.75" customHeight="1" x14ac:dyDescent="0.25">
      <c r="A127" t="s">
        <v>238</v>
      </c>
      <c r="B127">
        <v>125</v>
      </c>
      <c r="C127">
        <v>3000314.05</v>
      </c>
      <c r="D127" s="14"/>
      <c r="E127" s="61">
        <v>46160</v>
      </c>
      <c r="F127" s="41">
        <f t="shared" si="1"/>
        <v>46162</v>
      </c>
      <c r="G127" s="16"/>
    </row>
    <row r="128" spans="1:7" ht="15.75" customHeight="1" x14ac:dyDescent="0.25">
      <c r="A128" t="s">
        <v>238</v>
      </c>
      <c r="B128">
        <v>126</v>
      </c>
      <c r="C128">
        <v>3500000</v>
      </c>
      <c r="D128" s="14"/>
      <c r="E128" s="61">
        <v>46160</v>
      </c>
      <c r="F128" s="41">
        <f t="shared" si="1"/>
        <v>46162</v>
      </c>
      <c r="G128" s="16"/>
    </row>
    <row r="129" spans="1:7" ht="15.75" customHeight="1" x14ac:dyDescent="0.25">
      <c r="A129" t="s">
        <v>238</v>
      </c>
      <c r="B129">
        <v>127</v>
      </c>
      <c r="C129">
        <v>3024000</v>
      </c>
      <c r="D129" s="14"/>
      <c r="E129" s="61">
        <v>46160</v>
      </c>
      <c r="F129" s="41">
        <f t="shared" si="1"/>
        <v>46162</v>
      </c>
      <c r="G129" s="16"/>
    </row>
    <row r="130" spans="1:7" ht="15.75" customHeight="1" x14ac:dyDescent="0.25">
      <c r="A130" t="s">
        <v>238</v>
      </c>
      <c r="B130">
        <v>128</v>
      </c>
      <c r="C130">
        <v>2000000</v>
      </c>
      <c r="D130" s="14"/>
      <c r="E130" s="61">
        <v>46160</v>
      </c>
      <c r="F130" s="41">
        <f t="shared" si="1"/>
        <v>46162</v>
      </c>
      <c r="G130" s="16"/>
    </row>
    <row r="131" spans="1:7" ht="15.75" customHeight="1" x14ac:dyDescent="0.25">
      <c r="A131" t="s">
        <v>230</v>
      </c>
      <c r="B131">
        <v>66612046</v>
      </c>
      <c r="C131">
        <v>13057192.01</v>
      </c>
      <c r="D131" s="14"/>
      <c r="E131" s="61">
        <v>46160</v>
      </c>
      <c r="F131" s="41">
        <f t="shared" si="1"/>
        <v>46162</v>
      </c>
      <c r="G131" s="16"/>
    </row>
    <row r="132" spans="1:7" ht="15.75" customHeight="1" x14ac:dyDescent="0.25">
      <c r="A132" t="s">
        <v>192</v>
      </c>
      <c r="B132">
        <v>78055898</v>
      </c>
      <c r="C132">
        <v>960000</v>
      </c>
      <c r="D132" s="14"/>
      <c r="E132" s="61">
        <v>46160</v>
      </c>
      <c r="F132" s="41">
        <f t="shared" si="1"/>
        <v>46162</v>
      </c>
      <c r="G132" s="16"/>
    </row>
    <row r="133" spans="1:7" ht="15.75" customHeight="1" x14ac:dyDescent="0.25">
      <c r="A133" t="s">
        <v>214</v>
      </c>
      <c r="B133">
        <v>90018038</v>
      </c>
      <c r="C133">
        <v>9684400</v>
      </c>
      <c r="D133" s="14"/>
      <c r="E133" s="61">
        <v>46160</v>
      </c>
      <c r="F133" s="41">
        <f t="shared" ref="F133:F192" si="2">+E133+2</f>
        <v>46162</v>
      </c>
      <c r="G133" s="16"/>
    </row>
    <row r="134" spans="1:7" ht="15.75" customHeight="1" x14ac:dyDescent="0.25">
      <c r="A134" t="s">
        <v>209</v>
      </c>
      <c r="B134">
        <v>4629</v>
      </c>
      <c r="C134">
        <v>1300000</v>
      </c>
      <c r="D134" s="14"/>
      <c r="E134" s="61">
        <v>46160</v>
      </c>
      <c r="F134" s="41">
        <f t="shared" si="2"/>
        <v>46162</v>
      </c>
      <c r="G134" s="16"/>
    </row>
    <row r="135" spans="1:7" ht="15.75" customHeight="1" x14ac:dyDescent="0.25">
      <c r="A135" t="s">
        <v>219</v>
      </c>
      <c r="B135">
        <v>29057186</v>
      </c>
      <c r="C135">
        <v>30901040</v>
      </c>
      <c r="D135" s="14"/>
      <c r="E135" s="61">
        <v>46161</v>
      </c>
      <c r="F135" s="41">
        <f t="shared" si="2"/>
        <v>46163</v>
      </c>
      <c r="G135" s="16"/>
    </row>
    <row r="136" spans="1:7" ht="15.75" customHeight="1" x14ac:dyDescent="0.25">
      <c r="A136" t="s">
        <v>201</v>
      </c>
      <c r="B136">
        <v>29117287</v>
      </c>
      <c r="C136">
        <v>10216372.48</v>
      </c>
      <c r="D136" s="14"/>
      <c r="E136" s="61">
        <v>46161</v>
      </c>
      <c r="F136" s="41">
        <f t="shared" si="2"/>
        <v>46163</v>
      </c>
      <c r="G136" s="16"/>
    </row>
    <row r="137" spans="1:7" ht="15.75" customHeight="1" x14ac:dyDescent="0.25">
      <c r="A137" t="s">
        <v>199</v>
      </c>
      <c r="B137">
        <v>9583076</v>
      </c>
      <c r="C137">
        <v>11530750</v>
      </c>
      <c r="D137" s="14"/>
      <c r="E137" s="61">
        <v>46161</v>
      </c>
      <c r="F137" s="41">
        <f t="shared" si="2"/>
        <v>46163</v>
      </c>
      <c r="G137" s="16"/>
    </row>
    <row r="138" spans="1:7" ht="15.75" customHeight="1" x14ac:dyDescent="0.25">
      <c r="A138" t="s">
        <v>209</v>
      </c>
      <c r="B138">
        <v>4576</v>
      </c>
      <c r="C138">
        <v>949750</v>
      </c>
      <c r="D138" s="14"/>
      <c r="E138" s="61">
        <v>46161</v>
      </c>
      <c r="F138" s="41">
        <f t="shared" si="2"/>
        <v>46163</v>
      </c>
      <c r="G138" s="16"/>
    </row>
    <row r="139" spans="1:7" ht="15.75" customHeight="1" x14ac:dyDescent="0.25">
      <c r="A139" t="s">
        <v>192</v>
      </c>
      <c r="B139">
        <v>78055885</v>
      </c>
      <c r="C139">
        <v>500000</v>
      </c>
      <c r="D139" s="14"/>
      <c r="E139" s="61">
        <v>46161</v>
      </c>
      <c r="F139" s="41">
        <f t="shared" si="2"/>
        <v>46163</v>
      </c>
      <c r="G139" s="16"/>
    </row>
    <row r="140" spans="1:7" ht="15.75" customHeight="1" x14ac:dyDescent="0.25">
      <c r="A140" t="s">
        <v>192</v>
      </c>
      <c r="B140">
        <v>78055893</v>
      </c>
      <c r="C140">
        <v>890000</v>
      </c>
      <c r="D140" s="14"/>
      <c r="E140" s="61">
        <v>46161</v>
      </c>
      <c r="F140" s="41">
        <f t="shared" si="2"/>
        <v>46163</v>
      </c>
      <c r="G140" s="16"/>
    </row>
    <row r="141" spans="1:7" ht="15.75" customHeight="1" x14ac:dyDescent="0.25">
      <c r="A141" t="s">
        <v>192</v>
      </c>
      <c r="B141">
        <v>78055899</v>
      </c>
      <c r="C141">
        <v>960000</v>
      </c>
      <c r="D141" s="14"/>
      <c r="E141" s="61">
        <v>46161</v>
      </c>
      <c r="F141" s="41">
        <f t="shared" si="2"/>
        <v>46163</v>
      </c>
      <c r="G141" s="16"/>
    </row>
    <row r="142" spans="1:7" ht="15.75" customHeight="1" x14ac:dyDescent="0.25">
      <c r="A142" t="s">
        <v>209</v>
      </c>
      <c r="B142">
        <v>4630</v>
      </c>
      <c r="C142">
        <v>1300000</v>
      </c>
      <c r="D142" s="14"/>
      <c r="E142" s="61">
        <v>46161</v>
      </c>
      <c r="F142" s="41">
        <f t="shared" si="2"/>
        <v>46163</v>
      </c>
      <c r="G142" s="16"/>
    </row>
    <row r="143" spans="1:7" ht="15.75" customHeight="1" x14ac:dyDescent="0.25">
      <c r="A143" t="s">
        <v>206</v>
      </c>
      <c r="B143">
        <v>1368</v>
      </c>
      <c r="C143">
        <v>26000000</v>
      </c>
      <c r="D143" s="14"/>
      <c r="E143" s="61">
        <v>46162</v>
      </c>
      <c r="F143" s="41">
        <f t="shared" si="2"/>
        <v>46164</v>
      </c>
      <c r="G143" s="16"/>
    </row>
    <row r="144" spans="1:7" ht="15.75" customHeight="1" x14ac:dyDescent="0.25">
      <c r="A144" t="s">
        <v>196</v>
      </c>
      <c r="B144">
        <v>66486598</v>
      </c>
      <c r="C144">
        <v>5000000</v>
      </c>
      <c r="D144" s="14"/>
      <c r="E144" s="61">
        <v>46162</v>
      </c>
      <c r="F144" s="41">
        <f t="shared" si="2"/>
        <v>46164</v>
      </c>
      <c r="G144" s="16"/>
    </row>
    <row r="145" spans="1:7" ht="15.75" customHeight="1" x14ac:dyDescent="0.25">
      <c r="A145" t="s">
        <v>209</v>
      </c>
      <c r="B145">
        <v>4631</v>
      </c>
      <c r="C145">
        <v>1300000</v>
      </c>
      <c r="D145" s="14"/>
      <c r="E145" s="61">
        <v>46162</v>
      </c>
      <c r="F145" s="41">
        <f t="shared" si="2"/>
        <v>46164</v>
      </c>
      <c r="G145" s="16"/>
    </row>
    <row r="146" spans="1:7" ht="15.75" customHeight="1" x14ac:dyDescent="0.25">
      <c r="A146" t="s">
        <v>199</v>
      </c>
      <c r="B146">
        <v>1</v>
      </c>
      <c r="C146">
        <v>14034570</v>
      </c>
      <c r="D146" s="14"/>
      <c r="E146" s="61">
        <v>46163</v>
      </c>
      <c r="F146" s="41">
        <f t="shared" si="2"/>
        <v>46165</v>
      </c>
      <c r="G146" s="16"/>
    </row>
    <row r="147" spans="1:7" ht="15.75" customHeight="1" x14ac:dyDescent="0.25">
      <c r="A147" t="s">
        <v>186</v>
      </c>
      <c r="B147">
        <v>13378069</v>
      </c>
      <c r="C147">
        <v>2465900</v>
      </c>
      <c r="D147" s="14"/>
      <c r="E147" s="61">
        <v>46163</v>
      </c>
      <c r="F147" s="41">
        <f t="shared" si="2"/>
        <v>46165</v>
      </c>
      <c r="G147" s="16"/>
    </row>
    <row r="148" spans="1:7" ht="15.75" customHeight="1" x14ac:dyDescent="0.25">
      <c r="A148" t="s">
        <v>192</v>
      </c>
      <c r="B148">
        <v>78055886</v>
      </c>
      <c r="C148">
        <v>500000</v>
      </c>
      <c r="D148" s="14"/>
      <c r="E148" s="61">
        <v>46163</v>
      </c>
      <c r="F148" s="41">
        <f t="shared" si="2"/>
        <v>46165</v>
      </c>
      <c r="G148" s="16"/>
    </row>
    <row r="149" spans="1:7" ht="15.75" customHeight="1" x14ac:dyDescent="0.25">
      <c r="A149" t="s">
        <v>192</v>
      </c>
      <c r="B149">
        <v>78055894</v>
      </c>
      <c r="C149">
        <v>890000</v>
      </c>
      <c r="D149" s="14"/>
      <c r="E149" s="61">
        <v>46163</v>
      </c>
      <c r="F149" s="41">
        <f t="shared" si="2"/>
        <v>46165</v>
      </c>
      <c r="G149" s="16"/>
    </row>
    <row r="150" spans="1:7" ht="15.75" customHeight="1" x14ac:dyDescent="0.25">
      <c r="A150" t="s">
        <v>192</v>
      </c>
      <c r="B150">
        <v>78055900</v>
      </c>
      <c r="C150">
        <v>960000</v>
      </c>
      <c r="D150" s="14"/>
      <c r="E150" s="61">
        <v>46163</v>
      </c>
      <c r="F150" s="41">
        <f t="shared" si="2"/>
        <v>46165</v>
      </c>
      <c r="G150" s="16"/>
    </row>
    <row r="151" spans="1:7" ht="15.75" customHeight="1" x14ac:dyDescent="0.25">
      <c r="A151" t="s">
        <v>186</v>
      </c>
      <c r="B151">
        <v>13378070</v>
      </c>
      <c r="C151">
        <v>2500000</v>
      </c>
      <c r="D151" s="14"/>
      <c r="E151" s="61">
        <v>46164</v>
      </c>
      <c r="F151" s="41">
        <f t="shared" si="2"/>
        <v>46166</v>
      </c>
      <c r="G151" s="16"/>
    </row>
    <row r="152" spans="1:7" ht="15.75" customHeight="1" x14ac:dyDescent="0.25">
      <c r="A152" t="s">
        <v>211</v>
      </c>
      <c r="B152">
        <v>5214</v>
      </c>
      <c r="C152">
        <v>1373700</v>
      </c>
      <c r="D152" s="14"/>
      <c r="E152" s="61">
        <v>46164</v>
      </c>
      <c r="F152" s="41">
        <f t="shared" si="2"/>
        <v>46166</v>
      </c>
      <c r="G152" s="16"/>
    </row>
    <row r="153" spans="1:7" ht="15.75" customHeight="1" x14ac:dyDescent="0.25">
      <c r="A153" t="s">
        <v>201</v>
      </c>
      <c r="B153">
        <v>1280</v>
      </c>
      <c r="C153">
        <v>5603667.5499999998</v>
      </c>
      <c r="D153" s="14"/>
      <c r="E153" s="61">
        <v>46164</v>
      </c>
      <c r="F153" s="41">
        <f t="shared" si="2"/>
        <v>46166</v>
      </c>
      <c r="G153" s="16"/>
    </row>
    <row r="154" spans="1:7" ht="15.75" customHeight="1" x14ac:dyDescent="0.25">
      <c r="A154" t="s">
        <v>192</v>
      </c>
      <c r="B154">
        <v>78055895</v>
      </c>
      <c r="C154">
        <v>890000</v>
      </c>
      <c r="D154" s="14"/>
      <c r="E154" s="61">
        <v>46164</v>
      </c>
      <c r="F154" s="41">
        <f t="shared" si="2"/>
        <v>46166</v>
      </c>
      <c r="G154" s="16"/>
    </row>
    <row r="155" spans="1:7" ht="15.75" customHeight="1" x14ac:dyDescent="0.25">
      <c r="A155" t="s">
        <v>192</v>
      </c>
      <c r="B155">
        <v>78055896</v>
      </c>
      <c r="C155">
        <v>890000</v>
      </c>
      <c r="D155" s="14"/>
      <c r="E155" s="61">
        <v>46164</v>
      </c>
      <c r="F155" s="41">
        <f t="shared" si="2"/>
        <v>46166</v>
      </c>
      <c r="G155" s="16"/>
    </row>
    <row r="156" spans="1:7" ht="15.75" customHeight="1" x14ac:dyDescent="0.25">
      <c r="A156" t="s">
        <v>192</v>
      </c>
      <c r="B156">
        <v>8055887</v>
      </c>
      <c r="C156">
        <v>525400</v>
      </c>
      <c r="D156" s="14"/>
      <c r="E156" s="61">
        <v>46164</v>
      </c>
      <c r="F156" s="41">
        <f t="shared" si="2"/>
        <v>46166</v>
      </c>
      <c r="G156" s="16"/>
    </row>
    <row r="157" spans="1:7" ht="15.75" customHeight="1" x14ac:dyDescent="0.25">
      <c r="A157" t="s">
        <v>206</v>
      </c>
      <c r="B157">
        <v>1369</v>
      </c>
      <c r="C157">
        <v>26348155</v>
      </c>
      <c r="D157" s="14"/>
      <c r="E157" s="61">
        <v>46164</v>
      </c>
      <c r="F157" s="41">
        <f t="shared" si="2"/>
        <v>46166</v>
      </c>
      <c r="G157" s="16"/>
    </row>
    <row r="158" spans="1:7" ht="15.75" customHeight="1" x14ac:dyDescent="0.25">
      <c r="A158" t="s">
        <v>244</v>
      </c>
      <c r="B158">
        <v>6800188</v>
      </c>
      <c r="C158">
        <v>16576560</v>
      </c>
      <c r="D158" s="14"/>
      <c r="E158" s="61">
        <v>46164</v>
      </c>
      <c r="F158" s="41">
        <f t="shared" si="2"/>
        <v>46166</v>
      </c>
      <c r="G158" s="16"/>
    </row>
    <row r="159" spans="1:7" ht="15.75" customHeight="1" x14ac:dyDescent="0.25">
      <c r="A159" t="s">
        <v>192</v>
      </c>
      <c r="B159">
        <v>78055901</v>
      </c>
      <c r="C159">
        <v>960000</v>
      </c>
      <c r="D159" s="14"/>
      <c r="E159" s="61">
        <v>46164</v>
      </c>
      <c r="F159" s="41">
        <f t="shared" si="2"/>
        <v>46166</v>
      </c>
      <c r="G159" s="16"/>
    </row>
    <row r="160" spans="1:7" ht="15.75" customHeight="1" x14ac:dyDescent="0.25">
      <c r="A160" t="s">
        <v>214</v>
      </c>
      <c r="B160">
        <v>90018039</v>
      </c>
      <c r="C160">
        <v>9640400</v>
      </c>
      <c r="D160" s="14"/>
      <c r="E160" s="61">
        <v>46164</v>
      </c>
      <c r="F160" s="41">
        <f t="shared" si="2"/>
        <v>46166</v>
      </c>
      <c r="G160" s="16"/>
    </row>
    <row r="161" spans="1:7" ht="15.75" customHeight="1" x14ac:dyDescent="0.25">
      <c r="A161" t="s">
        <v>209</v>
      </c>
      <c r="B161">
        <v>4715</v>
      </c>
      <c r="C161">
        <v>1300000</v>
      </c>
      <c r="D161" s="14"/>
      <c r="E161" s="61">
        <v>46164</v>
      </c>
      <c r="F161" s="41">
        <f t="shared" si="2"/>
        <v>46166</v>
      </c>
      <c r="G161" s="16"/>
    </row>
    <row r="162" spans="1:7" ht="15.75" customHeight="1" x14ac:dyDescent="0.25">
      <c r="A162" t="s">
        <v>209</v>
      </c>
      <c r="B162">
        <v>4632</v>
      </c>
      <c r="C162">
        <v>1300000</v>
      </c>
      <c r="D162" s="14"/>
      <c r="E162" s="61">
        <v>46164</v>
      </c>
      <c r="F162" s="41">
        <f t="shared" si="2"/>
        <v>46166</v>
      </c>
      <c r="G162" s="16"/>
    </row>
    <row r="163" spans="1:7" ht="15.75" customHeight="1" x14ac:dyDescent="0.25">
      <c r="A163" t="s">
        <v>223</v>
      </c>
      <c r="B163">
        <v>6818</v>
      </c>
      <c r="C163">
        <v>22336160</v>
      </c>
      <c r="D163" s="14"/>
      <c r="E163" s="61">
        <v>46167</v>
      </c>
      <c r="F163" s="41">
        <f t="shared" si="2"/>
        <v>46169</v>
      </c>
      <c r="G163" s="16"/>
    </row>
    <row r="164" spans="1:7" ht="15.75" customHeight="1" x14ac:dyDescent="0.25">
      <c r="A164" t="s">
        <v>232</v>
      </c>
      <c r="B164">
        <v>9487744</v>
      </c>
      <c r="C164">
        <v>8879287.4600000009</v>
      </c>
      <c r="D164" s="14"/>
      <c r="E164" s="61">
        <v>46167</v>
      </c>
      <c r="F164" s="41">
        <f t="shared" si="2"/>
        <v>46169</v>
      </c>
      <c r="G164" s="16"/>
    </row>
    <row r="165" spans="1:7" ht="15.75" customHeight="1" x14ac:dyDescent="0.25">
      <c r="A165" t="s">
        <v>186</v>
      </c>
      <c r="B165">
        <v>13378071</v>
      </c>
      <c r="C165">
        <v>2500000</v>
      </c>
      <c r="D165" s="14"/>
      <c r="E165" s="61">
        <v>46167</v>
      </c>
      <c r="F165" s="41">
        <f t="shared" si="2"/>
        <v>46169</v>
      </c>
      <c r="G165" s="16"/>
    </row>
    <row r="166" spans="1:7" ht="15.75" customHeight="1" x14ac:dyDescent="0.25">
      <c r="A166" t="s">
        <v>186</v>
      </c>
      <c r="B166">
        <v>13378072</v>
      </c>
      <c r="C166">
        <v>2500000</v>
      </c>
      <c r="D166" s="14"/>
      <c r="E166" s="61">
        <v>46167</v>
      </c>
      <c r="F166" s="41">
        <f t="shared" si="2"/>
        <v>46169</v>
      </c>
      <c r="G166" s="16"/>
    </row>
    <row r="167" spans="1:7" ht="15.75" customHeight="1" x14ac:dyDescent="0.25">
      <c r="A167" t="s">
        <v>186</v>
      </c>
      <c r="B167">
        <v>13378073</v>
      </c>
      <c r="C167">
        <v>2500000</v>
      </c>
      <c r="D167" s="14"/>
      <c r="E167" s="61">
        <v>46167</v>
      </c>
      <c r="F167" s="41">
        <f t="shared" si="2"/>
        <v>46169</v>
      </c>
      <c r="G167" s="16"/>
    </row>
    <row r="168" spans="1:7" ht="15.75" customHeight="1" x14ac:dyDescent="0.25">
      <c r="A168" t="s">
        <v>230</v>
      </c>
      <c r="B168">
        <v>66612110</v>
      </c>
      <c r="C168">
        <v>14000000</v>
      </c>
      <c r="D168" s="14"/>
      <c r="E168" s="61">
        <v>46167</v>
      </c>
      <c r="F168" s="41">
        <f t="shared" si="2"/>
        <v>46169</v>
      </c>
      <c r="G168" s="16"/>
    </row>
    <row r="169" spans="1:7" ht="15.75" customHeight="1" x14ac:dyDescent="0.25">
      <c r="A169" t="s">
        <v>196</v>
      </c>
      <c r="B169">
        <v>66487132</v>
      </c>
      <c r="C169">
        <v>4796000</v>
      </c>
      <c r="D169" s="14"/>
      <c r="E169" s="61">
        <v>46167</v>
      </c>
      <c r="F169" s="41">
        <f t="shared" si="2"/>
        <v>46169</v>
      </c>
      <c r="G169" s="16"/>
    </row>
    <row r="170" spans="1:7" ht="15.75" customHeight="1" x14ac:dyDescent="0.25">
      <c r="A170" t="s">
        <v>192</v>
      </c>
      <c r="B170">
        <v>78055897</v>
      </c>
      <c r="C170">
        <v>907700</v>
      </c>
      <c r="D170" s="14"/>
      <c r="E170" s="61">
        <v>46168</v>
      </c>
      <c r="F170" s="41">
        <f t="shared" si="2"/>
        <v>46170</v>
      </c>
      <c r="G170" s="16"/>
    </row>
    <row r="171" spans="1:7" ht="15.75" customHeight="1" x14ac:dyDescent="0.25">
      <c r="A171" t="s">
        <v>192</v>
      </c>
      <c r="B171">
        <v>78055902</v>
      </c>
      <c r="C171">
        <v>960000</v>
      </c>
      <c r="D171" s="14"/>
      <c r="E171" s="61">
        <v>46168</v>
      </c>
      <c r="F171" s="41">
        <f t="shared" si="2"/>
        <v>46170</v>
      </c>
      <c r="G171" s="16"/>
    </row>
    <row r="172" spans="1:7" ht="15.75" customHeight="1" x14ac:dyDescent="0.25">
      <c r="A172" t="s">
        <v>209</v>
      </c>
      <c r="B172">
        <v>4716</v>
      </c>
      <c r="C172">
        <v>1300000</v>
      </c>
      <c r="D172" s="14"/>
      <c r="E172" s="61">
        <v>46168</v>
      </c>
      <c r="F172" s="41">
        <f t="shared" si="2"/>
        <v>46170</v>
      </c>
      <c r="G172" s="16"/>
    </row>
    <row r="173" spans="1:7" ht="15.75" customHeight="1" x14ac:dyDescent="0.25">
      <c r="A173" t="s">
        <v>209</v>
      </c>
      <c r="B173">
        <v>4633</v>
      </c>
      <c r="C173">
        <v>1162600</v>
      </c>
      <c r="D173" s="14"/>
      <c r="E173" s="61">
        <v>46168</v>
      </c>
      <c r="F173" s="41">
        <f t="shared" si="2"/>
        <v>46170</v>
      </c>
      <c r="G173" s="16"/>
    </row>
    <row r="174" spans="1:7" ht="15.75" customHeight="1" x14ac:dyDescent="0.25">
      <c r="A174" t="s">
        <v>199</v>
      </c>
      <c r="B174">
        <v>16</v>
      </c>
      <c r="C174">
        <v>19042210</v>
      </c>
      <c r="D174" s="14"/>
      <c r="E174" s="61">
        <v>46169</v>
      </c>
      <c r="F174" s="41">
        <f t="shared" si="2"/>
        <v>46171</v>
      </c>
      <c r="G174" s="16"/>
    </row>
    <row r="175" spans="1:7" ht="15.75" customHeight="1" x14ac:dyDescent="0.25">
      <c r="A175" t="s">
        <v>196</v>
      </c>
      <c r="B175">
        <v>66486893</v>
      </c>
      <c r="C175">
        <v>5000000</v>
      </c>
      <c r="D175" s="14"/>
      <c r="E175" s="61">
        <v>46169</v>
      </c>
      <c r="F175" s="41">
        <f t="shared" si="2"/>
        <v>46171</v>
      </c>
      <c r="G175" s="16"/>
    </row>
    <row r="176" spans="1:7" ht="15.75" customHeight="1" x14ac:dyDescent="0.25">
      <c r="A176" t="s">
        <v>192</v>
      </c>
      <c r="B176">
        <v>78055903</v>
      </c>
      <c r="C176">
        <v>960000</v>
      </c>
      <c r="D176" s="14"/>
      <c r="E176" s="61">
        <v>46169</v>
      </c>
      <c r="F176" s="41">
        <f t="shared" si="2"/>
        <v>46171</v>
      </c>
      <c r="G176" s="16"/>
    </row>
    <row r="177" spans="1:7" ht="15.75" customHeight="1" x14ac:dyDescent="0.25">
      <c r="A177" t="s">
        <v>209</v>
      </c>
      <c r="B177">
        <v>4717</v>
      </c>
      <c r="C177">
        <v>1300000</v>
      </c>
      <c r="D177" s="14"/>
      <c r="E177" s="61">
        <v>46169</v>
      </c>
      <c r="F177" s="41">
        <f t="shared" si="2"/>
        <v>46171</v>
      </c>
      <c r="G177" s="16"/>
    </row>
    <row r="178" spans="1:7" ht="15.75" customHeight="1" x14ac:dyDescent="0.25">
      <c r="A178" t="s">
        <v>201</v>
      </c>
      <c r="B178">
        <v>29153824</v>
      </c>
      <c r="C178">
        <v>8049582.4500000002</v>
      </c>
      <c r="D178" s="14"/>
      <c r="E178" s="61">
        <v>46170</v>
      </c>
      <c r="F178" s="41">
        <f t="shared" si="2"/>
        <v>46172</v>
      </c>
      <c r="G178" s="16"/>
    </row>
    <row r="179" spans="1:7" ht="15.75" customHeight="1" x14ac:dyDescent="0.25">
      <c r="A179" t="s">
        <v>192</v>
      </c>
      <c r="B179">
        <v>78055904</v>
      </c>
      <c r="C179">
        <v>960000</v>
      </c>
      <c r="D179" s="14"/>
      <c r="E179" s="61">
        <v>46170</v>
      </c>
      <c r="F179" s="41">
        <f t="shared" si="2"/>
        <v>46172</v>
      </c>
      <c r="G179" s="16"/>
    </row>
    <row r="180" spans="1:7" ht="15.75" customHeight="1" x14ac:dyDescent="0.25">
      <c r="A180" t="s">
        <v>211</v>
      </c>
      <c r="B180">
        <v>5221</v>
      </c>
      <c r="C180">
        <v>1626750</v>
      </c>
      <c r="D180" s="14"/>
      <c r="E180" s="61">
        <v>46171</v>
      </c>
      <c r="F180" s="41">
        <f t="shared" si="2"/>
        <v>46173</v>
      </c>
      <c r="G180" s="16"/>
    </row>
    <row r="181" spans="1:7" ht="15.75" customHeight="1" x14ac:dyDescent="0.25">
      <c r="A181" t="s">
        <v>192</v>
      </c>
      <c r="B181">
        <v>78055905</v>
      </c>
      <c r="C181">
        <v>960000</v>
      </c>
      <c r="D181" s="14"/>
      <c r="E181" s="61">
        <v>46171</v>
      </c>
      <c r="F181" s="41">
        <f t="shared" si="2"/>
        <v>46173</v>
      </c>
      <c r="G181" s="16"/>
    </row>
    <row r="182" spans="1:7" ht="15.75" customHeight="1" x14ac:dyDescent="0.25">
      <c r="A182" t="s">
        <v>209</v>
      </c>
      <c r="B182">
        <v>4718</v>
      </c>
      <c r="C182">
        <v>1300000</v>
      </c>
      <c r="D182" s="14"/>
      <c r="E182" s="61">
        <v>46171</v>
      </c>
      <c r="F182" s="41">
        <f t="shared" si="2"/>
        <v>46173</v>
      </c>
      <c r="G182" s="16"/>
    </row>
    <row r="183" spans="1:7" ht="15.75" customHeight="1" x14ac:dyDescent="0.25">
      <c r="A183" t="s">
        <v>223</v>
      </c>
      <c r="B183">
        <v>6894</v>
      </c>
      <c r="C183">
        <v>19015040</v>
      </c>
      <c r="D183" s="14"/>
      <c r="E183" s="61">
        <v>46174</v>
      </c>
      <c r="F183" s="41">
        <f t="shared" si="2"/>
        <v>46176</v>
      </c>
      <c r="G183" s="16"/>
    </row>
    <row r="184" spans="1:7" ht="15.75" customHeight="1" x14ac:dyDescent="0.25">
      <c r="A184" t="s">
        <v>192</v>
      </c>
      <c r="B184">
        <v>78055906</v>
      </c>
      <c r="C184">
        <v>960000</v>
      </c>
      <c r="D184" s="14"/>
      <c r="E184" s="61">
        <v>46174</v>
      </c>
      <c r="F184" s="41">
        <f t="shared" si="2"/>
        <v>46176</v>
      </c>
      <c r="G184" s="16"/>
    </row>
    <row r="185" spans="1:7" ht="15.75" customHeight="1" x14ac:dyDescent="0.25">
      <c r="A185" t="s">
        <v>196</v>
      </c>
      <c r="B185">
        <v>66643962</v>
      </c>
      <c r="C185">
        <v>4457800</v>
      </c>
      <c r="D185" s="14"/>
      <c r="E185" s="61">
        <v>46175</v>
      </c>
      <c r="F185" s="41">
        <f t="shared" si="2"/>
        <v>46177</v>
      </c>
      <c r="G185" s="16"/>
    </row>
    <row r="186" spans="1:7" ht="15.75" customHeight="1" x14ac:dyDescent="0.25">
      <c r="A186" t="s">
        <v>192</v>
      </c>
      <c r="B186">
        <v>78055907</v>
      </c>
      <c r="C186">
        <v>943200</v>
      </c>
      <c r="D186" s="14"/>
      <c r="E186" s="61">
        <v>46175</v>
      </c>
      <c r="F186" s="41">
        <f t="shared" si="2"/>
        <v>46177</v>
      </c>
      <c r="G186" s="16"/>
    </row>
    <row r="187" spans="1:7" ht="15.75" customHeight="1" x14ac:dyDescent="0.25">
      <c r="A187" t="s">
        <v>196</v>
      </c>
      <c r="B187">
        <v>66643850</v>
      </c>
      <c r="C187">
        <v>4400000</v>
      </c>
      <c r="D187" s="14"/>
      <c r="E187" s="61">
        <v>46176</v>
      </c>
      <c r="F187" s="41">
        <f t="shared" si="2"/>
        <v>46178</v>
      </c>
      <c r="G187" s="16"/>
    </row>
    <row r="188" spans="1:7" ht="15.75" customHeight="1" x14ac:dyDescent="0.25">
      <c r="A188" t="s">
        <v>223</v>
      </c>
      <c r="B188">
        <v>6948</v>
      </c>
      <c r="C188">
        <v>17842880</v>
      </c>
      <c r="D188" s="14"/>
      <c r="E188" s="61">
        <v>46178</v>
      </c>
      <c r="F188" s="41">
        <f t="shared" si="2"/>
        <v>46180</v>
      </c>
      <c r="G188" s="16"/>
    </row>
    <row r="189" spans="1:7" ht="15.75" customHeight="1" x14ac:dyDescent="0.25">
      <c r="A189" t="s">
        <v>209</v>
      </c>
      <c r="B189">
        <v>4719</v>
      </c>
      <c r="C189">
        <v>1300000</v>
      </c>
      <c r="D189" s="14"/>
      <c r="E189" s="61">
        <v>46178</v>
      </c>
      <c r="F189" s="41">
        <f t="shared" si="2"/>
        <v>46180</v>
      </c>
      <c r="G189" s="16"/>
    </row>
    <row r="190" spans="1:7" ht="15.75" customHeight="1" x14ac:dyDescent="0.25">
      <c r="A190" t="s">
        <v>209</v>
      </c>
      <c r="B190">
        <v>4720</v>
      </c>
      <c r="C190">
        <v>949750</v>
      </c>
      <c r="D190" s="14"/>
      <c r="E190" s="61">
        <v>46181</v>
      </c>
      <c r="F190" s="41">
        <f t="shared" si="2"/>
        <v>46183</v>
      </c>
      <c r="G190" s="16"/>
    </row>
    <row r="191" spans="1:7" ht="15.75" customHeight="1" x14ac:dyDescent="0.25">
      <c r="A191" t="s">
        <v>244</v>
      </c>
      <c r="B191">
        <v>6760642</v>
      </c>
      <c r="C191">
        <v>24824194.600000001</v>
      </c>
      <c r="D191" s="14"/>
      <c r="E191" s="61">
        <v>46185</v>
      </c>
      <c r="F191" s="41">
        <f t="shared" si="2"/>
        <v>46187</v>
      </c>
      <c r="G191" s="16"/>
    </row>
    <row r="192" spans="1:7" ht="15.75" customHeight="1" x14ac:dyDescent="0.25">
      <c r="A192" t="s">
        <v>241</v>
      </c>
      <c r="B192">
        <v>3436588</v>
      </c>
      <c r="C192">
        <v>1934482.85</v>
      </c>
      <c r="D192" s="14"/>
      <c r="E192" s="61">
        <v>46223</v>
      </c>
      <c r="F192" s="41">
        <f t="shared" si="2"/>
        <v>46225</v>
      </c>
      <c r="G192" s="16"/>
    </row>
    <row r="193" spans="1:7" ht="15.75" customHeight="1" x14ac:dyDescent="0.25">
      <c r="A193" s="16"/>
      <c r="B193" s="40"/>
      <c r="C193" s="17"/>
      <c r="D193" s="14"/>
      <c r="E193" s="14"/>
      <c r="F193" s="41"/>
      <c r="G193" s="16"/>
    </row>
    <row r="194" spans="1:7" ht="15.75" customHeight="1" x14ac:dyDescent="0.25">
      <c r="A194" s="16"/>
      <c r="B194" s="40"/>
      <c r="C194" s="17"/>
      <c r="D194" s="14"/>
      <c r="E194" s="14"/>
      <c r="F194" s="41"/>
      <c r="G194" s="16"/>
    </row>
    <row r="195" spans="1:7" ht="15.75" customHeight="1" x14ac:dyDescent="0.25">
      <c r="A195" s="16"/>
      <c r="B195" s="40"/>
      <c r="C195" s="17"/>
      <c r="D195" s="14"/>
      <c r="E195" s="14"/>
      <c r="F195" s="41"/>
      <c r="G195" s="16"/>
    </row>
    <row r="196" spans="1:7" ht="15.75" customHeight="1" x14ac:dyDescent="0.25">
      <c r="A196" s="16"/>
      <c r="B196" s="40"/>
      <c r="C196" s="17"/>
      <c r="D196" s="14"/>
      <c r="E196" s="14"/>
      <c r="F196" s="41"/>
      <c r="G196" s="16"/>
    </row>
    <row r="197" spans="1:7" ht="15.75" customHeight="1" x14ac:dyDescent="0.25">
      <c r="A197" s="16"/>
      <c r="B197" s="40"/>
      <c r="C197" s="17"/>
      <c r="D197" s="14"/>
      <c r="E197" s="14"/>
      <c r="F197" s="41"/>
      <c r="G197" s="16"/>
    </row>
    <row r="198" spans="1:7" ht="15.75" customHeight="1" x14ac:dyDescent="0.25">
      <c r="A198" s="16"/>
      <c r="B198" s="40"/>
      <c r="C198" s="17"/>
      <c r="D198" s="14"/>
      <c r="E198" s="14"/>
      <c r="F198" s="41"/>
      <c r="G198" s="16"/>
    </row>
    <row r="199" spans="1:7" ht="15.75" customHeight="1" x14ac:dyDescent="0.25">
      <c r="A199" s="16"/>
      <c r="B199" s="40"/>
      <c r="C199" s="17"/>
      <c r="D199" s="14"/>
      <c r="E199" s="14"/>
      <c r="F199" s="41"/>
      <c r="G199" s="16"/>
    </row>
    <row r="200" spans="1:7" ht="15.75" customHeight="1" x14ac:dyDescent="0.25">
      <c r="A200" s="16"/>
      <c r="B200" s="40"/>
      <c r="C200" s="17"/>
      <c r="D200" s="14"/>
      <c r="E200" s="14"/>
      <c r="F200" s="41"/>
      <c r="G200" s="16"/>
    </row>
    <row r="201" spans="1:7" ht="15.75" customHeight="1" x14ac:dyDescent="0.25">
      <c r="A201" s="16"/>
      <c r="B201" s="40"/>
      <c r="C201" s="17"/>
      <c r="D201" s="14"/>
      <c r="E201" s="14"/>
      <c r="F201" s="41"/>
      <c r="G201" s="16"/>
    </row>
    <row r="202" spans="1:7" ht="15.75" customHeight="1" x14ac:dyDescent="0.25">
      <c r="A202" s="16"/>
      <c r="B202" s="40"/>
      <c r="C202" s="17"/>
      <c r="D202" s="14"/>
      <c r="E202" s="14"/>
      <c r="F202" s="41"/>
      <c r="G202" s="16"/>
    </row>
    <row r="203" spans="1:7" ht="15.75" customHeight="1" x14ac:dyDescent="0.25">
      <c r="A203" s="16"/>
      <c r="B203" s="40"/>
      <c r="C203" s="17"/>
      <c r="D203" s="14"/>
      <c r="E203" s="14"/>
      <c r="F203" s="41"/>
      <c r="G203" s="16"/>
    </row>
    <row r="204" spans="1:7" ht="15.75" customHeight="1" x14ac:dyDescent="0.25">
      <c r="A204" s="16"/>
      <c r="B204" s="40"/>
      <c r="C204" s="17"/>
      <c r="D204" s="14"/>
      <c r="E204" s="14"/>
      <c r="F204" s="41"/>
      <c r="G204" s="16"/>
    </row>
    <row r="205" spans="1:7" ht="15.75" customHeight="1" x14ac:dyDescent="0.25">
      <c r="A205" s="16"/>
      <c r="B205" s="40"/>
      <c r="C205" s="17"/>
      <c r="D205" s="14"/>
      <c r="E205" s="14"/>
      <c r="F205" s="41"/>
      <c r="G205" s="16"/>
    </row>
    <row r="206" spans="1:7" ht="15.75" customHeight="1" x14ac:dyDescent="0.25">
      <c r="A206" s="16"/>
      <c r="B206" s="40"/>
      <c r="C206" s="17"/>
      <c r="D206" s="14"/>
      <c r="E206" s="14"/>
      <c r="F206" s="41"/>
      <c r="G206" s="16"/>
    </row>
    <row r="207" spans="1:7" ht="15.75" customHeight="1" x14ac:dyDescent="0.25">
      <c r="A207" s="16"/>
      <c r="B207" s="40"/>
      <c r="C207" s="17"/>
      <c r="D207" s="14"/>
      <c r="E207" s="14"/>
      <c r="F207" s="41"/>
      <c r="G207" s="16"/>
    </row>
    <row r="208" spans="1:7" ht="15.75" customHeight="1" x14ac:dyDescent="0.25">
      <c r="A208" s="16"/>
      <c r="B208" s="40"/>
      <c r="C208" s="17"/>
      <c r="D208" s="14"/>
      <c r="E208" s="14"/>
      <c r="F208" s="41"/>
      <c r="G208" s="16"/>
    </row>
    <row r="209" spans="1:7" ht="15.75" customHeight="1" x14ac:dyDescent="0.25">
      <c r="A209" s="16"/>
      <c r="B209" s="40"/>
      <c r="C209" s="17"/>
      <c r="D209" s="14"/>
      <c r="E209" s="14"/>
      <c r="F209" s="41"/>
      <c r="G209" s="16"/>
    </row>
    <row r="210" spans="1:7" ht="15.75" customHeight="1" x14ac:dyDescent="0.25">
      <c r="A210" s="16"/>
      <c r="B210" s="40"/>
      <c r="C210" s="17"/>
      <c r="D210" s="14"/>
      <c r="E210" s="14"/>
      <c r="F210" s="41"/>
      <c r="G210" s="16"/>
    </row>
    <row r="211" spans="1:7" ht="15.75" customHeight="1" x14ac:dyDescent="0.25">
      <c r="A211" s="16"/>
      <c r="B211" s="40"/>
      <c r="C211" s="17"/>
      <c r="D211" s="14"/>
      <c r="E211" s="14"/>
      <c r="F211" s="41"/>
      <c r="G211" s="16"/>
    </row>
    <row r="212" spans="1:7" ht="15.75" customHeight="1" x14ac:dyDescent="0.25">
      <c r="A212" s="16"/>
      <c r="B212" s="40"/>
      <c r="C212" s="17"/>
      <c r="D212" s="14"/>
      <c r="E212" s="14"/>
      <c r="F212" s="41"/>
      <c r="G212" s="16"/>
    </row>
    <row r="213" spans="1:7" ht="15.75" customHeight="1" x14ac:dyDescent="0.25">
      <c r="A213" s="16"/>
      <c r="B213" s="40"/>
      <c r="C213" s="17"/>
      <c r="D213" s="14"/>
      <c r="E213" s="14"/>
      <c r="F213" s="41"/>
      <c r="G213" s="16"/>
    </row>
    <row r="214" spans="1:7" ht="15.75" customHeight="1" x14ac:dyDescent="0.25">
      <c r="A214" s="16"/>
      <c r="B214" s="40"/>
      <c r="C214" s="17"/>
      <c r="D214" s="14"/>
      <c r="E214" s="14"/>
      <c r="F214" s="41"/>
      <c r="G214" s="16"/>
    </row>
    <row r="215" spans="1:7" ht="15.75" customHeight="1" x14ac:dyDescent="0.25">
      <c r="A215" s="16"/>
      <c r="B215" s="40"/>
      <c r="C215" s="17"/>
      <c r="D215" s="14"/>
      <c r="E215" s="14"/>
      <c r="F215" s="41"/>
      <c r="G215" s="16"/>
    </row>
    <row r="216" spans="1:7" ht="15.75" customHeight="1" x14ac:dyDescent="0.25">
      <c r="A216" s="16"/>
      <c r="B216" s="40"/>
      <c r="C216" s="17"/>
      <c r="D216" s="14"/>
      <c r="E216" s="14"/>
      <c r="F216" s="41"/>
      <c r="G216" s="16"/>
    </row>
    <row r="217" spans="1:7" ht="15.75" customHeight="1" x14ac:dyDescent="0.25">
      <c r="A217" s="16"/>
      <c r="B217" s="40"/>
      <c r="C217" s="17"/>
      <c r="D217" s="14"/>
      <c r="E217" s="14"/>
      <c r="F217" s="41"/>
      <c r="G217" s="16"/>
    </row>
    <row r="218" spans="1:7" ht="15.75" customHeight="1" x14ac:dyDescent="0.25">
      <c r="A218" s="16"/>
      <c r="B218" s="40"/>
      <c r="C218" s="17"/>
      <c r="D218" s="14"/>
      <c r="E218" s="14"/>
      <c r="F218" s="41"/>
      <c r="G218" s="16"/>
    </row>
    <row r="219" spans="1:7" ht="15.75" customHeight="1" x14ac:dyDescent="0.25">
      <c r="A219" s="16"/>
      <c r="B219" s="40"/>
      <c r="C219" s="17"/>
      <c r="D219" s="14"/>
      <c r="E219" s="14"/>
      <c r="F219" s="41"/>
      <c r="G219" s="16"/>
    </row>
    <row r="220" spans="1:7" ht="15.75" customHeight="1" x14ac:dyDescent="0.25">
      <c r="A220" s="16"/>
      <c r="B220" s="40"/>
      <c r="C220" s="17"/>
      <c r="D220" s="14"/>
      <c r="E220" s="14"/>
      <c r="F220" s="41"/>
      <c r="G220" s="16"/>
    </row>
    <row r="221" spans="1:7" ht="15.75" customHeight="1" x14ac:dyDescent="0.25">
      <c r="A221" s="16"/>
      <c r="B221" s="40"/>
      <c r="C221" s="17"/>
      <c r="D221" s="14"/>
      <c r="E221" s="14"/>
      <c r="F221" s="41"/>
      <c r="G221" s="16"/>
    </row>
    <row r="222" spans="1:7" ht="15.75" customHeight="1" x14ac:dyDescent="0.25">
      <c r="A222" s="16"/>
      <c r="B222" s="40"/>
      <c r="C222" s="17"/>
      <c r="D222" s="14"/>
      <c r="E222" s="14"/>
      <c r="F222" s="41"/>
      <c r="G222" s="16"/>
    </row>
    <row r="223" spans="1:7" ht="15.75" customHeight="1" x14ac:dyDescent="0.25">
      <c r="A223" s="16"/>
      <c r="B223" s="40"/>
      <c r="C223" s="17"/>
      <c r="D223" s="14"/>
      <c r="E223" s="14"/>
      <c r="F223" s="41"/>
      <c r="G223" s="16"/>
    </row>
    <row r="224" spans="1:7" ht="15.75" customHeight="1" x14ac:dyDescent="0.25">
      <c r="A224" s="16"/>
      <c r="B224" s="40"/>
      <c r="C224" s="17"/>
      <c r="D224" s="14"/>
      <c r="E224" s="14"/>
      <c r="F224" s="41"/>
      <c r="G224" s="16"/>
    </row>
    <row r="225" spans="1:7" ht="15.75" customHeight="1" x14ac:dyDescent="0.25">
      <c r="A225" s="16"/>
      <c r="B225" s="40"/>
      <c r="C225" s="17"/>
      <c r="D225" s="14"/>
      <c r="E225" s="14"/>
      <c r="F225" s="41"/>
      <c r="G225" s="16"/>
    </row>
    <row r="226" spans="1:7" ht="15.75" customHeight="1" x14ac:dyDescent="0.25">
      <c r="A226" s="16"/>
      <c r="B226" s="40"/>
      <c r="C226" s="17"/>
      <c r="D226" s="14"/>
      <c r="E226" s="14"/>
      <c r="F226" s="41"/>
      <c r="G226" s="16"/>
    </row>
    <row r="227" spans="1:7" ht="15.75" customHeight="1" x14ac:dyDescent="0.25">
      <c r="A227" s="16"/>
      <c r="B227" s="40"/>
      <c r="C227" s="17"/>
      <c r="D227" s="14"/>
      <c r="E227" s="14"/>
      <c r="F227" s="41"/>
      <c r="G227" s="16"/>
    </row>
    <row r="228" spans="1:7" ht="15.75" customHeight="1" x14ac:dyDescent="0.25">
      <c r="A228" s="16"/>
      <c r="B228" s="40"/>
      <c r="C228" s="17"/>
      <c r="D228" s="14"/>
      <c r="E228" s="14"/>
      <c r="F228" s="41"/>
      <c r="G228" s="16"/>
    </row>
    <row r="229" spans="1:7" ht="15.75" customHeight="1" x14ac:dyDescent="0.25">
      <c r="A229" s="16"/>
      <c r="B229" s="40"/>
      <c r="C229" s="17"/>
      <c r="D229" s="14"/>
      <c r="E229" s="14"/>
      <c r="F229" s="41"/>
      <c r="G229" s="16"/>
    </row>
    <row r="230" spans="1:7" ht="15.75" customHeight="1" x14ac:dyDescent="0.25">
      <c r="A230" s="16"/>
      <c r="B230" s="40"/>
      <c r="C230" s="17"/>
      <c r="D230" s="14"/>
      <c r="E230" s="14"/>
      <c r="F230" s="41"/>
      <c r="G230" s="16"/>
    </row>
    <row r="231" spans="1:7" ht="15.75" customHeight="1" x14ac:dyDescent="0.25">
      <c r="A231" s="16"/>
      <c r="B231" s="40"/>
      <c r="C231" s="17"/>
      <c r="D231" s="14"/>
      <c r="E231" s="14"/>
      <c r="F231" s="41"/>
      <c r="G231" s="16"/>
    </row>
    <row r="232" spans="1:7" ht="15.75" customHeight="1" x14ac:dyDescent="0.25">
      <c r="A232" s="16"/>
      <c r="B232" s="40"/>
      <c r="C232" s="17"/>
      <c r="D232" s="14"/>
      <c r="E232" s="14"/>
      <c r="F232" s="41"/>
      <c r="G232" s="16"/>
    </row>
    <row r="233" spans="1:7" ht="15.75" customHeight="1" x14ac:dyDescent="0.25">
      <c r="A233" s="16"/>
      <c r="B233" s="40"/>
      <c r="C233" s="17"/>
      <c r="D233" s="14"/>
      <c r="E233" s="14"/>
      <c r="F233" s="41"/>
      <c r="G233" s="16"/>
    </row>
    <row r="234" spans="1:7" ht="15.75" customHeight="1" x14ac:dyDescent="0.25">
      <c r="A234" s="16"/>
      <c r="B234" s="40"/>
      <c r="C234" s="17"/>
      <c r="D234" s="14"/>
      <c r="E234" s="14"/>
      <c r="F234" s="41"/>
      <c r="G234" s="16"/>
    </row>
    <row r="235" spans="1:7" ht="15.75" customHeight="1" x14ac:dyDescent="0.25">
      <c r="A235" s="16"/>
      <c r="B235" s="40"/>
      <c r="C235" s="17"/>
      <c r="D235" s="14"/>
      <c r="E235" s="14"/>
      <c r="F235" s="41"/>
      <c r="G235" s="16"/>
    </row>
    <row r="236" spans="1:7" ht="15.75" customHeight="1" x14ac:dyDescent="0.25">
      <c r="A236" s="16"/>
      <c r="B236" s="40"/>
      <c r="C236" s="17"/>
      <c r="D236" s="14"/>
      <c r="E236" s="14"/>
      <c r="F236" s="41"/>
      <c r="G236" s="16"/>
    </row>
    <row r="237" spans="1:7" ht="15.75" customHeight="1" x14ac:dyDescent="0.25">
      <c r="A237" s="16"/>
      <c r="B237" s="40"/>
      <c r="C237" s="17"/>
      <c r="D237" s="14"/>
      <c r="E237" s="14"/>
      <c r="F237" s="41"/>
      <c r="G237" s="16"/>
    </row>
    <row r="238" spans="1:7" ht="15.75" customHeight="1" x14ac:dyDescent="0.25">
      <c r="A238" s="16"/>
      <c r="B238" s="40"/>
      <c r="C238" s="17"/>
      <c r="D238" s="14"/>
      <c r="E238" s="14"/>
      <c r="F238" s="41"/>
      <c r="G238" s="16"/>
    </row>
    <row r="239" spans="1:7" ht="15.75" customHeight="1" x14ac:dyDescent="0.25">
      <c r="A239" s="16"/>
      <c r="B239" s="40"/>
      <c r="C239" s="17"/>
      <c r="D239" s="14"/>
      <c r="E239" s="14"/>
      <c r="F239" s="41"/>
      <c r="G239" s="16"/>
    </row>
    <row r="240" spans="1:7" ht="15.75" customHeight="1" x14ac:dyDescent="0.25">
      <c r="A240" s="16"/>
      <c r="B240" s="40"/>
      <c r="C240" s="17"/>
      <c r="D240" s="14"/>
      <c r="E240" s="14"/>
      <c r="F240" s="41"/>
      <c r="G240" s="16"/>
    </row>
    <row r="241" spans="1:7" ht="15.75" customHeight="1" x14ac:dyDescent="0.25">
      <c r="A241" s="16"/>
      <c r="B241" s="40"/>
      <c r="C241" s="17"/>
      <c r="D241" s="14"/>
      <c r="E241" s="14"/>
      <c r="F241" s="41"/>
      <c r="G241" s="16"/>
    </row>
    <row r="242" spans="1:7" ht="15.75" customHeight="1" x14ac:dyDescent="0.25">
      <c r="A242" s="16"/>
      <c r="B242" s="40"/>
      <c r="C242" s="17"/>
      <c r="D242" s="14"/>
      <c r="E242" s="14"/>
      <c r="F242" s="41"/>
      <c r="G242" s="16"/>
    </row>
    <row r="243" spans="1:7" ht="15.75" customHeight="1" x14ac:dyDescent="0.25">
      <c r="A243" s="16"/>
      <c r="B243" s="40"/>
      <c r="C243" s="17"/>
      <c r="D243" s="14"/>
      <c r="E243" s="14"/>
      <c r="F243" s="41"/>
      <c r="G243" s="16"/>
    </row>
    <row r="244" spans="1:7" ht="15.75" customHeight="1" x14ac:dyDescent="0.25">
      <c r="A244" s="16"/>
      <c r="B244" s="40"/>
      <c r="C244" s="17"/>
      <c r="D244" s="14"/>
      <c r="E244" s="14"/>
      <c r="F244" s="41"/>
      <c r="G244" s="16"/>
    </row>
    <row r="245" spans="1:7" ht="15.75" customHeight="1" x14ac:dyDescent="0.25">
      <c r="A245" s="16"/>
      <c r="B245" s="40"/>
      <c r="C245" s="17"/>
      <c r="D245" s="14"/>
      <c r="E245" s="14"/>
      <c r="F245" s="41"/>
      <c r="G245" s="16"/>
    </row>
    <row r="246" spans="1:7" ht="15.75" customHeight="1" x14ac:dyDescent="0.25">
      <c r="A246" s="16"/>
      <c r="B246" s="40"/>
      <c r="C246" s="17"/>
      <c r="D246" s="14"/>
      <c r="E246" s="14"/>
      <c r="F246" s="41"/>
      <c r="G246" s="16"/>
    </row>
    <row r="247" spans="1:7" ht="15.75" customHeight="1" x14ac:dyDescent="0.25">
      <c r="A247" s="16"/>
      <c r="B247" s="40"/>
      <c r="C247" s="17"/>
      <c r="D247" s="14"/>
      <c r="E247" s="14"/>
      <c r="F247" s="41"/>
      <c r="G247" s="16"/>
    </row>
    <row r="248" spans="1:7" ht="15.75" customHeight="1" x14ac:dyDescent="0.25">
      <c r="A248" s="16"/>
      <c r="B248" s="40"/>
      <c r="C248" s="17"/>
      <c r="D248" s="14"/>
      <c r="E248" s="14"/>
      <c r="F248" s="41"/>
      <c r="G248" s="16"/>
    </row>
    <row r="249" spans="1:7" ht="15.75" customHeight="1" x14ac:dyDescent="0.25">
      <c r="A249" s="16"/>
      <c r="B249" s="40"/>
      <c r="C249" s="17"/>
      <c r="D249" s="14"/>
      <c r="E249" s="14"/>
      <c r="F249" s="41"/>
      <c r="G249" s="16"/>
    </row>
    <row r="250" spans="1:7" ht="15.75" customHeight="1" x14ac:dyDescent="0.25">
      <c r="A250" s="16"/>
      <c r="B250" s="40"/>
      <c r="C250" s="17"/>
      <c r="D250" s="14"/>
      <c r="E250" s="14"/>
      <c r="F250" s="41"/>
      <c r="G250" s="16"/>
    </row>
    <row r="251" spans="1:7" ht="15.75" customHeight="1" x14ac:dyDescent="0.25">
      <c r="A251" s="16"/>
      <c r="B251" s="40"/>
      <c r="C251" s="17"/>
      <c r="D251" s="14"/>
      <c r="E251" s="14"/>
      <c r="F251" s="41"/>
      <c r="G251" s="16"/>
    </row>
    <row r="252" spans="1:7" ht="15.75" customHeight="1" x14ac:dyDescent="0.25">
      <c r="A252" s="16"/>
      <c r="B252" s="40"/>
      <c r="C252" s="17"/>
      <c r="D252" s="14"/>
      <c r="E252" s="14"/>
      <c r="F252" s="41"/>
      <c r="G252" s="16"/>
    </row>
    <row r="253" spans="1:7" ht="15.75" customHeight="1" x14ac:dyDescent="0.25">
      <c r="A253" s="16"/>
      <c r="B253" s="40"/>
      <c r="C253" s="17"/>
      <c r="D253" s="14"/>
      <c r="E253" s="14"/>
      <c r="F253" s="41"/>
      <c r="G253" s="16"/>
    </row>
    <row r="254" spans="1:7" ht="15.75" customHeight="1" x14ac:dyDescent="0.25">
      <c r="A254" s="16"/>
      <c r="B254" s="40"/>
      <c r="C254" s="17"/>
      <c r="D254" s="14"/>
      <c r="E254" s="14"/>
      <c r="F254" s="41"/>
      <c r="G254" s="16"/>
    </row>
    <row r="255" spans="1:7" ht="15.75" customHeight="1" x14ac:dyDescent="0.25">
      <c r="A255" s="16"/>
      <c r="B255" s="40"/>
      <c r="C255" s="17"/>
      <c r="D255" s="14"/>
      <c r="E255" s="14"/>
      <c r="F255" s="41"/>
      <c r="G255" s="16"/>
    </row>
    <row r="256" spans="1:7" ht="15.75" customHeight="1" x14ac:dyDescent="0.25">
      <c r="A256" s="16"/>
      <c r="B256" s="40"/>
      <c r="C256" s="17"/>
      <c r="D256" s="14"/>
      <c r="E256" s="14"/>
      <c r="F256" s="41"/>
      <c r="G256" s="16"/>
    </row>
    <row r="257" spans="1:7" ht="15.75" customHeight="1" x14ac:dyDescent="0.25">
      <c r="A257" s="16"/>
      <c r="B257" s="40"/>
      <c r="C257" s="17"/>
      <c r="D257" s="14"/>
      <c r="E257" s="14"/>
      <c r="F257" s="41"/>
      <c r="G257" s="16"/>
    </row>
    <row r="258" spans="1:7" ht="15.75" customHeight="1" x14ac:dyDescent="0.25">
      <c r="A258" s="16"/>
      <c r="B258" s="40"/>
      <c r="C258" s="17"/>
      <c r="D258" s="14"/>
      <c r="E258" s="14"/>
      <c r="F258" s="41"/>
      <c r="G258" s="16"/>
    </row>
    <row r="259" spans="1:7" ht="15.75" customHeight="1" x14ac:dyDescent="0.25">
      <c r="A259" s="16"/>
      <c r="B259" s="40"/>
      <c r="C259" s="17"/>
      <c r="D259" s="14"/>
      <c r="E259" s="14"/>
      <c r="F259" s="41"/>
      <c r="G259" s="16"/>
    </row>
    <row r="260" spans="1:7" ht="15.75" customHeight="1" x14ac:dyDescent="0.25">
      <c r="A260" s="16"/>
      <c r="B260" s="40"/>
      <c r="C260" s="17"/>
      <c r="D260" s="14"/>
      <c r="E260" s="14"/>
      <c r="F260" s="41"/>
      <c r="G260" s="16"/>
    </row>
    <row r="261" spans="1:7" ht="15.75" customHeight="1" x14ac:dyDescent="0.25">
      <c r="A261" s="16"/>
      <c r="B261" s="40"/>
      <c r="C261" s="17"/>
      <c r="D261" s="14"/>
      <c r="E261" s="14"/>
      <c r="F261" s="41"/>
      <c r="G261" s="16"/>
    </row>
    <row r="262" spans="1:7" ht="15.75" customHeight="1" x14ac:dyDescent="0.25">
      <c r="A262" s="16"/>
      <c r="B262" s="40"/>
      <c r="C262" s="17"/>
      <c r="D262" s="14"/>
      <c r="E262" s="14"/>
      <c r="F262" s="41"/>
      <c r="G262" s="16"/>
    </row>
    <row r="263" spans="1:7" ht="15.75" customHeight="1" x14ac:dyDescent="0.25">
      <c r="A263" s="16"/>
      <c r="B263" s="40"/>
      <c r="C263" s="17"/>
      <c r="D263" s="14"/>
      <c r="E263" s="14"/>
      <c r="F263" s="41"/>
      <c r="G263" s="16"/>
    </row>
    <row r="264" spans="1:7" ht="15.75" customHeight="1" x14ac:dyDescent="0.25">
      <c r="A264" s="16"/>
      <c r="B264" s="40"/>
      <c r="C264" s="17"/>
      <c r="D264" s="14"/>
      <c r="E264" s="14"/>
      <c r="F264" s="41"/>
      <c r="G264" s="16"/>
    </row>
    <row r="265" spans="1:7" ht="15.75" customHeight="1" x14ac:dyDescent="0.25">
      <c r="A265" s="16"/>
      <c r="B265" s="40"/>
      <c r="C265" s="17"/>
      <c r="D265" s="14"/>
      <c r="E265" s="14"/>
      <c r="F265" s="41"/>
      <c r="G265" s="16"/>
    </row>
    <row r="266" spans="1:7" ht="15.75" customHeight="1" x14ac:dyDescent="0.25">
      <c r="A266" s="16"/>
      <c r="B266" s="40"/>
      <c r="C266" s="17"/>
      <c r="D266" s="14"/>
      <c r="E266" s="14"/>
      <c r="F266" s="41"/>
      <c r="G266" s="16"/>
    </row>
    <row r="267" spans="1:7" ht="15.75" customHeight="1" x14ac:dyDescent="0.25">
      <c r="A267" s="16"/>
      <c r="B267" s="40"/>
      <c r="C267" s="17"/>
      <c r="D267" s="14"/>
      <c r="E267" s="14"/>
      <c r="F267" s="41"/>
      <c r="G267" s="16"/>
    </row>
    <row r="268" spans="1:7" ht="15.75" customHeight="1" x14ac:dyDescent="0.25">
      <c r="A268" s="16"/>
      <c r="B268" s="40"/>
      <c r="C268" s="17"/>
      <c r="D268" s="14"/>
      <c r="E268" s="14"/>
      <c r="F268" s="41"/>
      <c r="G268" s="16"/>
    </row>
    <row r="269" spans="1:7" ht="15.75" customHeight="1" x14ac:dyDescent="0.25">
      <c r="A269" s="16"/>
      <c r="B269" s="40"/>
      <c r="C269" s="17"/>
      <c r="D269" s="14"/>
      <c r="E269" s="14"/>
      <c r="F269" s="41"/>
      <c r="G269" s="16"/>
    </row>
    <row r="270" spans="1:7" ht="15.75" customHeight="1" x14ac:dyDescent="0.25">
      <c r="A270" s="16"/>
      <c r="B270" s="40"/>
      <c r="C270" s="17"/>
      <c r="D270" s="14"/>
      <c r="E270" s="14"/>
      <c r="F270" s="41"/>
      <c r="G270" s="16"/>
    </row>
    <row r="271" spans="1:7" ht="15.75" customHeight="1" x14ac:dyDescent="0.25">
      <c r="A271" s="16"/>
      <c r="B271" s="40"/>
      <c r="C271" s="17"/>
      <c r="D271" s="14"/>
      <c r="E271" s="14"/>
      <c r="F271" s="41"/>
      <c r="G271" s="16"/>
    </row>
    <row r="272" spans="1:7" ht="15.75" customHeight="1" x14ac:dyDescent="0.25">
      <c r="A272" s="16"/>
      <c r="B272" s="40"/>
      <c r="C272" s="17"/>
      <c r="D272" s="14"/>
      <c r="E272" s="14"/>
      <c r="F272" s="41"/>
      <c r="G272" s="16"/>
    </row>
    <row r="273" spans="1:7" ht="15.75" customHeight="1" x14ac:dyDescent="0.25">
      <c r="A273" s="16"/>
      <c r="B273" s="40"/>
      <c r="C273" s="17"/>
      <c r="D273" s="14"/>
      <c r="E273" s="14"/>
      <c r="F273" s="41"/>
      <c r="G273" s="16"/>
    </row>
    <row r="274" spans="1:7" ht="15.75" customHeight="1" x14ac:dyDescent="0.25">
      <c r="A274" s="16"/>
      <c r="B274" s="40"/>
      <c r="C274" s="17"/>
      <c r="D274" s="14"/>
      <c r="E274" s="14"/>
      <c r="F274" s="41"/>
      <c r="G274" s="16"/>
    </row>
    <row r="275" spans="1:7" ht="15.75" customHeight="1" x14ac:dyDescent="0.25">
      <c r="A275" s="16"/>
      <c r="B275" s="40"/>
      <c r="C275" s="17"/>
      <c r="D275" s="14"/>
      <c r="E275" s="14"/>
      <c r="F275" s="41"/>
      <c r="G275" s="16"/>
    </row>
    <row r="276" spans="1:7" ht="15.75" customHeight="1" x14ac:dyDescent="0.25">
      <c r="A276" s="16"/>
      <c r="B276" s="40"/>
      <c r="C276" s="17"/>
      <c r="D276" s="14"/>
      <c r="E276" s="14"/>
      <c r="F276" s="41"/>
      <c r="G276" s="16"/>
    </row>
    <row r="277" spans="1:7" ht="15.75" customHeight="1" x14ac:dyDescent="0.25">
      <c r="A277" s="16"/>
      <c r="B277" s="40"/>
      <c r="C277" s="17"/>
      <c r="D277" s="14"/>
      <c r="E277" s="14"/>
      <c r="F277" s="41"/>
      <c r="G277" s="16"/>
    </row>
    <row r="278" spans="1:7" ht="15.75" customHeight="1" x14ac:dyDescent="0.25">
      <c r="A278" s="16"/>
      <c r="B278" s="40"/>
      <c r="C278" s="17"/>
      <c r="D278" s="14"/>
      <c r="E278" s="14"/>
      <c r="F278" s="41"/>
      <c r="G278" s="16"/>
    </row>
    <row r="279" spans="1:7" ht="15.75" customHeight="1" x14ac:dyDescent="0.25">
      <c r="A279" s="16"/>
      <c r="B279" s="40"/>
      <c r="C279" s="17"/>
      <c r="D279" s="14"/>
      <c r="E279" s="14"/>
      <c r="F279" s="41"/>
      <c r="G279" s="16"/>
    </row>
    <row r="280" spans="1:7" ht="15.75" customHeight="1" x14ac:dyDescent="0.25">
      <c r="A280" s="16"/>
      <c r="B280" s="40"/>
      <c r="C280" s="17"/>
      <c r="D280" s="14"/>
      <c r="E280" s="14"/>
      <c r="F280" s="41"/>
      <c r="G280" s="16"/>
    </row>
    <row r="281" spans="1:7" ht="15.75" customHeight="1" x14ac:dyDescent="0.25">
      <c r="A281" s="16"/>
      <c r="B281" s="40"/>
      <c r="C281" s="17"/>
      <c r="D281" s="14"/>
      <c r="E281" s="14"/>
      <c r="F281" s="41"/>
      <c r="G281" s="16"/>
    </row>
    <row r="282" spans="1:7" ht="15.75" customHeight="1" x14ac:dyDescent="0.25">
      <c r="A282" s="16"/>
      <c r="B282" s="40"/>
      <c r="C282" s="17"/>
      <c r="D282" s="14"/>
      <c r="E282" s="14"/>
      <c r="F282" s="41"/>
      <c r="G282" s="16"/>
    </row>
    <row r="283" spans="1:7" ht="15.75" customHeight="1" x14ac:dyDescent="0.25">
      <c r="A283" s="16"/>
      <c r="B283" s="40"/>
      <c r="C283" s="17"/>
      <c r="D283" s="14"/>
      <c r="E283" s="14"/>
      <c r="F283" s="41"/>
      <c r="G283" s="16"/>
    </row>
    <row r="284" spans="1:7" ht="15.75" customHeight="1" x14ac:dyDescent="0.25">
      <c r="A284" s="16"/>
      <c r="B284" s="40"/>
      <c r="C284" s="17"/>
      <c r="D284" s="14"/>
      <c r="E284" s="14"/>
      <c r="F284" s="41"/>
      <c r="G284" s="16"/>
    </row>
    <row r="285" spans="1:7" ht="15.75" customHeight="1" x14ac:dyDescent="0.25">
      <c r="A285" s="16"/>
      <c r="B285" s="40"/>
      <c r="C285" s="17"/>
      <c r="D285" s="14"/>
      <c r="E285" s="14"/>
      <c r="F285" s="41"/>
      <c r="G285" s="16"/>
    </row>
    <row r="286" spans="1:7" ht="15.75" customHeight="1" x14ac:dyDescent="0.25">
      <c r="A286" s="16"/>
      <c r="B286" s="40"/>
      <c r="C286" s="17"/>
      <c r="D286" s="14"/>
      <c r="E286" s="14"/>
      <c r="F286" s="41"/>
      <c r="G286" s="16"/>
    </row>
    <row r="287" spans="1:7" ht="15.75" customHeight="1" x14ac:dyDescent="0.25">
      <c r="A287" s="16"/>
      <c r="B287" s="40"/>
      <c r="C287" s="17"/>
      <c r="D287" s="14"/>
      <c r="E287" s="14"/>
      <c r="F287" s="41"/>
      <c r="G287" s="16"/>
    </row>
    <row r="288" spans="1:7" ht="15.75" customHeight="1" x14ac:dyDescent="0.25">
      <c r="A288" s="16"/>
      <c r="B288" s="40"/>
      <c r="C288" s="17"/>
      <c r="D288" s="14"/>
      <c r="E288" s="14"/>
      <c r="F288" s="41"/>
      <c r="G288" s="16"/>
    </row>
    <row r="289" spans="1:7" ht="15.75" customHeight="1" x14ac:dyDescent="0.25">
      <c r="A289" s="16"/>
      <c r="B289" s="40"/>
      <c r="C289" s="17"/>
      <c r="D289" s="14"/>
      <c r="E289" s="14"/>
      <c r="F289" s="41"/>
      <c r="G289" s="16"/>
    </row>
    <row r="290" spans="1:7" ht="15.75" customHeight="1" x14ac:dyDescent="0.25">
      <c r="A290" s="16"/>
      <c r="B290" s="40"/>
      <c r="C290" s="17"/>
      <c r="D290" s="14"/>
      <c r="E290" s="14"/>
      <c r="F290" s="41"/>
      <c r="G290" s="16"/>
    </row>
    <row r="291" spans="1:7" ht="15.75" customHeight="1" x14ac:dyDescent="0.25">
      <c r="A291" s="16"/>
      <c r="B291" s="40"/>
      <c r="C291" s="17"/>
      <c r="D291" s="14"/>
      <c r="E291" s="14"/>
      <c r="F291" s="41"/>
      <c r="G291" s="16"/>
    </row>
    <row r="292" spans="1:7" ht="15.75" customHeight="1" x14ac:dyDescent="0.25">
      <c r="A292" s="16"/>
      <c r="B292" s="40"/>
      <c r="C292" s="17"/>
      <c r="D292" s="14"/>
      <c r="E292" s="14"/>
      <c r="F292" s="41"/>
      <c r="G292" s="16"/>
    </row>
    <row r="293" spans="1:7" ht="15.75" customHeight="1" x14ac:dyDescent="0.25">
      <c r="A293" s="16"/>
      <c r="B293" s="40"/>
      <c r="C293" s="17"/>
      <c r="D293" s="14"/>
      <c r="E293" s="14"/>
      <c r="F293" s="41"/>
      <c r="G293" s="16"/>
    </row>
    <row r="294" spans="1:7" ht="15.75" customHeight="1" x14ac:dyDescent="0.25">
      <c r="A294" s="16"/>
      <c r="B294" s="40"/>
      <c r="C294" s="17"/>
      <c r="D294" s="14"/>
      <c r="E294" s="14"/>
      <c r="F294" s="41"/>
      <c r="G294" s="16"/>
    </row>
    <row r="295" spans="1:7" ht="15.75" customHeight="1" x14ac:dyDescent="0.25">
      <c r="A295" s="16"/>
      <c r="B295" s="40"/>
      <c r="C295" s="17"/>
      <c r="D295" s="14"/>
      <c r="E295" s="14"/>
      <c r="F295" s="41"/>
      <c r="G295" s="16"/>
    </row>
    <row r="296" spans="1:7" ht="15.75" customHeight="1" x14ac:dyDescent="0.25">
      <c r="A296" s="16"/>
      <c r="B296" s="40"/>
      <c r="C296" s="17"/>
      <c r="D296" s="14"/>
      <c r="E296" s="14"/>
      <c r="F296" s="41"/>
      <c r="G296" s="16"/>
    </row>
    <row r="297" spans="1:7" ht="15.75" customHeight="1" x14ac:dyDescent="0.25">
      <c r="A297" s="16"/>
      <c r="B297" s="40"/>
      <c r="C297" s="17"/>
      <c r="D297" s="14"/>
      <c r="E297" s="14"/>
      <c r="F297" s="41"/>
      <c r="G297" s="16"/>
    </row>
    <row r="298" spans="1:7" ht="15.75" customHeight="1" x14ac:dyDescent="0.25">
      <c r="A298" s="16"/>
      <c r="B298" s="40"/>
      <c r="C298" s="17"/>
      <c r="D298" s="14"/>
      <c r="E298" s="14"/>
      <c r="F298" s="41"/>
      <c r="G298" s="16"/>
    </row>
    <row r="299" spans="1:7" ht="15.75" customHeight="1" x14ac:dyDescent="0.25">
      <c r="A299" s="16"/>
      <c r="B299" s="40"/>
      <c r="C299" s="17"/>
      <c r="D299" s="14"/>
      <c r="E299" s="14"/>
      <c r="F299" s="41"/>
      <c r="G299" s="16"/>
    </row>
    <row r="300" spans="1:7" ht="15.75" customHeight="1" x14ac:dyDescent="0.25">
      <c r="A300" s="16"/>
      <c r="B300" s="40"/>
      <c r="C300" s="17"/>
      <c r="D300" s="14"/>
      <c r="E300" s="14"/>
      <c r="F300" s="41"/>
      <c r="G300" s="16"/>
    </row>
    <row r="301" spans="1:7" ht="15.75" customHeight="1" x14ac:dyDescent="0.25">
      <c r="A301" s="16"/>
      <c r="B301" s="40"/>
      <c r="C301" s="17"/>
      <c r="D301" s="14"/>
      <c r="E301" s="14"/>
      <c r="F301" s="41"/>
      <c r="G301" s="16"/>
    </row>
    <row r="302" spans="1:7" ht="15.75" customHeight="1" x14ac:dyDescent="0.25">
      <c r="A302" s="16"/>
      <c r="B302" s="40"/>
      <c r="C302" s="17"/>
      <c r="D302" s="14"/>
      <c r="E302" s="14"/>
      <c r="F302" s="41"/>
      <c r="G302" s="16"/>
    </row>
    <row r="303" spans="1:7" ht="15.75" customHeight="1" x14ac:dyDescent="0.25">
      <c r="A303" s="16"/>
      <c r="B303" s="40"/>
      <c r="C303" s="17"/>
      <c r="D303" s="14"/>
      <c r="E303" s="14"/>
      <c r="F303" s="41"/>
      <c r="G303" s="16"/>
    </row>
    <row r="304" spans="1:7" ht="15.75" customHeight="1" x14ac:dyDescent="0.25">
      <c r="A304" s="16"/>
      <c r="B304" s="40"/>
      <c r="C304" s="17"/>
      <c r="D304" s="14"/>
      <c r="E304" s="14"/>
      <c r="F304" s="41"/>
      <c r="G304" s="16"/>
    </row>
    <row r="305" spans="1:7" ht="15.75" customHeight="1" x14ac:dyDescent="0.25">
      <c r="A305" s="16"/>
      <c r="B305" s="40"/>
      <c r="C305" s="17"/>
      <c r="D305" s="14"/>
      <c r="E305" s="14"/>
      <c r="F305" s="41"/>
      <c r="G305" s="16"/>
    </row>
    <row r="306" spans="1:7" ht="15.75" customHeight="1" x14ac:dyDescent="0.25">
      <c r="A306" s="16"/>
      <c r="B306" s="40"/>
      <c r="C306" s="17"/>
      <c r="D306" s="14"/>
      <c r="E306" s="14"/>
      <c r="F306" s="41"/>
      <c r="G306" s="16"/>
    </row>
    <row r="307" spans="1:7" ht="15.75" customHeight="1" x14ac:dyDescent="0.25">
      <c r="A307" s="16"/>
      <c r="B307" s="40"/>
      <c r="C307" s="17"/>
      <c r="D307" s="14"/>
      <c r="E307" s="14"/>
      <c r="F307" s="41"/>
      <c r="G307" s="16"/>
    </row>
    <row r="308" spans="1:7" ht="15.75" customHeight="1" x14ac:dyDescent="0.25">
      <c r="A308" s="16"/>
      <c r="B308" s="40"/>
      <c r="C308" s="17"/>
      <c r="D308" s="14"/>
      <c r="E308" s="14"/>
      <c r="F308" s="41"/>
      <c r="G308" s="16"/>
    </row>
    <row r="309" spans="1:7" ht="15.75" customHeight="1" x14ac:dyDescent="0.25">
      <c r="A309" s="16"/>
      <c r="B309" s="40"/>
      <c r="C309" s="17"/>
      <c r="D309" s="14"/>
      <c r="E309" s="14"/>
      <c r="F309" s="41"/>
      <c r="G309" s="16"/>
    </row>
    <row r="310" spans="1:7" ht="15.75" customHeight="1" x14ac:dyDescent="0.25">
      <c r="A310" s="16"/>
      <c r="B310" s="40"/>
      <c r="C310" s="17"/>
      <c r="D310" s="14"/>
      <c r="E310" s="14"/>
      <c r="F310" s="41"/>
      <c r="G310" s="16"/>
    </row>
    <row r="311" spans="1:7" ht="15.75" customHeight="1" x14ac:dyDescent="0.25">
      <c r="A311" s="16"/>
      <c r="B311" s="40"/>
      <c r="C311" s="17"/>
      <c r="D311" s="14"/>
      <c r="E311" s="14"/>
      <c r="F311" s="41"/>
      <c r="G311" s="16"/>
    </row>
    <row r="312" spans="1:7" ht="15.75" customHeight="1" x14ac:dyDescent="0.25">
      <c r="A312" s="16"/>
      <c r="B312" s="40"/>
      <c r="C312" s="17"/>
      <c r="D312" s="14"/>
      <c r="E312" s="14"/>
      <c r="F312" s="41"/>
      <c r="G312" s="16"/>
    </row>
    <row r="313" spans="1:7" ht="15.75" customHeight="1" x14ac:dyDescent="0.25">
      <c r="A313" s="16"/>
      <c r="B313" s="40"/>
      <c r="C313" s="17"/>
      <c r="D313" s="14"/>
      <c r="E313" s="14"/>
      <c r="F313" s="41"/>
      <c r="G313" s="16"/>
    </row>
    <row r="314" spans="1:7" ht="15.75" customHeight="1" x14ac:dyDescent="0.25">
      <c r="A314" s="16"/>
      <c r="B314" s="40"/>
      <c r="C314" s="17"/>
      <c r="D314" s="14"/>
      <c r="E314" s="14"/>
      <c r="F314" s="41"/>
      <c r="G314" s="16"/>
    </row>
    <row r="315" spans="1:7" ht="15.75" customHeight="1" x14ac:dyDescent="0.25">
      <c r="A315" s="16"/>
      <c r="B315" s="40"/>
      <c r="C315" s="17"/>
      <c r="D315" s="14"/>
      <c r="E315" s="14"/>
      <c r="F315" s="41"/>
      <c r="G315" s="16"/>
    </row>
    <row r="316" spans="1:7" ht="15.75" customHeight="1" x14ac:dyDescent="0.25">
      <c r="A316" s="16"/>
      <c r="B316" s="40"/>
      <c r="C316" s="17"/>
      <c r="D316" s="14"/>
      <c r="E316" s="14"/>
      <c r="F316" s="41"/>
      <c r="G316" s="16"/>
    </row>
    <row r="317" spans="1:7" ht="15.75" customHeight="1" x14ac:dyDescent="0.25">
      <c r="A317" s="16"/>
      <c r="B317" s="40"/>
      <c r="C317" s="17"/>
      <c r="D317" s="14"/>
      <c r="E317" s="14"/>
      <c r="F317" s="41"/>
      <c r="G317" s="16"/>
    </row>
    <row r="318" spans="1:7" ht="15.75" customHeight="1" x14ac:dyDescent="0.25">
      <c r="A318" s="16"/>
      <c r="B318" s="40"/>
      <c r="C318" s="17"/>
      <c r="D318" s="14"/>
      <c r="E318" s="14"/>
      <c r="F318" s="41"/>
      <c r="G318" s="16"/>
    </row>
    <row r="319" spans="1:7" ht="15.75" customHeight="1" x14ac:dyDescent="0.25">
      <c r="A319" s="16"/>
      <c r="B319" s="40"/>
      <c r="C319" s="17"/>
      <c r="D319" s="14"/>
      <c r="E319" s="14"/>
      <c r="F319" s="41"/>
      <c r="G319" s="16"/>
    </row>
    <row r="320" spans="1:7" ht="15.75" customHeight="1" x14ac:dyDescent="0.25">
      <c r="A320" s="16"/>
      <c r="B320" s="40"/>
      <c r="C320" s="17"/>
      <c r="D320" s="14"/>
      <c r="E320" s="14"/>
      <c r="F320" s="41"/>
      <c r="G320" s="16"/>
    </row>
    <row r="321" spans="1:7" ht="15.75" customHeight="1" x14ac:dyDescent="0.25">
      <c r="A321" s="16"/>
      <c r="B321" s="40"/>
      <c r="C321" s="17"/>
      <c r="D321" s="14"/>
      <c r="E321" s="14"/>
      <c r="F321" s="41"/>
      <c r="G321" s="16"/>
    </row>
    <row r="322" spans="1:7" ht="15.75" customHeight="1" x14ac:dyDescent="0.25">
      <c r="A322" s="16"/>
      <c r="B322" s="40"/>
      <c r="C322" s="17"/>
      <c r="D322" s="14"/>
      <c r="E322" s="14"/>
      <c r="F322" s="41"/>
      <c r="G322" s="16"/>
    </row>
    <row r="323" spans="1:7" ht="15.75" customHeight="1" x14ac:dyDescent="0.25">
      <c r="A323" s="16"/>
      <c r="B323" s="40"/>
      <c r="C323" s="17"/>
      <c r="D323" s="14"/>
      <c r="E323" s="14"/>
      <c r="F323" s="41"/>
      <c r="G323" s="16"/>
    </row>
    <row r="324" spans="1:7" ht="15.75" customHeight="1" x14ac:dyDescent="0.25">
      <c r="A324" s="16"/>
      <c r="B324" s="40"/>
      <c r="C324" s="17"/>
      <c r="D324" s="14"/>
      <c r="E324" s="14"/>
      <c r="F324" s="41"/>
      <c r="G324" s="16"/>
    </row>
    <row r="325" spans="1:7" ht="15.75" customHeight="1" x14ac:dyDescent="0.25">
      <c r="A325" s="16"/>
      <c r="B325" s="40"/>
      <c r="C325" s="17"/>
      <c r="D325" s="14"/>
      <c r="E325" s="14"/>
      <c r="F325" s="41"/>
      <c r="G325" s="16"/>
    </row>
    <row r="326" spans="1:7" ht="15.75" customHeight="1" x14ac:dyDescent="0.25">
      <c r="A326" s="16"/>
      <c r="B326" s="40"/>
      <c r="C326" s="17"/>
      <c r="D326" s="14"/>
      <c r="E326" s="14"/>
      <c r="F326" s="41"/>
      <c r="G326" s="16"/>
    </row>
    <row r="327" spans="1:7" ht="15.75" customHeight="1" x14ac:dyDescent="0.25">
      <c r="A327" s="16"/>
      <c r="B327" s="40"/>
      <c r="C327" s="17"/>
      <c r="D327" s="14"/>
      <c r="E327" s="14"/>
      <c r="F327" s="41"/>
      <c r="G327" s="16"/>
    </row>
    <row r="328" spans="1:7" ht="15.75" customHeight="1" x14ac:dyDescent="0.25">
      <c r="A328" s="16"/>
      <c r="B328" s="40"/>
      <c r="C328" s="17"/>
      <c r="D328" s="14"/>
      <c r="E328" s="14"/>
      <c r="F328" s="41"/>
      <c r="G328" s="16"/>
    </row>
    <row r="329" spans="1:7" ht="15.75" customHeight="1" x14ac:dyDescent="0.25">
      <c r="A329" s="16"/>
      <c r="B329" s="40"/>
      <c r="C329" s="17"/>
      <c r="D329" s="14"/>
      <c r="E329" s="14"/>
      <c r="F329" s="41"/>
      <c r="G329" s="16"/>
    </row>
    <row r="330" spans="1:7" ht="15.75" customHeight="1" x14ac:dyDescent="0.25">
      <c r="A330" s="16"/>
      <c r="B330" s="40"/>
      <c r="C330" s="17"/>
      <c r="D330" s="14"/>
      <c r="E330" s="14"/>
      <c r="F330" s="41"/>
      <c r="G330" s="16"/>
    </row>
    <row r="331" spans="1:7" ht="15.75" customHeight="1" x14ac:dyDescent="0.25">
      <c r="A331" s="16"/>
      <c r="B331" s="40"/>
      <c r="C331" s="17"/>
      <c r="D331" s="14"/>
      <c r="E331" s="14"/>
      <c r="F331" s="41"/>
      <c r="G331" s="16"/>
    </row>
    <row r="332" spans="1:7" ht="15.75" customHeight="1" x14ac:dyDescent="0.25">
      <c r="A332" s="16"/>
      <c r="B332" s="40"/>
      <c r="C332" s="17"/>
      <c r="D332" s="14"/>
      <c r="E332" s="14"/>
      <c r="F332" s="41"/>
      <c r="G332" s="16"/>
    </row>
    <row r="333" spans="1:7" ht="15.75" customHeight="1" x14ac:dyDescent="0.25">
      <c r="A333" s="16"/>
      <c r="B333" s="40"/>
      <c r="C333" s="17"/>
      <c r="D333" s="14"/>
      <c r="E333" s="14"/>
      <c r="F333" s="41"/>
      <c r="G333" s="16"/>
    </row>
    <row r="334" spans="1:7" ht="15.75" customHeight="1" x14ac:dyDescent="0.25">
      <c r="A334" s="16"/>
      <c r="B334" s="40"/>
      <c r="C334" s="17"/>
      <c r="D334" s="14"/>
      <c r="E334" s="14"/>
      <c r="F334" s="41"/>
      <c r="G334" s="16"/>
    </row>
    <row r="335" spans="1:7" ht="15.75" customHeight="1" x14ac:dyDescent="0.25">
      <c r="A335" s="16"/>
      <c r="B335" s="40"/>
      <c r="C335" s="17"/>
      <c r="D335" s="14"/>
      <c r="E335" s="14"/>
      <c r="F335" s="41"/>
      <c r="G335" s="16"/>
    </row>
    <row r="336" spans="1:7" ht="15.75" customHeight="1" x14ac:dyDescent="0.25">
      <c r="A336" s="16"/>
      <c r="B336" s="40"/>
      <c r="C336" s="17"/>
      <c r="D336" s="14"/>
      <c r="E336" s="14"/>
      <c r="F336" s="41"/>
      <c r="G336" s="16"/>
    </row>
    <row r="337" spans="1:7" ht="15.75" customHeight="1" x14ac:dyDescent="0.25">
      <c r="A337" s="16"/>
      <c r="B337" s="40"/>
      <c r="C337" s="17"/>
      <c r="D337" s="14"/>
      <c r="E337" s="14"/>
      <c r="F337" s="41"/>
      <c r="G337" s="16"/>
    </row>
    <row r="338" spans="1:7" ht="15.75" customHeight="1" x14ac:dyDescent="0.25">
      <c r="A338" s="16"/>
      <c r="B338" s="40"/>
      <c r="C338" s="17"/>
      <c r="D338" s="14"/>
      <c r="E338" s="14"/>
      <c r="F338" s="41"/>
      <c r="G338" s="16"/>
    </row>
    <row r="339" spans="1:7" ht="15.75" customHeight="1" x14ac:dyDescent="0.25">
      <c r="A339" s="16"/>
      <c r="B339" s="40"/>
      <c r="C339" s="17"/>
      <c r="D339" s="14"/>
      <c r="E339" s="14"/>
      <c r="F339" s="41"/>
      <c r="G339" s="16"/>
    </row>
    <row r="340" spans="1:7" ht="15.75" customHeight="1" x14ac:dyDescent="0.25">
      <c r="A340" s="16"/>
      <c r="B340" s="40"/>
      <c r="C340" s="17"/>
      <c r="D340" s="14"/>
      <c r="E340" s="14"/>
      <c r="F340" s="41"/>
      <c r="G340" s="16"/>
    </row>
    <row r="341" spans="1:7" ht="15.75" customHeight="1" x14ac:dyDescent="0.25">
      <c r="A341" s="16"/>
      <c r="B341" s="40"/>
      <c r="C341" s="17"/>
      <c r="D341" s="14"/>
      <c r="E341" s="14"/>
      <c r="F341" s="41"/>
      <c r="G341" s="16"/>
    </row>
    <row r="342" spans="1:7" ht="15.75" customHeight="1" x14ac:dyDescent="0.25">
      <c r="A342" s="16"/>
      <c r="B342" s="40"/>
      <c r="C342" s="17"/>
      <c r="D342" s="14"/>
      <c r="E342" s="14"/>
      <c r="F342" s="41"/>
      <c r="G342" s="16"/>
    </row>
    <row r="343" spans="1:7" ht="15.75" customHeight="1" x14ac:dyDescent="0.25">
      <c r="A343" s="16"/>
      <c r="B343" s="40"/>
      <c r="C343" s="17"/>
      <c r="D343" s="14"/>
      <c r="E343" s="14"/>
      <c r="F343" s="41"/>
      <c r="G343" s="16"/>
    </row>
    <row r="344" spans="1:7" ht="15.75" customHeight="1" x14ac:dyDescent="0.25">
      <c r="A344" s="16"/>
      <c r="B344" s="40"/>
      <c r="C344" s="17"/>
      <c r="D344" s="14"/>
      <c r="E344" s="14"/>
      <c r="F344" s="41"/>
      <c r="G344" s="16"/>
    </row>
    <row r="345" spans="1:7" ht="15.75" customHeight="1" x14ac:dyDescent="0.25">
      <c r="A345" s="16"/>
      <c r="B345" s="40"/>
      <c r="C345" s="17"/>
      <c r="D345" s="14"/>
      <c r="E345" s="14"/>
      <c r="F345" s="41"/>
      <c r="G345" s="16"/>
    </row>
    <row r="346" spans="1:7" ht="15.75" customHeight="1" x14ac:dyDescent="0.25">
      <c r="A346" s="16"/>
      <c r="B346" s="40"/>
      <c r="C346" s="17"/>
      <c r="D346" s="14"/>
      <c r="E346" s="14"/>
      <c r="F346" s="41"/>
      <c r="G346" s="16"/>
    </row>
    <row r="347" spans="1:7" ht="15.75" customHeight="1" x14ac:dyDescent="0.25">
      <c r="A347" s="16"/>
      <c r="B347" s="40"/>
      <c r="C347" s="17"/>
      <c r="D347" s="14"/>
      <c r="E347" s="14"/>
      <c r="F347" s="41"/>
      <c r="G347" s="16"/>
    </row>
    <row r="348" spans="1:7" ht="15.75" customHeight="1" x14ac:dyDescent="0.25">
      <c r="A348" s="16"/>
      <c r="B348" s="40"/>
      <c r="C348" s="17"/>
      <c r="D348" s="14"/>
      <c r="E348" s="14"/>
      <c r="F348" s="41"/>
      <c r="G348" s="16"/>
    </row>
    <row r="349" spans="1:7" ht="15.75" customHeight="1" x14ac:dyDescent="0.25">
      <c r="A349" s="16"/>
      <c r="B349" s="40"/>
      <c r="C349" s="17"/>
      <c r="D349" s="14"/>
      <c r="E349" s="14"/>
      <c r="F349" s="41"/>
      <c r="G349" s="16"/>
    </row>
    <row r="350" spans="1:7" ht="15.75" customHeight="1" x14ac:dyDescent="0.25">
      <c r="A350" s="16"/>
      <c r="B350" s="40"/>
      <c r="C350" s="17"/>
      <c r="D350" s="14"/>
      <c r="E350" s="14"/>
      <c r="F350" s="41"/>
      <c r="G350" s="16"/>
    </row>
    <row r="351" spans="1:7" ht="15.75" customHeight="1" x14ac:dyDescent="0.25">
      <c r="A351" s="16"/>
      <c r="B351" s="40"/>
      <c r="C351" s="17"/>
      <c r="D351" s="14"/>
      <c r="E351" s="14"/>
      <c r="F351" s="41"/>
      <c r="G351" s="16"/>
    </row>
    <row r="352" spans="1:7" ht="15.75" customHeight="1" x14ac:dyDescent="0.25">
      <c r="A352" s="16"/>
      <c r="B352" s="40"/>
      <c r="C352" s="17"/>
      <c r="D352" s="14"/>
      <c r="E352" s="14"/>
      <c r="F352" s="41"/>
      <c r="G352" s="16"/>
    </row>
    <row r="353" spans="1:7" ht="15.75" customHeight="1" x14ac:dyDescent="0.25">
      <c r="A353" s="16"/>
      <c r="B353" s="40"/>
      <c r="C353" s="17"/>
      <c r="D353" s="14"/>
      <c r="E353" s="14"/>
      <c r="F353" s="41"/>
      <c r="G353" s="16"/>
    </row>
    <row r="354" spans="1:7" ht="15.75" customHeight="1" x14ac:dyDescent="0.25">
      <c r="A354" s="16"/>
      <c r="B354" s="40"/>
      <c r="C354" s="17"/>
      <c r="D354" s="14"/>
      <c r="E354" s="14"/>
      <c r="F354" s="41"/>
      <c r="G354" s="16"/>
    </row>
    <row r="355" spans="1:7" ht="15.75" customHeight="1" x14ac:dyDescent="0.25">
      <c r="A355" s="16"/>
      <c r="B355" s="40"/>
      <c r="C355" s="17"/>
      <c r="D355" s="14"/>
      <c r="E355" s="14"/>
      <c r="F355" s="41"/>
      <c r="G355" s="16"/>
    </row>
    <row r="356" spans="1:7" ht="15.75" customHeight="1" x14ac:dyDescent="0.25">
      <c r="A356" s="16"/>
      <c r="B356" s="40"/>
      <c r="C356" s="17"/>
      <c r="D356" s="14"/>
      <c r="E356" s="14"/>
      <c r="F356" s="41"/>
      <c r="G356" s="16"/>
    </row>
    <row r="357" spans="1:7" ht="15.75" customHeight="1" x14ac:dyDescent="0.25">
      <c r="A357" s="16"/>
      <c r="B357" s="40"/>
      <c r="C357" s="17"/>
      <c r="D357" s="14"/>
      <c r="E357" s="14"/>
      <c r="F357" s="41"/>
      <c r="G357" s="16"/>
    </row>
    <row r="358" spans="1:7" ht="15.75" customHeight="1" x14ac:dyDescent="0.25">
      <c r="A358" s="16"/>
      <c r="B358" s="40"/>
      <c r="C358" s="17"/>
      <c r="D358" s="14"/>
      <c r="E358" s="14"/>
      <c r="F358" s="41"/>
      <c r="G358" s="16"/>
    </row>
    <row r="359" spans="1:7" ht="15.75" customHeight="1" x14ac:dyDescent="0.25">
      <c r="A359" s="16"/>
      <c r="B359" s="40"/>
      <c r="C359" s="17"/>
      <c r="D359" s="14"/>
      <c r="E359" s="14"/>
      <c r="F359" s="41"/>
      <c r="G359" s="16"/>
    </row>
    <row r="360" spans="1:7" ht="15.75" customHeight="1" x14ac:dyDescent="0.25">
      <c r="A360" s="16"/>
      <c r="B360" s="40"/>
      <c r="C360" s="17"/>
      <c r="D360" s="14"/>
      <c r="E360" s="14"/>
      <c r="F360" s="41"/>
      <c r="G360" s="16"/>
    </row>
    <row r="361" spans="1:7" ht="15.75" customHeight="1" x14ac:dyDescent="0.25">
      <c r="A361" s="16"/>
      <c r="B361" s="40"/>
      <c r="C361" s="17"/>
      <c r="D361" s="14"/>
      <c r="E361" s="14"/>
      <c r="F361" s="41"/>
      <c r="G361" s="16"/>
    </row>
    <row r="362" spans="1:7" ht="15.75" customHeight="1" x14ac:dyDescent="0.25">
      <c r="A362" s="16"/>
      <c r="B362" s="40"/>
      <c r="C362" s="17"/>
      <c r="D362" s="14"/>
      <c r="E362" s="14"/>
      <c r="F362" s="41"/>
      <c r="G362" s="16"/>
    </row>
    <row r="363" spans="1:7" ht="15.75" customHeight="1" x14ac:dyDescent="0.25">
      <c r="A363" s="16"/>
      <c r="B363" s="40"/>
      <c r="C363" s="17"/>
      <c r="D363" s="14"/>
      <c r="E363" s="14"/>
      <c r="F363" s="41"/>
      <c r="G363" s="16"/>
    </row>
    <row r="364" spans="1:7" ht="15.75" customHeight="1" x14ac:dyDescent="0.25">
      <c r="A364" s="16"/>
      <c r="B364" s="40"/>
      <c r="C364" s="17"/>
      <c r="D364" s="14"/>
      <c r="E364" s="14"/>
      <c r="F364" s="41"/>
      <c r="G364" s="16"/>
    </row>
    <row r="365" spans="1:7" ht="15.75" customHeight="1" x14ac:dyDescent="0.25">
      <c r="A365" s="16"/>
      <c r="B365" s="40"/>
      <c r="C365" s="17"/>
      <c r="D365" s="14"/>
      <c r="E365" s="14"/>
      <c r="F365" s="41"/>
      <c r="G365" s="16"/>
    </row>
    <row r="366" spans="1:7" ht="15.75" customHeight="1" x14ac:dyDescent="0.25">
      <c r="A366" s="16"/>
      <c r="B366" s="40"/>
      <c r="C366" s="17"/>
      <c r="D366" s="14"/>
      <c r="E366" s="14"/>
      <c r="F366" s="41"/>
      <c r="G366" s="16"/>
    </row>
    <row r="367" spans="1:7" ht="15.75" customHeight="1" x14ac:dyDescent="0.25">
      <c r="A367" s="16"/>
      <c r="B367" s="40"/>
      <c r="C367" s="17"/>
      <c r="D367" s="14"/>
      <c r="E367" s="14"/>
      <c r="F367" s="41"/>
      <c r="G367" s="16"/>
    </row>
    <row r="368" spans="1:7" ht="15.75" customHeight="1" x14ac:dyDescent="0.25">
      <c r="A368" s="16"/>
      <c r="B368" s="40"/>
      <c r="C368" s="17"/>
      <c r="D368" s="14"/>
      <c r="E368" s="14"/>
      <c r="F368" s="41"/>
      <c r="G368" s="16"/>
    </row>
    <row r="369" spans="1:7" ht="15.75" customHeight="1" x14ac:dyDescent="0.25">
      <c r="A369" s="16"/>
      <c r="B369" s="40"/>
      <c r="C369" s="17"/>
      <c r="D369" s="14"/>
      <c r="E369" s="14"/>
      <c r="F369" s="41"/>
      <c r="G369" s="16"/>
    </row>
    <row r="370" spans="1:7" ht="15.75" customHeight="1" x14ac:dyDescent="0.25">
      <c r="A370" s="16"/>
      <c r="B370" s="40"/>
      <c r="C370" s="17"/>
      <c r="D370" s="14"/>
      <c r="E370" s="14"/>
      <c r="F370" s="41"/>
      <c r="G370" s="16"/>
    </row>
    <row r="371" spans="1:7" ht="15.75" customHeight="1" x14ac:dyDescent="0.25">
      <c r="A371" s="16"/>
      <c r="B371" s="40"/>
      <c r="C371" s="17"/>
      <c r="D371" s="14"/>
      <c r="E371" s="14"/>
      <c r="F371" s="41"/>
      <c r="G371" s="16"/>
    </row>
    <row r="372" spans="1:7" ht="15.75" customHeight="1" x14ac:dyDescent="0.25">
      <c r="A372" s="16"/>
      <c r="B372" s="40"/>
      <c r="C372" s="17"/>
      <c r="D372" s="14"/>
      <c r="E372" s="14"/>
      <c r="F372" s="41"/>
      <c r="G372" s="16"/>
    </row>
    <row r="373" spans="1:7" ht="15.75" customHeight="1" x14ac:dyDescent="0.25">
      <c r="A373" s="16"/>
      <c r="B373" s="40"/>
      <c r="C373" s="17"/>
      <c r="D373" s="14"/>
      <c r="E373" s="14"/>
      <c r="F373" s="41"/>
      <c r="G373" s="16"/>
    </row>
    <row r="374" spans="1:7" ht="15.75" customHeight="1" x14ac:dyDescent="0.25">
      <c r="A374" s="16"/>
      <c r="B374" s="40"/>
      <c r="C374" s="17"/>
      <c r="D374" s="14"/>
      <c r="E374" s="14"/>
      <c r="F374" s="41"/>
      <c r="G374" s="16"/>
    </row>
    <row r="375" spans="1:7" ht="15.75" customHeight="1" x14ac:dyDescent="0.25">
      <c r="A375" s="16"/>
      <c r="B375" s="40"/>
      <c r="C375" s="17"/>
      <c r="D375" s="14"/>
      <c r="E375" s="14"/>
      <c r="F375" s="41"/>
      <c r="G375" s="16"/>
    </row>
    <row r="376" spans="1:7" ht="15.75" customHeight="1" x14ac:dyDescent="0.25">
      <c r="A376" s="16"/>
      <c r="B376" s="40"/>
      <c r="C376" s="17"/>
      <c r="D376" s="14"/>
      <c r="E376" s="14"/>
      <c r="F376" s="41"/>
      <c r="G376" s="16"/>
    </row>
    <row r="377" spans="1:7" ht="15.75" customHeight="1" x14ac:dyDescent="0.25">
      <c r="A377" s="16"/>
      <c r="B377" s="40"/>
      <c r="C377" s="17"/>
      <c r="D377" s="14"/>
      <c r="E377" s="14"/>
      <c r="F377" s="41"/>
      <c r="G377" s="16"/>
    </row>
    <row r="378" spans="1:7" ht="15.75" customHeight="1" x14ac:dyDescent="0.25">
      <c r="A378" s="16"/>
      <c r="B378" s="40"/>
      <c r="C378" s="17"/>
      <c r="D378" s="14"/>
      <c r="E378" s="14"/>
      <c r="F378" s="41"/>
      <c r="G378" s="16"/>
    </row>
    <row r="379" spans="1:7" ht="15.75" customHeight="1" x14ac:dyDescent="0.25">
      <c r="A379" s="16"/>
      <c r="B379" s="40"/>
      <c r="C379" s="17"/>
      <c r="D379" s="14"/>
      <c r="E379" s="14"/>
      <c r="F379" s="41"/>
      <c r="G379" s="16"/>
    </row>
    <row r="380" spans="1:7" ht="15.75" customHeight="1" x14ac:dyDescent="0.25">
      <c r="A380" s="16"/>
      <c r="B380" s="40"/>
      <c r="C380" s="17"/>
      <c r="D380" s="14"/>
      <c r="E380" s="14"/>
      <c r="F380" s="41"/>
      <c r="G380" s="16"/>
    </row>
    <row r="381" spans="1:7" ht="15.75" customHeight="1" x14ac:dyDescent="0.25">
      <c r="A381" s="16"/>
      <c r="B381" s="40"/>
      <c r="C381" s="17"/>
      <c r="D381" s="14"/>
      <c r="E381" s="14"/>
      <c r="F381" s="41"/>
      <c r="G381" s="16"/>
    </row>
    <row r="382" spans="1:7" ht="15.75" customHeight="1" x14ac:dyDescent="0.25">
      <c r="A382" s="16"/>
      <c r="B382" s="40"/>
      <c r="C382" s="17"/>
      <c r="D382" s="14"/>
      <c r="E382" s="14"/>
      <c r="F382" s="41"/>
      <c r="G382" s="16"/>
    </row>
    <row r="383" spans="1:7" ht="15.75" customHeight="1" x14ac:dyDescent="0.25">
      <c r="A383" s="16"/>
      <c r="B383" s="40"/>
      <c r="C383" s="17"/>
      <c r="D383" s="14"/>
      <c r="E383" s="14"/>
      <c r="F383" s="41"/>
      <c r="G383" s="16"/>
    </row>
    <row r="384" spans="1:7" ht="15.75" customHeight="1" x14ac:dyDescent="0.25">
      <c r="A384" s="16"/>
      <c r="B384" s="40"/>
      <c r="C384" s="17"/>
      <c r="D384" s="14"/>
      <c r="E384" s="14"/>
      <c r="F384" s="41"/>
      <c r="G384" s="16"/>
    </row>
    <row r="385" spans="1:7" ht="15.75" customHeight="1" x14ac:dyDescent="0.25">
      <c r="A385" s="16"/>
      <c r="B385" s="40"/>
      <c r="C385" s="17"/>
      <c r="D385" s="14"/>
      <c r="E385" s="14"/>
      <c r="F385" s="41"/>
      <c r="G385" s="16"/>
    </row>
    <row r="386" spans="1:7" ht="15.75" customHeight="1" x14ac:dyDescent="0.25">
      <c r="A386" s="16"/>
      <c r="B386" s="40"/>
      <c r="C386" s="17"/>
      <c r="D386" s="14"/>
      <c r="E386" s="14"/>
      <c r="F386" s="41"/>
      <c r="G386" s="16"/>
    </row>
    <row r="387" spans="1:7" ht="15.75" customHeight="1" x14ac:dyDescent="0.25">
      <c r="A387" s="16"/>
      <c r="B387" s="40"/>
      <c r="C387" s="17"/>
      <c r="D387" s="14"/>
      <c r="E387" s="14"/>
      <c r="F387" s="41"/>
      <c r="G387" s="16"/>
    </row>
    <row r="388" spans="1:7" ht="15.75" customHeight="1" x14ac:dyDescent="0.25">
      <c r="A388" s="16"/>
      <c r="B388" s="40"/>
      <c r="C388" s="17"/>
      <c r="D388" s="14"/>
      <c r="E388" s="14"/>
      <c r="F388" s="41"/>
      <c r="G388" s="16"/>
    </row>
    <row r="389" spans="1:7" ht="15.75" customHeight="1" x14ac:dyDescent="0.25">
      <c r="A389" s="16"/>
      <c r="B389" s="40"/>
      <c r="C389" s="17"/>
      <c r="D389" s="14"/>
      <c r="E389" s="14"/>
      <c r="F389" s="41"/>
      <c r="G389" s="16"/>
    </row>
    <row r="390" spans="1:7" ht="15.75" customHeight="1" x14ac:dyDescent="0.25">
      <c r="A390" s="16"/>
      <c r="B390" s="40"/>
      <c r="C390" s="17"/>
      <c r="D390" s="14"/>
      <c r="E390" s="14"/>
      <c r="F390" s="41"/>
      <c r="G390" s="16"/>
    </row>
    <row r="391" spans="1:7" ht="15.75" customHeight="1" x14ac:dyDescent="0.25">
      <c r="A391" s="16"/>
      <c r="B391" s="40"/>
      <c r="C391" s="17"/>
      <c r="D391" s="14"/>
      <c r="E391" s="14"/>
      <c r="F391" s="41"/>
      <c r="G391" s="16"/>
    </row>
    <row r="392" spans="1:7" ht="15.75" customHeight="1" x14ac:dyDescent="0.25">
      <c r="A392" s="16"/>
      <c r="B392" s="40"/>
      <c r="C392" s="17"/>
      <c r="D392" s="14"/>
      <c r="E392" s="14"/>
      <c r="F392" s="41"/>
      <c r="G392" s="16"/>
    </row>
    <row r="393" spans="1:7" ht="15.75" customHeight="1" x14ac:dyDescent="0.25">
      <c r="A393" s="16"/>
      <c r="B393" s="40"/>
      <c r="C393" s="17"/>
      <c r="D393" s="14"/>
      <c r="E393" s="14"/>
      <c r="F393" s="41"/>
      <c r="G393" s="16"/>
    </row>
    <row r="394" spans="1:7" ht="15.75" customHeight="1" x14ac:dyDescent="0.25">
      <c r="A394" s="16"/>
      <c r="B394" s="40"/>
      <c r="C394" s="17"/>
      <c r="D394" s="14"/>
      <c r="E394" s="14"/>
      <c r="F394" s="41"/>
      <c r="G394" s="16"/>
    </row>
    <row r="395" spans="1:7" ht="15.75" customHeight="1" x14ac:dyDescent="0.25">
      <c r="A395" s="16"/>
      <c r="B395" s="40"/>
      <c r="C395" s="17"/>
      <c r="D395" s="14"/>
      <c r="E395" s="14"/>
      <c r="F395" s="41"/>
      <c r="G395" s="16"/>
    </row>
    <row r="396" spans="1:7" ht="15.75" customHeight="1" x14ac:dyDescent="0.25">
      <c r="A396" s="16"/>
      <c r="B396" s="40"/>
      <c r="C396" s="17"/>
      <c r="D396" s="14"/>
      <c r="E396" s="14"/>
      <c r="F396" s="41"/>
      <c r="G396" s="16"/>
    </row>
    <row r="397" spans="1:7" ht="15.75" customHeight="1" x14ac:dyDescent="0.25">
      <c r="A397" s="16"/>
      <c r="B397" s="40"/>
      <c r="C397" s="17"/>
      <c r="D397" s="14"/>
      <c r="E397" s="14"/>
      <c r="F397" s="41"/>
      <c r="G397" s="16"/>
    </row>
    <row r="398" spans="1:7" ht="15.75" customHeight="1" x14ac:dyDescent="0.25">
      <c r="A398" s="16"/>
      <c r="B398" s="40"/>
      <c r="C398" s="17"/>
      <c r="D398" s="14"/>
      <c r="E398" s="14"/>
      <c r="F398" s="41"/>
      <c r="G398" s="16"/>
    </row>
    <row r="399" spans="1:7" ht="15.75" customHeight="1" x14ac:dyDescent="0.25">
      <c r="A399" s="16"/>
      <c r="B399" s="40"/>
      <c r="C399" s="17"/>
      <c r="D399" s="14"/>
      <c r="E399" s="14"/>
      <c r="F399" s="41"/>
      <c r="G399" s="16"/>
    </row>
    <row r="400" spans="1:7" ht="15.75" customHeight="1" x14ac:dyDescent="0.25">
      <c r="A400" s="16"/>
      <c r="B400" s="40"/>
      <c r="C400" s="17"/>
      <c r="D400" s="14"/>
      <c r="E400" s="14"/>
      <c r="F400" s="41"/>
      <c r="G400" s="16"/>
    </row>
    <row r="401" spans="1:7" ht="15.75" customHeight="1" x14ac:dyDescent="0.25">
      <c r="A401" s="16"/>
      <c r="B401" s="40"/>
      <c r="C401" s="17"/>
      <c r="D401" s="14"/>
      <c r="E401" s="14"/>
      <c r="F401" s="41"/>
      <c r="G401" s="16"/>
    </row>
    <row r="402" spans="1:7" ht="15.75" customHeight="1" x14ac:dyDescent="0.25">
      <c r="A402" s="16"/>
      <c r="B402" s="40"/>
      <c r="C402" s="17"/>
      <c r="D402" s="14"/>
      <c r="E402" s="14"/>
      <c r="F402" s="41"/>
      <c r="G402" s="16"/>
    </row>
    <row r="403" spans="1:7" ht="15.75" customHeight="1" x14ac:dyDescent="0.25">
      <c r="A403" s="16"/>
      <c r="B403" s="40"/>
      <c r="C403" s="17"/>
      <c r="D403" s="14"/>
      <c r="E403" s="14"/>
      <c r="F403" s="41"/>
      <c r="G403" s="16"/>
    </row>
    <row r="404" spans="1:7" ht="15.75" customHeight="1" x14ac:dyDescent="0.25">
      <c r="A404" s="16"/>
      <c r="B404" s="40"/>
      <c r="C404" s="17"/>
      <c r="D404" s="14"/>
      <c r="E404" s="14"/>
      <c r="F404" s="41"/>
      <c r="G404" s="16"/>
    </row>
    <row r="405" spans="1:7" ht="15.75" customHeight="1" x14ac:dyDescent="0.25">
      <c r="A405" s="16"/>
      <c r="B405" s="40"/>
      <c r="C405" s="17"/>
      <c r="D405" s="14"/>
      <c r="E405" s="14"/>
      <c r="F405" s="41"/>
      <c r="G405" s="16"/>
    </row>
    <row r="406" spans="1:7" ht="15.75" customHeight="1" x14ac:dyDescent="0.25">
      <c r="A406" s="16"/>
      <c r="B406" s="40"/>
      <c r="C406" s="17"/>
      <c r="D406" s="14"/>
      <c r="E406" s="14"/>
      <c r="F406" s="41"/>
      <c r="G406" s="16"/>
    </row>
    <row r="407" spans="1:7" ht="15.75" customHeight="1" x14ac:dyDescent="0.25">
      <c r="A407" s="16"/>
      <c r="B407" s="40"/>
      <c r="C407" s="17"/>
      <c r="D407" s="14"/>
      <c r="E407" s="14"/>
      <c r="F407" s="41"/>
      <c r="G407" s="16"/>
    </row>
    <row r="408" spans="1:7" ht="15.75" customHeight="1" x14ac:dyDescent="0.25">
      <c r="A408" s="16"/>
      <c r="B408" s="40"/>
      <c r="C408" s="17"/>
      <c r="D408" s="14"/>
      <c r="E408" s="14"/>
      <c r="F408" s="41"/>
      <c r="G408" s="16"/>
    </row>
    <row r="409" spans="1:7" ht="15.75" customHeight="1" x14ac:dyDescent="0.25">
      <c r="A409" s="16"/>
      <c r="B409" s="40"/>
      <c r="C409" s="17"/>
      <c r="D409" s="14"/>
      <c r="E409" s="14"/>
      <c r="F409" s="41"/>
      <c r="G409" s="16"/>
    </row>
    <row r="410" spans="1:7" ht="15.75" customHeight="1" x14ac:dyDescent="0.25">
      <c r="A410" s="16"/>
      <c r="B410" s="40"/>
      <c r="C410" s="17"/>
      <c r="D410" s="14"/>
      <c r="E410" s="14"/>
      <c r="F410" s="41"/>
      <c r="G410" s="16"/>
    </row>
    <row r="411" spans="1:7" ht="15.75" customHeight="1" x14ac:dyDescent="0.25">
      <c r="A411" s="16"/>
      <c r="B411" s="40"/>
      <c r="C411" s="17"/>
      <c r="D411" s="14"/>
      <c r="E411" s="14"/>
      <c r="F411" s="41"/>
      <c r="G411" s="16"/>
    </row>
    <row r="412" spans="1:7" ht="15.75" customHeight="1" x14ac:dyDescent="0.25">
      <c r="A412" s="16"/>
      <c r="B412" s="40"/>
      <c r="C412" s="17"/>
      <c r="D412" s="14"/>
      <c r="E412" s="14"/>
      <c r="F412" s="41"/>
      <c r="G412" s="16"/>
    </row>
    <row r="413" spans="1:7" ht="15.75" customHeight="1" x14ac:dyDescent="0.25">
      <c r="A413" s="16"/>
      <c r="B413" s="40"/>
      <c r="C413" s="17"/>
      <c r="D413" s="14"/>
      <c r="E413" s="14"/>
      <c r="F413" s="41"/>
      <c r="G413" s="16"/>
    </row>
    <row r="414" spans="1:7" ht="15.75" customHeight="1" x14ac:dyDescent="0.25">
      <c r="A414" s="16"/>
      <c r="B414" s="40"/>
      <c r="C414" s="17"/>
      <c r="D414" s="14"/>
      <c r="E414" s="14"/>
      <c r="F414" s="41"/>
      <c r="G414" s="16"/>
    </row>
    <row r="415" spans="1:7" ht="15.75" customHeight="1" x14ac:dyDescent="0.25">
      <c r="A415" s="16"/>
      <c r="B415" s="40"/>
      <c r="C415" s="17"/>
      <c r="D415" s="14"/>
      <c r="E415" s="14"/>
      <c r="F415" s="41"/>
      <c r="G415" s="16"/>
    </row>
    <row r="416" spans="1:7" ht="15.75" customHeight="1" x14ac:dyDescent="0.25">
      <c r="A416" s="16"/>
      <c r="B416" s="40"/>
      <c r="C416" s="17"/>
      <c r="D416" s="14"/>
      <c r="E416" s="14"/>
      <c r="F416" s="41"/>
      <c r="G416" s="16"/>
    </row>
    <row r="417" spans="1:7" ht="15.75" customHeight="1" x14ac:dyDescent="0.25">
      <c r="A417" s="16"/>
      <c r="B417" s="40"/>
      <c r="C417" s="17"/>
      <c r="D417" s="14"/>
      <c r="E417" s="14"/>
      <c r="F417" s="41"/>
      <c r="G417" s="16"/>
    </row>
    <row r="418" spans="1:7" ht="15.75" customHeight="1" x14ac:dyDescent="0.25">
      <c r="A418" s="16"/>
      <c r="B418" s="40"/>
      <c r="C418" s="17"/>
      <c r="D418" s="14"/>
      <c r="E418" s="14"/>
      <c r="F418" s="41"/>
      <c r="G418" s="16"/>
    </row>
    <row r="419" spans="1:7" ht="15.75" customHeight="1" x14ac:dyDescent="0.25">
      <c r="A419" s="16"/>
      <c r="B419" s="40"/>
      <c r="C419" s="17"/>
      <c r="D419" s="14"/>
      <c r="E419" s="14"/>
      <c r="F419" s="41"/>
      <c r="G419" s="16"/>
    </row>
    <row r="420" spans="1:7" ht="15.75" customHeight="1" x14ac:dyDescent="0.25">
      <c r="A420" s="16"/>
      <c r="B420" s="40"/>
      <c r="C420" s="17"/>
      <c r="D420" s="14"/>
      <c r="E420" s="14"/>
      <c r="F420" s="41"/>
      <c r="G420" s="16"/>
    </row>
    <row r="421" spans="1:7" ht="15.75" customHeight="1" x14ac:dyDescent="0.25">
      <c r="A421" s="16"/>
      <c r="B421" s="40"/>
      <c r="C421" s="17"/>
      <c r="D421" s="14"/>
      <c r="E421" s="14"/>
      <c r="F421" s="41"/>
      <c r="G421" s="16"/>
    </row>
    <row r="422" spans="1:7" ht="15.75" customHeight="1" x14ac:dyDescent="0.25">
      <c r="A422" s="16"/>
      <c r="B422" s="40"/>
      <c r="C422" s="17"/>
      <c r="D422" s="14"/>
      <c r="E422" s="14"/>
      <c r="F422" s="41"/>
      <c r="G422" s="16"/>
    </row>
    <row r="423" spans="1:7" ht="15.75" customHeight="1" x14ac:dyDescent="0.25">
      <c r="A423" s="16"/>
      <c r="B423" s="40"/>
      <c r="C423" s="17"/>
      <c r="D423" s="14"/>
      <c r="E423" s="14"/>
      <c r="F423" s="41"/>
      <c r="G423" s="16"/>
    </row>
    <row r="424" spans="1:7" ht="15.75" customHeight="1" x14ac:dyDescent="0.25">
      <c r="A424" s="16"/>
      <c r="B424" s="40"/>
      <c r="C424" s="17"/>
      <c r="D424" s="14"/>
      <c r="E424" s="14"/>
      <c r="F424" s="41"/>
      <c r="G424" s="16"/>
    </row>
    <row r="425" spans="1:7" ht="15.75" customHeight="1" x14ac:dyDescent="0.25">
      <c r="A425" s="16"/>
      <c r="B425" s="40"/>
      <c r="C425" s="17"/>
      <c r="D425" s="14"/>
      <c r="E425" s="14"/>
      <c r="F425" s="41"/>
      <c r="G425" s="16"/>
    </row>
    <row r="426" spans="1:7" ht="15.75" customHeight="1" x14ac:dyDescent="0.25">
      <c r="A426" s="16"/>
      <c r="B426" s="40"/>
      <c r="C426" s="17"/>
      <c r="D426" s="14"/>
      <c r="E426" s="14"/>
      <c r="F426" s="41"/>
      <c r="G426" s="16"/>
    </row>
    <row r="427" spans="1:7" ht="15.75" customHeight="1" x14ac:dyDescent="0.25">
      <c r="A427" s="16"/>
      <c r="B427" s="40"/>
      <c r="C427" s="17"/>
      <c r="D427" s="14"/>
      <c r="E427" s="14"/>
      <c r="F427" s="41"/>
      <c r="G427" s="16"/>
    </row>
    <row r="428" spans="1:7" ht="15.75" customHeight="1" x14ac:dyDescent="0.25">
      <c r="A428" s="16"/>
      <c r="B428" s="40"/>
      <c r="C428" s="17"/>
      <c r="D428" s="14"/>
      <c r="E428" s="14"/>
      <c r="F428" s="41"/>
      <c r="G428" s="16"/>
    </row>
    <row r="429" spans="1:7" ht="15.75" customHeight="1" x14ac:dyDescent="0.25">
      <c r="A429" s="16"/>
      <c r="B429" s="40"/>
      <c r="C429" s="17"/>
      <c r="D429" s="14"/>
      <c r="E429" s="14"/>
      <c r="F429" s="41"/>
      <c r="G429" s="16"/>
    </row>
    <row r="430" spans="1:7" ht="15.75" customHeight="1" x14ac:dyDescent="0.25">
      <c r="A430" s="16"/>
      <c r="B430" s="40"/>
      <c r="C430" s="17"/>
      <c r="D430" s="14"/>
      <c r="E430" s="14"/>
      <c r="F430" s="41"/>
      <c r="G430" s="16"/>
    </row>
    <row r="431" spans="1:7" ht="15.75" customHeight="1" x14ac:dyDescent="0.25">
      <c r="A431" s="16"/>
      <c r="B431" s="40"/>
      <c r="C431" s="17"/>
      <c r="D431" s="14"/>
      <c r="E431" s="14"/>
      <c r="F431" s="41"/>
      <c r="G431" s="16"/>
    </row>
    <row r="432" spans="1:7" ht="15.75" customHeight="1" x14ac:dyDescent="0.25">
      <c r="A432" s="16"/>
      <c r="B432" s="40"/>
      <c r="C432" s="17"/>
      <c r="D432" s="14"/>
      <c r="E432" s="14"/>
      <c r="F432" s="41"/>
      <c r="G432" s="16"/>
    </row>
    <row r="433" spans="1:7" ht="15.75" customHeight="1" x14ac:dyDescent="0.25">
      <c r="A433" s="16"/>
      <c r="B433" s="40"/>
      <c r="C433" s="17"/>
      <c r="D433" s="14"/>
      <c r="E433" s="14"/>
      <c r="F433" s="41"/>
      <c r="G433" s="16"/>
    </row>
    <row r="434" spans="1:7" ht="15.75" customHeight="1" x14ac:dyDescent="0.25">
      <c r="A434" s="16"/>
      <c r="B434" s="40"/>
      <c r="C434" s="17"/>
      <c r="D434" s="14"/>
      <c r="E434" s="14"/>
      <c r="F434" s="41"/>
      <c r="G434" s="16"/>
    </row>
    <row r="435" spans="1:7" ht="15.75" customHeight="1" x14ac:dyDescent="0.25">
      <c r="A435" s="16"/>
      <c r="B435" s="40"/>
      <c r="C435" s="17"/>
      <c r="D435" s="14"/>
      <c r="E435" s="14"/>
      <c r="F435" s="41"/>
      <c r="G435" s="16"/>
    </row>
    <row r="436" spans="1:7" ht="15.75" customHeight="1" x14ac:dyDescent="0.25">
      <c r="A436" s="16"/>
      <c r="B436" s="40"/>
      <c r="C436" s="17"/>
      <c r="D436" s="14"/>
      <c r="E436" s="14"/>
      <c r="F436" s="41"/>
      <c r="G436" s="16"/>
    </row>
    <row r="437" spans="1:7" ht="15.75" customHeight="1" x14ac:dyDescent="0.25">
      <c r="A437" s="16"/>
      <c r="B437" s="40"/>
      <c r="C437" s="17"/>
      <c r="D437" s="14"/>
      <c r="E437" s="14"/>
      <c r="F437" s="41"/>
      <c r="G437" s="16"/>
    </row>
    <row r="438" spans="1:7" ht="15.75" customHeight="1" x14ac:dyDescent="0.25">
      <c r="A438" s="16"/>
      <c r="B438" s="40"/>
      <c r="C438" s="17"/>
      <c r="D438" s="14"/>
      <c r="E438" s="14"/>
      <c r="F438" s="41"/>
      <c r="G438" s="16"/>
    </row>
    <row r="439" spans="1:7" ht="15.75" customHeight="1" x14ac:dyDescent="0.25">
      <c r="A439" s="16"/>
      <c r="B439" s="40"/>
      <c r="C439" s="17"/>
      <c r="D439" s="14"/>
      <c r="E439" s="14"/>
      <c r="F439" s="41"/>
      <c r="G439" s="16"/>
    </row>
    <row r="440" spans="1:7" ht="15.75" customHeight="1" x14ac:dyDescent="0.25">
      <c r="A440" s="16"/>
      <c r="B440" s="40"/>
      <c r="C440" s="17"/>
      <c r="D440" s="14"/>
      <c r="E440" s="14"/>
      <c r="F440" s="41"/>
      <c r="G440" s="16"/>
    </row>
    <row r="441" spans="1:7" ht="15.75" customHeight="1" x14ac:dyDescent="0.25">
      <c r="A441" s="16"/>
      <c r="B441" s="40"/>
      <c r="C441" s="17"/>
      <c r="D441" s="14"/>
      <c r="E441" s="14"/>
      <c r="F441" s="41"/>
      <c r="G441" s="16"/>
    </row>
    <row r="442" spans="1:7" ht="15.75" customHeight="1" x14ac:dyDescent="0.25">
      <c r="A442" s="16"/>
      <c r="B442" s="40"/>
      <c r="C442" s="17"/>
      <c r="D442" s="14"/>
      <c r="E442" s="14"/>
      <c r="F442" s="41"/>
      <c r="G442" s="16"/>
    </row>
    <row r="443" spans="1:7" ht="15.75" customHeight="1" x14ac:dyDescent="0.25">
      <c r="A443" s="16"/>
      <c r="B443" s="40"/>
      <c r="C443" s="17"/>
      <c r="D443" s="14"/>
      <c r="E443" s="14"/>
      <c r="F443" s="41"/>
      <c r="G443" s="16"/>
    </row>
    <row r="444" spans="1:7" ht="15.75" customHeight="1" x14ac:dyDescent="0.25">
      <c r="A444" s="16"/>
      <c r="B444" s="40"/>
      <c r="C444" s="17"/>
      <c r="D444" s="14"/>
      <c r="E444" s="14"/>
      <c r="F444" s="41"/>
      <c r="G444" s="16"/>
    </row>
    <row r="445" spans="1:7" ht="15.75" customHeight="1" x14ac:dyDescent="0.25">
      <c r="A445" s="16"/>
      <c r="B445" s="40"/>
      <c r="C445" s="17"/>
      <c r="D445" s="14"/>
      <c r="E445" s="14"/>
      <c r="F445" s="41"/>
      <c r="G445" s="16"/>
    </row>
    <row r="446" spans="1:7" ht="15.75" customHeight="1" x14ac:dyDescent="0.25">
      <c r="A446" s="16"/>
      <c r="B446" s="40"/>
      <c r="C446" s="17"/>
      <c r="D446" s="14"/>
      <c r="E446" s="14"/>
      <c r="F446" s="41"/>
      <c r="G446" s="16"/>
    </row>
    <row r="447" spans="1:7" ht="15.75" customHeight="1" x14ac:dyDescent="0.25">
      <c r="A447" s="16"/>
      <c r="B447" s="40"/>
      <c r="C447" s="17"/>
      <c r="D447" s="14"/>
      <c r="E447" s="14"/>
      <c r="F447" s="41"/>
      <c r="G447" s="16"/>
    </row>
    <row r="448" spans="1:7" ht="15.75" customHeight="1" x14ac:dyDescent="0.25">
      <c r="A448" s="16"/>
      <c r="B448" s="40"/>
      <c r="C448" s="17"/>
      <c r="D448" s="14"/>
      <c r="E448" s="14"/>
      <c r="F448" s="41"/>
      <c r="G448" s="16"/>
    </row>
    <row r="449" spans="1:7" ht="15.75" customHeight="1" x14ac:dyDescent="0.25">
      <c r="A449" s="16"/>
      <c r="B449" s="40"/>
      <c r="C449" s="17"/>
      <c r="D449" s="14"/>
      <c r="E449" s="14"/>
      <c r="F449" s="41"/>
      <c r="G449" s="16"/>
    </row>
    <row r="450" spans="1:7" ht="15.75" customHeight="1" x14ac:dyDescent="0.25">
      <c r="A450" s="16"/>
      <c r="B450" s="40"/>
      <c r="C450" s="17"/>
      <c r="D450" s="14"/>
      <c r="E450" s="14"/>
      <c r="F450" s="41"/>
      <c r="G450" s="16"/>
    </row>
    <row r="451" spans="1:7" ht="15.75" customHeight="1" x14ac:dyDescent="0.25">
      <c r="A451" s="16"/>
      <c r="B451" s="40"/>
      <c r="C451" s="17"/>
      <c r="D451" s="14"/>
      <c r="E451" s="14"/>
      <c r="F451" s="41"/>
      <c r="G451" s="16"/>
    </row>
    <row r="452" spans="1:7" ht="15.75" customHeight="1" x14ac:dyDescent="0.25">
      <c r="A452" s="16"/>
      <c r="B452" s="40"/>
      <c r="C452" s="17"/>
      <c r="D452" s="14"/>
      <c r="E452" s="14"/>
      <c r="F452" s="41"/>
      <c r="G452" s="16"/>
    </row>
    <row r="453" spans="1:7" ht="15.75" customHeight="1" x14ac:dyDescent="0.25">
      <c r="A453" s="16"/>
      <c r="B453" s="40"/>
      <c r="C453" s="17"/>
      <c r="D453" s="14"/>
      <c r="E453" s="14"/>
      <c r="F453" s="41"/>
      <c r="G453" s="16"/>
    </row>
    <row r="454" spans="1:7" ht="15.75" customHeight="1" x14ac:dyDescent="0.25">
      <c r="A454" s="16"/>
      <c r="B454" s="40"/>
      <c r="C454" s="17"/>
      <c r="D454" s="14"/>
      <c r="E454" s="14"/>
      <c r="F454" s="41"/>
      <c r="G454" s="16"/>
    </row>
    <row r="455" spans="1:7" ht="15.75" customHeight="1" x14ac:dyDescent="0.25">
      <c r="A455" s="16"/>
      <c r="B455" s="40"/>
      <c r="C455" s="17"/>
      <c r="D455" s="14"/>
      <c r="E455" s="14"/>
      <c r="F455" s="41"/>
      <c r="G455" s="16"/>
    </row>
    <row r="456" spans="1:7" ht="15.75" customHeight="1" x14ac:dyDescent="0.25">
      <c r="A456" s="16"/>
      <c r="B456" s="40"/>
      <c r="C456" s="17"/>
      <c r="D456" s="14"/>
      <c r="E456" s="14"/>
      <c r="F456" s="41"/>
      <c r="G456" s="16"/>
    </row>
    <row r="457" spans="1:7" ht="15.75" customHeight="1" x14ac:dyDescent="0.25">
      <c r="A457" s="16"/>
      <c r="B457" s="40"/>
      <c r="C457" s="17"/>
      <c r="D457" s="14"/>
      <c r="E457" s="14"/>
      <c r="F457" s="41"/>
      <c r="G457" s="16"/>
    </row>
    <row r="458" spans="1:7" ht="15.75" customHeight="1" x14ac:dyDescent="0.25">
      <c r="A458" s="16"/>
      <c r="B458" s="40"/>
      <c r="C458" s="17"/>
      <c r="D458" s="14"/>
      <c r="E458" s="14"/>
      <c r="F458" s="41"/>
      <c r="G458" s="16"/>
    </row>
    <row r="459" spans="1:7" ht="15.75" customHeight="1" x14ac:dyDescent="0.25">
      <c r="A459" s="16"/>
      <c r="B459" s="40"/>
      <c r="C459" s="17"/>
      <c r="D459" s="14"/>
      <c r="E459" s="14"/>
      <c r="F459" s="41"/>
      <c r="G459" s="16"/>
    </row>
    <row r="460" spans="1:7" ht="15.75" customHeight="1" x14ac:dyDescent="0.25">
      <c r="A460" s="16"/>
      <c r="B460" s="40"/>
      <c r="C460" s="17"/>
      <c r="D460" s="14"/>
      <c r="E460" s="14"/>
      <c r="F460" s="41"/>
      <c r="G460" s="16"/>
    </row>
    <row r="461" spans="1:7" ht="15.75" customHeight="1" x14ac:dyDescent="0.25">
      <c r="A461" s="16"/>
      <c r="B461" s="40"/>
      <c r="C461" s="17"/>
      <c r="D461" s="14"/>
      <c r="E461" s="14"/>
      <c r="F461" s="41"/>
      <c r="G461" s="16"/>
    </row>
    <row r="462" spans="1:7" ht="15.75" customHeight="1" x14ac:dyDescent="0.25">
      <c r="A462" s="16"/>
      <c r="B462" s="40"/>
      <c r="C462" s="17"/>
      <c r="D462" s="14"/>
      <c r="E462" s="14"/>
      <c r="F462" s="41"/>
      <c r="G462" s="16"/>
    </row>
    <row r="463" spans="1:7" ht="15.75" customHeight="1" x14ac:dyDescent="0.25">
      <c r="A463" s="16"/>
      <c r="B463" s="40"/>
      <c r="C463" s="17"/>
      <c r="D463" s="14"/>
      <c r="E463" s="14"/>
      <c r="F463" s="41"/>
      <c r="G463" s="16"/>
    </row>
    <row r="464" spans="1:7" ht="15.75" customHeight="1" x14ac:dyDescent="0.25">
      <c r="A464" s="16"/>
      <c r="B464" s="40"/>
      <c r="C464" s="17"/>
      <c r="D464" s="14"/>
      <c r="E464" s="14"/>
      <c r="F464" s="41"/>
      <c r="G464" s="16"/>
    </row>
    <row r="465" spans="1:7" ht="15.75" customHeight="1" x14ac:dyDescent="0.25">
      <c r="A465" s="16"/>
      <c r="B465" s="40"/>
      <c r="C465" s="17"/>
      <c r="D465" s="14"/>
      <c r="E465" s="14"/>
      <c r="F465" s="41"/>
      <c r="G465" s="16"/>
    </row>
    <row r="466" spans="1:7" ht="15.75" customHeight="1" x14ac:dyDescent="0.25">
      <c r="A466" s="16"/>
      <c r="B466" s="40"/>
      <c r="C466" s="17"/>
      <c r="D466" s="14"/>
      <c r="E466" s="14"/>
      <c r="F466" s="41"/>
      <c r="G466" s="16"/>
    </row>
    <row r="467" spans="1:7" ht="15.75" customHeight="1" x14ac:dyDescent="0.25">
      <c r="A467" s="16"/>
      <c r="B467" s="40"/>
      <c r="C467" s="17"/>
      <c r="D467" s="14"/>
      <c r="E467" s="14"/>
      <c r="F467" s="41"/>
      <c r="G467" s="16"/>
    </row>
    <row r="468" spans="1:7" ht="15.75" customHeight="1" x14ac:dyDescent="0.25">
      <c r="A468" s="16"/>
      <c r="B468" s="40"/>
      <c r="C468" s="17"/>
      <c r="D468" s="14"/>
      <c r="E468" s="14"/>
      <c r="F468" s="41"/>
      <c r="G468" s="16"/>
    </row>
    <row r="469" spans="1:7" ht="15.75" customHeight="1" x14ac:dyDescent="0.25">
      <c r="A469" s="16"/>
      <c r="B469" s="40"/>
      <c r="C469" s="17"/>
      <c r="D469" s="14"/>
      <c r="E469" s="14"/>
      <c r="F469" s="41"/>
      <c r="G469" s="16"/>
    </row>
    <row r="470" spans="1:7" ht="15.75" customHeight="1" x14ac:dyDescent="0.25">
      <c r="A470" s="16"/>
      <c r="B470" s="40"/>
      <c r="C470" s="17"/>
      <c r="D470" s="14"/>
      <c r="E470" s="14"/>
      <c r="F470" s="41"/>
      <c r="G470" s="16"/>
    </row>
    <row r="471" spans="1:7" ht="15.75" customHeight="1" x14ac:dyDescent="0.25">
      <c r="A471" s="16"/>
      <c r="B471" s="40"/>
      <c r="C471" s="17"/>
      <c r="D471" s="14"/>
      <c r="E471" s="14"/>
      <c r="F471" s="41"/>
      <c r="G471" s="16"/>
    </row>
    <row r="472" spans="1:7" ht="15.75" customHeight="1" x14ac:dyDescent="0.25">
      <c r="A472" s="16"/>
      <c r="B472" s="40"/>
      <c r="C472" s="17"/>
      <c r="D472" s="14"/>
      <c r="E472" s="14"/>
      <c r="F472" s="41"/>
      <c r="G472" s="16"/>
    </row>
    <row r="473" spans="1:7" ht="15.75" customHeight="1" x14ac:dyDescent="0.25">
      <c r="A473" s="16"/>
      <c r="B473" s="40"/>
      <c r="C473" s="17"/>
      <c r="D473" s="14"/>
      <c r="E473" s="14"/>
      <c r="F473" s="41"/>
      <c r="G473" s="16"/>
    </row>
    <row r="474" spans="1:7" ht="15.75" customHeight="1" x14ac:dyDescent="0.25">
      <c r="A474" s="16"/>
      <c r="B474" s="40"/>
      <c r="C474" s="17"/>
      <c r="D474" s="14"/>
      <c r="E474" s="14"/>
      <c r="F474" s="41"/>
      <c r="G474" s="16"/>
    </row>
    <row r="475" spans="1:7" ht="15.75" customHeight="1" x14ac:dyDescent="0.25">
      <c r="A475" s="16"/>
      <c r="B475" s="40"/>
      <c r="C475" s="17"/>
      <c r="D475" s="14"/>
      <c r="E475" s="14"/>
      <c r="F475" s="41"/>
      <c r="G475" s="16"/>
    </row>
    <row r="476" spans="1:7" ht="15.75" customHeight="1" x14ac:dyDescent="0.25">
      <c r="A476" s="16"/>
      <c r="B476" s="40"/>
      <c r="C476" s="17"/>
      <c r="D476" s="14"/>
      <c r="E476" s="14"/>
      <c r="F476" s="41"/>
      <c r="G476" s="16"/>
    </row>
    <row r="477" spans="1:7" ht="15.75" customHeight="1" x14ac:dyDescent="0.25">
      <c r="A477" s="16"/>
      <c r="B477" s="40"/>
      <c r="C477" s="17"/>
      <c r="D477" s="14"/>
      <c r="E477" s="14"/>
      <c r="F477" s="41"/>
      <c r="G477" s="16"/>
    </row>
    <row r="478" spans="1:7" ht="15.75" customHeight="1" x14ac:dyDescent="0.25">
      <c r="A478" s="16"/>
      <c r="B478" s="40"/>
      <c r="C478" s="17"/>
      <c r="D478" s="14"/>
      <c r="E478" s="14"/>
      <c r="F478" s="41"/>
      <c r="G478" s="16"/>
    </row>
    <row r="479" spans="1:7" ht="15.75" customHeight="1" x14ac:dyDescent="0.25">
      <c r="A479" s="16"/>
      <c r="B479" s="40"/>
      <c r="C479" s="17"/>
      <c r="D479" s="14"/>
      <c r="E479" s="14"/>
      <c r="F479" s="41"/>
      <c r="G479" s="16"/>
    </row>
    <row r="480" spans="1:7" ht="15.75" customHeight="1" x14ac:dyDescent="0.25">
      <c r="A480" s="16"/>
      <c r="B480" s="40"/>
      <c r="C480" s="17"/>
      <c r="D480" s="14"/>
      <c r="E480" s="14"/>
      <c r="F480" s="41"/>
      <c r="G480" s="16"/>
    </row>
    <row r="481" spans="1:7" ht="15.75" customHeight="1" x14ac:dyDescent="0.25">
      <c r="A481" s="16"/>
      <c r="B481" s="40"/>
      <c r="C481" s="17"/>
      <c r="D481" s="14"/>
      <c r="E481" s="14"/>
      <c r="F481" s="41"/>
      <c r="G481" s="16"/>
    </row>
    <row r="482" spans="1:7" ht="15.75" customHeight="1" x14ac:dyDescent="0.25">
      <c r="A482" s="16"/>
      <c r="B482" s="40"/>
      <c r="C482" s="17"/>
      <c r="D482" s="14"/>
      <c r="E482" s="14"/>
      <c r="F482" s="41"/>
      <c r="G482" s="16"/>
    </row>
    <row r="483" spans="1:7" ht="15.75" customHeight="1" x14ac:dyDescent="0.25">
      <c r="A483" s="16"/>
      <c r="B483" s="40"/>
      <c r="C483" s="17"/>
      <c r="D483" s="14"/>
      <c r="E483" s="14"/>
      <c r="F483" s="41"/>
      <c r="G483" s="16"/>
    </row>
    <row r="484" spans="1:7" ht="15.75" customHeight="1" x14ac:dyDescent="0.25">
      <c r="A484" s="16"/>
      <c r="B484" s="40"/>
      <c r="C484" s="17"/>
      <c r="D484" s="14"/>
      <c r="E484" s="14"/>
      <c r="F484" s="41"/>
      <c r="G484" s="16"/>
    </row>
    <row r="485" spans="1:7" ht="15.75" customHeight="1" x14ac:dyDescent="0.25">
      <c r="A485" s="16"/>
      <c r="B485" s="40"/>
      <c r="C485" s="17"/>
      <c r="D485" s="14"/>
      <c r="E485" s="14"/>
      <c r="F485" s="41"/>
      <c r="G485" s="16"/>
    </row>
    <row r="486" spans="1:7" ht="15.75" customHeight="1" x14ac:dyDescent="0.25">
      <c r="A486" s="16"/>
      <c r="B486" s="40"/>
      <c r="C486" s="17"/>
      <c r="D486" s="14"/>
      <c r="E486" s="14"/>
      <c r="F486" s="41"/>
      <c r="G486" s="16"/>
    </row>
    <row r="487" spans="1:7" ht="15.75" customHeight="1" x14ac:dyDescent="0.25">
      <c r="A487" s="16"/>
      <c r="B487" s="40"/>
      <c r="C487" s="17"/>
      <c r="D487" s="14"/>
      <c r="E487" s="14"/>
      <c r="F487" s="41"/>
      <c r="G487" s="16"/>
    </row>
    <row r="488" spans="1:7" ht="15.75" customHeight="1" x14ac:dyDescent="0.25">
      <c r="A488" s="16"/>
      <c r="B488" s="40"/>
      <c r="C488" s="17"/>
      <c r="D488" s="14"/>
      <c r="E488" s="14"/>
      <c r="F488" s="41"/>
      <c r="G488" s="16"/>
    </row>
    <row r="489" spans="1:7" ht="15.75" customHeight="1" x14ac:dyDescent="0.25">
      <c r="A489" s="16"/>
      <c r="B489" s="40"/>
      <c r="C489" s="17"/>
      <c r="D489" s="14"/>
      <c r="E489" s="14"/>
      <c r="F489" s="41"/>
      <c r="G489" s="16"/>
    </row>
    <row r="490" spans="1:7" ht="15.75" customHeight="1" x14ac:dyDescent="0.25">
      <c r="A490" s="16"/>
      <c r="B490" s="40"/>
      <c r="C490" s="17"/>
      <c r="D490" s="14"/>
      <c r="E490" s="14"/>
      <c r="F490" s="41"/>
      <c r="G490" s="16"/>
    </row>
    <row r="491" spans="1:7" ht="15.75" customHeight="1" x14ac:dyDescent="0.25">
      <c r="A491" s="16"/>
      <c r="B491" s="40"/>
      <c r="C491" s="17"/>
      <c r="D491" s="14"/>
      <c r="E491" s="14"/>
      <c r="F491" s="41"/>
      <c r="G491" s="16"/>
    </row>
    <row r="492" spans="1:7" ht="15.75" customHeight="1" x14ac:dyDescent="0.25">
      <c r="A492" s="16"/>
      <c r="B492" s="40"/>
      <c r="C492" s="17"/>
      <c r="D492" s="14"/>
      <c r="E492" s="14"/>
      <c r="F492" s="41"/>
      <c r="G492" s="16"/>
    </row>
    <row r="493" spans="1:7" ht="15.75" customHeight="1" x14ac:dyDescent="0.25">
      <c r="A493" s="16"/>
      <c r="B493" s="40"/>
      <c r="C493" s="17"/>
      <c r="D493" s="14"/>
      <c r="E493" s="14"/>
      <c r="F493" s="41"/>
      <c r="G493" s="16"/>
    </row>
    <row r="494" spans="1:7" ht="15.75" customHeight="1" x14ac:dyDescent="0.25">
      <c r="A494" s="16"/>
      <c r="B494" s="40"/>
      <c r="C494" s="17"/>
      <c r="D494" s="14"/>
      <c r="E494" s="14"/>
      <c r="F494" s="41"/>
      <c r="G494" s="16"/>
    </row>
    <row r="495" spans="1:7" ht="15.75" customHeight="1" x14ac:dyDescent="0.25">
      <c r="A495" s="16"/>
      <c r="B495" s="40"/>
      <c r="C495" s="17"/>
      <c r="D495" s="14"/>
      <c r="E495" s="14"/>
      <c r="F495" s="41"/>
      <c r="G495" s="16"/>
    </row>
    <row r="496" spans="1:7" ht="15.75" customHeight="1" x14ac:dyDescent="0.25">
      <c r="A496" s="16"/>
      <c r="B496" s="40"/>
      <c r="C496" s="17"/>
      <c r="D496" s="14"/>
      <c r="E496" s="14"/>
      <c r="F496" s="41"/>
      <c r="G496" s="16"/>
    </row>
    <row r="497" spans="1:7" ht="15.75" customHeight="1" x14ac:dyDescent="0.25">
      <c r="A497" s="16"/>
      <c r="B497" s="40"/>
      <c r="C497" s="17"/>
      <c r="D497" s="14"/>
      <c r="E497" s="14"/>
      <c r="F497" s="41"/>
      <c r="G497" s="16"/>
    </row>
    <row r="498" spans="1:7" ht="15.75" customHeight="1" x14ac:dyDescent="0.25">
      <c r="A498" s="16"/>
      <c r="B498" s="40"/>
      <c r="C498" s="17"/>
      <c r="D498" s="14"/>
      <c r="E498" s="14"/>
      <c r="F498" s="41"/>
      <c r="G498" s="16"/>
    </row>
    <row r="499" spans="1:7" ht="15.75" customHeight="1" x14ac:dyDescent="0.25">
      <c r="A499" s="16"/>
      <c r="B499" s="40"/>
      <c r="C499" s="17"/>
      <c r="D499" s="14"/>
      <c r="E499" s="14"/>
      <c r="F499" s="41"/>
      <c r="G499" s="16"/>
    </row>
    <row r="500" spans="1:7" ht="15.75" customHeight="1" x14ac:dyDescent="0.25">
      <c r="A500" s="16"/>
      <c r="B500" s="40"/>
      <c r="C500" s="17"/>
      <c r="D500" s="14"/>
      <c r="E500" s="14"/>
      <c r="F500" s="41"/>
      <c r="G500" s="16"/>
    </row>
    <row r="501" spans="1:7" ht="15.75" customHeight="1" x14ac:dyDescent="0.25">
      <c r="A501" s="16"/>
      <c r="B501" s="40"/>
      <c r="C501" s="17"/>
      <c r="D501" s="14"/>
      <c r="E501" s="14"/>
      <c r="F501" s="41"/>
      <c r="G501" s="16"/>
    </row>
    <row r="502" spans="1:7" ht="15.75" customHeight="1" x14ac:dyDescent="0.25">
      <c r="A502" s="16"/>
      <c r="B502" s="40"/>
      <c r="C502" s="17"/>
      <c r="D502" s="14"/>
      <c r="E502" s="14"/>
      <c r="F502" s="41"/>
      <c r="G502" s="16"/>
    </row>
    <row r="503" spans="1:7" ht="15.75" customHeight="1" x14ac:dyDescent="0.25">
      <c r="A503" s="16"/>
      <c r="B503" s="40"/>
      <c r="C503" s="17"/>
      <c r="D503" s="14"/>
      <c r="E503" s="14"/>
      <c r="F503" s="41"/>
      <c r="G503" s="16"/>
    </row>
    <row r="504" spans="1:7" ht="15.75" customHeight="1" x14ac:dyDescent="0.25">
      <c r="A504" s="16"/>
      <c r="B504" s="40"/>
      <c r="C504" s="17"/>
      <c r="D504" s="14"/>
      <c r="E504" s="14"/>
      <c r="F504" s="41"/>
      <c r="G504" s="16"/>
    </row>
    <row r="505" spans="1:7" ht="15.75" customHeight="1" x14ac:dyDescent="0.25">
      <c r="A505" s="16"/>
      <c r="B505" s="40"/>
      <c r="C505" s="17"/>
      <c r="D505" s="14"/>
      <c r="E505" s="14"/>
      <c r="F505" s="41"/>
      <c r="G505" s="16"/>
    </row>
    <row r="506" spans="1:7" ht="15.75" customHeight="1" x14ac:dyDescent="0.25">
      <c r="A506" s="16"/>
      <c r="B506" s="40"/>
      <c r="C506" s="17"/>
      <c r="D506" s="14"/>
      <c r="E506" s="14"/>
      <c r="F506" s="41"/>
      <c r="G506" s="16"/>
    </row>
    <row r="507" spans="1:7" ht="15.75" customHeight="1" x14ac:dyDescent="0.25">
      <c r="A507" s="16"/>
      <c r="B507" s="40"/>
      <c r="C507" s="17"/>
      <c r="D507" s="14"/>
      <c r="E507" s="14"/>
      <c r="F507" s="41"/>
      <c r="G507" s="16"/>
    </row>
    <row r="508" spans="1:7" ht="15.75" customHeight="1" x14ac:dyDescent="0.25">
      <c r="A508" s="16"/>
      <c r="B508" s="40"/>
      <c r="C508" s="17"/>
      <c r="D508" s="14"/>
      <c r="E508" s="14"/>
      <c r="F508" s="41"/>
      <c r="G508" s="16"/>
    </row>
    <row r="509" spans="1:7" ht="15.75" customHeight="1" x14ac:dyDescent="0.25">
      <c r="A509" s="16"/>
      <c r="B509" s="40"/>
      <c r="C509" s="17"/>
      <c r="D509" s="14"/>
      <c r="E509" s="14"/>
      <c r="F509" s="41"/>
      <c r="G509" s="16"/>
    </row>
    <row r="510" spans="1:7" ht="15.75" customHeight="1" x14ac:dyDescent="0.25">
      <c r="A510" s="16"/>
      <c r="B510" s="40"/>
      <c r="C510" s="17"/>
      <c r="D510" s="14"/>
      <c r="E510" s="14"/>
      <c r="F510" s="41"/>
      <c r="G510" s="16"/>
    </row>
    <row r="511" spans="1:7" ht="15.75" customHeight="1" x14ac:dyDescent="0.25">
      <c r="A511" s="16"/>
      <c r="B511" s="40"/>
      <c r="C511" s="17"/>
      <c r="D511" s="14"/>
      <c r="E511" s="14"/>
      <c r="F511" s="41"/>
      <c r="G511" s="16"/>
    </row>
    <row r="512" spans="1:7" ht="15.75" customHeight="1" x14ac:dyDescent="0.25">
      <c r="A512" s="16"/>
      <c r="B512" s="40"/>
      <c r="C512" s="17"/>
      <c r="D512" s="14"/>
      <c r="E512" s="14"/>
      <c r="F512" s="41"/>
      <c r="G512" s="16"/>
    </row>
    <row r="513" spans="1:7" ht="15.75" customHeight="1" x14ac:dyDescent="0.25">
      <c r="A513" s="16"/>
      <c r="B513" s="40"/>
      <c r="C513" s="17"/>
      <c r="D513" s="14"/>
      <c r="E513" s="14"/>
      <c r="F513" s="41"/>
      <c r="G513" s="16"/>
    </row>
    <row r="514" spans="1:7" ht="15.75" customHeight="1" x14ac:dyDescent="0.25">
      <c r="A514" s="16"/>
      <c r="B514" s="40"/>
      <c r="C514" s="17"/>
      <c r="D514" s="14"/>
      <c r="E514" s="14"/>
      <c r="F514" s="41"/>
      <c r="G514" s="16"/>
    </row>
    <row r="515" spans="1:7" ht="15.75" customHeight="1" x14ac:dyDescent="0.25">
      <c r="A515" s="16"/>
      <c r="B515" s="40"/>
      <c r="C515" s="17"/>
      <c r="D515" s="14"/>
      <c r="E515" s="14"/>
      <c r="F515" s="41"/>
      <c r="G515" s="16"/>
    </row>
    <row r="516" spans="1:7" ht="15.75" customHeight="1" x14ac:dyDescent="0.25">
      <c r="A516" s="16"/>
      <c r="B516" s="40"/>
      <c r="C516" s="17"/>
      <c r="D516" s="14"/>
      <c r="E516" s="14"/>
      <c r="F516" s="41"/>
      <c r="G516" s="16"/>
    </row>
    <row r="517" spans="1:7" ht="15.75" customHeight="1" x14ac:dyDescent="0.25">
      <c r="A517" s="16"/>
      <c r="B517" s="40"/>
      <c r="C517" s="17"/>
      <c r="D517" s="14"/>
      <c r="E517" s="14"/>
      <c r="F517" s="41"/>
      <c r="G517" s="16"/>
    </row>
    <row r="518" spans="1:7" ht="15.75" customHeight="1" x14ac:dyDescent="0.25">
      <c r="A518" s="16"/>
      <c r="B518" s="40"/>
      <c r="C518" s="17"/>
      <c r="D518" s="14"/>
      <c r="E518" s="14"/>
      <c r="F518" s="41"/>
      <c r="G518" s="16"/>
    </row>
    <row r="519" spans="1:7" ht="15.75" customHeight="1" x14ac:dyDescent="0.25">
      <c r="A519" s="16"/>
      <c r="B519" s="40"/>
      <c r="C519" s="17"/>
      <c r="D519" s="14"/>
      <c r="E519" s="14"/>
      <c r="F519" s="41"/>
      <c r="G519" s="16"/>
    </row>
    <row r="520" spans="1:7" ht="15.75" customHeight="1" x14ac:dyDescent="0.25">
      <c r="A520" s="16"/>
      <c r="B520" s="40"/>
      <c r="C520" s="17"/>
      <c r="D520" s="14"/>
      <c r="E520" s="14"/>
      <c r="F520" s="41"/>
      <c r="G520" s="16"/>
    </row>
    <row r="521" spans="1:7" ht="15.75" customHeight="1" x14ac:dyDescent="0.25">
      <c r="A521" s="16"/>
      <c r="B521" s="40"/>
      <c r="C521" s="17"/>
      <c r="D521" s="14"/>
      <c r="E521" s="14"/>
      <c r="F521" s="41"/>
      <c r="G521" s="16"/>
    </row>
    <row r="522" spans="1:7" ht="15.75" customHeight="1" x14ac:dyDescent="0.25">
      <c r="A522" s="16"/>
      <c r="B522" s="40"/>
      <c r="C522" s="17"/>
      <c r="D522" s="14"/>
      <c r="E522" s="14"/>
      <c r="F522" s="41"/>
      <c r="G522" s="16"/>
    </row>
    <row r="523" spans="1:7" ht="15.75" customHeight="1" x14ac:dyDescent="0.25">
      <c r="A523" s="16"/>
      <c r="B523" s="40"/>
      <c r="C523" s="17"/>
      <c r="D523" s="14"/>
      <c r="E523" s="14"/>
      <c r="F523" s="41"/>
      <c r="G523" s="16"/>
    </row>
    <row r="524" spans="1:7" ht="15.75" customHeight="1" x14ac:dyDescent="0.25">
      <c r="A524" s="16"/>
      <c r="B524" s="40"/>
      <c r="C524" s="17"/>
      <c r="D524" s="14"/>
      <c r="E524" s="14"/>
      <c r="F524" s="41"/>
      <c r="G524" s="16"/>
    </row>
    <row r="525" spans="1:7" ht="15.75" customHeight="1" x14ac:dyDescent="0.25">
      <c r="A525" s="16"/>
      <c r="B525" s="40"/>
      <c r="C525" s="17"/>
      <c r="D525" s="14"/>
      <c r="E525" s="14"/>
      <c r="F525" s="41"/>
      <c r="G525" s="16"/>
    </row>
    <row r="526" spans="1:7" ht="15.75" customHeight="1" x14ac:dyDescent="0.25">
      <c r="A526" s="16"/>
      <c r="B526" s="40"/>
      <c r="C526" s="17"/>
      <c r="D526" s="14"/>
      <c r="E526" s="14"/>
      <c r="F526" s="41"/>
      <c r="G526" s="16"/>
    </row>
    <row r="527" spans="1:7" ht="15.75" customHeight="1" x14ac:dyDescent="0.25">
      <c r="A527" s="16"/>
      <c r="B527" s="40"/>
      <c r="C527" s="17"/>
      <c r="D527" s="14"/>
      <c r="E527" s="14"/>
      <c r="F527" s="41"/>
      <c r="G527" s="16"/>
    </row>
    <row r="528" spans="1:7" ht="15.75" customHeight="1" x14ac:dyDescent="0.25">
      <c r="A528" s="16"/>
      <c r="B528" s="40"/>
      <c r="C528" s="17"/>
      <c r="D528" s="14"/>
      <c r="E528" s="14"/>
      <c r="F528" s="41"/>
      <c r="G528" s="16"/>
    </row>
    <row r="529" spans="1:7" ht="15.75" customHeight="1" x14ac:dyDescent="0.25">
      <c r="A529" s="16"/>
      <c r="B529" s="40"/>
      <c r="C529" s="17"/>
      <c r="D529" s="14"/>
      <c r="E529" s="14"/>
      <c r="F529" s="41"/>
      <c r="G529" s="16"/>
    </row>
    <row r="530" spans="1:7" ht="18" customHeight="1" x14ac:dyDescent="0.25">
      <c r="A530" s="42" t="s">
        <v>155</v>
      </c>
      <c r="B530" s="43"/>
      <c r="C530" s="44">
        <f>SUM(C4:C528)</f>
        <v>1004100985.7700001</v>
      </c>
      <c r="D530" s="43"/>
      <c r="E530" s="43"/>
      <c r="F530" s="43"/>
      <c r="G530" s="43"/>
    </row>
    <row r="531" spans="1:7" ht="15.75" customHeight="1" x14ac:dyDescent="0.25">
      <c r="A531" s="45"/>
      <c r="B531" s="45"/>
      <c r="C531" s="46"/>
      <c r="D531" s="47"/>
      <c r="E531" s="47"/>
      <c r="F531" s="48" t="str">
        <f>IF(E531="","",E531+2)</f>
        <v/>
      </c>
      <c r="G531" s="45"/>
    </row>
    <row r="532" spans="1:7" ht="15.75" customHeight="1" x14ac:dyDescent="0.25">
      <c r="A532" s="45"/>
      <c r="B532" s="45"/>
      <c r="C532" s="46"/>
      <c r="D532" s="47"/>
      <c r="E532" s="47"/>
      <c r="F532" s="48" t="str">
        <f>IF(E532="","",E532+2)</f>
        <v/>
      </c>
      <c r="G532" s="45"/>
    </row>
    <row r="533" spans="1:7" ht="15.75" customHeight="1" x14ac:dyDescent="0.25">
      <c r="A533" s="45"/>
      <c r="B533" s="45"/>
      <c r="C533" s="46"/>
      <c r="D533" s="47"/>
      <c r="E533" s="47"/>
      <c r="F533" s="48" t="str">
        <f>IF(E533="","",E533+2)</f>
        <v/>
      </c>
      <c r="G533" s="45"/>
    </row>
    <row r="534" spans="1:7" ht="15.75" customHeight="1" x14ac:dyDescent="0.25">
      <c r="A534" s="45"/>
      <c r="B534" s="45"/>
      <c r="C534" s="46"/>
      <c r="D534" s="47"/>
      <c r="E534" s="47"/>
      <c r="F534" s="48" t="str">
        <f>IF(E534="","",E534+2)</f>
        <v/>
      </c>
      <c r="G534" s="45"/>
    </row>
    <row r="535" spans="1:7" ht="15.75" customHeight="1" x14ac:dyDescent="0.25">
      <c r="A535" s="45"/>
      <c r="B535" s="45"/>
      <c r="C535" s="46"/>
      <c r="D535" s="47"/>
      <c r="E535" s="47"/>
      <c r="F535" s="48" t="str">
        <f>IF(E535="","",E535+2)</f>
        <v/>
      </c>
      <c r="G535" s="45"/>
    </row>
    <row r="537" spans="1:7" ht="15" customHeight="1" x14ac:dyDescent="0.25">
      <c r="A537" s="60" t="s">
        <v>156</v>
      </c>
      <c r="B537" s="60"/>
      <c r="C537" s="60"/>
      <c r="D537" s="60"/>
      <c r="E537" s="60"/>
      <c r="F537" s="60"/>
      <c r="G537" s="60"/>
    </row>
  </sheetData>
  <mergeCells count="3">
    <mergeCell ref="A1:G1"/>
    <mergeCell ref="A2:G2"/>
    <mergeCell ref="A537:G53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8CFCF-7669-46CE-ACFD-95E1605C8764}">
  <dimension ref="A1:O190"/>
  <sheetViews>
    <sheetView topLeftCell="A155" workbookViewId="0">
      <selection activeCell="C2" sqref="C2:C190"/>
    </sheetView>
  </sheetViews>
  <sheetFormatPr baseColWidth="10" defaultRowHeight="15" x14ac:dyDescent="0.25"/>
  <sheetData>
    <row r="1" spans="1:15" x14ac:dyDescent="0.25">
      <c r="A1" t="s">
        <v>157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</row>
    <row r="2" spans="1:15" x14ac:dyDescent="0.25">
      <c r="A2" t="s">
        <v>172</v>
      </c>
      <c r="B2" t="s">
        <v>173</v>
      </c>
      <c r="C2" s="61">
        <v>46127</v>
      </c>
      <c r="D2">
        <v>23454</v>
      </c>
      <c r="E2">
        <v>2219061</v>
      </c>
      <c r="F2" t="s">
        <v>174</v>
      </c>
      <c r="G2" t="s">
        <v>175</v>
      </c>
      <c r="H2">
        <v>3400000</v>
      </c>
      <c r="I2" t="s">
        <v>176</v>
      </c>
      <c r="J2" t="s">
        <v>177</v>
      </c>
      <c r="K2" t="s">
        <v>178</v>
      </c>
      <c r="L2" t="s">
        <v>177</v>
      </c>
      <c r="M2" t="s">
        <v>179</v>
      </c>
      <c r="N2" t="s">
        <v>177</v>
      </c>
      <c r="O2" t="s">
        <v>177</v>
      </c>
    </row>
    <row r="3" spans="1:15" x14ac:dyDescent="0.25">
      <c r="A3" t="s">
        <v>172</v>
      </c>
      <c r="B3" t="s">
        <v>173</v>
      </c>
      <c r="C3" s="61">
        <v>46132</v>
      </c>
      <c r="D3">
        <v>23238</v>
      </c>
      <c r="E3">
        <v>13111470</v>
      </c>
      <c r="F3" t="s">
        <v>174</v>
      </c>
      <c r="G3" t="s">
        <v>180</v>
      </c>
      <c r="H3">
        <v>3224950</v>
      </c>
      <c r="I3" t="s">
        <v>181</v>
      </c>
      <c r="J3" t="s">
        <v>177</v>
      </c>
      <c r="K3" t="s">
        <v>182</v>
      </c>
      <c r="L3" t="s">
        <v>177</v>
      </c>
      <c r="M3" t="s">
        <v>183</v>
      </c>
      <c r="N3" t="s">
        <v>177</v>
      </c>
      <c r="O3" t="s">
        <v>177</v>
      </c>
    </row>
    <row r="4" spans="1:15" x14ac:dyDescent="0.25">
      <c r="A4" t="s">
        <v>172</v>
      </c>
      <c r="B4" t="s">
        <v>173</v>
      </c>
      <c r="C4" s="61">
        <v>46147</v>
      </c>
      <c r="D4">
        <v>23289</v>
      </c>
      <c r="E4">
        <v>13377997</v>
      </c>
      <c r="F4" t="s">
        <v>184</v>
      </c>
      <c r="G4" t="s">
        <v>185</v>
      </c>
      <c r="H4">
        <v>3100000</v>
      </c>
      <c r="I4" t="s">
        <v>186</v>
      </c>
      <c r="J4" t="s">
        <v>177</v>
      </c>
      <c r="K4" t="s">
        <v>187</v>
      </c>
      <c r="L4" t="s">
        <v>177</v>
      </c>
      <c r="M4" t="s">
        <v>188</v>
      </c>
      <c r="N4" t="s">
        <v>189</v>
      </c>
      <c r="O4" t="s">
        <v>190</v>
      </c>
    </row>
    <row r="5" spans="1:15" x14ac:dyDescent="0.25">
      <c r="A5" t="s">
        <v>172</v>
      </c>
      <c r="B5" t="s">
        <v>173</v>
      </c>
      <c r="C5" s="61">
        <v>46147</v>
      </c>
      <c r="D5">
        <v>23353</v>
      </c>
      <c r="E5">
        <v>12924495</v>
      </c>
      <c r="F5" t="s">
        <v>184</v>
      </c>
      <c r="G5" t="s">
        <v>180</v>
      </c>
      <c r="H5">
        <v>4981600</v>
      </c>
      <c r="I5" t="s">
        <v>181</v>
      </c>
      <c r="J5" t="s">
        <v>177</v>
      </c>
      <c r="K5" t="s">
        <v>182</v>
      </c>
      <c r="L5" t="s">
        <v>177</v>
      </c>
      <c r="M5" t="s">
        <v>183</v>
      </c>
      <c r="N5" t="s">
        <v>189</v>
      </c>
      <c r="O5" t="s">
        <v>190</v>
      </c>
    </row>
    <row r="6" spans="1:15" x14ac:dyDescent="0.25">
      <c r="A6" t="s">
        <v>172</v>
      </c>
      <c r="B6" t="s">
        <v>173</v>
      </c>
      <c r="C6" s="61">
        <v>46147</v>
      </c>
      <c r="D6">
        <v>23378</v>
      </c>
      <c r="E6">
        <v>78055845</v>
      </c>
      <c r="F6" t="s">
        <v>184</v>
      </c>
      <c r="G6" t="s">
        <v>191</v>
      </c>
      <c r="H6">
        <v>600000</v>
      </c>
      <c r="I6" t="s">
        <v>192</v>
      </c>
      <c r="J6" t="s">
        <v>177</v>
      </c>
      <c r="K6" t="s">
        <v>193</v>
      </c>
      <c r="L6" t="s">
        <v>177</v>
      </c>
      <c r="M6" t="s">
        <v>194</v>
      </c>
      <c r="N6" t="s">
        <v>189</v>
      </c>
      <c r="O6" t="s">
        <v>190</v>
      </c>
    </row>
    <row r="7" spans="1:15" x14ac:dyDescent="0.25">
      <c r="A7" t="s">
        <v>172</v>
      </c>
      <c r="B7" t="s">
        <v>173</v>
      </c>
      <c r="C7" s="61">
        <v>46147</v>
      </c>
      <c r="D7">
        <v>23395</v>
      </c>
      <c r="E7">
        <v>66003981</v>
      </c>
      <c r="F7" t="s">
        <v>184</v>
      </c>
      <c r="G7" t="s">
        <v>195</v>
      </c>
      <c r="H7">
        <v>4000000</v>
      </c>
      <c r="I7" t="s">
        <v>196</v>
      </c>
      <c r="J7" t="s">
        <v>177</v>
      </c>
      <c r="K7" t="s">
        <v>197</v>
      </c>
      <c r="L7" t="s">
        <v>177</v>
      </c>
      <c r="M7" t="s">
        <v>198</v>
      </c>
      <c r="N7" t="s">
        <v>189</v>
      </c>
      <c r="O7" t="s">
        <v>190</v>
      </c>
    </row>
    <row r="8" spans="1:15" x14ac:dyDescent="0.25">
      <c r="A8" t="s">
        <v>172</v>
      </c>
      <c r="B8" t="s">
        <v>173</v>
      </c>
      <c r="C8" s="61">
        <v>46147</v>
      </c>
      <c r="D8">
        <v>23416</v>
      </c>
      <c r="E8">
        <v>78055854</v>
      </c>
      <c r="F8" t="s">
        <v>184</v>
      </c>
      <c r="G8" t="s">
        <v>191</v>
      </c>
      <c r="H8">
        <v>1235000</v>
      </c>
      <c r="I8" t="s">
        <v>192</v>
      </c>
      <c r="J8" t="s">
        <v>177</v>
      </c>
      <c r="K8" t="s">
        <v>193</v>
      </c>
      <c r="L8" t="s">
        <v>177</v>
      </c>
      <c r="M8" t="s">
        <v>194</v>
      </c>
      <c r="N8" t="s">
        <v>189</v>
      </c>
      <c r="O8" t="s">
        <v>190</v>
      </c>
    </row>
    <row r="9" spans="1:15" x14ac:dyDescent="0.25">
      <c r="A9" t="s">
        <v>172</v>
      </c>
      <c r="B9" t="s">
        <v>173</v>
      </c>
      <c r="C9" s="61">
        <v>46147</v>
      </c>
      <c r="D9">
        <v>23422</v>
      </c>
      <c r="E9">
        <v>78055860</v>
      </c>
      <c r="F9" t="s">
        <v>184</v>
      </c>
      <c r="G9" t="s">
        <v>191</v>
      </c>
      <c r="H9">
        <v>1325000</v>
      </c>
      <c r="I9" t="s">
        <v>192</v>
      </c>
      <c r="J9" t="s">
        <v>177</v>
      </c>
      <c r="K9" t="s">
        <v>193</v>
      </c>
      <c r="L9" t="s">
        <v>177</v>
      </c>
      <c r="M9" t="s">
        <v>194</v>
      </c>
      <c r="N9" t="s">
        <v>189</v>
      </c>
      <c r="O9" t="s">
        <v>190</v>
      </c>
    </row>
    <row r="10" spans="1:15" x14ac:dyDescent="0.25">
      <c r="A10" t="s">
        <v>172</v>
      </c>
      <c r="B10" t="s">
        <v>173</v>
      </c>
      <c r="C10" s="61">
        <v>46147</v>
      </c>
      <c r="D10">
        <v>23462</v>
      </c>
      <c r="E10">
        <v>9583069</v>
      </c>
      <c r="F10" t="s">
        <v>184</v>
      </c>
      <c r="G10" t="s">
        <v>180</v>
      </c>
      <c r="H10">
        <v>12938400</v>
      </c>
      <c r="I10" t="s">
        <v>199</v>
      </c>
      <c r="J10" t="s">
        <v>177</v>
      </c>
      <c r="K10" t="s">
        <v>200</v>
      </c>
      <c r="L10" t="s">
        <v>177</v>
      </c>
      <c r="M10" t="s">
        <v>183</v>
      </c>
      <c r="N10" t="s">
        <v>189</v>
      </c>
      <c r="O10" t="s">
        <v>190</v>
      </c>
    </row>
    <row r="11" spans="1:15" x14ac:dyDescent="0.25">
      <c r="A11" t="s">
        <v>172</v>
      </c>
      <c r="B11" t="s">
        <v>173</v>
      </c>
      <c r="C11" s="61">
        <v>46147</v>
      </c>
      <c r="D11">
        <v>23475</v>
      </c>
      <c r="E11">
        <v>3940</v>
      </c>
      <c r="F11" t="s">
        <v>174</v>
      </c>
      <c r="G11" t="s">
        <v>191</v>
      </c>
      <c r="H11">
        <v>115144.56</v>
      </c>
      <c r="I11" t="s">
        <v>201</v>
      </c>
      <c r="J11" t="s">
        <v>177</v>
      </c>
      <c r="K11" t="s">
        <v>202</v>
      </c>
      <c r="L11" t="s">
        <v>177</v>
      </c>
      <c r="M11" t="s">
        <v>194</v>
      </c>
      <c r="N11" t="s">
        <v>189</v>
      </c>
      <c r="O11" t="s">
        <v>190</v>
      </c>
    </row>
    <row r="12" spans="1:15" x14ac:dyDescent="0.25">
      <c r="A12" t="s">
        <v>172</v>
      </c>
      <c r="B12" t="s">
        <v>173</v>
      </c>
      <c r="C12" s="61">
        <v>46147</v>
      </c>
      <c r="D12">
        <v>23476</v>
      </c>
      <c r="E12">
        <v>10333097</v>
      </c>
      <c r="F12" t="s">
        <v>174</v>
      </c>
      <c r="G12" t="s">
        <v>203</v>
      </c>
      <c r="H12">
        <v>509557.57</v>
      </c>
      <c r="I12" t="s">
        <v>201</v>
      </c>
      <c r="J12" t="s">
        <v>177</v>
      </c>
      <c r="K12" t="s">
        <v>202</v>
      </c>
      <c r="L12" t="s">
        <v>177</v>
      </c>
      <c r="M12" t="s">
        <v>204</v>
      </c>
      <c r="N12" t="s">
        <v>189</v>
      </c>
      <c r="O12" t="s">
        <v>190</v>
      </c>
    </row>
    <row r="13" spans="1:15" x14ac:dyDescent="0.25">
      <c r="A13" t="s">
        <v>172</v>
      </c>
      <c r="B13" t="s">
        <v>173</v>
      </c>
      <c r="C13" s="61">
        <v>46148</v>
      </c>
      <c r="D13">
        <v>23290</v>
      </c>
      <c r="E13">
        <v>13377998</v>
      </c>
      <c r="F13" t="s">
        <v>184</v>
      </c>
      <c r="G13" t="s">
        <v>185</v>
      </c>
      <c r="H13">
        <v>3100000</v>
      </c>
      <c r="I13" t="s">
        <v>186</v>
      </c>
      <c r="J13" t="s">
        <v>177</v>
      </c>
      <c r="K13" t="s">
        <v>187</v>
      </c>
      <c r="L13" t="s">
        <v>177</v>
      </c>
      <c r="M13" t="s">
        <v>188</v>
      </c>
      <c r="N13" t="s">
        <v>189</v>
      </c>
      <c r="O13" t="s">
        <v>190</v>
      </c>
    </row>
    <row r="14" spans="1:15" x14ac:dyDescent="0.25">
      <c r="A14" t="s">
        <v>172</v>
      </c>
      <c r="B14" t="s">
        <v>173</v>
      </c>
      <c r="C14" s="61">
        <v>46148</v>
      </c>
      <c r="D14">
        <v>23292</v>
      </c>
      <c r="E14">
        <v>13378000</v>
      </c>
      <c r="F14" t="s">
        <v>184</v>
      </c>
      <c r="G14" t="s">
        <v>185</v>
      </c>
      <c r="H14">
        <v>3100000</v>
      </c>
      <c r="I14" t="s">
        <v>186</v>
      </c>
      <c r="J14" t="s">
        <v>177</v>
      </c>
      <c r="K14" t="s">
        <v>187</v>
      </c>
      <c r="L14" t="s">
        <v>177</v>
      </c>
      <c r="M14" t="s">
        <v>188</v>
      </c>
      <c r="N14" t="s">
        <v>189</v>
      </c>
      <c r="O14" t="s">
        <v>190</v>
      </c>
    </row>
    <row r="15" spans="1:15" x14ac:dyDescent="0.25">
      <c r="A15" t="s">
        <v>172</v>
      </c>
      <c r="B15" t="s">
        <v>173</v>
      </c>
      <c r="C15" s="61">
        <v>46148</v>
      </c>
      <c r="D15">
        <v>23383</v>
      </c>
      <c r="E15">
        <v>1142</v>
      </c>
      <c r="F15" t="s">
        <v>184</v>
      </c>
      <c r="G15" t="s">
        <v>205</v>
      </c>
      <c r="H15">
        <v>24001062.5</v>
      </c>
      <c r="I15" t="s">
        <v>206</v>
      </c>
      <c r="J15" t="s">
        <v>177</v>
      </c>
      <c r="K15" t="s">
        <v>207</v>
      </c>
      <c r="L15" t="s">
        <v>177</v>
      </c>
      <c r="M15" t="s">
        <v>208</v>
      </c>
      <c r="N15" t="s">
        <v>189</v>
      </c>
      <c r="O15" t="s">
        <v>190</v>
      </c>
    </row>
    <row r="16" spans="1:15" x14ac:dyDescent="0.25">
      <c r="A16" t="s">
        <v>172</v>
      </c>
      <c r="B16" t="s">
        <v>173</v>
      </c>
      <c r="C16" s="61">
        <v>46148</v>
      </c>
      <c r="D16">
        <v>23393</v>
      </c>
      <c r="E16">
        <v>4444</v>
      </c>
      <c r="F16" t="s">
        <v>184</v>
      </c>
      <c r="G16" t="s">
        <v>205</v>
      </c>
      <c r="H16">
        <v>1200000</v>
      </c>
      <c r="I16" t="s">
        <v>209</v>
      </c>
      <c r="J16" t="s">
        <v>177</v>
      </c>
      <c r="K16" t="s">
        <v>210</v>
      </c>
      <c r="L16" t="s">
        <v>177</v>
      </c>
      <c r="M16" t="s">
        <v>208</v>
      </c>
      <c r="N16" t="s">
        <v>189</v>
      </c>
      <c r="O16" t="s">
        <v>190</v>
      </c>
    </row>
    <row r="17" spans="1:15" x14ac:dyDescent="0.25">
      <c r="A17" t="s">
        <v>172</v>
      </c>
      <c r="B17" t="s">
        <v>173</v>
      </c>
      <c r="C17" s="61">
        <v>46148</v>
      </c>
      <c r="D17">
        <v>23399</v>
      </c>
      <c r="E17">
        <v>4945</v>
      </c>
      <c r="F17" t="s">
        <v>184</v>
      </c>
      <c r="G17" t="s">
        <v>191</v>
      </c>
      <c r="H17">
        <v>1553004</v>
      </c>
      <c r="I17" t="s">
        <v>211</v>
      </c>
      <c r="J17" t="s">
        <v>177</v>
      </c>
      <c r="K17" t="s">
        <v>212</v>
      </c>
      <c r="L17" t="s">
        <v>177</v>
      </c>
      <c r="M17" t="s">
        <v>194</v>
      </c>
      <c r="N17" t="s">
        <v>189</v>
      </c>
      <c r="O17" t="s">
        <v>190</v>
      </c>
    </row>
    <row r="18" spans="1:15" x14ac:dyDescent="0.25">
      <c r="A18" t="s">
        <v>172</v>
      </c>
      <c r="B18" t="s">
        <v>173</v>
      </c>
      <c r="C18" s="61">
        <v>46148</v>
      </c>
      <c r="D18">
        <v>23436</v>
      </c>
      <c r="E18">
        <v>90018009</v>
      </c>
      <c r="F18" t="s">
        <v>184</v>
      </c>
      <c r="G18" t="s">
        <v>213</v>
      </c>
      <c r="H18">
        <v>17271355</v>
      </c>
      <c r="I18" t="s">
        <v>214</v>
      </c>
      <c r="J18" t="s">
        <v>177</v>
      </c>
      <c r="K18" t="s">
        <v>215</v>
      </c>
      <c r="L18" t="s">
        <v>177</v>
      </c>
      <c r="M18" t="s">
        <v>216</v>
      </c>
      <c r="N18" t="s">
        <v>189</v>
      </c>
      <c r="O18" t="s">
        <v>190</v>
      </c>
    </row>
    <row r="19" spans="1:15" x14ac:dyDescent="0.25">
      <c r="A19" t="s">
        <v>172</v>
      </c>
      <c r="B19" t="s">
        <v>173</v>
      </c>
      <c r="C19" s="61">
        <v>46148</v>
      </c>
      <c r="D19">
        <v>23449</v>
      </c>
      <c r="E19">
        <v>29065549</v>
      </c>
      <c r="F19" t="s">
        <v>184</v>
      </c>
      <c r="G19" t="s">
        <v>217</v>
      </c>
      <c r="H19">
        <v>3281631</v>
      </c>
      <c r="I19" t="s">
        <v>201</v>
      </c>
      <c r="J19" t="s">
        <v>177</v>
      </c>
      <c r="K19" t="s">
        <v>202</v>
      </c>
      <c r="L19" t="s">
        <v>177</v>
      </c>
      <c r="M19" t="s">
        <v>218</v>
      </c>
      <c r="N19" t="s">
        <v>189</v>
      </c>
      <c r="O19" t="s">
        <v>190</v>
      </c>
    </row>
    <row r="20" spans="1:15" x14ac:dyDescent="0.25">
      <c r="A20" t="s">
        <v>172</v>
      </c>
      <c r="B20" t="s">
        <v>173</v>
      </c>
      <c r="C20" s="61">
        <v>46148</v>
      </c>
      <c r="D20">
        <v>23513</v>
      </c>
      <c r="E20">
        <v>29133198</v>
      </c>
      <c r="F20" t="s">
        <v>184</v>
      </c>
      <c r="G20" t="s">
        <v>217</v>
      </c>
      <c r="H20">
        <v>6539100</v>
      </c>
      <c r="I20" t="s">
        <v>219</v>
      </c>
      <c r="J20" t="s">
        <v>177</v>
      </c>
      <c r="K20" t="s">
        <v>220</v>
      </c>
      <c r="L20" t="s">
        <v>177</v>
      </c>
      <c r="M20" t="s">
        <v>218</v>
      </c>
      <c r="N20" t="s">
        <v>189</v>
      </c>
      <c r="O20" t="s">
        <v>190</v>
      </c>
    </row>
    <row r="21" spans="1:15" x14ac:dyDescent="0.25">
      <c r="A21" t="s">
        <v>172</v>
      </c>
      <c r="B21" t="s">
        <v>173</v>
      </c>
      <c r="C21" s="61">
        <v>46149</v>
      </c>
      <c r="D21">
        <v>23291</v>
      </c>
      <c r="E21">
        <v>13377999</v>
      </c>
      <c r="F21" t="s">
        <v>184</v>
      </c>
      <c r="G21" t="s">
        <v>185</v>
      </c>
      <c r="H21">
        <v>3100000</v>
      </c>
      <c r="I21" t="s">
        <v>186</v>
      </c>
      <c r="J21" t="s">
        <v>177</v>
      </c>
      <c r="K21" t="s">
        <v>187</v>
      </c>
      <c r="L21" t="s">
        <v>177</v>
      </c>
      <c r="M21" t="s">
        <v>188</v>
      </c>
      <c r="N21" t="s">
        <v>189</v>
      </c>
      <c r="O21" t="s">
        <v>190</v>
      </c>
    </row>
    <row r="22" spans="1:15" x14ac:dyDescent="0.25">
      <c r="A22" t="s">
        <v>172</v>
      </c>
      <c r="B22" t="s">
        <v>173</v>
      </c>
      <c r="C22" s="61">
        <v>46149</v>
      </c>
      <c r="D22">
        <v>23379</v>
      </c>
      <c r="E22">
        <v>78055846</v>
      </c>
      <c r="F22" t="s">
        <v>184</v>
      </c>
      <c r="G22" t="s">
        <v>191</v>
      </c>
      <c r="H22">
        <v>600000</v>
      </c>
      <c r="I22" t="s">
        <v>192</v>
      </c>
      <c r="J22" t="s">
        <v>177</v>
      </c>
      <c r="K22" t="s">
        <v>193</v>
      </c>
      <c r="L22" t="s">
        <v>177</v>
      </c>
      <c r="M22" t="s">
        <v>194</v>
      </c>
      <c r="N22" t="s">
        <v>189</v>
      </c>
      <c r="O22" t="s">
        <v>190</v>
      </c>
    </row>
    <row r="23" spans="1:15" x14ac:dyDescent="0.25">
      <c r="A23" t="s">
        <v>172</v>
      </c>
      <c r="B23" t="s">
        <v>173</v>
      </c>
      <c r="C23" s="61">
        <v>46149</v>
      </c>
      <c r="D23">
        <v>23417</v>
      </c>
      <c r="E23">
        <v>78055855</v>
      </c>
      <c r="F23" t="s">
        <v>184</v>
      </c>
      <c r="G23" t="s">
        <v>191</v>
      </c>
      <c r="H23">
        <v>1235000</v>
      </c>
      <c r="I23" t="s">
        <v>192</v>
      </c>
      <c r="J23" t="s">
        <v>177</v>
      </c>
      <c r="K23" t="s">
        <v>193</v>
      </c>
      <c r="L23" t="s">
        <v>177</v>
      </c>
      <c r="M23" t="s">
        <v>194</v>
      </c>
      <c r="N23" t="s">
        <v>189</v>
      </c>
      <c r="O23" t="s">
        <v>190</v>
      </c>
    </row>
    <row r="24" spans="1:15" x14ac:dyDescent="0.25">
      <c r="A24" t="s">
        <v>172</v>
      </c>
      <c r="B24" t="s">
        <v>173</v>
      </c>
      <c r="C24" s="61">
        <v>46149</v>
      </c>
      <c r="D24">
        <v>23423</v>
      </c>
      <c r="E24">
        <v>78055861</v>
      </c>
      <c r="F24" t="s">
        <v>184</v>
      </c>
      <c r="G24" t="s">
        <v>191</v>
      </c>
      <c r="H24">
        <v>1325000</v>
      </c>
      <c r="I24" t="s">
        <v>192</v>
      </c>
      <c r="J24" t="s">
        <v>177</v>
      </c>
      <c r="K24" t="s">
        <v>193</v>
      </c>
      <c r="L24" t="s">
        <v>177</v>
      </c>
      <c r="M24" t="s">
        <v>194</v>
      </c>
      <c r="N24" t="s">
        <v>189</v>
      </c>
      <c r="O24" t="s">
        <v>190</v>
      </c>
    </row>
    <row r="25" spans="1:15" x14ac:dyDescent="0.25">
      <c r="A25" t="s">
        <v>172</v>
      </c>
      <c r="B25" t="s">
        <v>173</v>
      </c>
      <c r="C25" s="61">
        <v>46149</v>
      </c>
      <c r="D25">
        <v>23451</v>
      </c>
      <c r="E25">
        <v>29050276</v>
      </c>
      <c r="F25" t="s">
        <v>184</v>
      </c>
      <c r="G25" t="s">
        <v>217</v>
      </c>
      <c r="H25">
        <v>9811200</v>
      </c>
      <c r="I25" t="s">
        <v>201</v>
      </c>
      <c r="J25" t="s">
        <v>177</v>
      </c>
      <c r="K25" t="s">
        <v>202</v>
      </c>
      <c r="L25" t="s">
        <v>177</v>
      </c>
      <c r="M25" t="s">
        <v>218</v>
      </c>
      <c r="N25" t="s">
        <v>189</v>
      </c>
      <c r="O25" t="s">
        <v>190</v>
      </c>
    </row>
    <row r="26" spans="1:15" x14ac:dyDescent="0.25">
      <c r="A26" t="s">
        <v>172</v>
      </c>
      <c r="B26" t="s">
        <v>173</v>
      </c>
      <c r="C26" s="61">
        <v>46149</v>
      </c>
      <c r="D26">
        <v>23455</v>
      </c>
      <c r="E26">
        <v>65636545</v>
      </c>
      <c r="F26" t="s">
        <v>174</v>
      </c>
      <c r="G26" t="s">
        <v>221</v>
      </c>
      <c r="H26">
        <v>2800000</v>
      </c>
      <c r="I26" t="s">
        <v>176</v>
      </c>
      <c r="J26" t="s">
        <v>177</v>
      </c>
      <c r="K26" t="s">
        <v>178</v>
      </c>
      <c r="L26" t="s">
        <v>177</v>
      </c>
      <c r="M26" t="s">
        <v>222</v>
      </c>
      <c r="N26" t="s">
        <v>177</v>
      </c>
      <c r="O26" t="s">
        <v>177</v>
      </c>
    </row>
    <row r="27" spans="1:15" x14ac:dyDescent="0.25">
      <c r="A27" t="s">
        <v>172</v>
      </c>
      <c r="B27" t="s">
        <v>173</v>
      </c>
      <c r="C27" s="61">
        <v>46149</v>
      </c>
      <c r="D27">
        <v>23467</v>
      </c>
      <c r="E27">
        <v>4510</v>
      </c>
      <c r="F27" t="s">
        <v>184</v>
      </c>
      <c r="G27" t="s">
        <v>205</v>
      </c>
      <c r="H27">
        <v>1200000</v>
      </c>
      <c r="I27" t="s">
        <v>209</v>
      </c>
      <c r="J27" t="s">
        <v>177</v>
      </c>
      <c r="K27" t="s">
        <v>210</v>
      </c>
      <c r="L27" t="s">
        <v>177</v>
      </c>
      <c r="M27" t="s">
        <v>208</v>
      </c>
      <c r="N27" t="s">
        <v>189</v>
      </c>
      <c r="O27" t="s">
        <v>190</v>
      </c>
    </row>
    <row r="28" spans="1:15" x14ac:dyDescent="0.25">
      <c r="A28" t="s">
        <v>172</v>
      </c>
      <c r="B28" t="s">
        <v>173</v>
      </c>
      <c r="C28" s="61">
        <v>46150</v>
      </c>
      <c r="D28">
        <v>23380</v>
      </c>
      <c r="E28">
        <v>78055847</v>
      </c>
      <c r="F28" t="s">
        <v>184</v>
      </c>
      <c r="G28" t="s">
        <v>191</v>
      </c>
      <c r="H28">
        <v>589500</v>
      </c>
      <c r="I28" t="s">
        <v>192</v>
      </c>
      <c r="J28" t="s">
        <v>177</v>
      </c>
      <c r="K28" t="s">
        <v>193</v>
      </c>
      <c r="L28" t="s">
        <v>177</v>
      </c>
      <c r="M28" t="s">
        <v>194</v>
      </c>
      <c r="N28" t="s">
        <v>189</v>
      </c>
      <c r="O28" t="s">
        <v>190</v>
      </c>
    </row>
    <row r="29" spans="1:15" x14ac:dyDescent="0.25">
      <c r="A29" t="s">
        <v>172</v>
      </c>
      <c r="B29" t="s">
        <v>173</v>
      </c>
      <c r="C29" s="61">
        <v>46150</v>
      </c>
      <c r="D29">
        <v>23394</v>
      </c>
      <c r="E29">
        <v>4445</v>
      </c>
      <c r="F29" t="s">
        <v>184</v>
      </c>
      <c r="G29" t="s">
        <v>205</v>
      </c>
      <c r="H29">
        <v>1200000</v>
      </c>
      <c r="I29" t="s">
        <v>209</v>
      </c>
      <c r="J29" t="s">
        <v>177</v>
      </c>
      <c r="K29" t="s">
        <v>210</v>
      </c>
      <c r="L29" t="s">
        <v>177</v>
      </c>
      <c r="M29" t="s">
        <v>208</v>
      </c>
      <c r="N29" t="s">
        <v>189</v>
      </c>
      <c r="O29" t="s">
        <v>190</v>
      </c>
    </row>
    <row r="30" spans="1:15" x14ac:dyDescent="0.25">
      <c r="A30" t="s">
        <v>172</v>
      </c>
      <c r="B30" t="s">
        <v>173</v>
      </c>
      <c r="C30" s="61">
        <v>46150</v>
      </c>
      <c r="D30">
        <v>23400</v>
      </c>
      <c r="E30">
        <v>6753</v>
      </c>
      <c r="F30" t="s">
        <v>184</v>
      </c>
      <c r="G30" t="s">
        <v>205</v>
      </c>
      <c r="H30">
        <v>19891200</v>
      </c>
      <c r="I30" t="s">
        <v>223</v>
      </c>
      <c r="J30" t="s">
        <v>177</v>
      </c>
      <c r="K30" t="s">
        <v>224</v>
      </c>
      <c r="L30" t="s">
        <v>177</v>
      </c>
      <c r="M30" t="s">
        <v>208</v>
      </c>
      <c r="N30" t="s">
        <v>189</v>
      </c>
      <c r="O30" t="s">
        <v>190</v>
      </c>
    </row>
    <row r="31" spans="1:15" x14ac:dyDescent="0.25">
      <c r="A31" t="s">
        <v>172</v>
      </c>
      <c r="B31" t="s">
        <v>173</v>
      </c>
      <c r="C31" s="61">
        <v>46150</v>
      </c>
      <c r="D31">
        <v>23405</v>
      </c>
      <c r="E31">
        <v>1198</v>
      </c>
      <c r="F31" t="s">
        <v>184</v>
      </c>
      <c r="G31" t="s">
        <v>205</v>
      </c>
      <c r="H31">
        <v>9846730</v>
      </c>
      <c r="I31" t="s">
        <v>206</v>
      </c>
      <c r="J31" t="s">
        <v>177</v>
      </c>
      <c r="K31" t="s">
        <v>207</v>
      </c>
      <c r="L31" t="s">
        <v>177</v>
      </c>
      <c r="M31" t="s">
        <v>208</v>
      </c>
      <c r="N31" t="s">
        <v>189</v>
      </c>
      <c r="O31" t="s">
        <v>190</v>
      </c>
    </row>
    <row r="32" spans="1:15" x14ac:dyDescent="0.25">
      <c r="A32" t="s">
        <v>172</v>
      </c>
      <c r="B32" t="s">
        <v>173</v>
      </c>
      <c r="C32" s="61">
        <v>46150</v>
      </c>
      <c r="D32">
        <v>23406</v>
      </c>
      <c r="E32">
        <v>9583048</v>
      </c>
      <c r="F32" t="s">
        <v>184</v>
      </c>
      <c r="G32" t="s">
        <v>180</v>
      </c>
      <c r="H32">
        <v>12134230</v>
      </c>
      <c r="I32" t="s">
        <v>199</v>
      </c>
      <c r="J32" t="s">
        <v>177</v>
      </c>
      <c r="K32" t="s">
        <v>200</v>
      </c>
      <c r="L32" t="s">
        <v>177</v>
      </c>
      <c r="M32" t="s">
        <v>183</v>
      </c>
      <c r="N32" t="s">
        <v>189</v>
      </c>
      <c r="O32" t="s">
        <v>190</v>
      </c>
    </row>
    <row r="33" spans="1:15" x14ac:dyDescent="0.25">
      <c r="A33" t="s">
        <v>172</v>
      </c>
      <c r="B33" t="s">
        <v>173</v>
      </c>
      <c r="C33" s="61">
        <v>46150</v>
      </c>
      <c r="D33">
        <v>23418</v>
      </c>
      <c r="E33">
        <v>78055856</v>
      </c>
      <c r="F33" t="s">
        <v>184</v>
      </c>
      <c r="G33" t="s">
        <v>191</v>
      </c>
      <c r="H33">
        <v>1235000</v>
      </c>
      <c r="I33" t="s">
        <v>192</v>
      </c>
      <c r="J33" t="s">
        <v>177</v>
      </c>
      <c r="K33" t="s">
        <v>193</v>
      </c>
      <c r="L33" t="s">
        <v>177</v>
      </c>
      <c r="M33" t="s">
        <v>194</v>
      </c>
      <c r="N33" t="s">
        <v>189</v>
      </c>
      <c r="O33" t="s">
        <v>190</v>
      </c>
    </row>
    <row r="34" spans="1:15" x14ac:dyDescent="0.25">
      <c r="A34" t="s">
        <v>172</v>
      </c>
      <c r="B34" t="s">
        <v>173</v>
      </c>
      <c r="C34" s="61">
        <v>46150</v>
      </c>
      <c r="D34">
        <v>23424</v>
      </c>
      <c r="E34">
        <v>78055862</v>
      </c>
      <c r="F34" t="s">
        <v>184</v>
      </c>
      <c r="G34" t="s">
        <v>191</v>
      </c>
      <c r="H34">
        <v>1325000</v>
      </c>
      <c r="I34" t="s">
        <v>192</v>
      </c>
      <c r="J34" t="s">
        <v>177</v>
      </c>
      <c r="K34" t="s">
        <v>193</v>
      </c>
      <c r="L34" t="s">
        <v>177</v>
      </c>
      <c r="M34" t="s">
        <v>194</v>
      </c>
      <c r="N34" t="s">
        <v>189</v>
      </c>
      <c r="O34" t="s">
        <v>190</v>
      </c>
    </row>
    <row r="35" spans="1:15" x14ac:dyDescent="0.25">
      <c r="A35" t="s">
        <v>172</v>
      </c>
      <c r="B35" t="s">
        <v>173</v>
      </c>
      <c r="C35" s="61">
        <v>46150</v>
      </c>
      <c r="D35">
        <v>23430</v>
      </c>
      <c r="E35">
        <v>90000109</v>
      </c>
      <c r="F35" t="s">
        <v>184</v>
      </c>
      <c r="G35" t="s">
        <v>213</v>
      </c>
      <c r="H35">
        <v>2000000</v>
      </c>
      <c r="I35" t="s">
        <v>225</v>
      </c>
      <c r="J35" t="s">
        <v>177</v>
      </c>
      <c r="K35" t="s">
        <v>226</v>
      </c>
      <c r="L35" t="s">
        <v>177</v>
      </c>
      <c r="M35" t="s">
        <v>216</v>
      </c>
      <c r="N35" t="s">
        <v>189</v>
      </c>
      <c r="O35" t="s">
        <v>190</v>
      </c>
    </row>
    <row r="36" spans="1:15" x14ac:dyDescent="0.25">
      <c r="A36" t="s">
        <v>172</v>
      </c>
      <c r="B36" t="s">
        <v>173</v>
      </c>
      <c r="C36" s="61">
        <v>46150</v>
      </c>
      <c r="D36">
        <v>23468</v>
      </c>
      <c r="E36">
        <v>4511</v>
      </c>
      <c r="F36" t="s">
        <v>184</v>
      </c>
      <c r="G36" t="s">
        <v>205</v>
      </c>
      <c r="H36">
        <v>966000</v>
      </c>
      <c r="I36" t="s">
        <v>209</v>
      </c>
      <c r="J36" t="s">
        <v>177</v>
      </c>
      <c r="K36" t="s">
        <v>210</v>
      </c>
      <c r="L36" t="s">
        <v>177</v>
      </c>
      <c r="M36" t="s">
        <v>208</v>
      </c>
      <c r="N36" t="s">
        <v>189</v>
      </c>
      <c r="O36" t="s">
        <v>190</v>
      </c>
    </row>
    <row r="37" spans="1:15" x14ac:dyDescent="0.25">
      <c r="A37" t="s">
        <v>172</v>
      </c>
      <c r="B37" t="s">
        <v>173</v>
      </c>
      <c r="C37" s="61">
        <v>46150</v>
      </c>
      <c r="D37">
        <v>23490</v>
      </c>
      <c r="E37">
        <v>4536</v>
      </c>
      <c r="F37" t="s">
        <v>184</v>
      </c>
      <c r="G37" t="s">
        <v>205</v>
      </c>
      <c r="H37">
        <v>930000</v>
      </c>
      <c r="I37" t="s">
        <v>209</v>
      </c>
      <c r="J37" t="s">
        <v>177</v>
      </c>
      <c r="K37" t="s">
        <v>210</v>
      </c>
      <c r="L37" t="s">
        <v>177</v>
      </c>
      <c r="M37" t="s">
        <v>208</v>
      </c>
      <c r="N37" t="s">
        <v>189</v>
      </c>
      <c r="O37" t="s">
        <v>190</v>
      </c>
    </row>
    <row r="38" spans="1:15" x14ac:dyDescent="0.25">
      <c r="A38" t="s">
        <v>172</v>
      </c>
      <c r="B38" t="s">
        <v>173</v>
      </c>
      <c r="C38" s="61">
        <v>46150</v>
      </c>
      <c r="D38">
        <v>23551</v>
      </c>
      <c r="E38">
        <v>78055879</v>
      </c>
      <c r="F38" t="s">
        <v>184</v>
      </c>
      <c r="G38" t="s">
        <v>191</v>
      </c>
      <c r="H38">
        <v>500000</v>
      </c>
      <c r="I38" t="s">
        <v>192</v>
      </c>
      <c r="J38" t="s">
        <v>177</v>
      </c>
      <c r="K38" t="s">
        <v>193</v>
      </c>
      <c r="L38" t="s">
        <v>177</v>
      </c>
      <c r="M38" t="s">
        <v>194</v>
      </c>
      <c r="N38" t="s">
        <v>189</v>
      </c>
      <c r="O38" t="s">
        <v>190</v>
      </c>
    </row>
    <row r="39" spans="1:15" x14ac:dyDescent="0.25">
      <c r="A39" t="s">
        <v>172</v>
      </c>
      <c r="B39" t="s">
        <v>173</v>
      </c>
      <c r="C39" s="61">
        <v>46150</v>
      </c>
      <c r="D39">
        <v>23590</v>
      </c>
      <c r="E39">
        <v>51747693</v>
      </c>
      <c r="F39" t="s">
        <v>184</v>
      </c>
      <c r="G39" t="s">
        <v>195</v>
      </c>
      <c r="H39">
        <v>7588800</v>
      </c>
      <c r="I39" t="s">
        <v>227</v>
      </c>
      <c r="J39" t="s">
        <v>177</v>
      </c>
      <c r="K39" t="s">
        <v>228</v>
      </c>
      <c r="L39" t="s">
        <v>177</v>
      </c>
      <c r="M39" t="s">
        <v>198</v>
      </c>
      <c r="N39" t="s">
        <v>229</v>
      </c>
      <c r="O39" t="s">
        <v>177</v>
      </c>
    </row>
    <row r="40" spans="1:15" x14ac:dyDescent="0.25">
      <c r="A40" t="s">
        <v>172</v>
      </c>
      <c r="B40" t="s">
        <v>173</v>
      </c>
      <c r="C40" s="61">
        <v>46153</v>
      </c>
      <c r="D40">
        <v>23293</v>
      </c>
      <c r="E40">
        <v>13378001</v>
      </c>
      <c r="F40" t="s">
        <v>184</v>
      </c>
      <c r="G40" t="s">
        <v>185</v>
      </c>
      <c r="H40">
        <v>3100000</v>
      </c>
      <c r="I40" t="s">
        <v>186</v>
      </c>
      <c r="J40" t="s">
        <v>177</v>
      </c>
      <c r="K40" t="s">
        <v>187</v>
      </c>
      <c r="L40" t="s">
        <v>177</v>
      </c>
      <c r="M40" t="s">
        <v>188</v>
      </c>
      <c r="N40" t="s">
        <v>189</v>
      </c>
      <c r="O40" t="s">
        <v>190</v>
      </c>
    </row>
    <row r="41" spans="1:15" x14ac:dyDescent="0.25">
      <c r="A41" t="s">
        <v>172</v>
      </c>
      <c r="B41" t="s">
        <v>173</v>
      </c>
      <c r="C41" s="61">
        <v>46153</v>
      </c>
      <c r="D41">
        <v>23294</v>
      </c>
      <c r="E41">
        <v>13378002</v>
      </c>
      <c r="F41" t="s">
        <v>184</v>
      </c>
      <c r="G41" t="s">
        <v>185</v>
      </c>
      <c r="H41">
        <v>3100000</v>
      </c>
      <c r="I41" t="s">
        <v>186</v>
      </c>
      <c r="J41" t="s">
        <v>177</v>
      </c>
      <c r="K41" t="s">
        <v>187</v>
      </c>
      <c r="L41" t="s">
        <v>177</v>
      </c>
      <c r="M41" t="s">
        <v>188</v>
      </c>
      <c r="N41" t="s">
        <v>189</v>
      </c>
      <c r="O41" t="s">
        <v>190</v>
      </c>
    </row>
    <row r="42" spans="1:15" x14ac:dyDescent="0.25">
      <c r="A42" t="s">
        <v>172</v>
      </c>
      <c r="B42" t="s">
        <v>173</v>
      </c>
      <c r="C42" s="61">
        <v>46153</v>
      </c>
      <c r="D42">
        <v>23295</v>
      </c>
      <c r="E42">
        <v>13378003</v>
      </c>
      <c r="F42" t="s">
        <v>184</v>
      </c>
      <c r="G42" t="s">
        <v>185</v>
      </c>
      <c r="H42">
        <v>3100000</v>
      </c>
      <c r="I42" t="s">
        <v>186</v>
      </c>
      <c r="J42" t="s">
        <v>177</v>
      </c>
      <c r="K42" t="s">
        <v>187</v>
      </c>
      <c r="L42" t="s">
        <v>177</v>
      </c>
      <c r="M42" t="s">
        <v>188</v>
      </c>
      <c r="N42" t="s">
        <v>189</v>
      </c>
      <c r="O42" t="s">
        <v>190</v>
      </c>
    </row>
    <row r="43" spans="1:15" x14ac:dyDescent="0.25">
      <c r="A43" t="s">
        <v>172</v>
      </c>
      <c r="B43" t="s">
        <v>173</v>
      </c>
      <c r="C43" s="61">
        <v>46153</v>
      </c>
      <c r="D43">
        <v>23359</v>
      </c>
      <c r="E43">
        <v>65991486</v>
      </c>
      <c r="F43" t="s">
        <v>184</v>
      </c>
      <c r="G43" t="s">
        <v>195</v>
      </c>
      <c r="H43">
        <v>10000000</v>
      </c>
      <c r="I43" t="s">
        <v>230</v>
      </c>
      <c r="J43" t="s">
        <v>177</v>
      </c>
      <c r="K43" t="s">
        <v>231</v>
      </c>
      <c r="L43" t="s">
        <v>177</v>
      </c>
      <c r="M43" t="s">
        <v>198</v>
      </c>
      <c r="N43" t="s">
        <v>189</v>
      </c>
      <c r="O43" t="s">
        <v>190</v>
      </c>
    </row>
    <row r="44" spans="1:15" x14ac:dyDescent="0.25">
      <c r="A44" t="s">
        <v>172</v>
      </c>
      <c r="B44" t="s">
        <v>173</v>
      </c>
      <c r="C44" s="61">
        <v>46153</v>
      </c>
      <c r="D44">
        <v>23360</v>
      </c>
      <c r="E44">
        <v>65991495</v>
      </c>
      <c r="F44" t="s">
        <v>184</v>
      </c>
      <c r="G44" t="s">
        <v>195</v>
      </c>
      <c r="H44">
        <v>10000000</v>
      </c>
      <c r="I44" t="s">
        <v>230</v>
      </c>
      <c r="J44" t="s">
        <v>177</v>
      </c>
      <c r="K44" t="s">
        <v>231</v>
      </c>
      <c r="L44" t="s">
        <v>177</v>
      </c>
      <c r="M44" t="s">
        <v>198</v>
      </c>
      <c r="N44" t="s">
        <v>189</v>
      </c>
      <c r="O44" t="s">
        <v>190</v>
      </c>
    </row>
    <row r="45" spans="1:15" x14ac:dyDescent="0.25">
      <c r="A45" t="s">
        <v>172</v>
      </c>
      <c r="B45" t="s">
        <v>173</v>
      </c>
      <c r="C45" s="61">
        <v>46153</v>
      </c>
      <c r="D45">
        <v>23361</v>
      </c>
      <c r="E45">
        <v>65991500</v>
      </c>
      <c r="F45" t="s">
        <v>184</v>
      </c>
      <c r="G45" t="s">
        <v>195</v>
      </c>
      <c r="H45">
        <v>10000000</v>
      </c>
      <c r="I45" t="s">
        <v>230</v>
      </c>
      <c r="J45" t="s">
        <v>177</v>
      </c>
      <c r="K45" t="s">
        <v>231</v>
      </c>
      <c r="L45" t="s">
        <v>177</v>
      </c>
      <c r="M45" t="s">
        <v>198</v>
      </c>
      <c r="N45" t="s">
        <v>189</v>
      </c>
      <c r="O45" t="s">
        <v>190</v>
      </c>
    </row>
    <row r="46" spans="1:15" x14ac:dyDescent="0.25">
      <c r="A46" t="s">
        <v>172</v>
      </c>
      <c r="B46" t="s">
        <v>173</v>
      </c>
      <c r="C46" s="61">
        <v>46153</v>
      </c>
      <c r="D46">
        <v>23362</v>
      </c>
      <c r="E46">
        <v>65991510</v>
      </c>
      <c r="F46" t="s">
        <v>184</v>
      </c>
      <c r="G46" t="s">
        <v>195</v>
      </c>
      <c r="H46">
        <v>10000000</v>
      </c>
      <c r="I46" t="s">
        <v>230</v>
      </c>
      <c r="J46" t="s">
        <v>177</v>
      </c>
      <c r="K46" t="s">
        <v>231</v>
      </c>
      <c r="L46" t="s">
        <v>177</v>
      </c>
      <c r="M46" t="s">
        <v>198</v>
      </c>
      <c r="N46" t="s">
        <v>189</v>
      </c>
      <c r="O46" t="s">
        <v>190</v>
      </c>
    </row>
    <row r="47" spans="1:15" x14ac:dyDescent="0.25">
      <c r="A47" t="s">
        <v>172</v>
      </c>
      <c r="B47" t="s">
        <v>173</v>
      </c>
      <c r="C47" s="61">
        <v>46153</v>
      </c>
      <c r="D47">
        <v>23363</v>
      </c>
      <c r="E47">
        <v>65991522</v>
      </c>
      <c r="F47" t="s">
        <v>184</v>
      </c>
      <c r="G47" t="s">
        <v>195</v>
      </c>
      <c r="H47">
        <v>9035234.8800000008</v>
      </c>
      <c r="I47" t="s">
        <v>230</v>
      </c>
      <c r="J47" t="s">
        <v>177</v>
      </c>
      <c r="K47" t="s">
        <v>231</v>
      </c>
      <c r="L47" t="s">
        <v>177</v>
      </c>
      <c r="M47" t="s">
        <v>198</v>
      </c>
      <c r="N47" t="s">
        <v>189</v>
      </c>
      <c r="O47" t="s">
        <v>190</v>
      </c>
    </row>
    <row r="48" spans="1:15" x14ac:dyDescent="0.25">
      <c r="A48" t="s">
        <v>172</v>
      </c>
      <c r="B48" t="s">
        <v>173</v>
      </c>
      <c r="C48" s="61">
        <v>46153</v>
      </c>
      <c r="D48">
        <v>23381</v>
      </c>
      <c r="E48">
        <v>6747</v>
      </c>
      <c r="F48" t="s">
        <v>184</v>
      </c>
      <c r="G48" t="s">
        <v>205</v>
      </c>
      <c r="H48">
        <v>11370880</v>
      </c>
      <c r="I48" t="s">
        <v>223</v>
      </c>
      <c r="J48" t="s">
        <v>177</v>
      </c>
      <c r="K48" t="s">
        <v>224</v>
      </c>
      <c r="L48" t="s">
        <v>177</v>
      </c>
      <c r="M48" t="s">
        <v>208</v>
      </c>
      <c r="N48" t="s">
        <v>189</v>
      </c>
      <c r="O48" t="s">
        <v>190</v>
      </c>
    </row>
    <row r="49" spans="1:15" x14ac:dyDescent="0.25">
      <c r="A49" t="s">
        <v>172</v>
      </c>
      <c r="B49" t="s">
        <v>173</v>
      </c>
      <c r="C49" s="61">
        <v>46153</v>
      </c>
      <c r="D49">
        <v>23419</v>
      </c>
      <c r="E49">
        <v>78055857</v>
      </c>
      <c r="F49" t="s">
        <v>184</v>
      </c>
      <c r="G49" t="s">
        <v>191</v>
      </c>
      <c r="H49">
        <v>1227000</v>
      </c>
      <c r="I49" t="s">
        <v>192</v>
      </c>
      <c r="J49" t="s">
        <v>177</v>
      </c>
      <c r="K49" t="s">
        <v>193</v>
      </c>
      <c r="L49" t="s">
        <v>177</v>
      </c>
      <c r="M49" t="s">
        <v>194</v>
      </c>
      <c r="N49" t="s">
        <v>189</v>
      </c>
      <c r="O49" t="s">
        <v>190</v>
      </c>
    </row>
    <row r="50" spans="1:15" x14ac:dyDescent="0.25">
      <c r="A50" t="s">
        <v>172</v>
      </c>
      <c r="B50" t="s">
        <v>173</v>
      </c>
      <c r="C50" s="61">
        <v>46153</v>
      </c>
      <c r="D50">
        <v>23425</v>
      </c>
      <c r="E50">
        <v>78055863</v>
      </c>
      <c r="F50" t="s">
        <v>184</v>
      </c>
      <c r="G50" t="s">
        <v>191</v>
      </c>
      <c r="H50">
        <v>1325000</v>
      </c>
      <c r="I50" t="s">
        <v>192</v>
      </c>
      <c r="J50" t="s">
        <v>177</v>
      </c>
      <c r="K50" t="s">
        <v>193</v>
      </c>
      <c r="L50" t="s">
        <v>177</v>
      </c>
      <c r="M50" t="s">
        <v>194</v>
      </c>
      <c r="N50" t="s">
        <v>189</v>
      </c>
      <c r="O50" t="s">
        <v>190</v>
      </c>
    </row>
    <row r="51" spans="1:15" x14ac:dyDescent="0.25">
      <c r="A51" t="s">
        <v>172</v>
      </c>
      <c r="B51" t="s">
        <v>173</v>
      </c>
      <c r="C51" s="61">
        <v>46153</v>
      </c>
      <c r="D51">
        <v>23432</v>
      </c>
      <c r="E51">
        <v>29057187</v>
      </c>
      <c r="F51" t="s">
        <v>184</v>
      </c>
      <c r="G51" t="s">
        <v>217</v>
      </c>
      <c r="H51">
        <v>43000000</v>
      </c>
      <c r="I51" t="s">
        <v>219</v>
      </c>
      <c r="J51" t="s">
        <v>177</v>
      </c>
      <c r="K51" t="s">
        <v>220</v>
      </c>
      <c r="L51" t="s">
        <v>177</v>
      </c>
      <c r="M51" t="s">
        <v>218</v>
      </c>
      <c r="N51" t="s">
        <v>189</v>
      </c>
      <c r="O51" t="s">
        <v>190</v>
      </c>
    </row>
    <row r="52" spans="1:15" x14ac:dyDescent="0.25">
      <c r="A52" t="s">
        <v>172</v>
      </c>
      <c r="B52" t="s">
        <v>173</v>
      </c>
      <c r="C52" s="61">
        <v>46153</v>
      </c>
      <c r="D52">
        <v>23452</v>
      </c>
      <c r="E52">
        <v>9487742</v>
      </c>
      <c r="F52" t="s">
        <v>184</v>
      </c>
      <c r="G52" t="s">
        <v>180</v>
      </c>
      <c r="H52">
        <v>12289006.199999999</v>
      </c>
      <c r="I52" t="s">
        <v>232</v>
      </c>
      <c r="J52" t="s">
        <v>177</v>
      </c>
      <c r="K52" t="s">
        <v>233</v>
      </c>
      <c r="L52" t="s">
        <v>177</v>
      </c>
      <c r="M52" t="s">
        <v>183</v>
      </c>
      <c r="N52" t="s">
        <v>189</v>
      </c>
      <c r="O52" t="s">
        <v>190</v>
      </c>
    </row>
    <row r="53" spans="1:15" x14ac:dyDescent="0.25">
      <c r="A53" t="s">
        <v>172</v>
      </c>
      <c r="B53" t="s">
        <v>173</v>
      </c>
      <c r="C53" s="61">
        <v>46153</v>
      </c>
      <c r="D53">
        <v>23456</v>
      </c>
      <c r="E53">
        <v>14974124</v>
      </c>
      <c r="F53" t="s">
        <v>174</v>
      </c>
      <c r="G53" t="s">
        <v>180</v>
      </c>
      <c r="H53">
        <v>990000</v>
      </c>
      <c r="I53" t="s">
        <v>176</v>
      </c>
      <c r="J53" t="s">
        <v>177</v>
      </c>
      <c r="K53" t="s">
        <v>178</v>
      </c>
      <c r="L53" t="s">
        <v>177</v>
      </c>
      <c r="M53" t="s">
        <v>183</v>
      </c>
      <c r="N53" t="s">
        <v>177</v>
      </c>
      <c r="O53" t="s">
        <v>177</v>
      </c>
    </row>
    <row r="54" spans="1:15" x14ac:dyDescent="0.25">
      <c r="A54" t="s">
        <v>172</v>
      </c>
      <c r="B54" t="s">
        <v>173</v>
      </c>
      <c r="C54" s="61">
        <v>46153</v>
      </c>
      <c r="D54">
        <v>23461</v>
      </c>
      <c r="E54">
        <v>9583068</v>
      </c>
      <c r="F54" t="s">
        <v>184</v>
      </c>
      <c r="G54" t="s">
        <v>180</v>
      </c>
      <c r="H54">
        <v>12938400</v>
      </c>
      <c r="I54" t="s">
        <v>199</v>
      </c>
      <c r="J54" t="s">
        <v>177</v>
      </c>
      <c r="K54" t="s">
        <v>200</v>
      </c>
      <c r="L54" t="s">
        <v>177</v>
      </c>
      <c r="M54" t="s">
        <v>183</v>
      </c>
      <c r="N54" t="s">
        <v>189</v>
      </c>
      <c r="O54" t="s">
        <v>190</v>
      </c>
    </row>
    <row r="55" spans="1:15" x14ac:dyDescent="0.25">
      <c r="A55" t="s">
        <v>172</v>
      </c>
      <c r="B55" t="s">
        <v>173</v>
      </c>
      <c r="C55" s="61">
        <v>46153</v>
      </c>
      <c r="D55">
        <v>23469</v>
      </c>
      <c r="E55">
        <v>12924512</v>
      </c>
      <c r="F55" t="s">
        <v>184</v>
      </c>
      <c r="G55" t="s">
        <v>180</v>
      </c>
      <c r="H55">
        <v>10000000</v>
      </c>
      <c r="I55" t="s">
        <v>181</v>
      </c>
      <c r="J55" t="s">
        <v>177</v>
      </c>
      <c r="K55" t="s">
        <v>182</v>
      </c>
      <c r="L55" t="s">
        <v>177</v>
      </c>
      <c r="M55" t="s">
        <v>183</v>
      </c>
      <c r="N55" t="s">
        <v>177</v>
      </c>
      <c r="O55" t="s">
        <v>177</v>
      </c>
    </row>
    <row r="56" spans="1:15" x14ac:dyDescent="0.25">
      <c r="A56" t="s">
        <v>172</v>
      </c>
      <c r="B56" t="s">
        <v>173</v>
      </c>
      <c r="C56" s="61">
        <v>46153</v>
      </c>
      <c r="D56">
        <v>23491</v>
      </c>
      <c r="E56">
        <v>4537</v>
      </c>
      <c r="F56" t="s">
        <v>184</v>
      </c>
      <c r="G56" t="s">
        <v>205</v>
      </c>
      <c r="H56">
        <v>930000</v>
      </c>
      <c r="I56" t="s">
        <v>209</v>
      </c>
      <c r="J56" t="s">
        <v>177</v>
      </c>
      <c r="K56" t="s">
        <v>210</v>
      </c>
      <c r="L56" t="s">
        <v>177</v>
      </c>
      <c r="M56" t="s">
        <v>208</v>
      </c>
      <c r="N56" t="s">
        <v>189</v>
      </c>
      <c r="O56" t="s">
        <v>190</v>
      </c>
    </row>
    <row r="57" spans="1:15" x14ac:dyDescent="0.25">
      <c r="A57" t="s">
        <v>172</v>
      </c>
      <c r="B57" t="s">
        <v>173</v>
      </c>
      <c r="C57" s="61">
        <v>46153</v>
      </c>
      <c r="D57">
        <v>23495</v>
      </c>
      <c r="E57">
        <v>4571</v>
      </c>
      <c r="F57" t="s">
        <v>184</v>
      </c>
      <c r="G57" t="s">
        <v>205</v>
      </c>
      <c r="H57">
        <v>1300000</v>
      </c>
      <c r="I57" t="s">
        <v>209</v>
      </c>
      <c r="J57" t="s">
        <v>177</v>
      </c>
      <c r="K57" t="s">
        <v>210</v>
      </c>
      <c r="L57" t="s">
        <v>177</v>
      </c>
      <c r="M57" t="s">
        <v>208</v>
      </c>
      <c r="N57" t="s">
        <v>189</v>
      </c>
      <c r="O57" t="s">
        <v>190</v>
      </c>
    </row>
    <row r="58" spans="1:15" x14ac:dyDescent="0.25">
      <c r="A58" t="s">
        <v>172</v>
      </c>
      <c r="B58" t="s">
        <v>173</v>
      </c>
      <c r="C58" s="61">
        <v>46153</v>
      </c>
      <c r="D58">
        <v>23506</v>
      </c>
      <c r="E58">
        <v>9564653</v>
      </c>
      <c r="F58" t="s">
        <v>184</v>
      </c>
      <c r="G58" t="s">
        <v>180</v>
      </c>
      <c r="H58">
        <v>2754200</v>
      </c>
      <c r="I58" t="s">
        <v>234</v>
      </c>
      <c r="J58" t="s">
        <v>177</v>
      </c>
      <c r="K58" t="s">
        <v>235</v>
      </c>
      <c r="L58" t="s">
        <v>177</v>
      </c>
      <c r="M58" t="s">
        <v>183</v>
      </c>
      <c r="N58" t="s">
        <v>189</v>
      </c>
      <c r="O58" t="s">
        <v>190</v>
      </c>
    </row>
    <row r="59" spans="1:15" x14ac:dyDescent="0.25">
      <c r="A59" t="s">
        <v>172</v>
      </c>
      <c r="B59" t="s">
        <v>173</v>
      </c>
      <c r="C59" s="61">
        <v>46153</v>
      </c>
      <c r="D59">
        <v>23507</v>
      </c>
      <c r="E59">
        <v>9564654</v>
      </c>
      <c r="F59" t="s">
        <v>184</v>
      </c>
      <c r="G59" t="s">
        <v>180</v>
      </c>
      <c r="H59">
        <v>4500000</v>
      </c>
      <c r="I59" t="s">
        <v>234</v>
      </c>
      <c r="J59" t="s">
        <v>177</v>
      </c>
      <c r="K59" t="s">
        <v>235</v>
      </c>
      <c r="L59" t="s">
        <v>177</v>
      </c>
      <c r="M59" t="s">
        <v>183</v>
      </c>
      <c r="N59" t="s">
        <v>189</v>
      </c>
      <c r="O59" t="s">
        <v>190</v>
      </c>
    </row>
    <row r="60" spans="1:15" x14ac:dyDescent="0.25">
      <c r="A60" t="s">
        <v>172</v>
      </c>
      <c r="B60" t="s">
        <v>173</v>
      </c>
      <c r="C60" s="61">
        <v>46153</v>
      </c>
      <c r="D60">
        <v>23508</v>
      </c>
      <c r="E60">
        <v>9564655</v>
      </c>
      <c r="F60" t="s">
        <v>184</v>
      </c>
      <c r="G60" t="s">
        <v>180</v>
      </c>
      <c r="H60">
        <v>4500000</v>
      </c>
      <c r="I60" t="s">
        <v>234</v>
      </c>
      <c r="J60" t="s">
        <v>177</v>
      </c>
      <c r="K60" t="s">
        <v>235</v>
      </c>
      <c r="L60" t="s">
        <v>177</v>
      </c>
      <c r="M60" t="s">
        <v>183</v>
      </c>
      <c r="N60" t="s">
        <v>189</v>
      </c>
      <c r="O60" t="s">
        <v>190</v>
      </c>
    </row>
    <row r="61" spans="1:15" x14ac:dyDescent="0.25">
      <c r="A61" t="s">
        <v>172</v>
      </c>
      <c r="B61" t="s">
        <v>173</v>
      </c>
      <c r="C61" s="61">
        <v>46153</v>
      </c>
      <c r="D61">
        <v>23509</v>
      </c>
      <c r="E61">
        <v>9564656</v>
      </c>
      <c r="F61" t="s">
        <v>184</v>
      </c>
      <c r="G61" t="s">
        <v>180</v>
      </c>
      <c r="H61">
        <v>4500000</v>
      </c>
      <c r="I61" t="s">
        <v>234</v>
      </c>
      <c r="J61" t="s">
        <v>177</v>
      </c>
      <c r="K61" t="s">
        <v>235</v>
      </c>
      <c r="L61" t="s">
        <v>177</v>
      </c>
      <c r="M61" t="s">
        <v>183</v>
      </c>
      <c r="N61" t="s">
        <v>189</v>
      </c>
      <c r="O61" t="s">
        <v>190</v>
      </c>
    </row>
    <row r="62" spans="1:15" x14ac:dyDescent="0.25">
      <c r="A62" t="s">
        <v>172</v>
      </c>
      <c r="B62" t="s">
        <v>173</v>
      </c>
      <c r="C62" s="61">
        <v>46153</v>
      </c>
      <c r="D62">
        <v>23541</v>
      </c>
      <c r="E62">
        <v>697</v>
      </c>
      <c r="F62" t="s">
        <v>184</v>
      </c>
      <c r="G62" t="s">
        <v>236</v>
      </c>
      <c r="H62">
        <v>5000000</v>
      </c>
      <c r="I62" t="s">
        <v>234</v>
      </c>
      <c r="J62" t="s">
        <v>177</v>
      </c>
      <c r="K62" t="s">
        <v>235</v>
      </c>
      <c r="L62" t="s">
        <v>177</v>
      </c>
      <c r="M62" t="s">
        <v>237</v>
      </c>
      <c r="N62" t="s">
        <v>189</v>
      </c>
      <c r="O62" t="s">
        <v>190</v>
      </c>
    </row>
    <row r="63" spans="1:15" x14ac:dyDescent="0.25">
      <c r="A63" t="s">
        <v>172</v>
      </c>
      <c r="B63" t="s">
        <v>173</v>
      </c>
      <c r="C63" s="61">
        <v>46153</v>
      </c>
      <c r="D63">
        <v>23542</v>
      </c>
      <c r="E63">
        <v>698</v>
      </c>
      <c r="F63" t="s">
        <v>184</v>
      </c>
      <c r="G63" t="s">
        <v>236</v>
      </c>
      <c r="H63">
        <v>6756340</v>
      </c>
      <c r="I63" t="s">
        <v>234</v>
      </c>
      <c r="J63" t="s">
        <v>177</v>
      </c>
      <c r="K63" t="s">
        <v>235</v>
      </c>
      <c r="L63" t="s">
        <v>177</v>
      </c>
      <c r="M63" t="s">
        <v>237</v>
      </c>
      <c r="N63" t="s">
        <v>189</v>
      </c>
      <c r="O63" t="s">
        <v>190</v>
      </c>
    </row>
    <row r="64" spans="1:15" x14ac:dyDescent="0.25">
      <c r="A64" t="s">
        <v>172</v>
      </c>
      <c r="B64" t="s">
        <v>173</v>
      </c>
      <c r="C64" s="61">
        <v>46153</v>
      </c>
      <c r="D64">
        <v>23543</v>
      </c>
      <c r="E64">
        <v>699</v>
      </c>
      <c r="F64" t="s">
        <v>184</v>
      </c>
      <c r="G64" t="s">
        <v>236</v>
      </c>
      <c r="H64">
        <v>5000000</v>
      </c>
      <c r="I64" t="s">
        <v>234</v>
      </c>
      <c r="J64" t="s">
        <v>177</v>
      </c>
      <c r="K64" t="s">
        <v>235</v>
      </c>
      <c r="L64" t="s">
        <v>177</v>
      </c>
      <c r="M64" t="s">
        <v>237</v>
      </c>
      <c r="N64" t="s">
        <v>189</v>
      </c>
      <c r="O64" t="s">
        <v>190</v>
      </c>
    </row>
    <row r="65" spans="1:15" x14ac:dyDescent="0.25">
      <c r="A65" t="s">
        <v>172</v>
      </c>
      <c r="B65" t="s">
        <v>173</v>
      </c>
      <c r="C65" s="61">
        <v>46153</v>
      </c>
      <c r="D65">
        <v>23544</v>
      </c>
      <c r="E65">
        <v>700</v>
      </c>
      <c r="F65" t="s">
        <v>184</v>
      </c>
      <c r="G65" t="s">
        <v>236</v>
      </c>
      <c r="H65">
        <v>5000000</v>
      </c>
      <c r="I65" t="s">
        <v>234</v>
      </c>
      <c r="J65" t="s">
        <v>177</v>
      </c>
      <c r="K65" t="s">
        <v>235</v>
      </c>
      <c r="L65" t="s">
        <v>177</v>
      </c>
      <c r="M65" t="s">
        <v>237</v>
      </c>
      <c r="N65" t="s">
        <v>189</v>
      </c>
      <c r="O65" t="s">
        <v>190</v>
      </c>
    </row>
    <row r="66" spans="1:15" x14ac:dyDescent="0.25">
      <c r="A66" t="s">
        <v>172</v>
      </c>
      <c r="B66" t="s">
        <v>173</v>
      </c>
      <c r="C66" s="61">
        <v>46153</v>
      </c>
      <c r="D66">
        <v>23545</v>
      </c>
      <c r="E66">
        <v>701</v>
      </c>
      <c r="F66" t="s">
        <v>184</v>
      </c>
      <c r="G66" t="s">
        <v>236</v>
      </c>
      <c r="H66">
        <v>5000000</v>
      </c>
      <c r="I66" t="s">
        <v>234</v>
      </c>
      <c r="J66" t="s">
        <v>177</v>
      </c>
      <c r="K66" t="s">
        <v>235</v>
      </c>
      <c r="L66" t="s">
        <v>177</v>
      </c>
      <c r="M66" t="s">
        <v>237</v>
      </c>
      <c r="N66" t="s">
        <v>189</v>
      </c>
      <c r="O66" t="s">
        <v>190</v>
      </c>
    </row>
    <row r="67" spans="1:15" x14ac:dyDescent="0.25">
      <c r="A67" t="s">
        <v>172</v>
      </c>
      <c r="B67" t="s">
        <v>173</v>
      </c>
      <c r="C67" s="61">
        <v>46153</v>
      </c>
      <c r="D67">
        <v>23546</v>
      </c>
      <c r="E67">
        <v>711</v>
      </c>
      <c r="F67" t="s">
        <v>184</v>
      </c>
      <c r="G67" t="s">
        <v>236</v>
      </c>
      <c r="H67">
        <v>5000000</v>
      </c>
      <c r="I67" t="s">
        <v>234</v>
      </c>
      <c r="J67" t="s">
        <v>177</v>
      </c>
      <c r="K67" t="s">
        <v>235</v>
      </c>
      <c r="L67" t="s">
        <v>177</v>
      </c>
      <c r="M67" t="s">
        <v>237</v>
      </c>
      <c r="N67" t="s">
        <v>189</v>
      </c>
      <c r="O67" t="s">
        <v>190</v>
      </c>
    </row>
    <row r="68" spans="1:15" x14ac:dyDescent="0.25">
      <c r="A68" t="s">
        <v>172</v>
      </c>
      <c r="B68" t="s">
        <v>173</v>
      </c>
      <c r="C68" s="61">
        <v>46153</v>
      </c>
      <c r="D68">
        <v>23552</v>
      </c>
      <c r="E68">
        <v>78055880</v>
      </c>
      <c r="F68" t="s">
        <v>184</v>
      </c>
      <c r="G68" t="s">
        <v>191</v>
      </c>
      <c r="H68">
        <v>500000</v>
      </c>
      <c r="I68" t="s">
        <v>192</v>
      </c>
      <c r="J68" t="s">
        <v>177</v>
      </c>
      <c r="K68" t="s">
        <v>193</v>
      </c>
      <c r="L68" t="s">
        <v>177</v>
      </c>
      <c r="M68" t="s">
        <v>194</v>
      </c>
      <c r="N68" t="s">
        <v>189</v>
      </c>
      <c r="O68" t="s">
        <v>190</v>
      </c>
    </row>
    <row r="69" spans="1:15" x14ac:dyDescent="0.25">
      <c r="A69" t="s">
        <v>172</v>
      </c>
      <c r="B69" t="s">
        <v>173</v>
      </c>
      <c r="C69" s="61">
        <v>46153</v>
      </c>
      <c r="D69">
        <v>23558</v>
      </c>
      <c r="E69">
        <v>78055888</v>
      </c>
      <c r="F69" t="s">
        <v>184</v>
      </c>
      <c r="G69" t="s">
        <v>191</v>
      </c>
      <c r="H69">
        <v>890000</v>
      </c>
      <c r="I69" t="s">
        <v>192</v>
      </c>
      <c r="J69" t="s">
        <v>177</v>
      </c>
      <c r="K69" t="s">
        <v>193</v>
      </c>
      <c r="L69" t="s">
        <v>177</v>
      </c>
      <c r="M69" t="s">
        <v>194</v>
      </c>
      <c r="N69" t="s">
        <v>189</v>
      </c>
      <c r="O69" t="s">
        <v>190</v>
      </c>
    </row>
    <row r="70" spans="1:15" x14ac:dyDescent="0.25">
      <c r="A70" t="s">
        <v>172</v>
      </c>
      <c r="B70" t="s">
        <v>173</v>
      </c>
      <c r="C70" s="61">
        <v>46153</v>
      </c>
      <c r="D70">
        <v>23575</v>
      </c>
      <c r="E70">
        <v>120</v>
      </c>
      <c r="F70" t="s">
        <v>184</v>
      </c>
      <c r="G70" t="s">
        <v>205</v>
      </c>
      <c r="H70">
        <v>3000343.8</v>
      </c>
      <c r="I70" t="s">
        <v>238</v>
      </c>
      <c r="J70" t="s">
        <v>177</v>
      </c>
      <c r="K70" t="s">
        <v>239</v>
      </c>
      <c r="L70" t="s">
        <v>177</v>
      </c>
      <c r="M70" t="s">
        <v>208</v>
      </c>
      <c r="N70" t="s">
        <v>189</v>
      </c>
      <c r="O70" t="s">
        <v>190</v>
      </c>
    </row>
    <row r="71" spans="1:15" x14ac:dyDescent="0.25">
      <c r="A71" t="s">
        <v>172</v>
      </c>
      <c r="B71" t="s">
        <v>173</v>
      </c>
      <c r="C71" s="61">
        <v>46153</v>
      </c>
      <c r="D71">
        <v>23576</v>
      </c>
      <c r="E71">
        <v>121</v>
      </c>
      <c r="F71" t="s">
        <v>184</v>
      </c>
      <c r="G71" t="s">
        <v>205</v>
      </c>
      <c r="H71">
        <v>4024000</v>
      </c>
      <c r="I71" t="s">
        <v>238</v>
      </c>
      <c r="J71" t="s">
        <v>177</v>
      </c>
      <c r="K71" t="s">
        <v>239</v>
      </c>
      <c r="L71" t="s">
        <v>177</v>
      </c>
      <c r="M71" t="s">
        <v>208</v>
      </c>
      <c r="N71" t="s">
        <v>189</v>
      </c>
      <c r="O71" t="s">
        <v>190</v>
      </c>
    </row>
    <row r="72" spans="1:15" x14ac:dyDescent="0.25">
      <c r="A72" t="s">
        <v>172</v>
      </c>
      <c r="B72" t="s">
        <v>173</v>
      </c>
      <c r="C72" s="61">
        <v>46154</v>
      </c>
      <c r="D72">
        <v>23297</v>
      </c>
      <c r="E72">
        <v>13378004</v>
      </c>
      <c r="F72" t="s">
        <v>184</v>
      </c>
      <c r="G72" t="s">
        <v>185</v>
      </c>
      <c r="H72">
        <v>3100000</v>
      </c>
      <c r="I72" t="s">
        <v>186</v>
      </c>
      <c r="J72" t="s">
        <v>177</v>
      </c>
      <c r="K72" t="s">
        <v>187</v>
      </c>
      <c r="L72" t="s">
        <v>177</v>
      </c>
      <c r="M72" t="s">
        <v>188</v>
      </c>
      <c r="N72" t="s">
        <v>189</v>
      </c>
      <c r="O72" t="s">
        <v>190</v>
      </c>
    </row>
    <row r="73" spans="1:15" x14ac:dyDescent="0.25">
      <c r="A73" t="s">
        <v>172</v>
      </c>
      <c r="B73" t="s">
        <v>173</v>
      </c>
      <c r="C73" s="61">
        <v>46154</v>
      </c>
      <c r="D73">
        <v>23401</v>
      </c>
      <c r="E73">
        <v>13378019</v>
      </c>
      <c r="F73" t="s">
        <v>184</v>
      </c>
      <c r="G73" t="s">
        <v>185</v>
      </c>
      <c r="H73">
        <v>2027843.4</v>
      </c>
      <c r="I73" t="s">
        <v>186</v>
      </c>
      <c r="J73" t="s">
        <v>177</v>
      </c>
      <c r="K73" t="s">
        <v>187</v>
      </c>
      <c r="L73" t="s">
        <v>177</v>
      </c>
      <c r="M73" t="s">
        <v>188</v>
      </c>
      <c r="N73" t="s">
        <v>189</v>
      </c>
      <c r="O73" t="s">
        <v>190</v>
      </c>
    </row>
    <row r="74" spans="1:15" x14ac:dyDescent="0.25">
      <c r="A74" t="s">
        <v>172</v>
      </c>
      <c r="B74" t="s">
        <v>173</v>
      </c>
      <c r="C74" s="61">
        <v>46154</v>
      </c>
      <c r="D74">
        <v>23426</v>
      </c>
      <c r="E74">
        <v>78055864</v>
      </c>
      <c r="F74" t="s">
        <v>184</v>
      </c>
      <c r="G74" t="s">
        <v>191</v>
      </c>
      <c r="H74">
        <v>1325000</v>
      </c>
      <c r="I74" t="s">
        <v>192</v>
      </c>
      <c r="J74" t="s">
        <v>177</v>
      </c>
      <c r="K74" t="s">
        <v>193</v>
      </c>
      <c r="L74" t="s">
        <v>177</v>
      </c>
      <c r="M74" t="s">
        <v>194</v>
      </c>
      <c r="N74" t="s">
        <v>189</v>
      </c>
      <c r="O74" t="s">
        <v>190</v>
      </c>
    </row>
    <row r="75" spans="1:15" x14ac:dyDescent="0.25">
      <c r="A75" t="s">
        <v>172</v>
      </c>
      <c r="B75" t="s">
        <v>173</v>
      </c>
      <c r="C75" s="61">
        <v>46154</v>
      </c>
      <c r="D75">
        <v>23470</v>
      </c>
      <c r="E75">
        <v>12924513</v>
      </c>
      <c r="F75" t="s">
        <v>184</v>
      </c>
      <c r="G75" t="s">
        <v>180</v>
      </c>
      <c r="H75">
        <v>10000000</v>
      </c>
      <c r="I75" t="s">
        <v>181</v>
      </c>
      <c r="J75" t="s">
        <v>177</v>
      </c>
      <c r="K75" t="s">
        <v>182</v>
      </c>
      <c r="L75" t="s">
        <v>177</v>
      </c>
      <c r="M75" t="s">
        <v>183</v>
      </c>
      <c r="N75" t="s">
        <v>177</v>
      </c>
      <c r="O75" t="s">
        <v>177</v>
      </c>
    </row>
    <row r="76" spans="1:15" x14ac:dyDescent="0.25">
      <c r="A76" t="s">
        <v>172</v>
      </c>
      <c r="B76" t="s">
        <v>173</v>
      </c>
      <c r="C76" s="61">
        <v>46154</v>
      </c>
      <c r="D76">
        <v>23492</v>
      </c>
      <c r="E76">
        <v>4538</v>
      </c>
      <c r="F76" t="s">
        <v>184</v>
      </c>
      <c r="G76" t="s">
        <v>205</v>
      </c>
      <c r="H76">
        <v>930000</v>
      </c>
      <c r="I76" t="s">
        <v>209</v>
      </c>
      <c r="J76" t="s">
        <v>177</v>
      </c>
      <c r="K76" t="s">
        <v>210</v>
      </c>
      <c r="L76" t="s">
        <v>177</v>
      </c>
      <c r="M76" t="s">
        <v>208</v>
      </c>
      <c r="N76" t="s">
        <v>189</v>
      </c>
      <c r="O76" t="s">
        <v>190</v>
      </c>
    </row>
    <row r="77" spans="1:15" x14ac:dyDescent="0.25">
      <c r="A77" t="s">
        <v>172</v>
      </c>
      <c r="B77" t="s">
        <v>173</v>
      </c>
      <c r="C77" s="61">
        <v>46154</v>
      </c>
      <c r="D77">
        <v>23496</v>
      </c>
      <c r="E77">
        <v>4572</v>
      </c>
      <c r="F77" t="s">
        <v>184</v>
      </c>
      <c r="G77" t="s">
        <v>205</v>
      </c>
      <c r="H77">
        <v>1300000</v>
      </c>
      <c r="I77" t="s">
        <v>209</v>
      </c>
      <c r="J77" t="s">
        <v>177</v>
      </c>
      <c r="K77" t="s">
        <v>210</v>
      </c>
      <c r="L77" t="s">
        <v>177</v>
      </c>
      <c r="M77" t="s">
        <v>208</v>
      </c>
      <c r="N77" t="s">
        <v>189</v>
      </c>
      <c r="O77" t="s">
        <v>190</v>
      </c>
    </row>
    <row r="78" spans="1:15" x14ac:dyDescent="0.25">
      <c r="A78" t="s">
        <v>172</v>
      </c>
      <c r="B78" t="s">
        <v>173</v>
      </c>
      <c r="C78" s="61">
        <v>46154</v>
      </c>
      <c r="D78">
        <v>23553</v>
      </c>
      <c r="E78">
        <v>78055881</v>
      </c>
      <c r="F78" t="s">
        <v>184</v>
      </c>
      <c r="G78" t="s">
        <v>191</v>
      </c>
      <c r="H78">
        <v>500000</v>
      </c>
      <c r="I78" t="s">
        <v>192</v>
      </c>
      <c r="J78" t="s">
        <v>177</v>
      </c>
      <c r="K78" t="s">
        <v>193</v>
      </c>
      <c r="L78" t="s">
        <v>177</v>
      </c>
      <c r="M78" t="s">
        <v>194</v>
      </c>
      <c r="N78" t="s">
        <v>189</v>
      </c>
      <c r="O78" t="s">
        <v>190</v>
      </c>
    </row>
    <row r="79" spans="1:15" x14ac:dyDescent="0.25">
      <c r="A79" t="s">
        <v>172</v>
      </c>
      <c r="B79" t="s">
        <v>173</v>
      </c>
      <c r="C79" s="61">
        <v>46154</v>
      </c>
      <c r="D79">
        <v>23559</v>
      </c>
      <c r="E79">
        <v>78055889</v>
      </c>
      <c r="F79" t="s">
        <v>184</v>
      </c>
      <c r="G79" t="s">
        <v>191</v>
      </c>
      <c r="H79">
        <v>890000</v>
      </c>
      <c r="I79" t="s">
        <v>192</v>
      </c>
      <c r="J79" t="s">
        <v>177</v>
      </c>
      <c r="K79" t="s">
        <v>193</v>
      </c>
      <c r="L79" t="s">
        <v>177</v>
      </c>
      <c r="M79" t="s">
        <v>194</v>
      </c>
      <c r="N79" t="s">
        <v>189</v>
      </c>
      <c r="O79" t="s">
        <v>190</v>
      </c>
    </row>
    <row r="80" spans="1:15" x14ac:dyDescent="0.25">
      <c r="A80" t="s">
        <v>172</v>
      </c>
      <c r="B80" t="s">
        <v>173</v>
      </c>
      <c r="C80" s="61">
        <v>46155</v>
      </c>
      <c r="D80">
        <v>23296</v>
      </c>
      <c r="E80">
        <v>13378005</v>
      </c>
      <c r="F80" t="s">
        <v>184</v>
      </c>
      <c r="G80" t="s">
        <v>185</v>
      </c>
      <c r="H80">
        <v>3100000</v>
      </c>
      <c r="I80" t="s">
        <v>186</v>
      </c>
      <c r="J80" t="s">
        <v>177</v>
      </c>
      <c r="K80" t="s">
        <v>187</v>
      </c>
      <c r="L80" t="s">
        <v>177</v>
      </c>
      <c r="M80" t="s">
        <v>188</v>
      </c>
      <c r="N80" t="s">
        <v>189</v>
      </c>
      <c r="O80" t="s">
        <v>190</v>
      </c>
    </row>
    <row r="81" spans="1:15" x14ac:dyDescent="0.25">
      <c r="A81" t="s">
        <v>172</v>
      </c>
      <c r="B81" t="s">
        <v>173</v>
      </c>
      <c r="C81" s="61">
        <v>46155</v>
      </c>
      <c r="D81">
        <v>23402</v>
      </c>
      <c r="E81">
        <v>13378020</v>
      </c>
      <c r="F81" t="s">
        <v>184</v>
      </c>
      <c r="G81" t="s">
        <v>185</v>
      </c>
      <c r="H81">
        <v>2200000</v>
      </c>
      <c r="I81" t="s">
        <v>186</v>
      </c>
      <c r="J81" t="s">
        <v>177</v>
      </c>
      <c r="K81" t="s">
        <v>187</v>
      </c>
      <c r="L81" t="s">
        <v>177</v>
      </c>
      <c r="M81" t="s">
        <v>188</v>
      </c>
      <c r="N81" t="s">
        <v>189</v>
      </c>
      <c r="O81" t="s">
        <v>190</v>
      </c>
    </row>
    <row r="82" spans="1:15" x14ac:dyDescent="0.25">
      <c r="A82" t="s">
        <v>172</v>
      </c>
      <c r="B82" t="s">
        <v>173</v>
      </c>
      <c r="C82" s="61">
        <v>46155</v>
      </c>
      <c r="D82">
        <v>23471</v>
      </c>
      <c r="E82">
        <v>12924514</v>
      </c>
      <c r="F82" t="s">
        <v>184</v>
      </c>
      <c r="G82" t="s">
        <v>180</v>
      </c>
      <c r="H82">
        <v>10000000</v>
      </c>
      <c r="I82" t="s">
        <v>181</v>
      </c>
      <c r="J82" t="s">
        <v>177</v>
      </c>
      <c r="K82" t="s">
        <v>182</v>
      </c>
      <c r="L82" t="s">
        <v>177</v>
      </c>
      <c r="M82" t="s">
        <v>183</v>
      </c>
      <c r="N82" t="s">
        <v>177</v>
      </c>
      <c r="O82" t="s">
        <v>177</v>
      </c>
    </row>
    <row r="83" spans="1:15" x14ac:dyDescent="0.25">
      <c r="A83" t="s">
        <v>172</v>
      </c>
      <c r="B83" t="s">
        <v>173</v>
      </c>
      <c r="C83" s="61">
        <v>46155</v>
      </c>
      <c r="D83">
        <v>23493</v>
      </c>
      <c r="E83">
        <v>4539</v>
      </c>
      <c r="F83" t="s">
        <v>184</v>
      </c>
      <c r="G83" t="s">
        <v>205</v>
      </c>
      <c r="H83">
        <v>930000</v>
      </c>
      <c r="I83" t="s">
        <v>209</v>
      </c>
      <c r="J83" t="s">
        <v>177</v>
      </c>
      <c r="K83" t="s">
        <v>210</v>
      </c>
      <c r="L83" t="s">
        <v>177</v>
      </c>
      <c r="M83" t="s">
        <v>208</v>
      </c>
      <c r="N83" t="s">
        <v>189</v>
      </c>
      <c r="O83" t="s">
        <v>190</v>
      </c>
    </row>
    <row r="84" spans="1:15" x14ac:dyDescent="0.25">
      <c r="A84" t="s">
        <v>172</v>
      </c>
      <c r="B84" t="s">
        <v>173</v>
      </c>
      <c r="C84" s="61">
        <v>46155</v>
      </c>
      <c r="D84">
        <v>23497</v>
      </c>
      <c r="E84">
        <v>4573</v>
      </c>
      <c r="F84" t="s">
        <v>184</v>
      </c>
      <c r="G84" t="s">
        <v>205</v>
      </c>
      <c r="H84">
        <v>1300000</v>
      </c>
      <c r="I84" t="s">
        <v>209</v>
      </c>
      <c r="J84" t="s">
        <v>177</v>
      </c>
      <c r="K84" t="s">
        <v>210</v>
      </c>
      <c r="L84" t="s">
        <v>177</v>
      </c>
      <c r="M84" t="s">
        <v>208</v>
      </c>
      <c r="N84" t="s">
        <v>189</v>
      </c>
      <c r="O84" t="s">
        <v>190</v>
      </c>
    </row>
    <row r="85" spans="1:15" x14ac:dyDescent="0.25">
      <c r="A85" t="s">
        <v>172</v>
      </c>
      <c r="B85" t="s">
        <v>173</v>
      </c>
      <c r="C85" s="61">
        <v>46155</v>
      </c>
      <c r="D85">
        <v>23581</v>
      </c>
      <c r="E85">
        <v>1367</v>
      </c>
      <c r="F85" t="s">
        <v>184</v>
      </c>
      <c r="G85" t="s">
        <v>205</v>
      </c>
      <c r="H85">
        <v>25000000</v>
      </c>
      <c r="I85" t="s">
        <v>206</v>
      </c>
      <c r="J85" t="s">
        <v>177</v>
      </c>
      <c r="K85" t="s">
        <v>207</v>
      </c>
      <c r="L85" t="s">
        <v>177</v>
      </c>
      <c r="M85" t="s">
        <v>208</v>
      </c>
      <c r="N85" t="s">
        <v>189</v>
      </c>
      <c r="O85" t="s">
        <v>190</v>
      </c>
    </row>
    <row r="86" spans="1:15" x14ac:dyDescent="0.25">
      <c r="A86" t="s">
        <v>172</v>
      </c>
      <c r="B86" t="s">
        <v>173</v>
      </c>
      <c r="C86" s="61">
        <v>46156</v>
      </c>
      <c r="D86">
        <v>23298</v>
      </c>
      <c r="E86">
        <v>13378006</v>
      </c>
      <c r="F86" t="s">
        <v>184</v>
      </c>
      <c r="G86" t="s">
        <v>185</v>
      </c>
      <c r="H86">
        <v>3100000</v>
      </c>
      <c r="I86" t="s">
        <v>186</v>
      </c>
      <c r="J86" t="s">
        <v>177</v>
      </c>
      <c r="K86" t="s">
        <v>187</v>
      </c>
      <c r="L86" t="s">
        <v>177</v>
      </c>
      <c r="M86" t="s">
        <v>188</v>
      </c>
      <c r="N86" t="s">
        <v>189</v>
      </c>
      <c r="O86" t="s">
        <v>190</v>
      </c>
    </row>
    <row r="87" spans="1:15" x14ac:dyDescent="0.25">
      <c r="A87" t="s">
        <v>172</v>
      </c>
      <c r="B87" t="s">
        <v>173</v>
      </c>
      <c r="C87" s="61">
        <v>46156</v>
      </c>
      <c r="D87">
        <v>23403</v>
      </c>
      <c r="E87">
        <v>13378021</v>
      </c>
      <c r="F87" t="s">
        <v>184</v>
      </c>
      <c r="G87" t="s">
        <v>185</v>
      </c>
      <c r="H87">
        <v>2200000</v>
      </c>
      <c r="I87" t="s">
        <v>186</v>
      </c>
      <c r="J87" t="s">
        <v>177</v>
      </c>
      <c r="K87" t="s">
        <v>187</v>
      </c>
      <c r="L87" t="s">
        <v>177</v>
      </c>
      <c r="M87" t="s">
        <v>188</v>
      </c>
      <c r="N87" t="s">
        <v>189</v>
      </c>
      <c r="O87" t="s">
        <v>190</v>
      </c>
    </row>
    <row r="88" spans="1:15" x14ac:dyDescent="0.25">
      <c r="A88" t="s">
        <v>172</v>
      </c>
      <c r="B88" t="s">
        <v>173</v>
      </c>
      <c r="C88" s="61">
        <v>46156</v>
      </c>
      <c r="D88">
        <v>23427</v>
      </c>
      <c r="E88">
        <v>78055865</v>
      </c>
      <c r="F88" t="s">
        <v>184</v>
      </c>
      <c r="G88" t="s">
        <v>191</v>
      </c>
      <c r="H88">
        <v>1325000</v>
      </c>
      <c r="I88" t="s">
        <v>192</v>
      </c>
      <c r="J88" t="s">
        <v>177</v>
      </c>
      <c r="K88" t="s">
        <v>193</v>
      </c>
      <c r="L88" t="s">
        <v>177</v>
      </c>
      <c r="M88" t="s">
        <v>194</v>
      </c>
      <c r="N88" t="s">
        <v>189</v>
      </c>
      <c r="O88" t="s">
        <v>190</v>
      </c>
    </row>
    <row r="89" spans="1:15" x14ac:dyDescent="0.25">
      <c r="A89" t="s">
        <v>172</v>
      </c>
      <c r="B89" t="s">
        <v>173</v>
      </c>
      <c r="C89" s="61">
        <v>46156</v>
      </c>
      <c r="D89">
        <v>23472</v>
      </c>
      <c r="E89">
        <v>12924515</v>
      </c>
      <c r="F89" t="s">
        <v>184</v>
      </c>
      <c r="G89" t="s">
        <v>180</v>
      </c>
      <c r="H89">
        <v>10000000</v>
      </c>
      <c r="I89" t="s">
        <v>181</v>
      </c>
      <c r="J89" t="s">
        <v>177</v>
      </c>
      <c r="K89" t="s">
        <v>182</v>
      </c>
      <c r="L89" t="s">
        <v>177</v>
      </c>
      <c r="M89" t="s">
        <v>183</v>
      </c>
      <c r="N89" t="s">
        <v>177</v>
      </c>
      <c r="O89" t="s">
        <v>177</v>
      </c>
    </row>
    <row r="90" spans="1:15" x14ac:dyDescent="0.25">
      <c r="A90" t="s">
        <v>172</v>
      </c>
      <c r="B90" t="s">
        <v>173</v>
      </c>
      <c r="C90" s="61">
        <v>46156</v>
      </c>
      <c r="D90">
        <v>23481</v>
      </c>
      <c r="E90">
        <v>4959</v>
      </c>
      <c r="F90" t="s">
        <v>184</v>
      </c>
      <c r="G90" t="s">
        <v>191</v>
      </c>
      <c r="H90">
        <v>3118540</v>
      </c>
      <c r="I90" t="s">
        <v>211</v>
      </c>
      <c r="J90" t="s">
        <v>177</v>
      </c>
      <c r="K90" t="s">
        <v>212</v>
      </c>
      <c r="L90" t="s">
        <v>177</v>
      </c>
      <c r="M90" t="s">
        <v>194</v>
      </c>
      <c r="N90" t="s">
        <v>189</v>
      </c>
      <c r="O90" t="s">
        <v>190</v>
      </c>
    </row>
    <row r="91" spans="1:15" x14ac:dyDescent="0.25">
      <c r="A91" t="s">
        <v>172</v>
      </c>
      <c r="B91" t="s">
        <v>173</v>
      </c>
      <c r="C91" s="61">
        <v>46156</v>
      </c>
      <c r="D91">
        <v>23560</v>
      </c>
      <c r="E91">
        <v>78055890</v>
      </c>
      <c r="F91" t="s">
        <v>184</v>
      </c>
      <c r="G91" t="s">
        <v>191</v>
      </c>
      <c r="H91">
        <v>890000</v>
      </c>
      <c r="I91" t="s">
        <v>192</v>
      </c>
      <c r="J91" t="s">
        <v>177</v>
      </c>
      <c r="K91" t="s">
        <v>193</v>
      </c>
      <c r="L91" t="s">
        <v>177</v>
      </c>
      <c r="M91" t="s">
        <v>194</v>
      </c>
      <c r="N91" t="s">
        <v>189</v>
      </c>
      <c r="O91" t="s">
        <v>190</v>
      </c>
    </row>
    <row r="92" spans="1:15" x14ac:dyDescent="0.25">
      <c r="A92" t="s">
        <v>172</v>
      </c>
      <c r="B92" t="s">
        <v>173</v>
      </c>
      <c r="C92" s="61">
        <v>46156</v>
      </c>
      <c r="D92">
        <v>23569</v>
      </c>
      <c r="E92">
        <v>8055882</v>
      </c>
      <c r="F92" t="s">
        <v>184</v>
      </c>
      <c r="G92" t="s">
        <v>191</v>
      </c>
      <c r="H92">
        <v>500000</v>
      </c>
      <c r="I92" t="s">
        <v>192</v>
      </c>
      <c r="J92" t="s">
        <v>177</v>
      </c>
      <c r="K92" t="s">
        <v>193</v>
      </c>
      <c r="L92" t="s">
        <v>177</v>
      </c>
      <c r="M92" t="s">
        <v>194</v>
      </c>
      <c r="N92" t="s">
        <v>189</v>
      </c>
      <c r="O92" t="s">
        <v>190</v>
      </c>
    </row>
    <row r="93" spans="1:15" x14ac:dyDescent="0.25">
      <c r="A93" t="s">
        <v>172</v>
      </c>
      <c r="B93" t="s">
        <v>173</v>
      </c>
      <c r="C93" s="61">
        <v>46157</v>
      </c>
      <c r="D93">
        <v>23404</v>
      </c>
      <c r="E93">
        <v>13378022</v>
      </c>
      <c r="F93" t="s">
        <v>184</v>
      </c>
      <c r="G93" t="s">
        <v>185</v>
      </c>
      <c r="H93">
        <v>2200000</v>
      </c>
      <c r="I93" t="s">
        <v>186</v>
      </c>
      <c r="J93" t="s">
        <v>177</v>
      </c>
      <c r="K93" t="s">
        <v>187</v>
      </c>
      <c r="L93" t="s">
        <v>177</v>
      </c>
      <c r="M93" t="s">
        <v>188</v>
      </c>
      <c r="N93" t="s">
        <v>189</v>
      </c>
      <c r="O93" t="s">
        <v>190</v>
      </c>
    </row>
    <row r="94" spans="1:15" x14ac:dyDescent="0.25">
      <c r="A94" t="s">
        <v>172</v>
      </c>
      <c r="B94" t="s">
        <v>173</v>
      </c>
      <c r="C94" s="61">
        <v>46157</v>
      </c>
      <c r="D94">
        <v>23428</v>
      </c>
      <c r="E94">
        <v>78055866</v>
      </c>
      <c r="F94" t="s">
        <v>184</v>
      </c>
      <c r="G94" t="s">
        <v>191</v>
      </c>
      <c r="H94">
        <v>1325000</v>
      </c>
      <c r="I94" t="s">
        <v>192</v>
      </c>
      <c r="J94" t="s">
        <v>177</v>
      </c>
      <c r="K94" t="s">
        <v>193</v>
      </c>
      <c r="L94" t="s">
        <v>177</v>
      </c>
      <c r="M94" t="s">
        <v>194</v>
      </c>
      <c r="N94" t="s">
        <v>189</v>
      </c>
      <c r="O94" t="s">
        <v>190</v>
      </c>
    </row>
    <row r="95" spans="1:15" x14ac:dyDescent="0.25">
      <c r="A95" t="s">
        <v>172</v>
      </c>
      <c r="B95" t="s">
        <v>173</v>
      </c>
      <c r="C95" s="61">
        <v>46157</v>
      </c>
      <c r="D95">
        <v>23443</v>
      </c>
      <c r="E95">
        <v>6769</v>
      </c>
      <c r="F95" t="s">
        <v>184</v>
      </c>
      <c r="G95" t="s">
        <v>205</v>
      </c>
      <c r="H95">
        <v>17049600</v>
      </c>
      <c r="I95" t="s">
        <v>223</v>
      </c>
      <c r="J95" t="s">
        <v>177</v>
      </c>
      <c r="K95" t="s">
        <v>224</v>
      </c>
      <c r="L95" t="s">
        <v>177</v>
      </c>
      <c r="M95" t="s">
        <v>208</v>
      </c>
      <c r="N95" t="s">
        <v>189</v>
      </c>
      <c r="O95" t="s">
        <v>190</v>
      </c>
    </row>
    <row r="96" spans="1:15" x14ac:dyDescent="0.25">
      <c r="A96" t="s">
        <v>172</v>
      </c>
      <c r="B96" t="s">
        <v>173</v>
      </c>
      <c r="C96" s="61">
        <v>46157</v>
      </c>
      <c r="D96">
        <v>23473</v>
      </c>
      <c r="E96">
        <v>12924516</v>
      </c>
      <c r="F96" t="s">
        <v>184</v>
      </c>
      <c r="G96" t="s">
        <v>180</v>
      </c>
      <c r="H96">
        <v>10000000</v>
      </c>
      <c r="I96" t="s">
        <v>181</v>
      </c>
      <c r="J96" t="s">
        <v>177</v>
      </c>
      <c r="K96" t="s">
        <v>182</v>
      </c>
      <c r="L96" t="s">
        <v>177</v>
      </c>
      <c r="M96" t="s">
        <v>183</v>
      </c>
      <c r="N96" t="s">
        <v>177</v>
      </c>
      <c r="O96" t="s">
        <v>177</v>
      </c>
    </row>
    <row r="97" spans="1:15" x14ac:dyDescent="0.25">
      <c r="A97" t="s">
        <v>172</v>
      </c>
      <c r="B97" t="s">
        <v>173</v>
      </c>
      <c r="C97" s="61">
        <v>46157</v>
      </c>
      <c r="D97">
        <v>23479</v>
      </c>
      <c r="E97">
        <v>29117288</v>
      </c>
      <c r="F97" t="s">
        <v>184</v>
      </c>
      <c r="G97" t="s">
        <v>217</v>
      </c>
      <c r="H97">
        <v>10000000</v>
      </c>
      <c r="I97" t="s">
        <v>201</v>
      </c>
      <c r="J97" t="s">
        <v>177</v>
      </c>
      <c r="K97" t="s">
        <v>202</v>
      </c>
      <c r="L97" t="s">
        <v>177</v>
      </c>
      <c r="M97" t="s">
        <v>218</v>
      </c>
      <c r="N97" t="s">
        <v>189</v>
      </c>
      <c r="O97" t="s">
        <v>190</v>
      </c>
    </row>
    <row r="98" spans="1:15" x14ac:dyDescent="0.25">
      <c r="A98" t="s">
        <v>172</v>
      </c>
      <c r="B98" t="s">
        <v>173</v>
      </c>
      <c r="C98" s="61">
        <v>46157</v>
      </c>
      <c r="D98">
        <v>23494</v>
      </c>
      <c r="E98">
        <v>4540</v>
      </c>
      <c r="F98" t="s">
        <v>184</v>
      </c>
      <c r="G98" t="s">
        <v>205</v>
      </c>
      <c r="H98">
        <v>891750</v>
      </c>
      <c r="I98" t="s">
        <v>209</v>
      </c>
      <c r="J98" t="s">
        <v>177</v>
      </c>
      <c r="K98" t="s">
        <v>210</v>
      </c>
      <c r="L98" t="s">
        <v>177</v>
      </c>
      <c r="M98" t="s">
        <v>208</v>
      </c>
      <c r="N98" t="s">
        <v>189</v>
      </c>
      <c r="O98" t="s">
        <v>190</v>
      </c>
    </row>
    <row r="99" spans="1:15" x14ac:dyDescent="0.25">
      <c r="A99" t="s">
        <v>172</v>
      </c>
      <c r="B99" t="s">
        <v>173</v>
      </c>
      <c r="C99" s="61">
        <v>46157</v>
      </c>
      <c r="D99">
        <v>23498</v>
      </c>
      <c r="E99">
        <v>4574</v>
      </c>
      <c r="F99" t="s">
        <v>184</v>
      </c>
      <c r="G99" t="s">
        <v>205</v>
      </c>
      <c r="H99">
        <v>1300000</v>
      </c>
      <c r="I99" t="s">
        <v>209</v>
      </c>
      <c r="J99" t="s">
        <v>177</v>
      </c>
      <c r="K99" t="s">
        <v>210</v>
      </c>
      <c r="L99" t="s">
        <v>177</v>
      </c>
      <c r="M99" t="s">
        <v>208</v>
      </c>
      <c r="N99" t="s">
        <v>189</v>
      </c>
      <c r="O99" t="s">
        <v>190</v>
      </c>
    </row>
    <row r="100" spans="1:15" x14ac:dyDescent="0.25">
      <c r="A100" t="s">
        <v>172</v>
      </c>
      <c r="B100" t="s">
        <v>173</v>
      </c>
      <c r="C100" s="61">
        <v>46157</v>
      </c>
      <c r="D100">
        <v>23549</v>
      </c>
      <c r="E100">
        <v>3360</v>
      </c>
      <c r="F100" t="s">
        <v>174</v>
      </c>
      <c r="G100" t="s">
        <v>175</v>
      </c>
      <c r="H100">
        <v>2190000</v>
      </c>
      <c r="I100" t="s">
        <v>201</v>
      </c>
      <c r="J100" t="s">
        <v>177</v>
      </c>
      <c r="K100" t="s">
        <v>202</v>
      </c>
      <c r="L100" t="s">
        <v>177</v>
      </c>
      <c r="M100" t="s">
        <v>179</v>
      </c>
      <c r="N100" t="s">
        <v>189</v>
      </c>
      <c r="O100" t="s">
        <v>190</v>
      </c>
    </row>
    <row r="101" spans="1:15" x14ac:dyDescent="0.25">
      <c r="A101" t="s">
        <v>172</v>
      </c>
      <c r="B101" t="s">
        <v>173</v>
      </c>
      <c r="C101" s="61">
        <v>46157</v>
      </c>
      <c r="D101">
        <v>23554</v>
      </c>
      <c r="E101">
        <v>78055883</v>
      </c>
      <c r="F101" t="s">
        <v>184</v>
      </c>
      <c r="G101" t="s">
        <v>191</v>
      </c>
      <c r="H101">
        <v>500000</v>
      </c>
      <c r="I101" t="s">
        <v>192</v>
      </c>
      <c r="J101" t="s">
        <v>177</v>
      </c>
      <c r="K101" t="s">
        <v>193</v>
      </c>
      <c r="L101" t="s">
        <v>177</v>
      </c>
      <c r="M101" t="s">
        <v>194</v>
      </c>
      <c r="N101" t="s">
        <v>189</v>
      </c>
      <c r="O101" t="s">
        <v>190</v>
      </c>
    </row>
    <row r="102" spans="1:15" x14ac:dyDescent="0.25">
      <c r="A102" t="s">
        <v>172</v>
      </c>
      <c r="B102" t="s">
        <v>173</v>
      </c>
      <c r="C102" s="61">
        <v>46157</v>
      </c>
      <c r="D102">
        <v>23561</v>
      </c>
      <c r="E102">
        <v>78055891</v>
      </c>
      <c r="F102" t="s">
        <v>184</v>
      </c>
      <c r="G102" t="s">
        <v>191</v>
      </c>
      <c r="H102">
        <v>890000</v>
      </c>
      <c r="I102" t="s">
        <v>192</v>
      </c>
      <c r="J102" t="s">
        <v>177</v>
      </c>
      <c r="K102" t="s">
        <v>193</v>
      </c>
      <c r="L102" t="s">
        <v>177</v>
      </c>
      <c r="M102" t="s">
        <v>194</v>
      </c>
      <c r="N102" t="s">
        <v>189</v>
      </c>
      <c r="O102" t="s">
        <v>190</v>
      </c>
    </row>
    <row r="103" spans="1:15" x14ac:dyDescent="0.25">
      <c r="A103" t="s">
        <v>172</v>
      </c>
      <c r="B103" t="s">
        <v>173</v>
      </c>
      <c r="C103" s="61">
        <v>46157</v>
      </c>
      <c r="D103">
        <v>23572</v>
      </c>
      <c r="E103">
        <v>122</v>
      </c>
      <c r="F103" t="s">
        <v>184</v>
      </c>
      <c r="G103" t="s">
        <v>205</v>
      </c>
      <c r="H103">
        <v>3000261.82</v>
      </c>
      <c r="I103" t="s">
        <v>238</v>
      </c>
      <c r="J103" t="s">
        <v>177</v>
      </c>
      <c r="K103" t="s">
        <v>239</v>
      </c>
      <c r="L103" t="s">
        <v>177</v>
      </c>
      <c r="M103" t="s">
        <v>208</v>
      </c>
      <c r="N103" t="s">
        <v>189</v>
      </c>
      <c r="O103" t="s">
        <v>190</v>
      </c>
    </row>
    <row r="104" spans="1:15" x14ac:dyDescent="0.25">
      <c r="A104" t="s">
        <v>172</v>
      </c>
      <c r="B104" t="s">
        <v>173</v>
      </c>
      <c r="C104" s="61">
        <v>46157</v>
      </c>
      <c r="D104">
        <v>23573</v>
      </c>
      <c r="E104">
        <v>123</v>
      </c>
      <c r="F104" t="s">
        <v>184</v>
      </c>
      <c r="G104" t="s">
        <v>205</v>
      </c>
      <c r="H104">
        <v>3870000</v>
      </c>
      <c r="I104" t="s">
        <v>238</v>
      </c>
      <c r="J104" t="s">
        <v>177</v>
      </c>
      <c r="K104" t="s">
        <v>239</v>
      </c>
      <c r="L104" t="s">
        <v>177</v>
      </c>
      <c r="M104" t="s">
        <v>208</v>
      </c>
      <c r="N104" t="s">
        <v>189</v>
      </c>
      <c r="O104" t="s">
        <v>190</v>
      </c>
    </row>
    <row r="105" spans="1:15" x14ac:dyDescent="0.25">
      <c r="A105" t="s">
        <v>172</v>
      </c>
      <c r="B105" t="s">
        <v>173</v>
      </c>
      <c r="C105" s="61">
        <v>46157</v>
      </c>
      <c r="D105">
        <v>23574</v>
      </c>
      <c r="E105">
        <v>124</v>
      </c>
      <c r="F105" t="s">
        <v>184</v>
      </c>
      <c r="G105" t="s">
        <v>205</v>
      </c>
      <c r="H105">
        <v>4000000</v>
      </c>
      <c r="I105" t="s">
        <v>238</v>
      </c>
      <c r="J105" t="s">
        <v>177</v>
      </c>
      <c r="K105" t="s">
        <v>239</v>
      </c>
      <c r="L105" t="s">
        <v>177</v>
      </c>
      <c r="M105" t="s">
        <v>208</v>
      </c>
      <c r="N105" t="s">
        <v>189</v>
      </c>
      <c r="O105" t="s">
        <v>190</v>
      </c>
    </row>
    <row r="106" spans="1:15" x14ac:dyDescent="0.25">
      <c r="A106" t="s">
        <v>172</v>
      </c>
      <c r="B106" t="s">
        <v>173</v>
      </c>
      <c r="C106" s="61">
        <v>46157</v>
      </c>
      <c r="D106">
        <v>23587</v>
      </c>
      <c r="E106">
        <v>66486728</v>
      </c>
      <c r="F106" t="s">
        <v>184</v>
      </c>
      <c r="G106" t="s">
        <v>195</v>
      </c>
      <c r="H106">
        <v>4528200</v>
      </c>
      <c r="I106" t="s">
        <v>196</v>
      </c>
      <c r="J106" t="s">
        <v>177</v>
      </c>
      <c r="K106" t="s">
        <v>197</v>
      </c>
      <c r="L106" t="s">
        <v>177</v>
      </c>
      <c r="M106" t="s">
        <v>198</v>
      </c>
      <c r="N106" t="s">
        <v>189</v>
      </c>
      <c r="O106" t="s">
        <v>190</v>
      </c>
    </row>
    <row r="107" spans="1:15" x14ac:dyDescent="0.25">
      <c r="A107" t="s">
        <v>172</v>
      </c>
      <c r="B107" t="s">
        <v>173</v>
      </c>
      <c r="C107" s="61">
        <v>46157</v>
      </c>
      <c r="D107">
        <v>23591</v>
      </c>
      <c r="E107">
        <v>61747694</v>
      </c>
      <c r="F107" t="s">
        <v>184</v>
      </c>
      <c r="G107" t="s">
        <v>195</v>
      </c>
      <c r="H107">
        <v>7365600</v>
      </c>
      <c r="I107" t="s">
        <v>227</v>
      </c>
      <c r="J107" t="s">
        <v>177</v>
      </c>
      <c r="K107" t="s">
        <v>228</v>
      </c>
      <c r="L107" t="s">
        <v>177</v>
      </c>
      <c r="M107" t="s">
        <v>198</v>
      </c>
      <c r="N107" t="s">
        <v>229</v>
      </c>
      <c r="O107" t="s">
        <v>177</v>
      </c>
    </row>
    <row r="108" spans="1:15" x14ac:dyDescent="0.25">
      <c r="A108" t="s">
        <v>172</v>
      </c>
      <c r="B108" t="s">
        <v>173</v>
      </c>
      <c r="C108" s="61">
        <v>46157</v>
      </c>
      <c r="D108">
        <v>23615</v>
      </c>
      <c r="E108">
        <v>4628</v>
      </c>
      <c r="F108" t="s">
        <v>184</v>
      </c>
      <c r="G108" t="s">
        <v>205</v>
      </c>
      <c r="H108">
        <v>1300000</v>
      </c>
      <c r="I108" t="s">
        <v>209</v>
      </c>
      <c r="J108" t="s">
        <v>177</v>
      </c>
      <c r="K108" t="s">
        <v>210</v>
      </c>
      <c r="L108" t="s">
        <v>177</v>
      </c>
      <c r="M108" t="s">
        <v>208</v>
      </c>
      <c r="N108" t="s">
        <v>189</v>
      </c>
      <c r="O108" t="s">
        <v>190</v>
      </c>
    </row>
    <row r="109" spans="1:15" x14ac:dyDescent="0.25">
      <c r="A109" t="s">
        <v>172</v>
      </c>
      <c r="B109" t="s">
        <v>173</v>
      </c>
      <c r="C109" s="61">
        <v>46160</v>
      </c>
      <c r="D109">
        <v>23265</v>
      </c>
      <c r="E109">
        <v>3436586</v>
      </c>
      <c r="F109" t="s">
        <v>184</v>
      </c>
      <c r="G109" t="s">
        <v>240</v>
      </c>
      <c r="H109">
        <v>1800000</v>
      </c>
      <c r="I109" t="s">
        <v>241</v>
      </c>
      <c r="J109" t="s">
        <v>177</v>
      </c>
      <c r="K109" t="s">
        <v>242</v>
      </c>
      <c r="L109" t="s">
        <v>177</v>
      </c>
      <c r="M109" t="s">
        <v>243</v>
      </c>
      <c r="N109" t="s">
        <v>189</v>
      </c>
      <c r="O109" t="s">
        <v>190</v>
      </c>
    </row>
    <row r="110" spans="1:15" x14ac:dyDescent="0.25">
      <c r="A110" t="s">
        <v>172</v>
      </c>
      <c r="B110" t="s">
        <v>173</v>
      </c>
      <c r="C110" s="61">
        <v>46160</v>
      </c>
      <c r="D110">
        <v>23266</v>
      </c>
      <c r="E110">
        <v>3436587</v>
      </c>
      <c r="F110" t="s">
        <v>184</v>
      </c>
      <c r="G110" t="s">
        <v>240</v>
      </c>
      <c r="H110">
        <v>1850000</v>
      </c>
      <c r="I110" t="s">
        <v>241</v>
      </c>
      <c r="J110" t="s">
        <v>177</v>
      </c>
      <c r="K110" t="s">
        <v>242</v>
      </c>
      <c r="L110" t="s">
        <v>177</v>
      </c>
      <c r="M110" t="s">
        <v>243</v>
      </c>
      <c r="N110" t="s">
        <v>189</v>
      </c>
      <c r="O110" t="s">
        <v>190</v>
      </c>
    </row>
    <row r="111" spans="1:15" x14ac:dyDescent="0.25">
      <c r="A111" t="s">
        <v>172</v>
      </c>
      <c r="B111" t="s">
        <v>173</v>
      </c>
      <c r="C111" s="61">
        <v>46160</v>
      </c>
      <c r="D111">
        <v>23429</v>
      </c>
      <c r="E111">
        <v>78055867</v>
      </c>
      <c r="F111" t="s">
        <v>184</v>
      </c>
      <c r="G111" t="s">
        <v>191</v>
      </c>
      <c r="H111">
        <v>1324500</v>
      </c>
      <c r="I111" t="s">
        <v>192</v>
      </c>
      <c r="J111" t="s">
        <v>177</v>
      </c>
      <c r="K111" t="s">
        <v>193</v>
      </c>
      <c r="L111" t="s">
        <v>177</v>
      </c>
      <c r="M111" t="s">
        <v>194</v>
      </c>
      <c r="N111" t="s">
        <v>189</v>
      </c>
      <c r="O111" t="s">
        <v>190</v>
      </c>
    </row>
    <row r="112" spans="1:15" x14ac:dyDescent="0.25">
      <c r="A112" t="s">
        <v>172</v>
      </c>
      <c r="B112" t="s">
        <v>173</v>
      </c>
      <c r="C112" s="61">
        <v>46160</v>
      </c>
      <c r="D112">
        <v>23453</v>
      </c>
      <c r="E112">
        <v>9487743</v>
      </c>
      <c r="F112" t="s">
        <v>184</v>
      </c>
      <c r="G112" t="s">
        <v>180</v>
      </c>
      <c r="H112">
        <v>12220447.59</v>
      </c>
      <c r="I112" t="s">
        <v>232</v>
      </c>
      <c r="J112" t="s">
        <v>177</v>
      </c>
      <c r="K112" t="s">
        <v>233</v>
      </c>
      <c r="L112" t="s">
        <v>177</v>
      </c>
      <c r="M112" t="s">
        <v>183</v>
      </c>
      <c r="N112" t="s">
        <v>189</v>
      </c>
      <c r="O112" t="s">
        <v>190</v>
      </c>
    </row>
    <row r="113" spans="1:15" x14ac:dyDescent="0.25">
      <c r="A113" t="s">
        <v>172</v>
      </c>
      <c r="B113" t="s">
        <v>173</v>
      </c>
      <c r="C113" s="61">
        <v>46160</v>
      </c>
      <c r="D113">
        <v>23474</v>
      </c>
      <c r="E113">
        <v>12924517</v>
      </c>
      <c r="F113" t="s">
        <v>184</v>
      </c>
      <c r="G113" t="s">
        <v>180</v>
      </c>
      <c r="H113">
        <v>7374980</v>
      </c>
      <c r="I113" t="s">
        <v>181</v>
      </c>
      <c r="J113" t="s">
        <v>177</v>
      </c>
      <c r="K113" t="s">
        <v>182</v>
      </c>
      <c r="L113" t="s">
        <v>177</v>
      </c>
      <c r="M113" t="s">
        <v>183</v>
      </c>
      <c r="N113" t="s">
        <v>177</v>
      </c>
      <c r="O113" t="s">
        <v>177</v>
      </c>
    </row>
    <row r="114" spans="1:15" x14ac:dyDescent="0.25">
      <c r="A114" t="s">
        <v>172</v>
      </c>
      <c r="B114" t="s">
        <v>173</v>
      </c>
      <c r="C114" s="61">
        <v>46160</v>
      </c>
      <c r="D114">
        <v>23499</v>
      </c>
      <c r="E114">
        <v>4575</v>
      </c>
      <c r="F114" t="s">
        <v>184</v>
      </c>
      <c r="G114" t="s">
        <v>205</v>
      </c>
      <c r="H114">
        <v>1300000</v>
      </c>
      <c r="I114" t="s">
        <v>209</v>
      </c>
      <c r="J114" t="s">
        <v>177</v>
      </c>
      <c r="K114" t="s">
        <v>210</v>
      </c>
      <c r="L114" t="s">
        <v>177</v>
      </c>
      <c r="M114" t="s">
        <v>208</v>
      </c>
      <c r="N114" t="s">
        <v>189</v>
      </c>
      <c r="O114" t="s">
        <v>190</v>
      </c>
    </row>
    <row r="115" spans="1:15" x14ac:dyDescent="0.25">
      <c r="A115" t="s">
        <v>172</v>
      </c>
      <c r="B115" t="s">
        <v>173</v>
      </c>
      <c r="C115" s="61">
        <v>46160</v>
      </c>
      <c r="D115">
        <v>23502</v>
      </c>
      <c r="E115">
        <v>674</v>
      </c>
      <c r="F115" t="s">
        <v>184</v>
      </c>
      <c r="G115" t="s">
        <v>236</v>
      </c>
      <c r="H115">
        <v>4500000</v>
      </c>
      <c r="I115" t="s">
        <v>234</v>
      </c>
      <c r="J115" t="s">
        <v>177</v>
      </c>
      <c r="K115" t="s">
        <v>235</v>
      </c>
      <c r="L115" t="s">
        <v>177</v>
      </c>
      <c r="M115" t="s">
        <v>237</v>
      </c>
      <c r="N115" t="s">
        <v>189</v>
      </c>
      <c r="O115" t="s">
        <v>190</v>
      </c>
    </row>
    <row r="116" spans="1:15" x14ac:dyDescent="0.25">
      <c r="A116" t="s">
        <v>172</v>
      </c>
      <c r="B116" t="s">
        <v>173</v>
      </c>
      <c r="C116" s="61">
        <v>46160</v>
      </c>
      <c r="D116">
        <v>23503</v>
      </c>
      <c r="E116">
        <v>675</v>
      </c>
      <c r="F116" t="s">
        <v>184</v>
      </c>
      <c r="G116" t="s">
        <v>205</v>
      </c>
      <c r="H116">
        <v>4500000</v>
      </c>
      <c r="I116" t="s">
        <v>234</v>
      </c>
      <c r="J116" t="s">
        <v>177</v>
      </c>
      <c r="K116" t="s">
        <v>235</v>
      </c>
      <c r="L116" t="s">
        <v>177</v>
      </c>
      <c r="M116" t="s">
        <v>208</v>
      </c>
      <c r="N116" t="s">
        <v>189</v>
      </c>
      <c r="O116" t="s">
        <v>190</v>
      </c>
    </row>
    <row r="117" spans="1:15" x14ac:dyDescent="0.25">
      <c r="A117" t="s">
        <v>172</v>
      </c>
      <c r="B117" t="s">
        <v>173</v>
      </c>
      <c r="C117" s="61">
        <v>46160</v>
      </c>
      <c r="D117">
        <v>23504</v>
      </c>
      <c r="E117">
        <v>676</v>
      </c>
      <c r="F117" t="s">
        <v>184</v>
      </c>
      <c r="G117" t="s">
        <v>205</v>
      </c>
      <c r="H117">
        <v>3724600</v>
      </c>
      <c r="I117" t="s">
        <v>234</v>
      </c>
      <c r="J117" t="s">
        <v>177</v>
      </c>
      <c r="K117" t="s">
        <v>235</v>
      </c>
      <c r="L117" t="s">
        <v>177</v>
      </c>
      <c r="M117" t="s">
        <v>208</v>
      </c>
      <c r="N117" t="s">
        <v>189</v>
      </c>
      <c r="O117" t="s">
        <v>190</v>
      </c>
    </row>
    <row r="118" spans="1:15" x14ac:dyDescent="0.25">
      <c r="A118" t="s">
        <v>172</v>
      </c>
      <c r="B118" t="s">
        <v>173</v>
      </c>
      <c r="C118" s="61">
        <v>46160</v>
      </c>
      <c r="D118">
        <v>23505</v>
      </c>
      <c r="E118">
        <v>677</v>
      </c>
      <c r="F118" t="s">
        <v>184</v>
      </c>
      <c r="G118" t="s">
        <v>205</v>
      </c>
      <c r="H118">
        <v>4500000</v>
      </c>
      <c r="I118" t="s">
        <v>234</v>
      </c>
      <c r="J118" t="s">
        <v>177</v>
      </c>
      <c r="K118" t="s">
        <v>235</v>
      </c>
      <c r="L118" t="s">
        <v>177</v>
      </c>
      <c r="M118" t="s">
        <v>208</v>
      </c>
      <c r="N118" t="s">
        <v>189</v>
      </c>
      <c r="O118" t="s">
        <v>190</v>
      </c>
    </row>
    <row r="119" spans="1:15" x14ac:dyDescent="0.25">
      <c r="A119" t="s">
        <v>172</v>
      </c>
      <c r="B119" t="s">
        <v>173</v>
      </c>
      <c r="C119" s="61">
        <v>46160</v>
      </c>
      <c r="D119">
        <v>23510</v>
      </c>
      <c r="E119">
        <v>66288756</v>
      </c>
      <c r="F119" t="s">
        <v>184</v>
      </c>
      <c r="G119" t="s">
        <v>195</v>
      </c>
      <c r="H119">
        <v>10766250</v>
      </c>
      <c r="I119" t="s">
        <v>230</v>
      </c>
      <c r="J119" t="s">
        <v>177</v>
      </c>
      <c r="K119" t="s">
        <v>231</v>
      </c>
      <c r="L119" t="s">
        <v>177</v>
      </c>
      <c r="M119" t="s">
        <v>198</v>
      </c>
      <c r="N119" t="s">
        <v>189</v>
      </c>
      <c r="O119" t="s">
        <v>190</v>
      </c>
    </row>
    <row r="120" spans="1:15" x14ac:dyDescent="0.25">
      <c r="A120" t="s">
        <v>172</v>
      </c>
      <c r="B120" t="s">
        <v>173</v>
      </c>
      <c r="C120" s="61">
        <v>46160</v>
      </c>
      <c r="D120">
        <v>23511</v>
      </c>
      <c r="E120">
        <v>66288779</v>
      </c>
      <c r="F120" t="s">
        <v>184</v>
      </c>
      <c r="G120" t="s">
        <v>195</v>
      </c>
      <c r="H120">
        <v>9000000</v>
      </c>
      <c r="I120" t="s">
        <v>230</v>
      </c>
      <c r="J120" t="s">
        <v>177</v>
      </c>
      <c r="K120" t="s">
        <v>231</v>
      </c>
      <c r="L120" t="s">
        <v>177</v>
      </c>
      <c r="M120" t="s">
        <v>198</v>
      </c>
      <c r="N120" t="s">
        <v>189</v>
      </c>
      <c r="O120" t="s">
        <v>190</v>
      </c>
    </row>
    <row r="121" spans="1:15" x14ac:dyDescent="0.25">
      <c r="A121" t="s">
        <v>172</v>
      </c>
      <c r="B121" t="s">
        <v>173</v>
      </c>
      <c r="C121" s="61">
        <v>46160</v>
      </c>
      <c r="D121">
        <v>23514</v>
      </c>
      <c r="E121">
        <v>29133200</v>
      </c>
      <c r="F121" t="s">
        <v>184</v>
      </c>
      <c r="G121" t="s">
        <v>217</v>
      </c>
      <c r="H121">
        <v>9455600</v>
      </c>
      <c r="I121" t="s">
        <v>219</v>
      </c>
      <c r="J121" t="s">
        <v>177</v>
      </c>
      <c r="K121" t="s">
        <v>220</v>
      </c>
      <c r="L121" t="s">
        <v>177</v>
      </c>
      <c r="M121" t="s">
        <v>218</v>
      </c>
      <c r="N121" t="s">
        <v>189</v>
      </c>
      <c r="O121" t="s">
        <v>190</v>
      </c>
    </row>
    <row r="122" spans="1:15" x14ac:dyDescent="0.25">
      <c r="A122" t="s">
        <v>172</v>
      </c>
      <c r="B122" t="s">
        <v>173</v>
      </c>
      <c r="C122" s="61">
        <v>46160</v>
      </c>
      <c r="D122">
        <v>23531</v>
      </c>
      <c r="E122">
        <v>4960</v>
      </c>
      <c r="F122" t="s">
        <v>184</v>
      </c>
      <c r="G122" t="s">
        <v>191</v>
      </c>
      <c r="H122">
        <v>1864135</v>
      </c>
      <c r="I122" t="s">
        <v>211</v>
      </c>
      <c r="J122" t="s">
        <v>177</v>
      </c>
      <c r="K122" t="s">
        <v>212</v>
      </c>
      <c r="L122" t="s">
        <v>177</v>
      </c>
      <c r="M122" t="s">
        <v>194</v>
      </c>
      <c r="N122" t="s">
        <v>189</v>
      </c>
      <c r="O122" t="s">
        <v>190</v>
      </c>
    </row>
    <row r="123" spans="1:15" x14ac:dyDescent="0.25">
      <c r="A123" t="s">
        <v>172</v>
      </c>
      <c r="B123" t="s">
        <v>173</v>
      </c>
      <c r="C123" s="61">
        <v>46160</v>
      </c>
      <c r="D123">
        <v>23555</v>
      </c>
      <c r="E123">
        <v>78055884</v>
      </c>
      <c r="F123" t="s">
        <v>184</v>
      </c>
      <c r="G123" t="s">
        <v>191</v>
      </c>
      <c r="H123">
        <v>500000</v>
      </c>
      <c r="I123" t="s">
        <v>192</v>
      </c>
      <c r="J123" t="s">
        <v>177</v>
      </c>
      <c r="K123" t="s">
        <v>193</v>
      </c>
      <c r="L123" t="s">
        <v>177</v>
      </c>
      <c r="M123" t="s">
        <v>194</v>
      </c>
      <c r="N123" t="s">
        <v>189</v>
      </c>
      <c r="O123" t="s">
        <v>190</v>
      </c>
    </row>
    <row r="124" spans="1:15" x14ac:dyDescent="0.25">
      <c r="A124" t="s">
        <v>172</v>
      </c>
      <c r="B124" t="s">
        <v>173</v>
      </c>
      <c r="C124" s="61">
        <v>46160</v>
      </c>
      <c r="D124">
        <v>23562</v>
      </c>
      <c r="E124">
        <v>78055892</v>
      </c>
      <c r="F124" t="s">
        <v>184</v>
      </c>
      <c r="G124" t="s">
        <v>191</v>
      </c>
      <c r="H124">
        <v>890000</v>
      </c>
      <c r="I124" t="s">
        <v>192</v>
      </c>
      <c r="J124" t="s">
        <v>177</v>
      </c>
      <c r="K124" t="s">
        <v>193</v>
      </c>
      <c r="L124" t="s">
        <v>177</v>
      </c>
      <c r="M124" t="s">
        <v>194</v>
      </c>
      <c r="N124" t="s">
        <v>189</v>
      </c>
      <c r="O124" t="s">
        <v>190</v>
      </c>
    </row>
    <row r="125" spans="1:15" x14ac:dyDescent="0.25">
      <c r="A125" t="s">
        <v>172</v>
      </c>
      <c r="B125" t="s">
        <v>173</v>
      </c>
      <c r="C125" s="61">
        <v>46160</v>
      </c>
      <c r="D125">
        <v>23577</v>
      </c>
      <c r="E125">
        <v>125</v>
      </c>
      <c r="F125" t="s">
        <v>184</v>
      </c>
      <c r="G125" t="s">
        <v>205</v>
      </c>
      <c r="H125">
        <v>3000314.05</v>
      </c>
      <c r="I125" t="s">
        <v>238</v>
      </c>
      <c r="J125" t="s">
        <v>177</v>
      </c>
      <c r="K125" t="s">
        <v>239</v>
      </c>
      <c r="L125" t="s">
        <v>177</v>
      </c>
      <c r="M125" t="s">
        <v>208</v>
      </c>
      <c r="N125" t="s">
        <v>189</v>
      </c>
      <c r="O125" t="s">
        <v>190</v>
      </c>
    </row>
    <row r="126" spans="1:15" x14ac:dyDescent="0.25">
      <c r="A126" t="s">
        <v>172</v>
      </c>
      <c r="B126" t="s">
        <v>173</v>
      </c>
      <c r="C126" s="61">
        <v>46160</v>
      </c>
      <c r="D126">
        <v>23578</v>
      </c>
      <c r="E126">
        <v>126</v>
      </c>
      <c r="F126" t="s">
        <v>184</v>
      </c>
      <c r="G126" t="s">
        <v>205</v>
      </c>
      <c r="H126">
        <v>3500000</v>
      </c>
      <c r="I126" t="s">
        <v>238</v>
      </c>
      <c r="J126" t="s">
        <v>177</v>
      </c>
      <c r="K126" t="s">
        <v>239</v>
      </c>
      <c r="L126" t="s">
        <v>177</v>
      </c>
      <c r="M126" t="s">
        <v>208</v>
      </c>
      <c r="N126" t="s">
        <v>189</v>
      </c>
      <c r="O126" t="s">
        <v>190</v>
      </c>
    </row>
    <row r="127" spans="1:15" x14ac:dyDescent="0.25">
      <c r="A127" t="s">
        <v>172</v>
      </c>
      <c r="B127" t="s">
        <v>173</v>
      </c>
      <c r="C127" s="61">
        <v>46160</v>
      </c>
      <c r="D127">
        <v>23579</v>
      </c>
      <c r="E127">
        <v>127</v>
      </c>
      <c r="F127" t="s">
        <v>184</v>
      </c>
      <c r="G127" t="s">
        <v>205</v>
      </c>
      <c r="H127">
        <v>3024000</v>
      </c>
      <c r="I127" t="s">
        <v>238</v>
      </c>
      <c r="J127" t="s">
        <v>177</v>
      </c>
      <c r="K127" t="s">
        <v>239</v>
      </c>
      <c r="L127" t="s">
        <v>177</v>
      </c>
      <c r="M127" t="s">
        <v>208</v>
      </c>
      <c r="N127" t="s">
        <v>189</v>
      </c>
      <c r="O127" t="s">
        <v>190</v>
      </c>
    </row>
    <row r="128" spans="1:15" x14ac:dyDescent="0.25">
      <c r="A128" t="s">
        <v>172</v>
      </c>
      <c r="B128" t="s">
        <v>173</v>
      </c>
      <c r="C128" s="61">
        <v>46160</v>
      </c>
      <c r="D128">
        <v>23580</v>
      </c>
      <c r="E128">
        <v>128</v>
      </c>
      <c r="F128" t="s">
        <v>184</v>
      </c>
      <c r="G128" t="s">
        <v>205</v>
      </c>
      <c r="H128">
        <v>2000000</v>
      </c>
      <c r="I128" t="s">
        <v>238</v>
      </c>
      <c r="J128" t="s">
        <v>177</v>
      </c>
      <c r="K128" t="s">
        <v>239</v>
      </c>
      <c r="L128" t="s">
        <v>177</v>
      </c>
      <c r="M128" t="s">
        <v>208</v>
      </c>
      <c r="N128" t="s">
        <v>189</v>
      </c>
      <c r="O128" t="s">
        <v>190</v>
      </c>
    </row>
    <row r="129" spans="1:15" x14ac:dyDescent="0.25">
      <c r="A129" t="s">
        <v>172</v>
      </c>
      <c r="B129" t="s">
        <v>173</v>
      </c>
      <c r="C129" s="61">
        <v>46160</v>
      </c>
      <c r="D129">
        <v>23584</v>
      </c>
      <c r="E129">
        <v>66612046</v>
      </c>
      <c r="F129" t="s">
        <v>184</v>
      </c>
      <c r="G129" t="s">
        <v>195</v>
      </c>
      <c r="H129">
        <v>13057192.01</v>
      </c>
      <c r="I129" t="s">
        <v>230</v>
      </c>
      <c r="J129" t="s">
        <v>177</v>
      </c>
      <c r="K129" t="s">
        <v>231</v>
      </c>
      <c r="L129" t="s">
        <v>177</v>
      </c>
      <c r="M129" t="s">
        <v>198</v>
      </c>
      <c r="N129" t="s">
        <v>189</v>
      </c>
      <c r="O129" t="s">
        <v>190</v>
      </c>
    </row>
    <row r="130" spans="1:15" x14ac:dyDescent="0.25">
      <c r="A130" t="s">
        <v>172</v>
      </c>
      <c r="B130" t="s">
        <v>173</v>
      </c>
      <c r="C130" s="61">
        <v>46160</v>
      </c>
      <c r="D130">
        <v>23597</v>
      </c>
      <c r="E130">
        <v>78055898</v>
      </c>
      <c r="F130" t="s">
        <v>184</v>
      </c>
      <c r="G130" t="s">
        <v>191</v>
      </c>
      <c r="H130">
        <v>960000</v>
      </c>
      <c r="I130" t="s">
        <v>192</v>
      </c>
      <c r="J130" t="s">
        <v>177</v>
      </c>
      <c r="K130" t="s">
        <v>193</v>
      </c>
      <c r="L130" t="s">
        <v>177</v>
      </c>
      <c r="M130" t="s">
        <v>194</v>
      </c>
      <c r="N130" t="s">
        <v>189</v>
      </c>
      <c r="O130" t="s">
        <v>190</v>
      </c>
    </row>
    <row r="131" spans="1:15" x14ac:dyDescent="0.25">
      <c r="A131" t="s">
        <v>172</v>
      </c>
      <c r="B131" t="s">
        <v>173</v>
      </c>
      <c r="C131" s="61">
        <v>46160</v>
      </c>
      <c r="D131">
        <v>23607</v>
      </c>
      <c r="E131">
        <v>90018038</v>
      </c>
      <c r="F131" t="s">
        <v>184</v>
      </c>
      <c r="G131" t="s">
        <v>213</v>
      </c>
      <c r="H131">
        <v>9684400</v>
      </c>
      <c r="I131" t="s">
        <v>214</v>
      </c>
      <c r="J131" t="s">
        <v>177</v>
      </c>
      <c r="K131" t="s">
        <v>215</v>
      </c>
      <c r="L131" t="s">
        <v>177</v>
      </c>
      <c r="M131" t="s">
        <v>216</v>
      </c>
      <c r="N131" t="s">
        <v>189</v>
      </c>
      <c r="O131" t="s">
        <v>190</v>
      </c>
    </row>
    <row r="132" spans="1:15" x14ac:dyDescent="0.25">
      <c r="A132" t="s">
        <v>172</v>
      </c>
      <c r="B132" t="s">
        <v>173</v>
      </c>
      <c r="C132" s="61">
        <v>46160</v>
      </c>
      <c r="D132">
        <v>23616</v>
      </c>
      <c r="E132">
        <v>4629</v>
      </c>
      <c r="F132" t="s">
        <v>184</v>
      </c>
      <c r="G132" t="s">
        <v>205</v>
      </c>
      <c r="H132">
        <v>1300000</v>
      </c>
      <c r="I132" t="s">
        <v>209</v>
      </c>
      <c r="J132" t="s">
        <v>177</v>
      </c>
      <c r="K132" t="s">
        <v>210</v>
      </c>
      <c r="L132" t="s">
        <v>177</v>
      </c>
      <c r="M132" t="s">
        <v>208</v>
      </c>
      <c r="N132" t="s">
        <v>189</v>
      </c>
      <c r="O132" t="s">
        <v>190</v>
      </c>
    </row>
    <row r="133" spans="1:15" x14ac:dyDescent="0.25">
      <c r="A133" t="s">
        <v>172</v>
      </c>
      <c r="B133" t="s">
        <v>173</v>
      </c>
      <c r="C133" s="61">
        <v>46161</v>
      </c>
      <c r="D133">
        <v>23431</v>
      </c>
      <c r="E133">
        <v>29057186</v>
      </c>
      <c r="F133" t="s">
        <v>184</v>
      </c>
      <c r="G133" t="s">
        <v>217</v>
      </c>
      <c r="H133">
        <v>30901040</v>
      </c>
      <c r="I133" t="s">
        <v>219</v>
      </c>
      <c r="J133" t="s">
        <v>177</v>
      </c>
      <c r="K133" t="s">
        <v>220</v>
      </c>
      <c r="L133" t="s">
        <v>177</v>
      </c>
      <c r="M133" t="s">
        <v>218</v>
      </c>
      <c r="N133" t="s">
        <v>189</v>
      </c>
      <c r="O133" t="s">
        <v>190</v>
      </c>
    </row>
    <row r="134" spans="1:15" x14ac:dyDescent="0.25">
      <c r="A134" t="s">
        <v>172</v>
      </c>
      <c r="B134" t="s">
        <v>173</v>
      </c>
      <c r="C134" s="61">
        <v>46161</v>
      </c>
      <c r="D134">
        <v>23478</v>
      </c>
      <c r="E134">
        <v>29117287</v>
      </c>
      <c r="F134" t="s">
        <v>184</v>
      </c>
      <c r="G134" t="s">
        <v>217</v>
      </c>
      <c r="H134">
        <v>10216372.48</v>
      </c>
      <c r="I134" t="s">
        <v>201</v>
      </c>
      <c r="J134" t="s">
        <v>177</v>
      </c>
      <c r="K134" t="s">
        <v>202</v>
      </c>
      <c r="L134" t="s">
        <v>177</v>
      </c>
      <c r="M134" t="s">
        <v>218</v>
      </c>
      <c r="N134" t="s">
        <v>189</v>
      </c>
      <c r="O134" t="s">
        <v>190</v>
      </c>
    </row>
    <row r="135" spans="1:15" x14ac:dyDescent="0.25">
      <c r="A135" t="s">
        <v>172</v>
      </c>
      <c r="B135" t="s">
        <v>173</v>
      </c>
      <c r="C135" s="61">
        <v>46161</v>
      </c>
      <c r="D135">
        <v>23482</v>
      </c>
      <c r="E135">
        <v>9583076</v>
      </c>
      <c r="F135" t="s">
        <v>184</v>
      </c>
      <c r="G135" t="s">
        <v>180</v>
      </c>
      <c r="H135">
        <v>11530750</v>
      </c>
      <c r="I135" t="s">
        <v>199</v>
      </c>
      <c r="J135" t="s">
        <v>177</v>
      </c>
      <c r="K135" t="s">
        <v>200</v>
      </c>
      <c r="L135" t="s">
        <v>177</v>
      </c>
      <c r="M135" t="s">
        <v>183</v>
      </c>
      <c r="N135" t="s">
        <v>189</v>
      </c>
      <c r="O135" t="s">
        <v>190</v>
      </c>
    </row>
    <row r="136" spans="1:15" x14ac:dyDescent="0.25">
      <c r="A136" t="s">
        <v>172</v>
      </c>
      <c r="B136" t="s">
        <v>173</v>
      </c>
      <c r="C136" s="61">
        <v>46161</v>
      </c>
      <c r="D136">
        <v>23500</v>
      </c>
      <c r="E136">
        <v>4576</v>
      </c>
      <c r="F136" t="s">
        <v>184</v>
      </c>
      <c r="G136" t="s">
        <v>205</v>
      </c>
      <c r="H136">
        <v>949750</v>
      </c>
      <c r="I136" t="s">
        <v>209</v>
      </c>
      <c r="J136" t="s">
        <v>177</v>
      </c>
      <c r="K136" t="s">
        <v>210</v>
      </c>
      <c r="L136" t="s">
        <v>177</v>
      </c>
      <c r="M136" t="s">
        <v>208</v>
      </c>
      <c r="N136" t="s">
        <v>189</v>
      </c>
      <c r="O136" t="s">
        <v>190</v>
      </c>
    </row>
    <row r="137" spans="1:15" x14ac:dyDescent="0.25">
      <c r="A137" t="s">
        <v>172</v>
      </c>
      <c r="B137" t="s">
        <v>173</v>
      </c>
      <c r="C137" s="61">
        <v>46161</v>
      </c>
      <c r="D137">
        <v>23556</v>
      </c>
      <c r="E137">
        <v>78055885</v>
      </c>
      <c r="F137" t="s">
        <v>184</v>
      </c>
      <c r="G137" t="s">
        <v>191</v>
      </c>
      <c r="H137">
        <v>500000</v>
      </c>
      <c r="I137" t="s">
        <v>192</v>
      </c>
      <c r="J137" t="s">
        <v>177</v>
      </c>
      <c r="K137" t="s">
        <v>193</v>
      </c>
      <c r="L137" t="s">
        <v>177</v>
      </c>
      <c r="M137" t="s">
        <v>194</v>
      </c>
      <c r="N137" t="s">
        <v>189</v>
      </c>
      <c r="O137" t="s">
        <v>190</v>
      </c>
    </row>
    <row r="138" spans="1:15" x14ac:dyDescent="0.25">
      <c r="A138" t="s">
        <v>172</v>
      </c>
      <c r="B138" t="s">
        <v>173</v>
      </c>
      <c r="C138" s="61">
        <v>46161</v>
      </c>
      <c r="D138">
        <v>23563</v>
      </c>
      <c r="E138">
        <v>78055893</v>
      </c>
      <c r="F138" t="s">
        <v>184</v>
      </c>
      <c r="G138" t="s">
        <v>191</v>
      </c>
      <c r="H138">
        <v>890000</v>
      </c>
      <c r="I138" t="s">
        <v>192</v>
      </c>
      <c r="J138" t="s">
        <v>177</v>
      </c>
      <c r="K138" t="s">
        <v>193</v>
      </c>
      <c r="L138" t="s">
        <v>177</v>
      </c>
      <c r="M138" t="s">
        <v>194</v>
      </c>
      <c r="N138" t="s">
        <v>189</v>
      </c>
      <c r="O138" t="s">
        <v>190</v>
      </c>
    </row>
    <row r="139" spans="1:15" x14ac:dyDescent="0.25">
      <c r="A139" t="s">
        <v>172</v>
      </c>
      <c r="B139" t="s">
        <v>173</v>
      </c>
      <c r="C139" s="61">
        <v>46161</v>
      </c>
      <c r="D139">
        <v>23598</v>
      </c>
      <c r="E139">
        <v>78055899</v>
      </c>
      <c r="F139" t="s">
        <v>184</v>
      </c>
      <c r="G139" t="s">
        <v>191</v>
      </c>
      <c r="H139">
        <v>960000</v>
      </c>
      <c r="I139" t="s">
        <v>192</v>
      </c>
      <c r="J139" t="s">
        <v>177</v>
      </c>
      <c r="K139" t="s">
        <v>193</v>
      </c>
      <c r="L139" t="s">
        <v>177</v>
      </c>
      <c r="M139" t="s">
        <v>194</v>
      </c>
      <c r="N139" t="s">
        <v>189</v>
      </c>
      <c r="O139" t="s">
        <v>190</v>
      </c>
    </row>
    <row r="140" spans="1:15" x14ac:dyDescent="0.25">
      <c r="A140" t="s">
        <v>172</v>
      </c>
      <c r="B140" t="s">
        <v>173</v>
      </c>
      <c r="C140" s="61">
        <v>46161</v>
      </c>
      <c r="D140">
        <v>23617</v>
      </c>
      <c r="E140">
        <v>4630</v>
      </c>
      <c r="F140" t="s">
        <v>184</v>
      </c>
      <c r="G140" t="s">
        <v>205</v>
      </c>
      <c r="H140">
        <v>1300000</v>
      </c>
      <c r="I140" t="s">
        <v>209</v>
      </c>
      <c r="J140" t="s">
        <v>177</v>
      </c>
      <c r="K140" t="s">
        <v>210</v>
      </c>
      <c r="L140" t="s">
        <v>177</v>
      </c>
      <c r="M140" t="s">
        <v>208</v>
      </c>
      <c r="N140" t="s">
        <v>189</v>
      </c>
      <c r="O140" t="s">
        <v>190</v>
      </c>
    </row>
    <row r="141" spans="1:15" x14ac:dyDescent="0.25">
      <c r="A141" t="s">
        <v>172</v>
      </c>
      <c r="B141" t="s">
        <v>173</v>
      </c>
      <c r="C141" s="61">
        <v>46162</v>
      </c>
      <c r="D141">
        <v>23582</v>
      </c>
      <c r="E141">
        <v>1368</v>
      </c>
      <c r="F141" t="s">
        <v>184</v>
      </c>
      <c r="G141" t="s">
        <v>205</v>
      </c>
      <c r="H141">
        <v>26000000</v>
      </c>
      <c r="I141" t="s">
        <v>206</v>
      </c>
      <c r="J141" t="s">
        <v>177</v>
      </c>
      <c r="K141" t="s">
        <v>207</v>
      </c>
      <c r="L141" t="s">
        <v>177</v>
      </c>
      <c r="M141" t="s">
        <v>208</v>
      </c>
      <c r="N141" t="s">
        <v>189</v>
      </c>
      <c r="O141" t="s">
        <v>190</v>
      </c>
    </row>
    <row r="142" spans="1:15" x14ac:dyDescent="0.25">
      <c r="A142" t="s">
        <v>172</v>
      </c>
      <c r="B142" t="s">
        <v>173</v>
      </c>
      <c r="C142" s="61">
        <v>46162</v>
      </c>
      <c r="D142">
        <v>23586</v>
      </c>
      <c r="E142">
        <v>66486598</v>
      </c>
      <c r="F142" t="s">
        <v>184</v>
      </c>
      <c r="G142" t="s">
        <v>195</v>
      </c>
      <c r="H142">
        <v>5000000</v>
      </c>
      <c r="I142" t="s">
        <v>196</v>
      </c>
      <c r="J142" t="s">
        <v>177</v>
      </c>
      <c r="K142" t="s">
        <v>197</v>
      </c>
      <c r="L142" t="s">
        <v>177</v>
      </c>
      <c r="M142" t="s">
        <v>198</v>
      </c>
      <c r="N142" t="s">
        <v>189</v>
      </c>
      <c r="O142" t="s">
        <v>190</v>
      </c>
    </row>
    <row r="143" spans="1:15" x14ac:dyDescent="0.25">
      <c r="A143" t="s">
        <v>172</v>
      </c>
      <c r="B143" t="s">
        <v>173</v>
      </c>
      <c r="C143" s="61">
        <v>46162</v>
      </c>
      <c r="D143">
        <v>23618</v>
      </c>
      <c r="E143">
        <v>4631</v>
      </c>
      <c r="F143" t="s">
        <v>184</v>
      </c>
      <c r="G143" t="s">
        <v>205</v>
      </c>
      <c r="H143">
        <v>1300000</v>
      </c>
      <c r="I143" t="s">
        <v>209</v>
      </c>
      <c r="J143" t="s">
        <v>177</v>
      </c>
      <c r="K143" t="s">
        <v>210</v>
      </c>
      <c r="L143" t="s">
        <v>177</v>
      </c>
      <c r="M143" t="s">
        <v>208</v>
      </c>
      <c r="N143" t="s">
        <v>189</v>
      </c>
      <c r="O143" t="s">
        <v>190</v>
      </c>
    </row>
    <row r="144" spans="1:15" x14ac:dyDescent="0.25">
      <c r="A144" t="s">
        <v>172</v>
      </c>
      <c r="B144" t="s">
        <v>173</v>
      </c>
      <c r="C144" s="61">
        <v>46163</v>
      </c>
      <c r="D144">
        <v>23532</v>
      </c>
      <c r="E144">
        <v>1</v>
      </c>
      <c r="F144" t="s">
        <v>184</v>
      </c>
      <c r="G144" t="s">
        <v>175</v>
      </c>
      <c r="H144">
        <v>14034570</v>
      </c>
      <c r="I144" t="s">
        <v>199</v>
      </c>
      <c r="J144" t="s">
        <v>177</v>
      </c>
      <c r="K144" t="s">
        <v>200</v>
      </c>
      <c r="L144" t="s">
        <v>177</v>
      </c>
      <c r="M144" t="s">
        <v>179</v>
      </c>
      <c r="N144" t="s">
        <v>189</v>
      </c>
      <c r="O144" t="s">
        <v>190</v>
      </c>
    </row>
    <row r="145" spans="1:15" x14ac:dyDescent="0.25">
      <c r="A145" t="s">
        <v>172</v>
      </c>
      <c r="B145" t="s">
        <v>173</v>
      </c>
      <c r="C145" s="61">
        <v>46163</v>
      </c>
      <c r="D145">
        <v>23533</v>
      </c>
      <c r="E145">
        <v>13378069</v>
      </c>
      <c r="F145" t="s">
        <v>184</v>
      </c>
      <c r="G145" t="s">
        <v>185</v>
      </c>
      <c r="H145">
        <v>2465900</v>
      </c>
      <c r="I145" t="s">
        <v>186</v>
      </c>
      <c r="J145" t="s">
        <v>177</v>
      </c>
      <c r="K145" t="s">
        <v>187</v>
      </c>
      <c r="L145" t="s">
        <v>177</v>
      </c>
      <c r="M145" t="s">
        <v>188</v>
      </c>
      <c r="N145" t="s">
        <v>189</v>
      </c>
      <c r="O145" t="s">
        <v>190</v>
      </c>
    </row>
    <row r="146" spans="1:15" x14ac:dyDescent="0.25">
      <c r="A146" t="s">
        <v>172</v>
      </c>
      <c r="B146" t="s">
        <v>173</v>
      </c>
      <c r="C146" s="61">
        <v>46163</v>
      </c>
      <c r="D146">
        <v>23557</v>
      </c>
      <c r="E146">
        <v>78055886</v>
      </c>
      <c r="F146" t="s">
        <v>184</v>
      </c>
      <c r="G146" t="s">
        <v>191</v>
      </c>
      <c r="H146">
        <v>500000</v>
      </c>
      <c r="I146" t="s">
        <v>192</v>
      </c>
      <c r="J146" t="s">
        <v>177</v>
      </c>
      <c r="K146" t="s">
        <v>193</v>
      </c>
      <c r="L146" t="s">
        <v>177</v>
      </c>
      <c r="M146" t="s">
        <v>194</v>
      </c>
      <c r="N146" t="s">
        <v>189</v>
      </c>
      <c r="O146" t="s">
        <v>190</v>
      </c>
    </row>
    <row r="147" spans="1:15" x14ac:dyDescent="0.25">
      <c r="A147" t="s">
        <v>172</v>
      </c>
      <c r="B147" t="s">
        <v>173</v>
      </c>
      <c r="C147" s="61">
        <v>46163</v>
      </c>
      <c r="D147">
        <v>23564</v>
      </c>
      <c r="E147">
        <v>78055894</v>
      </c>
      <c r="F147" t="s">
        <v>184</v>
      </c>
      <c r="G147" t="s">
        <v>191</v>
      </c>
      <c r="H147">
        <v>890000</v>
      </c>
      <c r="I147" t="s">
        <v>192</v>
      </c>
      <c r="J147" t="s">
        <v>177</v>
      </c>
      <c r="K147" t="s">
        <v>193</v>
      </c>
      <c r="L147" t="s">
        <v>177</v>
      </c>
      <c r="M147" t="s">
        <v>194</v>
      </c>
      <c r="N147" t="s">
        <v>189</v>
      </c>
      <c r="O147" t="s">
        <v>190</v>
      </c>
    </row>
    <row r="148" spans="1:15" x14ac:dyDescent="0.25">
      <c r="A148" t="s">
        <v>172</v>
      </c>
      <c r="B148" t="s">
        <v>173</v>
      </c>
      <c r="C148" s="61">
        <v>46163</v>
      </c>
      <c r="D148">
        <v>23599</v>
      </c>
      <c r="E148">
        <v>78055900</v>
      </c>
      <c r="F148" t="s">
        <v>184</v>
      </c>
      <c r="G148" t="s">
        <v>191</v>
      </c>
      <c r="H148">
        <v>960000</v>
      </c>
      <c r="I148" t="s">
        <v>192</v>
      </c>
      <c r="J148" t="s">
        <v>177</v>
      </c>
      <c r="K148" t="s">
        <v>193</v>
      </c>
      <c r="L148" t="s">
        <v>177</v>
      </c>
      <c r="M148" t="s">
        <v>194</v>
      </c>
      <c r="N148" t="s">
        <v>189</v>
      </c>
      <c r="O148" t="s">
        <v>190</v>
      </c>
    </row>
    <row r="149" spans="1:15" x14ac:dyDescent="0.25">
      <c r="A149" t="s">
        <v>172</v>
      </c>
      <c r="B149" t="s">
        <v>173</v>
      </c>
      <c r="C149" s="61">
        <v>46164</v>
      </c>
      <c r="D149">
        <v>23534</v>
      </c>
      <c r="E149">
        <v>13378070</v>
      </c>
      <c r="F149" t="s">
        <v>184</v>
      </c>
      <c r="G149" t="s">
        <v>185</v>
      </c>
      <c r="H149">
        <v>2500000</v>
      </c>
      <c r="I149" t="s">
        <v>186</v>
      </c>
      <c r="J149" t="s">
        <v>177</v>
      </c>
      <c r="K149" t="s">
        <v>187</v>
      </c>
      <c r="L149" t="s">
        <v>177</v>
      </c>
      <c r="M149" t="s">
        <v>188</v>
      </c>
      <c r="N149" t="s">
        <v>189</v>
      </c>
      <c r="O149" t="s">
        <v>190</v>
      </c>
    </row>
    <row r="150" spans="1:15" x14ac:dyDescent="0.25">
      <c r="A150" t="s">
        <v>172</v>
      </c>
      <c r="B150" t="s">
        <v>173</v>
      </c>
      <c r="C150" s="61">
        <v>46164</v>
      </c>
      <c r="D150">
        <v>23538</v>
      </c>
      <c r="E150">
        <v>5214</v>
      </c>
      <c r="F150" t="s">
        <v>184</v>
      </c>
      <c r="G150" t="s">
        <v>191</v>
      </c>
      <c r="H150">
        <v>1373700</v>
      </c>
      <c r="I150" t="s">
        <v>211</v>
      </c>
      <c r="J150" t="s">
        <v>177</v>
      </c>
      <c r="K150" t="s">
        <v>212</v>
      </c>
      <c r="L150" t="s">
        <v>177</v>
      </c>
      <c r="M150" t="s">
        <v>194</v>
      </c>
      <c r="N150" t="s">
        <v>189</v>
      </c>
      <c r="O150" t="s">
        <v>190</v>
      </c>
    </row>
    <row r="151" spans="1:15" x14ac:dyDescent="0.25">
      <c r="A151" t="s">
        <v>172</v>
      </c>
      <c r="B151" t="s">
        <v>173</v>
      </c>
      <c r="C151" s="61">
        <v>46164</v>
      </c>
      <c r="D151">
        <v>23548</v>
      </c>
      <c r="E151">
        <v>1280</v>
      </c>
      <c r="F151" t="s">
        <v>184</v>
      </c>
      <c r="G151" t="s">
        <v>205</v>
      </c>
      <c r="H151">
        <v>5603667.5499999998</v>
      </c>
      <c r="I151" t="s">
        <v>201</v>
      </c>
      <c r="J151" t="s">
        <v>177</v>
      </c>
      <c r="K151" t="s">
        <v>202</v>
      </c>
      <c r="L151" t="s">
        <v>177</v>
      </c>
      <c r="M151" t="s">
        <v>208</v>
      </c>
      <c r="N151" t="s">
        <v>189</v>
      </c>
      <c r="O151" t="s">
        <v>190</v>
      </c>
    </row>
    <row r="152" spans="1:15" x14ac:dyDescent="0.25">
      <c r="A152" t="s">
        <v>172</v>
      </c>
      <c r="B152" t="s">
        <v>173</v>
      </c>
      <c r="C152" s="61">
        <v>46164</v>
      </c>
      <c r="D152">
        <v>23565</v>
      </c>
      <c r="E152">
        <v>78055895</v>
      </c>
      <c r="F152" t="s">
        <v>184</v>
      </c>
      <c r="G152" t="s">
        <v>191</v>
      </c>
      <c r="H152">
        <v>890000</v>
      </c>
      <c r="I152" t="s">
        <v>192</v>
      </c>
      <c r="J152" t="s">
        <v>177</v>
      </c>
      <c r="K152" t="s">
        <v>193</v>
      </c>
      <c r="L152" t="s">
        <v>177</v>
      </c>
      <c r="M152" t="s">
        <v>194</v>
      </c>
      <c r="N152" t="s">
        <v>189</v>
      </c>
      <c r="O152" t="s">
        <v>190</v>
      </c>
    </row>
    <row r="153" spans="1:15" x14ac:dyDescent="0.25">
      <c r="A153" t="s">
        <v>172</v>
      </c>
      <c r="B153" t="s">
        <v>173</v>
      </c>
      <c r="C153" s="61">
        <v>46164</v>
      </c>
      <c r="D153">
        <v>23566</v>
      </c>
      <c r="E153">
        <v>78055896</v>
      </c>
      <c r="F153" t="s">
        <v>184</v>
      </c>
      <c r="G153" t="s">
        <v>191</v>
      </c>
      <c r="H153">
        <v>890000</v>
      </c>
      <c r="I153" t="s">
        <v>192</v>
      </c>
      <c r="J153" t="s">
        <v>177</v>
      </c>
      <c r="K153" t="s">
        <v>193</v>
      </c>
      <c r="L153" t="s">
        <v>177</v>
      </c>
      <c r="M153" t="s">
        <v>194</v>
      </c>
      <c r="N153" t="s">
        <v>189</v>
      </c>
      <c r="O153" t="s">
        <v>190</v>
      </c>
    </row>
    <row r="154" spans="1:15" x14ac:dyDescent="0.25">
      <c r="A154" t="s">
        <v>172</v>
      </c>
      <c r="B154" t="s">
        <v>173</v>
      </c>
      <c r="C154" s="61">
        <v>46164</v>
      </c>
      <c r="D154">
        <v>23568</v>
      </c>
      <c r="E154">
        <v>8055887</v>
      </c>
      <c r="F154" t="s">
        <v>184</v>
      </c>
      <c r="G154" t="s">
        <v>191</v>
      </c>
      <c r="H154">
        <v>525400</v>
      </c>
      <c r="I154" t="s">
        <v>192</v>
      </c>
      <c r="J154" t="s">
        <v>177</v>
      </c>
      <c r="K154" t="s">
        <v>193</v>
      </c>
      <c r="L154" t="s">
        <v>177</v>
      </c>
      <c r="M154" t="s">
        <v>194</v>
      </c>
      <c r="N154" t="s">
        <v>189</v>
      </c>
      <c r="O154" t="s">
        <v>190</v>
      </c>
    </row>
    <row r="155" spans="1:15" x14ac:dyDescent="0.25">
      <c r="A155" t="s">
        <v>172</v>
      </c>
      <c r="B155" t="s">
        <v>173</v>
      </c>
      <c r="C155" s="61">
        <v>46164</v>
      </c>
      <c r="D155">
        <v>23583</v>
      </c>
      <c r="E155">
        <v>1369</v>
      </c>
      <c r="F155" t="s">
        <v>184</v>
      </c>
      <c r="G155" t="s">
        <v>205</v>
      </c>
      <c r="H155">
        <v>26348155</v>
      </c>
      <c r="I155" t="s">
        <v>206</v>
      </c>
      <c r="J155" t="s">
        <v>177</v>
      </c>
      <c r="K155" t="s">
        <v>207</v>
      </c>
      <c r="L155" t="s">
        <v>177</v>
      </c>
      <c r="M155" t="s">
        <v>208</v>
      </c>
      <c r="N155" t="s">
        <v>189</v>
      </c>
      <c r="O155" t="s">
        <v>190</v>
      </c>
    </row>
    <row r="156" spans="1:15" x14ac:dyDescent="0.25">
      <c r="A156" t="s">
        <v>172</v>
      </c>
      <c r="B156" t="s">
        <v>173</v>
      </c>
      <c r="C156" s="61">
        <v>46164</v>
      </c>
      <c r="D156">
        <v>23592</v>
      </c>
      <c r="E156">
        <v>6800188</v>
      </c>
      <c r="F156" t="s">
        <v>184</v>
      </c>
      <c r="G156" t="s">
        <v>217</v>
      </c>
      <c r="H156">
        <v>16576560</v>
      </c>
      <c r="I156" t="s">
        <v>244</v>
      </c>
      <c r="J156" t="s">
        <v>177</v>
      </c>
      <c r="K156" t="s">
        <v>245</v>
      </c>
      <c r="L156" t="s">
        <v>177</v>
      </c>
      <c r="M156" t="s">
        <v>218</v>
      </c>
      <c r="N156" t="s">
        <v>189</v>
      </c>
      <c r="O156" t="s">
        <v>190</v>
      </c>
    </row>
    <row r="157" spans="1:15" x14ac:dyDescent="0.25">
      <c r="A157" t="s">
        <v>172</v>
      </c>
      <c r="B157" t="s">
        <v>173</v>
      </c>
      <c r="C157" s="61">
        <v>46164</v>
      </c>
      <c r="D157">
        <v>23600</v>
      </c>
      <c r="E157">
        <v>78055901</v>
      </c>
      <c r="F157" t="s">
        <v>184</v>
      </c>
      <c r="G157" t="s">
        <v>191</v>
      </c>
      <c r="H157">
        <v>960000</v>
      </c>
      <c r="I157" t="s">
        <v>192</v>
      </c>
      <c r="J157" t="s">
        <v>177</v>
      </c>
      <c r="K157" t="s">
        <v>193</v>
      </c>
      <c r="L157" t="s">
        <v>177</v>
      </c>
      <c r="M157" t="s">
        <v>194</v>
      </c>
      <c r="N157" t="s">
        <v>189</v>
      </c>
      <c r="O157" t="s">
        <v>190</v>
      </c>
    </row>
    <row r="158" spans="1:15" x14ac:dyDescent="0.25">
      <c r="A158" t="s">
        <v>172</v>
      </c>
      <c r="B158" t="s">
        <v>173</v>
      </c>
      <c r="C158" s="61">
        <v>46164</v>
      </c>
      <c r="D158">
        <v>23608</v>
      </c>
      <c r="E158">
        <v>90018039</v>
      </c>
      <c r="F158" t="s">
        <v>184</v>
      </c>
      <c r="G158" t="s">
        <v>213</v>
      </c>
      <c r="H158">
        <v>9640400</v>
      </c>
      <c r="I158" t="s">
        <v>214</v>
      </c>
      <c r="J158" t="s">
        <v>177</v>
      </c>
      <c r="K158" t="s">
        <v>215</v>
      </c>
      <c r="L158" t="s">
        <v>177</v>
      </c>
      <c r="M158" t="s">
        <v>216</v>
      </c>
      <c r="N158" t="s">
        <v>189</v>
      </c>
      <c r="O158" t="s">
        <v>190</v>
      </c>
    </row>
    <row r="159" spans="1:15" x14ac:dyDescent="0.25">
      <c r="A159" t="s">
        <v>172</v>
      </c>
      <c r="B159" t="s">
        <v>173</v>
      </c>
      <c r="C159" s="61">
        <v>46164</v>
      </c>
      <c r="D159">
        <v>23609</v>
      </c>
      <c r="E159">
        <v>4715</v>
      </c>
      <c r="F159" t="s">
        <v>184</v>
      </c>
      <c r="G159" t="s">
        <v>205</v>
      </c>
      <c r="H159">
        <v>1300000</v>
      </c>
      <c r="I159" t="s">
        <v>209</v>
      </c>
      <c r="J159" t="s">
        <v>177</v>
      </c>
      <c r="K159" t="s">
        <v>210</v>
      </c>
      <c r="L159" t="s">
        <v>177</v>
      </c>
      <c r="M159" t="s">
        <v>208</v>
      </c>
      <c r="N159" t="s">
        <v>189</v>
      </c>
      <c r="O159" t="s">
        <v>190</v>
      </c>
    </row>
    <row r="160" spans="1:15" x14ac:dyDescent="0.25">
      <c r="A160" t="s">
        <v>172</v>
      </c>
      <c r="B160" t="s">
        <v>173</v>
      </c>
      <c r="C160" s="61">
        <v>46164</v>
      </c>
      <c r="D160">
        <v>23619</v>
      </c>
      <c r="E160">
        <v>4632</v>
      </c>
      <c r="F160" t="s">
        <v>184</v>
      </c>
      <c r="G160" t="s">
        <v>205</v>
      </c>
      <c r="H160">
        <v>1300000</v>
      </c>
      <c r="I160" t="s">
        <v>209</v>
      </c>
      <c r="J160" t="s">
        <v>177</v>
      </c>
      <c r="K160" t="s">
        <v>210</v>
      </c>
      <c r="L160" t="s">
        <v>177</v>
      </c>
      <c r="M160" t="s">
        <v>208</v>
      </c>
      <c r="N160" t="s">
        <v>189</v>
      </c>
      <c r="O160" t="s">
        <v>190</v>
      </c>
    </row>
    <row r="161" spans="1:15" x14ac:dyDescent="0.25">
      <c r="A161" t="s">
        <v>172</v>
      </c>
      <c r="B161" t="s">
        <v>173</v>
      </c>
      <c r="C161" s="61">
        <v>46167</v>
      </c>
      <c r="D161">
        <v>23480</v>
      </c>
      <c r="E161">
        <v>6818</v>
      </c>
      <c r="F161" t="s">
        <v>184</v>
      </c>
      <c r="G161" t="s">
        <v>205</v>
      </c>
      <c r="H161">
        <v>22336160</v>
      </c>
      <c r="I161" t="s">
        <v>223</v>
      </c>
      <c r="J161" t="s">
        <v>177</v>
      </c>
      <c r="K161" t="s">
        <v>224</v>
      </c>
      <c r="L161" t="s">
        <v>177</v>
      </c>
      <c r="M161" t="s">
        <v>208</v>
      </c>
      <c r="N161" t="s">
        <v>189</v>
      </c>
      <c r="O161" t="s">
        <v>190</v>
      </c>
    </row>
    <row r="162" spans="1:15" x14ac:dyDescent="0.25">
      <c r="A162" t="s">
        <v>172</v>
      </c>
      <c r="B162" t="s">
        <v>173</v>
      </c>
      <c r="C162" s="61">
        <v>46167</v>
      </c>
      <c r="D162">
        <v>23501</v>
      </c>
      <c r="E162">
        <v>9487744</v>
      </c>
      <c r="F162" t="s">
        <v>184</v>
      </c>
      <c r="G162" t="s">
        <v>180</v>
      </c>
      <c r="H162">
        <v>8879287.4600000009</v>
      </c>
      <c r="I162" t="s">
        <v>232</v>
      </c>
      <c r="J162" t="s">
        <v>177</v>
      </c>
      <c r="K162" t="s">
        <v>233</v>
      </c>
      <c r="L162" t="s">
        <v>177</v>
      </c>
      <c r="M162" t="s">
        <v>183</v>
      </c>
      <c r="N162" t="s">
        <v>189</v>
      </c>
      <c r="O162" t="s">
        <v>190</v>
      </c>
    </row>
    <row r="163" spans="1:15" x14ac:dyDescent="0.25">
      <c r="A163" t="s">
        <v>172</v>
      </c>
      <c r="B163" t="s">
        <v>173</v>
      </c>
      <c r="C163" s="61">
        <v>46167</v>
      </c>
      <c r="D163">
        <v>23535</v>
      </c>
      <c r="E163">
        <v>13378071</v>
      </c>
      <c r="F163" t="s">
        <v>184</v>
      </c>
      <c r="G163" t="s">
        <v>185</v>
      </c>
      <c r="H163">
        <v>2500000</v>
      </c>
      <c r="I163" t="s">
        <v>186</v>
      </c>
      <c r="J163" t="s">
        <v>177</v>
      </c>
      <c r="K163" t="s">
        <v>187</v>
      </c>
      <c r="L163" t="s">
        <v>177</v>
      </c>
      <c r="M163" t="s">
        <v>188</v>
      </c>
      <c r="N163" t="s">
        <v>189</v>
      </c>
      <c r="O163" t="s">
        <v>190</v>
      </c>
    </row>
    <row r="164" spans="1:15" x14ac:dyDescent="0.25">
      <c r="A164" t="s">
        <v>172</v>
      </c>
      <c r="B164" t="s">
        <v>173</v>
      </c>
      <c r="C164" s="61">
        <v>46167</v>
      </c>
      <c r="D164">
        <v>23536</v>
      </c>
      <c r="E164">
        <v>13378072</v>
      </c>
      <c r="F164" t="s">
        <v>184</v>
      </c>
      <c r="G164" t="s">
        <v>185</v>
      </c>
      <c r="H164">
        <v>2500000</v>
      </c>
      <c r="I164" t="s">
        <v>186</v>
      </c>
      <c r="J164" t="s">
        <v>177</v>
      </c>
      <c r="K164" t="s">
        <v>187</v>
      </c>
      <c r="L164" t="s">
        <v>177</v>
      </c>
      <c r="M164" t="s">
        <v>188</v>
      </c>
      <c r="N164" t="s">
        <v>189</v>
      </c>
      <c r="O164" t="s">
        <v>190</v>
      </c>
    </row>
    <row r="165" spans="1:15" x14ac:dyDescent="0.25">
      <c r="A165" t="s">
        <v>172</v>
      </c>
      <c r="B165" t="s">
        <v>173</v>
      </c>
      <c r="C165" s="61">
        <v>46167</v>
      </c>
      <c r="D165">
        <v>23537</v>
      </c>
      <c r="E165">
        <v>13378073</v>
      </c>
      <c r="F165" t="s">
        <v>184</v>
      </c>
      <c r="G165" t="s">
        <v>185</v>
      </c>
      <c r="H165">
        <v>2500000</v>
      </c>
      <c r="I165" t="s">
        <v>186</v>
      </c>
      <c r="J165" t="s">
        <v>177</v>
      </c>
      <c r="K165" t="s">
        <v>187</v>
      </c>
      <c r="L165" t="s">
        <v>177</v>
      </c>
      <c r="M165" t="s">
        <v>188</v>
      </c>
      <c r="N165" t="s">
        <v>189</v>
      </c>
      <c r="O165" t="s">
        <v>190</v>
      </c>
    </row>
    <row r="166" spans="1:15" x14ac:dyDescent="0.25">
      <c r="A166" t="s">
        <v>172</v>
      </c>
      <c r="B166" t="s">
        <v>173</v>
      </c>
      <c r="C166" s="61">
        <v>46167</v>
      </c>
      <c r="D166">
        <v>23585</v>
      </c>
      <c r="E166">
        <v>66612110</v>
      </c>
      <c r="F166" t="s">
        <v>184</v>
      </c>
      <c r="G166" t="s">
        <v>195</v>
      </c>
      <c r="H166">
        <v>14000000</v>
      </c>
      <c r="I166" t="s">
        <v>230</v>
      </c>
      <c r="J166" t="s">
        <v>177</v>
      </c>
      <c r="K166" t="s">
        <v>231</v>
      </c>
      <c r="L166" t="s">
        <v>177</v>
      </c>
      <c r="M166" t="s">
        <v>198</v>
      </c>
      <c r="N166" t="s">
        <v>189</v>
      </c>
      <c r="O166" t="s">
        <v>190</v>
      </c>
    </row>
    <row r="167" spans="1:15" x14ac:dyDescent="0.25">
      <c r="A167" t="s">
        <v>172</v>
      </c>
      <c r="B167" t="s">
        <v>173</v>
      </c>
      <c r="C167" s="61">
        <v>46167</v>
      </c>
      <c r="D167">
        <v>23589</v>
      </c>
      <c r="E167">
        <v>66487132</v>
      </c>
      <c r="F167" t="s">
        <v>184</v>
      </c>
      <c r="G167" t="s">
        <v>195</v>
      </c>
      <c r="H167">
        <v>4796000</v>
      </c>
      <c r="I167" t="s">
        <v>196</v>
      </c>
      <c r="J167" t="s">
        <v>177</v>
      </c>
      <c r="K167" t="s">
        <v>197</v>
      </c>
      <c r="L167" t="s">
        <v>177</v>
      </c>
      <c r="M167" t="s">
        <v>198</v>
      </c>
      <c r="N167" t="s">
        <v>189</v>
      </c>
      <c r="O167" t="s">
        <v>190</v>
      </c>
    </row>
    <row r="168" spans="1:15" x14ac:dyDescent="0.25">
      <c r="A168" t="s">
        <v>172</v>
      </c>
      <c r="B168" t="s">
        <v>173</v>
      </c>
      <c r="C168" s="61">
        <v>46168</v>
      </c>
      <c r="D168">
        <v>23567</v>
      </c>
      <c r="E168">
        <v>78055897</v>
      </c>
      <c r="F168" t="s">
        <v>184</v>
      </c>
      <c r="G168" t="s">
        <v>191</v>
      </c>
      <c r="H168">
        <v>907700</v>
      </c>
      <c r="I168" t="s">
        <v>192</v>
      </c>
      <c r="J168" t="s">
        <v>177</v>
      </c>
      <c r="K168" t="s">
        <v>193</v>
      </c>
      <c r="L168" t="s">
        <v>177</v>
      </c>
      <c r="M168" t="s">
        <v>194</v>
      </c>
      <c r="N168" t="s">
        <v>189</v>
      </c>
      <c r="O168" t="s">
        <v>190</v>
      </c>
    </row>
    <row r="169" spans="1:15" x14ac:dyDescent="0.25">
      <c r="A169" t="s">
        <v>172</v>
      </c>
      <c r="B169" t="s">
        <v>173</v>
      </c>
      <c r="C169" s="61">
        <v>46168</v>
      </c>
      <c r="D169">
        <v>23601</v>
      </c>
      <c r="E169">
        <v>78055902</v>
      </c>
      <c r="F169" t="s">
        <v>184</v>
      </c>
      <c r="G169" t="s">
        <v>191</v>
      </c>
      <c r="H169">
        <v>960000</v>
      </c>
      <c r="I169" t="s">
        <v>192</v>
      </c>
      <c r="J169" t="s">
        <v>177</v>
      </c>
      <c r="K169" t="s">
        <v>193</v>
      </c>
      <c r="L169" t="s">
        <v>177</v>
      </c>
      <c r="M169" t="s">
        <v>194</v>
      </c>
      <c r="N169" t="s">
        <v>189</v>
      </c>
      <c r="O169" t="s">
        <v>190</v>
      </c>
    </row>
    <row r="170" spans="1:15" x14ac:dyDescent="0.25">
      <c r="A170" t="s">
        <v>172</v>
      </c>
      <c r="B170" t="s">
        <v>173</v>
      </c>
      <c r="C170" s="61">
        <v>46168</v>
      </c>
      <c r="D170">
        <v>23610</v>
      </c>
      <c r="E170">
        <v>4716</v>
      </c>
      <c r="F170" t="s">
        <v>184</v>
      </c>
      <c r="G170" t="s">
        <v>205</v>
      </c>
      <c r="H170">
        <v>1300000</v>
      </c>
      <c r="I170" t="s">
        <v>209</v>
      </c>
      <c r="J170" t="s">
        <v>177</v>
      </c>
      <c r="K170" t="s">
        <v>210</v>
      </c>
      <c r="L170" t="s">
        <v>177</v>
      </c>
      <c r="M170" t="s">
        <v>208</v>
      </c>
      <c r="N170" t="s">
        <v>189</v>
      </c>
      <c r="O170" t="s">
        <v>190</v>
      </c>
    </row>
    <row r="171" spans="1:15" x14ac:dyDescent="0.25">
      <c r="A171" t="s">
        <v>172</v>
      </c>
      <c r="B171" t="s">
        <v>173</v>
      </c>
      <c r="C171" s="61">
        <v>46168</v>
      </c>
      <c r="D171">
        <v>23620</v>
      </c>
      <c r="E171">
        <v>4633</v>
      </c>
      <c r="F171" t="s">
        <v>184</v>
      </c>
      <c r="G171" t="s">
        <v>205</v>
      </c>
      <c r="H171">
        <v>1162600</v>
      </c>
      <c r="I171" t="s">
        <v>209</v>
      </c>
      <c r="J171" t="s">
        <v>177</v>
      </c>
      <c r="K171" t="s">
        <v>210</v>
      </c>
      <c r="L171" t="s">
        <v>177</v>
      </c>
      <c r="M171" t="s">
        <v>208</v>
      </c>
      <c r="N171" t="s">
        <v>189</v>
      </c>
      <c r="O171" t="s">
        <v>190</v>
      </c>
    </row>
    <row r="172" spans="1:15" x14ac:dyDescent="0.25">
      <c r="A172" t="s">
        <v>172</v>
      </c>
      <c r="B172" t="s">
        <v>173</v>
      </c>
      <c r="C172" s="61">
        <v>46169</v>
      </c>
      <c r="D172">
        <v>23539</v>
      </c>
      <c r="E172">
        <v>16</v>
      </c>
      <c r="F172" t="s">
        <v>184</v>
      </c>
      <c r="G172" t="s">
        <v>175</v>
      </c>
      <c r="H172">
        <v>19042210</v>
      </c>
      <c r="I172" t="s">
        <v>199</v>
      </c>
      <c r="J172" t="s">
        <v>177</v>
      </c>
      <c r="K172" t="s">
        <v>200</v>
      </c>
      <c r="L172" t="s">
        <v>177</v>
      </c>
      <c r="M172" t="s">
        <v>179</v>
      </c>
      <c r="N172" t="s">
        <v>189</v>
      </c>
      <c r="O172" t="s">
        <v>190</v>
      </c>
    </row>
    <row r="173" spans="1:15" x14ac:dyDescent="0.25">
      <c r="A173" t="s">
        <v>172</v>
      </c>
      <c r="B173" t="s">
        <v>173</v>
      </c>
      <c r="C173" s="61">
        <v>46169</v>
      </c>
      <c r="D173">
        <v>23588</v>
      </c>
      <c r="E173">
        <v>66486893</v>
      </c>
      <c r="F173" t="s">
        <v>184</v>
      </c>
      <c r="G173" t="s">
        <v>195</v>
      </c>
      <c r="H173">
        <v>5000000</v>
      </c>
      <c r="I173" t="s">
        <v>196</v>
      </c>
      <c r="J173" t="s">
        <v>177</v>
      </c>
      <c r="K173" t="s">
        <v>197</v>
      </c>
      <c r="L173" t="s">
        <v>177</v>
      </c>
      <c r="M173" t="s">
        <v>198</v>
      </c>
      <c r="N173" t="s">
        <v>189</v>
      </c>
      <c r="O173" t="s">
        <v>190</v>
      </c>
    </row>
    <row r="174" spans="1:15" x14ac:dyDescent="0.25">
      <c r="A174" t="s">
        <v>172</v>
      </c>
      <c r="B174" t="s">
        <v>173</v>
      </c>
      <c r="C174" s="61">
        <v>46169</v>
      </c>
      <c r="D174">
        <v>23602</v>
      </c>
      <c r="E174">
        <v>78055903</v>
      </c>
      <c r="F174" t="s">
        <v>184</v>
      </c>
      <c r="G174" t="s">
        <v>191</v>
      </c>
      <c r="H174">
        <v>960000</v>
      </c>
      <c r="I174" t="s">
        <v>192</v>
      </c>
      <c r="J174" t="s">
        <v>177</v>
      </c>
      <c r="K174" t="s">
        <v>193</v>
      </c>
      <c r="L174" t="s">
        <v>177</v>
      </c>
      <c r="M174" t="s">
        <v>194</v>
      </c>
      <c r="N174" t="s">
        <v>189</v>
      </c>
      <c r="O174" t="s">
        <v>190</v>
      </c>
    </row>
    <row r="175" spans="1:15" x14ac:dyDescent="0.25">
      <c r="A175" t="s">
        <v>172</v>
      </c>
      <c r="B175" t="s">
        <v>173</v>
      </c>
      <c r="C175" s="61">
        <v>46169</v>
      </c>
      <c r="D175">
        <v>23611</v>
      </c>
      <c r="E175">
        <v>4717</v>
      </c>
      <c r="F175" t="s">
        <v>184</v>
      </c>
      <c r="G175" t="s">
        <v>205</v>
      </c>
      <c r="H175">
        <v>1300000</v>
      </c>
      <c r="I175" t="s">
        <v>209</v>
      </c>
      <c r="J175" t="s">
        <v>177</v>
      </c>
      <c r="K175" t="s">
        <v>210</v>
      </c>
      <c r="L175" t="s">
        <v>177</v>
      </c>
      <c r="M175" t="s">
        <v>208</v>
      </c>
      <c r="N175" t="s">
        <v>189</v>
      </c>
      <c r="O175" t="s">
        <v>190</v>
      </c>
    </row>
    <row r="176" spans="1:15" x14ac:dyDescent="0.25">
      <c r="A176" t="s">
        <v>172</v>
      </c>
      <c r="B176" t="s">
        <v>173</v>
      </c>
      <c r="C176" s="61">
        <v>46170</v>
      </c>
      <c r="D176">
        <v>23550</v>
      </c>
      <c r="E176">
        <v>29153824</v>
      </c>
      <c r="F176" t="s">
        <v>184</v>
      </c>
      <c r="G176" t="s">
        <v>217</v>
      </c>
      <c r="H176">
        <v>8049582.4500000002</v>
      </c>
      <c r="I176" t="s">
        <v>201</v>
      </c>
      <c r="J176" t="s">
        <v>177</v>
      </c>
      <c r="K176" t="s">
        <v>202</v>
      </c>
      <c r="L176" t="s">
        <v>177</v>
      </c>
      <c r="M176" t="s">
        <v>218</v>
      </c>
      <c r="N176" t="s">
        <v>189</v>
      </c>
      <c r="O176" t="s">
        <v>190</v>
      </c>
    </row>
    <row r="177" spans="1:15" x14ac:dyDescent="0.25">
      <c r="A177" t="s">
        <v>172</v>
      </c>
      <c r="B177" t="s">
        <v>173</v>
      </c>
      <c r="C177" s="61">
        <v>46170</v>
      </c>
      <c r="D177">
        <v>23603</v>
      </c>
      <c r="E177">
        <v>78055904</v>
      </c>
      <c r="F177" t="s">
        <v>184</v>
      </c>
      <c r="G177" t="s">
        <v>191</v>
      </c>
      <c r="H177">
        <v>960000</v>
      </c>
      <c r="I177" t="s">
        <v>192</v>
      </c>
      <c r="J177" t="s">
        <v>177</v>
      </c>
      <c r="K177" t="s">
        <v>193</v>
      </c>
      <c r="L177" t="s">
        <v>177</v>
      </c>
      <c r="M177" t="s">
        <v>194</v>
      </c>
      <c r="N177" t="s">
        <v>189</v>
      </c>
      <c r="O177" t="s">
        <v>190</v>
      </c>
    </row>
    <row r="178" spans="1:15" x14ac:dyDescent="0.25">
      <c r="A178" t="s">
        <v>172</v>
      </c>
      <c r="B178" t="s">
        <v>173</v>
      </c>
      <c r="C178" s="61">
        <v>46171</v>
      </c>
      <c r="D178">
        <v>23596</v>
      </c>
      <c r="E178">
        <v>5221</v>
      </c>
      <c r="F178" t="s">
        <v>184</v>
      </c>
      <c r="G178" t="s">
        <v>191</v>
      </c>
      <c r="H178">
        <v>1626750</v>
      </c>
      <c r="I178" t="s">
        <v>211</v>
      </c>
      <c r="J178" t="s">
        <v>177</v>
      </c>
      <c r="K178" t="s">
        <v>212</v>
      </c>
      <c r="L178" t="s">
        <v>177</v>
      </c>
      <c r="M178" t="s">
        <v>194</v>
      </c>
      <c r="N178" t="s">
        <v>189</v>
      </c>
      <c r="O178" t="s">
        <v>190</v>
      </c>
    </row>
    <row r="179" spans="1:15" x14ac:dyDescent="0.25">
      <c r="A179" t="s">
        <v>172</v>
      </c>
      <c r="B179" t="s">
        <v>173</v>
      </c>
      <c r="C179" s="61">
        <v>46171</v>
      </c>
      <c r="D179">
        <v>23604</v>
      </c>
      <c r="E179">
        <v>78055905</v>
      </c>
      <c r="F179" t="s">
        <v>184</v>
      </c>
      <c r="G179" t="s">
        <v>191</v>
      </c>
      <c r="H179">
        <v>960000</v>
      </c>
      <c r="I179" t="s">
        <v>192</v>
      </c>
      <c r="J179" t="s">
        <v>177</v>
      </c>
      <c r="K179" t="s">
        <v>193</v>
      </c>
      <c r="L179" t="s">
        <v>177</v>
      </c>
      <c r="M179" t="s">
        <v>194</v>
      </c>
      <c r="N179" t="s">
        <v>189</v>
      </c>
      <c r="O179" t="s">
        <v>190</v>
      </c>
    </row>
    <row r="180" spans="1:15" x14ac:dyDescent="0.25">
      <c r="A180" t="s">
        <v>172</v>
      </c>
      <c r="B180" t="s">
        <v>173</v>
      </c>
      <c r="C180" s="61">
        <v>46171</v>
      </c>
      <c r="D180">
        <v>23612</v>
      </c>
      <c r="E180">
        <v>4718</v>
      </c>
      <c r="F180" t="s">
        <v>184</v>
      </c>
      <c r="G180" t="s">
        <v>205</v>
      </c>
      <c r="H180">
        <v>1300000</v>
      </c>
      <c r="I180" t="s">
        <v>209</v>
      </c>
      <c r="J180" t="s">
        <v>177</v>
      </c>
      <c r="K180" t="s">
        <v>210</v>
      </c>
      <c r="L180" t="s">
        <v>177</v>
      </c>
      <c r="M180" t="s">
        <v>208</v>
      </c>
      <c r="N180" t="s">
        <v>189</v>
      </c>
      <c r="O180" t="s">
        <v>190</v>
      </c>
    </row>
    <row r="181" spans="1:15" x14ac:dyDescent="0.25">
      <c r="A181" t="s">
        <v>172</v>
      </c>
      <c r="B181" t="s">
        <v>173</v>
      </c>
      <c r="C181" s="61">
        <v>46174</v>
      </c>
      <c r="D181">
        <v>23540</v>
      </c>
      <c r="E181">
        <v>6894</v>
      </c>
      <c r="F181" t="s">
        <v>184</v>
      </c>
      <c r="G181" t="s">
        <v>205</v>
      </c>
      <c r="H181">
        <v>19015040</v>
      </c>
      <c r="I181" t="s">
        <v>223</v>
      </c>
      <c r="J181" t="s">
        <v>177</v>
      </c>
      <c r="K181" t="s">
        <v>224</v>
      </c>
      <c r="L181" t="s">
        <v>177</v>
      </c>
      <c r="M181" t="s">
        <v>208</v>
      </c>
      <c r="N181" t="s">
        <v>189</v>
      </c>
      <c r="O181" t="s">
        <v>190</v>
      </c>
    </row>
    <row r="182" spans="1:15" x14ac:dyDescent="0.25">
      <c r="A182" t="s">
        <v>172</v>
      </c>
      <c r="B182" t="s">
        <v>173</v>
      </c>
      <c r="C182" s="61">
        <v>46174</v>
      </c>
      <c r="D182">
        <v>23605</v>
      </c>
      <c r="E182">
        <v>78055906</v>
      </c>
      <c r="F182" t="s">
        <v>184</v>
      </c>
      <c r="G182" t="s">
        <v>191</v>
      </c>
      <c r="H182">
        <v>960000</v>
      </c>
      <c r="I182" t="s">
        <v>192</v>
      </c>
      <c r="J182" t="s">
        <v>177</v>
      </c>
      <c r="K182" t="s">
        <v>193</v>
      </c>
      <c r="L182" t="s">
        <v>177</v>
      </c>
      <c r="M182" t="s">
        <v>194</v>
      </c>
      <c r="N182" t="s">
        <v>189</v>
      </c>
      <c r="O182" t="s">
        <v>190</v>
      </c>
    </row>
    <row r="183" spans="1:15" x14ac:dyDescent="0.25">
      <c r="A183" t="s">
        <v>172</v>
      </c>
      <c r="B183" t="s">
        <v>173</v>
      </c>
      <c r="C183" s="61">
        <v>46175</v>
      </c>
      <c r="D183">
        <v>23595</v>
      </c>
      <c r="E183">
        <v>66643962</v>
      </c>
      <c r="F183" t="s">
        <v>184</v>
      </c>
      <c r="G183" t="s">
        <v>195</v>
      </c>
      <c r="H183">
        <v>4457800</v>
      </c>
      <c r="I183" t="s">
        <v>196</v>
      </c>
      <c r="J183" t="s">
        <v>177</v>
      </c>
      <c r="K183" t="s">
        <v>197</v>
      </c>
      <c r="L183" t="s">
        <v>177</v>
      </c>
      <c r="M183" t="s">
        <v>198</v>
      </c>
      <c r="N183" t="s">
        <v>189</v>
      </c>
      <c r="O183" t="s">
        <v>190</v>
      </c>
    </row>
    <row r="184" spans="1:15" x14ac:dyDescent="0.25">
      <c r="A184" t="s">
        <v>172</v>
      </c>
      <c r="B184" t="s">
        <v>173</v>
      </c>
      <c r="C184" s="61">
        <v>46175</v>
      </c>
      <c r="D184">
        <v>23606</v>
      </c>
      <c r="E184">
        <v>78055907</v>
      </c>
      <c r="F184" t="s">
        <v>184</v>
      </c>
      <c r="G184" t="s">
        <v>191</v>
      </c>
      <c r="H184">
        <v>943200</v>
      </c>
      <c r="I184" t="s">
        <v>192</v>
      </c>
      <c r="J184" t="s">
        <v>177</v>
      </c>
      <c r="K184" t="s">
        <v>193</v>
      </c>
      <c r="L184" t="s">
        <v>177</v>
      </c>
      <c r="M184" t="s">
        <v>194</v>
      </c>
      <c r="N184" t="s">
        <v>189</v>
      </c>
      <c r="O184" t="s">
        <v>190</v>
      </c>
    </row>
    <row r="185" spans="1:15" x14ac:dyDescent="0.25">
      <c r="A185" t="s">
        <v>172</v>
      </c>
      <c r="B185" t="s">
        <v>173</v>
      </c>
      <c r="C185" s="61">
        <v>46176</v>
      </c>
      <c r="D185">
        <v>23594</v>
      </c>
      <c r="E185">
        <v>66643850</v>
      </c>
      <c r="F185" t="s">
        <v>184</v>
      </c>
      <c r="G185" t="s">
        <v>195</v>
      </c>
      <c r="H185">
        <v>4400000</v>
      </c>
      <c r="I185" t="s">
        <v>196</v>
      </c>
      <c r="J185" t="s">
        <v>177</v>
      </c>
      <c r="K185" t="s">
        <v>197</v>
      </c>
      <c r="L185" t="s">
        <v>177</v>
      </c>
      <c r="M185" t="s">
        <v>198</v>
      </c>
      <c r="N185" t="s">
        <v>189</v>
      </c>
      <c r="O185" t="s">
        <v>190</v>
      </c>
    </row>
    <row r="186" spans="1:15" x14ac:dyDescent="0.25">
      <c r="A186" t="s">
        <v>172</v>
      </c>
      <c r="B186" t="s">
        <v>173</v>
      </c>
      <c r="C186" s="61">
        <v>46178</v>
      </c>
      <c r="D186">
        <v>23593</v>
      </c>
      <c r="E186">
        <v>6948</v>
      </c>
      <c r="F186" t="s">
        <v>184</v>
      </c>
      <c r="G186" t="s">
        <v>205</v>
      </c>
      <c r="H186">
        <v>17842880</v>
      </c>
      <c r="I186" t="s">
        <v>223</v>
      </c>
      <c r="J186" t="s">
        <v>177</v>
      </c>
      <c r="K186" t="s">
        <v>224</v>
      </c>
      <c r="L186" t="s">
        <v>177</v>
      </c>
      <c r="M186" t="s">
        <v>208</v>
      </c>
      <c r="N186" t="s">
        <v>189</v>
      </c>
      <c r="O186" t="s">
        <v>190</v>
      </c>
    </row>
    <row r="187" spans="1:15" x14ac:dyDescent="0.25">
      <c r="A187" t="s">
        <v>172</v>
      </c>
      <c r="B187" t="s">
        <v>173</v>
      </c>
      <c r="C187" s="61">
        <v>46178</v>
      </c>
      <c r="D187">
        <v>23613</v>
      </c>
      <c r="E187">
        <v>4719</v>
      </c>
      <c r="F187" t="s">
        <v>184</v>
      </c>
      <c r="G187" t="s">
        <v>205</v>
      </c>
      <c r="H187">
        <v>1300000</v>
      </c>
      <c r="I187" t="s">
        <v>209</v>
      </c>
      <c r="J187" t="s">
        <v>177</v>
      </c>
      <c r="K187" t="s">
        <v>210</v>
      </c>
      <c r="L187" t="s">
        <v>177</v>
      </c>
      <c r="M187" t="s">
        <v>208</v>
      </c>
      <c r="N187" t="s">
        <v>189</v>
      </c>
      <c r="O187" t="s">
        <v>190</v>
      </c>
    </row>
    <row r="188" spans="1:15" x14ac:dyDescent="0.25">
      <c r="A188" t="s">
        <v>172</v>
      </c>
      <c r="B188" t="s">
        <v>173</v>
      </c>
      <c r="C188" s="61">
        <v>46181</v>
      </c>
      <c r="D188">
        <v>23614</v>
      </c>
      <c r="E188">
        <v>4720</v>
      </c>
      <c r="F188" t="s">
        <v>184</v>
      </c>
      <c r="G188" t="s">
        <v>205</v>
      </c>
      <c r="H188">
        <v>949750</v>
      </c>
      <c r="I188" t="s">
        <v>209</v>
      </c>
      <c r="J188" t="s">
        <v>177</v>
      </c>
      <c r="K188" t="s">
        <v>210</v>
      </c>
      <c r="L188" t="s">
        <v>177</v>
      </c>
      <c r="M188" t="s">
        <v>208</v>
      </c>
      <c r="N188" t="s">
        <v>189</v>
      </c>
      <c r="O188" t="s">
        <v>190</v>
      </c>
    </row>
    <row r="189" spans="1:15" x14ac:dyDescent="0.25">
      <c r="A189" t="s">
        <v>172</v>
      </c>
      <c r="B189" t="s">
        <v>173</v>
      </c>
      <c r="C189" s="61">
        <v>46185</v>
      </c>
      <c r="D189">
        <v>23387</v>
      </c>
      <c r="E189">
        <v>6760642</v>
      </c>
      <c r="F189" t="s">
        <v>184</v>
      </c>
      <c r="G189" t="s">
        <v>217</v>
      </c>
      <c r="H189">
        <v>24824194.600000001</v>
      </c>
      <c r="I189" t="s">
        <v>244</v>
      </c>
      <c r="J189" t="s">
        <v>177</v>
      </c>
      <c r="K189" t="s">
        <v>245</v>
      </c>
      <c r="L189" t="s">
        <v>177</v>
      </c>
      <c r="M189" t="s">
        <v>218</v>
      </c>
      <c r="N189" t="s">
        <v>189</v>
      </c>
      <c r="O189" t="s">
        <v>190</v>
      </c>
    </row>
    <row r="190" spans="1:15" x14ac:dyDescent="0.25">
      <c r="A190" t="s">
        <v>172</v>
      </c>
      <c r="B190" t="s">
        <v>173</v>
      </c>
      <c r="C190" s="61">
        <v>46223</v>
      </c>
      <c r="D190">
        <v>23267</v>
      </c>
      <c r="E190">
        <v>3436588</v>
      </c>
      <c r="F190" t="s">
        <v>184</v>
      </c>
      <c r="G190" t="s">
        <v>240</v>
      </c>
      <c r="H190">
        <v>1934482.85</v>
      </c>
      <c r="I190" t="s">
        <v>241</v>
      </c>
      <c r="J190" t="s">
        <v>177</v>
      </c>
      <c r="K190" t="s">
        <v>242</v>
      </c>
      <c r="L190" t="s">
        <v>177</v>
      </c>
      <c r="M190" t="s">
        <v>243</v>
      </c>
      <c r="N190" t="s">
        <v>189</v>
      </c>
      <c r="O190" t="s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POSICION_NETA</vt:lpstr>
      <vt:lpstr>VENCIMIENTOS</vt:lpstr>
      <vt:lpstr>DIVISAS</vt:lpstr>
      <vt:lpstr>CREDITOS_EXTERIOR</vt:lpstr>
      <vt:lpstr>CARGA_DIARIA</vt:lpstr>
      <vt:lpstr>CHEQUES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2026-05-07T16:21:15Z</dcterms:modified>
  <dc:language>en-US</dc:language>
</cp:coreProperties>
</file>