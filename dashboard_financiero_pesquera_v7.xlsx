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M:\CONTABLE\EMPRESAS\Pedro Moscuzza e Hijos S.A\Nicolas\Dashboard\CF\"/>
    </mc:Choice>
  </mc:AlternateContent>
  <xr:revisionPtr revIDLastSave="0" documentId="13_ncr:1_{FCDED614-8D3B-431B-9FCC-505EAC576E53}" xr6:coauthVersionLast="47" xr6:coauthVersionMax="47" xr10:uidLastSave="{00000000-0000-0000-0000-000000000000}"/>
  <bookViews>
    <workbookView xWindow="-120" yWindow="-120" windowWidth="29040" windowHeight="15720" tabRatio="500" firstSheet="2" activeTab="7" xr2:uid="{00000000-000D-0000-FFFF-FFFF00000000}"/>
  </bookViews>
  <sheets>
    <sheet name="INSTRUCCIONES" sheetId="1" r:id="rId1"/>
    <sheet name="CARGA_DIARIA" sheetId="2" r:id="rId2"/>
    <sheet name="CREDITOS_EXTERIOR" sheetId="3" r:id="rId3"/>
    <sheet name="DIVISAS" sheetId="4" r:id="rId4"/>
    <sheet name="VENCIMIENTOS" sheetId="5" r:id="rId5"/>
    <sheet name="POSICION_NETA" sheetId="6" r:id="rId6"/>
    <sheet name="CHEQUES" sheetId="7" r:id="rId7"/>
    <sheet name="PROVEEDORES_LOCALES" sheetId="8" r:id="rId8"/>
    <sheet name="Hoja1" sheetId="10" r:id="rId9"/>
    <sheet name="PRESTAMOS_USD" sheetId="9" r:id="rId10"/>
  </sheets>
  <externalReferences>
    <externalReference r:id="rId11"/>
  </externalReferences>
  <definedNames>
    <definedName name="_xlnm._FilterDatabase" localSheetId="6" hidden="1">CHEQUES!$A$3:$K$29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8" i="8" l="1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C130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4" i="7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Q183" i="2"/>
  <c r="P183" i="2"/>
  <c r="L183" i="2"/>
  <c r="J183" i="2"/>
  <c r="I183" i="2"/>
  <c r="G183" i="2"/>
  <c r="F183" i="2"/>
  <c r="E183" i="2"/>
  <c r="D183" i="2"/>
  <c r="B22" i="9"/>
  <c r="AI182" i="2"/>
  <c r="AH182" i="2"/>
  <c r="AF182" i="2"/>
  <c r="AD182" i="2"/>
  <c r="AC182" i="2"/>
  <c r="AB182" i="2"/>
  <c r="AA182" i="2"/>
  <c r="Y182" i="2"/>
  <c r="X182" i="2"/>
  <c r="L182" i="2"/>
  <c r="J182" i="2"/>
  <c r="I182" i="2"/>
  <c r="H182" i="2"/>
  <c r="H183" i="2" s="1"/>
  <c r="G182" i="2"/>
  <c r="F182" i="2"/>
  <c r="E182" i="2"/>
  <c r="D182" i="2"/>
  <c r="AI181" i="2"/>
  <c r="AH181" i="2"/>
  <c r="AG181" i="2"/>
  <c r="AG182" i="2" s="1"/>
  <c r="AF181" i="2"/>
  <c r="AD181" i="2"/>
  <c r="AC181" i="2"/>
  <c r="AB181" i="2"/>
  <c r="AA181" i="2"/>
  <c r="Z181" i="2"/>
  <c r="Z182" i="2" s="1"/>
  <c r="Y181" i="2"/>
  <c r="X181" i="2"/>
  <c r="Q181" i="2"/>
  <c r="P181" i="2"/>
  <c r="J181" i="2"/>
  <c r="I181" i="2"/>
  <c r="G181" i="2"/>
  <c r="F181" i="2"/>
  <c r="E181" i="2"/>
  <c r="D181" i="2"/>
  <c r="AI180" i="2"/>
  <c r="AI179" i="2"/>
  <c r="AH180" i="2"/>
  <c r="AH179" i="2"/>
  <c r="AG180" i="2"/>
  <c r="AG179" i="2"/>
  <c r="AF180" i="2"/>
  <c r="AF179" i="2"/>
  <c r="AD180" i="2"/>
  <c r="AD179" i="2"/>
  <c r="AC180" i="2"/>
  <c r="AC179" i="2"/>
  <c r="AB180" i="2"/>
  <c r="AB179" i="2"/>
  <c r="Z180" i="2"/>
  <c r="Z179" i="2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F130" i="7"/>
  <c r="AI178" i="2"/>
  <c r="AI177" i="2"/>
  <c r="AI176" i="2"/>
  <c r="AI175" i="2"/>
  <c r="AH178" i="2"/>
  <c r="AH177" i="2"/>
  <c r="AH176" i="2"/>
  <c r="AH175" i="2"/>
  <c r="AG175" i="2"/>
  <c r="AG176" i="2" s="1"/>
  <c r="AG177" i="2" s="1"/>
  <c r="AG178" i="2" s="1"/>
  <c r="AF178" i="2"/>
  <c r="AF177" i="2"/>
  <c r="AF176" i="2"/>
  <c r="AF175" i="2"/>
  <c r="AD178" i="2"/>
  <c r="AD177" i="2"/>
  <c r="AD176" i="2"/>
  <c r="AD175" i="2"/>
  <c r="AC178" i="2"/>
  <c r="AC177" i="2"/>
  <c r="AC176" i="2"/>
  <c r="AC175" i="2"/>
  <c r="AI174" i="2"/>
  <c r="AI173" i="2"/>
  <c r="AI172" i="2"/>
  <c r="AI171" i="2"/>
  <c r="AI170" i="2"/>
  <c r="AH174" i="2"/>
  <c r="AH173" i="2"/>
  <c r="AH172" i="2"/>
  <c r="AH171" i="2"/>
  <c r="AH170" i="2"/>
  <c r="A170" i="2"/>
  <c r="A171" i="2" s="1"/>
  <c r="A172" i="2" s="1"/>
  <c r="A173" i="2" s="1"/>
  <c r="AI169" i="2"/>
  <c r="AH169" i="2"/>
  <c r="AG169" i="2"/>
  <c r="AG170" i="2" s="1"/>
  <c r="AG171" i="2" s="1"/>
  <c r="AG172" i="2" s="1"/>
  <c r="AG173" i="2" s="1"/>
  <c r="AG174" i="2" s="1"/>
  <c r="AF169" i="2"/>
  <c r="AC169" i="2"/>
  <c r="AC170" i="2" s="1"/>
  <c r="AC171" i="2" s="1"/>
  <c r="AC172" i="2" s="1"/>
  <c r="AC173" i="2" s="1"/>
  <c r="AC174" i="2" s="1"/>
  <c r="AA169" i="2"/>
  <c r="Z169" i="2"/>
  <c r="Z170" i="2" s="1"/>
  <c r="Z171" i="2" s="1"/>
  <c r="Z172" i="2" s="1"/>
  <c r="Z173" i="2" s="1"/>
  <c r="Z174" i="2" s="1"/>
  <c r="Z175" i="2" s="1"/>
  <c r="Z176" i="2" s="1"/>
  <c r="Z177" i="2" s="1"/>
  <c r="Z178" i="2" s="1"/>
  <c r="Y169" i="2"/>
  <c r="X169" i="2"/>
  <c r="V169" i="2"/>
  <c r="Q169" i="2"/>
  <c r="P169" i="2"/>
  <c r="J169" i="2"/>
  <c r="I169" i="2"/>
  <c r="H169" i="2"/>
  <c r="G169" i="2"/>
  <c r="F169" i="2"/>
  <c r="E169" i="2"/>
  <c r="D169" i="2"/>
  <c r="AI168" i="2"/>
  <c r="AI167" i="2"/>
  <c r="AH168" i="2"/>
  <c r="AH167" i="2"/>
  <c r="AG168" i="2"/>
  <c r="AG167" i="2"/>
  <c r="AF168" i="2"/>
  <c r="AF167" i="2"/>
  <c r="AC168" i="2"/>
  <c r="AC167" i="2"/>
  <c r="Z168" i="2"/>
  <c r="Z167" i="2"/>
  <c r="AI166" i="2"/>
  <c r="AH166" i="2"/>
  <c r="AF166" i="2"/>
  <c r="AD166" i="2"/>
  <c r="AD167" i="2" s="1"/>
  <c r="AD168" i="2" s="1"/>
  <c r="AD169" i="2" s="1"/>
  <c r="AD170" i="2" s="1"/>
  <c r="AD171" i="2" s="1"/>
  <c r="AD172" i="2" s="1"/>
  <c r="AD173" i="2" s="1"/>
  <c r="AD174" i="2" s="1"/>
  <c r="AC166" i="2"/>
  <c r="AA166" i="2"/>
  <c r="Y166" i="2"/>
  <c r="X166" i="2"/>
  <c r="Q166" i="2"/>
  <c r="P166" i="2"/>
  <c r="J166" i="2"/>
  <c r="I166" i="2"/>
  <c r="H166" i="2"/>
  <c r="G166" i="2"/>
  <c r="F166" i="2"/>
  <c r="E166" i="2"/>
  <c r="D166" i="2"/>
  <c r="AI165" i="2"/>
  <c r="AH165" i="2"/>
  <c r="AF165" i="2"/>
  <c r="AD165" i="2"/>
  <c r="AC165" i="2"/>
  <c r="AA165" i="2"/>
  <c r="Y165" i="2"/>
  <c r="X165" i="2"/>
  <c r="Q165" i="2"/>
  <c r="P165" i="2"/>
  <c r="L165" i="2"/>
  <c r="J165" i="2"/>
  <c r="I165" i="2"/>
  <c r="H165" i="2"/>
  <c r="G165" i="2"/>
  <c r="F165" i="2"/>
  <c r="E165" i="2"/>
  <c r="D165" i="2"/>
  <c r="B165" i="2"/>
  <c r="AI164" i="2"/>
  <c r="AH164" i="2"/>
  <c r="AF164" i="2"/>
  <c r="AD164" i="2"/>
  <c r="AC164" i="2"/>
  <c r="AA164" i="2"/>
  <c r="Y164" i="2"/>
  <c r="X164" i="2"/>
  <c r="Q164" i="2"/>
  <c r="P164" i="2"/>
  <c r="J164" i="2"/>
  <c r="I164" i="2"/>
  <c r="H164" i="2"/>
  <c r="G164" i="2"/>
  <c r="F164" i="2"/>
  <c r="E164" i="2"/>
  <c r="D164" i="2"/>
  <c r="AI163" i="2"/>
  <c r="AH163" i="2"/>
  <c r="AG163" i="2"/>
  <c r="AG164" i="2" s="1"/>
  <c r="AG165" i="2" s="1"/>
  <c r="AG166" i="2" s="1"/>
  <c r="AF163" i="2"/>
  <c r="AD163" i="2"/>
  <c r="AC163" i="2"/>
  <c r="AA163" i="2"/>
  <c r="Z163" i="2"/>
  <c r="Z164" i="2" s="1"/>
  <c r="Z165" i="2" s="1"/>
  <c r="Z166" i="2" s="1"/>
  <c r="Y163" i="2"/>
  <c r="X163" i="2"/>
  <c r="Q163" i="2"/>
  <c r="P163" i="2"/>
  <c r="J163" i="2"/>
  <c r="I163" i="2"/>
  <c r="H163" i="2"/>
  <c r="G163" i="2"/>
  <c r="F163" i="2"/>
  <c r="E163" i="2"/>
  <c r="D163" i="2"/>
  <c r="AJ162" i="2"/>
  <c r="AI162" i="2"/>
  <c r="AH162" i="2"/>
  <c r="AG162" i="2"/>
  <c r="AF162" i="2"/>
  <c r="AD162" i="2"/>
  <c r="AC162" i="2"/>
  <c r="AA162" i="2"/>
  <c r="Z162" i="2"/>
  <c r="Y162" i="2"/>
  <c r="X162" i="2"/>
  <c r="U162" i="2"/>
  <c r="Q162" i="2"/>
  <c r="P162" i="2"/>
  <c r="L162" i="2"/>
  <c r="J162" i="2"/>
  <c r="I162" i="2"/>
  <c r="H162" i="2"/>
  <c r="G162" i="2"/>
  <c r="F162" i="2"/>
  <c r="E162" i="2"/>
  <c r="D162" i="2"/>
  <c r="C268" i="8"/>
  <c r="AJ161" i="2"/>
  <c r="AI161" i="2"/>
  <c r="AH161" i="2"/>
  <c r="AF161" i="2"/>
  <c r="AD161" i="2"/>
  <c r="AC161" i="2"/>
  <c r="AB161" i="2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A161" i="2"/>
  <c r="Y161" i="2"/>
  <c r="X161" i="2"/>
  <c r="Q161" i="2"/>
  <c r="P161" i="2"/>
  <c r="L161" i="2"/>
  <c r="J161" i="2"/>
  <c r="I161" i="2"/>
  <c r="H161" i="2"/>
  <c r="G161" i="2"/>
  <c r="F161" i="2"/>
  <c r="E161" i="2"/>
  <c r="D161" i="2"/>
  <c r="AI160" i="2"/>
  <c r="AH160" i="2"/>
  <c r="AF160" i="2"/>
  <c r="AE160" i="2"/>
  <c r="AD160" i="2"/>
  <c r="AC160" i="2"/>
  <c r="AA160" i="2"/>
  <c r="Y160" i="2"/>
  <c r="X160" i="2"/>
  <c r="V160" i="2"/>
  <c r="Q160" i="2"/>
  <c r="J160" i="2"/>
  <c r="I160" i="2"/>
  <c r="H160" i="2"/>
  <c r="G160" i="2"/>
  <c r="F160" i="2"/>
  <c r="E160" i="2"/>
  <c r="D160" i="2"/>
  <c r="B160" i="2"/>
  <c r="A160" i="2"/>
  <c r="AI159" i="2"/>
  <c r="AI158" i="2"/>
  <c r="AH159" i="2"/>
  <c r="AH158" i="2"/>
  <c r="AF159" i="2"/>
  <c r="AF158" i="2"/>
  <c r="AE159" i="2"/>
  <c r="AE158" i="2"/>
  <c r="AD159" i="2"/>
  <c r="AD158" i="2"/>
  <c r="AC159" i="2"/>
  <c r="AC158" i="2"/>
  <c r="Z157" i="2"/>
  <c r="Z158" i="2" s="1"/>
  <c r="Z159" i="2" s="1"/>
  <c r="Z160" i="2" s="1"/>
  <c r="Z161" i="2" s="1"/>
  <c r="AA157" i="2"/>
  <c r="A158" i="2"/>
  <c r="A159" i="2" s="1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AI157" i="2"/>
  <c r="AH157" i="2"/>
  <c r="AG157" i="2"/>
  <c r="AG158" i="2" s="1"/>
  <c r="AG159" i="2" s="1"/>
  <c r="AG160" i="2" s="1"/>
  <c r="AG161" i="2" s="1"/>
  <c r="AF157" i="2"/>
  <c r="AE157" i="2"/>
  <c r="AD151" i="2"/>
  <c r="AD152" i="2" s="1"/>
  <c r="AD153" i="2" s="1"/>
  <c r="AD154" i="2" s="1"/>
  <c r="AD155" i="2" s="1"/>
  <c r="AD156" i="2" s="1"/>
  <c r="AD157" i="2" s="1"/>
  <c r="AB157" i="2"/>
  <c r="AB158" i="2" s="1"/>
  <c r="AB159" i="2" s="1"/>
  <c r="AB160" i="2" s="1"/>
  <c r="Y157" i="2"/>
  <c r="X157" i="2"/>
  <c r="U157" i="2"/>
  <c r="Q157" i="2"/>
  <c r="L157" i="2"/>
  <c r="J157" i="2"/>
  <c r="I157" i="2"/>
  <c r="H157" i="2"/>
  <c r="G157" i="2"/>
  <c r="F157" i="2"/>
  <c r="E157" i="2"/>
  <c r="F21" i="9"/>
  <c r="G21" i="9" s="1"/>
  <c r="H21" i="9" s="1"/>
  <c r="I21" i="9"/>
  <c r="F5" i="9"/>
  <c r="G5" i="9" s="1"/>
  <c r="H5" i="9" s="1"/>
  <c r="F6" i="9"/>
  <c r="F7" i="9"/>
  <c r="F8" i="9"/>
  <c r="F9" i="9"/>
  <c r="F10" i="9"/>
  <c r="F11" i="9"/>
  <c r="F12" i="9"/>
  <c r="F13" i="9"/>
  <c r="F14" i="9"/>
  <c r="G14" i="9" s="1"/>
  <c r="F15" i="9"/>
  <c r="G15" i="9" s="1"/>
  <c r="H15" i="9" s="1"/>
  <c r="F16" i="9"/>
  <c r="G16" i="9" s="1"/>
  <c r="H16" i="9" s="1"/>
  <c r="F17" i="9"/>
  <c r="G17" i="9" s="1"/>
  <c r="F18" i="9"/>
  <c r="G18" i="9" s="1"/>
  <c r="H18" i="9" s="1"/>
  <c r="F19" i="9"/>
  <c r="G19" i="9" s="1"/>
  <c r="H19" i="9" s="1"/>
  <c r="F20" i="9"/>
  <c r="G20" i="9" s="1"/>
  <c r="H20" i="9" s="1"/>
  <c r="I16" i="9"/>
  <c r="AI156" i="2"/>
  <c r="AI155" i="2"/>
  <c r="AH156" i="2"/>
  <c r="AH155" i="2"/>
  <c r="AG156" i="2"/>
  <c r="AG155" i="2"/>
  <c r="AF156" i="2"/>
  <c r="AF155" i="2"/>
  <c r="AE156" i="2"/>
  <c r="AE155" i="2"/>
  <c r="AB156" i="2"/>
  <c r="AB155" i="2"/>
  <c r="AA155" i="2"/>
  <c r="Z156" i="2"/>
  <c r="Z155" i="2"/>
  <c r="A155" i="2"/>
  <c r="A156" i="2" s="1"/>
  <c r="AJ153" i="2"/>
  <c r="AI154" i="2"/>
  <c r="AI153" i="2"/>
  <c r="AH154" i="2"/>
  <c r="AH153" i="2"/>
  <c r="AF154" i="2"/>
  <c r="AF153" i="2"/>
  <c r="AE154" i="2"/>
  <c r="AE153" i="2"/>
  <c r="AB154" i="2"/>
  <c r="AB153" i="2"/>
  <c r="A153" i="2"/>
  <c r="A154" i="2" s="1"/>
  <c r="AJ152" i="2"/>
  <c r="AI152" i="2"/>
  <c r="AH152" i="2"/>
  <c r="AF152" i="2"/>
  <c r="AE152" i="2"/>
  <c r="AC152" i="2"/>
  <c r="AC153" i="2" s="1"/>
  <c r="AC154" i="2" s="1"/>
  <c r="AC155" i="2" s="1"/>
  <c r="AC156" i="2" s="1"/>
  <c r="AC157" i="2" s="1"/>
  <c r="AB152" i="2"/>
  <c r="AA152" i="2"/>
  <c r="Y152" i="2"/>
  <c r="X152" i="2"/>
  <c r="Q152" i="2"/>
  <c r="O152" i="2"/>
  <c r="L152" i="2"/>
  <c r="J152" i="2"/>
  <c r="I152" i="2"/>
  <c r="H152" i="2"/>
  <c r="G152" i="2"/>
  <c r="F152" i="2"/>
  <c r="E152" i="2"/>
  <c r="D152" i="2"/>
  <c r="AJ151" i="2"/>
  <c r="AI151" i="2"/>
  <c r="AH151" i="2"/>
  <c r="AG151" i="2"/>
  <c r="AG152" i="2" s="1"/>
  <c r="AG153" i="2" s="1"/>
  <c r="AG154" i="2" s="1"/>
  <c r="AF151" i="2"/>
  <c r="AE151" i="2"/>
  <c r="AB151" i="2"/>
  <c r="AA151" i="2"/>
  <c r="Z151" i="2"/>
  <c r="Z152" i="2" s="1"/>
  <c r="Z153" i="2" s="1"/>
  <c r="Z154" i="2" s="1"/>
  <c r="Y151" i="2"/>
  <c r="X151" i="2"/>
  <c r="Q151" i="2"/>
  <c r="P151" i="2"/>
  <c r="L151" i="2"/>
  <c r="J151" i="2"/>
  <c r="I151" i="2"/>
  <c r="H151" i="2"/>
  <c r="G151" i="2"/>
  <c r="F151" i="2"/>
  <c r="E151" i="2"/>
  <c r="D151" i="2"/>
  <c r="AI150" i="2"/>
  <c r="AH150" i="2"/>
  <c r="AI149" i="2"/>
  <c r="AH149" i="2"/>
  <c r="AG150" i="2"/>
  <c r="AG149" i="2"/>
  <c r="AF150" i="2"/>
  <c r="AF149" i="2"/>
  <c r="AE150" i="2"/>
  <c r="AE149" i="2"/>
  <c r="AD150" i="2"/>
  <c r="AD149" i="2"/>
  <c r="AB150" i="2"/>
  <c r="AB149" i="2"/>
  <c r="Z150" i="2"/>
  <c r="Z149" i="2"/>
  <c r="AI148" i="2"/>
  <c r="AH148" i="2"/>
  <c r="AF148" i="2"/>
  <c r="AE148" i="2"/>
  <c r="AD148" i="2"/>
  <c r="AC148" i="2"/>
  <c r="AB148" i="2"/>
  <c r="AA148" i="2"/>
  <c r="Y148" i="2"/>
  <c r="X148" i="2"/>
  <c r="Q148" i="2"/>
  <c r="L148" i="2"/>
  <c r="J148" i="2"/>
  <c r="I148" i="2"/>
  <c r="H148" i="2"/>
  <c r="G148" i="2"/>
  <c r="F148" i="2"/>
  <c r="E148" i="2"/>
  <c r="D148" i="2"/>
  <c r="AI147" i="2"/>
  <c r="AH147" i="2"/>
  <c r="AF147" i="2"/>
  <c r="AE147" i="2"/>
  <c r="AD147" i="2"/>
  <c r="AA147" i="2"/>
  <c r="Y147" i="2"/>
  <c r="X147" i="2"/>
  <c r="Q147" i="2"/>
  <c r="P147" i="2"/>
  <c r="L147" i="2"/>
  <c r="J147" i="2"/>
  <c r="I147" i="2"/>
  <c r="F147" i="2"/>
  <c r="E147" i="2"/>
  <c r="D147" i="2"/>
  <c r="AI146" i="2"/>
  <c r="AI145" i="2"/>
  <c r="AH146" i="2"/>
  <c r="AH145" i="2"/>
  <c r="AG145" i="2"/>
  <c r="AG146" i="2" s="1"/>
  <c r="AG147" i="2" s="1"/>
  <c r="AG148" i="2" s="1"/>
  <c r="AE146" i="2"/>
  <c r="AE145" i="2"/>
  <c r="AD146" i="2"/>
  <c r="AD145" i="2"/>
  <c r="AC146" i="2"/>
  <c r="AC145" i="2"/>
  <c r="AB146" i="2"/>
  <c r="AB145" i="2"/>
  <c r="Z145" i="2"/>
  <c r="Z146" i="2" s="1"/>
  <c r="Z147" i="2" s="1"/>
  <c r="Z148" i="2" s="1"/>
  <c r="L146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U144" i="2"/>
  <c r="T144" i="2"/>
  <c r="Q144" i="2"/>
  <c r="P144" i="2"/>
  <c r="J144" i="2"/>
  <c r="I144" i="2"/>
  <c r="H144" i="2"/>
  <c r="G144" i="2"/>
  <c r="F144" i="2"/>
  <c r="E144" i="2"/>
  <c r="I15" i="9"/>
  <c r="AJ140" i="2"/>
  <c r="AI143" i="2"/>
  <c r="AI142" i="2"/>
  <c r="AI141" i="2"/>
  <c r="AI140" i="2"/>
  <c r="AH143" i="2"/>
  <c r="AH142" i="2"/>
  <c r="AH141" i="2"/>
  <c r="AH140" i="2"/>
  <c r="AD141" i="2"/>
  <c r="AD142" i="2" s="1"/>
  <c r="AD143" i="2" s="1"/>
  <c r="AD140" i="2"/>
  <c r="AB141" i="2"/>
  <c r="AB142" i="2" s="1"/>
  <c r="AB143" i="2" s="1"/>
  <c r="AB140" i="2"/>
  <c r="A140" i="2"/>
  <c r="A141" i="2" s="1"/>
  <c r="A142" i="2" s="1"/>
  <c r="I20" i="9"/>
  <c r="I19" i="9"/>
  <c r="AH139" i="2"/>
  <c r="AI139" i="2"/>
  <c r="AG139" i="2"/>
  <c r="AG140" i="2" s="1"/>
  <c r="AG141" i="2" s="1"/>
  <c r="AG142" i="2" s="1"/>
  <c r="AG143" i="2" s="1"/>
  <c r="AF139" i="2"/>
  <c r="AE139" i="2"/>
  <c r="AD139" i="2"/>
  <c r="AB139" i="2"/>
  <c r="AA139" i="2"/>
  <c r="Z139" i="2"/>
  <c r="Z140" i="2" s="1"/>
  <c r="Z141" i="2" s="1"/>
  <c r="Z142" i="2" s="1"/>
  <c r="Z143" i="2" s="1"/>
  <c r="Y139" i="2"/>
  <c r="X139" i="2"/>
  <c r="Q139" i="2"/>
  <c r="L139" i="2"/>
  <c r="J139" i="2"/>
  <c r="I139" i="2"/>
  <c r="H139" i="2"/>
  <c r="G139" i="2"/>
  <c r="F139" i="2"/>
  <c r="E139" i="2"/>
  <c r="D139" i="2"/>
  <c r="AD137" i="2"/>
  <c r="AD136" i="2"/>
  <c r="A136" i="2"/>
  <c r="A137" i="2" s="1"/>
  <c r="I18" i="9"/>
  <c r="P133" i="2"/>
  <c r="J133" i="2"/>
  <c r="J129" i="2"/>
  <c r="AD126" i="2"/>
  <c r="AD127" i="2" s="1"/>
  <c r="AD128" i="2" s="1"/>
  <c r="AD129" i="2" s="1"/>
  <c r="AD130" i="2" s="1"/>
  <c r="AD131" i="2" s="1"/>
  <c r="AD132" i="2" s="1"/>
  <c r="AD133" i="2" s="1"/>
  <c r="AD134" i="2" s="1"/>
  <c r="AD135" i="2" s="1"/>
  <c r="AC126" i="2"/>
  <c r="AC127" i="2" s="1"/>
  <c r="AC128" i="2" s="1"/>
  <c r="AC129" i="2" s="1"/>
  <c r="AC130" i="2" s="1"/>
  <c r="AC131" i="2" s="1"/>
  <c r="AC132" i="2" s="1"/>
  <c r="AC133" i="2" s="1"/>
  <c r="L128" i="2"/>
  <c r="A127" i="2"/>
  <c r="A128" i="2" s="1"/>
  <c r="A129" i="2" s="1"/>
  <c r="A130" i="2" s="1"/>
  <c r="A131" i="2" s="1"/>
  <c r="A132" i="2" s="1"/>
  <c r="AJ118" i="2"/>
  <c r="AJ119" i="2" s="1"/>
  <c r="AJ120" i="2" s="1"/>
  <c r="AE119" i="2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18" i="2"/>
  <c r="AD119" i="2"/>
  <c r="AD120" i="2" s="1"/>
  <c r="AD121" i="2" s="1"/>
  <c r="AD122" i="2" s="1"/>
  <c r="AD123" i="2" s="1"/>
  <c r="AD124" i="2" s="1"/>
  <c r="AD118" i="2"/>
  <c r="AB118" i="2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L121" i="2"/>
  <c r="A118" i="2"/>
  <c r="A119" i="2" s="1"/>
  <c r="A120" i="2" s="1"/>
  <c r="I17" i="9"/>
  <c r="I14" i="9"/>
  <c r="AJ117" i="2"/>
  <c r="AI117" i="2"/>
  <c r="AH117" i="2"/>
  <c r="AF117" i="2"/>
  <c r="AB117" i="2"/>
  <c r="AA117" i="2"/>
  <c r="Y117" i="2"/>
  <c r="X117" i="2"/>
  <c r="Q117" i="2"/>
  <c r="J117" i="2"/>
  <c r="I117" i="2"/>
  <c r="G117" i="2"/>
  <c r="F117" i="2"/>
  <c r="E117" i="2"/>
  <c r="D117" i="2"/>
  <c r="B117" i="2"/>
  <c r="AJ114" i="2"/>
  <c r="AI116" i="2"/>
  <c r="AI115" i="2"/>
  <c r="AI114" i="2"/>
  <c r="AH116" i="2"/>
  <c r="AH115" i="2"/>
  <c r="AH114" i="2"/>
  <c r="AE114" i="2"/>
  <c r="AE115" i="2" s="1"/>
  <c r="AE116" i="2" s="1"/>
  <c r="AD114" i="2"/>
  <c r="AD115" i="2" s="1"/>
  <c r="AD116" i="2" s="1"/>
  <c r="AC114" i="2"/>
  <c r="AC115" i="2" s="1"/>
  <c r="AC116" i="2" s="1"/>
  <c r="AB114" i="2"/>
  <c r="AB115" i="2" s="1"/>
  <c r="AB116" i="2" s="1"/>
  <c r="AJ113" i="2"/>
  <c r="AI113" i="2"/>
  <c r="AH113" i="2"/>
  <c r="AF113" i="2"/>
  <c r="AE113" i="2"/>
  <c r="AD113" i="2"/>
  <c r="AC113" i="2"/>
  <c r="AB113" i="2"/>
  <c r="AA113" i="2"/>
  <c r="Y113" i="2"/>
  <c r="X113" i="2"/>
  <c r="T113" i="2"/>
  <c r="P113" i="2"/>
  <c r="O113" i="2"/>
  <c r="L113" i="2"/>
  <c r="J113" i="2"/>
  <c r="I113" i="2"/>
  <c r="G113" i="2"/>
  <c r="F113" i="2"/>
  <c r="E113" i="2"/>
  <c r="D113" i="2"/>
  <c r="I9" i="9"/>
  <c r="I8" i="9"/>
  <c r="Q112" i="2"/>
  <c r="P112" i="2"/>
  <c r="O112" i="2"/>
  <c r="AJ112" i="2"/>
  <c r="AI112" i="2"/>
  <c r="AH112" i="2"/>
  <c r="AF112" i="2"/>
  <c r="AE112" i="2"/>
  <c r="AD112" i="2"/>
  <c r="AC112" i="2"/>
  <c r="AB112" i="2"/>
  <c r="AA112" i="2"/>
  <c r="Z112" i="2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Y112" i="2"/>
  <c r="X112" i="2"/>
  <c r="J112" i="2"/>
  <c r="I112" i="2"/>
  <c r="G112" i="2"/>
  <c r="F112" i="2"/>
  <c r="E112" i="2"/>
  <c r="D112" i="2"/>
  <c r="B112" i="2"/>
  <c r="AJ111" i="2"/>
  <c r="AI111" i="2"/>
  <c r="AH111" i="2"/>
  <c r="AF111" i="2"/>
  <c r="AE111" i="2"/>
  <c r="AD111" i="2"/>
  <c r="AC111" i="2"/>
  <c r="AB111" i="2"/>
  <c r="AA111" i="2"/>
  <c r="Y111" i="2"/>
  <c r="X111" i="2"/>
  <c r="L111" i="2"/>
  <c r="Q111" i="2"/>
  <c r="P111" i="2"/>
  <c r="O111" i="2"/>
  <c r="J111" i="2"/>
  <c r="I111" i="2"/>
  <c r="G111" i="2"/>
  <c r="F111" i="2"/>
  <c r="E111" i="2"/>
  <c r="D111" i="2"/>
  <c r="AJ110" i="2"/>
  <c r="AI110" i="2"/>
  <c r="AH110" i="2"/>
  <c r="AF110" i="2"/>
  <c r="AE110" i="2"/>
  <c r="AD110" i="2"/>
  <c r="AC110" i="2"/>
  <c r="AB110" i="2"/>
  <c r="AA110" i="2"/>
  <c r="Y110" i="2"/>
  <c r="X110" i="2"/>
  <c r="T110" i="2"/>
  <c r="Q110" i="2"/>
  <c r="P110" i="2"/>
  <c r="J110" i="2"/>
  <c r="I110" i="2"/>
  <c r="G110" i="2"/>
  <c r="F110" i="2"/>
  <c r="E110" i="2"/>
  <c r="D110" i="2"/>
  <c r="AJ109" i="2"/>
  <c r="AI109" i="2"/>
  <c r="AH109" i="2"/>
  <c r="AF109" i="2"/>
  <c r="AE109" i="2"/>
  <c r="AD109" i="2"/>
  <c r="AC109" i="2"/>
  <c r="AB109" i="2"/>
  <c r="AA109" i="2"/>
  <c r="Y109" i="2"/>
  <c r="X109" i="2"/>
  <c r="Q109" i="2"/>
  <c r="P109" i="2"/>
  <c r="O109" i="2"/>
  <c r="L109" i="2"/>
  <c r="J109" i="2"/>
  <c r="I109" i="2"/>
  <c r="H109" i="2"/>
  <c r="G109" i="2"/>
  <c r="F109" i="2"/>
  <c r="E109" i="2"/>
  <c r="D109" i="2"/>
  <c r="AJ108" i="2"/>
  <c r="AI108" i="2"/>
  <c r="AH108" i="2"/>
  <c r="AF108" i="2"/>
  <c r="AE108" i="2"/>
  <c r="AD108" i="2"/>
  <c r="AC108" i="2"/>
  <c r="AA108" i="2"/>
  <c r="Y108" i="2"/>
  <c r="X108" i="2"/>
  <c r="Q108" i="2"/>
  <c r="P108" i="2"/>
  <c r="J108" i="2"/>
  <c r="I108" i="2"/>
  <c r="G108" i="2"/>
  <c r="F108" i="2"/>
  <c r="E108" i="2"/>
  <c r="D108" i="2"/>
  <c r="AJ107" i="2"/>
  <c r="AJ106" i="2"/>
  <c r="AI107" i="2"/>
  <c r="AI106" i="2"/>
  <c r="AH107" i="2"/>
  <c r="AH106" i="2"/>
  <c r="AF107" i="2"/>
  <c r="AF106" i="2"/>
  <c r="AE107" i="2"/>
  <c r="AE106" i="2"/>
  <c r="AD107" i="2"/>
  <c r="AD106" i="2"/>
  <c r="AC107" i="2"/>
  <c r="AC106" i="2"/>
  <c r="AA107" i="2"/>
  <c r="AA106" i="2"/>
  <c r="Y107" i="2"/>
  <c r="Y106" i="2"/>
  <c r="X107" i="2"/>
  <c r="X106" i="2"/>
  <c r="Q107" i="2"/>
  <c r="Q106" i="2"/>
  <c r="P107" i="2"/>
  <c r="P106" i="2"/>
  <c r="L107" i="2"/>
  <c r="J107" i="2"/>
  <c r="J106" i="2"/>
  <c r="I107" i="2"/>
  <c r="I106" i="2"/>
  <c r="G107" i="2"/>
  <c r="G106" i="2"/>
  <c r="F107" i="2"/>
  <c r="F106" i="2"/>
  <c r="E107" i="2"/>
  <c r="E106" i="2"/>
  <c r="D107" i="2"/>
  <c r="D106" i="2"/>
  <c r="AJ105" i="2"/>
  <c r="AI105" i="2"/>
  <c r="AH105" i="2"/>
  <c r="AF105" i="2"/>
  <c r="AE105" i="2"/>
  <c r="AD105" i="2"/>
  <c r="AC105" i="2"/>
  <c r="AA105" i="2"/>
  <c r="Y105" i="2"/>
  <c r="X105" i="2"/>
  <c r="U105" i="2"/>
  <c r="Q105" i="2"/>
  <c r="P105" i="2"/>
  <c r="L105" i="2"/>
  <c r="J105" i="2"/>
  <c r="I105" i="2"/>
  <c r="F105" i="2"/>
  <c r="E105" i="2"/>
  <c r="AH104" i="2"/>
  <c r="AI104" i="2"/>
  <c r="AJ104" i="2"/>
  <c r="AF104" i="2"/>
  <c r="AE104" i="2"/>
  <c r="AD104" i="2"/>
  <c r="AC104" i="2"/>
  <c r="AB104" i="2"/>
  <c r="AA104" i="2"/>
  <c r="Y104" i="2"/>
  <c r="X104" i="2"/>
  <c r="P104" i="2"/>
  <c r="Q104" i="2"/>
  <c r="J104" i="2"/>
  <c r="I104" i="2"/>
  <c r="H104" i="2"/>
  <c r="G104" i="2"/>
  <c r="F104" i="2"/>
  <c r="E104" i="2"/>
  <c r="B104" i="2"/>
  <c r="I13" i="9"/>
  <c r="AJ103" i="2"/>
  <c r="AI103" i="2"/>
  <c r="AH103" i="2"/>
  <c r="AF103" i="2"/>
  <c r="AE103" i="2"/>
  <c r="AD103" i="2"/>
  <c r="AC103" i="2"/>
  <c r="AA103" i="2"/>
  <c r="Y103" i="2"/>
  <c r="X103" i="2"/>
  <c r="U103" i="2"/>
  <c r="Q103" i="2"/>
  <c r="L103" i="2"/>
  <c r="J103" i="2"/>
  <c r="I103" i="2"/>
  <c r="H103" i="2"/>
  <c r="G103" i="2"/>
  <c r="F103" i="2"/>
  <c r="E103" i="2"/>
  <c r="D103" i="2"/>
  <c r="AJ102" i="2"/>
  <c r="AI102" i="2"/>
  <c r="AH102" i="2"/>
  <c r="AF102" i="2"/>
  <c r="AE102" i="2"/>
  <c r="AD102" i="2"/>
  <c r="AC102" i="2"/>
  <c r="AA102" i="2"/>
  <c r="Y102" i="2"/>
  <c r="X102" i="2"/>
  <c r="T102" i="2"/>
  <c r="Q102" i="2"/>
  <c r="J102" i="2"/>
  <c r="I102" i="2"/>
  <c r="G102" i="2"/>
  <c r="F102" i="2"/>
  <c r="E102" i="2"/>
  <c r="D102" i="2"/>
  <c r="AJ101" i="2"/>
  <c r="AI101" i="2"/>
  <c r="AH101" i="2"/>
  <c r="AF101" i="2"/>
  <c r="AE101" i="2"/>
  <c r="AD101" i="2"/>
  <c r="AC101" i="2"/>
  <c r="AA101" i="2"/>
  <c r="Y101" i="2"/>
  <c r="X101" i="2"/>
  <c r="Q101" i="2"/>
  <c r="P101" i="2"/>
  <c r="L101" i="2"/>
  <c r="J101" i="2"/>
  <c r="I101" i="2"/>
  <c r="G101" i="2"/>
  <c r="F101" i="2"/>
  <c r="E101" i="2"/>
  <c r="D101" i="2"/>
  <c r="AJ100" i="2"/>
  <c r="AI100" i="2"/>
  <c r="AH100" i="2"/>
  <c r="AF100" i="2"/>
  <c r="AE100" i="2"/>
  <c r="AD100" i="2"/>
  <c r="AC100" i="2"/>
  <c r="AA100" i="2"/>
  <c r="Y100" i="2"/>
  <c r="X100" i="2"/>
  <c r="U100" i="2"/>
  <c r="T100" i="2"/>
  <c r="Q100" i="2"/>
  <c r="J100" i="2"/>
  <c r="I100" i="2"/>
  <c r="G100" i="2"/>
  <c r="F100" i="2"/>
  <c r="E100" i="2"/>
  <c r="D100" i="2"/>
  <c r="AJ99" i="2"/>
  <c r="AI99" i="2"/>
  <c r="AH99" i="2"/>
  <c r="AF99" i="2"/>
  <c r="AE99" i="2"/>
  <c r="AD99" i="2"/>
  <c r="AC99" i="2"/>
  <c r="AA99" i="2"/>
  <c r="Z99" i="2"/>
  <c r="Y99" i="2"/>
  <c r="X99" i="2"/>
  <c r="Q99" i="2"/>
  <c r="J99" i="2"/>
  <c r="I99" i="2"/>
  <c r="G99" i="2"/>
  <c r="F99" i="2"/>
  <c r="E99" i="2"/>
  <c r="D99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Q98" i="2"/>
  <c r="L98" i="2"/>
  <c r="J98" i="2"/>
  <c r="I98" i="2"/>
  <c r="H98" i="2"/>
  <c r="G98" i="2"/>
  <c r="F98" i="2"/>
  <c r="D98" i="2"/>
  <c r="AJ97" i="2"/>
  <c r="AI97" i="2"/>
  <c r="AH97" i="2"/>
  <c r="AF97" i="2"/>
  <c r="AE97" i="2"/>
  <c r="AD97" i="2"/>
  <c r="AC97" i="2"/>
  <c r="AA97" i="2"/>
  <c r="Y97" i="2"/>
  <c r="X97" i="2"/>
  <c r="Q97" i="2"/>
  <c r="J97" i="2"/>
  <c r="I97" i="2"/>
  <c r="G97" i="2"/>
  <c r="F97" i="2"/>
  <c r="E97" i="2"/>
  <c r="D97" i="2"/>
  <c r="AJ96" i="2"/>
  <c r="AI96" i="2"/>
  <c r="AH96" i="2"/>
  <c r="AF96" i="2"/>
  <c r="AE96" i="2"/>
  <c r="AD96" i="2"/>
  <c r="AC96" i="2"/>
  <c r="AB96" i="2"/>
  <c r="AA96" i="2"/>
  <c r="Y96" i="2"/>
  <c r="X96" i="2"/>
  <c r="Q96" i="2"/>
  <c r="L96" i="2"/>
  <c r="J96" i="2"/>
  <c r="I96" i="2"/>
  <c r="G96" i="2"/>
  <c r="F96" i="2"/>
  <c r="E96" i="2"/>
  <c r="D96" i="2"/>
  <c r="AJ95" i="2"/>
  <c r="AI95" i="2"/>
  <c r="AH95" i="2"/>
  <c r="AF95" i="2"/>
  <c r="AE95" i="2"/>
  <c r="AD95" i="2"/>
  <c r="AC95" i="2"/>
  <c r="AB95" i="2"/>
  <c r="AA95" i="2"/>
  <c r="Y95" i="2"/>
  <c r="X95" i="2"/>
  <c r="U95" i="2"/>
  <c r="Q95" i="2"/>
  <c r="L95" i="2"/>
  <c r="J95" i="2"/>
  <c r="I95" i="2"/>
  <c r="F95" i="2"/>
  <c r="E95" i="2"/>
  <c r="B95" i="2"/>
  <c r="A95" i="2"/>
  <c r="AJ94" i="2"/>
  <c r="AI94" i="2"/>
  <c r="AH94" i="2"/>
  <c r="AF94" i="2"/>
  <c r="AE94" i="2"/>
  <c r="AD94" i="2"/>
  <c r="AC94" i="2"/>
  <c r="AA94" i="2"/>
  <c r="Y94" i="2"/>
  <c r="X94" i="2"/>
  <c r="Q94" i="2"/>
  <c r="O94" i="2"/>
  <c r="L94" i="2"/>
  <c r="J94" i="2"/>
  <c r="I93" i="2"/>
  <c r="I94" i="2"/>
  <c r="H94" i="2"/>
  <c r="H95" i="2" s="1"/>
  <c r="G94" i="2"/>
  <c r="G95" i="2" s="1"/>
  <c r="F94" i="2"/>
  <c r="E94" i="2"/>
  <c r="D93" i="2"/>
  <c r="D94" i="2"/>
  <c r="D95" i="2" s="1"/>
  <c r="B94" i="2"/>
  <c r="AJ93" i="2"/>
  <c r="AI93" i="2"/>
  <c r="AH93" i="2"/>
  <c r="AF93" i="2"/>
  <c r="AE93" i="2"/>
  <c r="AD93" i="2"/>
  <c r="AC93" i="2"/>
  <c r="AA93" i="2"/>
  <c r="Z93" i="2"/>
  <c r="Z94" i="2" s="1"/>
  <c r="Z95" i="2" s="1"/>
  <c r="Z96" i="2" s="1"/>
  <c r="Y93" i="2"/>
  <c r="X93" i="2"/>
  <c r="Q93" i="2"/>
  <c r="O93" i="2"/>
  <c r="P93" i="2"/>
  <c r="L93" i="2"/>
  <c r="J93" i="2"/>
  <c r="H93" i="2"/>
  <c r="G93" i="2"/>
  <c r="F93" i="2"/>
  <c r="E93" i="2"/>
  <c r="B93" i="2"/>
  <c r="A93" i="2"/>
  <c r="AJ92" i="2"/>
  <c r="AI92" i="2"/>
  <c r="AH92" i="2"/>
  <c r="AF92" i="2"/>
  <c r="AE92" i="2"/>
  <c r="AD92" i="2"/>
  <c r="AC92" i="2"/>
  <c r="AA92" i="2"/>
  <c r="Y92" i="2"/>
  <c r="X92" i="2"/>
  <c r="Q92" i="2"/>
  <c r="P92" i="2"/>
  <c r="O92" i="2"/>
  <c r="L92" i="2"/>
  <c r="J92" i="2"/>
  <c r="I92" i="2"/>
  <c r="G92" i="2"/>
  <c r="F92" i="2"/>
  <c r="E92" i="2"/>
  <c r="D92" i="2"/>
  <c r="A92" i="2"/>
  <c r="H17" i="9" l="1"/>
  <c r="H14" i="9"/>
  <c r="G9" i="9"/>
  <c r="H9" i="9" s="1"/>
  <c r="G8" i="9"/>
  <c r="H8" i="9" s="1"/>
  <c r="H110" i="2"/>
  <c r="G105" i="2"/>
  <c r="H105" i="2"/>
  <c r="AB105" i="2"/>
  <c r="AB106" i="2" s="1"/>
  <c r="AB107" i="2" s="1"/>
  <c r="AB108" i="2" s="1"/>
  <c r="D104" i="2"/>
  <c r="D105" i="2" s="1"/>
  <c r="G13" i="9"/>
  <c r="Z100" i="2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H99" i="2"/>
  <c r="H100" i="2" s="1"/>
  <c r="H101" i="2" s="1"/>
  <c r="H102" i="2" s="1"/>
  <c r="AG99" i="2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B99" i="2"/>
  <c r="AB100" i="2" s="1"/>
  <c r="AB101" i="2" s="1"/>
  <c r="AB102" i="2" s="1"/>
  <c r="Z97" i="2"/>
  <c r="AB97" i="2"/>
  <c r="AJ91" i="2"/>
  <c r="AI91" i="2"/>
  <c r="AH91" i="2"/>
  <c r="AF91" i="2"/>
  <c r="AE91" i="2"/>
  <c r="AD91" i="2"/>
  <c r="AC91" i="2"/>
  <c r="AA91" i="2"/>
  <c r="Y91" i="2"/>
  <c r="X91" i="2"/>
  <c r="U91" i="2"/>
  <c r="O91" i="2"/>
  <c r="L91" i="2"/>
  <c r="J91" i="2"/>
  <c r="I91" i="2"/>
  <c r="H91" i="2"/>
  <c r="H92" i="2" s="1"/>
  <c r="G91" i="2"/>
  <c r="F91" i="2"/>
  <c r="E91" i="2"/>
  <c r="D91" i="2"/>
  <c r="B91" i="2"/>
  <c r="B92" i="2" s="1"/>
  <c r="A91" i="2"/>
  <c r="AI90" i="2"/>
  <c r="Q90" i="2"/>
  <c r="L90" i="2"/>
  <c r="J90" i="2"/>
  <c r="AJ90" i="2"/>
  <c r="AH90" i="2"/>
  <c r="AB90" i="2"/>
  <c r="AB91" i="2" s="1"/>
  <c r="AB92" i="2" s="1"/>
  <c r="AB93" i="2" s="1"/>
  <c r="AB94" i="2" s="1"/>
  <c r="AJ89" i="2"/>
  <c r="AI89" i="2"/>
  <c r="AH89" i="2"/>
  <c r="AG89" i="2"/>
  <c r="AG90" i="2" s="1"/>
  <c r="AG91" i="2" s="1"/>
  <c r="AG92" i="2" s="1"/>
  <c r="AG93" i="2" s="1"/>
  <c r="AG94" i="2" s="1"/>
  <c r="AG95" i="2" s="1"/>
  <c r="AG96" i="2" s="1"/>
  <c r="AG97" i="2" s="1"/>
  <c r="Z89" i="2"/>
  <c r="Z90" i="2" s="1"/>
  <c r="Z91" i="2" s="1"/>
  <c r="Z92" i="2" s="1"/>
  <c r="H89" i="2"/>
  <c r="G12" i="9"/>
  <c r="H12" i="9" s="1"/>
  <c r="I12" i="9"/>
  <c r="I10" i="9"/>
  <c r="I11" i="9"/>
  <c r="G11" i="9"/>
  <c r="H11" i="9" s="1"/>
  <c r="I5" i="9"/>
  <c r="G6" i="9"/>
  <c r="I6" i="9"/>
  <c r="G7" i="9"/>
  <c r="H7" i="9" s="1"/>
  <c r="I7" i="9"/>
  <c r="AJ88" i="2"/>
  <c r="AI88" i="2"/>
  <c r="AH88" i="2"/>
  <c r="AG88" i="2"/>
  <c r="AF88" i="2"/>
  <c r="AE88" i="2"/>
  <c r="AC88" i="2"/>
  <c r="AB88" i="2"/>
  <c r="AA88" i="2"/>
  <c r="Z88" i="2"/>
  <c r="Y88" i="2"/>
  <c r="X88" i="2"/>
  <c r="Q88" i="2"/>
  <c r="P88" i="2"/>
  <c r="L88" i="2"/>
  <c r="J88" i="2"/>
  <c r="I88" i="2"/>
  <c r="H88" i="2"/>
  <c r="G88" i="2"/>
  <c r="F88" i="2"/>
  <c r="E88" i="2"/>
  <c r="D88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E53" i="8" l="1"/>
  <c r="E60" i="8"/>
  <c r="E64" i="8"/>
  <c r="E68" i="8"/>
  <c r="E72" i="8"/>
  <c r="E76" i="8"/>
  <c r="E80" i="8"/>
  <c r="E84" i="8"/>
  <c r="E88" i="8"/>
  <c r="E89" i="8"/>
  <c r="E90" i="8"/>
  <c r="E20" i="8"/>
  <c r="E21" i="8"/>
  <c r="E22" i="8"/>
  <c r="E24" i="8"/>
  <c r="E25" i="8"/>
  <c r="E27" i="8"/>
  <c r="E29" i="8"/>
  <c r="E31" i="8"/>
  <c r="E34" i="8"/>
  <c r="E36" i="8"/>
  <c r="E38" i="8"/>
  <c r="E40" i="8"/>
  <c r="E44" i="8"/>
  <c r="E48" i="8"/>
  <c r="E51" i="8"/>
  <c r="E54" i="8"/>
  <c r="E56" i="8"/>
  <c r="E62" i="8"/>
  <c r="E66" i="8"/>
  <c r="E70" i="8"/>
  <c r="E74" i="8"/>
  <c r="E78" i="8"/>
  <c r="E82" i="8"/>
  <c r="E86" i="8"/>
  <c r="E19" i="8"/>
  <c r="E23" i="8"/>
  <c r="E26" i="8"/>
  <c r="E28" i="8"/>
  <c r="E30" i="8"/>
  <c r="E33" i="8"/>
  <c r="E35" i="8"/>
  <c r="E37" i="8"/>
  <c r="E39" i="8"/>
  <c r="E42" i="8"/>
  <c r="E45" i="8"/>
  <c r="E49" i="8"/>
  <c r="E52" i="8"/>
  <c r="E55" i="8"/>
  <c r="E58" i="8"/>
  <c r="E61" i="8"/>
  <c r="E65" i="8"/>
  <c r="E69" i="8"/>
  <c r="E73" i="8"/>
  <c r="E77" i="8"/>
  <c r="E81" i="8"/>
  <c r="E85" i="8"/>
  <c r="E32" i="8"/>
  <c r="E41" i="8"/>
  <c r="E43" i="8"/>
  <c r="E47" i="8"/>
  <c r="E50" i="8"/>
  <c r="E57" i="8"/>
  <c r="E59" i="8"/>
  <c r="E63" i="8"/>
  <c r="E67" i="8"/>
  <c r="E71" i="8"/>
  <c r="E75" i="8"/>
  <c r="E79" i="8"/>
  <c r="E83" i="8"/>
  <c r="E87" i="8"/>
  <c r="E46" i="8"/>
  <c r="H6" i="9"/>
  <c r="E114" i="8"/>
  <c r="E18" i="8"/>
  <c r="E107" i="8"/>
  <c r="E113" i="8"/>
  <c r="E117" i="8"/>
  <c r="E120" i="8"/>
  <c r="E123" i="8"/>
  <c r="E5" i="8"/>
  <c r="E7" i="8"/>
  <c r="E8" i="8"/>
  <c r="E9" i="8"/>
  <c r="E10" i="8"/>
  <c r="E11" i="8"/>
  <c r="E12" i="8"/>
  <c r="E13" i="8"/>
  <c r="E14" i="8"/>
  <c r="E15" i="8"/>
  <c r="E17" i="8"/>
  <c r="E92" i="8"/>
  <c r="E94" i="8"/>
  <c r="E96" i="8"/>
  <c r="E98" i="8"/>
  <c r="E100" i="8"/>
  <c r="E102" i="8"/>
  <c r="E104" i="8"/>
  <c r="E106" i="8"/>
  <c r="E108" i="8"/>
  <c r="E111" i="8"/>
  <c r="E116" i="8"/>
  <c r="E119" i="8"/>
  <c r="E122" i="8"/>
  <c r="E125" i="8"/>
  <c r="E6" i="8"/>
  <c r="E16" i="8"/>
  <c r="E91" i="8"/>
  <c r="E93" i="8"/>
  <c r="E95" i="8"/>
  <c r="E97" i="8"/>
  <c r="E99" i="8"/>
  <c r="E101" i="8"/>
  <c r="E103" i="8"/>
  <c r="E105" i="8"/>
  <c r="E109" i="8"/>
  <c r="E110" i="8"/>
  <c r="E112" i="8"/>
  <c r="E115" i="8"/>
  <c r="E118" i="8"/>
  <c r="E121" i="8"/>
  <c r="E124" i="8"/>
  <c r="AG112" i="2"/>
  <c r="C112" i="6" s="1"/>
  <c r="AG113" i="2"/>
  <c r="G10" i="9"/>
  <c r="G22" i="9" s="1"/>
  <c r="AE161" i="2" s="1"/>
  <c r="H13" i="9"/>
  <c r="I27" i="9"/>
  <c r="F27" i="9"/>
  <c r="G27" i="9" s="1"/>
  <c r="H27" i="9" s="1"/>
  <c r="I26" i="9"/>
  <c r="F26" i="9"/>
  <c r="G26" i="9" s="1"/>
  <c r="H26" i="9" s="1"/>
  <c r="I25" i="9"/>
  <c r="F25" i="9"/>
  <c r="G25" i="9" s="1"/>
  <c r="H25" i="9" s="1"/>
  <c r="I24" i="9"/>
  <c r="F24" i="9"/>
  <c r="G24" i="9" s="1"/>
  <c r="H24" i="9" s="1"/>
  <c r="I23" i="9"/>
  <c r="F23" i="9"/>
  <c r="G23" i="9" s="1"/>
  <c r="H23" i="9" s="1"/>
  <c r="F135" i="7"/>
  <c r="F134" i="7"/>
  <c r="F133" i="7"/>
  <c r="F132" i="7"/>
  <c r="F131" i="7"/>
  <c r="H502" i="6"/>
  <c r="E502" i="6"/>
  <c r="D502" i="6"/>
  <c r="C502" i="6"/>
  <c r="B502" i="6"/>
  <c r="A502" i="6"/>
  <c r="H501" i="6"/>
  <c r="E501" i="6"/>
  <c r="D501" i="6"/>
  <c r="C501" i="6"/>
  <c r="B501" i="6"/>
  <c r="A501" i="6"/>
  <c r="H500" i="6"/>
  <c r="E500" i="6"/>
  <c r="D500" i="6"/>
  <c r="C500" i="6"/>
  <c r="B500" i="6"/>
  <c r="A500" i="6"/>
  <c r="H499" i="6"/>
  <c r="E499" i="6"/>
  <c r="D499" i="6"/>
  <c r="C499" i="6"/>
  <c r="B499" i="6"/>
  <c r="A499" i="6"/>
  <c r="H498" i="6"/>
  <c r="E498" i="6"/>
  <c r="D498" i="6"/>
  <c r="C498" i="6"/>
  <c r="B498" i="6"/>
  <c r="A498" i="6"/>
  <c r="H497" i="6"/>
  <c r="E497" i="6"/>
  <c r="D497" i="6"/>
  <c r="C497" i="6"/>
  <c r="B497" i="6"/>
  <c r="A497" i="6"/>
  <c r="H496" i="6"/>
  <c r="E496" i="6"/>
  <c r="D496" i="6"/>
  <c r="C496" i="6"/>
  <c r="B496" i="6"/>
  <c r="A496" i="6"/>
  <c r="H495" i="6"/>
  <c r="E495" i="6"/>
  <c r="D495" i="6"/>
  <c r="C495" i="6"/>
  <c r="B495" i="6"/>
  <c r="A495" i="6"/>
  <c r="H494" i="6"/>
  <c r="E494" i="6"/>
  <c r="D494" i="6"/>
  <c r="C494" i="6"/>
  <c r="B494" i="6"/>
  <c r="A494" i="6"/>
  <c r="H493" i="6"/>
  <c r="E493" i="6"/>
  <c r="D493" i="6"/>
  <c r="C493" i="6"/>
  <c r="B493" i="6"/>
  <c r="A493" i="6"/>
  <c r="H492" i="6"/>
  <c r="E492" i="6"/>
  <c r="D492" i="6"/>
  <c r="C492" i="6"/>
  <c r="B492" i="6"/>
  <c r="A492" i="6"/>
  <c r="H491" i="6"/>
  <c r="E491" i="6"/>
  <c r="D491" i="6"/>
  <c r="C491" i="6"/>
  <c r="B491" i="6"/>
  <c r="A491" i="6"/>
  <c r="H490" i="6"/>
  <c r="E490" i="6"/>
  <c r="D490" i="6"/>
  <c r="C490" i="6"/>
  <c r="B490" i="6"/>
  <c r="A490" i="6"/>
  <c r="H489" i="6"/>
  <c r="E489" i="6"/>
  <c r="D489" i="6"/>
  <c r="C489" i="6"/>
  <c r="B489" i="6"/>
  <c r="A489" i="6"/>
  <c r="H488" i="6"/>
  <c r="E488" i="6"/>
  <c r="D488" i="6"/>
  <c r="C488" i="6"/>
  <c r="B488" i="6"/>
  <c r="A488" i="6"/>
  <c r="H487" i="6"/>
  <c r="E487" i="6"/>
  <c r="D487" i="6"/>
  <c r="C487" i="6"/>
  <c r="B487" i="6"/>
  <c r="A487" i="6"/>
  <c r="H486" i="6"/>
  <c r="E486" i="6"/>
  <c r="D486" i="6"/>
  <c r="C486" i="6"/>
  <c r="B486" i="6"/>
  <c r="A486" i="6"/>
  <c r="H485" i="6"/>
  <c r="E485" i="6"/>
  <c r="D485" i="6"/>
  <c r="C485" i="6"/>
  <c r="B485" i="6"/>
  <c r="A485" i="6"/>
  <c r="H484" i="6"/>
  <c r="E484" i="6"/>
  <c r="D484" i="6"/>
  <c r="C484" i="6"/>
  <c r="B484" i="6"/>
  <c r="A484" i="6"/>
  <c r="H483" i="6"/>
  <c r="E483" i="6"/>
  <c r="D483" i="6"/>
  <c r="C483" i="6"/>
  <c r="B483" i="6"/>
  <c r="A483" i="6"/>
  <c r="H482" i="6"/>
  <c r="E482" i="6"/>
  <c r="D482" i="6"/>
  <c r="C482" i="6"/>
  <c r="B482" i="6"/>
  <c r="A482" i="6"/>
  <c r="H481" i="6"/>
  <c r="E481" i="6"/>
  <c r="D481" i="6"/>
  <c r="C481" i="6"/>
  <c r="B481" i="6"/>
  <c r="A481" i="6"/>
  <c r="H480" i="6"/>
  <c r="E480" i="6"/>
  <c r="D480" i="6"/>
  <c r="C480" i="6"/>
  <c r="B480" i="6"/>
  <c r="A480" i="6"/>
  <c r="H479" i="6"/>
  <c r="E479" i="6"/>
  <c r="D479" i="6"/>
  <c r="C479" i="6"/>
  <c r="B479" i="6"/>
  <c r="A479" i="6"/>
  <c r="H478" i="6"/>
  <c r="E478" i="6"/>
  <c r="D478" i="6"/>
  <c r="C478" i="6"/>
  <c r="B478" i="6"/>
  <c r="A478" i="6"/>
  <c r="H477" i="6"/>
  <c r="E477" i="6"/>
  <c r="D477" i="6"/>
  <c r="C477" i="6"/>
  <c r="B477" i="6"/>
  <c r="A477" i="6"/>
  <c r="H476" i="6"/>
  <c r="E476" i="6"/>
  <c r="D476" i="6"/>
  <c r="C476" i="6"/>
  <c r="B476" i="6"/>
  <c r="A476" i="6"/>
  <c r="H475" i="6"/>
  <c r="E475" i="6"/>
  <c r="D475" i="6"/>
  <c r="C475" i="6"/>
  <c r="B475" i="6"/>
  <c r="A475" i="6"/>
  <c r="H474" i="6"/>
  <c r="E474" i="6"/>
  <c r="D474" i="6"/>
  <c r="C474" i="6"/>
  <c r="B474" i="6"/>
  <c r="A474" i="6"/>
  <c r="H473" i="6"/>
  <c r="E473" i="6"/>
  <c r="D473" i="6"/>
  <c r="C473" i="6"/>
  <c r="B473" i="6"/>
  <c r="A473" i="6"/>
  <c r="H472" i="6"/>
  <c r="E472" i="6"/>
  <c r="D472" i="6"/>
  <c r="C472" i="6"/>
  <c r="B472" i="6"/>
  <c r="A472" i="6"/>
  <c r="H471" i="6"/>
  <c r="E471" i="6"/>
  <c r="D471" i="6"/>
  <c r="C471" i="6"/>
  <c r="B471" i="6"/>
  <c r="A471" i="6"/>
  <c r="H470" i="6"/>
  <c r="E470" i="6"/>
  <c r="D470" i="6"/>
  <c r="C470" i="6"/>
  <c r="B470" i="6"/>
  <c r="A470" i="6"/>
  <c r="H469" i="6"/>
  <c r="E469" i="6"/>
  <c r="D469" i="6"/>
  <c r="C469" i="6"/>
  <c r="B469" i="6"/>
  <c r="A469" i="6"/>
  <c r="H468" i="6"/>
  <c r="E468" i="6"/>
  <c r="D468" i="6"/>
  <c r="C468" i="6"/>
  <c r="B468" i="6"/>
  <c r="A468" i="6"/>
  <c r="H467" i="6"/>
  <c r="E467" i="6"/>
  <c r="D467" i="6"/>
  <c r="C467" i="6"/>
  <c r="B467" i="6"/>
  <c r="A467" i="6"/>
  <c r="H466" i="6"/>
  <c r="E466" i="6"/>
  <c r="D466" i="6"/>
  <c r="C466" i="6"/>
  <c r="B466" i="6"/>
  <c r="A466" i="6"/>
  <c r="H465" i="6"/>
  <c r="E465" i="6"/>
  <c r="D465" i="6"/>
  <c r="C465" i="6"/>
  <c r="B465" i="6"/>
  <c r="A465" i="6"/>
  <c r="H464" i="6"/>
  <c r="E464" i="6"/>
  <c r="D464" i="6"/>
  <c r="C464" i="6"/>
  <c r="B464" i="6"/>
  <c r="A464" i="6"/>
  <c r="H463" i="6"/>
  <c r="E463" i="6"/>
  <c r="D463" i="6"/>
  <c r="C463" i="6"/>
  <c r="B463" i="6"/>
  <c r="A463" i="6"/>
  <c r="H462" i="6"/>
  <c r="E462" i="6"/>
  <c r="D462" i="6"/>
  <c r="C462" i="6"/>
  <c r="B462" i="6"/>
  <c r="A462" i="6"/>
  <c r="H461" i="6"/>
  <c r="E461" i="6"/>
  <c r="D461" i="6"/>
  <c r="C461" i="6"/>
  <c r="B461" i="6"/>
  <c r="A461" i="6"/>
  <c r="H460" i="6"/>
  <c r="E460" i="6"/>
  <c r="D460" i="6"/>
  <c r="C460" i="6"/>
  <c r="B460" i="6"/>
  <c r="A460" i="6"/>
  <c r="H459" i="6"/>
  <c r="E459" i="6"/>
  <c r="D459" i="6"/>
  <c r="C459" i="6"/>
  <c r="B459" i="6"/>
  <c r="A459" i="6"/>
  <c r="H458" i="6"/>
  <c r="E458" i="6"/>
  <c r="D458" i="6"/>
  <c r="C458" i="6"/>
  <c r="B458" i="6"/>
  <c r="A458" i="6"/>
  <c r="H457" i="6"/>
  <c r="E457" i="6"/>
  <c r="D457" i="6"/>
  <c r="C457" i="6"/>
  <c r="B457" i="6"/>
  <c r="A457" i="6"/>
  <c r="H456" i="6"/>
  <c r="E456" i="6"/>
  <c r="D456" i="6"/>
  <c r="C456" i="6"/>
  <c r="B456" i="6"/>
  <c r="A456" i="6"/>
  <c r="H455" i="6"/>
  <c r="E455" i="6"/>
  <c r="D455" i="6"/>
  <c r="C455" i="6"/>
  <c r="B455" i="6"/>
  <c r="A455" i="6"/>
  <c r="H454" i="6"/>
  <c r="E454" i="6"/>
  <c r="D454" i="6"/>
  <c r="C454" i="6"/>
  <c r="B454" i="6"/>
  <c r="A454" i="6"/>
  <c r="H453" i="6"/>
  <c r="E453" i="6"/>
  <c r="D453" i="6"/>
  <c r="C453" i="6"/>
  <c r="B453" i="6"/>
  <c r="A453" i="6"/>
  <c r="H452" i="6"/>
  <c r="E452" i="6"/>
  <c r="D452" i="6"/>
  <c r="C452" i="6"/>
  <c r="B452" i="6"/>
  <c r="A452" i="6"/>
  <c r="H451" i="6"/>
  <c r="E451" i="6"/>
  <c r="D451" i="6"/>
  <c r="C451" i="6"/>
  <c r="B451" i="6"/>
  <c r="A451" i="6"/>
  <c r="H450" i="6"/>
  <c r="E450" i="6"/>
  <c r="D450" i="6"/>
  <c r="C450" i="6"/>
  <c r="B450" i="6"/>
  <c r="A450" i="6"/>
  <c r="H449" i="6"/>
  <c r="E449" i="6"/>
  <c r="D449" i="6"/>
  <c r="C449" i="6"/>
  <c r="B449" i="6"/>
  <c r="A449" i="6"/>
  <c r="H448" i="6"/>
  <c r="E448" i="6"/>
  <c r="D448" i="6"/>
  <c r="C448" i="6"/>
  <c r="B448" i="6"/>
  <c r="A448" i="6"/>
  <c r="H447" i="6"/>
  <c r="E447" i="6"/>
  <c r="D447" i="6"/>
  <c r="C447" i="6"/>
  <c r="B447" i="6"/>
  <c r="A447" i="6"/>
  <c r="H446" i="6"/>
  <c r="E446" i="6"/>
  <c r="D446" i="6"/>
  <c r="C446" i="6"/>
  <c r="B446" i="6"/>
  <c r="A446" i="6"/>
  <c r="H445" i="6"/>
  <c r="E445" i="6"/>
  <c r="D445" i="6"/>
  <c r="C445" i="6"/>
  <c r="B445" i="6"/>
  <c r="A445" i="6"/>
  <c r="H444" i="6"/>
  <c r="E444" i="6"/>
  <c r="D444" i="6"/>
  <c r="C444" i="6"/>
  <c r="B444" i="6"/>
  <c r="A444" i="6"/>
  <c r="H443" i="6"/>
  <c r="E443" i="6"/>
  <c r="D443" i="6"/>
  <c r="C443" i="6"/>
  <c r="B443" i="6"/>
  <c r="A443" i="6"/>
  <c r="H442" i="6"/>
  <c r="E442" i="6"/>
  <c r="D442" i="6"/>
  <c r="C442" i="6"/>
  <c r="B442" i="6"/>
  <c r="A442" i="6"/>
  <c r="H441" i="6"/>
  <c r="E441" i="6"/>
  <c r="D441" i="6"/>
  <c r="C441" i="6"/>
  <c r="B441" i="6"/>
  <c r="A441" i="6"/>
  <c r="H440" i="6"/>
  <c r="E440" i="6"/>
  <c r="D440" i="6"/>
  <c r="C440" i="6"/>
  <c r="B440" i="6"/>
  <c r="A440" i="6"/>
  <c r="H439" i="6"/>
  <c r="E439" i="6"/>
  <c r="D439" i="6"/>
  <c r="C439" i="6"/>
  <c r="B439" i="6"/>
  <c r="A439" i="6"/>
  <c r="H438" i="6"/>
  <c r="E438" i="6"/>
  <c r="D438" i="6"/>
  <c r="C438" i="6"/>
  <c r="B438" i="6"/>
  <c r="A438" i="6"/>
  <c r="H437" i="6"/>
  <c r="E437" i="6"/>
  <c r="D437" i="6"/>
  <c r="C437" i="6"/>
  <c r="B437" i="6"/>
  <c r="A437" i="6"/>
  <c r="H436" i="6"/>
  <c r="E436" i="6"/>
  <c r="D436" i="6"/>
  <c r="C436" i="6"/>
  <c r="B436" i="6"/>
  <c r="A436" i="6"/>
  <c r="H435" i="6"/>
  <c r="E435" i="6"/>
  <c r="D435" i="6"/>
  <c r="C435" i="6"/>
  <c r="B435" i="6"/>
  <c r="A435" i="6"/>
  <c r="H434" i="6"/>
  <c r="E434" i="6"/>
  <c r="D434" i="6"/>
  <c r="C434" i="6"/>
  <c r="B434" i="6"/>
  <c r="A434" i="6"/>
  <c r="H433" i="6"/>
  <c r="E433" i="6"/>
  <c r="D433" i="6"/>
  <c r="C433" i="6"/>
  <c r="B433" i="6"/>
  <c r="A433" i="6"/>
  <c r="H432" i="6"/>
  <c r="E432" i="6"/>
  <c r="D432" i="6"/>
  <c r="C432" i="6"/>
  <c r="B432" i="6"/>
  <c r="A432" i="6"/>
  <c r="H431" i="6"/>
  <c r="E431" i="6"/>
  <c r="D431" i="6"/>
  <c r="C431" i="6"/>
  <c r="B431" i="6"/>
  <c r="A431" i="6"/>
  <c r="H430" i="6"/>
  <c r="E430" i="6"/>
  <c r="D430" i="6"/>
  <c r="C430" i="6"/>
  <c r="B430" i="6"/>
  <c r="A430" i="6"/>
  <c r="H429" i="6"/>
  <c r="E429" i="6"/>
  <c r="D429" i="6"/>
  <c r="C429" i="6"/>
  <c r="B429" i="6"/>
  <c r="A429" i="6"/>
  <c r="H428" i="6"/>
  <c r="E428" i="6"/>
  <c r="D428" i="6"/>
  <c r="C428" i="6"/>
  <c r="B428" i="6"/>
  <c r="A428" i="6"/>
  <c r="H427" i="6"/>
  <c r="E427" i="6"/>
  <c r="D427" i="6"/>
  <c r="C427" i="6"/>
  <c r="B427" i="6"/>
  <c r="A427" i="6"/>
  <c r="H426" i="6"/>
  <c r="E426" i="6"/>
  <c r="D426" i="6"/>
  <c r="C426" i="6"/>
  <c r="B426" i="6"/>
  <c r="A426" i="6"/>
  <c r="H425" i="6"/>
  <c r="E425" i="6"/>
  <c r="D425" i="6"/>
  <c r="C425" i="6"/>
  <c r="B425" i="6"/>
  <c r="A425" i="6"/>
  <c r="H424" i="6"/>
  <c r="E424" i="6"/>
  <c r="D424" i="6"/>
  <c r="C424" i="6"/>
  <c r="B424" i="6"/>
  <c r="A424" i="6"/>
  <c r="H423" i="6"/>
  <c r="E423" i="6"/>
  <c r="D423" i="6"/>
  <c r="C423" i="6"/>
  <c r="B423" i="6"/>
  <c r="A423" i="6"/>
  <c r="H422" i="6"/>
  <c r="E422" i="6"/>
  <c r="D422" i="6"/>
  <c r="C422" i="6"/>
  <c r="B422" i="6"/>
  <c r="A422" i="6"/>
  <c r="H421" i="6"/>
  <c r="E421" i="6"/>
  <c r="D421" i="6"/>
  <c r="C421" i="6"/>
  <c r="B421" i="6"/>
  <c r="A421" i="6"/>
  <c r="H420" i="6"/>
  <c r="E420" i="6"/>
  <c r="D420" i="6"/>
  <c r="C420" i="6"/>
  <c r="B420" i="6"/>
  <c r="A420" i="6"/>
  <c r="H419" i="6"/>
  <c r="E419" i="6"/>
  <c r="D419" i="6"/>
  <c r="C419" i="6"/>
  <c r="B419" i="6"/>
  <c r="A419" i="6"/>
  <c r="H418" i="6"/>
  <c r="E418" i="6"/>
  <c r="D418" i="6"/>
  <c r="C418" i="6"/>
  <c r="B418" i="6"/>
  <c r="A418" i="6"/>
  <c r="H417" i="6"/>
  <c r="E417" i="6"/>
  <c r="D417" i="6"/>
  <c r="C417" i="6"/>
  <c r="B417" i="6"/>
  <c r="A417" i="6"/>
  <c r="H416" i="6"/>
  <c r="E416" i="6"/>
  <c r="D416" i="6"/>
  <c r="C416" i="6"/>
  <c r="B416" i="6"/>
  <c r="A416" i="6"/>
  <c r="H415" i="6"/>
  <c r="E415" i="6"/>
  <c r="D415" i="6"/>
  <c r="C415" i="6"/>
  <c r="B415" i="6"/>
  <c r="A415" i="6"/>
  <c r="H414" i="6"/>
  <c r="E414" i="6"/>
  <c r="D414" i="6"/>
  <c r="C414" i="6"/>
  <c r="B414" i="6"/>
  <c r="A414" i="6"/>
  <c r="H413" i="6"/>
  <c r="E413" i="6"/>
  <c r="D413" i="6"/>
  <c r="C413" i="6"/>
  <c r="B413" i="6"/>
  <c r="A413" i="6"/>
  <c r="H412" i="6"/>
  <c r="E412" i="6"/>
  <c r="D412" i="6"/>
  <c r="C412" i="6"/>
  <c r="B412" i="6"/>
  <c r="A412" i="6"/>
  <c r="H411" i="6"/>
  <c r="E411" i="6"/>
  <c r="D411" i="6"/>
  <c r="C411" i="6"/>
  <c r="B411" i="6"/>
  <c r="A411" i="6"/>
  <c r="H410" i="6"/>
  <c r="E410" i="6"/>
  <c r="D410" i="6"/>
  <c r="C410" i="6"/>
  <c r="B410" i="6"/>
  <c r="A410" i="6"/>
  <c r="H409" i="6"/>
  <c r="E409" i="6"/>
  <c r="D409" i="6"/>
  <c r="C409" i="6"/>
  <c r="B409" i="6"/>
  <c r="A409" i="6"/>
  <c r="H408" i="6"/>
  <c r="E408" i="6"/>
  <c r="D408" i="6"/>
  <c r="C408" i="6"/>
  <c r="B408" i="6"/>
  <c r="A408" i="6"/>
  <c r="H407" i="6"/>
  <c r="E407" i="6"/>
  <c r="D407" i="6"/>
  <c r="C407" i="6"/>
  <c r="B407" i="6"/>
  <c r="A407" i="6"/>
  <c r="H406" i="6"/>
  <c r="E406" i="6"/>
  <c r="D406" i="6"/>
  <c r="C406" i="6"/>
  <c r="B406" i="6"/>
  <c r="A406" i="6"/>
  <c r="H405" i="6"/>
  <c r="E405" i="6"/>
  <c r="D405" i="6"/>
  <c r="C405" i="6"/>
  <c r="B405" i="6"/>
  <c r="A405" i="6"/>
  <c r="H404" i="6"/>
  <c r="E404" i="6"/>
  <c r="D404" i="6"/>
  <c r="C404" i="6"/>
  <c r="B404" i="6"/>
  <c r="A404" i="6"/>
  <c r="H403" i="6"/>
  <c r="E403" i="6"/>
  <c r="D403" i="6"/>
  <c r="C403" i="6"/>
  <c r="B403" i="6"/>
  <c r="A403" i="6"/>
  <c r="H402" i="6"/>
  <c r="E402" i="6"/>
  <c r="D402" i="6"/>
  <c r="C402" i="6"/>
  <c r="B402" i="6"/>
  <c r="A402" i="6"/>
  <c r="H401" i="6"/>
  <c r="E401" i="6"/>
  <c r="D401" i="6"/>
  <c r="C401" i="6"/>
  <c r="B401" i="6"/>
  <c r="A401" i="6"/>
  <c r="H400" i="6"/>
  <c r="E400" i="6"/>
  <c r="D400" i="6"/>
  <c r="C400" i="6"/>
  <c r="B400" i="6"/>
  <c r="A400" i="6"/>
  <c r="H399" i="6"/>
  <c r="E399" i="6"/>
  <c r="D399" i="6"/>
  <c r="C399" i="6"/>
  <c r="B399" i="6"/>
  <c r="A399" i="6"/>
  <c r="H398" i="6"/>
  <c r="E398" i="6"/>
  <c r="D398" i="6"/>
  <c r="C398" i="6"/>
  <c r="B398" i="6"/>
  <c r="A398" i="6"/>
  <c r="H397" i="6"/>
  <c r="E397" i="6"/>
  <c r="D397" i="6"/>
  <c r="C397" i="6"/>
  <c r="B397" i="6"/>
  <c r="A397" i="6"/>
  <c r="H396" i="6"/>
  <c r="E396" i="6"/>
  <c r="D396" i="6"/>
  <c r="C396" i="6"/>
  <c r="B396" i="6"/>
  <c r="A396" i="6"/>
  <c r="H395" i="6"/>
  <c r="E395" i="6"/>
  <c r="D395" i="6"/>
  <c r="C395" i="6"/>
  <c r="B395" i="6"/>
  <c r="A395" i="6"/>
  <c r="H394" i="6"/>
  <c r="E394" i="6"/>
  <c r="D394" i="6"/>
  <c r="C394" i="6"/>
  <c r="B394" i="6"/>
  <c r="A394" i="6"/>
  <c r="H393" i="6"/>
  <c r="E393" i="6"/>
  <c r="D393" i="6"/>
  <c r="C393" i="6"/>
  <c r="B393" i="6"/>
  <c r="A393" i="6"/>
  <c r="H392" i="6"/>
  <c r="E392" i="6"/>
  <c r="D392" i="6"/>
  <c r="C392" i="6"/>
  <c r="B392" i="6"/>
  <c r="A392" i="6"/>
  <c r="H391" i="6"/>
  <c r="E391" i="6"/>
  <c r="D391" i="6"/>
  <c r="C391" i="6"/>
  <c r="B391" i="6"/>
  <c r="A391" i="6"/>
  <c r="H390" i="6"/>
  <c r="E390" i="6"/>
  <c r="D390" i="6"/>
  <c r="C390" i="6"/>
  <c r="B390" i="6"/>
  <c r="A390" i="6"/>
  <c r="H389" i="6"/>
  <c r="E389" i="6"/>
  <c r="D389" i="6"/>
  <c r="C389" i="6"/>
  <c r="B389" i="6"/>
  <c r="A389" i="6"/>
  <c r="H388" i="6"/>
  <c r="E388" i="6"/>
  <c r="D388" i="6"/>
  <c r="C388" i="6"/>
  <c r="B388" i="6"/>
  <c r="A388" i="6"/>
  <c r="H387" i="6"/>
  <c r="E387" i="6"/>
  <c r="D387" i="6"/>
  <c r="C387" i="6"/>
  <c r="B387" i="6"/>
  <c r="A387" i="6"/>
  <c r="H386" i="6"/>
  <c r="E386" i="6"/>
  <c r="D386" i="6"/>
  <c r="C386" i="6"/>
  <c r="B386" i="6"/>
  <c r="A386" i="6"/>
  <c r="H385" i="6"/>
  <c r="E385" i="6"/>
  <c r="D385" i="6"/>
  <c r="C385" i="6"/>
  <c r="B385" i="6"/>
  <c r="A385" i="6"/>
  <c r="H384" i="6"/>
  <c r="E384" i="6"/>
  <c r="D384" i="6"/>
  <c r="C384" i="6"/>
  <c r="B384" i="6"/>
  <c r="A384" i="6"/>
  <c r="H383" i="6"/>
  <c r="E383" i="6"/>
  <c r="D383" i="6"/>
  <c r="C383" i="6"/>
  <c r="B383" i="6"/>
  <c r="A383" i="6"/>
  <c r="H382" i="6"/>
  <c r="E382" i="6"/>
  <c r="D382" i="6"/>
  <c r="C382" i="6"/>
  <c r="B382" i="6"/>
  <c r="A382" i="6"/>
  <c r="H381" i="6"/>
  <c r="E381" i="6"/>
  <c r="D381" i="6"/>
  <c r="C381" i="6"/>
  <c r="B381" i="6"/>
  <c r="A381" i="6"/>
  <c r="H380" i="6"/>
  <c r="E380" i="6"/>
  <c r="D380" i="6"/>
  <c r="C380" i="6"/>
  <c r="B380" i="6"/>
  <c r="A380" i="6"/>
  <c r="H379" i="6"/>
  <c r="E379" i="6"/>
  <c r="D379" i="6"/>
  <c r="C379" i="6"/>
  <c r="B379" i="6"/>
  <c r="A379" i="6"/>
  <c r="H378" i="6"/>
  <c r="E378" i="6"/>
  <c r="D378" i="6"/>
  <c r="C378" i="6"/>
  <c r="B378" i="6"/>
  <c r="A378" i="6"/>
  <c r="H377" i="6"/>
  <c r="E377" i="6"/>
  <c r="D377" i="6"/>
  <c r="C377" i="6"/>
  <c r="B377" i="6"/>
  <c r="A377" i="6"/>
  <c r="H376" i="6"/>
  <c r="E376" i="6"/>
  <c r="D376" i="6"/>
  <c r="C376" i="6"/>
  <c r="B376" i="6"/>
  <c r="A376" i="6"/>
  <c r="H375" i="6"/>
  <c r="E375" i="6"/>
  <c r="D375" i="6"/>
  <c r="C375" i="6"/>
  <c r="B375" i="6"/>
  <c r="A375" i="6"/>
  <c r="H374" i="6"/>
  <c r="E374" i="6"/>
  <c r="D374" i="6"/>
  <c r="C374" i="6"/>
  <c r="B374" i="6"/>
  <c r="A374" i="6"/>
  <c r="H373" i="6"/>
  <c r="E373" i="6"/>
  <c r="D373" i="6"/>
  <c r="C373" i="6"/>
  <c r="B373" i="6"/>
  <c r="A373" i="6"/>
  <c r="H372" i="6"/>
  <c r="E372" i="6"/>
  <c r="D372" i="6"/>
  <c r="C372" i="6"/>
  <c r="B372" i="6"/>
  <c r="A372" i="6"/>
  <c r="H371" i="6"/>
  <c r="E371" i="6"/>
  <c r="D371" i="6"/>
  <c r="C371" i="6"/>
  <c r="B371" i="6"/>
  <c r="A371" i="6"/>
  <c r="H370" i="6"/>
  <c r="E370" i="6"/>
  <c r="D370" i="6"/>
  <c r="C370" i="6"/>
  <c r="B370" i="6"/>
  <c r="A370" i="6"/>
  <c r="H369" i="6"/>
  <c r="E369" i="6"/>
  <c r="D369" i="6"/>
  <c r="C369" i="6"/>
  <c r="B369" i="6"/>
  <c r="A369" i="6"/>
  <c r="H368" i="6"/>
  <c r="E368" i="6"/>
  <c r="D368" i="6"/>
  <c r="C368" i="6"/>
  <c r="B368" i="6"/>
  <c r="A368" i="6"/>
  <c r="H367" i="6"/>
  <c r="E367" i="6"/>
  <c r="D367" i="6"/>
  <c r="C367" i="6"/>
  <c r="B367" i="6"/>
  <c r="A367" i="6"/>
  <c r="H366" i="6"/>
  <c r="E366" i="6"/>
  <c r="D366" i="6"/>
  <c r="C366" i="6"/>
  <c r="B366" i="6"/>
  <c r="A366" i="6"/>
  <c r="H365" i="6"/>
  <c r="E365" i="6"/>
  <c r="D365" i="6"/>
  <c r="C365" i="6"/>
  <c r="B365" i="6"/>
  <c r="A365" i="6"/>
  <c r="H364" i="6"/>
  <c r="E364" i="6"/>
  <c r="D364" i="6"/>
  <c r="C364" i="6"/>
  <c r="B364" i="6"/>
  <c r="A364" i="6"/>
  <c r="H363" i="6"/>
  <c r="E363" i="6"/>
  <c r="D363" i="6"/>
  <c r="C363" i="6"/>
  <c r="B363" i="6"/>
  <c r="A363" i="6"/>
  <c r="H362" i="6"/>
  <c r="E362" i="6"/>
  <c r="D362" i="6"/>
  <c r="C362" i="6"/>
  <c r="B362" i="6"/>
  <c r="A362" i="6"/>
  <c r="H361" i="6"/>
  <c r="E361" i="6"/>
  <c r="D361" i="6"/>
  <c r="C361" i="6"/>
  <c r="B361" i="6"/>
  <c r="A361" i="6"/>
  <c r="H360" i="6"/>
  <c r="E360" i="6"/>
  <c r="D360" i="6"/>
  <c r="C360" i="6"/>
  <c r="B360" i="6"/>
  <c r="A360" i="6"/>
  <c r="H359" i="6"/>
  <c r="E359" i="6"/>
  <c r="D359" i="6"/>
  <c r="C359" i="6"/>
  <c r="B359" i="6"/>
  <c r="A359" i="6"/>
  <c r="H358" i="6"/>
  <c r="E358" i="6"/>
  <c r="D358" i="6"/>
  <c r="C358" i="6"/>
  <c r="B358" i="6"/>
  <c r="A358" i="6"/>
  <c r="H357" i="6"/>
  <c r="E357" i="6"/>
  <c r="D357" i="6"/>
  <c r="C357" i="6"/>
  <c r="B357" i="6"/>
  <c r="A357" i="6"/>
  <c r="H356" i="6"/>
  <c r="E356" i="6"/>
  <c r="D356" i="6"/>
  <c r="C356" i="6"/>
  <c r="B356" i="6"/>
  <c r="A356" i="6"/>
  <c r="H355" i="6"/>
  <c r="E355" i="6"/>
  <c r="D355" i="6"/>
  <c r="C355" i="6"/>
  <c r="B355" i="6"/>
  <c r="A355" i="6"/>
  <c r="H354" i="6"/>
  <c r="E354" i="6"/>
  <c r="D354" i="6"/>
  <c r="C354" i="6"/>
  <c r="B354" i="6"/>
  <c r="A354" i="6"/>
  <c r="H353" i="6"/>
  <c r="E353" i="6"/>
  <c r="D353" i="6"/>
  <c r="C353" i="6"/>
  <c r="B353" i="6"/>
  <c r="A353" i="6"/>
  <c r="H352" i="6"/>
  <c r="E352" i="6"/>
  <c r="D352" i="6"/>
  <c r="C352" i="6"/>
  <c r="B352" i="6"/>
  <c r="A352" i="6"/>
  <c r="H351" i="6"/>
  <c r="E351" i="6"/>
  <c r="D351" i="6"/>
  <c r="C351" i="6"/>
  <c r="B351" i="6"/>
  <c r="A351" i="6"/>
  <c r="H350" i="6"/>
  <c r="E350" i="6"/>
  <c r="D350" i="6"/>
  <c r="C350" i="6"/>
  <c r="B350" i="6"/>
  <c r="A350" i="6"/>
  <c r="H349" i="6"/>
  <c r="E349" i="6"/>
  <c r="D349" i="6"/>
  <c r="C349" i="6"/>
  <c r="B349" i="6"/>
  <c r="A349" i="6"/>
  <c r="H348" i="6"/>
  <c r="E348" i="6"/>
  <c r="D348" i="6"/>
  <c r="C348" i="6"/>
  <c r="B348" i="6"/>
  <c r="A348" i="6"/>
  <c r="H347" i="6"/>
  <c r="E347" i="6"/>
  <c r="D347" i="6"/>
  <c r="C347" i="6"/>
  <c r="B347" i="6"/>
  <c r="A347" i="6"/>
  <c r="H346" i="6"/>
  <c r="E346" i="6"/>
  <c r="D346" i="6"/>
  <c r="C346" i="6"/>
  <c r="B346" i="6"/>
  <c r="A346" i="6"/>
  <c r="H345" i="6"/>
  <c r="E345" i="6"/>
  <c r="D345" i="6"/>
  <c r="C345" i="6"/>
  <c r="B345" i="6"/>
  <c r="A345" i="6"/>
  <c r="H344" i="6"/>
  <c r="E344" i="6"/>
  <c r="D344" i="6"/>
  <c r="C344" i="6"/>
  <c r="B344" i="6"/>
  <c r="A344" i="6"/>
  <c r="H343" i="6"/>
  <c r="E343" i="6"/>
  <c r="D343" i="6"/>
  <c r="C343" i="6"/>
  <c r="B343" i="6"/>
  <c r="A343" i="6"/>
  <c r="H342" i="6"/>
  <c r="E342" i="6"/>
  <c r="D342" i="6"/>
  <c r="C342" i="6"/>
  <c r="B342" i="6"/>
  <c r="A342" i="6"/>
  <c r="H341" i="6"/>
  <c r="E341" i="6"/>
  <c r="D341" i="6"/>
  <c r="C341" i="6"/>
  <c r="B341" i="6"/>
  <c r="A341" i="6"/>
  <c r="H340" i="6"/>
  <c r="E340" i="6"/>
  <c r="D340" i="6"/>
  <c r="C340" i="6"/>
  <c r="B340" i="6"/>
  <c r="A340" i="6"/>
  <c r="H339" i="6"/>
  <c r="E339" i="6"/>
  <c r="D339" i="6"/>
  <c r="C339" i="6"/>
  <c r="B339" i="6"/>
  <c r="A339" i="6"/>
  <c r="H338" i="6"/>
  <c r="E338" i="6"/>
  <c r="D338" i="6"/>
  <c r="C338" i="6"/>
  <c r="B338" i="6"/>
  <c r="A338" i="6"/>
  <c r="H337" i="6"/>
  <c r="E337" i="6"/>
  <c r="D337" i="6"/>
  <c r="C337" i="6"/>
  <c r="B337" i="6"/>
  <c r="A337" i="6"/>
  <c r="H336" i="6"/>
  <c r="E336" i="6"/>
  <c r="D336" i="6"/>
  <c r="C336" i="6"/>
  <c r="B336" i="6"/>
  <c r="A336" i="6"/>
  <c r="H335" i="6"/>
  <c r="E335" i="6"/>
  <c r="D335" i="6"/>
  <c r="C335" i="6"/>
  <c r="B335" i="6"/>
  <c r="A335" i="6"/>
  <c r="H334" i="6"/>
  <c r="E334" i="6"/>
  <c r="D334" i="6"/>
  <c r="C334" i="6"/>
  <c r="B334" i="6"/>
  <c r="A334" i="6"/>
  <c r="H333" i="6"/>
  <c r="E333" i="6"/>
  <c r="D333" i="6"/>
  <c r="C333" i="6"/>
  <c r="B333" i="6"/>
  <c r="A333" i="6"/>
  <c r="H332" i="6"/>
  <c r="E332" i="6"/>
  <c r="D332" i="6"/>
  <c r="C332" i="6"/>
  <c r="B332" i="6"/>
  <c r="A332" i="6"/>
  <c r="H331" i="6"/>
  <c r="E331" i="6"/>
  <c r="D331" i="6"/>
  <c r="C331" i="6"/>
  <c r="B331" i="6"/>
  <c r="A331" i="6"/>
  <c r="H330" i="6"/>
  <c r="E330" i="6"/>
  <c r="D330" i="6"/>
  <c r="C330" i="6"/>
  <c r="B330" i="6"/>
  <c r="A330" i="6"/>
  <c r="H329" i="6"/>
  <c r="E329" i="6"/>
  <c r="D329" i="6"/>
  <c r="C329" i="6"/>
  <c r="B329" i="6"/>
  <c r="A329" i="6"/>
  <c r="H328" i="6"/>
  <c r="E328" i="6"/>
  <c r="D328" i="6"/>
  <c r="C328" i="6"/>
  <c r="B328" i="6"/>
  <c r="A328" i="6"/>
  <c r="H327" i="6"/>
  <c r="E327" i="6"/>
  <c r="D327" i="6"/>
  <c r="C327" i="6"/>
  <c r="B327" i="6"/>
  <c r="A327" i="6"/>
  <c r="H326" i="6"/>
  <c r="E326" i="6"/>
  <c r="D326" i="6"/>
  <c r="C326" i="6"/>
  <c r="B326" i="6"/>
  <c r="A326" i="6"/>
  <c r="H325" i="6"/>
  <c r="E325" i="6"/>
  <c r="D325" i="6"/>
  <c r="C325" i="6"/>
  <c r="B325" i="6"/>
  <c r="A325" i="6"/>
  <c r="H324" i="6"/>
  <c r="E324" i="6"/>
  <c r="D324" i="6"/>
  <c r="C324" i="6"/>
  <c r="B324" i="6"/>
  <c r="A324" i="6"/>
  <c r="H323" i="6"/>
  <c r="E323" i="6"/>
  <c r="D323" i="6"/>
  <c r="C323" i="6"/>
  <c r="B323" i="6"/>
  <c r="A323" i="6"/>
  <c r="H322" i="6"/>
  <c r="E322" i="6"/>
  <c r="D322" i="6"/>
  <c r="C322" i="6"/>
  <c r="B322" i="6"/>
  <c r="A322" i="6"/>
  <c r="H321" i="6"/>
  <c r="E321" i="6"/>
  <c r="D321" i="6"/>
  <c r="C321" i="6"/>
  <c r="B321" i="6"/>
  <c r="A321" i="6"/>
  <c r="H320" i="6"/>
  <c r="E320" i="6"/>
  <c r="D320" i="6"/>
  <c r="C320" i="6"/>
  <c r="B320" i="6"/>
  <c r="A320" i="6"/>
  <c r="H319" i="6"/>
  <c r="E319" i="6"/>
  <c r="D319" i="6"/>
  <c r="C319" i="6"/>
  <c r="B319" i="6"/>
  <c r="A319" i="6"/>
  <c r="H318" i="6"/>
  <c r="E318" i="6"/>
  <c r="D318" i="6"/>
  <c r="C318" i="6"/>
  <c r="B318" i="6"/>
  <c r="A318" i="6"/>
  <c r="H317" i="6"/>
  <c r="E317" i="6"/>
  <c r="D317" i="6"/>
  <c r="C317" i="6"/>
  <c r="B317" i="6"/>
  <c r="A317" i="6"/>
  <c r="H316" i="6"/>
  <c r="E316" i="6"/>
  <c r="D316" i="6"/>
  <c r="C316" i="6"/>
  <c r="B316" i="6"/>
  <c r="A316" i="6"/>
  <c r="H315" i="6"/>
  <c r="E315" i="6"/>
  <c r="D315" i="6"/>
  <c r="C315" i="6"/>
  <c r="B315" i="6"/>
  <c r="A315" i="6"/>
  <c r="H314" i="6"/>
  <c r="E314" i="6"/>
  <c r="D314" i="6"/>
  <c r="C314" i="6"/>
  <c r="B314" i="6"/>
  <c r="A314" i="6"/>
  <c r="H313" i="6"/>
  <c r="E313" i="6"/>
  <c r="D313" i="6"/>
  <c r="C313" i="6"/>
  <c r="B313" i="6"/>
  <c r="A313" i="6"/>
  <c r="H312" i="6"/>
  <c r="E312" i="6"/>
  <c r="D312" i="6"/>
  <c r="C312" i="6"/>
  <c r="B312" i="6"/>
  <c r="A312" i="6"/>
  <c r="H311" i="6"/>
  <c r="E311" i="6"/>
  <c r="D311" i="6"/>
  <c r="C311" i="6"/>
  <c r="B311" i="6"/>
  <c r="A311" i="6"/>
  <c r="H310" i="6"/>
  <c r="E310" i="6"/>
  <c r="D310" i="6"/>
  <c r="C310" i="6"/>
  <c r="B310" i="6"/>
  <c r="A310" i="6"/>
  <c r="H309" i="6"/>
  <c r="E309" i="6"/>
  <c r="D309" i="6"/>
  <c r="C309" i="6"/>
  <c r="B309" i="6"/>
  <c r="A309" i="6"/>
  <c r="H308" i="6"/>
  <c r="E308" i="6"/>
  <c r="D308" i="6"/>
  <c r="C308" i="6"/>
  <c r="B308" i="6"/>
  <c r="A308" i="6"/>
  <c r="H307" i="6"/>
  <c r="E307" i="6"/>
  <c r="D307" i="6"/>
  <c r="C307" i="6"/>
  <c r="B307" i="6"/>
  <c r="A307" i="6"/>
  <c r="H306" i="6"/>
  <c r="E306" i="6"/>
  <c r="D306" i="6"/>
  <c r="C306" i="6"/>
  <c r="B306" i="6"/>
  <c r="A306" i="6"/>
  <c r="H305" i="6"/>
  <c r="E305" i="6"/>
  <c r="D305" i="6"/>
  <c r="C305" i="6"/>
  <c r="B305" i="6"/>
  <c r="A305" i="6"/>
  <c r="H304" i="6"/>
  <c r="E304" i="6"/>
  <c r="D304" i="6"/>
  <c r="C304" i="6"/>
  <c r="B304" i="6"/>
  <c r="A304" i="6"/>
  <c r="H303" i="6"/>
  <c r="E303" i="6"/>
  <c r="D303" i="6"/>
  <c r="C303" i="6"/>
  <c r="B303" i="6"/>
  <c r="A303" i="6"/>
  <c r="H302" i="6"/>
  <c r="E302" i="6"/>
  <c r="D302" i="6"/>
  <c r="C302" i="6"/>
  <c r="B302" i="6"/>
  <c r="A302" i="6"/>
  <c r="H301" i="6"/>
  <c r="E301" i="6"/>
  <c r="D301" i="6"/>
  <c r="C301" i="6"/>
  <c r="B301" i="6"/>
  <c r="A301" i="6"/>
  <c r="H300" i="6"/>
  <c r="E300" i="6"/>
  <c r="D300" i="6"/>
  <c r="C300" i="6"/>
  <c r="B300" i="6"/>
  <c r="A300" i="6"/>
  <c r="H299" i="6"/>
  <c r="E299" i="6"/>
  <c r="D299" i="6"/>
  <c r="C299" i="6"/>
  <c r="B299" i="6"/>
  <c r="A299" i="6"/>
  <c r="H298" i="6"/>
  <c r="E298" i="6"/>
  <c r="D298" i="6"/>
  <c r="C298" i="6"/>
  <c r="B298" i="6"/>
  <c r="A298" i="6"/>
  <c r="H297" i="6"/>
  <c r="E297" i="6"/>
  <c r="D297" i="6"/>
  <c r="C297" i="6"/>
  <c r="B297" i="6"/>
  <c r="A297" i="6"/>
  <c r="H296" i="6"/>
  <c r="E296" i="6"/>
  <c r="D296" i="6"/>
  <c r="C296" i="6"/>
  <c r="B296" i="6"/>
  <c r="A296" i="6"/>
  <c r="H295" i="6"/>
  <c r="E295" i="6"/>
  <c r="D295" i="6"/>
  <c r="C295" i="6"/>
  <c r="B295" i="6"/>
  <c r="A295" i="6"/>
  <c r="H294" i="6"/>
  <c r="E294" i="6"/>
  <c r="D294" i="6"/>
  <c r="C294" i="6"/>
  <c r="B294" i="6"/>
  <c r="A294" i="6"/>
  <c r="H293" i="6"/>
  <c r="E293" i="6"/>
  <c r="D293" i="6"/>
  <c r="C293" i="6"/>
  <c r="B293" i="6"/>
  <c r="A293" i="6"/>
  <c r="H292" i="6"/>
  <c r="E292" i="6"/>
  <c r="D292" i="6"/>
  <c r="C292" i="6"/>
  <c r="B292" i="6"/>
  <c r="A292" i="6"/>
  <c r="H291" i="6"/>
  <c r="E291" i="6"/>
  <c r="D291" i="6"/>
  <c r="C291" i="6"/>
  <c r="B291" i="6"/>
  <c r="A291" i="6"/>
  <c r="H290" i="6"/>
  <c r="E290" i="6"/>
  <c r="D290" i="6"/>
  <c r="C290" i="6"/>
  <c r="B290" i="6"/>
  <c r="A290" i="6"/>
  <c r="H289" i="6"/>
  <c r="E289" i="6"/>
  <c r="D289" i="6"/>
  <c r="C289" i="6"/>
  <c r="B289" i="6"/>
  <c r="A289" i="6"/>
  <c r="H288" i="6"/>
  <c r="E288" i="6"/>
  <c r="D288" i="6"/>
  <c r="C288" i="6"/>
  <c r="B288" i="6"/>
  <c r="A288" i="6"/>
  <c r="H287" i="6"/>
  <c r="E287" i="6"/>
  <c r="D287" i="6"/>
  <c r="C287" i="6"/>
  <c r="B287" i="6"/>
  <c r="A287" i="6"/>
  <c r="H286" i="6"/>
  <c r="E286" i="6"/>
  <c r="D286" i="6"/>
  <c r="C286" i="6"/>
  <c r="B286" i="6"/>
  <c r="A286" i="6"/>
  <c r="H285" i="6"/>
  <c r="E285" i="6"/>
  <c r="D285" i="6"/>
  <c r="C285" i="6"/>
  <c r="B285" i="6"/>
  <c r="A285" i="6"/>
  <c r="H284" i="6"/>
  <c r="E284" i="6"/>
  <c r="D284" i="6"/>
  <c r="C284" i="6"/>
  <c r="B284" i="6"/>
  <c r="A284" i="6"/>
  <c r="H283" i="6"/>
  <c r="E283" i="6"/>
  <c r="D283" i="6"/>
  <c r="C283" i="6"/>
  <c r="B283" i="6"/>
  <c r="A283" i="6"/>
  <c r="H282" i="6"/>
  <c r="E282" i="6"/>
  <c r="D282" i="6"/>
  <c r="C282" i="6"/>
  <c r="B282" i="6"/>
  <c r="A282" i="6"/>
  <c r="H281" i="6"/>
  <c r="E281" i="6"/>
  <c r="D281" i="6"/>
  <c r="C281" i="6"/>
  <c r="B281" i="6"/>
  <c r="A281" i="6"/>
  <c r="H280" i="6"/>
  <c r="E280" i="6"/>
  <c r="D280" i="6"/>
  <c r="C280" i="6"/>
  <c r="B280" i="6"/>
  <c r="A280" i="6"/>
  <c r="H279" i="6"/>
  <c r="E279" i="6"/>
  <c r="D279" i="6"/>
  <c r="C279" i="6"/>
  <c r="B279" i="6"/>
  <c r="A279" i="6"/>
  <c r="H278" i="6"/>
  <c r="E278" i="6"/>
  <c r="D278" i="6"/>
  <c r="C278" i="6"/>
  <c r="B278" i="6"/>
  <c r="A278" i="6"/>
  <c r="H277" i="6"/>
  <c r="E277" i="6"/>
  <c r="D277" i="6"/>
  <c r="C277" i="6"/>
  <c r="B277" i="6"/>
  <c r="A277" i="6"/>
  <c r="H276" i="6"/>
  <c r="E276" i="6"/>
  <c r="D276" i="6"/>
  <c r="C276" i="6"/>
  <c r="B276" i="6"/>
  <c r="A276" i="6"/>
  <c r="H275" i="6"/>
  <c r="E275" i="6"/>
  <c r="D275" i="6"/>
  <c r="C275" i="6"/>
  <c r="B275" i="6"/>
  <c r="A275" i="6"/>
  <c r="H274" i="6"/>
  <c r="E274" i="6"/>
  <c r="D274" i="6"/>
  <c r="C274" i="6"/>
  <c r="B274" i="6"/>
  <c r="A274" i="6"/>
  <c r="H273" i="6"/>
  <c r="E273" i="6"/>
  <c r="D273" i="6"/>
  <c r="C273" i="6"/>
  <c r="B273" i="6"/>
  <c r="A273" i="6"/>
  <c r="H272" i="6"/>
  <c r="E272" i="6"/>
  <c r="D272" i="6"/>
  <c r="C272" i="6"/>
  <c r="B272" i="6"/>
  <c r="A272" i="6"/>
  <c r="H271" i="6"/>
  <c r="E271" i="6"/>
  <c r="D271" i="6"/>
  <c r="C271" i="6"/>
  <c r="B271" i="6"/>
  <c r="A271" i="6"/>
  <c r="H270" i="6"/>
  <c r="E270" i="6"/>
  <c r="D270" i="6"/>
  <c r="C270" i="6"/>
  <c r="B270" i="6"/>
  <c r="A270" i="6"/>
  <c r="H269" i="6"/>
  <c r="E269" i="6"/>
  <c r="D269" i="6"/>
  <c r="C269" i="6"/>
  <c r="B269" i="6"/>
  <c r="A269" i="6"/>
  <c r="H268" i="6"/>
  <c r="E268" i="6"/>
  <c r="D268" i="6"/>
  <c r="C268" i="6"/>
  <c r="B268" i="6"/>
  <c r="A268" i="6"/>
  <c r="H267" i="6"/>
  <c r="E267" i="6"/>
  <c r="D267" i="6"/>
  <c r="C267" i="6"/>
  <c r="B267" i="6"/>
  <c r="A267" i="6"/>
  <c r="H266" i="6"/>
  <c r="E266" i="6"/>
  <c r="D266" i="6"/>
  <c r="C266" i="6"/>
  <c r="B266" i="6"/>
  <c r="A266" i="6"/>
  <c r="H265" i="6"/>
  <c r="E265" i="6"/>
  <c r="D265" i="6"/>
  <c r="C265" i="6"/>
  <c r="B265" i="6"/>
  <c r="A265" i="6"/>
  <c r="H264" i="6"/>
  <c r="E264" i="6"/>
  <c r="D264" i="6"/>
  <c r="C264" i="6"/>
  <c r="B264" i="6"/>
  <c r="A264" i="6"/>
  <c r="H263" i="6"/>
  <c r="E263" i="6"/>
  <c r="D263" i="6"/>
  <c r="C263" i="6"/>
  <c r="B263" i="6"/>
  <c r="A263" i="6"/>
  <c r="H262" i="6"/>
  <c r="E262" i="6"/>
  <c r="D262" i="6"/>
  <c r="C262" i="6"/>
  <c r="B262" i="6"/>
  <c r="A262" i="6"/>
  <c r="H261" i="6"/>
  <c r="E261" i="6"/>
  <c r="D261" i="6"/>
  <c r="C261" i="6"/>
  <c r="B261" i="6"/>
  <c r="A261" i="6"/>
  <c r="H260" i="6"/>
  <c r="E260" i="6"/>
  <c r="D260" i="6"/>
  <c r="C260" i="6"/>
  <c r="B260" i="6"/>
  <c r="A260" i="6"/>
  <c r="H259" i="6"/>
  <c r="E259" i="6"/>
  <c r="D259" i="6"/>
  <c r="C259" i="6"/>
  <c r="B259" i="6"/>
  <c r="A259" i="6"/>
  <c r="H258" i="6"/>
  <c r="E258" i="6"/>
  <c r="D258" i="6"/>
  <c r="C258" i="6"/>
  <c r="B258" i="6"/>
  <c r="A258" i="6"/>
  <c r="H257" i="6"/>
  <c r="E257" i="6"/>
  <c r="D257" i="6"/>
  <c r="C257" i="6"/>
  <c r="B257" i="6"/>
  <c r="A257" i="6"/>
  <c r="H256" i="6"/>
  <c r="E256" i="6"/>
  <c r="D256" i="6"/>
  <c r="C256" i="6"/>
  <c r="B256" i="6"/>
  <c r="A256" i="6"/>
  <c r="H255" i="6"/>
  <c r="E255" i="6"/>
  <c r="D255" i="6"/>
  <c r="C255" i="6"/>
  <c r="B255" i="6"/>
  <c r="A255" i="6"/>
  <c r="H254" i="6"/>
  <c r="E254" i="6"/>
  <c r="D254" i="6"/>
  <c r="C254" i="6"/>
  <c r="B254" i="6"/>
  <c r="A254" i="6"/>
  <c r="H253" i="6"/>
  <c r="E253" i="6"/>
  <c r="D253" i="6"/>
  <c r="C253" i="6"/>
  <c r="B253" i="6"/>
  <c r="A253" i="6"/>
  <c r="H252" i="6"/>
  <c r="E252" i="6"/>
  <c r="D252" i="6"/>
  <c r="C252" i="6"/>
  <c r="B252" i="6"/>
  <c r="A252" i="6"/>
  <c r="H251" i="6"/>
  <c r="E251" i="6"/>
  <c r="D251" i="6"/>
  <c r="C251" i="6"/>
  <c r="B251" i="6"/>
  <c r="A251" i="6"/>
  <c r="H250" i="6"/>
  <c r="E250" i="6"/>
  <c r="D250" i="6"/>
  <c r="C250" i="6"/>
  <c r="B250" i="6"/>
  <c r="A250" i="6"/>
  <c r="H249" i="6"/>
  <c r="E249" i="6"/>
  <c r="D249" i="6"/>
  <c r="C249" i="6"/>
  <c r="B249" i="6"/>
  <c r="A249" i="6"/>
  <c r="H248" i="6"/>
  <c r="E248" i="6"/>
  <c r="D248" i="6"/>
  <c r="C248" i="6"/>
  <c r="B248" i="6"/>
  <c r="A248" i="6"/>
  <c r="H247" i="6"/>
  <c r="E247" i="6"/>
  <c r="D247" i="6"/>
  <c r="C247" i="6"/>
  <c r="B247" i="6"/>
  <c r="A247" i="6"/>
  <c r="H246" i="6"/>
  <c r="E246" i="6"/>
  <c r="D246" i="6"/>
  <c r="C246" i="6"/>
  <c r="B246" i="6"/>
  <c r="A246" i="6"/>
  <c r="H245" i="6"/>
  <c r="E245" i="6"/>
  <c r="D245" i="6"/>
  <c r="C245" i="6"/>
  <c r="B245" i="6"/>
  <c r="A245" i="6"/>
  <c r="H244" i="6"/>
  <c r="E244" i="6"/>
  <c r="D244" i="6"/>
  <c r="C244" i="6"/>
  <c r="B244" i="6"/>
  <c r="A244" i="6"/>
  <c r="H243" i="6"/>
  <c r="E243" i="6"/>
  <c r="D243" i="6"/>
  <c r="C243" i="6"/>
  <c r="B243" i="6"/>
  <c r="A243" i="6"/>
  <c r="H242" i="6"/>
  <c r="E242" i="6"/>
  <c r="D242" i="6"/>
  <c r="C242" i="6"/>
  <c r="B242" i="6"/>
  <c r="A242" i="6"/>
  <c r="H241" i="6"/>
  <c r="E241" i="6"/>
  <c r="D241" i="6"/>
  <c r="C241" i="6"/>
  <c r="B241" i="6"/>
  <c r="A241" i="6"/>
  <c r="H240" i="6"/>
  <c r="E240" i="6"/>
  <c r="D240" i="6"/>
  <c r="C240" i="6"/>
  <c r="B240" i="6"/>
  <c r="A240" i="6"/>
  <c r="H239" i="6"/>
  <c r="E239" i="6"/>
  <c r="D239" i="6"/>
  <c r="C239" i="6"/>
  <c r="B239" i="6"/>
  <c r="A239" i="6"/>
  <c r="H238" i="6"/>
  <c r="E238" i="6"/>
  <c r="D238" i="6"/>
  <c r="C238" i="6"/>
  <c r="B238" i="6"/>
  <c r="A238" i="6"/>
  <c r="H237" i="6"/>
  <c r="E237" i="6"/>
  <c r="D237" i="6"/>
  <c r="C237" i="6"/>
  <c r="B237" i="6"/>
  <c r="A237" i="6"/>
  <c r="H236" i="6"/>
  <c r="E236" i="6"/>
  <c r="D236" i="6"/>
  <c r="C236" i="6"/>
  <c r="B236" i="6"/>
  <c r="A236" i="6"/>
  <c r="H235" i="6"/>
  <c r="E235" i="6"/>
  <c r="D235" i="6"/>
  <c r="C235" i="6"/>
  <c r="B235" i="6"/>
  <c r="A235" i="6"/>
  <c r="H234" i="6"/>
  <c r="E234" i="6"/>
  <c r="D234" i="6"/>
  <c r="C234" i="6"/>
  <c r="B234" i="6"/>
  <c r="A234" i="6"/>
  <c r="H233" i="6"/>
  <c r="E233" i="6"/>
  <c r="D233" i="6"/>
  <c r="C233" i="6"/>
  <c r="B233" i="6"/>
  <c r="A233" i="6"/>
  <c r="H232" i="6"/>
  <c r="E232" i="6"/>
  <c r="D232" i="6"/>
  <c r="C232" i="6"/>
  <c r="B232" i="6"/>
  <c r="A232" i="6"/>
  <c r="H231" i="6"/>
  <c r="E231" i="6"/>
  <c r="D231" i="6"/>
  <c r="C231" i="6"/>
  <c r="B231" i="6"/>
  <c r="A231" i="6"/>
  <c r="H230" i="6"/>
  <c r="E230" i="6"/>
  <c r="D230" i="6"/>
  <c r="C230" i="6"/>
  <c r="B230" i="6"/>
  <c r="A230" i="6"/>
  <c r="H229" i="6"/>
  <c r="E229" i="6"/>
  <c r="D229" i="6"/>
  <c r="C229" i="6"/>
  <c r="B229" i="6"/>
  <c r="A229" i="6"/>
  <c r="H228" i="6"/>
  <c r="E228" i="6"/>
  <c r="D228" i="6"/>
  <c r="C228" i="6"/>
  <c r="B228" i="6"/>
  <c r="A228" i="6"/>
  <c r="H227" i="6"/>
  <c r="E227" i="6"/>
  <c r="D227" i="6"/>
  <c r="C227" i="6"/>
  <c r="B227" i="6"/>
  <c r="A227" i="6"/>
  <c r="H226" i="6"/>
  <c r="E226" i="6"/>
  <c r="D226" i="6"/>
  <c r="C226" i="6"/>
  <c r="B226" i="6"/>
  <c r="A226" i="6"/>
  <c r="H225" i="6"/>
  <c r="E225" i="6"/>
  <c r="D225" i="6"/>
  <c r="C225" i="6"/>
  <c r="B225" i="6"/>
  <c r="A225" i="6"/>
  <c r="H224" i="6"/>
  <c r="E224" i="6"/>
  <c r="D224" i="6"/>
  <c r="C224" i="6"/>
  <c r="B224" i="6"/>
  <c r="A224" i="6"/>
  <c r="H223" i="6"/>
  <c r="E223" i="6"/>
  <c r="D223" i="6"/>
  <c r="C223" i="6"/>
  <c r="B223" i="6"/>
  <c r="A223" i="6"/>
  <c r="H222" i="6"/>
  <c r="E222" i="6"/>
  <c r="D222" i="6"/>
  <c r="C222" i="6"/>
  <c r="B222" i="6"/>
  <c r="A222" i="6"/>
  <c r="H221" i="6"/>
  <c r="E221" i="6"/>
  <c r="D221" i="6"/>
  <c r="C221" i="6"/>
  <c r="B221" i="6"/>
  <c r="A221" i="6"/>
  <c r="H220" i="6"/>
  <c r="E220" i="6"/>
  <c r="D220" i="6"/>
  <c r="C220" i="6"/>
  <c r="B220" i="6"/>
  <c r="A220" i="6"/>
  <c r="H219" i="6"/>
  <c r="E219" i="6"/>
  <c r="D219" i="6"/>
  <c r="C219" i="6"/>
  <c r="B219" i="6"/>
  <c r="A219" i="6"/>
  <c r="H218" i="6"/>
  <c r="E218" i="6"/>
  <c r="D218" i="6"/>
  <c r="C218" i="6"/>
  <c r="B218" i="6"/>
  <c r="A218" i="6"/>
  <c r="H217" i="6"/>
  <c r="E217" i="6"/>
  <c r="D217" i="6"/>
  <c r="C217" i="6"/>
  <c r="B217" i="6"/>
  <c r="A217" i="6"/>
  <c r="H216" i="6"/>
  <c r="E216" i="6"/>
  <c r="D216" i="6"/>
  <c r="C216" i="6"/>
  <c r="B216" i="6"/>
  <c r="A216" i="6"/>
  <c r="H215" i="6"/>
  <c r="E215" i="6"/>
  <c r="D215" i="6"/>
  <c r="C215" i="6"/>
  <c r="B215" i="6"/>
  <c r="A215" i="6"/>
  <c r="H214" i="6"/>
  <c r="E214" i="6"/>
  <c r="D214" i="6"/>
  <c r="C214" i="6"/>
  <c r="B214" i="6"/>
  <c r="A214" i="6"/>
  <c r="H213" i="6"/>
  <c r="E213" i="6"/>
  <c r="D213" i="6"/>
  <c r="C213" i="6"/>
  <c r="B213" i="6"/>
  <c r="A213" i="6"/>
  <c r="H212" i="6"/>
  <c r="E212" i="6"/>
  <c r="D212" i="6"/>
  <c r="C212" i="6"/>
  <c r="B212" i="6"/>
  <c r="A212" i="6"/>
  <c r="H211" i="6"/>
  <c r="E211" i="6"/>
  <c r="D211" i="6"/>
  <c r="C211" i="6"/>
  <c r="B211" i="6"/>
  <c r="A211" i="6"/>
  <c r="H210" i="6"/>
  <c r="E210" i="6"/>
  <c r="D210" i="6"/>
  <c r="C210" i="6"/>
  <c r="B210" i="6"/>
  <c r="A210" i="6"/>
  <c r="H209" i="6"/>
  <c r="E209" i="6"/>
  <c r="D209" i="6"/>
  <c r="C209" i="6"/>
  <c r="B209" i="6"/>
  <c r="A209" i="6"/>
  <c r="H208" i="6"/>
  <c r="E208" i="6"/>
  <c r="D208" i="6"/>
  <c r="C208" i="6"/>
  <c r="B208" i="6"/>
  <c r="A208" i="6"/>
  <c r="H207" i="6"/>
  <c r="E207" i="6"/>
  <c r="D207" i="6"/>
  <c r="C207" i="6"/>
  <c r="B207" i="6"/>
  <c r="A207" i="6"/>
  <c r="H206" i="6"/>
  <c r="E206" i="6"/>
  <c r="D206" i="6"/>
  <c r="C206" i="6"/>
  <c r="B206" i="6"/>
  <c r="A206" i="6"/>
  <c r="H205" i="6"/>
  <c r="E205" i="6"/>
  <c r="D205" i="6"/>
  <c r="C205" i="6"/>
  <c r="B205" i="6"/>
  <c r="A205" i="6"/>
  <c r="H204" i="6"/>
  <c r="E204" i="6"/>
  <c r="D204" i="6"/>
  <c r="C204" i="6"/>
  <c r="B204" i="6"/>
  <c r="A204" i="6"/>
  <c r="H203" i="6"/>
  <c r="E203" i="6"/>
  <c r="D203" i="6"/>
  <c r="C203" i="6"/>
  <c r="B203" i="6"/>
  <c r="A203" i="6"/>
  <c r="H202" i="6"/>
  <c r="E202" i="6"/>
  <c r="D202" i="6"/>
  <c r="C202" i="6"/>
  <c r="B202" i="6"/>
  <c r="A202" i="6"/>
  <c r="H201" i="6"/>
  <c r="E201" i="6"/>
  <c r="D201" i="6"/>
  <c r="C201" i="6"/>
  <c r="B201" i="6"/>
  <c r="A201" i="6"/>
  <c r="H200" i="6"/>
  <c r="E200" i="6"/>
  <c r="D200" i="6"/>
  <c r="C200" i="6"/>
  <c r="B200" i="6"/>
  <c r="A200" i="6"/>
  <c r="H199" i="6"/>
  <c r="E199" i="6"/>
  <c r="D199" i="6"/>
  <c r="C199" i="6"/>
  <c r="B199" i="6"/>
  <c r="A199" i="6"/>
  <c r="H198" i="6"/>
  <c r="E198" i="6"/>
  <c r="D198" i="6"/>
  <c r="C198" i="6"/>
  <c r="B198" i="6"/>
  <c r="A198" i="6"/>
  <c r="H197" i="6"/>
  <c r="E197" i="6"/>
  <c r="D197" i="6"/>
  <c r="C197" i="6"/>
  <c r="B197" i="6"/>
  <c r="A197" i="6"/>
  <c r="H196" i="6"/>
  <c r="E196" i="6"/>
  <c r="D196" i="6"/>
  <c r="C196" i="6"/>
  <c r="B196" i="6"/>
  <c r="A196" i="6"/>
  <c r="H195" i="6"/>
  <c r="E195" i="6"/>
  <c r="D195" i="6"/>
  <c r="C195" i="6"/>
  <c r="B195" i="6"/>
  <c r="A195" i="6"/>
  <c r="H194" i="6"/>
  <c r="E194" i="6"/>
  <c r="D194" i="6"/>
  <c r="C194" i="6"/>
  <c r="B194" i="6"/>
  <c r="A194" i="6"/>
  <c r="H193" i="6"/>
  <c r="E193" i="6"/>
  <c r="D193" i="6"/>
  <c r="C193" i="6"/>
  <c r="B193" i="6"/>
  <c r="A193" i="6"/>
  <c r="H192" i="6"/>
  <c r="E192" i="6"/>
  <c r="D192" i="6"/>
  <c r="C192" i="6"/>
  <c r="B192" i="6"/>
  <c r="A192" i="6"/>
  <c r="H191" i="6"/>
  <c r="E191" i="6"/>
  <c r="D191" i="6"/>
  <c r="C191" i="6"/>
  <c r="B191" i="6"/>
  <c r="A191" i="6"/>
  <c r="H190" i="6"/>
  <c r="E190" i="6"/>
  <c r="D190" i="6"/>
  <c r="C190" i="6"/>
  <c r="B190" i="6"/>
  <c r="A190" i="6"/>
  <c r="H189" i="6"/>
  <c r="E189" i="6"/>
  <c r="D189" i="6"/>
  <c r="C189" i="6"/>
  <c r="B189" i="6"/>
  <c r="A189" i="6"/>
  <c r="H188" i="6"/>
  <c r="E188" i="6"/>
  <c r="D188" i="6"/>
  <c r="C188" i="6"/>
  <c r="B188" i="6"/>
  <c r="A188" i="6"/>
  <c r="H187" i="6"/>
  <c r="E187" i="6"/>
  <c r="D187" i="6"/>
  <c r="C187" i="6"/>
  <c r="B187" i="6"/>
  <c r="A187" i="6"/>
  <c r="H186" i="6"/>
  <c r="E186" i="6"/>
  <c r="D186" i="6"/>
  <c r="C186" i="6"/>
  <c r="B186" i="6"/>
  <c r="A186" i="6"/>
  <c r="H185" i="6"/>
  <c r="E185" i="6"/>
  <c r="D185" i="6"/>
  <c r="C185" i="6"/>
  <c r="B185" i="6"/>
  <c r="A185" i="6"/>
  <c r="H184" i="6"/>
  <c r="E184" i="6"/>
  <c r="D184" i="6"/>
  <c r="C184" i="6"/>
  <c r="B184" i="6"/>
  <c r="A184" i="6"/>
  <c r="E183" i="6"/>
  <c r="D183" i="6"/>
  <c r="C183" i="6"/>
  <c r="B183" i="6"/>
  <c r="A183" i="6"/>
  <c r="D182" i="6"/>
  <c r="C182" i="6"/>
  <c r="B182" i="6"/>
  <c r="A182" i="6"/>
  <c r="D181" i="6"/>
  <c r="C181" i="6"/>
  <c r="B181" i="6"/>
  <c r="A181" i="6"/>
  <c r="D180" i="6"/>
  <c r="C180" i="6"/>
  <c r="B180" i="6"/>
  <c r="A180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D174" i="6"/>
  <c r="C174" i="6"/>
  <c r="B174" i="6"/>
  <c r="A174" i="6"/>
  <c r="D173" i="6"/>
  <c r="C173" i="6"/>
  <c r="B173" i="6"/>
  <c r="A173" i="6"/>
  <c r="D172" i="6"/>
  <c r="C172" i="6"/>
  <c r="B172" i="6"/>
  <c r="A172" i="6"/>
  <c r="D171" i="6"/>
  <c r="C171" i="6"/>
  <c r="B171" i="6"/>
  <c r="A171" i="6"/>
  <c r="D170" i="6"/>
  <c r="C170" i="6"/>
  <c r="B170" i="6"/>
  <c r="A170" i="6"/>
  <c r="D169" i="6"/>
  <c r="C169" i="6"/>
  <c r="B169" i="6"/>
  <c r="A169" i="6"/>
  <c r="D168" i="6"/>
  <c r="C168" i="6"/>
  <c r="B168" i="6"/>
  <c r="A168" i="6"/>
  <c r="D167" i="6"/>
  <c r="C167" i="6"/>
  <c r="B167" i="6"/>
  <c r="A167" i="6"/>
  <c r="D166" i="6"/>
  <c r="C166" i="6"/>
  <c r="B166" i="6"/>
  <c r="A166" i="6"/>
  <c r="D165" i="6"/>
  <c r="C165" i="6"/>
  <c r="B165" i="6"/>
  <c r="A165" i="6"/>
  <c r="D164" i="6"/>
  <c r="C164" i="6"/>
  <c r="B164" i="6"/>
  <c r="A164" i="6"/>
  <c r="D163" i="6"/>
  <c r="C163" i="6"/>
  <c r="B163" i="6"/>
  <c r="A163" i="6"/>
  <c r="D162" i="6"/>
  <c r="C162" i="6"/>
  <c r="B162" i="6"/>
  <c r="A162" i="6"/>
  <c r="D161" i="6"/>
  <c r="C161" i="6"/>
  <c r="B161" i="6"/>
  <c r="A161" i="6"/>
  <c r="E160" i="6"/>
  <c r="D160" i="6"/>
  <c r="C160" i="6"/>
  <c r="B160" i="6"/>
  <c r="A160" i="6"/>
  <c r="E159" i="6"/>
  <c r="D159" i="6"/>
  <c r="C159" i="6"/>
  <c r="B159" i="6"/>
  <c r="A159" i="6"/>
  <c r="E158" i="6"/>
  <c r="D158" i="6"/>
  <c r="C158" i="6"/>
  <c r="B158" i="6"/>
  <c r="A158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B147" i="6"/>
  <c r="A147" i="6"/>
  <c r="E146" i="6"/>
  <c r="D146" i="6"/>
  <c r="C146" i="6"/>
  <c r="B146" i="6"/>
  <c r="A146" i="6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9" i="6"/>
  <c r="D139" i="6"/>
  <c r="C139" i="6"/>
  <c r="B139" i="6"/>
  <c r="A139" i="6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E121" i="6"/>
  <c r="D121" i="6"/>
  <c r="C121" i="6"/>
  <c r="B121" i="6"/>
  <c r="A121" i="6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B118" i="6"/>
  <c r="A118" i="6"/>
  <c r="E117" i="6"/>
  <c r="D117" i="6"/>
  <c r="B117" i="6"/>
  <c r="A117" i="6"/>
  <c r="E116" i="6"/>
  <c r="D116" i="6"/>
  <c r="B116" i="6"/>
  <c r="A116" i="6"/>
  <c r="E115" i="6"/>
  <c r="D115" i="6"/>
  <c r="B115" i="6"/>
  <c r="A115" i="6"/>
  <c r="E114" i="6"/>
  <c r="D114" i="6"/>
  <c r="B114" i="6"/>
  <c r="A114" i="6"/>
  <c r="E113" i="6"/>
  <c r="D113" i="6"/>
  <c r="B113" i="6"/>
  <c r="A113" i="6"/>
  <c r="E112" i="6"/>
  <c r="D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H86" i="6" s="1"/>
  <c r="B86" i="6"/>
  <c r="A86" i="6"/>
  <c r="E85" i="6"/>
  <c r="D85" i="6"/>
  <c r="C85" i="6"/>
  <c r="H85" i="6" s="1"/>
  <c r="B85" i="6"/>
  <c r="A85" i="6"/>
  <c r="E84" i="6"/>
  <c r="D84" i="6"/>
  <c r="C84" i="6"/>
  <c r="H84" i="6" s="1"/>
  <c r="B84" i="6"/>
  <c r="A84" i="6"/>
  <c r="E83" i="6"/>
  <c r="D83" i="6"/>
  <c r="C83" i="6"/>
  <c r="H83" i="6" s="1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H80" i="6" s="1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H77" i="6" s="1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H71" i="6" s="1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H68" i="6" s="1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H65" i="6" s="1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H62" i="6" s="1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H56" i="6" s="1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H53" i="6" s="1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H50" i="6" s="1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H47" i="6" s="1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H44" i="6" s="1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H41" i="6" s="1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H38" i="6" s="1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H35" i="6" s="1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H32" i="6" s="1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H29" i="6" s="1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H26" i="6" s="1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H23" i="6" s="1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H20" i="6" s="1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H17" i="6" s="1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H14" i="6" s="1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H11" i="6" s="1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H8" i="6" s="1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H5" i="6" s="1"/>
  <c r="B5" i="6"/>
  <c r="A5" i="6"/>
  <c r="E4" i="6"/>
  <c r="D4" i="6"/>
  <c r="C4" i="6"/>
  <c r="B4" i="6"/>
  <c r="A4" i="6"/>
  <c r="F12" i="5"/>
  <c r="F11" i="5"/>
  <c r="F10" i="5"/>
  <c r="F9" i="5"/>
  <c r="F8" i="5"/>
  <c r="F7" i="5"/>
  <c r="F6" i="5"/>
  <c r="F5" i="5"/>
  <c r="F4" i="5"/>
  <c r="E7" i="4"/>
  <c r="E6" i="4"/>
  <c r="E5" i="4"/>
  <c r="E4" i="4"/>
  <c r="E3" i="4"/>
  <c r="H6" i="3"/>
  <c r="E6" i="3"/>
  <c r="H5" i="3"/>
  <c r="E5" i="3"/>
  <c r="H4" i="3"/>
  <c r="E4" i="3"/>
  <c r="H3" i="3"/>
  <c r="E3" i="3"/>
  <c r="H183" i="6" l="1"/>
  <c r="AE162" i="2"/>
  <c r="E161" i="6"/>
  <c r="H177" i="6"/>
  <c r="H176" i="6"/>
  <c r="H178" i="6"/>
  <c r="H74" i="6"/>
  <c r="H175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1" i="6"/>
  <c r="H142" i="6"/>
  <c r="H140" i="6"/>
  <c r="E126" i="8"/>
  <c r="E129" i="8"/>
  <c r="E131" i="8"/>
  <c r="E133" i="8"/>
  <c r="E135" i="8"/>
  <c r="E137" i="8"/>
  <c r="E139" i="8"/>
  <c r="E141" i="8"/>
  <c r="E143" i="8"/>
  <c r="E145" i="8"/>
  <c r="E147" i="8"/>
  <c r="E149" i="8"/>
  <c r="E151" i="8"/>
  <c r="E153" i="8"/>
  <c r="E155" i="8"/>
  <c r="E157" i="8"/>
  <c r="E159" i="8"/>
  <c r="E161" i="8"/>
  <c r="E163" i="8"/>
  <c r="E165" i="8"/>
  <c r="E167" i="8"/>
  <c r="E169" i="8"/>
  <c r="E171" i="8"/>
  <c r="E173" i="8"/>
  <c r="E175" i="8"/>
  <c r="E177" i="8"/>
  <c r="E179" i="8"/>
  <c r="E181" i="8"/>
  <c r="E183" i="8"/>
  <c r="E185" i="8"/>
  <c r="E187" i="8"/>
  <c r="E189" i="8"/>
  <c r="E191" i="8"/>
  <c r="E193" i="8"/>
  <c r="E195" i="8"/>
  <c r="E197" i="8"/>
  <c r="E199" i="8"/>
  <c r="E201" i="8"/>
  <c r="E203" i="8"/>
  <c r="E205" i="8"/>
  <c r="E207" i="8"/>
  <c r="E209" i="8"/>
  <c r="E211" i="8"/>
  <c r="E213" i="8"/>
  <c r="E215" i="8"/>
  <c r="E217" i="8"/>
  <c r="E219" i="8"/>
  <c r="E221" i="8"/>
  <c r="E223" i="8"/>
  <c r="E225" i="8"/>
  <c r="E227" i="8"/>
  <c r="E229" i="8"/>
  <c r="E231" i="8"/>
  <c r="E233" i="8"/>
  <c r="E235" i="8"/>
  <c r="E237" i="8"/>
  <c r="E239" i="8"/>
  <c r="E241" i="8"/>
  <c r="E243" i="8"/>
  <c r="E245" i="8"/>
  <c r="E247" i="8"/>
  <c r="E249" i="8"/>
  <c r="E251" i="8"/>
  <c r="E254" i="8"/>
  <c r="E257" i="8"/>
  <c r="E260" i="8"/>
  <c r="E263" i="8"/>
  <c r="E266" i="8"/>
  <c r="E255" i="8"/>
  <c r="E258" i="8"/>
  <c r="E261" i="8"/>
  <c r="E264" i="8"/>
  <c r="E267" i="8"/>
  <c r="E127" i="8"/>
  <c r="E128" i="8"/>
  <c r="E130" i="8"/>
  <c r="E132" i="8"/>
  <c r="E134" i="8"/>
  <c r="E136" i="8"/>
  <c r="E138" i="8"/>
  <c r="E140" i="8"/>
  <c r="E142" i="8"/>
  <c r="E144" i="8"/>
  <c r="E146" i="8"/>
  <c r="E148" i="8"/>
  <c r="E150" i="8"/>
  <c r="E152" i="8"/>
  <c r="E154" i="8"/>
  <c r="E156" i="8"/>
  <c r="E158" i="8"/>
  <c r="E160" i="8"/>
  <c r="E162" i="8"/>
  <c r="E164" i="8"/>
  <c r="E166" i="8"/>
  <c r="E168" i="8"/>
  <c r="E170" i="8"/>
  <c r="E172" i="8"/>
  <c r="E174" i="8"/>
  <c r="E176" i="8"/>
  <c r="E178" i="8"/>
  <c r="E180" i="8"/>
  <c r="E182" i="8"/>
  <c r="E184" i="8"/>
  <c r="E186" i="8"/>
  <c r="E188" i="8"/>
  <c r="E190" i="8"/>
  <c r="E192" i="8"/>
  <c r="E194" i="8"/>
  <c r="E196" i="8"/>
  <c r="E198" i="8"/>
  <c r="E200" i="8"/>
  <c r="E202" i="8"/>
  <c r="E204" i="8"/>
  <c r="E206" i="8"/>
  <c r="E208" i="8"/>
  <c r="E210" i="8"/>
  <c r="E212" i="8"/>
  <c r="E214" i="8"/>
  <c r="E216" i="8"/>
  <c r="E218" i="8"/>
  <c r="E220" i="8"/>
  <c r="E222" i="8"/>
  <c r="E224" i="8"/>
  <c r="E226" i="8"/>
  <c r="E228" i="8"/>
  <c r="E230" i="8"/>
  <c r="E232" i="8"/>
  <c r="E234" i="8"/>
  <c r="E236" i="8"/>
  <c r="E238" i="8"/>
  <c r="E240" i="8"/>
  <c r="E242" i="8"/>
  <c r="E244" i="8"/>
  <c r="E246" i="8"/>
  <c r="E248" i="8"/>
  <c r="E250" i="8"/>
  <c r="E252" i="8"/>
  <c r="E253" i="8"/>
  <c r="E256" i="8"/>
  <c r="E259" i="8"/>
  <c r="E262" i="8"/>
  <c r="E265" i="8"/>
  <c r="H139" i="6"/>
  <c r="H137" i="6"/>
  <c r="H138" i="6"/>
  <c r="H136" i="6"/>
  <c r="H10" i="9"/>
  <c r="H22" i="9" s="1"/>
  <c r="H134" i="6"/>
  <c r="H135" i="6"/>
  <c r="H133" i="6"/>
  <c r="H130" i="6"/>
  <c r="H132" i="6"/>
  <c r="H129" i="6"/>
  <c r="H131" i="6"/>
  <c r="H128" i="6"/>
  <c r="H126" i="6"/>
  <c r="H127" i="6"/>
  <c r="H125" i="6"/>
  <c r="H119" i="6"/>
  <c r="H120" i="6"/>
  <c r="H121" i="6"/>
  <c r="H118" i="6"/>
  <c r="H122" i="6"/>
  <c r="H123" i="6"/>
  <c r="H59" i="6"/>
  <c r="H124" i="6"/>
  <c r="C113" i="6"/>
  <c r="H113" i="6" s="1"/>
  <c r="AG114" i="2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7" i="6"/>
  <c r="H89" i="6"/>
  <c r="H88" i="6"/>
  <c r="H12" i="6"/>
  <c r="H24" i="6"/>
  <c r="H36" i="6"/>
  <c r="H48" i="6"/>
  <c r="H60" i="6"/>
  <c r="H72" i="6"/>
  <c r="H10" i="6"/>
  <c r="H22" i="6"/>
  <c r="H34" i="6"/>
  <c r="H46" i="6"/>
  <c r="H58" i="6"/>
  <c r="H70" i="6"/>
  <c r="H82" i="6"/>
  <c r="H15" i="6"/>
  <c r="H27" i="6"/>
  <c r="H39" i="6"/>
  <c r="H51" i="6"/>
  <c r="H63" i="6"/>
  <c r="H75" i="6"/>
  <c r="H13" i="6"/>
  <c r="H25" i="6"/>
  <c r="H37" i="6"/>
  <c r="H49" i="6"/>
  <c r="H61" i="6"/>
  <c r="H73" i="6"/>
  <c r="H6" i="6"/>
  <c r="H18" i="6"/>
  <c r="H30" i="6"/>
  <c r="H42" i="6"/>
  <c r="H54" i="6"/>
  <c r="H66" i="6"/>
  <c r="H78" i="6"/>
  <c r="H4" i="6"/>
  <c r="H16" i="6"/>
  <c r="H28" i="6"/>
  <c r="H40" i="6"/>
  <c r="H52" i="6"/>
  <c r="H64" i="6"/>
  <c r="H76" i="6"/>
  <c r="H9" i="6"/>
  <c r="H21" i="6"/>
  <c r="H33" i="6"/>
  <c r="H45" i="6"/>
  <c r="H57" i="6"/>
  <c r="H69" i="6"/>
  <c r="H81" i="6"/>
  <c r="H7" i="6"/>
  <c r="H19" i="6"/>
  <c r="H31" i="6"/>
  <c r="H43" i="6"/>
  <c r="H55" i="6"/>
  <c r="H67" i="6"/>
  <c r="H79" i="6"/>
  <c r="E162" i="6" l="1"/>
  <c r="H162" i="6" s="1"/>
  <c r="AE163" i="2"/>
  <c r="E268" i="8"/>
  <c r="C114" i="6"/>
  <c r="H114" i="6" s="1"/>
  <c r="AG115" i="2"/>
  <c r="E163" i="6" l="1"/>
  <c r="H163" i="6" s="1"/>
  <c r="AE164" i="2"/>
  <c r="C115" i="6"/>
  <c r="H115" i="6" s="1"/>
  <c r="AG116" i="2"/>
  <c r="E164" i="6" l="1"/>
  <c r="H164" i="6" s="1"/>
  <c r="AE165" i="2"/>
  <c r="C116" i="6"/>
  <c r="H116" i="6" s="1"/>
  <c r="AG117" i="2"/>
  <c r="AE166" i="2" l="1"/>
  <c r="E165" i="6"/>
  <c r="H165" i="6" s="1"/>
  <c r="C117" i="6"/>
  <c r="H117" i="6" s="1"/>
  <c r="AG118" i="2"/>
  <c r="AG119" i="2" s="1"/>
  <c r="AG120" i="2" s="1"/>
  <c r="AG121" i="2" s="1"/>
  <c r="AG122" i="2" s="1"/>
  <c r="AG123" i="2" s="1"/>
  <c r="AG124" i="2" s="1"/>
  <c r="E166" i="6" l="1"/>
  <c r="H166" i="6" s="1"/>
  <c r="AE167" i="2"/>
  <c r="E167" i="6" l="1"/>
  <c r="H167" i="6" s="1"/>
  <c r="AE168" i="2"/>
  <c r="E168" i="6" l="1"/>
  <c r="H168" i="6" s="1"/>
  <c r="AE169" i="2"/>
  <c r="AE170" i="2" l="1"/>
  <c r="E169" i="6"/>
  <c r="H169" i="6" s="1"/>
  <c r="AE171" i="2" l="1"/>
  <c r="E170" i="6"/>
  <c r="H170" i="6" s="1"/>
  <c r="E171" i="6" l="1"/>
  <c r="H171" i="6" s="1"/>
  <c r="AE172" i="2"/>
  <c r="E172" i="6" l="1"/>
  <c r="H172" i="6" s="1"/>
  <c r="AE173" i="2"/>
  <c r="E173" i="6" l="1"/>
  <c r="H173" i="6" s="1"/>
  <c r="AE174" i="2"/>
  <c r="E174" i="6" l="1"/>
  <c r="H174" i="6" s="1"/>
  <c r="AE175" i="2"/>
  <c r="AE176" i="2" s="1"/>
  <c r="AE177" i="2" s="1"/>
  <c r="AE178" i="2" s="1"/>
  <c r="AE179" i="2" s="1"/>
  <c r="AE180" i="2" l="1"/>
  <c r="E179" i="6"/>
  <c r="H179" i="6" s="1"/>
  <c r="AE181" i="2" l="1"/>
  <c r="E180" i="6"/>
  <c r="H180" i="6" s="1"/>
  <c r="AE182" i="2" l="1"/>
  <c r="E182" i="6" s="1"/>
  <c r="H182" i="6" s="1"/>
  <c r="E181" i="6"/>
  <c r="H18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tc={070BEED2-41C5-49B5-B9A1-2E37121A14C3}</author>
    <author>tc={79DB5240-C8AA-444A-BD69-BACE09A7CD8F}</author>
    <author>tc={297C5B30-2C94-4E02-98FC-148517F5EE27}</author>
    <author>tc={7706324D-B49F-4276-A0ED-961DCEAC2D0F}</author>
    <author>tc={C22BF71C-C690-4BC2-8EE9-7423BE55B3D9}</author>
    <author>tc={4AC830D9-4984-438F-BFFA-48BEBE0F3D32}</author>
    <author>tc={51F366F2-EEF3-45A4-A8F0-363EBA271596}</author>
    <author>tc={7BCD4027-4E05-42F3-B926-BDB8A036114A}</author>
    <author>tc={727CF68D-1A7B-4C93-9FCB-B3A316326A01}</author>
    <author>tc={DBA48083-FC9A-41F2-B3CA-EC3295CA0644}</author>
    <author>tc={CB4A9D17-B455-43D9-844C-4C140EF0EA8D}</author>
    <author>tc={A1FD2FDA-8D70-433B-9B2C-4CB6408357E6}</author>
    <author>tc={CE112429-4A74-43C8-AFF4-3A1BD903D685}</author>
    <author>tc={DC3867E3-1437-4886-9AFB-A5C51C89D662}</author>
  </authors>
  <commentList>
    <comment ref="AC118" authorId="0" shapeId="0" xr:uid="{070BEED2-41C5-49B5-B9A1-2E37121A14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19" authorId="1" shapeId="0" xr:uid="{79DB5240-C8AA-444A-BD69-BACE09A7C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20" authorId="2" shapeId="0" xr:uid="{297C5B30-2C94-4E02-98FC-148517F5EE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21" authorId="3" shapeId="0" xr:uid="{7706324D-B49F-4276-A0ED-961DCEAC2D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22" authorId="4" shapeId="0" xr:uid="{C22BF71C-C690-4BC2-8EE9-7423BE55B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23" authorId="5" shapeId="0" xr:uid="{4AC830D9-4984-438F-BFFA-48BEBE0F3D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C124" authorId="6" shapeId="0" xr:uid="{51F366F2-EEF3-45A4-A8F0-363EBA2715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tomo una prefi en bbva USD 1 M</t>
      </text>
    </comment>
    <comment ref="AB136" authorId="7" shapeId="0" xr:uid="{7BCD4027-4E05-42F3-B926-BDB8A03611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37" authorId="8" shapeId="0" xr:uid="{727CF68D-1A7B-4C93-9FCB-B3A316326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38" authorId="9" shapeId="0" xr:uid="{DBA48083-FC9A-41F2-B3CA-EC3295CA06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75" authorId="10" shapeId="0" xr:uid="{CB4A9D17-B455-43D9-844C-4C140EF0EA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76" authorId="11" shapeId="0" xr:uid="{A1FD2FDA-8D70-433B-9B2C-4CB640835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77" authorId="12" shapeId="0" xr:uid="{CE112429-4A74-43C8-AFF4-3A1BD903D6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  <comment ref="AB178" authorId="13" shapeId="0" xr:uid="{DC3867E3-1437-4886-9AFB-A5C51C89D6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reduccion de la deuda de impo se debe al pago de USD 818 mil dolares abonados a YANMAR</t>
      </text>
    </comment>
  </commentList>
</comments>
</file>

<file path=xl/sharedStrings.xml><?xml version="1.0" encoding="utf-8"?>
<sst xmlns="http://schemas.openxmlformats.org/spreadsheetml/2006/main" count="4313" uniqueCount="1310">
  <si>
    <t>DASHBOARD FINANCIERO — EMPRESA PESQUERA</t>
  </si>
  <si>
    <t>Guía de uso y estructura del archivo</t>
  </si>
  <si>
    <t>📋 ESTRUCTURA DEL ARCHIVO</t>
  </si>
  <si>
    <t>Hoja</t>
  </si>
  <si>
    <t>Descripción</t>
  </si>
  <si>
    <t>INSTRUCCIONES</t>
  </si>
  <si>
    <t>Esta hoja — guía de uso</t>
  </si>
  <si>
    <t>CARGA_DIARIA</t>
  </si>
  <si>
    <t>Acá cargás los datos todos los días (una fila por día)</t>
  </si>
  <si>
    <t>ACTIVO_CORRIENTE</t>
  </si>
  <si>
    <t>Desglose diario de activos: bancos, cheques, divisas, créditos, FCI</t>
  </si>
  <si>
    <t>GASTOS_DIARIOS</t>
  </si>
  <si>
    <t>Detalle de egresos por sector (13 categorías)</t>
  </si>
  <si>
    <t>PASIVO_CORRIENTE</t>
  </si>
  <si>
    <t>Compromisos y deudas a corto plazo</t>
  </si>
  <si>
    <t>VENCIMIENTOS</t>
  </si>
  <si>
    <t>Cheques a cobrar y pagar en los próximos 30 días</t>
  </si>
  <si>
    <t>AJUSTES</t>
  </si>
  <si>
    <t>Stock a precio de venta, posición fiscal, otras deudas</t>
  </si>
  <si>
    <t>POSICION_NETA</t>
  </si>
  <si>
    <t>Hoja de cálculo automática — no modificar</t>
  </si>
  <si>
    <t>🎨 CONVENCIÓN DE COLORES</t>
  </si>
  <si>
    <t>Color</t>
  </si>
  <si>
    <t>Significado</t>
  </si>
  <si>
    <t>Texto AZUL</t>
  </si>
  <si>
    <t>Dato a ingresar manualmente (input)</t>
  </si>
  <si>
    <t>Texto NEGRO</t>
  </si>
  <si>
    <t>Fórmula calculada automáticamente — no modificar</t>
  </si>
  <si>
    <t>Texto VERDE</t>
  </si>
  <si>
    <t>Vínculo a otra hoja del mismo archivo</t>
  </si>
  <si>
    <t>Fondo AMARILLO</t>
  </si>
  <si>
    <t>Celda importante que requiere atención o actualización</t>
  </si>
  <si>
    <t>📌 INSTRUCCIONES DE CARGA DIARIA</t>
  </si>
  <si>
    <t>1.</t>
  </si>
  <si>
    <t>Abrir la hoja CARGA_DIARIA</t>
  </si>
  <si>
    <t>2.</t>
  </si>
  <si>
    <t>Ir a la última fila con datos e insertar una nueva fila debajo</t>
  </si>
  <si>
    <t>3.</t>
  </si>
  <si>
    <t>Ingresar la fecha del día en la columna A (formato DD/MM/AAAA)</t>
  </si>
  <si>
    <t>4.</t>
  </si>
  <si>
    <t>Ingresar el tipo de cambio BNA del día en la columna B</t>
  </si>
  <si>
    <t>5.</t>
  </si>
  <si>
    <t>Completar el resto de columnas con los valores en PESOS del día</t>
  </si>
  <si>
    <t>6.</t>
  </si>
  <si>
    <t>Los valores en USD se calculan automáticamente dividiendo por el TC</t>
  </si>
  <si>
    <t>7.</t>
  </si>
  <si>
    <t>La hoja POSICION_NETA se actualiza automáticamente</t>
  </si>
  <si>
    <t>⚠️  IMPORTANTE</t>
  </si>
  <si>
    <t>•</t>
  </si>
  <si>
    <t>No eliminar ni mover filas de encabezado</t>
  </si>
  <si>
    <t>No modificar las hojas de fórmulas (POSICION_NETA)</t>
  </si>
  <si>
    <t>Siempre cargar valores en PESOS — el dashboard convierte a USD</t>
  </si>
  <si>
    <t>Los cheques en cartera cargar en hoja VENCIMIENTOS con fecha de acreditación</t>
  </si>
  <si>
    <t>Guardar el archivo con Ctrl+S después de cada carga</t>
  </si>
  <si>
    <t>CARGA DIARIA — POSICIÓN FINANCIERA  |  Valores en PESOS argentinos (ARS)</t>
  </si>
  <si>
    <t>FECHA</t>
  </si>
  <si>
    <t>TIPO DE CAMBIO BNA (ARS/USD)</t>
  </si>
  <si>
    <t>ACTIVO CORRIENTE (ARS)</t>
  </si>
  <si>
    <t>GASTOS DEL DÍA POR SECTOR (ARS)</t>
  </si>
  <si>
    <t>PASIVO CORRIENTE (ARS)</t>
  </si>
  <si>
    <t>Fecha</t>
  </si>
  <si>
    <t>TC BNA
(ARS/USD)</t>
  </si>
  <si>
    <t>Efectivo
(MI)</t>
  </si>
  <si>
    <t>Cheques
en cartera</t>
  </si>
  <si>
    <t>Banco
Patagonia</t>
  </si>
  <si>
    <t>Banco
Galicia</t>
  </si>
  <si>
    <t>Banco
Francés</t>
  </si>
  <si>
    <t>Banco
Santander</t>
  </si>
  <si>
    <t>Créditos
MI</t>
  </si>
  <si>
    <t>Proveedores</t>
  </si>
  <si>
    <t>Aranceles
y Cánones</t>
  </si>
  <si>
    <t>Comercio
Exterior</t>
  </si>
  <si>
    <t>Directores /
Accionistas</t>
  </si>
  <si>
    <t>Empresas
del Grupo</t>
  </si>
  <si>
    <t>Gastos
de Buques</t>
  </si>
  <si>
    <t>Impuestos
y Tasas</t>
  </si>
  <si>
    <t>RRHH</t>
  </si>
  <si>
    <t>Servicios
Varios</t>
  </si>
  <si>
    <t>Retiros
Particulares</t>
  </si>
  <si>
    <t>Pago
Importaciones</t>
  </si>
  <si>
    <t>Compra
Dólares (CCL)</t>
  </si>
  <si>
    <t>Pago
Préstamos</t>
  </si>
  <si>
    <t>Otros
Gastos</t>
  </si>
  <si>
    <t>Cheques
Emitidos</t>
  </si>
  <si>
    <t>Gs. Presup.
Próximos</t>
  </si>
  <si>
    <t>Préstamos
ML
(ARS)</t>
  </si>
  <si>
    <t>Deuda
Proveed. MI</t>
  </si>
  <si>
    <t>Deuda
Proveed. Ext.
(USD)</t>
  </si>
  <si>
    <t>Préstamos
ME
(USD)</t>
  </si>
  <si>
    <t>Intereses
Proy.
(USD)</t>
  </si>
  <si>
    <t>Otras
Deudas
(USD)</t>
  </si>
  <si>
    <t>Stock a
Precio Venta
(USD)</t>
  </si>
  <si>
    <t>Posición
Fiscal</t>
  </si>
  <si>
    <t>Divisas
Disp. (ARS eq.)</t>
  </si>
  <si>
    <t>Créditos
Exterior (ARS eq.)</t>
  </si>
  <si>
    <t>Inversiones
FCI</t>
  </si>
  <si>
    <t>CRÉDITOS POR VENTAS AL EXTERIOR — Facturas de exportación pendientes de cobro</t>
  </si>
  <si>
    <t>N° Factura</t>
  </si>
  <si>
    <t>Cliente (País)</t>
  </si>
  <si>
    <t>Fecha Factura</t>
  </si>
  <si>
    <t>Fecha Vto.</t>
  </si>
  <si>
    <t>Días al vto.</t>
  </si>
  <si>
    <t>Monto (USD)</t>
  </si>
  <si>
    <t>TC estimado</t>
  </si>
  <si>
    <t>ARS equivalente</t>
  </si>
  <si>
    <t>Estado</t>
  </si>
  <si>
    <t>EXP-2026-041</t>
  </si>
  <si>
    <t>Nordic Fish AS (Noruega)</t>
  </si>
  <si>
    <t>Pendiente</t>
  </si>
  <si>
    <t>EXP-2026-055</t>
  </si>
  <si>
    <t>Iberian Seafood SL (España)</t>
  </si>
  <si>
    <t>EXP-2026,062</t>
  </si>
  <si>
    <t>Ocean Trade LLC (EEUU)</t>
  </si>
  <si>
    <t>EXP-2026-071</t>
  </si>
  <si>
    <t>Maruha Nichiro (Japón)</t>
  </si>
  <si>
    <t>DIVISAS DISPONIBLES — Seguimiento diario de posición en USD</t>
  </si>
  <si>
    <t>TC BNA</t>
  </si>
  <si>
    <t>Patag. (USD)</t>
  </si>
  <si>
    <t>Francés (USD)</t>
  </si>
  <si>
    <t>Total USD</t>
  </si>
  <si>
    <t>Liquidado hoy (USD)</t>
  </si>
  <si>
    <t>VENCIMIENTOS — Cheques a cobrar y compromisos de pago próximos</t>
  </si>
  <si>
    <t>Ingresá cada cheque o compromiso con su fecha exacta. El dashboard lo muestra en el calendario de vencimientos.</t>
  </si>
  <si>
    <t>Tipo</t>
  </si>
  <si>
    <t>Descripción / Contraparte</t>
  </si>
  <si>
    <t>Monto (ARS)</t>
  </si>
  <si>
    <t>TC del día</t>
  </si>
  <si>
    <t>COBRO</t>
  </si>
  <si>
    <t>Cheque acreditación — Cliente Norte</t>
  </si>
  <si>
    <t>PAGO</t>
  </si>
  <si>
    <t>Proveedor Pescadores del Sur</t>
  </si>
  <si>
    <t>Cheque — Distribuidora Atlántica</t>
  </si>
  <si>
    <t>Cuota préstamo Banco Galicia</t>
  </si>
  <si>
    <t>Cobro exportación (USD 95.000)</t>
  </si>
  <si>
    <t>RRHH — sueldos quincena</t>
  </si>
  <si>
    <t>Arancel / canon mensual</t>
  </si>
  <si>
    <t>Cheque — Exportadora Patagónica</t>
  </si>
  <si>
    <t>Deuda proveedor exterior (USD 80.000)</t>
  </si>
  <si>
    <t>POSICIÓN FINANCIERA NETA DIARIA  |  Valores en USD (conversión automática)</t>
  </si>
  <si>
    <t>⚠  Hoja de cálculo automática — No modificar. Los datos vienen de CARGA_DIARIA.</t>
  </si>
  <si>
    <t>Activo Corriente
(USD)</t>
  </si>
  <si>
    <t>Gastos del Día
(USD)</t>
  </si>
  <si>
    <t>Pasivo Corriente
(USD)</t>
  </si>
  <si>
    <t>Ajustes +
(incluido en Activo)</t>
  </si>
  <si>
    <t>Ajustes -
(incluido en Activo)</t>
  </si>
  <si>
    <t>POSICIÓN NETA
(USD)</t>
  </si>
  <si>
    <t>—</t>
  </si>
  <si>
    <t>CHEQUES EN CARTERA — Listado completo para flujo de fondos</t>
  </si>
  <si>
    <t>Pegá acá los datos exportados del sistema. Fecha de acreditación = Fecha de pago + 2 días hábiles (48hs). El dashboard lee esta hoja automáticamente.</t>
  </si>
  <si>
    <t>Razón Social</t>
  </si>
  <si>
    <t>N° Cheque</t>
  </si>
  <si>
    <t>Fecha de Emisión</t>
  </si>
  <si>
    <t>Fecha de Pago</t>
  </si>
  <si>
    <t>Fecha Acreditación
(Pago + 48hs)</t>
  </si>
  <si>
    <t>Observaciones</t>
  </si>
  <si>
    <t>TOTAL</t>
  </si>
  <si>
    <t>📌  Para agregar cheques: pegá las filas del sistema sobre las filas grises, respetando el formato de fechas DD/MM/AAAA. La col. F (Acreditación) se calcula sola.</t>
  </si>
  <si>
    <t>SALDO DE PROVEEDORES LOCALES — Ranking y composición</t>
  </si>
  <si>
    <t>Actualizá esta hoja cada vez que recibas el saldo de proveedores. El TC se toma de la celda B3 para convertir a USD.</t>
  </si>
  <si>
    <t>Fecha de actualización</t>
  </si>
  <si>
    <t>TC BNA (ARS/USD)</t>
  </si>
  <si>
    <t>Proveedor</t>
  </si>
  <si>
    <t>CUIT / Referencia</t>
  </si>
  <si>
    <t>Saldo (ARS)</t>
  </si>
  <si>
    <t>Saldo (USD)</t>
  </si>
  <si>
    <t>% sobre total</t>
  </si>
  <si>
    <t>TOTAL PROVEEDORES</t>
  </si>
  <si>
    <t>📌  Para agregar proveedores: insertá filas antes de la fila TOTAL. El % se recalcula solo. Actualizá la fecha y el TC en la fila 3 cada vez que cargues datos nuevos.</t>
  </si>
  <si>
    <t>PRÉSTAMOS EN DÓLARES — Detalle y proyección de intereses (sistema bullet)</t>
  </si>
  <si>
    <t>Interés aprox. = Capital × (TNA / 365) × Días del plazo  ·  Todos los importes en USD  ·  TNA = Tasa Nominal Anual</t>
  </si>
  <si>
    <t>Fecha de referencia</t>
  </si>
  <si>
    <t>Banco</t>
  </si>
  <si>
    <t>TNA (%)</t>
  </si>
  <si>
    <t>Fecha inicio</t>
  </si>
  <si>
    <t>Fecha vencimiento</t>
  </si>
  <si>
    <t>Días plazo</t>
  </si>
  <si>
    <t>Interés aprox. (USD)</t>
  </si>
  <si>
    <t>Total a pagar (USD)</t>
  </si>
  <si>
    <t>Días restantes</t>
  </si>
  <si>
    <t>Banco Patagonia</t>
  </si>
  <si>
    <t>📌  Celdas en AMARILLO = datos a ingresar manualmente. Celdas en VERDE = calculadas automáticamente. Celdas en ROJO = total a pagar al vencimiento.</t>
  </si>
  <si>
    <t>Banco Frances</t>
  </si>
  <si>
    <t>09021</t>
  </si>
  <si>
    <t> CLEANING IN PACE S.R.L.</t>
  </si>
  <si>
    <t>09007</t>
  </si>
  <si>
    <t> LA INDUSTRIAL ELECTRICA S A</t>
  </si>
  <si>
    <t>05594</t>
  </si>
  <si>
    <t> SALEM ALDO ALBERTO Y AICARDI DERNANDO SEBASTIAN S H</t>
  </si>
  <si>
    <t>07467</t>
  </si>
  <si>
    <t>A LONEIRA S.A.</t>
  </si>
  <si>
    <t>00128</t>
  </si>
  <si>
    <t>ABETE Y CIA. S.A.</t>
  </si>
  <si>
    <t>06176</t>
  </si>
  <si>
    <t>ALTA DISTRIBUCION SA</t>
  </si>
  <si>
    <t>00240</t>
  </si>
  <si>
    <t>AMX ARGENTINA S.A. (CAE)</t>
  </si>
  <si>
    <t>07039</t>
  </si>
  <si>
    <t>ARCAMONE ANA</t>
  </si>
  <si>
    <t>08001</t>
  </si>
  <si>
    <t>ATLANTIS ELECTRONICS CORP</t>
  </si>
  <si>
    <t>05727</t>
  </si>
  <si>
    <t>BELARMINI LISANDRO ANGEL</t>
  </si>
  <si>
    <t>05738</t>
  </si>
  <si>
    <t>BERNABEU SONIA</t>
  </si>
  <si>
    <t>07931</t>
  </si>
  <si>
    <t>BIANCHI LUCIA DEL CARMEN</t>
  </si>
  <si>
    <t>09060</t>
  </si>
  <si>
    <t>BRAVO MINNUCCI MDQ SOCIEDAD DE RESPONSABILIDAD LIMITADA</t>
  </si>
  <si>
    <t>07597</t>
  </si>
  <si>
    <t>BULLBLACK SA</t>
  </si>
  <si>
    <t>08594</t>
  </si>
  <si>
    <t>CAJIDE JAVIER</t>
  </si>
  <si>
    <t>06728</t>
  </si>
  <si>
    <t>CANALES ARIEL CESAR LUIS</t>
  </si>
  <si>
    <t>09170</t>
  </si>
  <si>
    <t>CARGO NET LOGISTIC S A</t>
  </si>
  <si>
    <t>00073</t>
  </si>
  <si>
    <t>CASA BLANCO S.A.</t>
  </si>
  <si>
    <t>05707</t>
  </si>
  <si>
    <t>CMA CGM ARGENTINA S.A.</t>
  </si>
  <si>
    <t>00448</t>
  </si>
  <si>
    <t>CONCA HUGO CESAR</t>
  </si>
  <si>
    <t>03848</t>
  </si>
  <si>
    <t>CONSORCIO PORTUARIO REGIONAL DE MAR DEL PLATA</t>
  </si>
  <si>
    <t>05924</t>
  </si>
  <si>
    <t>COOP. DE TRABAJO PUCARA LIMITADA</t>
  </si>
  <si>
    <t>03950</t>
  </si>
  <si>
    <t>COOPERATIVA DE TRABAJO DE ESTIBAJE HIPOCOOP LTDA</t>
  </si>
  <si>
    <t>00350</t>
  </si>
  <si>
    <t>03951</t>
  </si>
  <si>
    <t>04331</t>
  </si>
  <si>
    <t>COOPERATIVA DE TRABAJO LOS TRES AMIGOS LIMITADA</t>
  </si>
  <si>
    <t>01118</t>
  </si>
  <si>
    <t>CROCE HNOS. AGENTES MARITIMOS S.R.L.</t>
  </si>
  <si>
    <t>08135</t>
  </si>
  <si>
    <t>CURITIBA SRL</t>
  </si>
  <si>
    <t>07289</t>
  </si>
  <si>
    <t>DANODIS S.A.</t>
  </si>
  <si>
    <t>09027</t>
  </si>
  <si>
    <t>DAUVERNE LUIS MARIA JULIAN</t>
  </si>
  <si>
    <t>04109</t>
  </si>
  <si>
    <t>DEVOMP SRL</t>
  </si>
  <si>
    <t>00271</t>
  </si>
  <si>
    <t>DHL EXPRESS (ARGENTINA) S.A.</t>
  </si>
  <si>
    <t>07644</t>
  </si>
  <si>
    <t>DISTRIBUCION Y PROFESIONALISMO S.A.</t>
  </si>
  <si>
    <t>05593</t>
  </si>
  <si>
    <t>DISTRIBUIDORA COSIMI SRL</t>
  </si>
  <si>
    <t>03739</t>
  </si>
  <si>
    <t>DISTRIBUIDORA DIKAR SRL</t>
  </si>
  <si>
    <t>03119</t>
  </si>
  <si>
    <t>DOMINGUEZ ROSENDE JOSE DOMINGUEZ ARZONDO ALEJANDRO MARCELO SH</t>
  </si>
  <si>
    <t>06713</t>
  </si>
  <si>
    <t>DUARTE MARCELO LUIS RUFINO</t>
  </si>
  <si>
    <t>04475</t>
  </si>
  <si>
    <t>DUCOURNAU GUSTAVO FABIAN</t>
  </si>
  <si>
    <t>09448</t>
  </si>
  <si>
    <t>DURAGOM S.R.L.</t>
  </si>
  <si>
    <t>04911</t>
  </si>
  <si>
    <t>EGUREN JORGE ALBERTO</t>
  </si>
  <si>
    <t>07602</t>
  </si>
  <si>
    <t>EL MEJOR CAFE DEL PUERTO S.R.L.</t>
  </si>
  <si>
    <t>00103</t>
  </si>
  <si>
    <t>ELECTRONICA NAVAL S.A.</t>
  </si>
  <si>
    <t>01337</t>
  </si>
  <si>
    <t>ERRIQUENZ HNOS S.R.L</t>
  </si>
  <si>
    <t>00007</t>
  </si>
  <si>
    <t>ESLABONES S.A.</t>
  </si>
  <si>
    <t>08813</t>
  </si>
  <si>
    <t>EXACTIAN CONSULTING S.A.</t>
  </si>
  <si>
    <t>01551</t>
  </si>
  <si>
    <t>EXOLGAN S.A.</t>
  </si>
  <si>
    <t>07452</t>
  </si>
  <si>
    <t>EZEMAY REPRESENTACIONES S. R. L.</t>
  </si>
  <si>
    <t>07599</t>
  </si>
  <si>
    <t>FABRICA DE CHACINADOS MAR DEL PLATA SRL</t>
  </si>
  <si>
    <t>05124</t>
  </si>
  <si>
    <t>FADECCO S. A.</t>
  </si>
  <si>
    <t>08599</t>
  </si>
  <si>
    <t>FARMACIA PORTOLURO SOCIEDAD EN COMANDITA SIMPLE</t>
  </si>
  <si>
    <t>08724</t>
  </si>
  <si>
    <t>FEIJO NICOLAS EDUARDO</t>
  </si>
  <si>
    <t>06675</t>
  </si>
  <si>
    <t>FERNANDES GUSTAVO GABRIEL</t>
  </si>
  <si>
    <t>08709</t>
  </si>
  <si>
    <t>FERRARI MARIO JOSE CARMELO</t>
  </si>
  <si>
    <t>03927</t>
  </si>
  <si>
    <t>FERRARO MARIANO ANDRES</t>
  </si>
  <si>
    <t>09495</t>
  </si>
  <si>
    <t>FERREYRA ALVARO GERMAN</t>
  </si>
  <si>
    <t>04542</t>
  </si>
  <si>
    <t>FESCAP S.A.</t>
  </si>
  <si>
    <t>04036</t>
  </si>
  <si>
    <t>FILTROS FILMAR SRL</t>
  </si>
  <si>
    <t>05885</t>
  </si>
  <si>
    <t>FINNING ARGENTINA SA</t>
  </si>
  <si>
    <t>07281</t>
  </si>
  <si>
    <t>FOOTWEAR SRL</t>
  </si>
  <si>
    <t>03756</t>
  </si>
  <si>
    <t>FRANCISCO SALZANO SOCIEDAD ANONIMA INMOBILIARIA COMERCIAL INDUSTRIAL Y AGROP</t>
  </si>
  <si>
    <t>04685</t>
  </si>
  <si>
    <t>FRESCOMAR ARGENTINA SA</t>
  </si>
  <si>
    <t>09091</t>
  </si>
  <si>
    <t>GANADERA EL MUDO S.A.</t>
  </si>
  <si>
    <t>03189</t>
  </si>
  <si>
    <t>GARCIA WALTER CARLOS - CAE</t>
  </si>
  <si>
    <t>09383</t>
  </si>
  <si>
    <t>GARMIN</t>
  </si>
  <si>
    <t>08170</t>
  </si>
  <si>
    <t>GASPRODUCT SRL</t>
  </si>
  <si>
    <t>06584</t>
  </si>
  <si>
    <t>GEMIN LUIS ALBERTO</t>
  </si>
  <si>
    <t>07680</t>
  </si>
  <si>
    <t>GINIAMO SA</t>
  </si>
  <si>
    <t>05137</t>
  </si>
  <si>
    <t>GRECO GUILLERMINA EDITH</t>
  </si>
  <si>
    <t>09184</t>
  </si>
  <si>
    <t>GRUPO HIGIENE CBA S.A.</t>
  </si>
  <si>
    <t>01451</t>
  </si>
  <si>
    <t>GUANTES FLANDRIA S.A.</t>
  </si>
  <si>
    <t>02968</t>
  </si>
  <si>
    <t>HENNING JUAN FEDERICO</t>
  </si>
  <si>
    <t>01967</t>
  </si>
  <si>
    <t>HIDRAMIC S.R.L.</t>
  </si>
  <si>
    <t>06767</t>
  </si>
  <si>
    <t>HIDRAULICA MAR DEL PLATA S.A.</t>
  </si>
  <si>
    <t>01255</t>
  </si>
  <si>
    <t>HIDRAULICA Y NEUMATICA SRL</t>
  </si>
  <si>
    <t>06159</t>
  </si>
  <si>
    <t>HIELO DEYACOBBI S.A.</t>
  </si>
  <si>
    <t>08688</t>
  </si>
  <si>
    <t>INDUGARVE S.L.</t>
  </si>
  <si>
    <t>08689</t>
  </si>
  <si>
    <t>INDUSTRIAS FERRI</t>
  </si>
  <si>
    <t>03154</t>
  </si>
  <si>
    <t>INGENIEROS ELECTRONICOS ASOCIADOS SRL</t>
  </si>
  <si>
    <t>07021</t>
  </si>
  <si>
    <t>INTEGRAL PUERTO SANO S.R.L.</t>
  </si>
  <si>
    <t>01874</t>
  </si>
  <si>
    <t>INTERLOG S.A.</t>
  </si>
  <si>
    <t>05961</t>
  </si>
  <si>
    <t>JAN-MARK SRL</t>
  </si>
  <si>
    <t>00051</t>
  </si>
  <si>
    <t>JOSE MOSCUZZA Y CIA SACI</t>
  </si>
  <si>
    <t>08704</t>
  </si>
  <si>
    <t>KIENE DIESEL</t>
  </si>
  <si>
    <t>08706</t>
  </si>
  <si>
    <t>KOREA MARINE INDUSTRIAL CO LTD</t>
  </si>
  <si>
    <t>07378</t>
  </si>
  <si>
    <t>LA ACADEMIA 2001 SRL</t>
  </si>
  <si>
    <t>00030</t>
  </si>
  <si>
    <t>LA CASA DEL FLEXIBLE SRL.</t>
  </si>
  <si>
    <t>09561</t>
  </si>
  <si>
    <t>LOY GUADALUPE ANAHI</t>
  </si>
  <si>
    <t>03737</t>
  </si>
  <si>
    <t>M D Q QUIMICA GARVEY S A</t>
  </si>
  <si>
    <t>01505</t>
  </si>
  <si>
    <t>M.F. S.A.</t>
  </si>
  <si>
    <t>03632</t>
  </si>
  <si>
    <t>MADERAS MISIONES S. A.</t>
  </si>
  <si>
    <t>01412</t>
  </si>
  <si>
    <t>MANTENIMIENTOS SUDESTE EMPRESA DE SERVICIOS SRL</t>
  </si>
  <si>
    <t>03772</t>
  </si>
  <si>
    <t>MAR DEL PLATA PORT MANAGEMENT SRL</t>
  </si>
  <si>
    <t>08925</t>
  </si>
  <si>
    <t>MAR DEL PLATA SODA S A</t>
  </si>
  <si>
    <t>08246</t>
  </si>
  <si>
    <t>MARESAT COMMUNICATIONS LLP</t>
  </si>
  <si>
    <t>08045</t>
  </si>
  <si>
    <t>MARTINEZ JUAN ALBERTO BENJAMIN</t>
  </si>
  <si>
    <t>04312</t>
  </si>
  <si>
    <t>MATAFUEGOS IMPULSO SACIYF</t>
  </si>
  <si>
    <t>00612</t>
  </si>
  <si>
    <t>MAYEKAWA ARGENTINA S.A.</t>
  </si>
  <si>
    <t>09003</t>
  </si>
  <si>
    <t>MDP 2020 REY MAYORISTA CARNICO S. A.</t>
  </si>
  <si>
    <t>06810</t>
  </si>
  <si>
    <t>MEDINA LEONEL JESUS</t>
  </si>
  <si>
    <t>02641</t>
  </si>
  <si>
    <t>MEDITERRANEAN SHIPPING COMPANY S A</t>
  </si>
  <si>
    <t>07616</t>
  </si>
  <si>
    <t>METALGEN FORJA SRL</t>
  </si>
  <si>
    <t>03757</t>
  </si>
  <si>
    <t>MICCIO´S SOCIEDAD ANONIMA</t>
  </si>
  <si>
    <t>06832</t>
  </si>
  <si>
    <t>MONITOREO Y VIGILANCIA MEDINILLA S.A</t>
  </si>
  <si>
    <t>07248</t>
  </si>
  <si>
    <t>MOTORES ELECTRICOS MAR DEL PLATA S.R.L.</t>
  </si>
  <si>
    <t>08705</t>
  </si>
  <si>
    <t>N.M.A. NAUTIC TECH ENGINEERING SUPPORT SLU</t>
  </si>
  <si>
    <t>09408</t>
  </si>
  <si>
    <t>NAGODE MARIA SOL</t>
  </si>
  <si>
    <t>06121</t>
  </si>
  <si>
    <t>NICLAU DESPACHANTES DE ADUANA S.A.</t>
  </si>
  <si>
    <t>05410</t>
  </si>
  <si>
    <t>NUEVA EDISON FARMACEUTICA SCS</t>
  </si>
  <si>
    <t>01573</t>
  </si>
  <si>
    <t>O.A.C.I. S.A.</t>
  </si>
  <si>
    <t>08977</t>
  </si>
  <si>
    <t>OMINT SOCIEDAD ANONIMA DE SERVICIOS</t>
  </si>
  <si>
    <t>00317</t>
  </si>
  <si>
    <t>PESCE GRACIELA MARGARITA</t>
  </si>
  <si>
    <t>08999</t>
  </si>
  <si>
    <t>PINTURERIA PLATERO JFJ S.A</t>
  </si>
  <si>
    <t>06957</t>
  </si>
  <si>
    <t>PLUMIER S.R.L.</t>
  </si>
  <si>
    <t>07301</t>
  </si>
  <si>
    <t>PRESTIGIO SA</t>
  </si>
  <si>
    <t>05096</t>
  </si>
  <si>
    <t>PUNTO TECNICO S.R.L.</t>
  </si>
  <si>
    <t>07569</t>
  </si>
  <si>
    <t>REMOLCADORES MAR DEL PLATA S.A. UNION TRANSITORIA</t>
  </si>
  <si>
    <t>05019</t>
  </si>
  <si>
    <t>RESISTENCIAS MDP S.R.L.</t>
  </si>
  <si>
    <t>06641</t>
  </si>
  <si>
    <t>RICARTE PAMELA GISELE</t>
  </si>
  <si>
    <t>09550</t>
  </si>
  <si>
    <t>RODINIA S.A.</t>
  </si>
  <si>
    <t>06364</t>
  </si>
  <si>
    <t>ROTH SRL</t>
  </si>
  <si>
    <t>09140</t>
  </si>
  <si>
    <t>S&amp;I CONSULTORA MARITIMA S.A</t>
  </si>
  <si>
    <t>09064</t>
  </si>
  <si>
    <t>SALAS OSCAR LISANDRO</t>
  </si>
  <si>
    <t>08959</t>
  </si>
  <si>
    <t>SAMULAK PAULO ARMANDO</t>
  </si>
  <si>
    <t>00061</t>
  </si>
  <si>
    <t>SANKO ELECTRONICA S.R.L.</t>
  </si>
  <si>
    <t>07225</t>
  </si>
  <si>
    <t>SAVE SRL</t>
  </si>
  <si>
    <t>03860</t>
  </si>
  <si>
    <t>SCANIA ARGENTINA SAU</t>
  </si>
  <si>
    <t>08770</t>
  </si>
  <si>
    <t>SEA FOOD MEDIA GROUP LTD</t>
  </si>
  <si>
    <t>00181</t>
  </si>
  <si>
    <t>SEYCO S.A.C.I.F.</t>
  </si>
  <si>
    <t>09102</t>
  </si>
  <si>
    <t>SIEBEN SANTIAGO NICOLAS</t>
  </si>
  <si>
    <t>08702</t>
  </si>
  <si>
    <t>SIGEVAL SA</t>
  </si>
  <si>
    <t>01127</t>
  </si>
  <si>
    <t>SIMONAZZI HUGO OMAR</t>
  </si>
  <si>
    <t>06212</t>
  </si>
  <si>
    <t>SINFID SA</t>
  </si>
  <si>
    <t>08700</t>
  </si>
  <si>
    <t>SKV GROUP S.L.</t>
  </si>
  <si>
    <t>08379</t>
  </si>
  <si>
    <t>STAR - FISH S.A.</t>
  </si>
  <si>
    <t>06956</t>
  </si>
  <si>
    <t>SUCESION DE BUONO FILIPPO</t>
  </si>
  <si>
    <t>03151</t>
  </si>
  <si>
    <t>TAGLIARINI RUBEN OMAR</t>
  </si>
  <si>
    <t>07555</t>
  </si>
  <si>
    <t>TALLER MCM S.R.L</t>
  </si>
  <si>
    <t>07095</t>
  </si>
  <si>
    <t>TECNO LUBE S.A.</t>
  </si>
  <si>
    <t>02650</t>
  </si>
  <si>
    <t>TECNOPESCA ARGENTINA SA</t>
  </si>
  <si>
    <t>08667</t>
  </si>
  <si>
    <t>TECVOL S.R.L.</t>
  </si>
  <si>
    <t>09167</t>
  </si>
  <si>
    <t>THEISEN SEBASTIAN</t>
  </si>
  <si>
    <t>04016</t>
  </si>
  <si>
    <t>TODO PARA LA GASTRONOMIA S.A.</t>
  </si>
  <si>
    <t>06103</t>
  </si>
  <si>
    <t>TOLOSA S.A.</t>
  </si>
  <si>
    <t>08757</t>
  </si>
  <si>
    <t>TRANSMISIONES LORENZANI S.R.L</t>
  </si>
  <si>
    <t>09510</t>
  </si>
  <si>
    <t>TRUCHI RUBEN ANGEL</t>
  </si>
  <si>
    <t>07448</t>
  </si>
  <si>
    <t>URK SA</t>
  </si>
  <si>
    <t>04035</t>
  </si>
  <si>
    <t>VAZQUEZ DANIEL NORBERTO</t>
  </si>
  <si>
    <t>00295</t>
  </si>
  <si>
    <t>VIOMAR S.A.I.C.</t>
  </si>
  <si>
    <t>08447</t>
  </si>
  <si>
    <t>VISION LOGISTIC</t>
  </si>
  <si>
    <t>07308</t>
  </si>
  <si>
    <t>VIVA WALTER IGNACIO Y VIVA ABEL S.H.</t>
  </si>
  <si>
    <t>08554</t>
  </si>
  <si>
    <t>08729</t>
  </si>
  <si>
    <t>Y.C. ARMO-CAS S. A.</t>
  </si>
  <si>
    <t>02429</t>
  </si>
  <si>
    <t>YPF S.A.</t>
  </si>
  <si>
    <t>00504</t>
  </si>
  <si>
    <t>ADOLFO FORTIER S A C I F I A</t>
  </si>
  <si>
    <t>04288</t>
  </si>
  <si>
    <t>ASSISTANCE FOOD ARGENTINA SA</t>
  </si>
  <si>
    <t>08035</t>
  </si>
  <si>
    <t>BUENOS AIRES EXPRESS S.R.L.</t>
  </si>
  <si>
    <t>08210</t>
  </si>
  <si>
    <t>COCCO HERNAN PABLO</t>
  </si>
  <si>
    <t>04590</t>
  </si>
  <si>
    <t>DISTRIBUIDORA ARIES SRL</t>
  </si>
  <si>
    <t>05997</t>
  </si>
  <si>
    <t>EUROCAFE S.R.L.</t>
  </si>
  <si>
    <t>08913</t>
  </si>
  <si>
    <t>FIER LUCIANO DANIEL</t>
  </si>
  <si>
    <t>08161</t>
  </si>
  <si>
    <t>GANACA7 S.R.L.</t>
  </si>
  <si>
    <t>08661</t>
  </si>
  <si>
    <t>GOROSITO ALEJO ALONCIO</t>
  </si>
  <si>
    <t>04686</t>
  </si>
  <si>
    <t>HAUNOLD VIVIANA</t>
  </si>
  <si>
    <t>01566</t>
  </si>
  <si>
    <t>MASSA LUIS ALEJANDRO</t>
  </si>
  <si>
    <t>05368</t>
  </si>
  <si>
    <t>MEYER SACIF</t>
  </si>
  <si>
    <t>09594</t>
  </si>
  <si>
    <t>PATUTO ADRIAN ALEJANDRO</t>
  </si>
  <si>
    <t>05412</t>
  </si>
  <si>
    <t>QUINCI JUAN FRANCISCO</t>
  </si>
  <si>
    <t>06400</t>
  </si>
  <si>
    <t>RIVERA LUIS GUILLERMO</t>
  </si>
  <si>
    <t>06636</t>
  </si>
  <si>
    <t>SETEIN PRODUCTOS INDUSTRIALES S.A.</t>
  </si>
  <si>
    <t>07987</t>
  </si>
  <si>
    <t>SIRO HUGO CESAR</t>
  </si>
  <si>
    <t>09434</t>
  </si>
  <si>
    <t>SOLARI JOSE JESUS</t>
  </si>
  <si>
    <t>09462</t>
  </si>
  <si>
    <t>TECH SAFE S.A.</t>
  </si>
  <si>
    <t>03695</t>
  </si>
  <si>
    <t>TELECOM ARGENTINA SA</t>
  </si>
  <si>
    <t>06375</t>
  </si>
  <si>
    <t>TREMBLAY S.R.L.</t>
  </si>
  <si>
    <t>07686</t>
  </si>
  <si>
    <t>URIARTE MARCELO OSVALDO</t>
  </si>
  <si>
    <t>09576</t>
  </si>
  <si>
    <t>WANBARU ICE S.A.</t>
  </si>
  <si>
    <t>Código de proveedor</t>
  </si>
  <si>
    <t>Razón Social</t>
  </si>
  <si>
    <t>Módulo de formulario</t>
  </si>
  <si>
    <t>Mes en curso</t>
  </si>
  <si>
    <t>Actividad comercial</t>
  </si>
  <si>
    <t>Mes anterior</t>
  </si>
  <si>
    <t>Mes anterior 2</t>
  </si>
  <si>
    <t>Mes Ant 3</t>
  </si>
  <si>
    <t>Mes 4 y anteriores</t>
  </si>
  <si>
    <t>PV</t>
  </si>
  <si>
    <t>EQUIPOS, INSUMOS Y SERV. INFORMATICOS</t>
  </si>
  <si>
    <t>PR025</t>
  </si>
  <si>
    <t>LIMPIEZA PLANTA Y OFICINAS</t>
  </si>
  <si>
    <t>PR077</t>
  </si>
  <si>
    <t>ARTS.DE FERRETERIA BUQUES/PLANTA</t>
  </si>
  <si>
    <t>PR020</t>
  </si>
  <si>
    <t>FABRICACION DE ARTICULOS DE LONA</t>
  </si>
  <si>
    <t>PR145</t>
  </si>
  <si>
    <t>REPARACIONES MECANICAS BUQUES</t>
  </si>
  <si>
    <t>PR060</t>
  </si>
  <si>
    <t>REPUESTOS PARA RODADOS</t>
  </si>
  <si>
    <t>PR045</t>
  </si>
  <si>
    <t>PROVEEDURIA - INSUMOS PARA BUQUES</t>
  </si>
  <si>
    <t>PR041</t>
  </si>
  <si>
    <t>SERVICIOS DE TELEFONIA</t>
  </si>
  <si>
    <t>PR053</t>
  </si>
  <si>
    <t>ELECTRODOMESTICOS BUQUES/EMPRESA</t>
  </si>
  <si>
    <t>PR093</t>
  </si>
  <si>
    <t>SERVICIOS DE TERCEROS</t>
  </si>
  <si>
    <t>PR055</t>
  </si>
  <si>
    <t>CONSTRUCCION - REPARACIONES BUQUES</t>
  </si>
  <si>
    <t>PR005</t>
  </si>
  <si>
    <t>TRANSPORTES Y FLETES</t>
  </si>
  <si>
    <t>PR054</t>
  </si>
  <si>
    <t>Mat. y Equipo p/reparacion Frig./ Flota.</t>
  </si>
  <si>
    <t>PR047</t>
  </si>
  <si>
    <t>03774</t>
  </si>
  <si>
    <t>BENGOCHEA JORGE GABRIEL</t>
  </si>
  <si>
    <t>AUTOELEVADORES-MATERIALES Y REPARACIONES</t>
  </si>
  <si>
    <t>PR079</t>
  </si>
  <si>
    <t>MANTEN. Y DEPURACION POZOS DE AGUA</t>
  </si>
  <si>
    <t>PR085</t>
  </si>
  <si>
    <t>PROVEEDURIA-LACTEOS P/ BUQUES</t>
  </si>
  <si>
    <t>PR109</t>
  </si>
  <si>
    <t>TRABAJOS DE MANT. DE EDIF. Y BUQUES</t>
  </si>
  <si>
    <t>PR098</t>
  </si>
  <si>
    <t>PROVEEEDURIA-CARNE P/BUQUES</t>
  </si>
  <si>
    <t>PR104</t>
  </si>
  <si>
    <t>ARTS. SANITARIOS-GAS ( BUQUES/PLANTA)</t>
  </si>
  <si>
    <t>PR061</t>
  </si>
  <si>
    <t>MATERIALES ELECTRICOS P/BUQUES Y PLANTA</t>
  </si>
  <si>
    <t>PR024</t>
  </si>
  <si>
    <t>01849</t>
  </si>
  <si>
    <t>CASA MINGO S.R.L.</t>
  </si>
  <si>
    <t>ROPA DE TRABAJO P/ PLANTA Y BUQUES</t>
  </si>
  <si>
    <t>PR048</t>
  </si>
  <si>
    <t>INSTR. Y APARATOS  PARA MEDIR, VERIFICAR Y ENSAYAR.</t>
  </si>
  <si>
    <t>PR149</t>
  </si>
  <si>
    <t>REPUESTOS PARA  BARCOS</t>
  </si>
  <si>
    <t>PR046</t>
  </si>
  <si>
    <t>SERVICIOS PORTUARIOS</t>
  </si>
  <si>
    <t>PR091</t>
  </si>
  <si>
    <t>REPARACION Y VTA EQUIPOS DE FRIO</t>
  </si>
  <si>
    <t>PR117</t>
  </si>
  <si>
    <t>GRUAS-AUTOELEVADORES</t>
  </si>
  <si>
    <t>PR026</t>
  </si>
  <si>
    <t>SERVICIOS DE ESTIBAJES</t>
  </si>
  <si>
    <t>PR019</t>
  </si>
  <si>
    <t>MANO DE OBRA COOPERATIVAS</t>
  </si>
  <si>
    <t>PR032</t>
  </si>
  <si>
    <t>DESPACHANTES y AGENTES  MARITIMOS</t>
  </si>
  <si>
    <t>PR015</t>
  </si>
  <si>
    <t>SIN ACTIVIDAD CODIFICADA</t>
  </si>
  <si>
    <t>PR999</t>
  </si>
  <si>
    <t>IMPRENTA (ETIQUETAS/TALONARIOS)</t>
  </si>
  <si>
    <t>PR062</t>
  </si>
  <si>
    <t>MAT. CONST, ELECTRICOS Y PLOMERIA</t>
  </si>
  <si>
    <t>PR016</t>
  </si>
  <si>
    <t>FRANQUEOS-CORRESPONDENCIA</t>
  </si>
  <si>
    <t>PR021</t>
  </si>
  <si>
    <t>LIBRERIA, PAPELERIA E IMPRENTA</t>
  </si>
  <si>
    <t>PR031</t>
  </si>
  <si>
    <t>07319</t>
  </si>
  <si>
    <t>DISTRIBUIDORA WALLY S. R. L.</t>
  </si>
  <si>
    <t>PROVEEDURIA-DISTRIBUIDOR MAYORISTA INSUMOS BUQUES/EMPRESA</t>
  </si>
  <si>
    <t>PR058</t>
  </si>
  <si>
    <t>METALURGICA BUQUES/PLANTA</t>
  </si>
  <si>
    <t>PR111</t>
  </si>
  <si>
    <t>ROPA Y ARTICULOS DE SEGURIDAD</t>
  </si>
  <si>
    <t>PR110</t>
  </si>
  <si>
    <t>SERVICIO DE MONITOREO SATELITAL</t>
  </si>
  <si>
    <t>PR129</t>
  </si>
  <si>
    <t>CAÑOS-HIERROS-CHAPAS P/BUQUES</t>
  </si>
  <si>
    <t>PR011</t>
  </si>
  <si>
    <t>SERVICIOS DE RESTAURANTES Y CANTINAS CON ESPECTÁCULO</t>
  </si>
  <si>
    <t>561012</t>
  </si>
  <si>
    <t>CAJAS DE CARTON P/ EXPORTACION</t>
  </si>
  <si>
    <t>PR007</t>
  </si>
  <si>
    <t>FARMACIAS-MEDICAMENTOS</t>
  </si>
  <si>
    <t>PR035</t>
  </si>
  <si>
    <t>SERVICIO MECANICO</t>
  </si>
  <si>
    <t>PR050</t>
  </si>
  <si>
    <t>PROVEEDURIA-PANADERIAY CONFITERIA P/BUQUES</t>
  </si>
  <si>
    <t>PR107</t>
  </si>
  <si>
    <t>PROVEEDURIA- ARTS. DE LIMPIEZA</t>
  </si>
  <si>
    <t>PR040</t>
  </si>
  <si>
    <t>PUBLICIDAD EN MEDIOS GRAFICOS</t>
  </si>
  <si>
    <t>PR075</t>
  </si>
  <si>
    <t>MATAFUEGOS Y ELEMNTOS DE SEGURIDAD BUQUES/EMPRESA</t>
  </si>
  <si>
    <t>PR089</t>
  </si>
  <si>
    <t>Empresas del Grupo</t>
  </si>
  <si>
    <t>0</t>
  </si>
  <si>
    <t>PROVEEDURIA-POLLERIA/GRANJA P/ BUQUES</t>
  </si>
  <si>
    <t>PR108</t>
  </si>
  <si>
    <t>CARPINTERIA DE ALUMINIO</t>
  </si>
  <si>
    <t>PR009</t>
  </si>
  <si>
    <t>HONORARIOS ESCRIBANOS</t>
  </si>
  <si>
    <t>PR096</t>
  </si>
  <si>
    <t>PROVEEEDURIA-GUANTES</t>
  </si>
  <si>
    <t>PR102</t>
  </si>
  <si>
    <t>08190</t>
  </si>
  <si>
    <t>HANDLER 04 MDP</t>
  </si>
  <si>
    <t>REPARACIONES MOTORES</t>
  </si>
  <si>
    <t>PR044</t>
  </si>
  <si>
    <t>VENTA DE HIELO PARA BUQUES</t>
  </si>
  <si>
    <t>PR0104</t>
  </si>
  <si>
    <t>09359</t>
  </si>
  <si>
    <t>INDUSTRIAS DE PASCALE S.A.</t>
  </si>
  <si>
    <t>REPARACIONES ELECTRONICAS BUQUES</t>
  </si>
  <si>
    <t>PR057</t>
  </si>
  <si>
    <t>HOTELES Y HOSPEDAJES</t>
  </si>
  <si>
    <t>PR028</t>
  </si>
  <si>
    <t>REDES y ARTES DE PESCA P/BUQUES</t>
  </si>
  <si>
    <t>PR004</t>
  </si>
  <si>
    <t>ARENADO Y PINTURA PARA BARCOS</t>
  </si>
  <si>
    <t>PR168</t>
  </si>
  <si>
    <t>RECOL., TRANSP., TRATAM Y DISPOSICIÓN FINAL DE RESIDUOS</t>
  </si>
  <si>
    <t>PR144</t>
  </si>
  <si>
    <t>TRABAJOS DE BUCEO Y SALVAMENTO EN BUQUES</t>
  </si>
  <si>
    <t>PR076</t>
  </si>
  <si>
    <t>PRODUCTOS QUIMICOS</t>
  </si>
  <si>
    <t>PR039</t>
  </si>
  <si>
    <t>SEGURIDAD-VIGILANCIA EMPRESA</t>
  </si>
  <si>
    <t>PR073</t>
  </si>
  <si>
    <t>08887</t>
  </si>
  <si>
    <t>MONTENEGRO MARIA VIVIANA</t>
  </si>
  <si>
    <t>REPUESTOS  y VTAS EQUIP. ELECTRICOS</t>
  </si>
  <si>
    <t>PR042</t>
  </si>
  <si>
    <t>COMBUSTIBLES - LUBRICANTES</t>
  </si>
  <si>
    <t>PR013</t>
  </si>
  <si>
    <t>PINTURERIAS</t>
  </si>
  <si>
    <t>PR037</t>
  </si>
  <si>
    <t>05899</t>
  </si>
  <si>
    <t>PIROTECNIA MBZ SA</t>
  </si>
  <si>
    <t> EXPLOSIVOS Y PRODUCTOS DE PIROTECNIA</t>
  </si>
  <si>
    <t>PR162</t>
  </si>
  <si>
    <t>REPUESTOS PARA RODADOS / BUQUES</t>
  </si>
  <si>
    <t>PR150</t>
  </si>
  <si>
    <t>SERVICIO DE ASESORAMIENTO TECNICO PARA BUQUES</t>
  </si>
  <si>
    <t>PR220</t>
  </si>
  <si>
    <t>SERVICIO DE DESINFECCION Y FUMIGACION</t>
  </si>
  <si>
    <t>PR022</t>
  </si>
  <si>
    <t>REPARACIONES ELECTRICAS BUQUE/PLANTA</t>
  </si>
  <si>
    <t>PR083</t>
  </si>
  <si>
    <t>MAT. Y EQUIPOS PARA BUQUES</t>
  </si>
  <si>
    <t>PR203</t>
  </si>
  <si>
    <t>PR165</t>
  </si>
  <si>
    <t>GOMERIA</t>
  </si>
  <si>
    <t>PR080</t>
  </si>
  <si>
    <t>08953</t>
  </si>
  <si>
    <t>TODO BOMBAS S. R. L.</t>
  </si>
  <si>
    <t>SUPERMERCADO-PROVEEDURIA</t>
  </si>
  <si>
    <t>CL007</t>
  </si>
  <si>
    <t>PROVEEEDURIA-ROPA DE TRABAJO</t>
  </si>
  <si>
    <t>PR103</t>
  </si>
  <si>
    <t>REPUESTOS BAADER</t>
  </si>
  <si>
    <t>PR116</t>
  </si>
  <si>
    <t>POLIETILENO P/ EXPORTACION</t>
  </si>
  <si>
    <t>PR038</t>
  </si>
  <si>
    <t>SERVICIOS MARITIMOS</t>
  </si>
  <si>
    <t>PR148</t>
  </si>
  <si>
    <t>07598</t>
  </si>
  <si>
    <t>ABREU JOSE LUIS</t>
  </si>
  <si>
    <t>08892</t>
  </si>
  <si>
    <t>ADECCO ARGENTINA SA</t>
  </si>
  <si>
    <t>03315</t>
  </si>
  <si>
    <t>ADMINISTRACION PORTUARIA DE PUERTO MADRYN</t>
  </si>
  <si>
    <t>09524</t>
  </si>
  <si>
    <t>ALEM LISANDRO</t>
  </si>
  <si>
    <t>07867</t>
  </si>
  <si>
    <t>ALTAVILLA S.R.L.</t>
  </si>
  <si>
    <t>07846</t>
  </si>
  <si>
    <t>AUTOVIA 3 S.A.</t>
  </si>
  <si>
    <t>09093</t>
  </si>
  <si>
    <t>BASUALDO MATIAS RAFAEL</t>
  </si>
  <si>
    <t>08997</t>
  </si>
  <si>
    <t>BELLA VISTA DEL MAR MDQ S.R.L.</t>
  </si>
  <si>
    <t>08399</t>
  </si>
  <si>
    <t>BRASAS JUAN IGNACIO</t>
  </si>
  <si>
    <t>01006</t>
  </si>
  <si>
    <t>CARTONERIA ACEVEDO SACI</t>
  </si>
  <si>
    <t>08526</t>
  </si>
  <si>
    <t>CONSULTORA GESTAM MDP SA</t>
  </si>
  <si>
    <t>06380</t>
  </si>
  <si>
    <t>COOPERATIVA DE TRABAJO PARA ACTIVIDADES DEL ESTIBAJE LIMITADA</t>
  </si>
  <si>
    <t>01355</t>
  </si>
  <si>
    <t>DISTRIBUIDORA EL FARO SA</t>
  </si>
  <si>
    <t>03905</t>
  </si>
  <si>
    <t>DUGAS S.R.L.</t>
  </si>
  <si>
    <t>CARGA DE GARRAFAS</t>
  </si>
  <si>
    <t>PR157</t>
  </si>
  <si>
    <t>05520</t>
  </si>
  <si>
    <t>FAUSZLEGER SA</t>
  </si>
  <si>
    <t>09332</t>
  </si>
  <si>
    <t>FERRECENTRO S.R.L.</t>
  </si>
  <si>
    <t>06040</t>
  </si>
  <si>
    <t>FILIPPI FEDERICO ALEJANDRO</t>
  </si>
  <si>
    <t>08596</t>
  </si>
  <si>
    <t>FRESCO PABLO JAVIER</t>
  </si>
  <si>
    <t>06070</t>
  </si>
  <si>
    <t>GUEDIKIAN IMPRESORES SA</t>
  </si>
  <si>
    <t>05350</t>
  </si>
  <si>
    <t>INPROPE SA</t>
  </si>
  <si>
    <t>07396</t>
  </si>
  <si>
    <t>INTEGRACION DE ALIMENTOS Y SERVICIOS S.A.</t>
  </si>
  <si>
    <t>05145</t>
  </si>
  <si>
    <t>LABORATORIO BIOQUIMICO MAR DEL PLATA  S.A.</t>
  </si>
  <si>
    <t>SERVICIOS DE TERCEROS - LABORATORIO</t>
  </si>
  <si>
    <t>PR119</t>
  </si>
  <si>
    <t>07009</t>
  </si>
  <si>
    <t>LOAD SRL</t>
  </si>
  <si>
    <t>07240</t>
  </si>
  <si>
    <t>MARITIMA GITAN SA</t>
  </si>
  <si>
    <t>07968</t>
  </si>
  <si>
    <t>MARITIMA OBISPO S.A.S.</t>
  </si>
  <si>
    <t>06006</t>
  </si>
  <si>
    <t>MOREIRA ROLANDO RAMON</t>
  </si>
  <si>
    <t>08373</t>
  </si>
  <si>
    <t>OCA LOG S.A</t>
  </si>
  <si>
    <t>04900</t>
  </si>
  <si>
    <t>OTI INTERNACIONAL S.A.</t>
  </si>
  <si>
    <t>AGENCIA TURISMO-VUELOS MERCADO EXTERIOR</t>
  </si>
  <si>
    <t>PR090</t>
  </si>
  <si>
    <t>05838</t>
  </si>
  <si>
    <t>PEREZ RIVERA E HIJOS SRL</t>
  </si>
  <si>
    <t>MATERIALES DE CONSTRUCCION FRIGORIFICO</t>
  </si>
  <si>
    <t>PR034</t>
  </si>
  <si>
    <t>09074</t>
  </si>
  <si>
    <t>PRODUCTOS PORCINOS SA</t>
  </si>
  <si>
    <t>PROVEEDURIA - FIAMBRES, QUESOS Y EMBUTIDOS</t>
  </si>
  <si>
    <t>PR170</t>
  </si>
  <si>
    <t>06777</t>
  </si>
  <si>
    <t>PROYECTO ORION SRL</t>
  </si>
  <si>
    <t>PALLETS DE MADERA P/BUQUES/PLANTA</t>
  </si>
  <si>
    <t>PR071</t>
  </si>
  <si>
    <t>05848</t>
  </si>
  <si>
    <t>SER AMBIENT SRL</t>
  </si>
  <si>
    <t>08736</t>
  </si>
  <si>
    <t>SERRANO LEONARDO DAVID</t>
  </si>
  <si>
    <t>07426</t>
  </si>
  <si>
    <t>STELLA DANIEL GENARO</t>
  </si>
  <si>
    <t>00145</t>
  </si>
  <si>
    <t>TALLERES CARMONA S.A.</t>
  </si>
  <si>
    <t>08747</t>
  </si>
  <si>
    <t>TALLONE ALEJANDRO ULISES</t>
  </si>
  <si>
    <t>05028</t>
  </si>
  <si>
    <t>VIENTOS DE LUNA S.A.</t>
  </si>
  <si>
    <t>06385</t>
  </si>
  <si>
    <t>VILGOM ARGENTINA S.A.</t>
  </si>
  <si>
    <t>06732</t>
  </si>
  <si>
    <t>ACUPRI S. R. L</t>
  </si>
  <si>
    <t>00943</t>
  </si>
  <si>
    <t>BARTOLOMEO ALBERTO ANGEL</t>
  </si>
  <si>
    <t>05657</t>
  </si>
  <si>
    <t>DI MEGLIO JUAN JOSE</t>
  </si>
  <si>
    <t>09355</t>
  </si>
  <si>
    <t>DOBLEA REPRESENTACIONES S.R.L.</t>
  </si>
  <si>
    <t>06807</t>
  </si>
  <si>
    <t>ELECTROTERMA MAR DEL PLATA S.R.L.</t>
  </si>
  <si>
    <t>01965</t>
  </si>
  <si>
    <t>FAMIQ SRL</t>
  </si>
  <si>
    <t>07430</t>
  </si>
  <si>
    <t>GOMATEX S.R.L.</t>
  </si>
  <si>
    <t>03311</t>
  </si>
  <si>
    <t>INDUSTRIAS DARC S.A.</t>
  </si>
  <si>
    <t>07554</t>
  </si>
  <si>
    <t>LAKAUT S.A.</t>
  </si>
  <si>
    <t>01900</t>
  </si>
  <si>
    <t>LUANCAR S.A.</t>
  </si>
  <si>
    <t>06005</t>
  </si>
  <si>
    <t>MARTINEZ ROSANA PATRICIA</t>
  </si>
  <si>
    <t>06899</t>
  </si>
  <si>
    <t>MORENI HNOS. S.R.L.</t>
  </si>
  <si>
    <t>06109</t>
  </si>
  <si>
    <t>PATAGONIA ESTIBAJES S. A.</t>
  </si>
  <si>
    <t>03143</t>
  </si>
  <si>
    <t>QUIMICA INDUSTRIAL KUBO SA</t>
  </si>
  <si>
    <t>07529</t>
  </si>
  <si>
    <t>REPARACIONES DON MARCOS SRL</t>
  </si>
  <si>
    <t>09616</t>
  </si>
  <si>
    <t>RODRIGUEZ ALEJANDRO DANIEL</t>
  </si>
  <si>
    <t>02934</t>
  </si>
  <si>
    <t>SULE FERNANDO JOSE</t>
  </si>
  <si>
    <t>WATER NAVAL S.A.S</t>
  </si>
  <si>
    <t>08250</t>
  </si>
  <si>
    <t> NALDO LOMBARDI S A</t>
  </si>
  <si>
    <t>05568</t>
  </si>
  <si>
    <t>ADOLFO KUHN SRL</t>
  </si>
  <si>
    <t>06699</t>
  </si>
  <si>
    <t>ALTIUS ARGENTINA S.A</t>
  </si>
  <si>
    <t>09617</t>
  </si>
  <si>
    <t>ARRIVIAMO S.A.S.</t>
  </si>
  <si>
    <t>05763</t>
  </si>
  <si>
    <t>ASTILLERO DE ANGELIS S.A.</t>
  </si>
  <si>
    <t>09607</t>
  </si>
  <si>
    <t>ASTRADA LUCA</t>
  </si>
  <si>
    <t>BIDONES DE AGUA</t>
  </si>
  <si>
    <t>PR105</t>
  </si>
  <si>
    <t>06080</t>
  </si>
  <si>
    <t>BELCHAMP SA</t>
  </si>
  <si>
    <t>00532</t>
  </si>
  <si>
    <t>CABRALES S.A.</t>
  </si>
  <si>
    <t>07593</t>
  </si>
  <si>
    <t>CITYSSAN S.A.</t>
  </si>
  <si>
    <t>08143</t>
  </si>
  <si>
    <t>CLAVIJO LUGO JUAN DARIO</t>
  </si>
  <si>
    <t>REPARACIONES Y MANTENIMIENTO FRIGORIFICO</t>
  </si>
  <si>
    <t>PR171</t>
  </si>
  <si>
    <t>04214</t>
  </si>
  <si>
    <t>CO SE RE NA S A</t>
  </si>
  <si>
    <t>05786</t>
  </si>
  <si>
    <t>CRAITO ARGENTINA SA</t>
  </si>
  <si>
    <t>SULFITO SOLTAX PARA LANGOSTINO</t>
  </si>
  <si>
    <t>PR159</t>
  </si>
  <si>
    <t>09331</t>
  </si>
  <si>
    <t>DROGUERIA PERDOMINICI S. A.</t>
  </si>
  <si>
    <t>06004</t>
  </si>
  <si>
    <t>EUROPATAGONICA S A</t>
  </si>
  <si>
    <t>GARRAFAS DE FREON</t>
  </si>
  <si>
    <t>PR185</t>
  </si>
  <si>
    <t>08576</t>
  </si>
  <si>
    <t>GUSENCAR S.R.L.</t>
  </si>
  <si>
    <t>07146</t>
  </si>
  <si>
    <t>HORNI MIGUEL EDGARDO</t>
  </si>
  <si>
    <t>07587</t>
  </si>
  <si>
    <t>INDUSTRIAL PUERTO S.A</t>
  </si>
  <si>
    <t>07734</t>
  </si>
  <si>
    <t>INGACOT COMERCIAL S.A.</t>
  </si>
  <si>
    <t>09469</t>
  </si>
  <si>
    <t>INTERBANKING SA</t>
  </si>
  <si>
    <t>04843</t>
  </si>
  <si>
    <t>JEZAHEL S.A.</t>
  </si>
  <si>
    <t>08155</t>
  </si>
  <si>
    <t>MANCUL S A</t>
  </si>
  <si>
    <t>07893</t>
  </si>
  <si>
    <t>MANGIATERRA MATIAS EZEQUIEL</t>
  </si>
  <si>
    <t>08582</t>
  </si>
  <si>
    <t>MANNA JORGE LUIS</t>
  </si>
  <si>
    <t>00025</t>
  </si>
  <si>
    <t>MARPAL S.A.</t>
  </si>
  <si>
    <t>01925</t>
  </si>
  <si>
    <t>MATTINA HNOS S.A.C.I.A.N.</t>
  </si>
  <si>
    <t>03124</t>
  </si>
  <si>
    <t>NAUTILUS SRL</t>
  </si>
  <si>
    <t>06923</t>
  </si>
  <si>
    <t>NUÑEZ JORGE DANIEL</t>
  </si>
  <si>
    <t>05399</t>
  </si>
  <si>
    <t>PACKAGING Y SERVICIOS S.A.</t>
  </si>
  <si>
    <t>CINTAS ADHESIVAS PARA EMPAQUE FLOTA</t>
  </si>
  <si>
    <t>PR160</t>
  </si>
  <si>
    <t>07457</t>
  </si>
  <si>
    <t>PEDRO CORRADI SA</t>
  </si>
  <si>
    <t>05770</t>
  </si>
  <si>
    <t>PESQUERA SAN CAYETANO S.A.</t>
  </si>
  <si>
    <t>09598</t>
  </si>
  <si>
    <t>PINO FABIAN FERNANDO</t>
  </si>
  <si>
    <t>06216</t>
  </si>
  <si>
    <t>PMDP SA</t>
  </si>
  <si>
    <t>COMBUSTIBLES Y LUBRICANTES RODADOS</t>
  </si>
  <si>
    <t>PR161</t>
  </si>
  <si>
    <t>03820</t>
  </si>
  <si>
    <t>REGINALD LEE S.A.</t>
  </si>
  <si>
    <t>07261</t>
  </si>
  <si>
    <t>SANABRIA-SANABRIA SH</t>
  </si>
  <si>
    <t>09619</t>
  </si>
  <si>
    <t>SUBLIMADOS MAR DEL PLATA SAS</t>
  </si>
  <si>
    <t>05092</t>
  </si>
  <si>
    <t>TENES S.A.</t>
  </si>
  <si>
    <t>07611</t>
  </si>
  <si>
    <t>TRANSPORTE GYAN S.R.L.</t>
  </si>
  <si>
    <t>08752</t>
  </si>
  <si>
    <t>VILLAR MARCELA NOELIA</t>
  </si>
  <si>
    <t>09611</t>
  </si>
  <si>
    <t>ZAHN ALEXIS</t>
  </si>
  <si>
    <t>ALQUILERES</t>
  </si>
  <si>
    <t>8</t>
  </si>
  <si>
    <t>Cuenta corriente   valor: VAL01</t>
  </si>
  <si>
    <t>Vencimiento al   valor: 20280408</t>
  </si>
  <si>
    <t>Banco Galicia</t>
  </si>
  <si>
    <t>ALPAHELI S.R.L.</t>
  </si>
  <si>
    <t>BALIÑA GERARDO DANIEL</t>
  </si>
  <si>
    <t>BUIZ LEONARDO RAUL</t>
  </si>
  <si>
    <t>DISTRIBUIDORA LEBENSHON 8061</t>
  </si>
  <si>
    <t>FEADAR S.A.</t>
  </si>
  <si>
    <t>FIREFISH SA</t>
  </si>
  <si>
    <t>G4 CONSULTING SA</t>
  </si>
  <si>
    <t>GERAHARD HNOS SOCIEDAD DE RESPONSABILIDAD LIMITADA EN FORMACION</t>
  </si>
  <si>
    <t>GOGNIAT SOLDADURA SA</t>
  </si>
  <si>
    <t>GRAMAJO PABLO MARTIN</t>
  </si>
  <si>
    <t>HERNANDEZ CORTES MIGUEL</t>
  </si>
  <si>
    <t>MALEVO MEDINA BUZOS S.R.L.</t>
  </si>
  <si>
    <t>MOENS PABLO ENRIQUE</t>
  </si>
  <si>
    <t>NSM FOODS &amp; LOG S.R.L</t>
  </si>
  <si>
    <t>PM REFRIGERACION INDUSTRIAL S.A</t>
  </si>
  <si>
    <t>SAMLOG S.R.L.</t>
  </si>
  <si>
    <t>SERVICIOS PORTUARIOS INTEGRADOS S.A.</t>
  </si>
  <si>
    <t>SUCESION DE ARCAMONE ANA</t>
  </si>
  <si>
    <t>TELEFONICA MOVILES ARGENTINA SA</t>
  </si>
  <si>
    <t>TRANSPORTE FORTUNA DEL MAR SA</t>
  </si>
  <si>
    <t>TRANSPORTES SCORDINA SA</t>
  </si>
  <si>
    <t>VILLAGRA DAVID ERNESTO</t>
  </si>
  <si>
    <t>WEMAR S R L</t>
  </si>
  <si>
    <t>Banco Santander</t>
  </si>
  <si>
    <t>SISTEMAS INFORMATICOS</t>
  </si>
  <si>
    <t>PR067</t>
  </si>
  <si>
    <t>08608</t>
  </si>
  <si>
    <t>D ALBIS DARIO OSVALDO</t>
  </si>
  <si>
    <t>08262</t>
  </si>
  <si>
    <t>07017</t>
  </si>
  <si>
    <t>08225</t>
  </si>
  <si>
    <t>06074</t>
  </si>
  <si>
    <t>09053</t>
  </si>
  <si>
    <t>05571</t>
  </si>
  <si>
    <t>08744</t>
  </si>
  <si>
    <t>SERVICIO DE LAVADO</t>
  </si>
  <si>
    <t>PR002</t>
  </si>
  <si>
    <t>07485</t>
  </si>
  <si>
    <t>INSTALACIONES PLANTA FRIGORIFICA</t>
  </si>
  <si>
    <t>PR029</t>
  </si>
  <si>
    <t>08048</t>
  </si>
  <si>
    <t>J KOSTZER LIBRERIA LURO S R L</t>
  </si>
  <si>
    <t>06934</t>
  </si>
  <si>
    <t>LAMAZON GILDO WERFIL</t>
  </si>
  <si>
    <t>06972</t>
  </si>
  <si>
    <t>LUMATEC SRL</t>
  </si>
  <si>
    <t>07259</t>
  </si>
  <si>
    <t>BALANZAS Y SISTEMAS DE PESAJES</t>
  </si>
  <si>
    <t>PR152</t>
  </si>
  <si>
    <t>04293</t>
  </si>
  <si>
    <t>08485</t>
  </si>
  <si>
    <t>SERVICIOS DE GESTION Y LOGISTICA</t>
  </si>
  <si>
    <t>PR151</t>
  </si>
  <si>
    <t>03916</t>
  </si>
  <si>
    <t>00196</t>
  </si>
  <si>
    <t>SALVADOR MALVICA S.R.L.</t>
  </si>
  <si>
    <t>07655</t>
  </si>
  <si>
    <t>REPARACIONES Y MANTENIMIENTO BUQUES</t>
  </si>
  <si>
    <t>PR186</t>
  </si>
  <si>
    <t>00192</t>
  </si>
  <si>
    <t>02467</t>
  </si>
  <si>
    <t>08076</t>
  </si>
  <si>
    <t>00507</t>
  </si>
  <si>
    <t>06231</t>
  </si>
  <si>
    <t>VELASCO GUILLERMO DANIEL</t>
  </si>
  <si>
    <t>SERV.PROFESIONALES ESTUDIO NAVAL</t>
  </si>
  <si>
    <t>PR082</t>
  </si>
  <si>
    <t>03123</t>
  </si>
  <si>
    <t>VERON VICTOR RAUL</t>
  </si>
  <si>
    <t>VIATICOS E INSUMOS TRIPULANTES</t>
  </si>
  <si>
    <t>PR081</t>
  </si>
  <si>
    <t>09557</t>
  </si>
  <si>
    <t>09109</t>
  </si>
  <si>
    <t> </t>
  </si>
  <si>
    <t>HONORARIOS MEDICOS</t>
  </si>
  <si>
    <t>PR072</t>
  </si>
  <si>
    <t>09155</t>
  </si>
  <si>
    <t>GLAN S.R.L.</t>
  </si>
  <si>
    <t>HANDLER 04 MDP S.A.S</t>
  </si>
  <si>
    <t>07636</t>
  </si>
  <si>
    <t>IBARGAS SRL</t>
  </si>
  <si>
    <t>09649</t>
  </si>
  <si>
    <t>LUGO MAXIMILIANO JAVIER</t>
  </si>
  <si>
    <t>REPARACION DE GRUA</t>
  </si>
  <si>
    <t>PR213</t>
  </si>
  <si>
    <t>07498</t>
  </si>
  <si>
    <t>NAUTICAL SRL</t>
  </si>
  <si>
    <t>SERVICIO DE REMOLQUE</t>
  </si>
  <si>
    <t>PR155</t>
  </si>
  <si>
    <t>09197</t>
  </si>
  <si>
    <t>OCCUPATIONAL MEDICINAE PUERTO MAR DEL PLATA S.R.L.</t>
  </si>
  <si>
    <t>SALEM ALDO ALBERTO Y AICARDI DERNANDO SEBASTIAN S H</t>
  </si>
  <si>
    <t>06779</t>
  </si>
  <si>
    <t>SIDERSA SA</t>
  </si>
  <si>
    <t>05609</t>
  </si>
  <si>
    <t>TALLER CENTRO UNION S.A.</t>
  </si>
  <si>
    <t>Parámetros</t>
  </si>
  <si>
    <t>Código de proveedor   desde:     hasta: </t>
  </si>
  <si>
    <t>No incluye   valor: PR006</t>
  </si>
  <si>
    <t>BENEDETTO PELOSI S. A</t>
  </si>
  <si>
    <t> MODOC S.A</t>
  </si>
  <si>
    <t>ALLENDE Y BREA SOCIEDAD CIVIL</t>
  </si>
  <si>
    <t>07745</t>
  </si>
  <si>
    <t>DATCOM SOLUCIONES TECNOLOGICAS S.A.</t>
  </si>
  <si>
    <t>09643</t>
  </si>
  <si>
    <t>H L RODRIGUEZ SRL</t>
  </si>
  <si>
    <t>09658</t>
  </si>
  <si>
    <t>MANGIATERRA SANTIAGO EZEQUIEL</t>
  </si>
  <si>
    <t>SERVICIOS DE TERCEROS-PESADAS</t>
  </si>
  <si>
    <t>PR0103</t>
  </si>
  <si>
    <t>01086</t>
  </si>
  <si>
    <t>NAUTIQ SERVICE S.A.</t>
  </si>
  <si>
    <t>MATERIALES Y EQUIPOS PARA SALVAMENTO</t>
  </si>
  <si>
    <t>PR033</t>
  </si>
  <si>
    <t>03874</t>
  </si>
  <si>
    <t>NAVAL STAR SA</t>
  </si>
  <si>
    <t>08781</t>
  </si>
  <si>
    <t>RECFIMAR S.A</t>
  </si>
  <si>
    <t>COMERCIAL INAL 2005 SA</t>
  </si>
  <si>
    <t>LUMELL SA</t>
  </si>
  <si>
    <t>INDUSTRIAS EL CORSARIO SA</t>
  </si>
  <si>
    <t>MARDI SA</t>
  </si>
  <si>
    <t>LACAR FISH SA</t>
  </si>
  <si>
    <t>MARISQUERIA SANTA RITA SRL</t>
  </si>
  <si>
    <t>FRIGOSUR SRL</t>
  </si>
  <si>
    <t>27 DE NOVIEMBRE SA</t>
  </si>
  <si>
    <t>FRIO SUR SRL</t>
  </si>
  <si>
    <t>ANTONIO MIRALLES S.A</t>
  </si>
  <si>
    <t>COOPERATIVA DE TRABAJO DO#A FRANCISCA LIMITADA</t>
  </si>
  <si>
    <t>PROYECTOS DEL MAR SRL</t>
  </si>
  <si>
    <t>LUDAPEZ SA LUDAPEZ SA</t>
  </si>
  <si>
    <t>La Isolana S.R.L.</t>
  </si>
  <si>
    <t>COOPERATIVA DOÑA FRANCISCA</t>
  </si>
  <si>
    <t>COOP TRABAJO CANAMAR LTDA</t>
  </si>
  <si>
    <t>00005676</t>
  </si>
  <si>
    <t>90000197</t>
  </si>
  <si>
    <t>11150860</t>
  </si>
  <si>
    <t>11150861</t>
  </si>
  <si>
    <t>78057925</t>
  </si>
  <si>
    <t>78057954</t>
  </si>
  <si>
    <t>00005635</t>
  </si>
  <si>
    <t>78057916</t>
  </si>
  <si>
    <t>78057955</t>
  </si>
  <si>
    <t>78057917</t>
  </si>
  <si>
    <t>00002696</t>
  </si>
  <si>
    <t>78057918</t>
  </si>
  <si>
    <t>78057956</t>
  </si>
  <si>
    <t>78057928</t>
  </si>
  <si>
    <t>11191036</t>
  </si>
  <si>
    <t>78057957</t>
  </si>
  <si>
    <t>90018182</t>
  </si>
  <si>
    <t>00002697</t>
  </si>
  <si>
    <t>14654408</t>
  </si>
  <si>
    <t>11443860</t>
  </si>
  <si>
    <t>00001006</t>
  </si>
  <si>
    <t>11191035</t>
  </si>
  <si>
    <t>00001010</t>
  </si>
  <si>
    <t>00001009</t>
  </si>
  <si>
    <t>00001008</t>
  </si>
  <si>
    <t>11443862</t>
  </si>
  <si>
    <t>00001007</t>
  </si>
  <si>
    <t>11443861</t>
  </si>
  <si>
    <t>11443863</t>
  </si>
  <si>
    <t>11443859</t>
  </si>
  <si>
    <t>11319762</t>
  </si>
  <si>
    <t>14654409</t>
  </si>
  <si>
    <t>00000332</t>
  </si>
  <si>
    <t>00000334</t>
  </si>
  <si>
    <t>00000333</t>
  </si>
  <si>
    <t>14654410</t>
  </si>
  <si>
    <t>78057958</t>
  </si>
  <si>
    <t>00007833</t>
  </si>
  <si>
    <t>14654465</t>
  </si>
  <si>
    <t>78057959</t>
  </si>
  <si>
    <t>14654466</t>
  </si>
  <si>
    <t>78057960</t>
  </si>
  <si>
    <t>00000336</t>
  </si>
  <si>
    <t>40930692</t>
  </si>
  <si>
    <t>00002698</t>
  </si>
  <si>
    <t>00000338</t>
  </si>
  <si>
    <t>00000335</t>
  </si>
  <si>
    <t>00000337</t>
  </si>
  <si>
    <t>00007616</t>
  </si>
  <si>
    <t>00007602</t>
  </si>
  <si>
    <t>14654467</t>
  </si>
  <si>
    <t>40930704</t>
  </si>
  <si>
    <t>14654468</t>
  </si>
  <si>
    <t>00007840</t>
  </si>
  <si>
    <t>40943278</t>
  </si>
  <si>
    <t>00001011</t>
  </si>
  <si>
    <t>00001014</t>
  </si>
  <si>
    <t>14654469</t>
  </si>
  <si>
    <t>00001013</t>
  </si>
  <si>
    <t>00001012</t>
  </si>
  <si>
    <t>00001015</t>
  </si>
  <si>
    <t>00001016</t>
  </si>
  <si>
    <t>14654470</t>
  </si>
  <si>
    <t>14654471</t>
  </si>
  <si>
    <t>14654472</t>
  </si>
  <si>
    <t>00000349</t>
  </si>
  <si>
    <t>00000350</t>
  </si>
  <si>
    <t>00007859</t>
  </si>
  <si>
    <t>00000351</t>
  </si>
  <si>
    <t>00007847</t>
  </si>
  <si>
    <t> ARG SEAMAN ELECTRONICS S.A.</t>
  </si>
  <si>
    <t>A.I.M.A. ELECROMECANICA SOCIEDAD DE HECHO</t>
  </si>
  <si>
    <t>ASCENSORES ULTRA S R L</t>
  </si>
  <si>
    <t>SERVICIO DE TELECOMUNICACIONES</t>
  </si>
  <si>
    <t>PR 237</t>
  </si>
  <si>
    <t>BIOSEGUR SRL</t>
  </si>
  <si>
    <t>CERROSUD S.A. (CAE)</t>
  </si>
  <si>
    <t>CILENTO MECANIZADOS Y REPUESTOS</t>
  </si>
  <si>
    <t>COOP. DE TRABAJO PRACTICAJE Y PILOTAJE BS. AS. LTDA.</t>
  </si>
  <si>
    <t>04859</t>
  </si>
  <si>
    <t>COSTANERA UNO SA</t>
  </si>
  <si>
    <t>07330</t>
  </si>
  <si>
    <t>CURCI CLAUDIO OMAR</t>
  </si>
  <si>
    <t>ACRILICOS BUQUES/PLANTA</t>
  </si>
  <si>
    <t>PR065</t>
  </si>
  <si>
    <t>06351</t>
  </si>
  <si>
    <t>DADANTE FEDERICO</t>
  </si>
  <si>
    <t>08433</t>
  </si>
  <si>
    <t>DELTA BLUE LANCHAS SRL</t>
  </si>
  <si>
    <t>02252</t>
  </si>
  <si>
    <t>EDEA S.A. (O.ZARATE)</t>
  </si>
  <si>
    <t>DISTRIB. ENERGIA ELECTRICA</t>
  </si>
  <si>
    <t>PR095</t>
  </si>
  <si>
    <t>02254</t>
  </si>
  <si>
    <t>EDEA S.A. Nº 622787(MUELL</t>
  </si>
  <si>
    <t>06895</t>
  </si>
  <si>
    <t>ESQUIVEL MARCOS ALBERTO</t>
  </si>
  <si>
    <t>09046</t>
  </si>
  <si>
    <t>FERNANDEZ MARCELA EDITH</t>
  </si>
  <si>
    <t>01750</t>
  </si>
  <si>
    <t>FRIOPACK S.A.</t>
  </si>
  <si>
    <t>09504</t>
  </si>
  <si>
    <t>FUNDACION FARO ARGENTINA</t>
  </si>
  <si>
    <t>07747</t>
  </si>
  <si>
    <t>GARCIA ERNESTO HORACIO</t>
  </si>
  <si>
    <t>03748</t>
  </si>
  <si>
    <t>GIAMBARTOLOMEI ROSANA NATALIA</t>
  </si>
  <si>
    <t>07477</t>
  </si>
  <si>
    <t>GRECO Y GRECO HNOS.</t>
  </si>
  <si>
    <t>05673</t>
  </si>
  <si>
    <t>GRUPO NUCLEO S.A.</t>
  </si>
  <si>
    <t>07286</t>
  </si>
  <si>
    <t>GUILLERMO SIMONE S A C I F Y A</t>
  </si>
  <si>
    <t>VENTA DE AUTOS, CAMIONETAS Y UTILITARIOS NUEVOS</t>
  </si>
  <si>
    <t>PR146</t>
  </si>
  <si>
    <t>06085</t>
  </si>
  <si>
    <t>HERRAJES VERONA SRL</t>
  </si>
  <si>
    <t>09666</t>
  </si>
  <si>
    <t>HIERROS DEL MAR S. R. L.</t>
  </si>
  <si>
    <t>02726</t>
  </si>
  <si>
    <t>HOTELES Y TURISMO S.A.</t>
  </si>
  <si>
    <t>07646</t>
  </si>
  <si>
    <t>INA INGENIERIA SRL</t>
  </si>
  <si>
    <t>01336</t>
  </si>
  <si>
    <t>LA NUEVA ASTURIANA S.A.</t>
  </si>
  <si>
    <t>08322</t>
  </si>
  <si>
    <t>MANGI- SEGU INDUSTRIAS S.R.L</t>
  </si>
  <si>
    <t>07303</t>
  </si>
  <si>
    <t>NORIOC SERVICIO DE ASISTENCIA TECNICA S.A.</t>
  </si>
  <si>
    <t>REPARACIONES ELECTRONICAS PLANTA FRIGORIFICA</t>
  </si>
  <si>
    <t>PR187</t>
  </si>
  <si>
    <t>05446</t>
  </si>
  <si>
    <t>PARTES INFORMATICAS . COM   S.A.</t>
  </si>
  <si>
    <t>07885</t>
  </si>
  <si>
    <t>PINTURAS DISTRIBUCION Y APLICACION SRL</t>
  </si>
  <si>
    <t>01179</t>
  </si>
  <si>
    <t>PLUS TEL SRL</t>
  </si>
  <si>
    <t>09307</t>
  </si>
  <si>
    <t>PLUSCARGO FEDERAL S.A</t>
  </si>
  <si>
    <t>07546</t>
  </si>
  <si>
    <t>PONTEMAR SRL</t>
  </si>
  <si>
    <t>07732</t>
  </si>
  <si>
    <t>PUNTO TRUCK S.A.</t>
  </si>
  <si>
    <t>07703</t>
  </si>
  <si>
    <t>ROJAS HORACIO DANIEL</t>
  </si>
  <si>
    <t>MANT. PARQUE FABRICA</t>
  </si>
  <si>
    <t>PR127</t>
  </si>
  <si>
    <t>09190</t>
  </si>
  <si>
    <t>ROLLOS Y ETIQUETAS MAR DEL PLATA S.A</t>
  </si>
  <si>
    <t>MAT. Y EQUIPOS PARA FRIGORIFICO</t>
  </si>
  <si>
    <t>PR204</t>
  </si>
  <si>
    <t>09679</t>
  </si>
  <si>
    <t>SAFFARANO MARIA LORENA</t>
  </si>
  <si>
    <t>08419</t>
  </si>
  <si>
    <t>SAN MARCOS E. S.A.</t>
  </si>
  <si>
    <t>SERVICIOS DE INFORMACION PARA ACTIVIDAD PESQUERA</t>
  </si>
  <si>
    <t>PR237</t>
  </si>
  <si>
    <t>08597</t>
  </si>
  <si>
    <t>SEMAVE S R L</t>
  </si>
  <si>
    <t>05136</t>
  </si>
  <si>
    <t>SOLUCIONES NAVALES S.R.L</t>
  </si>
  <si>
    <t>08915</t>
  </si>
  <si>
    <t>SUBIROS IGNACIO JAVIER</t>
  </si>
  <si>
    <t>04989</t>
  </si>
  <si>
    <t>TRANSPORTADORA "EL DIRECTO" S.R.L.</t>
  </si>
  <si>
    <t>06724</t>
  </si>
  <si>
    <t>UNION DE TRABAJADORES DEL TURISMO HOTELEROS Y GASTRONOMICOS DE LA REPUBLICA ARGENTINA UTHGRA</t>
  </si>
  <si>
    <t>06324</t>
  </si>
  <si>
    <t>UNIVERSIDAD NACIONAL DE MAR DEL PLATA</t>
  </si>
  <si>
    <t>Deuda al día   valor: 20261019</t>
  </si>
  <si>
    <t>Se paga en 12 cuotas</t>
  </si>
  <si>
    <t>00000371</t>
  </si>
  <si>
    <t>00000368</t>
  </si>
  <si>
    <t>00000370</t>
  </si>
  <si>
    <t>00000369</t>
  </si>
  <si>
    <t>00000367</t>
  </si>
  <si>
    <t>00000364</t>
  </si>
  <si>
    <t>00000365</t>
  </si>
  <si>
    <t>00000363</t>
  </si>
  <si>
    <t>00000366</t>
  </si>
  <si>
    <t>00007659</t>
  </si>
  <si>
    <t>00007897</t>
  </si>
  <si>
    <t>00002790</t>
  </si>
  <si>
    <t>00002789</t>
  </si>
  <si>
    <t>14654493</t>
  </si>
  <si>
    <t>14654492</t>
  </si>
  <si>
    <t>00002788</t>
  </si>
  <si>
    <t>14654491</t>
  </si>
  <si>
    <t>00007661</t>
  </si>
  <si>
    <t>14654490</t>
  </si>
  <si>
    <t>78057970</t>
  </si>
  <si>
    <t>00007651</t>
  </si>
  <si>
    <t>78057969</t>
  </si>
  <si>
    <t>14654489</t>
  </si>
  <si>
    <t>11319765</t>
  </si>
  <si>
    <t>78057968</t>
  </si>
  <si>
    <t>90000114</t>
  </si>
  <si>
    <t>Lucrino Mare Sa</t>
  </si>
  <si>
    <t>78057967</t>
  </si>
  <si>
    <t>11427415</t>
  </si>
  <si>
    <t>90000113</t>
  </si>
  <si>
    <t>00007647</t>
  </si>
  <si>
    <t>11427414</t>
  </si>
  <si>
    <t>78057966</t>
  </si>
  <si>
    <t>00005644</t>
  </si>
  <si>
    <t>90000112</t>
  </si>
  <si>
    <t>90018184</t>
  </si>
  <si>
    <t>78057965</t>
  </si>
  <si>
    <t>11427413</t>
  </si>
  <si>
    <t>90018183</t>
  </si>
  <si>
    <t>11427412</t>
  </si>
  <si>
    <t>00001101</t>
  </si>
  <si>
    <t>00005643</t>
  </si>
  <si>
    <t>11378693</t>
  </si>
  <si>
    <t>78057964</t>
  </si>
  <si>
    <t>70204985</t>
  </si>
  <si>
    <t>78057963</t>
  </si>
  <si>
    <t>00001662</t>
  </si>
  <si>
    <t>78057962</t>
  </si>
  <si>
    <t>54615052</t>
  </si>
  <si>
    <t>78057961</t>
  </si>
  <si>
    <t>11026814</t>
  </si>
  <si>
    <t>69705299</t>
  </si>
  <si>
    <t>54615050</t>
  </si>
  <si>
    <t>80015069</t>
  </si>
  <si>
    <t>70261434</t>
  </si>
  <si>
    <t>69705290</t>
  </si>
  <si>
    <t>70286287</t>
  </si>
  <si>
    <t>ALMACEN NAVAL ELENA SRL</t>
  </si>
  <si>
    <t>ANDRADE RICARDO PABLO</t>
  </si>
  <si>
    <t>COSTA JORGE ALBERTO</t>
  </si>
  <si>
    <t>EDEA S.A. (BERMEJO 587)</t>
  </si>
  <si>
    <t>EDEA SA - TORRE AZUL</t>
  </si>
  <si>
    <t>GARCIA DIEGO HERNAN</t>
  </si>
  <si>
    <t>GRUPO GRIOT SRL</t>
  </si>
  <si>
    <t>INDUSTRIAS CONTARDO S A I Y C</t>
  </si>
  <si>
    <t>MARCELO D. RODRIGUEZ CONSULTORES TRIBUTARIOS Y AUDITORES ASOCIADOS S.A.</t>
  </si>
  <si>
    <t>MENDOZA GASTON NICOLAS IGNACIO</t>
  </si>
  <si>
    <t>NAQUEPER S.A.</t>
  </si>
  <si>
    <t>SERMATEL S.A.</t>
  </si>
  <si>
    <t>SERVICIOS KUARTZ S.A.</t>
  </si>
  <si>
    <t>SUAREZ OSVALDO DANIEL</t>
  </si>
  <si>
    <t>TECNOELECTRICA S.A.</t>
  </si>
  <si>
    <t>TEPEDINO FACUNDO EZEQUIEL</t>
  </si>
  <si>
    <t>UPTITUDE S.R.L.</t>
  </si>
  <si>
    <t>ZAN REPARACIONES NAVALES S.R.L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</si>
</sst>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dd/mm/yyyy"/>
    <numFmt numFmtId="165" formatCode="#,##0.00;\(#,##0.00\);\-"/>
    <numFmt numFmtId="166" formatCode="#,##0;\(#,##0\);\-"/>
    <numFmt numFmtId="167" formatCode="0.0%"/>
    <numFmt numFmtId="168" formatCode="#,##0.00;\(#,##0.00\)"/>
    <numFmt numFmtId="169" formatCode="\$\ #,##0.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444441"/>
      <name val="Arial"/>
      <family val="2"/>
    </font>
    <font>
      <sz val="10"/>
      <color rgb="FF444441"/>
      <name val="Arial"/>
      <family val="2"/>
    </font>
    <font>
      <sz val="10"/>
      <color rgb="FF000000"/>
      <name val="Arial"/>
      <family val="2"/>
    </font>
    <font>
      <b/>
      <sz val="11"/>
      <color rgb="FF1B2A4A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0000FF"/>
      <name val="Arial"/>
      <family val="2"/>
    </font>
    <font>
      <sz val="10"/>
      <color rgb="FF854F0B"/>
      <name val="Arial"/>
      <family val="2"/>
    </font>
    <font>
      <sz val="10"/>
      <color rgb="FF0F6E56"/>
      <name val="Arial"/>
      <family val="2"/>
    </font>
    <font>
      <i/>
      <sz val="10"/>
      <color rgb="FF444441"/>
      <name val="Arial"/>
      <family val="2"/>
    </font>
    <font>
      <b/>
      <sz val="10"/>
      <color rgb="FF0F6E56"/>
      <name val="Arial"/>
      <family val="2"/>
    </font>
    <font>
      <b/>
      <sz val="10"/>
      <color rgb="FFA32D2D"/>
      <name val="Arial"/>
      <family val="2"/>
    </font>
    <font>
      <sz val="10"/>
      <color rgb="FFA32D2D"/>
      <name val="Arial"/>
      <family val="2"/>
    </font>
    <font>
      <i/>
      <sz val="10"/>
      <color rgb="FF854F0B"/>
      <name val="Arial"/>
      <family val="2"/>
    </font>
    <font>
      <b/>
      <sz val="8"/>
      <color rgb="FF888780"/>
      <name val="Arial"/>
      <family val="2"/>
    </font>
    <font>
      <sz val="10"/>
      <color rgb="FF008000"/>
      <name val="Arial"/>
      <family val="2"/>
    </font>
    <font>
      <sz val="10"/>
      <color rgb="FF888780"/>
      <name val="Arial"/>
      <family val="2"/>
    </font>
    <font>
      <b/>
      <sz val="11"/>
      <color rgb="FF0F6E56"/>
      <name val="Arial"/>
      <family val="2"/>
    </font>
    <font>
      <i/>
      <sz val="10"/>
      <color rgb="FF633806"/>
      <name val="Arial"/>
      <family val="2"/>
    </font>
    <font>
      <i/>
      <sz val="9"/>
      <color rgb="FF633806"/>
      <name val="Arial"/>
      <family val="2"/>
    </font>
    <font>
      <b/>
      <sz val="10"/>
      <color rgb="FF0000FF"/>
      <name val="Arial"/>
      <family val="2"/>
    </font>
    <font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4A235A"/>
      </patternFill>
    </fill>
    <fill>
      <patternFill patternType="solid">
        <fgColor rgb="FFF1EFE8"/>
        <bgColor rgb="FFF4F3F0"/>
      </patternFill>
    </fill>
    <fill>
      <patternFill patternType="solid">
        <fgColor rgb="FF1B4F72"/>
        <bgColor rgb="FF0F6E56"/>
      </patternFill>
    </fill>
    <fill>
      <patternFill patternType="solid">
        <fgColor rgb="FF6E2020"/>
        <bgColor rgb="FF633806"/>
      </patternFill>
    </fill>
    <fill>
      <patternFill patternType="solid">
        <fgColor rgb="FF4A235A"/>
        <bgColor rgb="FF1B2A4A"/>
      </patternFill>
    </fill>
    <fill>
      <patternFill patternType="solid">
        <fgColor rgb="FF0F6E56"/>
        <bgColor rgb="FF008080"/>
      </patternFill>
    </fill>
    <fill>
      <patternFill patternType="solid">
        <fgColor rgb="FF7B4F00"/>
        <bgColor rgb="FF854F0B"/>
      </patternFill>
    </fill>
    <fill>
      <patternFill patternType="solid">
        <fgColor rgb="FFFFFFFF"/>
        <bgColor rgb="FFF4F3F0"/>
      </patternFill>
    </fill>
    <fill>
      <patternFill patternType="solid">
        <fgColor rgb="FFFFFF00"/>
        <bgColor rgb="FFFFFF00"/>
      </patternFill>
    </fill>
    <fill>
      <patternFill patternType="solid">
        <fgColor rgb="FFE1F5EE"/>
        <bgColor rgb="FFF1EFE8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D3D1C7"/>
        <bgColor rgb="FFCCCCFF"/>
      </patternFill>
    </fill>
    <fill>
      <patternFill patternType="solid">
        <fgColor rgb="FFF4F3F0"/>
        <bgColor rgb="FFF1EFE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4" fontId="2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9" fillId="6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11" fillId="9" borderId="4" xfId="0" applyNumberFormat="1" applyFont="1" applyFill="1" applyBorder="1" applyAlignment="1">
      <alignment horizontal="center" vertical="center"/>
    </xf>
    <xf numFmtId="165" fontId="11" fillId="9" borderId="4" xfId="0" applyNumberFormat="1" applyFont="1" applyFill="1" applyBorder="1" applyAlignment="1">
      <alignment horizontal="right" vertical="center"/>
    </xf>
    <xf numFmtId="166" fontId="11" fillId="9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left" vertical="center"/>
    </xf>
    <xf numFmtId="4" fontId="11" fillId="10" borderId="4" xfId="0" applyNumberFormat="1" applyFont="1" applyFill="1" applyBorder="1" applyAlignment="1">
      <alignment horizontal="right" vertical="center"/>
    </xf>
    <xf numFmtId="166" fontId="11" fillId="10" borderId="4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166" fontId="13" fillId="11" borderId="4" xfId="0" applyNumberFormat="1" applyFont="1" applyFill="1" applyBorder="1" applyAlignment="1">
      <alignment horizontal="right" vertical="center"/>
    </xf>
    <xf numFmtId="3" fontId="13" fillId="11" borderId="4" xfId="0" applyNumberFormat="1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center"/>
    </xf>
    <xf numFmtId="4" fontId="11" fillId="9" borderId="4" xfId="0" applyNumberFormat="1" applyFont="1" applyFill="1" applyBorder="1" applyAlignment="1">
      <alignment horizontal="right" vertical="center"/>
    </xf>
    <xf numFmtId="166" fontId="13" fillId="9" borderId="4" xfId="0" applyNumberFormat="1" applyFont="1" applyFill="1" applyBorder="1" applyAlignment="1">
      <alignment horizontal="right" vertical="center"/>
    </xf>
    <xf numFmtId="0" fontId="16" fillId="12" borderId="4" xfId="0" applyFont="1" applyFill="1" applyBorder="1" applyAlignment="1">
      <alignment horizontal="center" vertical="center"/>
    </xf>
    <xf numFmtId="166" fontId="17" fillId="9" borderId="4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/>
    </xf>
    <xf numFmtId="4" fontId="20" fillId="0" borderId="4" xfId="0" applyNumberFormat="1" applyFont="1" applyBorder="1" applyAlignment="1">
      <alignment horizontal="right" vertical="center"/>
    </xf>
    <xf numFmtId="165" fontId="13" fillId="11" borderId="4" xfId="0" applyNumberFormat="1" applyFont="1" applyFill="1" applyBorder="1" applyAlignment="1">
      <alignment horizontal="right" vertical="center"/>
    </xf>
    <xf numFmtId="165" fontId="17" fillId="12" borderId="4" xfId="0" applyNumberFormat="1" applyFont="1" applyFill="1" applyBorder="1" applyAlignment="1">
      <alignment horizontal="right" vertical="center"/>
    </xf>
    <xf numFmtId="166" fontId="21" fillId="15" borderId="4" xfId="0" applyNumberFormat="1" applyFont="1" applyFill="1" applyBorder="1" applyAlignment="1">
      <alignment horizontal="center" vertical="center"/>
    </xf>
    <xf numFmtId="165" fontId="22" fillId="11" borderId="4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164" fontId="20" fillId="9" borderId="4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6" fontId="7" fillId="2" borderId="1" xfId="0" applyNumberFormat="1" applyFont="1" applyFill="1" applyBorder="1" applyAlignment="1">
      <alignment horizontal="right" vertical="center"/>
    </xf>
    <xf numFmtId="0" fontId="0" fillId="15" borderId="4" xfId="0" applyFill="1" applyBorder="1"/>
    <xf numFmtId="166" fontId="0" fillId="15" borderId="4" xfId="0" applyNumberFormat="1" applyFill="1" applyBorder="1" applyAlignment="1">
      <alignment horizontal="right" vertical="center"/>
    </xf>
    <xf numFmtId="164" fontId="0" fillId="15" borderId="4" xfId="0" applyNumberFormat="1" applyFill="1" applyBorder="1" applyAlignment="1">
      <alignment horizontal="center" vertical="center"/>
    </xf>
    <xf numFmtId="164" fontId="20" fillId="15" borderId="4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4" fontId="11" fillId="10" borderId="1" xfId="0" applyNumberFormat="1" applyFont="1" applyFill="1" applyBorder="1" applyAlignment="1">
      <alignment horizontal="right" vertical="center"/>
    </xf>
    <xf numFmtId="167" fontId="12" fillId="13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left" vertical="center" indent="1"/>
    </xf>
    <xf numFmtId="0" fontId="14" fillId="9" borderId="4" xfId="0" applyFont="1" applyFill="1" applyBorder="1" applyAlignment="1">
      <alignment horizontal="left" vertical="center" indent="1"/>
    </xf>
    <xf numFmtId="0" fontId="25" fillId="9" borderId="4" xfId="0" applyFont="1" applyFill="1" applyBorder="1" applyAlignment="1">
      <alignment horizontal="left" vertical="center" indent="1"/>
    </xf>
    <xf numFmtId="1" fontId="20" fillId="11" borderId="4" xfId="0" applyNumberFormat="1" applyFont="1" applyFill="1" applyBorder="1" applyAlignment="1">
      <alignment horizontal="right" vertical="center"/>
    </xf>
    <xf numFmtId="165" fontId="20" fillId="11" borderId="4" xfId="0" applyNumberFormat="1" applyFont="1" applyFill="1" applyBorder="1" applyAlignment="1">
      <alignment horizontal="right" vertical="center"/>
    </xf>
    <xf numFmtId="165" fontId="16" fillId="12" borderId="4" xfId="0" applyNumberFormat="1" applyFont="1" applyFill="1" applyBorder="1" applyAlignment="1">
      <alignment horizontal="right" vertical="center"/>
    </xf>
    <xf numFmtId="1" fontId="20" fillId="13" borderId="4" xfId="0" applyNumberFormat="1" applyFont="1" applyFill="1" applyBorder="1" applyAlignment="1">
      <alignment horizontal="right" vertical="center"/>
    </xf>
    <xf numFmtId="168" fontId="7" fillId="2" borderId="1" xfId="0" applyNumberFormat="1" applyFont="1" applyFill="1" applyBorder="1" applyAlignment="1">
      <alignment horizontal="right" vertical="center"/>
    </xf>
    <xf numFmtId="165" fontId="0" fillId="15" borderId="4" xfId="0" applyNumberFormat="1" applyFill="1" applyBorder="1" applyAlignment="1">
      <alignment horizontal="right" vertical="center"/>
    </xf>
    <xf numFmtId="10" fontId="0" fillId="15" borderId="4" xfId="0" applyNumberFormat="1" applyFill="1" applyBorder="1" applyAlignment="1">
      <alignment horizontal="right" vertical="center"/>
    </xf>
    <xf numFmtId="1" fontId="21" fillId="15" borderId="4" xfId="0" applyNumberFormat="1" applyFont="1" applyFill="1" applyBorder="1" applyAlignment="1">
      <alignment horizontal="right" vertical="center"/>
    </xf>
    <xf numFmtId="165" fontId="21" fillId="15" borderId="4" xfId="0" applyNumberFormat="1" applyFont="1" applyFill="1" applyBorder="1" applyAlignment="1">
      <alignment horizontal="right" vertical="center"/>
    </xf>
    <xf numFmtId="165" fontId="11" fillId="0" borderId="4" xfId="0" applyNumberFormat="1" applyFont="1" applyBorder="1" applyAlignment="1">
      <alignment horizontal="right" vertical="center"/>
    </xf>
    <xf numFmtId="164" fontId="0" fillId="0" borderId="0" xfId="0" applyNumberFormat="1"/>
    <xf numFmtId="14" fontId="0" fillId="0" borderId="0" xfId="0" applyNumberFormat="1"/>
    <xf numFmtId="44" fontId="0" fillId="0" borderId="0" xfId="1" applyFont="1"/>
    <xf numFmtId="10" fontId="11" fillId="0" borderId="4" xfId="0" applyNumberFormat="1" applyFont="1" applyBorder="1" applyAlignment="1">
      <alignment horizontal="right" vertical="center"/>
    </xf>
    <xf numFmtId="164" fontId="11" fillId="16" borderId="4" xfId="0" applyNumberFormat="1" applyFont="1" applyFill="1" applyBorder="1" applyAlignment="1">
      <alignment horizontal="center" vertical="center"/>
    </xf>
    <xf numFmtId="0" fontId="23" fillId="1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4" fillId="13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3" xfId="0" applyBorder="1"/>
    <xf numFmtId="0" fontId="6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indent="1"/>
    </xf>
    <xf numFmtId="0" fontId="18" fillId="13" borderId="0" xfId="0" applyFont="1" applyFill="1" applyAlignment="1">
      <alignment horizontal="left" vertical="center" indent="1"/>
    </xf>
    <xf numFmtId="0" fontId="23" fillId="13" borderId="0" xfId="0" applyFont="1" applyFill="1" applyAlignment="1">
      <alignment horizontal="left" vertical="center" indent="1"/>
    </xf>
    <xf numFmtId="0" fontId="24" fillId="13" borderId="0" xfId="0" applyFont="1" applyFill="1" applyAlignment="1">
      <alignment horizontal="left" vertical="center" indent="1"/>
    </xf>
    <xf numFmtId="169" fontId="0" fillId="0" borderId="0" xfId="0" applyNumberFormat="1"/>
  </cellXfs>
  <cellStyles count="4">
    <cellStyle name="Moneda" xfId="1" builtinId="4"/>
    <cellStyle name="Moneda 2" xfId="3" xr:uid="{BAA4ED1A-7290-4124-8EBE-B5E434048C04}"/>
    <cellStyle name="Normal" xfId="0" builtinId="0"/>
    <cellStyle name="Normal 2" xfId="2" xr:uid="{37B4F930-3500-40CA-B3B7-D0890B9B6BA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020"/>
      <rgbColor rgb="FF008000"/>
      <rgbColor rgb="FF000080"/>
      <rgbColor rgb="FF7B4F00"/>
      <rgbColor rgb="FF800080"/>
      <rgbColor rgb="FF0F6E56"/>
      <rgbColor rgb="FFD3D1C7"/>
      <rgbColor rgb="FF888780"/>
      <rgbColor rgb="FF9999FF"/>
      <rgbColor rgb="FF854F0B"/>
      <rgbColor rgb="FFFAEEDA"/>
      <rgbColor rgb="FFE1F5EE"/>
      <rgbColor rgb="FF660066"/>
      <rgbColor rgb="FFFF8080"/>
      <rgbColor rgb="FF1B4F7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3F0"/>
      <rgbColor rgb="FFF1EFE8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633806"/>
      <rgbColor rgb="FFA32D2D"/>
      <rgbColor rgb="FF993366"/>
      <rgbColor rgb="FF4A235A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CF%20Semana%20-%20Mes.xlsx" TargetMode="External"/><Relationship Id="rId2" Type="http://schemas.openxmlformats.org/officeDocument/2006/relationships/externalLinkPath" Target="file:///M:\CONTABLE\EMPRESAS\Pedro%20Moscuzza%20e%20Hijos%20S.A\Nicolas\2026\CF%20Semana%20-%20Mes.xlsx" TargetMode="External"/><Relationship Id="rId1" Type="http://schemas.openxmlformats.org/officeDocument/2006/relationships/externalLinkPath" Target="/CONTABLE/EMPRESAS/Pedro%20Moscuzza%20e%20Hijos%20S.A/Nicolas/2026/CF%20Semana%20-%20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F Dia V1"/>
      <sheetName val="Cheques fisicos "/>
      <sheetName val="MENSUAL"/>
      <sheetName val="Base PBI"/>
      <sheetName val="Hoja2"/>
      <sheetName val="Hoja1"/>
      <sheetName val="CF Semana V1"/>
      <sheetName val="Prestamos USDA"/>
      <sheetName val="Prestamos $"/>
      <sheetName val="Calendario"/>
      <sheetName val="Analisis de Stock"/>
      <sheetName val="Inflacion"/>
      <sheetName val="Stock"/>
      <sheetName val="Stock historico"/>
    </sheetNames>
    <sheetDataSet>
      <sheetData sheetId="0">
        <row r="1">
          <cell r="CN1">
            <v>46162</v>
          </cell>
          <cell r="CO1">
            <v>46163</v>
          </cell>
          <cell r="CP1">
            <v>46164</v>
          </cell>
          <cell r="CR1">
            <v>46169</v>
          </cell>
          <cell r="FG1">
            <v>46269</v>
          </cell>
        </row>
        <row r="2">
          <cell r="CN2">
            <v>1395.5</v>
          </cell>
          <cell r="CP2">
            <v>1390</v>
          </cell>
          <cell r="CQ2">
            <v>1392</v>
          </cell>
          <cell r="CR2">
            <v>1406</v>
          </cell>
          <cell r="DA2">
            <v>1442</v>
          </cell>
          <cell r="DJ2">
            <v>1455</v>
          </cell>
          <cell r="DO2">
            <v>1472.5</v>
          </cell>
          <cell r="FG2">
            <v>1505.5</v>
          </cell>
          <cell r="FL2">
            <v>1509</v>
          </cell>
        </row>
        <row r="10">
          <cell r="CJ10">
            <v>837432835</v>
          </cell>
          <cell r="CK10">
            <v>850726335</v>
          </cell>
          <cell r="CN10">
            <v>747534542</v>
          </cell>
          <cell r="CO10">
            <v>935271863</v>
          </cell>
          <cell r="CP10">
            <v>901607908</v>
          </cell>
          <cell r="CQ10">
            <v>1224537171</v>
          </cell>
          <cell r="CS10">
            <v>1224537171</v>
          </cell>
          <cell r="CT10">
            <v>1340551975</v>
          </cell>
          <cell r="CU10">
            <v>1366573012</v>
          </cell>
          <cell r="CV10">
            <v>1366573012</v>
          </cell>
          <cell r="CW10">
            <v>1366573012</v>
          </cell>
          <cell r="CX10">
            <v>1366573012</v>
          </cell>
          <cell r="CY10">
            <v>1366573012</v>
          </cell>
          <cell r="CZ10">
            <v>1366573012</v>
          </cell>
          <cell r="DD10">
            <v>1778551709</v>
          </cell>
          <cell r="DE10">
            <v>2268029215</v>
          </cell>
          <cell r="DF10">
            <v>2383852953</v>
          </cell>
          <cell r="DG10">
            <v>2754644903</v>
          </cell>
          <cell r="DH10">
            <v>2925974238</v>
          </cell>
          <cell r="DI10">
            <v>2857745373</v>
          </cell>
          <cell r="DJ10">
            <v>2857745373</v>
          </cell>
          <cell r="DK10">
            <v>3181470816</v>
          </cell>
          <cell r="DO10">
            <v>1711500000</v>
          </cell>
          <cell r="EK10">
            <v>441400000</v>
          </cell>
          <cell r="ET10">
            <v>290253000</v>
          </cell>
          <cell r="EU10">
            <v>636298000</v>
          </cell>
          <cell r="EX10">
            <v>808785000</v>
          </cell>
          <cell r="EY10">
            <v>822623000</v>
          </cell>
          <cell r="FG10">
            <v>190280000</v>
          </cell>
          <cell r="FH10">
            <v>204000000</v>
          </cell>
          <cell r="FI10">
            <v>415424000</v>
          </cell>
          <cell r="FJ10">
            <v>306408000</v>
          </cell>
          <cell r="FK10">
            <v>197414000</v>
          </cell>
          <cell r="FL10">
            <v>358410581</v>
          </cell>
          <cell r="FM10">
            <v>257838877</v>
          </cell>
          <cell r="FU10">
            <v>424267959</v>
          </cell>
          <cell r="GH10">
            <v>1156221059</v>
          </cell>
          <cell r="GI10">
            <v>1044584000</v>
          </cell>
        </row>
        <row r="13">
          <cell r="CJ13">
            <v>78949000</v>
          </cell>
          <cell r="CK13">
            <v>55135000</v>
          </cell>
          <cell r="CN13">
            <v>209536000</v>
          </cell>
          <cell r="CO13">
            <v>164501000</v>
          </cell>
          <cell r="CP13">
            <v>-12018000</v>
          </cell>
          <cell r="CQ13">
            <v>149182000</v>
          </cell>
          <cell r="CR13">
            <v>183468000</v>
          </cell>
          <cell r="CS13">
            <v>139852000</v>
          </cell>
          <cell r="CT13">
            <v>-33045000</v>
          </cell>
          <cell r="CV13">
            <v>62158000</v>
          </cell>
          <cell r="CW13">
            <v>193021000</v>
          </cell>
          <cell r="CX13">
            <v>97642000</v>
          </cell>
          <cell r="CY13">
            <v>272640465.12</v>
          </cell>
          <cell r="CZ13">
            <v>82078000</v>
          </cell>
          <cell r="DA13">
            <v>158003000</v>
          </cell>
          <cell r="DB13">
            <v>282377595.08999997</v>
          </cell>
          <cell r="DD13">
            <v>140935151.72999999</v>
          </cell>
          <cell r="DE13">
            <v>301482658.31</v>
          </cell>
          <cell r="DF13">
            <v>208109783.99000001</v>
          </cell>
          <cell r="DG13">
            <v>89606948.769999996</v>
          </cell>
          <cell r="DH13">
            <v>203580423.72999999</v>
          </cell>
          <cell r="DI13">
            <v>117700000</v>
          </cell>
          <cell r="DJ13">
            <v>100303523</v>
          </cell>
          <cell r="DK13">
            <v>160135000</v>
          </cell>
          <cell r="DO13">
            <v>28000000</v>
          </cell>
          <cell r="EK13">
            <v>122574000</v>
          </cell>
          <cell r="EP13">
            <v>98247000</v>
          </cell>
          <cell r="ET13">
            <v>132315000</v>
          </cell>
          <cell r="EU13">
            <v>15444000</v>
          </cell>
          <cell r="EX13">
            <v>-149731000</v>
          </cell>
          <cell r="EY13">
            <v>141038000</v>
          </cell>
          <cell r="FD13">
            <v>604000</v>
          </cell>
          <cell r="FG13">
            <v>58017000</v>
          </cell>
          <cell r="FH13">
            <v>113928000</v>
          </cell>
          <cell r="FI13">
            <v>164014000</v>
          </cell>
          <cell r="FJ13">
            <v>83668000</v>
          </cell>
          <cell r="FK13">
            <v>29553000</v>
          </cell>
          <cell r="FL13">
            <v>58387000</v>
          </cell>
          <cell r="FM13">
            <v>64789000</v>
          </cell>
          <cell r="FU13">
            <v>84597000</v>
          </cell>
          <cell r="GG13">
            <v>54527000</v>
          </cell>
          <cell r="GH13">
            <v>54630000</v>
          </cell>
          <cell r="GI13">
            <v>5538000</v>
          </cell>
        </row>
        <row r="14">
          <cell r="CJ14">
            <v>5783000</v>
          </cell>
          <cell r="CK14">
            <v>6687413</v>
          </cell>
          <cell r="CN14">
            <v>60202000</v>
          </cell>
          <cell r="CO14">
            <v>9150000</v>
          </cell>
          <cell r="CP14">
            <v>9062000</v>
          </cell>
          <cell r="CQ14">
            <v>9150000</v>
          </cell>
          <cell r="CS14">
            <v>13379850</v>
          </cell>
          <cell r="CT14">
            <v>13378000</v>
          </cell>
          <cell r="CU14">
            <v>13146882</v>
          </cell>
          <cell r="CV14">
            <v>9121127</v>
          </cell>
          <cell r="CW14">
            <v>3910000</v>
          </cell>
          <cell r="CX14">
            <v>5149000</v>
          </cell>
          <cell r="CY14">
            <v>16335000</v>
          </cell>
          <cell r="CZ14">
            <v>-55055000</v>
          </cell>
          <cell r="DA14">
            <v>3455000</v>
          </cell>
          <cell r="DD14">
            <v>6748560</v>
          </cell>
          <cell r="DE14">
            <v>-5900000</v>
          </cell>
          <cell r="DF14">
            <v>2048000</v>
          </cell>
          <cell r="DG14">
            <v>2278000</v>
          </cell>
          <cell r="DH14">
            <v>2278000</v>
          </cell>
          <cell r="DI14">
            <v>9744000</v>
          </cell>
          <cell r="DJ14">
            <v>53463000</v>
          </cell>
          <cell r="DK14">
            <v>9168000</v>
          </cell>
          <cell r="DO14">
            <v>915753000</v>
          </cell>
          <cell r="EK14">
            <v>13304000</v>
          </cell>
          <cell r="EP14">
            <v>-9279000</v>
          </cell>
          <cell r="EU14">
            <v>15400000</v>
          </cell>
          <cell r="EX14">
            <v>853000</v>
          </cell>
          <cell r="EY14">
            <v>2397000</v>
          </cell>
          <cell r="FD14">
            <v>8107000</v>
          </cell>
          <cell r="FG14">
            <v>44344000</v>
          </cell>
          <cell r="FH14">
            <v>41937000</v>
          </cell>
          <cell r="FI14">
            <v>4649000</v>
          </cell>
          <cell r="FJ14">
            <v>7582000</v>
          </cell>
          <cell r="FK14">
            <v>10200000</v>
          </cell>
          <cell r="FL14">
            <v>6513000</v>
          </cell>
          <cell r="FM14">
            <v>6569000</v>
          </cell>
          <cell r="FU14">
            <v>12270000</v>
          </cell>
          <cell r="GG14">
            <v>31357000</v>
          </cell>
          <cell r="GH14">
            <v>33833000</v>
          </cell>
          <cell r="GI14">
            <v>37525000</v>
          </cell>
        </row>
        <row r="15">
          <cell r="CJ15">
            <v>2000000</v>
          </cell>
          <cell r="CK15">
            <v>2000000</v>
          </cell>
          <cell r="CN15">
            <v>2000000</v>
          </cell>
          <cell r="CP15">
            <v>2876000</v>
          </cell>
          <cell r="CQ15">
            <v>2000000</v>
          </cell>
          <cell r="EK15">
            <v>2000000</v>
          </cell>
          <cell r="EP15">
            <v>2000000</v>
          </cell>
          <cell r="EU15">
            <v>1981000</v>
          </cell>
          <cell r="EX15">
            <v>277343000</v>
          </cell>
          <cell r="EY15">
            <v>7343000</v>
          </cell>
          <cell r="FD15">
            <v>2967000</v>
          </cell>
          <cell r="FG15">
            <v>2203000</v>
          </cell>
          <cell r="FH15">
            <v>3370000</v>
          </cell>
          <cell r="FI15">
            <v>12518000</v>
          </cell>
          <cell r="FJ15">
            <v>12518000</v>
          </cell>
          <cell r="FK15">
            <v>5230000</v>
          </cell>
          <cell r="FL15">
            <v>4141000</v>
          </cell>
          <cell r="FM15">
            <v>3637000</v>
          </cell>
          <cell r="FU15">
            <v>1251000</v>
          </cell>
          <cell r="GH15">
            <v>400000</v>
          </cell>
        </row>
        <row r="16">
          <cell r="CJ16">
            <v>45656000</v>
          </cell>
          <cell r="CK16">
            <v>35083000</v>
          </cell>
          <cell r="CN16">
            <v>152378555.41</v>
          </cell>
          <cell r="CO16">
            <v>109500000</v>
          </cell>
          <cell r="CP16">
            <v>31400000</v>
          </cell>
          <cell r="CQ16">
            <v>52639000</v>
          </cell>
          <cell r="CR16">
            <v>87439375.879999995</v>
          </cell>
          <cell r="CS16">
            <v>165500000</v>
          </cell>
          <cell r="CT16">
            <v>35632000</v>
          </cell>
          <cell r="CU16">
            <v>447324554</v>
          </cell>
          <cell r="CV16">
            <v>90927000</v>
          </cell>
          <cell r="CW16">
            <v>120900000</v>
          </cell>
          <cell r="CX16">
            <v>13500000</v>
          </cell>
          <cell r="CY16">
            <v>20650974.870000001</v>
          </cell>
          <cell r="CZ16">
            <v>19099000</v>
          </cell>
          <cell r="DA16">
            <v>83500000</v>
          </cell>
          <cell r="DB16">
            <v>404000000</v>
          </cell>
          <cell r="DD16">
            <v>290571568</v>
          </cell>
          <cell r="DE16">
            <v>47500000</v>
          </cell>
          <cell r="DF16">
            <v>244510887.59999999</v>
          </cell>
          <cell r="DG16">
            <v>73309027.609999999</v>
          </cell>
          <cell r="DH16">
            <v>54206880.939999998</v>
          </cell>
          <cell r="DI16">
            <v>6125000</v>
          </cell>
          <cell r="DJ16">
            <v>71567307.170000002</v>
          </cell>
          <cell r="DK16">
            <v>231543737.06</v>
          </cell>
          <cell r="DO16">
            <v>440698000</v>
          </cell>
          <cell r="EK16">
            <v>95000000</v>
          </cell>
          <cell r="EP16">
            <v>71200000</v>
          </cell>
          <cell r="ET16">
            <v>77700000</v>
          </cell>
          <cell r="EU16">
            <v>1700000</v>
          </cell>
          <cell r="EX16">
            <v>22000000</v>
          </cell>
          <cell r="EY16">
            <v>24000000</v>
          </cell>
          <cell r="FG16">
            <v>3821000</v>
          </cell>
          <cell r="FH16">
            <v>4016000</v>
          </cell>
          <cell r="FI16">
            <v>4441000</v>
          </cell>
          <cell r="FJ16">
            <v>39458000</v>
          </cell>
          <cell r="FK16">
            <v>33460000</v>
          </cell>
          <cell r="FL16">
            <v>3800000</v>
          </cell>
          <cell r="FM16">
            <v>3807000</v>
          </cell>
          <cell r="FU16">
            <v>5305000</v>
          </cell>
          <cell r="GG16">
            <v>126829000</v>
          </cell>
          <cell r="GH16">
            <v>6647000</v>
          </cell>
          <cell r="GI16">
            <v>183680000</v>
          </cell>
        </row>
        <row r="22">
          <cell r="CJ22">
            <v>1740123570</v>
          </cell>
          <cell r="CK22">
            <v>1726830070</v>
          </cell>
          <cell r="CN22">
            <v>1628502061</v>
          </cell>
          <cell r="CO22">
            <v>1642654898</v>
          </cell>
          <cell r="CP22">
            <v>1143093119</v>
          </cell>
          <cell r="CQ22">
            <v>1190510533</v>
          </cell>
          <cell r="CR22">
            <v>1190510533</v>
          </cell>
          <cell r="CS22">
            <v>1290599938</v>
          </cell>
          <cell r="CT22">
            <v>1250668537</v>
          </cell>
          <cell r="CU22">
            <v>1213336989</v>
          </cell>
          <cell r="CV22">
            <v>1533043002</v>
          </cell>
          <cell r="CW22">
            <v>1582834654</v>
          </cell>
          <cell r="CX22">
            <v>1733927373</v>
          </cell>
          <cell r="CY22">
            <v>1654368586</v>
          </cell>
          <cell r="CZ22">
            <v>2504434234</v>
          </cell>
          <cell r="DA22">
            <v>2504434234</v>
          </cell>
          <cell r="DB22">
            <v>2519698829</v>
          </cell>
          <cell r="DD22">
            <v>2018496354</v>
          </cell>
          <cell r="DE22">
            <v>1530537822</v>
          </cell>
          <cell r="DF22">
            <v>1958536678</v>
          </cell>
          <cell r="DG22">
            <v>2024387793</v>
          </cell>
          <cell r="DH22">
            <v>1778382352</v>
          </cell>
          <cell r="DI22">
            <v>1893455465</v>
          </cell>
          <cell r="DJ22">
            <v>1919655916</v>
          </cell>
          <cell r="DK22">
            <v>1559790968</v>
          </cell>
          <cell r="DO22">
            <v>1484574186</v>
          </cell>
          <cell r="EK22">
            <v>2297663244</v>
          </cell>
          <cell r="EP22">
            <v>2124014967</v>
          </cell>
          <cell r="ET22">
            <v>2028061000</v>
          </cell>
          <cell r="EU22">
            <v>1578577000</v>
          </cell>
          <cell r="EX22">
            <v>1179389844</v>
          </cell>
          <cell r="EY22">
            <v>1165551444</v>
          </cell>
          <cell r="FD22">
            <v>1387349000</v>
          </cell>
          <cell r="FG22">
            <v>1127963988</v>
          </cell>
          <cell r="FH22">
            <v>1386769447</v>
          </cell>
          <cell r="FI22">
            <v>1142598325</v>
          </cell>
          <cell r="FJ22">
            <v>896745000</v>
          </cell>
          <cell r="FK22">
            <v>896745000</v>
          </cell>
          <cell r="FL22">
            <v>1107000000</v>
          </cell>
          <cell r="FM22">
            <v>1107165633</v>
          </cell>
          <cell r="FU22">
            <v>1325977000</v>
          </cell>
          <cell r="GG22">
            <v>1026690000</v>
          </cell>
          <cell r="GH22">
            <v>940503000</v>
          </cell>
          <cell r="GI22">
            <v>1006728000</v>
          </cell>
        </row>
        <row r="24">
          <cell r="CJ24">
            <v>3160401274.7999997</v>
          </cell>
          <cell r="CK24">
            <v>2936149372.3200002</v>
          </cell>
          <cell r="CL24">
            <v>2432959234.2999997</v>
          </cell>
          <cell r="CM24">
            <v>2458649736.4000001</v>
          </cell>
          <cell r="CN24">
            <v>2684207199.4749999</v>
          </cell>
          <cell r="CO24">
            <v>2582508183.2750001</v>
          </cell>
          <cell r="CP24">
            <v>2717626530</v>
          </cell>
          <cell r="CQ24">
            <v>3123499111.6799998</v>
          </cell>
          <cell r="CR24">
            <v>4434079479.04</v>
          </cell>
          <cell r="CS24">
            <v>4351222430.7199993</v>
          </cell>
          <cell r="CT24">
            <v>3976811997.5100002</v>
          </cell>
          <cell r="CU24">
            <v>4058676283.9400005</v>
          </cell>
          <cell r="CV24">
            <v>4096203162.8100004</v>
          </cell>
          <cell r="CW24">
            <v>4180742528.6549997</v>
          </cell>
          <cell r="CX24">
            <v>4570279127.6999998</v>
          </cell>
          <cell r="CY24">
            <v>4641151238.7600002</v>
          </cell>
          <cell r="CZ24">
            <v>4461805641.6000004</v>
          </cell>
          <cell r="DA24">
            <v>4043391418.0800004</v>
          </cell>
          <cell r="DB24">
            <v>3060326960</v>
          </cell>
          <cell r="DD24">
            <v>3822305168.5600004</v>
          </cell>
          <cell r="DE24">
            <v>3037458188.0499997</v>
          </cell>
          <cell r="DF24">
            <v>2734763732.9000001</v>
          </cell>
          <cell r="DG24">
            <v>2357886217.7999997</v>
          </cell>
          <cell r="DH24">
            <v>1548023749.8249998</v>
          </cell>
          <cell r="DI24">
            <v>1006353253.0000001</v>
          </cell>
          <cell r="DJ24">
            <v>341231910.75</v>
          </cell>
          <cell r="DK24">
            <v>611301834</v>
          </cell>
          <cell r="DL24">
            <v>614218748</v>
          </cell>
          <cell r="DM24">
            <v>536975888.75</v>
          </cell>
          <cell r="DN24">
            <v>489502650</v>
          </cell>
          <cell r="DO24">
            <v>563588979.14999998</v>
          </cell>
          <cell r="EK24">
            <v>312277180</v>
          </cell>
          <cell r="EL24">
            <v>1427026968</v>
          </cell>
          <cell r="EM24">
            <v>1474338395</v>
          </cell>
          <cell r="EN24">
            <v>727588395</v>
          </cell>
          <cell r="EO24">
            <v>429806251.35000002</v>
          </cell>
          <cell r="EP24">
            <v>798364385</v>
          </cell>
          <cell r="ER24">
            <v>1839165361.5500002</v>
          </cell>
          <cell r="ES24">
            <v>1938485458</v>
          </cell>
          <cell r="ET24">
            <v>1115352315</v>
          </cell>
          <cell r="EU24">
            <v>1125921480</v>
          </cell>
          <cell r="EV24">
            <v>472985460</v>
          </cell>
          <cell r="EW24">
            <v>516789540</v>
          </cell>
          <cell r="EX24">
            <v>171460404</v>
          </cell>
          <cell r="EY24">
            <v>610691375</v>
          </cell>
          <cell r="EZ24">
            <v>611908700</v>
          </cell>
          <cell r="FA24">
            <v>2192218000</v>
          </cell>
          <cell r="FB24">
            <v>2509165490</v>
          </cell>
          <cell r="FC24">
            <v>2849935875</v>
          </cell>
          <cell r="FD24">
            <v>2740130856</v>
          </cell>
          <cell r="FE24">
            <v>2305085022</v>
          </cell>
          <cell r="FF24">
            <v>2612678073</v>
          </cell>
          <cell r="FG24">
            <v>2874777843.5</v>
          </cell>
          <cell r="FH24">
            <v>975267296</v>
          </cell>
          <cell r="FI24">
            <v>978509541</v>
          </cell>
          <cell r="FJ24">
            <v>5503254381.5</v>
          </cell>
          <cell r="FK24">
            <v>3264171921</v>
          </cell>
          <cell r="FL24">
            <v>2688933879</v>
          </cell>
          <cell r="FM24">
            <v>2082674000</v>
          </cell>
          <cell r="FS24">
            <v>2324382126</v>
          </cell>
          <cell r="FT24">
            <v>2335130460</v>
          </cell>
          <cell r="FU24">
            <v>1725254720</v>
          </cell>
          <cell r="FV24">
            <v>3638285098</v>
          </cell>
          <cell r="FW24">
            <v>3130897770</v>
          </cell>
          <cell r="FX24">
            <v>2882106926</v>
          </cell>
          <cell r="FY24">
            <v>3255406245</v>
          </cell>
          <cell r="FZ24">
            <v>2036319587.5</v>
          </cell>
          <cell r="GA24">
            <v>1921312112.5</v>
          </cell>
          <cell r="GB24">
            <v>1522816848</v>
          </cell>
          <cell r="GC24">
            <v>683661363</v>
          </cell>
          <cell r="GD24">
            <v>1192386600</v>
          </cell>
          <cell r="GE24">
            <v>1180068720</v>
          </cell>
          <cell r="GF24">
            <v>1364029906.5</v>
          </cell>
          <cell r="GG24">
            <v>564909844.5</v>
          </cell>
          <cell r="GH24">
            <v>696001328</v>
          </cell>
          <cell r="GI24">
            <v>796868346</v>
          </cell>
        </row>
        <row r="25">
          <cell r="CJ25">
            <v>404494398</v>
          </cell>
          <cell r="CK25">
            <v>385519968</v>
          </cell>
          <cell r="CL25">
            <v>386354695</v>
          </cell>
          <cell r="CM25">
            <v>274447160</v>
          </cell>
          <cell r="CN25">
            <v>294964044</v>
          </cell>
          <cell r="CO25">
            <v>294964044</v>
          </cell>
          <cell r="CP25">
            <v>293106520</v>
          </cell>
          <cell r="CQ25">
            <v>251768256</v>
          </cell>
          <cell r="CR25">
            <v>341953260</v>
          </cell>
          <cell r="CS25">
            <v>308274560</v>
          </cell>
          <cell r="CT25">
            <v>380655160</v>
          </cell>
          <cell r="CU25">
            <v>380519840</v>
          </cell>
          <cell r="CV25">
            <v>384038160</v>
          </cell>
          <cell r="CW25">
            <v>385526680</v>
          </cell>
          <cell r="CX25">
            <v>360331400</v>
          </cell>
          <cell r="CY25">
            <v>216472338</v>
          </cell>
          <cell r="CZ25">
            <v>313796160</v>
          </cell>
          <cell r="DA25">
            <v>234418326.24000001</v>
          </cell>
          <cell r="DB25">
            <v>234742416</v>
          </cell>
          <cell r="DD25">
            <v>234020416</v>
          </cell>
          <cell r="DE25">
            <v>231979855.44</v>
          </cell>
          <cell r="DF25">
            <v>231978828</v>
          </cell>
          <cell r="DG25">
            <v>233604468</v>
          </cell>
          <cell r="DH25">
            <v>234986262</v>
          </cell>
          <cell r="DI25">
            <v>470944491.19999999</v>
          </cell>
          <cell r="DJ25">
            <v>469330620</v>
          </cell>
          <cell r="DK25">
            <v>473201388</v>
          </cell>
          <cell r="DL25">
            <v>475459336</v>
          </cell>
          <cell r="DM25">
            <v>239782962</v>
          </cell>
          <cell r="EK25">
            <v>454365070</v>
          </cell>
          <cell r="EL25">
            <v>239235714</v>
          </cell>
          <cell r="EM25">
            <v>393688093.5</v>
          </cell>
          <cell r="EN25">
            <v>453671534</v>
          </cell>
          <cell r="EO25">
            <v>226927170</v>
          </cell>
          <cell r="EP25">
            <v>370830265</v>
          </cell>
          <cell r="ER25">
            <v>402435000</v>
          </cell>
          <cell r="ES25">
            <v>160836890.5</v>
          </cell>
          <cell r="ET25">
            <v>244695330</v>
          </cell>
          <cell r="EU25">
            <v>245519220</v>
          </cell>
          <cell r="EV25">
            <v>316557684</v>
          </cell>
          <cell r="EW25">
            <v>472985460</v>
          </cell>
          <cell r="EZ25">
            <v>88579920</v>
          </cell>
          <cell r="FA25">
            <v>175160000</v>
          </cell>
          <cell r="FB25">
            <v>300302760</v>
          </cell>
          <cell r="FC25">
            <v>300402198</v>
          </cell>
          <cell r="FD25">
            <v>299507256</v>
          </cell>
          <cell r="FE25">
            <v>342543000</v>
          </cell>
          <cell r="FF25">
            <v>258039000</v>
          </cell>
          <cell r="FG25">
            <v>211015396.5</v>
          </cell>
          <cell r="FH25">
            <v>317193600</v>
          </cell>
          <cell r="FI25">
            <v>333338100</v>
          </cell>
          <cell r="FJ25">
            <v>255935000</v>
          </cell>
          <cell r="FK25">
            <v>453900000</v>
          </cell>
          <cell r="FL25">
            <v>325944000</v>
          </cell>
          <cell r="FM25">
            <v>331540000</v>
          </cell>
          <cell r="FS25">
            <v>109462200</v>
          </cell>
          <cell r="FT25">
            <v>109968300</v>
          </cell>
          <cell r="FU25">
            <v>564254400</v>
          </cell>
          <cell r="FV25">
            <v>351348973.5</v>
          </cell>
          <cell r="FW25">
            <v>486648030</v>
          </cell>
          <cell r="FX25">
            <v>625219597.5</v>
          </cell>
          <cell r="FY25">
            <v>323319180</v>
          </cell>
          <cell r="FZ25">
            <v>390181137.5</v>
          </cell>
          <cell r="GA25">
            <v>390181137.5</v>
          </cell>
          <cell r="GB25">
            <v>390052152</v>
          </cell>
          <cell r="GC25">
            <v>169571751</v>
          </cell>
          <cell r="GD25">
            <v>169515620</v>
          </cell>
          <cell r="GE25">
            <v>293487680</v>
          </cell>
          <cell r="GF25">
            <v>293584222</v>
          </cell>
          <cell r="GG25">
            <v>527741222</v>
          </cell>
          <cell r="GH25">
            <v>376580465.5</v>
          </cell>
          <cell r="GI25">
            <v>141807465.5</v>
          </cell>
        </row>
        <row r="26">
          <cell r="GH26">
            <v>142693200</v>
          </cell>
          <cell r="GI26">
            <v>142693200</v>
          </cell>
        </row>
        <row r="28">
          <cell r="GG28">
            <v>2025070322.5</v>
          </cell>
          <cell r="GH28">
            <v>2030397702.5</v>
          </cell>
          <cell r="GI28">
            <v>2030245252.5</v>
          </cell>
        </row>
        <row r="29">
          <cell r="CJ29">
            <v>8574762042</v>
          </cell>
          <cell r="CK29">
            <v>8569053168</v>
          </cell>
          <cell r="CL29">
            <v>9272841310</v>
          </cell>
          <cell r="CM29">
            <v>9256193480</v>
          </cell>
          <cell r="CN29">
            <v>9098926540.5</v>
          </cell>
          <cell r="CO29">
            <v>9098926540.5</v>
          </cell>
          <cell r="CP29">
            <v>9293453820</v>
          </cell>
          <cell r="CQ29">
            <v>9433283328</v>
          </cell>
          <cell r="CR29">
            <v>7743577338</v>
          </cell>
          <cell r="CS29">
            <v>7917403648</v>
          </cell>
          <cell r="CT29">
            <v>7908968914</v>
          </cell>
          <cell r="CU29">
            <v>8951903580</v>
          </cell>
          <cell r="CV29">
            <v>8676102303</v>
          </cell>
          <cell r="CW29">
            <v>8709730606.5</v>
          </cell>
          <cell r="CX29">
            <v>8743351760</v>
          </cell>
          <cell r="CY29">
            <v>7931454000</v>
          </cell>
          <cell r="CZ29">
            <v>8096941440</v>
          </cell>
          <cell r="DA29">
            <v>8051598786</v>
          </cell>
          <cell r="DB29">
            <v>8062766052</v>
          </cell>
          <cell r="DD29">
            <v>7951640144</v>
          </cell>
          <cell r="DE29">
            <v>7858026652</v>
          </cell>
          <cell r="DF29">
            <v>6821722128</v>
          </cell>
          <cell r="DG29">
            <v>6869526768</v>
          </cell>
          <cell r="DH29">
            <v>6910160712</v>
          </cell>
          <cell r="DI29">
            <v>7565003140</v>
          </cell>
          <cell r="DJ29">
            <v>7476198855</v>
          </cell>
          <cell r="DK29">
            <v>7537858227</v>
          </cell>
          <cell r="DL29">
            <v>7573826194</v>
          </cell>
          <cell r="DM29">
            <v>7831182100</v>
          </cell>
          <cell r="DN29">
            <v>7378079940</v>
          </cell>
          <cell r="DO29">
            <v>7390642420</v>
          </cell>
          <cell r="EK29">
            <v>7389960450</v>
          </cell>
          <cell r="EL29">
            <v>7409799270</v>
          </cell>
          <cell r="EM29">
            <v>7487514393.5</v>
          </cell>
          <cell r="EN29">
            <v>7487514393.5</v>
          </cell>
          <cell r="EO29">
            <v>7493928067.5</v>
          </cell>
          <cell r="EP29">
            <v>7347099760</v>
          </cell>
          <cell r="ER29">
            <v>7142799438.5</v>
          </cell>
          <cell r="ES29">
            <v>7824545852.5</v>
          </cell>
          <cell r="ET29">
            <v>9529757325</v>
          </cell>
          <cell r="EU29">
            <v>9416998170</v>
          </cell>
          <cell r="EV29">
            <v>9477118782</v>
          </cell>
          <cell r="EW29">
            <v>9477118782</v>
          </cell>
          <cell r="EX29">
            <v>9505917126</v>
          </cell>
          <cell r="EY29">
            <v>9291260475</v>
          </cell>
          <cell r="EZ29">
            <v>9349600000</v>
          </cell>
          <cell r="FA29">
            <v>8568276050</v>
          </cell>
          <cell r="FB29">
            <v>8519420000</v>
          </cell>
          <cell r="FC29">
            <v>8712974856</v>
          </cell>
          <cell r="FD29">
            <v>8628895068</v>
          </cell>
          <cell r="FE29">
            <v>8734117653</v>
          </cell>
          <cell r="FF29">
            <v>8097476589</v>
          </cell>
          <cell r="FG29">
            <v>8070931302</v>
          </cell>
          <cell r="FH29">
            <v>9475210528</v>
          </cell>
          <cell r="FI29">
            <v>9314471508</v>
          </cell>
          <cell r="FJ29">
            <v>8877075365</v>
          </cell>
          <cell r="FK29">
            <v>9498361329</v>
          </cell>
          <cell r="FL29">
            <v>9129388131</v>
          </cell>
          <cell r="FM29">
            <v>9117288213</v>
          </cell>
          <cell r="FS29">
            <v>15720346480</v>
          </cell>
          <cell r="FT29">
            <v>15756099840</v>
          </cell>
          <cell r="FU29">
            <v>16813510400</v>
          </cell>
          <cell r="FV29">
            <v>15781697137.5</v>
          </cell>
          <cell r="FW29">
            <v>15326361006</v>
          </cell>
          <cell r="FX29">
            <v>15721030500</v>
          </cell>
          <cell r="FY29">
            <v>15286824195</v>
          </cell>
          <cell r="FZ29">
            <v>15497787387.5</v>
          </cell>
          <cell r="GA29">
            <v>14949550000</v>
          </cell>
          <cell r="GB29">
            <v>14943478536</v>
          </cell>
          <cell r="GC29">
            <v>14928271500</v>
          </cell>
          <cell r="GD29">
            <v>13933978000</v>
          </cell>
          <cell r="GE29">
            <v>14026256000</v>
          </cell>
          <cell r="GF29">
            <v>13678684087.5</v>
          </cell>
          <cell r="GG29">
            <v>13678684087.5</v>
          </cell>
          <cell r="GH29">
            <v>13654999857.5</v>
          </cell>
          <cell r="GI29">
            <v>16282251506</v>
          </cell>
        </row>
        <row r="31">
          <cell r="CJ31">
            <v>140297925.61000001</v>
          </cell>
          <cell r="CK31">
            <v>170372226</v>
          </cell>
          <cell r="CL31">
            <v>186619420.55000001</v>
          </cell>
          <cell r="CM31">
            <v>186701425</v>
          </cell>
          <cell r="CN31">
            <v>186783280.19</v>
          </cell>
          <cell r="CO31">
            <v>186874280.19</v>
          </cell>
          <cell r="CP31">
            <v>186965280.19</v>
          </cell>
          <cell r="CQ31">
            <v>233388837.06</v>
          </cell>
          <cell r="CR31">
            <v>242095249.25</v>
          </cell>
          <cell r="CS31">
            <v>242201628.41</v>
          </cell>
          <cell r="CT31">
            <v>242308205.68000001</v>
          </cell>
          <cell r="CU31">
            <v>278673045.02999997</v>
          </cell>
          <cell r="CV31">
            <v>285798274.18000001</v>
          </cell>
          <cell r="CW31">
            <v>285922742.73000002</v>
          </cell>
          <cell r="CX31">
            <v>286045645.56999999</v>
          </cell>
          <cell r="CY31">
            <v>264159921.84</v>
          </cell>
          <cell r="CZ31">
            <v>278518000</v>
          </cell>
          <cell r="DA31">
            <v>278638000</v>
          </cell>
          <cell r="DB31">
            <v>178714000</v>
          </cell>
          <cell r="DD31">
            <v>194053266.78</v>
          </cell>
          <cell r="DE31">
            <v>194389386.99000001</v>
          </cell>
          <cell r="DF31">
            <v>194474045.46000001</v>
          </cell>
          <cell r="DG31">
            <v>227573162.49000001</v>
          </cell>
          <cell r="DH31">
            <v>247680096.25</v>
          </cell>
          <cell r="DI31">
            <v>281043434.38</v>
          </cell>
          <cell r="DJ31">
            <v>287166963.37</v>
          </cell>
          <cell r="DK31">
            <v>287290505.68000001</v>
          </cell>
          <cell r="DO31">
            <v>288070150.68000001</v>
          </cell>
          <cell r="EL31">
            <v>999458000</v>
          </cell>
          <cell r="EX31">
            <v>1191838968</v>
          </cell>
          <cell r="EY31">
            <v>692194923</v>
          </cell>
          <cell r="EZ31">
            <v>342368000</v>
          </cell>
          <cell r="FH31">
            <v>1507317626</v>
          </cell>
          <cell r="FI31">
            <v>607633370</v>
          </cell>
        </row>
        <row r="43">
          <cell r="CJ43">
            <v>458483114</v>
          </cell>
          <cell r="CK43">
            <v>661233493</v>
          </cell>
          <cell r="CM43">
            <v>345281349</v>
          </cell>
          <cell r="CN43">
            <v>434891710</v>
          </cell>
          <cell r="CO43">
            <v>327757232</v>
          </cell>
          <cell r="CP43">
            <v>350616029</v>
          </cell>
          <cell r="CQ43">
            <v>418065530</v>
          </cell>
          <cell r="CR43">
            <v>471654657</v>
          </cell>
          <cell r="CS43">
            <v>257355720</v>
          </cell>
          <cell r="CT43">
            <v>236685100</v>
          </cell>
          <cell r="CU43">
            <v>325345795</v>
          </cell>
          <cell r="CV43">
            <v>365000923</v>
          </cell>
          <cell r="CW43">
            <v>214487540</v>
          </cell>
          <cell r="CX43">
            <v>135000000</v>
          </cell>
          <cell r="CY43">
            <v>440719000</v>
          </cell>
          <cell r="CZ43">
            <v>464435608</v>
          </cell>
          <cell r="DA43">
            <v>26208000</v>
          </cell>
          <cell r="DB43">
            <v>49230696</v>
          </cell>
          <cell r="DD43">
            <v>422611775</v>
          </cell>
          <cell r="DE43">
            <v>334335700</v>
          </cell>
          <cell r="DF43">
            <v>170816222</v>
          </cell>
          <cell r="DG43">
            <v>358580004</v>
          </cell>
          <cell r="DH43">
            <v>338308627</v>
          </cell>
          <cell r="DI43">
            <v>261423124</v>
          </cell>
          <cell r="DJ43">
            <v>314210003</v>
          </cell>
          <cell r="DK43">
            <v>367400000</v>
          </cell>
          <cell r="DO43">
            <v>402585340</v>
          </cell>
          <cell r="EK43">
            <v>307499246</v>
          </cell>
          <cell r="EP43">
            <v>26925000</v>
          </cell>
          <cell r="ET43">
            <v>258816904</v>
          </cell>
          <cell r="EU43">
            <v>332793215</v>
          </cell>
          <cell r="EX43">
            <v>306425692</v>
          </cell>
          <cell r="EY43">
            <v>57614176</v>
          </cell>
          <cell r="FD43">
            <v>181112077</v>
          </cell>
          <cell r="FG43">
            <v>45290335</v>
          </cell>
          <cell r="FH43">
            <v>336815052</v>
          </cell>
          <cell r="FI43">
            <v>424319420</v>
          </cell>
          <cell r="FJ43">
            <v>2939544</v>
          </cell>
          <cell r="FK43">
            <v>63214078</v>
          </cell>
          <cell r="FL43">
            <v>121593571</v>
          </cell>
          <cell r="FM43">
            <v>421929408</v>
          </cell>
          <cell r="FU43">
            <v>400324888</v>
          </cell>
          <cell r="GG43">
            <v>187282014</v>
          </cell>
          <cell r="GH43">
            <v>209580438</v>
          </cell>
          <cell r="GI43">
            <v>213754697</v>
          </cell>
        </row>
        <row r="44">
          <cell r="CS44">
            <v>200000000</v>
          </cell>
          <cell r="CT44">
            <v>210445111</v>
          </cell>
        </row>
        <row r="45">
          <cell r="CJ45">
            <v>0</v>
          </cell>
        </row>
        <row r="46">
          <cell r="CJ46">
            <v>14376000</v>
          </cell>
          <cell r="CK46">
            <v>9499387</v>
          </cell>
          <cell r="CM46">
            <v>8048613</v>
          </cell>
          <cell r="CN46">
            <v>0</v>
          </cell>
          <cell r="CO46">
            <v>0</v>
          </cell>
          <cell r="CP46">
            <v>0</v>
          </cell>
          <cell r="CQ46">
            <v>18256232</v>
          </cell>
          <cell r="CR46">
            <v>1649700</v>
          </cell>
          <cell r="CS46">
            <v>90081817</v>
          </cell>
          <cell r="CU46">
            <v>116687046</v>
          </cell>
          <cell r="CX46">
            <v>3892372</v>
          </cell>
          <cell r="CZ46">
            <v>126723515</v>
          </cell>
          <cell r="DB46">
            <v>176339266</v>
          </cell>
          <cell r="DE46">
            <v>188300000</v>
          </cell>
          <cell r="DG46">
            <v>5545144</v>
          </cell>
          <cell r="DI46">
            <v>37652420</v>
          </cell>
          <cell r="DK46">
            <v>101923754</v>
          </cell>
          <cell r="EK46">
            <v>14574830</v>
          </cell>
          <cell r="ET46">
            <v>170517366</v>
          </cell>
          <cell r="EU46">
            <v>107087250</v>
          </cell>
          <cell r="EX46">
            <v>46132000</v>
          </cell>
          <cell r="EY46">
            <v>158407969</v>
          </cell>
          <cell r="FD46">
            <v>51477136</v>
          </cell>
          <cell r="FH46">
            <v>212885656</v>
          </cell>
          <cell r="FI46">
            <v>19575338</v>
          </cell>
          <cell r="FL46">
            <v>6074370</v>
          </cell>
          <cell r="GH46">
            <v>43082759</v>
          </cell>
          <cell r="GI46">
            <v>26732745</v>
          </cell>
        </row>
        <row r="47">
          <cell r="CJ47">
            <v>0</v>
          </cell>
        </row>
        <row r="48">
          <cell r="CJ48">
            <v>0</v>
          </cell>
        </row>
        <row r="49">
          <cell r="CJ49">
            <v>0</v>
          </cell>
          <cell r="CO49">
            <v>85437900</v>
          </cell>
          <cell r="CP49">
            <v>948120</v>
          </cell>
          <cell r="CQ49">
            <v>4500474</v>
          </cell>
          <cell r="DG49">
            <v>2338696</v>
          </cell>
          <cell r="DI49">
            <v>32173206</v>
          </cell>
          <cell r="DJ49">
            <v>4300218</v>
          </cell>
          <cell r="DK49">
            <v>848120</v>
          </cell>
          <cell r="EY49">
            <v>7495412</v>
          </cell>
          <cell r="FL49">
            <v>2199600</v>
          </cell>
        </row>
        <row r="50">
          <cell r="CJ50">
            <v>0</v>
          </cell>
          <cell r="CK50">
            <v>9401592</v>
          </cell>
          <cell r="CN50">
            <v>8039538</v>
          </cell>
          <cell r="CO50">
            <v>59668977</v>
          </cell>
          <cell r="CP50">
            <v>21504816</v>
          </cell>
          <cell r="CX50">
            <v>11667763</v>
          </cell>
          <cell r="DA50">
            <v>230621763</v>
          </cell>
          <cell r="DB50">
            <v>124006883</v>
          </cell>
          <cell r="DD50">
            <v>285064171</v>
          </cell>
          <cell r="DE50">
            <v>36765809</v>
          </cell>
          <cell r="DF50">
            <v>14467604</v>
          </cell>
          <cell r="DG50">
            <v>39867750</v>
          </cell>
          <cell r="DH50">
            <v>2260244</v>
          </cell>
          <cell r="DI50">
            <v>181228924</v>
          </cell>
          <cell r="DJ50">
            <v>18585962</v>
          </cell>
          <cell r="EP50">
            <v>10592000</v>
          </cell>
          <cell r="ET50">
            <v>10174295</v>
          </cell>
          <cell r="EX50">
            <v>20950945</v>
          </cell>
          <cell r="FH50">
            <v>12611780</v>
          </cell>
          <cell r="FI50">
            <v>31902411</v>
          </cell>
          <cell r="FJ50">
            <v>2227081286</v>
          </cell>
          <cell r="FK50">
            <v>159022936</v>
          </cell>
          <cell r="FM50">
            <v>11201980</v>
          </cell>
          <cell r="FU50">
            <v>100748053</v>
          </cell>
          <cell r="GG50">
            <v>53320371</v>
          </cell>
          <cell r="GI50">
            <v>159613430</v>
          </cell>
        </row>
        <row r="51">
          <cell r="CJ51">
            <v>6873443</v>
          </cell>
          <cell r="CK51">
            <v>10840885</v>
          </cell>
          <cell r="CM51">
            <v>77515155</v>
          </cell>
          <cell r="CO51">
            <v>80898077</v>
          </cell>
          <cell r="CP51">
            <v>271146305</v>
          </cell>
          <cell r="CQ51">
            <v>36096372</v>
          </cell>
          <cell r="CR51">
            <v>46281564</v>
          </cell>
          <cell r="CS51">
            <v>104935725</v>
          </cell>
          <cell r="CT51">
            <v>69975466</v>
          </cell>
          <cell r="CU51">
            <v>5414532</v>
          </cell>
          <cell r="CV51">
            <v>80000000</v>
          </cell>
          <cell r="CW51">
            <v>178059700</v>
          </cell>
          <cell r="CX51">
            <v>481974372</v>
          </cell>
          <cell r="CY51">
            <v>83213406</v>
          </cell>
          <cell r="CZ51">
            <v>8388083</v>
          </cell>
          <cell r="DA51">
            <v>999147178</v>
          </cell>
          <cell r="DB51">
            <v>413477248</v>
          </cell>
          <cell r="DD51">
            <v>306986818</v>
          </cell>
          <cell r="DE51">
            <v>7627147</v>
          </cell>
          <cell r="DF51">
            <v>485193438</v>
          </cell>
          <cell r="DG51">
            <v>400228697</v>
          </cell>
          <cell r="DH51">
            <v>276513565</v>
          </cell>
          <cell r="DI51">
            <v>73756788</v>
          </cell>
          <cell r="DJ51">
            <v>226841660</v>
          </cell>
          <cell r="DK51">
            <v>86200000</v>
          </cell>
          <cell r="DO51">
            <v>286700000</v>
          </cell>
          <cell r="EK51">
            <v>108710771</v>
          </cell>
          <cell r="EP51">
            <v>166523884</v>
          </cell>
          <cell r="ET51">
            <v>2789923</v>
          </cell>
          <cell r="EU51">
            <v>565997992</v>
          </cell>
          <cell r="EX51">
            <v>107854200</v>
          </cell>
          <cell r="EY51">
            <v>20850000</v>
          </cell>
          <cell r="FD51">
            <v>169418024</v>
          </cell>
          <cell r="FG51">
            <v>688777988</v>
          </cell>
          <cell r="FH51">
            <v>338853719</v>
          </cell>
          <cell r="FI51">
            <v>156151989</v>
          </cell>
          <cell r="FJ51">
            <v>257288219</v>
          </cell>
          <cell r="FK51">
            <v>564628974</v>
          </cell>
          <cell r="FL51">
            <v>516948396</v>
          </cell>
          <cell r="FM51">
            <v>240753608</v>
          </cell>
          <cell r="FU51">
            <v>146353825</v>
          </cell>
          <cell r="GG51">
            <v>3611906</v>
          </cell>
          <cell r="GI51">
            <v>83400000</v>
          </cell>
        </row>
        <row r="53">
          <cell r="CJ53">
            <v>0</v>
          </cell>
        </row>
        <row r="56">
          <cell r="CJ56">
            <v>0</v>
          </cell>
        </row>
        <row r="59">
          <cell r="CJ59">
            <v>0</v>
          </cell>
          <cell r="CW59">
            <v>11508455</v>
          </cell>
          <cell r="CY59">
            <v>10652000</v>
          </cell>
          <cell r="DH59">
            <v>20225097</v>
          </cell>
          <cell r="DK59">
            <v>5007874</v>
          </cell>
          <cell r="EP59">
            <v>15741079</v>
          </cell>
          <cell r="FI59">
            <v>160000000</v>
          </cell>
        </row>
        <row r="60">
          <cell r="CJ60">
            <v>30000000</v>
          </cell>
          <cell r="CN60">
            <v>110000000</v>
          </cell>
          <cell r="CR60">
            <v>29000000</v>
          </cell>
          <cell r="CW60">
            <v>100000000</v>
          </cell>
          <cell r="CZ60">
            <v>100000000</v>
          </cell>
          <cell r="DB60">
            <v>60000000</v>
          </cell>
          <cell r="EP60">
            <v>230000000</v>
          </cell>
          <cell r="FD60">
            <v>180000000</v>
          </cell>
        </row>
        <row r="61">
          <cell r="CJ61">
            <v>0</v>
          </cell>
        </row>
        <row r="68">
          <cell r="CJ68">
            <v>0</v>
          </cell>
        </row>
        <row r="73">
          <cell r="FG73">
            <v>130500000</v>
          </cell>
          <cell r="FU73">
            <v>131116450</v>
          </cell>
        </row>
        <row r="97">
          <cell r="CJ97">
            <v>7845303</v>
          </cell>
          <cell r="CK97">
            <v>6352071</v>
          </cell>
          <cell r="CN97">
            <v>6348809</v>
          </cell>
          <cell r="CO97">
            <v>5162809</v>
          </cell>
          <cell r="CP97">
            <v>4784062</v>
          </cell>
          <cell r="CQ97">
            <v>4873216</v>
          </cell>
          <cell r="CR97">
            <v>6457477</v>
          </cell>
          <cell r="CS97">
            <v>6316844</v>
          </cell>
          <cell r="CT97">
            <v>35688</v>
          </cell>
          <cell r="CU97">
            <v>7045070</v>
          </cell>
          <cell r="CV97">
            <v>8074763</v>
          </cell>
          <cell r="CW97">
            <v>8485763</v>
          </cell>
          <cell r="CX97">
            <v>8825768</v>
          </cell>
          <cell r="CY97">
            <v>10993000</v>
          </cell>
          <cell r="CZ97">
            <v>10901124</v>
          </cell>
          <cell r="DA97">
            <v>10661367</v>
          </cell>
          <cell r="DB97">
            <v>9665367</v>
          </cell>
          <cell r="DD97">
            <v>11289324</v>
          </cell>
          <cell r="DE97">
            <v>14799324</v>
          </cell>
          <cell r="DF97">
            <v>16047536</v>
          </cell>
          <cell r="DG97">
            <v>14300536</v>
          </cell>
          <cell r="DH97">
            <v>16958536</v>
          </cell>
          <cell r="DI97">
            <v>15445491</v>
          </cell>
          <cell r="DJ97">
            <v>16753719</v>
          </cell>
          <cell r="DK97">
            <v>16767719</v>
          </cell>
          <cell r="DO97">
            <v>18385776</v>
          </cell>
          <cell r="EK97">
            <v>34675581.865000002</v>
          </cell>
          <cell r="EP97">
            <v>33977534.686999999</v>
          </cell>
          <cell r="ET97">
            <v>33167571.769000001</v>
          </cell>
          <cell r="EU97">
            <v>32207178.398999996</v>
          </cell>
          <cell r="EV97">
            <v>35762061.762999997</v>
          </cell>
          <cell r="EW97">
            <v>34024200.174000002</v>
          </cell>
          <cell r="EX97">
            <v>34329322.403999999</v>
          </cell>
          <cell r="EY97">
            <v>35001309.556000002</v>
          </cell>
          <cell r="EZ97">
            <v>32475209.347000003</v>
          </cell>
          <cell r="FA97">
            <v>32880196.405000001</v>
          </cell>
          <cell r="FB97">
            <v>32912551.405000001</v>
          </cell>
          <cell r="FC97">
            <v>33013997.166000001</v>
          </cell>
          <cell r="FD97">
            <v>34505019.689000003</v>
          </cell>
          <cell r="FE97">
            <v>36005238.718999997</v>
          </cell>
          <cell r="FF97">
            <v>33243348.778999999</v>
          </cell>
          <cell r="FG97">
            <v>32031098.270000003</v>
          </cell>
          <cell r="FH97">
            <v>31412096.869999997</v>
          </cell>
          <cell r="FI97">
            <v>32336779.435999997</v>
          </cell>
          <cell r="FJ97">
            <v>33644452.497500002</v>
          </cell>
          <cell r="FK97">
            <v>30931429.434500001</v>
          </cell>
          <cell r="FL97">
            <v>31810521.982500002</v>
          </cell>
          <cell r="FM97">
            <v>32543316.3825</v>
          </cell>
          <cell r="FS97">
            <v>20019979.761999998</v>
          </cell>
          <cell r="FT97">
            <v>20145675.958000001</v>
          </cell>
          <cell r="FU97">
            <v>18320136.857999999</v>
          </cell>
          <cell r="GA97">
            <v>17389013.649</v>
          </cell>
          <cell r="GB97">
            <v>17298912.278999999</v>
          </cell>
          <cell r="GC97">
            <v>16712000.329</v>
          </cell>
          <cell r="GD97">
            <v>15603011.429000001</v>
          </cell>
          <cell r="GE97">
            <v>17806558.879000001</v>
          </cell>
          <cell r="GF97">
            <v>18181792.929000001</v>
          </cell>
          <cell r="GG97">
            <v>17813275</v>
          </cell>
          <cell r="GH97">
            <v>17957000</v>
          </cell>
          <cell r="GI97">
            <v>16620544.710000001</v>
          </cell>
        </row>
        <row r="98">
          <cell r="CJ98">
            <v>5582721359</v>
          </cell>
          <cell r="CK98">
            <v>5582721359</v>
          </cell>
          <cell r="CU98">
            <v>5582721359</v>
          </cell>
        </row>
        <row r="100">
          <cell r="CJ100">
            <v>1689393489</v>
          </cell>
          <cell r="CK100">
            <v>1583396236</v>
          </cell>
          <cell r="CN100">
            <v>2211799335</v>
          </cell>
          <cell r="CO100">
            <v>2022241225</v>
          </cell>
          <cell r="CP100">
            <v>2230923297.48</v>
          </cell>
          <cell r="CQ100">
            <v>1816083018</v>
          </cell>
          <cell r="CR100">
            <v>1437358611</v>
          </cell>
          <cell r="CS100">
            <v>1452001433</v>
          </cell>
          <cell r="CT100">
            <v>1377152179</v>
          </cell>
          <cell r="CU100">
            <v>1213908811</v>
          </cell>
          <cell r="CV100">
            <v>1507567585</v>
          </cell>
          <cell r="CW100">
            <v>1512097058</v>
          </cell>
          <cell r="CX100">
            <v>1485119936</v>
          </cell>
          <cell r="CY100">
            <v>1499323745</v>
          </cell>
          <cell r="CZ100">
            <v>1122265222</v>
          </cell>
          <cell r="DA100">
            <v>1442191789</v>
          </cell>
          <cell r="DB100">
            <v>2069933438</v>
          </cell>
          <cell r="DD100">
            <v>1873319205</v>
          </cell>
          <cell r="DE100">
            <v>1870852101</v>
          </cell>
          <cell r="DF100">
            <v>1779143763</v>
          </cell>
          <cell r="DG100">
            <v>1808281690</v>
          </cell>
          <cell r="DH100">
            <v>2498492954</v>
          </cell>
          <cell r="DI100">
            <v>2739960274</v>
          </cell>
          <cell r="DJ100">
            <v>2406939664.6399999</v>
          </cell>
          <cell r="DK100">
            <v>2067308483</v>
          </cell>
          <cell r="DO100">
            <v>1523565364</v>
          </cell>
          <cell r="EK100">
            <v>1325990325</v>
          </cell>
          <cell r="EP100">
            <v>1451818208</v>
          </cell>
          <cell r="ET100">
            <v>965630051</v>
          </cell>
          <cell r="EU100">
            <v>666408280</v>
          </cell>
          <cell r="EX100">
            <v>512637872.16000003</v>
          </cell>
          <cell r="EY100">
            <v>609168000</v>
          </cell>
          <cell r="FD100">
            <v>706516864</v>
          </cell>
          <cell r="FG100">
            <v>1504790455</v>
          </cell>
          <cell r="FH100">
            <v>1248071376</v>
          </cell>
          <cell r="FI100">
            <v>865293563</v>
          </cell>
          <cell r="FJ100">
            <v>989741585</v>
          </cell>
          <cell r="FK100">
            <v>1451865442.78</v>
          </cell>
          <cell r="FL100">
            <v>1852178279</v>
          </cell>
          <cell r="FM100">
            <v>1779462460</v>
          </cell>
          <cell r="FU100">
            <v>1139790764.1199999</v>
          </cell>
          <cell r="GG100">
            <v>1109216000</v>
          </cell>
          <cell r="GH100">
            <v>972612348.80999994</v>
          </cell>
          <cell r="GI100">
            <v>1297305000</v>
          </cell>
        </row>
        <row r="101">
          <cell r="CJ101">
            <v>990744710</v>
          </cell>
          <cell r="CK101">
            <v>771360669</v>
          </cell>
          <cell r="CN101">
            <v>886288208</v>
          </cell>
          <cell r="CO101">
            <v>821747346</v>
          </cell>
          <cell r="CP101">
            <v>970095427</v>
          </cell>
          <cell r="CQ101">
            <v>851827495</v>
          </cell>
          <cell r="CR101">
            <v>786178943</v>
          </cell>
          <cell r="CS101">
            <v>809592824</v>
          </cell>
          <cell r="CT101">
            <v>898433033</v>
          </cell>
          <cell r="CU101">
            <v>3753759654</v>
          </cell>
          <cell r="CV101">
            <v>4031972319</v>
          </cell>
          <cell r="CW101">
            <v>3816902319</v>
          </cell>
          <cell r="CX101">
            <v>3427374844</v>
          </cell>
          <cell r="CY101">
            <v>3574582194</v>
          </cell>
          <cell r="CZ101">
            <v>3203368814</v>
          </cell>
          <cell r="DA101">
            <v>2351933757</v>
          </cell>
          <cell r="DB101">
            <v>2032148193</v>
          </cell>
          <cell r="DD101">
            <v>1563095825</v>
          </cell>
          <cell r="DE101">
            <v>1693922893</v>
          </cell>
          <cell r="DF101">
            <v>1922736439</v>
          </cell>
          <cell r="DG101">
            <v>1818368308</v>
          </cell>
          <cell r="DH101">
            <v>1822504420</v>
          </cell>
          <cell r="DI101">
            <v>1289294374</v>
          </cell>
          <cell r="DJ101">
            <v>1280496204</v>
          </cell>
          <cell r="DK101">
            <v>1268841000</v>
          </cell>
          <cell r="DO101">
            <v>1548338237</v>
          </cell>
          <cell r="EK101">
            <v>11905007831</v>
          </cell>
          <cell r="EP101">
            <v>7793890781</v>
          </cell>
          <cell r="ET101">
            <v>8041036677</v>
          </cell>
          <cell r="EU101">
            <v>7680124907</v>
          </cell>
          <cell r="EX101">
            <v>6504858243</v>
          </cell>
          <cell r="EY101">
            <v>6923980045</v>
          </cell>
          <cell r="FD101">
            <v>13329945213</v>
          </cell>
          <cell r="FG101">
            <v>12353842398</v>
          </cell>
          <cell r="FH101">
            <v>11735279712</v>
          </cell>
          <cell r="FI101">
            <v>11387545619</v>
          </cell>
          <cell r="FJ101">
            <v>8774851720</v>
          </cell>
          <cell r="FK101">
            <v>7581875038</v>
          </cell>
          <cell r="FL101">
            <v>7471140512</v>
          </cell>
          <cell r="FM101">
            <v>6505310688</v>
          </cell>
          <cell r="FU101">
            <v>6949854020</v>
          </cell>
          <cell r="GG101">
            <v>3073819000</v>
          </cell>
          <cell r="GH101">
            <v>3090737000</v>
          </cell>
          <cell r="GI101">
            <v>2990528971</v>
          </cell>
        </row>
        <row r="102">
          <cell r="CJ102">
            <v>6063777655</v>
          </cell>
          <cell r="CK102">
            <v>5851473775</v>
          </cell>
          <cell r="CN102">
            <v>6003847969</v>
          </cell>
          <cell r="CO102">
            <v>6263281746</v>
          </cell>
          <cell r="CP102">
            <v>5815616379</v>
          </cell>
          <cell r="CQ102">
            <v>5807216200</v>
          </cell>
          <cell r="CR102">
            <v>5719924121</v>
          </cell>
          <cell r="CS102">
            <v>4896254184</v>
          </cell>
          <cell r="CT102">
            <v>4628913889</v>
          </cell>
          <cell r="CU102">
            <v>4562436968</v>
          </cell>
          <cell r="CV102">
            <v>4496965997</v>
          </cell>
          <cell r="CW102">
            <v>4472804706</v>
          </cell>
          <cell r="CX102">
            <v>4799416274</v>
          </cell>
          <cell r="CY102">
            <v>4744842059</v>
          </cell>
          <cell r="CZ102">
            <v>5023890065</v>
          </cell>
          <cell r="DA102">
            <v>5329656243.5</v>
          </cell>
          <cell r="DB102">
            <v>5465695997</v>
          </cell>
          <cell r="DD102">
            <v>5589564137</v>
          </cell>
          <cell r="DE102">
            <v>5589072977</v>
          </cell>
          <cell r="DF102">
            <v>5527488705</v>
          </cell>
          <cell r="DG102">
            <v>5520255928</v>
          </cell>
          <cell r="DH102">
            <v>4582166979</v>
          </cell>
          <cell r="DI102">
            <v>5211327530</v>
          </cell>
          <cell r="DJ102">
            <v>5270740211</v>
          </cell>
          <cell r="DK102">
            <v>5270740211</v>
          </cell>
          <cell r="DO102">
            <v>4515567562</v>
          </cell>
          <cell r="EK102">
            <v>6084858000</v>
          </cell>
          <cell r="EP102">
            <v>8316978266</v>
          </cell>
          <cell r="ET102">
            <v>6960719090</v>
          </cell>
          <cell r="EU102">
            <v>7307278803</v>
          </cell>
          <cell r="EX102">
            <v>8284777830</v>
          </cell>
          <cell r="EY102">
            <v>7816267342</v>
          </cell>
          <cell r="FD102">
            <v>7550543000</v>
          </cell>
          <cell r="FH102">
            <v>6953976045.9499998</v>
          </cell>
          <cell r="FI102">
            <v>6960467958</v>
          </cell>
          <cell r="FJ102">
            <v>6796061384</v>
          </cell>
          <cell r="FK102">
            <v>7878950730</v>
          </cell>
          <cell r="FL102">
            <v>7301555646</v>
          </cell>
          <cell r="FM102">
            <v>7447795635</v>
          </cell>
          <cell r="FU102">
            <v>5456915233</v>
          </cell>
          <cell r="GG102">
            <v>5909439000</v>
          </cell>
          <cell r="GH102">
            <v>5943000000</v>
          </cell>
          <cell r="GI102">
            <v>5581495000</v>
          </cell>
        </row>
        <row r="103">
          <cell r="CJ103">
            <v>1100365.03789</v>
          </cell>
          <cell r="CK103">
            <v>1100365.03789</v>
          </cell>
          <cell r="CU103">
            <v>1028533.4021649999</v>
          </cell>
          <cell r="DP103">
            <v>1202455.9875649996</v>
          </cell>
          <cell r="FH103">
            <v>1745997.6</v>
          </cell>
        </row>
        <row r="104">
          <cell r="CJ104">
            <v>202734656.16865012</v>
          </cell>
          <cell r="CK104">
            <v>202734656.16865012</v>
          </cell>
          <cell r="CP104">
            <v>202734656.16865012</v>
          </cell>
          <cell r="CU104">
            <v>191016771.98655012</v>
          </cell>
          <cell r="CV104">
            <v>191016771.98655012</v>
          </cell>
          <cell r="DJ104">
            <v>191016771.98655012</v>
          </cell>
        </row>
        <row r="105">
          <cell r="CJ105">
            <v>10000000</v>
          </cell>
          <cell r="CK105">
            <v>10000000</v>
          </cell>
        </row>
        <row r="106">
          <cell r="CJ106">
            <v>141199.46727549468</v>
          </cell>
        </row>
        <row r="107">
          <cell r="CJ107">
            <v>280000</v>
          </cell>
          <cell r="CK107">
            <v>280000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colas  Vellini" id="{BAFC73A4-64A0-45BC-9DF9-E4CD86354757}" userId="S::nicolas@MOSCUZZAEHIJOS.onmicrosoft.com::90f51fe5-748b-47ac-a1dd-6e2b7be766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18" dT="2026-06-30T16:02:51.86" personId="{BAFC73A4-64A0-45BC-9DF9-E4CD86354757}" id="{070BEED2-41C5-49B5-B9A1-2E37121A14C3}">
    <text>Se tomo una prefi en bbva USD 1 M</text>
  </threadedComment>
  <threadedComment ref="AC119" dT="2026-06-30T16:02:51.86" personId="{BAFC73A4-64A0-45BC-9DF9-E4CD86354757}" id="{79DB5240-C8AA-444A-BD69-BACE09A7CD8F}">
    <text>Se tomo una prefi en bbva USD 1 M</text>
  </threadedComment>
  <threadedComment ref="AC120" dT="2026-06-30T16:02:51.86" personId="{BAFC73A4-64A0-45BC-9DF9-E4CD86354757}" id="{297C5B30-2C94-4E02-98FC-148517F5EE27}">
    <text>Se tomo una prefi en bbva USD 1 M</text>
  </threadedComment>
  <threadedComment ref="AC121" dT="2026-06-30T16:02:51.86" personId="{BAFC73A4-64A0-45BC-9DF9-E4CD86354757}" id="{7706324D-B49F-4276-A0ED-961DCEAC2D0F}">
    <text>Se tomo una prefi en bbva USD 1 M</text>
  </threadedComment>
  <threadedComment ref="AC122" dT="2026-06-30T16:02:51.86" personId="{BAFC73A4-64A0-45BC-9DF9-E4CD86354757}" id="{C22BF71C-C690-4BC2-8EE9-7423BE55B3D9}">
    <text>Se tomo una prefi en bbva USD 1 M</text>
  </threadedComment>
  <threadedComment ref="AC123" dT="2026-06-30T16:02:51.86" personId="{BAFC73A4-64A0-45BC-9DF9-E4CD86354757}" id="{4AC830D9-4984-438F-BFFA-48BEBE0F3D32}">
    <text>Se tomo una prefi en bbva USD 1 M</text>
  </threadedComment>
  <threadedComment ref="AC124" dT="2026-06-30T16:02:51.86" personId="{BAFC73A4-64A0-45BC-9DF9-E4CD86354757}" id="{51F366F2-EEF3-45A4-A8F0-363EBA271596}">
    <text>Se tomo una prefi en bbva USD 1 M</text>
  </threadedComment>
  <threadedComment ref="AB136" dT="2026-03-13T15:00:33.59" personId="{BAFC73A4-64A0-45BC-9DF9-E4CD86354757}" id="{7BCD4027-4E05-42F3-B926-BDB8A036114A}">
    <text>La reduccion de la deuda de impo se debe al pago de USD 818 mil dolares abonados a YANMAR</text>
  </threadedComment>
  <threadedComment ref="AB137" dT="2026-03-13T15:00:33.59" personId="{BAFC73A4-64A0-45BC-9DF9-E4CD86354757}" id="{727CF68D-1A7B-4C93-9FCB-B3A316326A01}">
    <text>La reduccion de la deuda de impo se debe al pago de USD 818 mil dolares abonados a YANMAR</text>
  </threadedComment>
  <threadedComment ref="AB138" dT="2026-03-13T15:00:33.59" personId="{BAFC73A4-64A0-45BC-9DF9-E4CD86354757}" id="{DBA48083-FC9A-41F2-B3CA-EC3295CA0644}">
    <text>La reduccion de la deuda de impo se debe al pago de USD 818 mil dolares abonados a YANMAR</text>
  </threadedComment>
  <threadedComment ref="AB175" dT="2026-03-13T15:00:33.59" personId="{BAFC73A4-64A0-45BC-9DF9-E4CD86354757}" id="{CB4A9D17-B455-43D9-844C-4C140EF0EA8D}">
    <text>La reduccion de la deuda de impo se debe al pago de USD 818 mil dolares abonados a YANMAR</text>
  </threadedComment>
  <threadedComment ref="AB176" dT="2026-03-13T15:00:33.59" personId="{BAFC73A4-64A0-45BC-9DF9-E4CD86354757}" id="{A1FD2FDA-8D70-433B-9B2C-4CB6408357E6}">
    <text>La reduccion de la deuda de impo se debe al pago de USD 818 mil dolares abonados a YANMAR</text>
  </threadedComment>
  <threadedComment ref="AB177" dT="2026-03-13T15:00:33.59" personId="{BAFC73A4-64A0-45BC-9DF9-E4CD86354757}" id="{CE112429-4A74-43C8-AFF4-3A1BD903D685}">
    <text>La reduccion de la deuda de impo se debe al pago de USD 818 mil dolares abonados a YANMAR</text>
  </threadedComment>
  <threadedComment ref="AB178" dT="2026-03-13T15:00:33.59" personId="{BAFC73A4-64A0-45BC-9DF9-E4CD86354757}" id="{DC3867E3-1437-4886-9AFB-A5C51C89D662}">
    <text>La reduccion de la deuda de impo se debe al pago de USD 818 mil dolares abonados a YANMAR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opLeftCell="A17" zoomScaleNormal="100" workbookViewId="0">
      <selection sqref="A1:F1"/>
    </sheetView>
  </sheetViews>
  <sheetFormatPr baseColWidth="10" defaultColWidth="8.7109375" defaultRowHeight="15" x14ac:dyDescent="0.25"/>
  <cols>
    <col min="1" max="1" width="32" customWidth="1"/>
    <col min="2" max="2" width="60" customWidth="1"/>
  </cols>
  <sheetData>
    <row r="1" spans="1:6" ht="36" customHeight="1" x14ac:dyDescent="0.25">
      <c r="A1" s="78" t="s">
        <v>0</v>
      </c>
      <c r="B1" s="78"/>
      <c r="C1" s="78"/>
      <c r="D1" s="78"/>
      <c r="E1" s="78"/>
      <c r="F1" s="78"/>
    </row>
    <row r="2" spans="1:6" ht="19.5" customHeight="1" x14ac:dyDescent="0.25">
      <c r="A2" s="79" t="s">
        <v>1</v>
      </c>
      <c r="B2" s="79"/>
      <c r="C2" s="79"/>
      <c r="D2" s="79"/>
      <c r="E2" s="79"/>
      <c r="F2" s="79"/>
    </row>
    <row r="5" spans="1:6" ht="15" customHeight="1" x14ac:dyDescent="0.25">
      <c r="A5" s="2"/>
      <c r="B5" s="3"/>
    </row>
    <row r="6" spans="1:6" ht="15" customHeight="1" x14ac:dyDescent="0.25">
      <c r="A6" s="77" t="s">
        <v>2</v>
      </c>
      <c r="B6" s="77"/>
      <c r="C6" s="77"/>
      <c r="D6" s="77"/>
      <c r="E6" s="77"/>
      <c r="F6" s="77"/>
    </row>
    <row r="7" spans="1:6" ht="15" customHeight="1" x14ac:dyDescent="0.25">
      <c r="A7" s="4" t="s">
        <v>3</v>
      </c>
      <c r="B7" s="4" t="s">
        <v>4</v>
      </c>
    </row>
    <row r="8" spans="1:6" ht="15" customHeight="1" x14ac:dyDescent="0.25">
      <c r="A8" s="2" t="s">
        <v>5</v>
      </c>
      <c r="B8" s="3" t="s">
        <v>6</v>
      </c>
    </row>
    <row r="9" spans="1:6" ht="15" customHeight="1" x14ac:dyDescent="0.25">
      <c r="A9" s="2" t="s">
        <v>7</v>
      </c>
      <c r="B9" s="3" t="s">
        <v>8</v>
      </c>
    </row>
    <row r="10" spans="1:6" ht="15" customHeight="1" x14ac:dyDescent="0.25">
      <c r="A10" s="2" t="s">
        <v>9</v>
      </c>
      <c r="B10" s="3" t="s">
        <v>10</v>
      </c>
    </row>
    <row r="11" spans="1:6" ht="15" customHeight="1" x14ac:dyDescent="0.25">
      <c r="A11" s="2" t="s">
        <v>11</v>
      </c>
      <c r="B11" s="3" t="s">
        <v>12</v>
      </c>
    </row>
    <row r="12" spans="1:6" ht="15" customHeight="1" x14ac:dyDescent="0.25">
      <c r="A12" s="2" t="s">
        <v>13</v>
      </c>
      <c r="B12" s="3" t="s">
        <v>14</v>
      </c>
    </row>
    <row r="13" spans="1:6" ht="15" customHeight="1" x14ac:dyDescent="0.25">
      <c r="A13" s="2" t="s">
        <v>15</v>
      </c>
      <c r="B13" s="3" t="s">
        <v>16</v>
      </c>
    </row>
    <row r="14" spans="1:6" ht="15" customHeight="1" x14ac:dyDescent="0.25">
      <c r="A14" s="2" t="s">
        <v>17</v>
      </c>
      <c r="B14" s="3" t="s">
        <v>18</v>
      </c>
    </row>
    <row r="15" spans="1:6" ht="15" customHeight="1" x14ac:dyDescent="0.25">
      <c r="A15" s="2" t="s">
        <v>19</v>
      </c>
      <c r="B15" s="3" t="s">
        <v>20</v>
      </c>
    </row>
    <row r="16" spans="1:6" ht="15" customHeight="1" x14ac:dyDescent="0.25">
      <c r="A16" s="2"/>
      <c r="B16" s="3"/>
    </row>
    <row r="17" spans="1:6" ht="15" customHeight="1" x14ac:dyDescent="0.25">
      <c r="A17" s="77" t="s">
        <v>21</v>
      </c>
      <c r="B17" s="77"/>
      <c r="C17" s="77"/>
      <c r="D17" s="77"/>
      <c r="E17" s="77"/>
      <c r="F17" s="77"/>
    </row>
    <row r="18" spans="1:6" ht="15" customHeight="1" x14ac:dyDescent="0.25">
      <c r="A18" s="4" t="s">
        <v>22</v>
      </c>
      <c r="B18" s="4" t="s">
        <v>23</v>
      </c>
    </row>
    <row r="19" spans="1:6" ht="15" customHeight="1" x14ac:dyDescent="0.25">
      <c r="A19" s="2" t="s">
        <v>24</v>
      </c>
      <c r="B19" s="3" t="s">
        <v>25</v>
      </c>
    </row>
    <row r="20" spans="1:6" ht="15" customHeight="1" x14ac:dyDescent="0.25">
      <c r="A20" s="2" t="s">
        <v>26</v>
      </c>
      <c r="B20" s="3" t="s">
        <v>27</v>
      </c>
    </row>
    <row r="21" spans="1:6" ht="15" customHeight="1" x14ac:dyDescent="0.25">
      <c r="A21" s="2" t="s">
        <v>28</v>
      </c>
      <c r="B21" s="3" t="s">
        <v>29</v>
      </c>
    </row>
    <row r="22" spans="1:6" ht="15" customHeight="1" x14ac:dyDescent="0.25">
      <c r="A22" s="2" t="s">
        <v>30</v>
      </c>
      <c r="B22" s="3" t="s">
        <v>31</v>
      </c>
    </row>
    <row r="23" spans="1:6" ht="15" customHeight="1" x14ac:dyDescent="0.25">
      <c r="A23" s="2"/>
      <c r="B23" s="3"/>
    </row>
    <row r="24" spans="1:6" ht="15" customHeight="1" x14ac:dyDescent="0.25">
      <c r="A24" s="77" t="s">
        <v>32</v>
      </c>
      <c r="B24" s="77"/>
      <c r="C24" s="77"/>
      <c r="D24" s="77"/>
      <c r="E24" s="77"/>
      <c r="F24" s="77"/>
    </row>
    <row r="25" spans="1:6" ht="15" customHeight="1" x14ac:dyDescent="0.25">
      <c r="A25" s="2" t="s">
        <v>33</v>
      </c>
      <c r="B25" s="3" t="s">
        <v>34</v>
      </c>
    </row>
    <row r="26" spans="1:6" ht="15" customHeight="1" x14ac:dyDescent="0.25">
      <c r="A26" s="2" t="s">
        <v>35</v>
      </c>
      <c r="B26" s="3" t="s">
        <v>36</v>
      </c>
    </row>
    <row r="27" spans="1:6" ht="15" customHeight="1" x14ac:dyDescent="0.25">
      <c r="A27" s="2" t="s">
        <v>37</v>
      </c>
      <c r="B27" s="3" t="s">
        <v>38</v>
      </c>
    </row>
    <row r="28" spans="1:6" ht="15" customHeight="1" x14ac:dyDescent="0.25">
      <c r="A28" s="2" t="s">
        <v>39</v>
      </c>
      <c r="B28" s="3" t="s">
        <v>40</v>
      </c>
    </row>
    <row r="29" spans="1:6" ht="15" customHeight="1" x14ac:dyDescent="0.25">
      <c r="A29" s="2" t="s">
        <v>41</v>
      </c>
      <c r="B29" s="3" t="s">
        <v>42</v>
      </c>
    </row>
    <row r="30" spans="1:6" ht="15" customHeight="1" x14ac:dyDescent="0.25">
      <c r="A30" s="2" t="s">
        <v>43</v>
      </c>
      <c r="B30" s="3" t="s">
        <v>44</v>
      </c>
    </row>
    <row r="31" spans="1:6" ht="15" customHeight="1" x14ac:dyDescent="0.25">
      <c r="A31" s="2" t="s">
        <v>45</v>
      </c>
      <c r="B31" s="3" t="s">
        <v>46</v>
      </c>
    </row>
    <row r="32" spans="1:6" ht="15" customHeight="1" x14ac:dyDescent="0.25">
      <c r="A32" s="2"/>
      <c r="B32" s="3"/>
    </row>
    <row r="33" spans="1:6" ht="15" customHeight="1" x14ac:dyDescent="0.25">
      <c r="A33" s="77" t="s">
        <v>47</v>
      </c>
      <c r="B33" s="77"/>
      <c r="C33" s="77"/>
      <c r="D33" s="77"/>
      <c r="E33" s="77"/>
      <c r="F33" s="77"/>
    </row>
    <row r="34" spans="1:6" ht="15" customHeight="1" x14ac:dyDescent="0.25">
      <c r="A34" s="2" t="s">
        <v>48</v>
      </c>
      <c r="B34" s="3" t="s">
        <v>49</v>
      </c>
    </row>
    <row r="35" spans="1:6" ht="15" customHeight="1" x14ac:dyDescent="0.25">
      <c r="A35" s="2" t="s">
        <v>48</v>
      </c>
      <c r="B35" s="3" t="s">
        <v>50</v>
      </c>
    </row>
    <row r="36" spans="1:6" ht="15" customHeight="1" x14ac:dyDescent="0.25">
      <c r="A36" s="2" t="s">
        <v>48</v>
      </c>
      <c r="B36" s="3" t="s">
        <v>51</v>
      </c>
    </row>
    <row r="37" spans="1:6" ht="15" customHeight="1" x14ac:dyDescent="0.25">
      <c r="A37" s="2" t="s">
        <v>48</v>
      </c>
      <c r="B37" s="3" t="s">
        <v>52</v>
      </c>
    </row>
    <row r="38" spans="1:6" ht="15" customHeight="1" x14ac:dyDescent="0.25">
      <c r="A38" s="2" t="s">
        <v>48</v>
      </c>
      <c r="B38" s="3" t="s">
        <v>53</v>
      </c>
    </row>
  </sheetData>
  <mergeCells count="6">
    <mergeCell ref="A33:F33"/>
    <mergeCell ref="A1:F1"/>
    <mergeCell ref="A2:F2"/>
    <mergeCell ref="A6:F6"/>
    <mergeCell ref="A17:F17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03"/>
  <sheetViews>
    <sheetView showGridLines="0" topLeftCell="Q3" zoomScaleNormal="100" workbookViewId="0">
      <pane ySplit="1" topLeftCell="A165" activePane="bottomLeft" state="frozen"/>
      <selection activeCell="A3" sqref="A3"/>
      <selection pane="bottomLeft" activeCell="Q183" sqref="A183:XFD183"/>
    </sheetView>
  </sheetViews>
  <sheetFormatPr baseColWidth="10" defaultColWidth="8.7109375" defaultRowHeight="15" x14ac:dyDescent="0.25"/>
  <cols>
    <col min="1" max="1" width="10.140625" bestFit="1" customWidth="1"/>
    <col min="2" max="2" width="27.5703125" bestFit="1" customWidth="1"/>
    <col min="3" max="3" width="7.140625" bestFit="1" customWidth="1"/>
    <col min="4" max="4" width="15.28515625" bestFit="1" customWidth="1"/>
    <col min="5" max="5" width="14.85546875" bestFit="1" customWidth="1"/>
    <col min="6" max="6" width="15.28515625" bestFit="1" customWidth="1"/>
    <col min="7" max="8" width="13.85546875" bestFit="1" customWidth="1"/>
    <col min="9" max="9" width="15.28515625" bestFit="1" customWidth="1"/>
    <col min="10" max="10" width="13.7109375" bestFit="1" customWidth="1"/>
    <col min="11" max="11" width="12.7109375" bestFit="1" customWidth="1"/>
    <col min="12" max="12" width="13.7109375" bestFit="1" customWidth="1"/>
    <col min="13" max="13" width="10.140625" bestFit="1" customWidth="1"/>
    <col min="14" max="14" width="9" bestFit="1" customWidth="1"/>
    <col min="15" max="15" width="13.7109375" bestFit="1" customWidth="1"/>
    <col min="16" max="17" width="15.28515625" bestFit="1" customWidth="1"/>
    <col min="18" max="18" width="13.7109375" bestFit="1" customWidth="1"/>
    <col min="19" max="19" width="10.140625" bestFit="1" customWidth="1"/>
    <col min="20" max="22" width="13.7109375" bestFit="1" customWidth="1"/>
    <col min="23" max="23" width="6.5703125" bestFit="1" customWidth="1"/>
    <col min="24" max="24" width="15.28515625" bestFit="1" customWidth="1"/>
    <col min="25" max="25" width="16.42578125" bestFit="1" customWidth="1"/>
    <col min="26" max="26" width="13.7109375" bestFit="1" customWidth="1"/>
    <col min="27" max="27" width="15.28515625" bestFit="1" customWidth="1"/>
    <col min="28" max="28" width="11.7109375" bestFit="1" customWidth="1"/>
    <col min="29" max="29" width="12.7109375" bestFit="1" customWidth="1"/>
    <col min="30" max="30" width="10.140625" bestFit="1" customWidth="1"/>
    <col min="31" max="31" width="11.7109375" bestFit="1" customWidth="1"/>
    <col min="32" max="32" width="12.7109375" bestFit="1" customWidth="1"/>
    <col min="33" max="34" width="15.28515625" bestFit="1" customWidth="1"/>
    <col min="35" max="35" width="16.42578125" bestFit="1" customWidth="1"/>
    <col min="36" max="36" width="15.28515625" bestFit="1" customWidth="1"/>
    <col min="37" max="37" width="22" customWidth="1"/>
  </cols>
  <sheetData>
    <row r="1" spans="1:37" ht="27.75" hidden="1" customHeight="1" x14ac:dyDescent="0.25">
      <c r="A1" s="72" t="s">
        <v>54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37" ht="21.75" hidden="1" customHeight="1" x14ac:dyDescent="0.25">
      <c r="A2" s="5" t="s">
        <v>55</v>
      </c>
      <c r="B2" s="5" t="s">
        <v>56</v>
      </c>
      <c r="C2" s="73" t="s">
        <v>57</v>
      </c>
      <c r="D2" s="73"/>
      <c r="E2" s="73"/>
      <c r="F2" s="73"/>
      <c r="G2" s="73"/>
      <c r="H2" s="73"/>
      <c r="I2" s="73"/>
      <c r="J2" s="74" t="s">
        <v>58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5" t="s">
        <v>59</v>
      </c>
      <c r="X2" s="75"/>
      <c r="Y2" s="75"/>
      <c r="Z2" s="75"/>
      <c r="AA2" s="75"/>
      <c r="AB2" s="75"/>
      <c r="AC2" s="75"/>
      <c r="AD2" s="75"/>
      <c r="AE2" s="75"/>
      <c r="AF2" s="1"/>
      <c r="AG2" s="76"/>
      <c r="AH2" s="76"/>
      <c r="AI2" s="76"/>
      <c r="AJ2" s="76"/>
    </row>
    <row r="3" spans="1:37" ht="36" customHeight="1" x14ac:dyDescent="0.25">
      <c r="A3" s="6" t="s">
        <v>60</v>
      </c>
      <c r="B3" s="6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  <c r="J3" s="8" t="s">
        <v>69</v>
      </c>
      <c r="K3" s="8" t="s">
        <v>70</v>
      </c>
      <c r="L3" s="8" t="s">
        <v>71</v>
      </c>
      <c r="M3" s="8" t="s">
        <v>72</v>
      </c>
      <c r="N3" s="8" t="s">
        <v>73</v>
      </c>
      <c r="O3" s="8" t="s">
        <v>74</v>
      </c>
      <c r="P3" s="8" t="s">
        <v>75</v>
      </c>
      <c r="Q3" s="8" t="s">
        <v>76</v>
      </c>
      <c r="R3" s="8" t="s">
        <v>77</v>
      </c>
      <c r="S3" s="8" t="s">
        <v>78</v>
      </c>
      <c r="T3" s="8" t="s">
        <v>79</v>
      </c>
      <c r="U3" s="8" t="s">
        <v>80</v>
      </c>
      <c r="V3" s="8" t="s">
        <v>81</v>
      </c>
      <c r="W3" s="9" t="s">
        <v>82</v>
      </c>
      <c r="X3" s="9" t="s">
        <v>83</v>
      </c>
      <c r="Y3" s="9" t="s">
        <v>84</v>
      </c>
      <c r="Z3" s="10" t="s">
        <v>85</v>
      </c>
      <c r="AA3" s="9" t="s">
        <v>86</v>
      </c>
      <c r="AB3" s="9" t="s">
        <v>87</v>
      </c>
      <c r="AC3" s="9" t="s">
        <v>88</v>
      </c>
      <c r="AD3" s="9" t="s">
        <v>89</v>
      </c>
      <c r="AE3" s="9" t="s">
        <v>90</v>
      </c>
      <c r="AF3" s="11" t="s">
        <v>91</v>
      </c>
      <c r="AG3" s="12" t="s">
        <v>92</v>
      </c>
      <c r="AH3" s="12" t="s">
        <v>93</v>
      </c>
      <c r="AI3" s="12" t="s">
        <v>94</v>
      </c>
      <c r="AJ3" s="12" t="s">
        <v>95</v>
      </c>
    </row>
    <row r="4" spans="1:37" ht="15.75" customHeight="1" x14ac:dyDescent="0.25">
      <c r="A4" s="13">
        <v>46029</v>
      </c>
      <c r="B4" s="63">
        <v>1463</v>
      </c>
      <c r="C4" s="14">
        <v>0</v>
      </c>
      <c r="D4" s="14">
        <v>147143953</v>
      </c>
      <c r="E4" s="14">
        <v>-17312000</v>
      </c>
      <c r="F4" s="14">
        <v>0</v>
      </c>
      <c r="G4" s="14">
        <v>5368000</v>
      </c>
      <c r="H4" s="14">
        <v>6913000</v>
      </c>
      <c r="I4" s="14">
        <v>984848664</v>
      </c>
      <c r="J4" s="14">
        <v>93118000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331346284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396177166</v>
      </c>
      <c r="Y4" s="14">
        <v>2543380519</v>
      </c>
      <c r="Z4" s="14">
        <v>220357000</v>
      </c>
      <c r="AA4" s="14">
        <v>4106866784</v>
      </c>
      <c r="AB4" s="63">
        <v>2600000</v>
      </c>
      <c r="AC4" s="63">
        <v>6975000</v>
      </c>
      <c r="AD4" s="63">
        <v>159934</v>
      </c>
      <c r="AE4" s="63">
        <v>2044803</v>
      </c>
      <c r="AF4" s="63">
        <v>6441928</v>
      </c>
      <c r="AG4" s="14">
        <v>4314967894</v>
      </c>
      <c r="AH4" s="14">
        <v>6208398504</v>
      </c>
      <c r="AI4" s="14">
        <v>4836302009</v>
      </c>
      <c r="AJ4" s="14">
        <v>1972327480</v>
      </c>
      <c r="AK4" s="15"/>
    </row>
    <row r="5" spans="1:37" ht="15.75" customHeight="1" x14ac:dyDescent="0.25">
      <c r="A5" s="13">
        <v>46030</v>
      </c>
      <c r="B5" s="63">
        <v>1469</v>
      </c>
      <c r="C5" s="14">
        <v>0</v>
      </c>
      <c r="D5" s="14">
        <v>147143953.16999999</v>
      </c>
      <c r="E5" s="14">
        <v>103831332</v>
      </c>
      <c r="F5" s="14">
        <v>0</v>
      </c>
      <c r="G5" s="14">
        <v>24804817.870000001</v>
      </c>
      <c r="H5" s="14">
        <v>3794000</v>
      </c>
      <c r="I5" s="14">
        <v>1127668632</v>
      </c>
      <c r="J5" s="14">
        <v>98556000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366732120</v>
      </c>
      <c r="Q5" s="14">
        <v>3010892.09</v>
      </c>
      <c r="R5" s="14">
        <v>0</v>
      </c>
      <c r="S5" s="14">
        <v>0</v>
      </c>
      <c r="T5" s="14">
        <v>45929347</v>
      </c>
      <c r="U5" s="14">
        <v>0</v>
      </c>
      <c r="V5" s="14">
        <v>0</v>
      </c>
      <c r="W5" s="14">
        <v>0</v>
      </c>
      <c r="X5" s="14">
        <v>343083825.89999998</v>
      </c>
      <c r="Y5" s="14">
        <v>2493689353</v>
      </c>
      <c r="Z5" s="14">
        <v>220357000</v>
      </c>
      <c r="AA5" s="14">
        <v>4094188807</v>
      </c>
      <c r="AB5" s="63">
        <v>2600000</v>
      </c>
      <c r="AC5" s="63">
        <v>6975000</v>
      </c>
      <c r="AD5" s="63">
        <v>159934</v>
      </c>
      <c r="AE5" s="63">
        <v>2044803</v>
      </c>
      <c r="AF5" s="63">
        <v>6480455</v>
      </c>
      <c r="AG5" s="14">
        <v>4314967894</v>
      </c>
      <c r="AH5" s="14">
        <v>6110180635</v>
      </c>
      <c r="AI5" s="14">
        <v>4816967051</v>
      </c>
      <c r="AJ5" s="14">
        <v>422641035</v>
      </c>
      <c r="AK5" s="15"/>
    </row>
    <row r="6" spans="1:37" ht="15.75" customHeight="1" x14ac:dyDescent="0.25">
      <c r="A6" s="13">
        <v>46031</v>
      </c>
      <c r="B6" s="63">
        <v>1455</v>
      </c>
      <c r="C6" s="14">
        <v>0</v>
      </c>
      <c r="D6" s="14">
        <v>102302314</v>
      </c>
      <c r="E6" s="14">
        <v>63095000</v>
      </c>
      <c r="F6" s="14">
        <v>0</v>
      </c>
      <c r="G6" s="14">
        <v>14747000</v>
      </c>
      <c r="H6" s="14">
        <v>12301000</v>
      </c>
      <c r="I6" s="14">
        <v>996009122</v>
      </c>
      <c r="J6" s="14">
        <v>2347817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126421132</v>
      </c>
      <c r="Q6" s="14">
        <v>7044405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506350251.04000002</v>
      </c>
      <c r="Y6" s="14">
        <v>1113182008</v>
      </c>
      <c r="Z6" s="14">
        <v>220357000</v>
      </c>
      <c r="AA6" s="14">
        <v>4182158189</v>
      </c>
      <c r="AB6" s="63">
        <v>2600000</v>
      </c>
      <c r="AC6" s="63">
        <v>6975000</v>
      </c>
      <c r="AD6" s="63">
        <v>159934</v>
      </c>
      <c r="AE6" s="63">
        <v>2044803</v>
      </c>
      <c r="AF6" s="63">
        <v>7740751.1799999997</v>
      </c>
      <c r="AG6" s="14">
        <v>4314967894</v>
      </c>
      <c r="AH6" s="14">
        <v>5581783035</v>
      </c>
      <c r="AI6" s="14">
        <v>4658234880</v>
      </c>
      <c r="AJ6" s="14">
        <v>422947645</v>
      </c>
      <c r="AK6" s="15"/>
    </row>
    <row r="7" spans="1:37" ht="15.75" customHeight="1" x14ac:dyDescent="0.25">
      <c r="A7" s="13">
        <v>46034</v>
      </c>
      <c r="B7" s="63">
        <v>1465.5</v>
      </c>
      <c r="C7" s="14">
        <v>0</v>
      </c>
      <c r="D7" s="14">
        <v>191195891.53999999</v>
      </c>
      <c r="E7" s="14">
        <v>19902000</v>
      </c>
      <c r="F7" s="14">
        <v>0</v>
      </c>
      <c r="G7" s="14">
        <v>1103000</v>
      </c>
      <c r="H7" s="14">
        <v>309000</v>
      </c>
      <c r="I7" s="14">
        <v>1129839976</v>
      </c>
      <c r="J7" s="14">
        <v>38460000</v>
      </c>
      <c r="K7" s="14">
        <v>0</v>
      </c>
      <c r="L7" s="14">
        <v>23625223</v>
      </c>
      <c r="M7" s="14">
        <v>0</v>
      </c>
      <c r="N7" s="14">
        <v>0</v>
      </c>
      <c r="O7" s="14">
        <v>0</v>
      </c>
      <c r="P7" s="14">
        <v>109006535</v>
      </c>
      <c r="Q7" s="14">
        <v>224149787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717079149</v>
      </c>
      <c r="Y7" s="14">
        <v>944499841</v>
      </c>
      <c r="Z7" s="14">
        <v>220357000</v>
      </c>
      <c r="AA7" s="14">
        <v>4087351389</v>
      </c>
      <c r="AB7" s="63">
        <v>2600000</v>
      </c>
      <c r="AC7" s="63">
        <v>6975000</v>
      </c>
      <c r="AD7" s="63">
        <v>159934</v>
      </c>
      <c r="AE7" s="63">
        <v>2344803</v>
      </c>
      <c r="AF7" s="63">
        <v>8315409</v>
      </c>
      <c r="AG7" s="14">
        <v>4314967894</v>
      </c>
      <c r="AH7" s="14">
        <v>4486855402.5</v>
      </c>
      <c r="AI7" s="14">
        <v>4988005110</v>
      </c>
      <c r="AJ7" s="14">
        <v>423827578</v>
      </c>
      <c r="AK7" s="15"/>
    </row>
    <row r="8" spans="1:37" ht="15.75" customHeight="1" x14ac:dyDescent="0.25">
      <c r="A8" s="13">
        <v>46035</v>
      </c>
      <c r="B8" s="63">
        <v>1462</v>
      </c>
      <c r="C8" s="14">
        <v>0</v>
      </c>
      <c r="D8" s="14">
        <v>191195891</v>
      </c>
      <c r="E8" s="14">
        <v>41915000</v>
      </c>
      <c r="F8" s="14">
        <v>0</v>
      </c>
      <c r="G8" s="14">
        <v>15637889</v>
      </c>
      <c r="H8" s="14">
        <v>0</v>
      </c>
      <c r="I8" s="14">
        <v>1129839976</v>
      </c>
      <c r="J8" s="14">
        <v>167756834</v>
      </c>
      <c r="K8" s="14">
        <v>0</v>
      </c>
      <c r="L8" s="14">
        <v>39116189</v>
      </c>
      <c r="M8" s="14">
        <v>0</v>
      </c>
      <c r="N8" s="14">
        <v>0</v>
      </c>
      <c r="O8" s="14">
        <v>0</v>
      </c>
      <c r="P8" s="14">
        <v>15121860</v>
      </c>
      <c r="Q8" s="14">
        <v>180946598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828454859</v>
      </c>
      <c r="Y8" s="14">
        <v>705798673</v>
      </c>
      <c r="Z8" s="14">
        <v>220357000</v>
      </c>
      <c r="AA8" s="14">
        <v>3882411723</v>
      </c>
      <c r="AB8" s="63">
        <v>2600000</v>
      </c>
      <c r="AC8" s="63">
        <v>6975000</v>
      </c>
      <c r="AD8" s="63">
        <v>159934</v>
      </c>
      <c r="AE8" s="63">
        <v>2344803</v>
      </c>
      <c r="AF8" s="63">
        <v>8965227.4900000002</v>
      </c>
      <c r="AG8" s="14">
        <v>4314967894</v>
      </c>
      <c r="AH8" s="14">
        <v>4284443632</v>
      </c>
      <c r="AI8" s="14">
        <v>4713813455.8199997</v>
      </c>
      <c r="AJ8" s="14">
        <v>424124427</v>
      </c>
      <c r="AK8" s="15"/>
    </row>
    <row r="9" spans="1:37" ht="15.75" customHeight="1" x14ac:dyDescent="0.25">
      <c r="A9" s="13">
        <v>46036</v>
      </c>
      <c r="B9" s="63">
        <v>1464.5</v>
      </c>
      <c r="C9" s="14">
        <v>0</v>
      </c>
      <c r="D9" s="14">
        <v>62480863.369999997</v>
      </c>
      <c r="E9" s="14">
        <v>60536771</v>
      </c>
      <c r="F9" s="14">
        <v>0</v>
      </c>
      <c r="G9" s="14">
        <v>25159457</v>
      </c>
      <c r="H9" s="14">
        <v>0</v>
      </c>
      <c r="I9" s="14">
        <v>1143603954</v>
      </c>
      <c r="J9" s="14">
        <v>170000000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183177718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938129312</v>
      </c>
      <c r="Y9" s="14">
        <v>569683193</v>
      </c>
      <c r="Z9" s="14">
        <v>220357000</v>
      </c>
      <c r="AA9" s="14">
        <v>3764632228</v>
      </c>
      <c r="AB9" s="63">
        <v>2600000</v>
      </c>
      <c r="AC9" s="63">
        <v>6975000</v>
      </c>
      <c r="AD9" s="63">
        <v>159934</v>
      </c>
      <c r="AE9" s="63">
        <v>2344803</v>
      </c>
      <c r="AF9" s="63">
        <v>8783530.5700000003</v>
      </c>
      <c r="AG9" s="14">
        <v>4314967894</v>
      </c>
      <c r="AH9" s="14">
        <v>4092690235.5</v>
      </c>
      <c r="AI9" s="14">
        <v>4672764040.5</v>
      </c>
      <c r="AJ9" s="14">
        <v>424459423</v>
      </c>
      <c r="AK9" s="16"/>
    </row>
    <row r="10" spans="1:37" ht="15.75" customHeight="1" x14ac:dyDescent="0.25">
      <c r="A10" s="13">
        <v>46037</v>
      </c>
      <c r="B10" s="63">
        <v>1450</v>
      </c>
      <c r="C10" s="14">
        <v>0</v>
      </c>
      <c r="D10" s="14">
        <v>62480863.369999997</v>
      </c>
      <c r="E10" s="14">
        <v>74751000</v>
      </c>
      <c r="F10" s="14">
        <v>0</v>
      </c>
      <c r="G10" s="14">
        <v>9758000</v>
      </c>
      <c r="H10" s="14">
        <v>0</v>
      </c>
      <c r="I10" s="14">
        <v>1214275683</v>
      </c>
      <c r="J10" s="14">
        <v>276864200</v>
      </c>
      <c r="K10" s="14">
        <v>0</v>
      </c>
      <c r="L10" s="14">
        <v>1009800</v>
      </c>
      <c r="M10" s="14">
        <v>0</v>
      </c>
      <c r="N10" s="14">
        <v>0</v>
      </c>
      <c r="O10" s="14">
        <v>0</v>
      </c>
      <c r="P10" s="14">
        <v>0</v>
      </c>
      <c r="Q10" s="14">
        <v>10591253.68</v>
      </c>
      <c r="R10" s="14">
        <v>0</v>
      </c>
      <c r="S10" s="14">
        <v>0</v>
      </c>
      <c r="T10" s="14">
        <v>0</v>
      </c>
      <c r="U10" s="14">
        <v>194000000</v>
      </c>
      <c r="V10" s="14">
        <v>0</v>
      </c>
      <c r="W10" s="14">
        <v>0</v>
      </c>
      <c r="X10" s="14">
        <v>764830293.83000004</v>
      </c>
      <c r="Y10" s="14">
        <v>604673438</v>
      </c>
      <c r="Z10" s="14">
        <v>220357000</v>
      </c>
      <c r="AA10" s="14">
        <v>3766894667</v>
      </c>
      <c r="AB10" s="63">
        <v>2600000</v>
      </c>
      <c r="AC10" s="63">
        <v>6975000</v>
      </c>
      <c r="AD10" s="63">
        <v>159934</v>
      </c>
      <c r="AE10" s="63">
        <v>2344803</v>
      </c>
      <c r="AF10" s="63">
        <v>8886136.3100000005</v>
      </c>
      <c r="AG10" s="14">
        <v>4314967894</v>
      </c>
      <c r="AH10" s="14">
        <v>4231934388</v>
      </c>
      <c r="AI10" s="14">
        <v>4759593100</v>
      </c>
      <c r="AJ10" s="14">
        <v>194610289.44</v>
      </c>
      <c r="AK10" s="16"/>
    </row>
    <row r="11" spans="1:37" ht="15.75" customHeight="1" x14ac:dyDescent="0.25">
      <c r="A11" s="13">
        <v>46038</v>
      </c>
      <c r="B11" s="63">
        <v>1440</v>
      </c>
      <c r="C11" s="14">
        <v>0</v>
      </c>
      <c r="D11" s="14">
        <v>170748138</v>
      </c>
      <c r="E11" s="14">
        <v>164880000</v>
      </c>
      <c r="F11" s="14">
        <v>0</v>
      </c>
      <c r="G11" s="14">
        <v>-3450000</v>
      </c>
      <c r="H11" s="14">
        <v>0</v>
      </c>
      <c r="I11" s="14">
        <v>1096607000</v>
      </c>
      <c r="J11" s="14">
        <v>180913832.91999999</v>
      </c>
      <c r="K11" s="14">
        <v>0</v>
      </c>
      <c r="L11" s="14">
        <v>2919605</v>
      </c>
      <c r="M11" s="14">
        <v>0</v>
      </c>
      <c r="N11" s="14">
        <v>0</v>
      </c>
      <c r="O11" s="14">
        <v>0</v>
      </c>
      <c r="P11" s="14">
        <v>7054822</v>
      </c>
      <c r="Q11" s="14">
        <v>3191483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995710009</v>
      </c>
      <c r="Y11" s="14">
        <v>487074663</v>
      </c>
      <c r="Z11" s="14">
        <v>220357000</v>
      </c>
      <c r="AA11" s="14">
        <v>3172758684</v>
      </c>
      <c r="AB11" s="63">
        <v>2600000</v>
      </c>
      <c r="AC11" s="63">
        <v>6975000</v>
      </c>
      <c r="AD11" s="63">
        <v>159934</v>
      </c>
      <c r="AE11" s="63">
        <v>2344803</v>
      </c>
      <c r="AF11" s="63">
        <v>9582201.909</v>
      </c>
      <c r="AG11" s="14">
        <v>4314967894</v>
      </c>
      <c r="AH11" s="14">
        <v>4073068713.5999999</v>
      </c>
      <c r="AI11" s="14">
        <v>4577526720</v>
      </c>
      <c r="AJ11" s="14">
        <v>611311.32999999996</v>
      </c>
      <c r="AK11" s="16"/>
    </row>
    <row r="12" spans="1:37" ht="15.75" customHeight="1" x14ac:dyDescent="0.25">
      <c r="A12" s="13">
        <v>46041</v>
      </c>
      <c r="B12" s="63">
        <v>1428</v>
      </c>
      <c r="C12" s="14">
        <v>0</v>
      </c>
      <c r="D12" s="14">
        <v>170748138</v>
      </c>
      <c r="E12" s="14">
        <v>176500595</v>
      </c>
      <c r="F12" s="14">
        <v>0</v>
      </c>
      <c r="G12" s="14">
        <v>9812921</v>
      </c>
      <c r="H12" s="14">
        <v>0</v>
      </c>
      <c r="I12" s="14">
        <v>1098875342</v>
      </c>
      <c r="J12" s="14">
        <v>93270575</v>
      </c>
      <c r="K12" s="14">
        <v>0</v>
      </c>
      <c r="L12" s="14">
        <v>30686642</v>
      </c>
      <c r="M12" s="14">
        <v>0</v>
      </c>
      <c r="N12" s="14">
        <v>0</v>
      </c>
      <c r="O12" s="14">
        <v>0</v>
      </c>
      <c r="P12" s="14">
        <v>0</v>
      </c>
      <c r="Q12" s="14">
        <v>2786622</v>
      </c>
      <c r="R12" s="14">
        <v>106064322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727601822</v>
      </c>
      <c r="Y12" s="14">
        <v>55545741</v>
      </c>
      <c r="Z12" s="14">
        <v>220357000</v>
      </c>
      <c r="AA12" s="14">
        <v>3286079509</v>
      </c>
      <c r="AB12" s="63">
        <v>2600000</v>
      </c>
      <c r="AC12" s="63">
        <v>6975000</v>
      </c>
      <c r="AD12" s="63">
        <v>159934</v>
      </c>
      <c r="AE12" s="63">
        <v>2194803</v>
      </c>
      <c r="AF12" s="63">
        <v>10991009.26</v>
      </c>
      <c r="AG12" s="14">
        <v>4314967894</v>
      </c>
      <c r="AH12" s="14">
        <v>3619803342.1199999</v>
      </c>
      <c r="AI12" s="14">
        <v>4647360312</v>
      </c>
      <c r="AJ12" s="14">
        <v>612693</v>
      </c>
      <c r="AK12" s="16"/>
    </row>
    <row r="13" spans="1:37" ht="15.75" customHeight="1" x14ac:dyDescent="0.25">
      <c r="A13" s="13">
        <v>46042</v>
      </c>
      <c r="B13" s="63">
        <v>1428.5</v>
      </c>
      <c r="C13" s="14">
        <v>0</v>
      </c>
      <c r="D13" s="14">
        <v>138310839.40000001</v>
      </c>
      <c r="E13" s="14">
        <v>73444051</v>
      </c>
      <c r="F13" s="14">
        <v>0</v>
      </c>
      <c r="G13" s="14">
        <v>15092051</v>
      </c>
      <c r="H13" s="14">
        <v>0</v>
      </c>
      <c r="I13" s="14">
        <v>1039256943</v>
      </c>
      <c r="J13" s="14">
        <v>173300000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157286696</v>
      </c>
      <c r="R13" s="14">
        <v>0</v>
      </c>
      <c r="S13" s="14">
        <v>0</v>
      </c>
      <c r="T13" s="14">
        <v>0</v>
      </c>
      <c r="U13" s="14">
        <v>180000000</v>
      </c>
      <c r="V13" s="14">
        <v>0</v>
      </c>
      <c r="W13" s="14">
        <v>0</v>
      </c>
      <c r="X13" s="14">
        <v>763073132</v>
      </c>
      <c r="Y13" s="14">
        <v>801275230</v>
      </c>
      <c r="Z13" s="14">
        <v>220357000</v>
      </c>
      <c r="AA13" s="14">
        <v>3243064886.5</v>
      </c>
      <c r="AB13" s="63">
        <v>2600000</v>
      </c>
      <c r="AC13" s="63">
        <v>6975000</v>
      </c>
      <c r="AD13" s="63">
        <v>159934</v>
      </c>
      <c r="AE13" s="63">
        <v>2194803</v>
      </c>
      <c r="AF13" s="63">
        <v>11490332.2655</v>
      </c>
      <c r="AG13" s="14">
        <v>4314967894</v>
      </c>
      <c r="AH13" s="14">
        <v>3552467067.7649999</v>
      </c>
      <c r="AI13" s="14">
        <v>4648987539</v>
      </c>
      <c r="AJ13" s="14">
        <v>613144.98</v>
      </c>
      <c r="AK13" s="16"/>
    </row>
    <row r="14" spans="1:37" ht="15.75" customHeight="1" x14ac:dyDescent="0.25">
      <c r="A14" s="13">
        <v>46043</v>
      </c>
      <c r="B14" s="63">
        <v>1432</v>
      </c>
      <c r="C14" s="14">
        <v>0</v>
      </c>
      <c r="D14" s="14">
        <v>114890681.03</v>
      </c>
      <c r="E14" s="14">
        <v>84544428.829999998</v>
      </c>
      <c r="F14" s="14">
        <v>0</v>
      </c>
      <c r="G14" s="14">
        <v>8979855</v>
      </c>
      <c r="H14" s="14">
        <v>0</v>
      </c>
      <c r="I14" s="14">
        <v>1039256943</v>
      </c>
      <c r="J14" s="14">
        <v>107253172</v>
      </c>
      <c r="K14" s="14">
        <v>0</v>
      </c>
      <c r="L14" s="14">
        <v>27735508</v>
      </c>
      <c r="M14" s="14">
        <v>0</v>
      </c>
      <c r="N14" s="14">
        <v>0</v>
      </c>
      <c r="O14" s="14">
        <v>43586760</v>
      </c>
      <c r="P14" s="14">
        <v>144447864</v>
      </c>
      <c r="Q14" s="14">
        <v>37176621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759957476</v>
      </c>
      <c r="Y14" s="14">
        <v>624555549</v>
      </c>
      <c r="Z14" s="14">
        <v>220357000</v>
      </c>
      <c r="AA14" s="14">
        <v>3592955206</v>
      </c>
      <c r="AB14" s="63">
        <v>2600000</v>
      </c>
      <c r="AC14" s="63">
        <v>6975000</v>
      </c>
      <c r="AD14" s="63">
        <v>159934</v>
      </c>
      <c r="AE14" s="63">
        <v>2194803</v>
      </c>
      <c r="AF14" s="63">
        <v>12252881</v>
      </c>
      <c r="AG14" s="14">
        <v>4314967894</v>
      </c>
      <c r="AH14" s="14">
        <v>3574347452.0799999</v>
      </c>
      <c r="AI14" s="14">
        <v>4087129912</v>
      </c>
      <c r="AJ14" s="14">
        <v>613592.34</v>
      </c>
      <c r="AK14" s="16"/>
    </row>
    <row r="15" spans="1:37" ht="15.75" customHeight="1" x14ac:dyDescent="0.25">
      <c r="A15" s="13">
        <v>46044</v>
      </c>
      <c r="B15" s="63">
        <v>1427</v>
      </c>
      <c r="C15" s="14">
        <v>0</v>
      </c>
      <c r="D15" s="14">
        <v>61294019</v>
      </c>
      <c r="E15" s="14">
        <v>404952346.39999998</v>
      </c>
      <c r="F15" s="14">
        <v>0</v>
      </c>
      <c r="G15" s="14">
        <v>8492957.3100000005</v>
      </c>
      <c r="H15" s="14">
        <v>4032000</v>
      </c>
      <c r="I15" s="14">
        <v>1039256943</v>
      </c>
      <c r="J15" s="14">
        <v>133501600</v>
      </c>
      <c r="K15" s="14">
        <v>0</v>
      </c>
      <c r="L15" s="14">
        <v>80264892</v>
      </c>
      <c r="M15" s="14">
        <v>0</v>
      </c>
      <c r="N15" s="14">
        <v>0</v>
      </c>
      <c r="O15" s="14">
        <v>0</v>
      </c>
      <c r="P15" s="14">
        <v>19105502</v>
      </c>
      <c r="Q15" s="14">
        <v>1046236</v>
      </c>
      <c r="R15" s="14">
        <v>176000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685317771.53999996</v>
      </c>
      <c r="Y15" s="14">
        <v>570093319</v>
      </c>
      <c r="Z15" s="14">
        <v>220357000</v>
      </c>
      <c r="AA15" s="14">
        <v>3508883840.3200002</v>
      </c>
      <c r="AB15" s="63">
        <v>2600000</v>
      </c>
      <c r="AC15" s="63">
        <v>6975000</v>
      </c>
      <c r="AD15" s="63">
        <v>159934</v>
      </c>
      <c r="AE15" s="63">
        <v>2194803</v>
      </c>
      <c r="AF15" s="63">
        <v>12482991</v>
      </c>
      <c r="AG15" s="14">
        <v>4314967894</v>
      </c>
      <c r="AH15" s="14">
        <v>3428136169.0300002</v>
      </c>
      <c r="AI15" s="14">
        <v>4072859207</v>
      </c>
      <c r="AJ15" s="14">
        <v>614057</v>
      </c>
      <c r="AK15" s="16"/>
    </row>
    <row r="16" spans="1:37" ht="15.75" customHeight="1" x14ac:dyDescent="0.25">
      <c r="A16" s="13">
        <v>46045</v>
      </c>
      <c r="B16" s="63">
        <v>1421</v>
      </c>
      <c r="C16" s="14">
        <v>0</v>
      </c>
      <c r="D16" s="14">
        <v>61294019</v>
      </c>
      <c r="E16" s="14">
        <v>152245000</v>
      </c>
      <c r="F16" s="14">
        <v>0</v>
      </c>
      <c r="G16" s="14">
        <v>107905000</v>
      </c>
      <c r="H16" s="14">
        <v>4032000</v>
      </c>
      <c r="I16" s="14">
        <v>1259696842</v>
      </c>
      <c r="J16" s="14">
        <v>102950586</v>
      </c>
      <c r="K16" s="14">
        <v>0</v>
      </c>
      <c r="L16" s="14">
        <v>0</v>
      </c>
      <c r="M16" s="14">
        <v>0</v>
      </c>
      <c r="N16" s="14">
        <v>0</v>
      </c>
      <c r="O16" s="14">
        <v>1110780</v>
      </c>
      <c r="P16" s="14">
        <v>5821979</v>
      </c>
      <c r="Q16" s="14">
        <v>99080826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1060139595</v>
      </c>
      <c r="Y16" s="14">
        <v>481474496</v>
      </c>
      <c r="Z16" s="14">
        <v>220357000</v>
      </c>
      <c r="AA16" s="14">
        <v>2923682435.5799999</v>
      </c>
      <c r="AB16" s="63">
        <v>2600000</v>
      </c>
      <c r="AC16" s="63">
        <v>6975000</v>
      </c>
      <c r="AD16" s="63">
        <v>159934</v>
      </c>
      <c r="AE16" s="63">
        <v>2194803</v>
      </c>
      <c r="AF16" s="63">
        <v>13171481</v>
      </c>
      <c r="AG16" s="14">
        <v>4314967894</v>
      </c>
      <c r="AH16" s="14">
        <v>3568680927</v>
      </c>
      <c r="AI16" s="14">
        <v>3804214519</v>
      </c>
      <c r="AJ16" s="14">
        <v>614524</v>
      </c>
      <c r="AK16" s="16"/>
    </row>
    <row r="17" spans="1:37" ht="15.75" customHeight="1" x14ac:dyDescent="0.25">
      <c r="A17" s="13">
        <v>46048</v>
      </c>
      <c r="B17" s="63">
        <v>1428</v>
      </c>
      <c r="C17" s="14">
        <v>0</v>
      </c>
      <c r="D17" s="14">
        <v>16846129</v>
      </c>
      <c r="E17" s="14">
        <v>7882910.9100000001</v>
      </c>
      <c r="F17" s="14">
        <v>0</v>
      </c>
      <c r="G17" s="14">
        <v>7362455.4299999997</v>
      </c>
      <c r="H17" s="14">
        <v>2143000</v>
      </c>
      <c r="I17" s="14">
        <v>1197683340</v>
      </c>
      <c r="J17" s="14">
        <v>135016848.68000001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5000000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808925046</v>
      </c>
      <c r="Y17" s="14">
        <v>661985561</v>
      </c>
      <c r="Z17" s="14">
        <v>220357000</v>
      </c>
      <c r="AA17" s="14">
        <v>2946289434.0999999</v>
      </c>
      <c r="AB17" s="63">
        <v>2600000</v>
      </c>
      <c r="AC17" s="63">
        <v>6975000</v>
      </c>
      <c r="AD17" s="63">
        <v>159934</v>
      </c>
      <c r="AE17" s="63">
        <v>2194803</v>
      </c>
      <c r="AF17" s="63">
        <v>14450695</v>
      </c>
      <c r="AG17" s="14">
        <v>4314967894</v>
      </c>
      <c r="AH17" s="14">
        <v>3377708932.9200001</v>
      </c>
      <c r="AI17" s="14">
        <v>3808674492</v>
      </c>
      <c r="AJ17" s="14">
        <v>615840</v>
      </c>
      <c r="AK17" s="16"/>
    </row>
    <row r="18" spans="1:37" ht="15.75" customHeight="1" x14ac:dyDescent="0.25">
      <c r="A18" s="13">
        <v>46049</v>
      </c>
      <c r="B18" s="63">
        <v>1435</v>
      </c>
      <c r="C18" s="14">
        <v>0</v>
      </c>
      <c r="D18" s="14">
        <v>21598493.559999999</v>
      </c>
      <c r="E18" s="14">
        <v>63357361.978</v>
      </c>
      <c r="F18" s="14">
        <v>0</v>
      </c>
      <c r="G18" s="14">
        <v>7831332.1200000001</v>
      </c>
      <c r="H18" s="14">
        <v>2143000</v>
      </c>
      <c r="I18" s="14">
        <v>1192572236</v>
      </c>
      <c r="J18" s="14">
        <v>194500000</v>
      </c>
      <c r="K18" s="14">
        <v>0</v>
      </c>
      <c r="L18" s="14">
        <v>9187620</v>
      </c>
      <c r="M18" s="14">
        <v>0</v>
      </c>
      <c r="N18" s="14">
        <v>0</v>
      </c>
      <c r="O18" s="14">
        <v>0</v>
      </c>
      <c r="P18" s="14">
        <v>0</v>
      </c>
      <c r="Q18" s="14">
        <v>3600000</v>
      </c>
      <c r="R18" s="14">
        <v>0</v>
      </c>
      <c r="S18" s="14">
        <v>0</v>
      </c>
      <c r="T18" s="14">
        <v>14506818</v>
      </c>
      <c r="U18" s="14">
        <v>110000000</v>
      </c>
      <c r="V18" s="14">
        <v>0</v>
      </c>
      <c r="W18" s="14">
        <v>0</v>
      </c>
      <c r="X18" s="14">
        <v>1366580164</v>
      </c>
      <c r="Y18" s="14">
        <v>625397941</v>
      </c>
      <c r="Z18" s="14">
        <v>220357000</v>
      </c>
      <c r="AA18" s="14">
        <v>2348072514</v>
      </c>
      <c r="AB18" s="63">
        <v>2600000</v>
      </c>
      <c r="AC18" s="63">
        <v>8975000</v>
      </c>
      <c r="AD18" s="63">
        <v>159934</v>
      </c>
      <c r="AE18" s="63">
        <v>2194803</v>
      </c>
      <c r="AF18" s="63">
        <v>14131936</v>
      </c>
      <c r="AG18" s="14">
        <v>4314967894</v>
      </c>
      <c r="AH18" s="14">
        <v>3131216981.9000001</v>
      </c>
      <c r="AI18" s="14">
        <v>3827344465</v>
      </c>
      <c r="AJ18" s="14">
        <v>2822528351.6399999</v>
      </c>
      <c r="AK18" s="16"/>
    </row>
    <row r="19" spans="1:37" ht="15.75" customHeight="1" x14ac:dyDescent="0.25">
      <c r="A19" s="13">
        <v>46050</v>
      </c>
      <c r="B19" s="63">
        <v>1437</v>
      </c>
      <c r="C19" s="14">
        <v>0</v>
      </c>
      <c r="D19" s="14">
        <v>223072014.13999999</v>
      </c>
      <c r="E19" s="14">
        <v>98803000</v>
      </c>
      <c r="F19" s="14">
        <v>0</v>
      </c>
      <c r="G19" s="14">
        <v>7648485.5599999996</v>
      </c>
      <c r="H19" s="14">
        <v>2143000</v>
      </c>
      <c r="I19" s="14">
        <v>985649251.25999999</v>
      </c>
      <c r="J19" s="14">
        <v>129244842</v>
      </c>
      <c r="K19" s="14">
        <v>0</v>
      </c>
      <c r="L19" s="14">
        <v>33343638</v>
      </c>
      <c r="M19" s="14">
        <v>0</v>
      </c>
      <c r="N19" s="14">
        <v>0</v>
      </c>
      <c r="O19" s="14">
        <v>0</v>
      </c>
      <c r="P19" s="14">
        <v>0</v>
      </c>
      <c r="Q19" s="14">
        <v>50977092</v>
      </c>
      <c r="R19" s="14">
        <v>0</v>
      </c>
      <c r="S19" s="14">
        <v>0</v>
      </c>
      <c r="T19" s="14">
        <v>3864000</v>
      </c>
      <c r="U19" s="14">
        <v>0</v>
      </c>
      <c r="V19" s="14">
        <v>0</v>
      </c>
      <c r="W19" s="14">
        <v>0</v>
      </c>
      <c r="X19" s="14">
        <v>1292174715.8800001</v>
      </c>
      <c r="Y19" s="14">
        <v>697178747</v>
      </c>
      <c r="Z19" s="14">
        <v>220357000</v>
      </c>
      <c r="AA19" s="14">
        <v>2785575928</v>
      </c>
      <c r="AB19" s="63">
        <v>2600000</v>
      </c>
      <c r="AC19" s="63">
        <v>7975000</v>
      </c>
      <c r="AD19" s="63">
        <v>159934</v>
      </c>
      <c r="AE19" s="63">
        <v>2194803</v>
      </c>
      <c r="AF19" s="63">
        <v>14827729</v>
      </c>
      <c r="AG19" s="14">
        <v>4314967894</v>
      </c>
      <c r="AH19" s="14">
        <v>2799280311</v>
      </c>
      <c r="AI19" s="14">
        <v>4226717076</v>
      </c>
      <c r="AJ19" s="14">
        <v>1487066027.5899999</v>
      </c>
      <c r="AK19" s="16"/>
    </row>
    <row r="20" spans="1:37" ht="15.75" customHeight="1" x14ac:dyDescent="0.25">
      <c r="A20" s="13">
        <v>46051</v>
      </c>
      <c r="B20" s="63">
        <v>1437</v>
      </c>
      <c r="C20" s="14">
        <v>0</v>
      </c>
      <c r="D20" s="14">
        <v>223072014.13999999</v>
      </c>
      <c r="E20" s="14">
        <v>33207000</v>
      </c>
      <c r="F20" s="14">
        <v>0</v>
      </c>
      <c r="G20" s="14">
        <v>7613526.4500000002</v>
      </c>
      <c r="H20" s="14">
        <v>2143000</v>
      </c>
      <c r="I20" s="14">
        <v>964224603.60000002</v>
      </c>
      <c r="J20" s="14">
        <v>73947517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17000000</v>
      </c>
      <c r="R20" s="14">
        <v>260000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1094847541</v>
      </c>
      <c r="Y20" s="14">
        <v>690113410</v>
      </c>
      <c r="Z20" s="14">
        <v>220357000</v>
      </c>
      <c r="AA20" s="14">
        <v>2876937776.6199999</v>
      </c>
      <c r="AB20" s="63">
        <v>2600000</v>
      </c>
      <c r="AC20" s="63">
        <v>7975000</v>
      </c>
      <c r="AD20" s="63">
        <v>159934</v>
      </c>
      <c r="AE20" s="63">
        <v>2194803</v>
      </c>
      <c r="AF20" s="63">
        <v>17819584.093499999</v>
      </c>
      <c r="AG20" s="14">
        <v>4314967894</v>
      </c>
      <c r="AH20" s="14">
        <v>3067941831</v>
      </c>
      <c r="AI20" s="14">
        <v>5846274993</v>
      </c>
      <c r="AJ20" s="14">
        <v>1379229325.1900001</v>
      </c>
      <c r="AK20" s="16"/>
    </row>
    <row r="21" spans="1:37" ht="15.75" customHeight="1" x14ac:dyDescent="0.25">
      <c r="A21" s="13">
        <v>46052</v>
      </c>
      <c r="B21" s="63">
        <v>1443</v>
      </c>
      <c r="C21" s="14">
        <v>0</v>
      </c>
      <c r="D21" s="14">
        <v>223072014</v>
      </c>
      <c r="E21" s="14">
        <v>380315000</v>
      </c>
      <c r="F21" s="14">
        <v>0</v>
      </c>
      <c r="G21" s="14">
        <v>6785000</v>
      </c>
      <c r="H21" s="14">
        <v>1553000</v>
      </c>
      <c r="I21" s="14">
        <v>810455502</v>
      </c>
      <c r="J21" s="14">
        <v>291486000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2433260</v>
      </c>
      <c r="Q21" s="14">
        <v>99600000</v>
      </c>
      <c r="R21" s="14">
        <v>0</v>
      </c>
      <c r="S21" s="14">
        <v>0</v>
      </c>
      <c r="T21" s="14">
        <v>14346000</v>
      </c>
      <c r="U21" s="14">
        <v>0</v>
      </c>
      <c r="V21" s="14">
        <v>0</v>
      </c>
      <c r="W21" s="14">
        <v>0</v>
      </c>
      <c r="X21" s="14">
        <v>962573839.13999999</v>
      </c>
      <c r="Y21" s="14">
        <v>3536632120</v>
      </c>
      <c r="Z21" s="14">
        <v>220357000</v>
      </c>
      <c r="AA21" s="14">
        <v>2957288505</v>
      </c>
      <c r="AB21" s="63">
        <v>2600000</v>
      </c>
      <c r="AC21" s="63">
        <v>7000000</v>
      </c>
      <c r="AD21" s="63">
        <v>159934</v>
      </c>
      <c r="AE21" s="63">
        <v>340000</v>
      </c>
      <c r="AF21" s="63">
        <v>18426332</v>
      </c>
      <c r="AG21" s="14">
        <v>4314967894</v>
      </c>
      <c r="AH21" s="14">
        <v>2981995708</v>
      </c>
      <c r="AI21" s="14">
        <v>4017095550</v>
      </c>
      <c r="AJ21" s="14">
        <v>0</v>
      </c>
      <c r="AK21" s="16"/>
    </row>
    <row r="22" spans="1:37" ht="15.75" customHeight="1" x14ac:dyDescent="0.25">
      <c r="A22" s="13">
        <v>46055</v>
      </c>
      <c r="B22" s="63">
        <v>1444</v>
      </c>
      <c r="C22" s="14">
        <v>0</v>
      </c>
      <c r="D22" s="14">
        <v>252012755</v>
      </c>
      <c r="E22" s="14">
        <v>113034969</v>
      </c>
      <c r="F22" s="14">
        <v>0</v>
      </c>
      <c r="G22" s="14">
        <v>5059607</v>
      </c>
      <c r="H22" s="14">
        <v>1551000</v>
      </c>
      <c r="I22" s="14">
        <v>885303260</v>
      </c>
      <c r="J22" s="14">
        <v>130714631</v>
      </c>
      <c r="K22" s="14">
        <v>0</v>
      </c>
      <c r="L22" s="14">
        <v>55360166</v>
      </c>
      <c r="M22" s="14">
        <v>0</v>
      </c>
      <c r="N22" s="14">
        <v>0</v>
      </c>
      <c r="O22" s="14">
        <v>0</v>
      </c>
      <c r="P22" s="14">
        <v>0</v>
      </c>
      <c r="Q22" s="14">
        <v>46139128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706893555</v>
      </c>
      <c r="Y22" s="14">
        <v>3524579436</v>
      </c>
      <c r="Z22" s="14">
        <v>214477560.11614999</v>
      </c>
      <c r="AA22" s="14">
        <v>3133277362</v>
      </c>
      <c r="AB22" s="63">
        <v>2600000</v>
      </c>
      <c r="AC22" s="63">
        <v>7000000</v>
      </c>
      <c r="AD22" s="63">
        <v>159934</v>
      </c>
      <c r="AE22" s="63">
        <v>2194803</v>
      </c>
      <c r="AF22" s="63">
        <v>20143331</v>
      </c>
      <c r="AG22" s="14">
        <v>4314967894</v>
      </c>
      <c r="AH22" s="14">
        <v>4342932524</v>
      </c>
      <c r="AI22" s="14">
        <v>4476960272</v>
      </c>
      <c r="AJ22" s="14">
        <v>0</v>
      </c>
      <c r="AK22" s="16"/>
    </row>
    <row r="23" spans="1:37" ht="15.75" customHeight="1" x14ac:dyDescent="0.25">
      <c r="A23" s="13">
        <v>46056</v>
      </c>
      <c r="B23" s="63">
        <v>1447</v>
      </c>
      <c r="C23" s="14">
        <v>0</v>
      </c>
      <c r="D23" s="14">
        <v>289560308.57999998</v>
      </c>
      <c r="E23" s="14">
        <v>56664237.909999996</v>
      </c>
      <c r="F23" s="14">
        <v>0</v>
      </c>
      <c r="G23" s="14">
        <v>5023804</v>
      </c>
      <c r="H23" s="14">
        <v>1551000</v>
      </c>
      <c r="I23" s="14">
        <v>1011518184</v>
      </c>
      <c r="J23" s="14">
        <v>152811655</v>
      </c>
      <c r="K23" s="14">
        <v>0</v>
      </c>
      <c r="L23" s="14">
        <v>5216923</v>
      </c>
      <c r="M23" s="14">
        <v>0</v>
      </c>
      <c r="N23" s="14">
        <v>0</v>
      </c>
      <c r="O23" s="14">
        <v>0</v>
      </c>
      <c r="P23" s="14">
        <v>12273664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416780127</v>
      </c>
      <c r="Y23" s="14">
        <v>3522362513</v>
      </c>
      <c r="Z23" s="14">
        <v>214477560.11614999</v>
      </c>
      <c r="AA23" s="14">
        <v>3116732200</v>
      </c>
      <c r="AB23" s="63">
        <v>2600000</v>
      </c>
      <c r="AC23" s="63">
        <v>7000000</v>
      </c>
      <c r="AD23" s="63">
        <v>159934</v>
      </c>
      <c r="AE23" s="63">
        <v>2194803</v>
      </c>
      <c r="AF23" s="63">
        <v>18381717</v>
      </c>
      <c r="AG23" s="14">
        <v>4314967894</v>
      </c>
      <c r="AH23" s="14">
        <v>4202886744</v>
      </c>
      <c r="AI23" s="14">
        <v>4486261436</v>
      </c>
      <c r="AJ23" s="14">
        <v>0</v>
      </c>
      <c r="AK23" s="16"/>
    </row>
    <row r="24" spans="1:37" ht="15.75" customHeight="1" x14ac:dyDescent="0.25">
      <c r="A24" s="13">
        <v>46057</v>
      </c>
      <c r="B24" s="63">
        <v>1444</v>
      </c>
      <c r="C24" s="14">
        <v>0</v>
      </c>
      <c r="D24" s="14">
        <v>256839729</v>
      </c>
      <c r="E24" s="14">
        <v>51206465</v>
      </c>
      <c r="F24" s="14">
        <v>0</v>
      </c>
      <c r="G24" s="14">
        <v>7177357</v>
      </c>
      <c r="H24" s="14">
        <v>1551000</v>
      </c>
      <c r="I24" s="14">
        <v>992210152</v>
      </c>
      <c r="J24" s="14">
        <v>5345000</v>
      </c>
      <c r="K24" s="14">
        <v>0</v>
      </c>
      <c r="L24" s="14">
        <v>33970959</v>
      </c>
      <c r="M24" s="14">
        <v>0</v>
      </c>
      <c r="N24" s="14">
        <v>0</v>
      </c>
      <c r="O24" s="14">
        <v>0</v>
      </c>
      <c r="P24" s="14">
        <v>0</v>
      </c>
      <c r="Q24" s="14">
        <v>26200000</v>
      </c>
      <c r="R24" s="14">
        <v>0</v>
      </c>
      <c r="S24" s="14">
        <v>0</v>
      </c>
      <c r="T24" s="14">
        <v>0</v>
      </c>
      <c r="U24" s="14">
        <v>160000000</v>
      </c>
      <c r="V24" s="14">
        <v>0</v>
      </c>
      <c r="W24" s="14">
        <v>0</v>
      </c>
      <c r="X24" s="14">
        <v>438934452</v>
      </c>
      <c r="Y24" s="14">
        <v>3447658413</v>
      </c>
      <c r="Z24" s="14">
        <v>214477560.11614999</v>
      </c>
      <c r="AA24" s="14">
        <v>3165176592</v>
      </c>
      <c r="AB24" s="63">
        <v>2600000</v>
      </c>
      <c r="AC24" s="63">
        <v>7000000</v>
      </c>
      <c r="AD24" s="63">
        <v>159934</v>
      </c>
      <c r="AE24" s="63">
        <v>2194803</v>
      </c>
      <c r="AF24" s="63">
        <v>15968160</v>
      </c>
      <c r="AG24" s="14">
        <v>4314967894</v>
      </c>
      <c r="AH24" s="14">
        <v>4914658332</v>
      </c>
      <c r="AI24" s="14">
        <v>4173773700</v>
      </c>
      <c r="AJ24" s="14">
        <v>0</v>
      </c>
      <c r="AK24" s="16"/>
    </row>
    <row r="25" spans="1:37" ht="15.75" customHeight="1" x14ac:dyDescent="0.25">
      <c r="A25" s="13">
        <v>46058</v>
      </c>
      <c r="B25" s="63">
        <v>1444.5</v>
      </c>
      <c r="C25" s="14">
        <v>0</v>
      </c>
      <c r="D25" s="14">
        <v>320945719.27999997</v>
      </c>
      <c r="E25" s="14">
        <v>11279310.41</v>
      </c>
      <c r="F25" s="14">
        <v>0</v>
      </c>
      <c r="G25" s="14">
        <v>7035000</v>
      </c>
      <c r="H25" s="14">
        <v>0</v>
      </c>
      <c r="I25" s="14">
        <v>927364812</v>
      </c>
      <c r="J25" s="14">
        <v>39500000</v>
      </c>
      <c r="K25" s="14">
        <v>0</v>
      </c>
      <c r="L25" s="14">
        <v>1370000</v>
      </c>
      <c r="M25" s="14">
        <v>0</v>
      </c>
      <c r="N25" s="14">
        <v>0</v>
      </c>
      <c r="O25" s="14">
        <v>0</v>
      </c>
      <c r="P25" s="14">
        <v>4485303</v>
      </c>
      <c r="Q25" s="14">
        <v>324204358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454796478</v>
      </c>
      <c r="Y25" s="14">
        <v>3020651934</v>
      </c>
      <c r="Z25" s="14">
        <v>214477560.11614999</v>
      </c>
      <c r="AA25" s="14">
        <v>3207730808.8299999</v>
      </c>
      <c r="AB25" s="63">
        <v>2600000</v>
      </c>
      <c r="AC25" s="63">
        <v>7000000</v>
      </c>
      <c r="AD25" s="63">
        <v>159934</v>
      </c>
      <c r="AE25" s="63">
        <v>2194803</v>
      </c>
      <c r="AF25" s="63">
        <v>17519790.008900002</v>
      </c>
      <c r="AG25" s="14">
        <v>4314967894</v>
      </c>
      <c r="AH25" s="14">
        <v>5096658066.6599998</v>
      </c>
      <c r="AI25" s="14">
        <v>4040751852</v>
      </c>
      <c r="AJ25" s="14">
        <v>0</v>
      </c>
      <c r="AK25" s="16"/>
    </row>
    <row r="26" spans="1:37" ht="15.75" customHeight="1" x14ac:dyDescent="0.25">
      <c r="A26" s="13">
        <v>46059</v>
      </c>
      <c r="B26" s="63">
        <v>1444.5</v>
      </c>
      <c r="C26" s="14">
        <v>0</v>
      </c>
      <c r="D26" s="14">
        <v>367721375</v>
      </c>
      <c r="E26" s="14">
        <v>91488275.230000004</v>
      </c>
      <c r="F26" s="14">
        <v>0</v>
      </c>
      <c r="G26" s="14">
        <v>5023000</v>
      </c>
      <c r="H26" s="14">
        <v>0</v>
      </c>
      <c r="I26" s="14">
        <v>936468481.95000005</v>
      </c>
      <c r="J26" s="14">
        <v>180790748.56</v>
      </c>
      <c r="K26" s="14">
        <v>0</v>
      </c>
      <c r="L26" s="14">
        <v>910000</v>
      </c>
      <c r="M26" s="14">
        <v>0</v>
      </c>
      <c r="N26" s="14">
        <v>0</v>
      </c>
      <c r="O26" s="14">
        <v>0</v>
      </c>
      <c r="P26" s="14">
        <v>0</v>
      </c>
      <c r="Q26" s="14">
        <v>234774657</v>
      </c>
      <c r="R26" s="14">
        <v>0</v>
      </c>
      <c r="S26" s="14">
        <v>820000</v>
      </c>
      <c r="T26" s="14">
        <v>0</v>
      </c>
      <c r="U26" s="14">
        <v>0</v>
      </c>
      <c r="V26" s="14">
        <v>0</v>
      </c>
      <c r="W26" s="14">
        <v>0</v>
      </c>
      <c r="X26" s="14">
        <v>674592454.94000006</v>
      </c>
      <c r="Y26" s="14">
        <v>2784376363</v>
      </c>
      <c r="Z26" s="14">
        <v>214477560.11614999</v>
      </c>
      <c r="AA26" s="14">
        <v>2925341786</v>
      </c>
      <c r="AB26" s="63">
        <v>2600000</v>
      </c>
      <c r="AC26" s="63">
        <v>7000000</v>
      </c>
      <c r="AD26" s="63">
        <v>159934</v>
      </c>
      <c r="AE26" s="63">
        <v>2194803</v>
      </c>
      <c r="AF26" s="63">
        <v>18502771.1349</v>
      </c>
      <c r="AG26" s="14">
        <v>4314967894</v>
      </c>
      <c r="AH26" s="14">
        <v>5435993073.0600004</v>
      </c>
      <c r="AI26" s="14">
        <v>4040751852</v>
      </c>
      <c r="AJ26" s="14">
        <v>0</v>
      </c>
      <c r="AK26" s="16"/>
    </row>
    <row r="27" spans="1:37" ht="15.75" customHeight="1" x14ac:dyDescent="0.25">
      <c r="A27" s="13">
        <v>46062</v>
      </c>
      <c r="B27" s="63">
        <v>1420</v>
      </c>
      <c r="C27" s="14">
        <v>0</v>
      </c>
      <c r="D27" s="14">
        <v>367721375.77999997</v>
      </c>
      <c r="E27" s="14">
        <v>131584000</v>
      </c>
      <c r="F27" s="14">
        <v>0</v>
      </c>
      <c r="G27" s="14">
        <v>7870000</v>
      </c>
      <c r="H27" s="14">
        <v>3162000</v>
      </c>
      <c r="I27" s="14">
        <v>936468481.95000005</v>
      </c>
      <c r="J27" s="14">
        <v>57538516.460000001</v>
      </c>
      <c r="K27" s="14">
        <v>0</v>
      </c>
      <c r="L27" s="14">
        <v>2011060</v>
      </c>
      <c r="M27" s="14">
        <v>0</v>
      </c>
      <c r="N27" s="14">
        <v>0</v>
      </c>
      <c r="O27" s="14">
        <v>5208938</v>
      </c>
      <c r="P27" s="14">
        <v>80444176</v>
      </c>
      <c r="Q27" s="14">
        <v>8740000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721916440</v>
      </c>
      <c r="Y27" s="14">
        <v>2024911920</v>
      </c>
      <c r="Z27" s="14">
        <v>214477560.11614999</v>
      </c>
      <c r="AA27" s="14">
        <v>2876463440</v>
      </c>
      <c r="AB27" s="63">
        <v>2600000</v>
      </c>
      <c r="AC27" s="63">
        <v>7000000</v>
      </c>
      <c r="AD27" s="63">
        <v>159934</v>
      </c>
      <c r="AE27" s="63">
        <v>340000</v>
      </c>
      <c r="AF27" s="63">
        <v>17415153.775899999</v>
      </c>
      <c r="AG27" s="14">
        <v>4314967894</v>
      </c>
      <c r="AH27" s="14">
        <v>5576187293.1999998</v>
      </c>
      <c r="AI27" s="14">
        <v>4754093260</v>
      </c>
      <c r="AJ27" s="14">
        <v>0</v>
      </c>
      <c r="AK27" s="16"/>
    </row>
    <row r="28" spans="1:37" ht="15.75" customHeight="1" x14ac:dyDescent="0.25">
      <c r="A28" s="13">
        <v>46063</v>
      </c>
      <c r="B28" s="63">
        <v>1424</v>
      </c>
      <c r="C28" s="14">
        <v>0</v>
      </c>
      <c r="D28" s="14">
        <v>250860342.03</v>
      </c>
      <c r="E28" s="14">
        <v>148910080</v>
      </c>
      <c r="F28" s="14">
        <v>0</v>
      </c>
      <c r="G28" s="14">
        <v>7870000</v>
      </c>
      <c r="H28" s="14">
        <v>1837000</v>
      </c>
      <c r="I28" s="14">
        <v>1085878106</v>
      </c>
      <c r="J28" s="14">
        <v>53000000</v>
      </c>
      <c r="K28" s="14">
        <v>86098436</v>
      </c>
      <c r="L28" s="14">
        <v>10562189</v>
      </c>
      <c r="M28" s="14">
        <v>0</v>
      </c>
      <c r="N28" s="14">
        <v>0</v>
      </c>
      <c r="O28" s="14">
        <v>0</v>
      </c>
      <c r="P28" s="14">
        <v>39373808</v>
      </c>
      <c r="Q28" s="14">
        <v>144828097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720500835</v>
      </c>
      <c r="Y28" s="14">
        <v>1737786590</v>
      </c>
      <c r="Z28" s="14">
        <v>214477560.11614999</v>
      </c>
      <c r="AA28" s="14">
        <v>2876463440</v>
      </c>
      <c r="AB28" s="63">
        <v>2600000</v>
      </c>
      <c r="AC28" s="63">
        <v>7000000</v>
      </c>
      <c r="AD28" s="63">
        <v>159934</v>
      </c>
      <c r="AE28" s="63">
        <v>340000</v>
      </c>
      <c r="AF28" s="63">
        <v>16586630.9059</v>
      </c>
      <c r="AG28" s="14">
        <v>4314967894</v>
      </c>
      <c r="AH28" s="14">
        <v>5145348427.5200005</v>
      </c>
      <c r="AI28" s="14">
        <v>4487293136</v>
      </c>
      <c r="AJ28" s="14">
        <v>0</v>
      </c>
      <c r="AK28" s="16"/>
    </row>
    <row r="29" spans="1:37" ht="15.75" customHeight="1" x14ac:dyDescent="0.25">
      <c r="A29" s="13">
        <v>46064</v>
      </c>
      <c r="B29" s="63">
        <v>1401</v>
      </c>
      <c r="C29" s="14">
        <v>0</v>
      </c>
      <c r="D29" s="14">
        <v>412962529.63</v>
      </c>
      <c r="E29" s="14">
        <v>75857335.900000006</v>
      </c>
      <c r="F29" s="14">
        <v>0</v>
      </c>
      <c r="G29" s="14">
        <v>25974420</v>
      </c>
      <c r="H29" s="14">
        <v>1837000</v>
      </c>
      <c r="I29" s="14">
        <v>1085878106</v>
      </c>
      <c r="J29" s="14">
        <v>36252671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303297684</v>
      </c>
      <c r="R29" s="14">
        <v>0</v>
      </c>
      <c r="S29" s="14">
        <v>0</v>
      </c>
      <c r="T29" s="14">
        <v>6357800</v>
      </c>
      <c r="U29" s="14">
        <v>0</v>
      </c>
      <c r="V29" s="14">
        <v>0</v>
      </c>
      <c r="W29" s="14">
        <v>0</v>
      </c>
      <c r="X29" s="14">
        <v>757496514</v>
      </c>
      <c r="Y29" s="14">
        <v>1431349255</v>
      </c>
      <c r="Z29" s="14">
        <v>214477560.11614999</v>
      </c>
      <c r="AA29" s="14">
        <v>2711962132.23</v>
      </c>
      <c r="AB29" s="63">
        <v>1891000</v>
      </c>
      <c r="AC29" s="63">
        <v>7000000</v>
      </c>
      <c r="AD29" s="63">
        <v>159934</v>
      </c>
      <c r="AE29" s="63">
        <v>340000</v>
      </c>
      <c r="AF29" s="63">
        <v>19341120.947900001</v>
      </c>
      <c r="AG29" s="14">
        <v>4314967894</v>
      </c>
      <c r="AH29" s="14">
        <v>5182685087.5799999</v>
      </c>
      <c r="AI29" s="14">
        <v>4414815789</v>
      </c>
      <c r="AJ29" s="14">
        <v>0</v>
      </c>
      <c r="AK29" s="16"/>
    </row>
    <row r="30" spans="1:37" ht="15.75" customHeight="1" x14ac:dyDescent="0.25">
      <c r="A30" s="13">
        <v>46065</v>
      </c>
      <c r="B30" s="63">
        <v>1397</v>
      </c>
      <c r="C30" s="14">
        <v>0</v>
      </c>
      <c r="D30" s="14">
        <v>293776490</v>
      </c>
      <c r="E30" s="14">
        <v>14988736.300000001</v>
      </c>
      <c r="F30" s="14">
        <v>0</v>
      </c>
      <c r="G30" s="14">
        <v>84253263</v>
      </c>
      <c r="H30" s="14">
        <v>3592000</v>
      </c>
      <c r="I30" s="14">
        <v>1044507436.3</v>
      </c>
      <c r="J30" s="14">
        <v>121070139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163646918</v>
      </c>
      <c r="R30" s="14">
        <v>196000</v>
      </c>
      <c r="S30" s="14">
        <v>0</v>
      </c>
      <c r="T30" s="14">
        <v>44183000</v>
      </c>
      <c r="U30" s="14">
        <v>217500000</v>
      </c>
      <c r="V30" s="14">
        <v>0</v>
      </c>
      <c r="W30" s="14">
        <v>0</v>
      </c>
      <c r="X30" s="14">
        <v>876190197</v>
      </c>
      <c r="Y30" s="14">
        <v>1326635250</v>
      </c>
      <c r="Z30" s="14">
        <v>214477560.11614999</v>
      </c>
      <c r="AA30" s="14">
        <v>3033457515</v>
      </c>
      <c r="AB30" s="63">
        <v>1891000</v>
      </c>
      <c r="AC30" s="63">
        <v>7000000</v>
      </c>
      <c r="AD30" s="63">
        <v>159934</v>
      </c>
      <c r="AE30" s="63">
        <v>340000</v>
      </c>
      <c r="AF30" s="63">
        <v>20968249.771899998</v>
      </c>
      <c r="AG30" s="14">
        <v>4314967894</v>
      </c>
      <c r="AH30" s="14">
        <v>5060995622.21</v>
      </c>
      <c r="AI30" s="14">
        <v>4871410247</v>
      </c>
      <c r="AJ30" s="14">
        <v>0</v>
      </c>
      <c r="AK30" s="16"/>
    </row>
    <row r="31" spans="1:37" ht="15.75" customHeight="1" x14ac:dyDescent="0.25">
      <c r="A31" s="13">
        <v>46066</v>
      </c>
      <c r="B31" s="63">
        <v>1390</v>
      </c>
      <c r="C31" s="14">
        <v>0</v>
      </c>
      <c r="D31" s="14">
        <v>370086639</v>
      </c>
      <c r="E31" s="14">
        <v>303102290.5</v>
      </c>
      <c r="F31" s="14">
        <v>0</v>
      </c>
      <c r="G31" s="14">
        <v>13209512</v>
      </c>
      <c r="H31" s="14">
        <v>3592000</v>
      </c>
      <c r="I31" s="14">
        <v>1029555798.8</v>
      </c>
      <c r="J31" s="14">
        <v>253863807</v>
      </c>
      <c r="K31" s="14">
        <v>0</v>
      </c>
      <c r="L31" s="14">
        <v>15597130</v>
      </c>
      <c r="M31" s="14">
        <v>0</v>
      </c>
      <c r="N31" s="14">
        <v>0</v>
      </c>
      <c r="O31" s="14">
        <v>0</v>
      </c>
      <c r="P31" s="14">
        <v>2695066</v>
      </c>
      <c r="Q31" s="14">
        <v>296267289</v>
      </c>
      <c r="R31" s="14">
        <v>0</v>
      </c>
      <c r="S31" s="14">
        <v>0</v>
      </c>
      <c r="T31" s="14">
        <v>3407600</v>
      </c>
      <c r="U31" s="14">
        <v>0</v>
      </c>
      <c r="V31" s="14">
        <v>0</v>
      </c>
      <c r="W31" s="14">
        <v>0</v>
      </c>
      <c r="X31" s="14">
        <v>619794022</v>
      </c>
      <c r="Y31" s="14">
        <v>890074006</v>
      </c>
      <c r="Z31" s="14">
        <v>214477560.11614999</v>
      </c>
      <c r="AA31" s="14">
        <v>3377991458</v>
      </c>
      <c r="AB31" s="63">
        <v>1891000</v>
      </c>
      <c r="AC31" s="63">
        <v>7000000</v>
      </c>
      <c r="AD31" s="63">
        <v>159934</v>
      </c>
      <c r="AE31" s="63">
        <v>340000</v>
      </c>
      <c r="AF31" s="63">
        <v>21569863.229899999</v>
      </c>
      <c r="AG31" s="14">
        <v>4314967894</v>
      </c>
      <c r="AH31" s="14">
        <v>4400949862.1999998</v>
      </c>
      <c r="AI31" s="14">
        <v>4847000890</v>
      </c>
      <c r="AJ31" s="14">
        <v>0</v>
      </c>
      <c r="AK31" s="16"/>
    </row>
    <row r="32" spans="1:37" ht="15.75" customHeight="1" x14ac:dyDescent="0.25">
      <c r="A32" s="13">
        <v>46071</v>
      </c>
      <c r="B32" s="63">
        <v>1392</v>
      </c>
      <c r="C32" s="14">
        <v>0</v>
      </c>
      <c r="D32" s="14">
        <v>199109312.43000001</v>
      </c>
      <c r="E32" s="14">
        <v>144835038</v>
      </c>
      <c r="F32" s="14">
        <v>0</v>
      </c>
      <c r="G32" s="14">
        <v>0</v>
      </c>
      <c r="H32" s="14">
        <v>8738000</v>
      </c>
      <c r="I32" s="14">
        <v>948986533</v>
      </c>
      <c r="J32" s="14">
        <v>186793349</v>
      </c>
      <c r="K32" s="14">
        <v>0</v>
      </c>
      <c r="L32" s="14">
        <v>86625124</v>
      </c>
      <c r="M32" s="14">
        <v>0</v>
      </c>
      <c r="N32" s="14">
        <v>0</v>
      </c>
      <c r="O32" s="14">
        <v>0</v>
      </c>
      <c r="P32" s="14">
        <v>161197972</v>
      </c>
      <c r="Q32" s="14">
        <v>33591907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835051875</v>
      </c>
      <c r="Y32" s="14">
        <v>867784665</v>
      </c>
      <c r="Z32" s="14">
        <v>214477560.11614999</v>
      </c>
      <c r="AA32" s="14">
        <v>3005364474</v>
      </c>
      <c r="AB32" s="63">
        <v>2069775.5603799999</v>
      </c>
      <c r="AC32" s="63">
        <v>7000000</v>
      </c>
      <c r="AD32" s="63">
        <v>159934</v>
      </c>
      <c r="AE32" s="63">
        <v>160000</v>
      </c>
      <c r="AF32" s="63">
        <v>25001268.1459</v>
      </c>
      <c r="AG32" s="14">
        <v>4314967894</v>
      </c>
      <c r="AH32" s="14">
        <v>4176337671.3600001</v>
      </c>
      <c r="AI32" s="14">
        <v>4780591536</v>
      </c>
      <c r="AJ32" s="14">
        <v>0</v>
      </c>
      <c r="AK32" s="16"/>
    </row>
    <row r="33" spans="1:37" ht="15.75" customHeight="1" x14ac:dyDescent="0.25">
      <c r="A33" s="13">
        <v>46072</v>
      </c>
      <c r="B33" s="63">
        <v>1400</v>
      </c>
      <c r="C33" s="14">
        <v>0</v>
      </c>
      <c r="D33" s="14">
        <v>199109312.43000001</v>
      </c>
      <c r="E33" s="14">
        <v>432170063.72000003</v>
      </c>
      <c r="F33" s="14">
        <v>0</v>
      </c>
      <c r="G33" s="14">
        <v>9203904</v>
      </c>
      <c r="H33" s="14">
        <v>8027000</v>
      </c>
      <c r="I33" s="14">
        <v>948986533</v>
      </c>
      <c r="J33" s="14">
        <v>206806634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2851083</v>
      </c>
      <c r="Q33" s="14">
        <v>169606421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680394629</v>
      </c>
      <c r="Y33" s="14">
        <v>828444868</v>
      </c>
      <c r="Z33" s="14">
        <v>214477560.11614999</v>
      </c>
      <c r="AA33" s="14">
        <v>3088402474</v>
      </c>
      <c r="AB33" s="63">
        <v>2069775.5603799999</v>
      </c>
      <c r="AC33" s="63">
        <v>7000000</v>
      </c>
      <c r="AD33" s="63">
        <v>159934</v>
      </c>
      <c r="AE33" s="63">
        <v>160000</v>
      </c>
      <c r="AF33" s="63">
        <v>24517322.505899999</v>
      </c>
      <c r="AG33" s="14">
        <v>4314967894</v>
      </c>
      <c r="AH33" s="14">
        <v>5044274592</v>
      </c>
      <c r="AI33" s="14">
        <v>4299401400</v>
      </c>
      <c r="AJ33" s="14">
        <v>0</v>
      </c>
      <c r="AK33" s="16"/>
    </row>
    <row r="34" spans="1:37" ht="15.75" customHeight="1" x14ac:dyDescent="0.25">
      <c r="A34" s="13">
        <v>46073</v>
      </c>
      <c r="B34" s="63">
        <v>1400</v>
      </c>
      <c r="C34" s="14">
        <v>0</v>
      </c>
      <c r="D34" s="14">
        <v>237801783</v>
      </c>
      <c r="E34" s="14">
        <v>100111404</v>
      </c>
      <c r="F34" s="14">
        <v>0</v>
      </c>
      <c r="G34" s="14">
        <v>9063066</v>
      </c>
      <c r="H34" s="14">
        <v>8027000</v>
      </c>
      <c r="I34" s="14">
        <v>1072996073</v>
      </c>
      <c r="J34" s="14">
        <v>311844291.68000001</v>
      </c>
      <c r="K34" s="14">
        <v>0</v>
      </c>
      <c r="L34" s="14">
        <v>3414402</v>
      </c>
      <c r="M34" s="14">
        <v>0</v>
      </c>
      <c r="N34" s="14">
        <v>0</v>
      </c>
      <c r="O34" s="14">
        <v>0</v>
      </c>
      <c r="P34" s="14">
        <v>31673245</v>
      </c>
      <c r="Q34" s="14">
        <v>225992533</v>
      </c>
      <c r="R34" s="14">
        <v>99212211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581961431.82000005</v>
      </c>
      <c r="Y34" s="14">
        <v>508533057</v>
      </c>
      <c r="Z34" s="14">
        <v>214477560.11614999</v>
      </c>
      <c r="AA34" s="14">
        <v>3164986661</v>
      </c>
      <c r="AB34" s="63">
        <v>2069775.5603799999</v>
      </c>
      <c r="AC34" s="63">
        <v>7000000</v>
      </c>
      <c r="AD34" s="63">
        <v>159934</v>
      </c>
      <c r="AE34" s="63">
        <v>160000</v>
      </c>
      <c r="AF34" s="63">
        <v>23952278.835900001</v>
      </c>
      <c r="AG34" s="14">
        <v>4314967894</v>
      </c>
      <c r="AH34" s="14">
        <v>5063733332</v>
      </c>
      <c r="AI34" s="14">
        <v>4299402800</v>
      </c>
      <c r="AJ34" s="14">
        <v>0</v>
      </c>
      <c r="AK34" s="16"/>
    </row>
    <row r="35" spans="1:37" ht="15.75" customHeight="1" x14ac:dyDescent="0.25">
      <c r="A35" s="13">
        <v>46076</v>
      </c>
      <c r="B35" s="63">
        <v>1381</v>
      </c>
      <c r="C35" s="14">
        <v>0</v>
      </c>
      <c r="D35" s="14">
        <v>271127724.37</v>
      </c>
      <c r="E35" s="14">
        <v>109253469</v>
      </c>
      <c r="F35" s="14">
        <v>0</v>
      </c>
      <c r="G35" s="14">
        <v>8330094.5599999996</v>
      </c>
      <c r="H35" s="14">
        <v>1789000</v>
      </c>
      <c r="I35" s="14">
        <v>969499641</v>
      </c>
      <c r="J35" s="14">
        <v>126135705.5</v>
      </c>
      <c r="K35" s="14">
        <v>0</v>
      </c>
      <c r="L35" s="14">
        <v>5088637</v>
      </c>
      <c r="M35" s="14">
        <v>0</v>
      </c>
      <c r="N35" s="14">
        <v>0</v>
      </c>
      <c r="O35" s="14">
        <v>74920045</v>
      </c>
      <c r="P35" s="14">
        <v>10247874</v>
      </c>
      <c r="Q35" s="14">
        <v>1001203</v>
      </c>
      <c r="R35" s="14">
        <v>169473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573391030</v>
      </c>
      <c r="Y35" s="14">
        <v>531590280</v>
      </c>
      <c r="Z35" s="14">
        <v>214477560.11614999</v>
      </c>
      <c r="AA35" s="14">
        <v>3108514290</v>
      </c>
      <c r="AB35" s="63">
        <v>2069775.5603799999</v>
      </c>
      <c r="AC35" s="63">
        <v>7000000</v>
      </c>
      <c r="AD35" s="63">
        <v>159934</v>
      </c>
      <c r="AE35" s="63">
        <v>160000</v>
      </c>
      <c r="AF35" s="63">
        <v>27925531.285399999</v>
      </c>
      <c r="AG35" s="14">
        <v>5449654020.2399998</v>
      </c>
      <c r="AH35" s="14">
        <v>4300010557.7799997</v>
      </c>
      <c r="AI35" s="14">
        <v>4241053762</v>
      </c>
      <c r="AJ35" s="14">
        <v>0</v>
      </c>
      <c r="AK35" s="16"/>
    </row>
    <row r="36" spans="1:37" ht="15.75" customHeight="1" x14ac:dyDescent="0.25">
      <c r="A36" s="13">
        <v>46077</v>
      </c>
      <c r="B36" s="63">
        <v>1360.5</v>
      </c>
      <c r="C36" s="14">
        <v>0</v>
      </c>
      <c r="D36" s="14">
        <v>327480214</v>
      </c>
      <c r="E36" s="14">
        <v>57330000</v>
      </c>
      <c r="F36" s="14">
        <v>0</v>
      </c>
      <c r="G36" s="14">
        <v>8189000</v>
      </c>
      <c r="H36" s="14">
        <v>20047000</v>
      </c>
      <c r="I36" s="14">
        <v>923362814</v>
      </c>
      <c r="J36" s="14">
        <v>137500000</v>
      </c>
      <c r="K36" s="14">
        <v>0</v>
      </c>
      <c r="L36" s="14">
        <v>0</v>
      </c>
      <c r="M36" s="14">
        <v>0</v>
      </c>
      <c r="N36" s="14">
        <v>0</v>
      </c>
      <c r="O36" s="14">
        <v>19226592</v>
      </c>
      <c r="P36" s="14">
        <v>0</v>
      </c>
      <c r="Q36" s="14">
        <v>47848812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676639022.63999999</v>
      </c>
      <c r="Y36" s="14">
        <v>673637824</v>
      </c>
      <c r="Z36" s="14">
        <v>214477560.11614999</v>
      </c>
      <c r="AA36" s="14">
        <v>3377260148</v>
      </c>
      <c r="AB36" s="63">
        <v>2069775.5603799999</v>
      </c>
      <c r="AC36" s="63">
        <v>7000000</v>
      </c>
      <c r="AD36" s="63">
        <v>91766.133942161294</v>
      </c>
      <c r="AE36" s="63">
        <v>160000</v>
      </c>
      <c r="AF36" s="63">
        <v>29064269.106400002</v>
      </c>
      <c r="AG36" s="14">
        <v>5449654020.2399998</v>
      </c>
      <c r="AH36" s="14">
        <v>4370822117</v>
      </c>
      <c r="AI36" s="14">
        <v>3971432697</v>
      </c>
      <c r="AJ36" s="14">
        <v>0</v>
      </c>
      <c r="AK36" s="16"/>
    </row>
    <row r="37" spans="1:37" ht="15.75" customHeight="1" x14ac:dyDescent="0.25">
      <c r="A37" s="13">
        <v>46078</v>
      </c>
      <c r="B37" s="63">
        <v>1373.5</v>
      </c>
      <c r="C37" s="14">
        <v>0</v>
      </c>
      <c r="D37" s="14">
        <v>334068220</v>
      </c>
      <c r="E37" s="14">
        <v>72223559</v>
      </c>
      <c r="F37" s="14">
        <v>0</v>
      </c>
      <c r="G37" s="14">
        <v>8330094</v>
      </c>
      <c r="H37" s="14">
        <v>18349000</v>
      </c>
      <c r="I37" s="14">
        <v>1085019063</v>
      </c>
      <c r="J37" s="14">
        <v>151271830.47999999</v>
      </c>
      <c r="K37" s="14">
        <v>0</v>
      </c>
      <c r="L37" s="14">
        <v>6906450</v>
      </c>
      <c r="M37" s="14">
        <v>0</v>
      </c>
      <c r="N37" s="14">
        <v>0</v>
      </c>
      <c r="O37" s="14">
        <v>0</v>
      </c>
      <c r="P37" s="14">
        <v>0</v>
      </c>
      <c r="Q37" s="14">
        <v>101005178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520316940.91000003</v>
      </c>
      <c r="Y37" s="14">
        <v>661826703</v>
      </c>
      <c r="Z37" s="14">
        <v>214477560.11614999</v>
      </c>
      <c r="AA37" s="14">
        <v>3423061266</v>
      </c>
      <c r="AB37" s="63">
        <v>2069775.5603799999</v>
      </c>
      <c r="AC37" s="63">
        <v>7000000</v>
      </c>
      <c r="AD37" s="63">
        <v>91766.133942161294</v>
      </c>
      <c r="AE37" s="63">
        <v>160000</v>
      </c>
      <c r="AF37" s="63">
        <v>23422686.356400002</v>
      </c>
      <c r="AG37" s="14">
        <v>5449654020.2399998</v>
      </c>
      <c r="AH37" s="14">
        <v>4254339169.1799998</v>
      </c>
      <c r="AI37" s="14">
        <v>3950371422.5</v>
      </c>
      <c r="AJ37" s="14">
        <v>0</v>
      </c>
      <c r="AK37" s="16"/>
    </row>
    <row r="38" spans="1:37" ht="15.75" customHeight="1" x14ac:dyDescent="0.25">
      <c r="A38" s="13">
        <v>46079</v>
      </c>
      <c r="B38" s="63">
        <v>1383.5</v>
      </c>
      <c r="C38" s="14">
        <v>0</v>
      </c>
      <c r="D38" s="14">
        <v>351573427</v>
      </c>
      <c r="E38" s="14">
        <v>71669169</v>
      </c>
      <c r="F38" s="14">
        <v>0</v>
      </c>
      <c r="G38" s="14">
        <v>7843397</v>
      </c>
      <c r="H38" s="14">
        <v>13132000</v>
      </c>
      <c r="I38" s="14">
        <v>1179025403</v>
      </c>
      <c r="J38" s="14">
        <v>204642170</v>
      </c>
      <c r="K38" s="14">
        <v>0</v>
      </c>
      <c r="L38" s="14">
        <v>76598976</v>
      </c>
      <c r="M38" s="14">
        <v>0</v>
      </c>
      <c r="N38" s="14">
        <v>0</v>
      </c>
      <c r="O38" s="14">
        <v>0</v>
      </c>
      <c r="P38" s="14">
        <v>0</v>
      </c>
      <c r="Q38" s="14">
        <v>89512252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483343000.49000001</v>
      </c>
      <c r="Y38" s="14">
        <v>576973938</v>
      </c>
      <c r="Z38" s="14">
        <v>214477560.11614999</v>
      </c>
      <c r="AA38" s="14">
        <v>3737477951</v>
      </c>
      <c r="AB38" s="63">
        <v>2069775.5603799999</v>
      </c>
      <c r="AC38" s="63">
        <v>7000000</v>
      </c>
      <c r="AD38" s="63">
        <v>91766.133942161294</v>
      </c>
      <c r="AE38" s="63">
        <v>160000</v>
      </c>
      <c r="AF38" s="63">
        <v>23733137.106400002</v>
      </c>
      <c r="AG38" s="14">
        <v>5449654020.2399998</v>
      </c>
      <c r="AH38" s="14">
        <v>4437541773.1800003</v>
      </c>
      <c r="AI38" s="14">
        <v>3979132772.5</v>
      </c>
      <c r="AJ38" s="14">
        <v>0</v>
      </c>
      <c r="AK38" s="16"/>
    </row>
    <row r="39" spans="1:37" ht="15.75" customHeight="1" x14ac:dyDescent="0.25">
      <c r="A39" s="13">
        <v>46080</v>
      </c>
      <c r="B39" s="63">
        <v>1401</v>
      </c>
      <c r="C39" s="14">
        <v>0</v>
      </c>
      <c r="D39" s="14">
        <v>183330106</v>
      </c>
      <c r="E39" s="14">
        <v>84920362.920000002</v>
      </c>
      <c r="F39" s="14">
        <v>0</v>
      </c>
      <c r="G39" s="14">
        <v>5730085</v>
      </c>
      <c r="H39" s="14">
        <v>13132000</v>
      </c>
      <c r="I39" s="14">
        <v>1179025403</v>
      </c>
      <c r="J39" s="14">
        <v>172297523</v>
      </c>
      <c r="K39" s="14">
        <v>0</v>
      </c>
      <c r="L39" s="14">
        <v>16268450</v>
      </c>
      <c r="M39" s="14">
        <v>0</v>
      </c>
      <c r="N39" s="14">
        <v>0</v>
      </c>
      <c r="O39" s="14">
        <v>2577030</v>
      </c>
      <c r="P39" s="14">
        <v>2105000</v>
      </c>
      <c r="Q39" s="14">
        <v>41967151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366919093</v>
      </c>
      <c r="Y39" s="14">
        <v>806671433</v>
      </c>
      <c r="Z39" s="14">
        <v>214477560.11614999</v>
      </c>
      <c r="AA39" s="14">
        <v>3339538712</v>
      </c>
      <c r="AB39" s="63">
        <v>2069775.5603799999</v>
      </c>
      <c r="AC39" s="63">
        <v>7000000</v>
      </c>
      <c r="AD39" s="63">
        <v>91766.133942161294</v>
      </c>
      <c r="AE39" s="63">
        <v>160000</v>
      </c>
      <c r="AF39" s="63">
        <v>19134326.856400002</v>
      </c>
      <c r="AG39" s="14">
        <v>5449654020.2399998</v>
      </c>
      <c r="AH39" s="14">
        <v>5427743020.0200005</v>
      </c>
      <c r="AI39" s="14">
        <v>4029465135</v>
      </c>
      <c r="AJ39" s="14">
        <v>0</v>
      </c>
      <c r="AK39" s="16"/>
    </row>
    <row r="40" spans="1:37" ht="15.75" customHeight="1" x14ac:dyDescent="0.25">
      <c r="A40" s="13">
        <v>46083</v>
      </c>
      <c r="B40" s="63">
        <v>1407</v>
      </c>
      <c r="C40" s="14">
        <v>0</v>
      </c>
      <c r="D40" s="14">
        <v>306435931</v>
      </c>
      <c r="E40" s="14">
        <v>150556000</v>
      </c>
      <c r="F40" s="14">
        <v>0</v>
      </c>
      <c r="G40" s="14">
        <v>2454000</v>
      </c>
      <c r="H40" s="14">
        <v>7836000</v>
      </c>
      <c r="I40" s="14">
        <v>884827301</v>
      </c>
      <c r="J40" s="14">
        <v>71036107</v>
      </c>
      <c r="K40" s="14">
        <v>0</v>
      </c>
      <c r="L40" s="14">
        <v>120145994</v>
      </c>
      <c r="M40" s="14">
        <v>0</v>
      </c>
      <c r="N40" s="14">
        <v>0</v>
      </c>
      <c r="O40" s="14">
        <v>0</v>
      </c>
      <c r="P40" s="14">
        <v>0</v>
      </c>
      <c r="Q40" s="14">
        <v>218398243</v>
      </c>
      <c r="R40" s="14">
        <v>0</v>
      </c>
      <c r="S40" s="14">
        <v>0</v>
      </c>
      <c r="T40" s="14">
        <v>0</v>
      </c>
      <c r="U40" s="14">
        <v>300000000</v>
      </c>
      <c r="V40" s="14">
        <v>0</v>
      </c>
      <c r="W40" s="14">
        <v>0</v>
      </c>
      <c r="X40" s="14">
        <v>835950369.23000002</v>
      </c>
      <c r="Y40" s="14">
        <v>4912915306</v>
      </c>
      <c r="Z40" s="14">
        <v>208603111.9149</v>
      </c>
      <c r="AA40" s="14">
        <v>3680992093</v>
      </c>
      <c r="AB40" s="63">
        <v>2069775.5603799999</v>
      </c>
      <c r="AC40" s="63">
        <v>8000000</v>
      </c>
      <c r="AD40" s="63">
        <v>121516.133942161</v>
      </c>
      <c r="AE40" s="63">
        <v>160000</v>
      </c>
      <c r="AF40" s="63">
        <v>20540711.7064</v>
      </c>
      <c r="AG40" s="14">
        <v>5449654020.2399998</v>
      </c>
      <c r="AH40" s="14">
        <v>6279791343</v>
      </c>
      <c r="AI40" s="14">
        <v>5798480562</v>
      </c>
      <c r="AJ40" s="14">
        <v>534521439.73000002</v>
      </c>
      <c r="AK40" s="16"/>
    </row>
    <row r="41" spans="1:37" ht="15.75" customHeight="1" x14ac:dyDescent="0.25">
      <c r="A41" s="13">
        <v>46084</v>
      </c>
      <c r="B41" s="63">
        <v>1403</v>
      </c>
      <c r="C41" s="14">
        <v>0</v>
      </c>
      <c r="D41" s="14">
        <v>356734583.68000001</v>
      </c>
      <c r="E41" s="14">
        <v>-19705000</v>
      </c>
      <c r="F41" s="14">
        <v>0</v>
      </c>
      <c r="G41" s="14">
        <v>5648339</v>
      </c>
      <c r="H41" s="14">
        <v>7836000</v>
      </c>
      <c r="I41" s="14">
        <v>834315279</v>
      </c>
      <c r="J41" s="14">
        <v>199849164</v>
      </c>
      <c r="K41" s="14">
        <v>0</v>
      </c>
      <c r="L41" s="14">
        <v>31790070</v>
      </c>
      <c r="M41" s="14">
        <v>0</v>
      </c>
      <c r="N41" s="14">
        <v>0</v>
      </c>
      <c r="O41" s="14">
        <v>0</v>
      </c>
      <c r="P41" s="14">
        <v>0</v>
      </c>
      <c r="Q41" s="14">
        <v>163566887</v>
      </c>
      <c r="R41" s="14">
        <v>0</v>
      </c>
      <c r="S41" s="14">
        <v>0</v>
      </c>
      <c r="T41" s="14">
        <v>0</v>
      </c>
      <c r="U41" s="14">
        <v>40000000</v>
      </c>
      <c r="V41" s="14">
        <v>0</v>
      </c>
      <c r="W41" s="14">
        <v>0</v>
      </c>
      <c r="X41" s="14">
        <v>585291899</v>
      </c>
      <c r="Y41" s="14">
        <v>4741020562</v>
      </c>
      <c r="Z41" s="14">
        <v>208603111.9149</v>
      </c>
      <c r="AA41" s="14">
        <v>3684822493</v>
      </c>
      <c r="AB41" s="63">
        <v>2069775.5603799999</v>
      </c>
      <c r="AC41" s="63">
        <v>8000000</v>
      </c>
      <c r="AD41" s="63">
        <v>121516.133942161</v>
      </c>
      <c r="AE41" s="63">
        <v>160000</v>
      </c>
      <c r="AF41" s="63">
        <v>20789326.056400001</v>
      </c>
      <c r="AG41" s="14">
        <v>5449654020.2399998</v>
      </c>
      <c r="AH41" s="14">
        <v>6199819175.1199999</v>
      </c>
      <c r="AI41" s="14">
        <v>5781995898</v>
      </c>
      <c r="AJ41" s="14">
        <v>39992216</v>
      </c>
      <c r="AK41" s="16"/>
    </row>
    <row r="42" spans="1:37" ht="15.75" customHeight="1" x14ac:dyDescent="0.25">
      <c r="A42" s="13">
        <v>46085</v>
      </c>
      <c r="B42" s="63">
        <v>1407</v>
      </c>
      <c r="C42" s="14">
        <v>0</v>
      </c>
      <c r="D42" s="14">
        <v>393222849.68000001</v>
      </c>
      <c r="E42" s="14">
        <v>90636589.129999995</v>
      </c>
      <c r="F42" s="14">
        <v>0</v>
      </c>
      <c r="G42" s="14">
        <v>5357000</v>
      </c>
      <c r="H42" s="14">
        <v>4507000</v>
      </c>
      <c r="I42" s="14">
        <v>872621589</v>
      </c>
      <c r="J42" s="14">
        <v>104843862</v>
      </c>
      <c r="K42" s="14">
        <v>0</v>
      </c>
      <c r="L42" s="14">
        <v>14678610</v>
      </c>
      <c r="M42" s="14">
        <v>0</v>
      </c>
      <c r="N42" s="14">
        <v>0</v>
      </c>
      <c r="O42" s="14">
        <v>0</v>
      </c>
      <c r="P42" s="14">
        <v>7753901</v>
      </c>
      <c r="Q42" s="14">
        <v>67696843</v>
      </c>
      <c r="R42" s="14">
        <v>0</v>
      </c>
      <c r="S42" s="14">
        <v>0</v>
      </c>
      <c r="T42" s="14">
        <v>0</v>
      </c>
      <c r="U42" s="14">
        <v>300000000</v>
      </c>
      <c r="V42" s="14">
        <v>0</v>
      </c>
      <c r="W42" s="14">
        <v>0</v>
      </c>
      <c r="X42" s="14">
        <v>1325376841.9200001</v>
      </c>
      <c r="Y42" s="14">
        <v>4648463632</v>
      </c>
      <c r="Z42" s="14">
        <v>208603111.9149</v>
      </c>
      <c r="AA42" s="14">
        <v>4651050912</v>
      </c>
      <c r="AB42" s="63">
        <v>2069775.5603799999</v>
      </c>
      <c r="AC42" s="63">
        <v>8000000</v>
      </c>
      <c r="AD42" s="63">
        <v>121516.133942161</v>
      </c>
      <c r="AE42" s="63">
        <v>160000</v>
      </c>
      <c r="AF42" s="63">
        <v>15795731.806399999</v>
      </c>
      <c r="AG42" s="14">
        <v>5449654020.2399998</v>
      </c>
      <c r="AH42" s="14">
        <v>5551402920</v>
      </c>
      <c r="AI42" s="14">
        <v>5685934632</v>
      </c>
      <c r="AJ42" s="14">
        <v>298040764</v>
      </c>
      <c r="AK42" s="16"/>
    </row>
    <row r="43" spans="1:37" ht="15.75" customHeight="1" x14ac:dyDescent="0.25">
      <c r="A43" s="13">
        <v>46086</v>
      </c>
      <c r="B43" s="63">
        <v>1400.5</v>
      </c>
      <c r="C43" s="14">
        <v>0</v>
      </c>
      <c r="D43" s="14">
        <v>412879299</v>
      </c>
      <c r="E43" s="14">
        <v>137297000</v>
      </c>
      <c r="F43" s="14">
        <v>0</v>
      </c>
      <c r="G43" s="14">
        <v>13802000</v>
      </c>
      <c r="H43" s="14">
        <v>2072000</v>
      </c>
      <c r="I43" s="14">
        <v>894699296</v>
      </c>
      <c r="J43" s="14">
        <v>69280210</v>
      </c>
      <c r="K43" s="14">
        <v>0</v>
      </c>
      <c r="L43" s="14">
        <v>8400000</v>
      </c>
      <c r="M43" s="14">
        <v>0</v>
      </c>
      <c r="N43" s="14">
        <v>0</v>
      </c>
      <c r="O43" s="14">
        <v>0</v>
      </c>
      <c r="P43" s="14">
        <v>0</v>
      </c>
      <c r="Q43" s="14">
        <v>496982362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870700115</v>
      </c>
      <c r="Y43" s="14">
        <v>3956419857</v>
      </c>
      <c r="Z43" s="14">
        <v>208603111.9149</v>
      </c>
      <c r="AA43" s="14">
        <v>4662476319</v>
      </c>
      <c r="AB43" s="63">
        <v>2069775.5603799999</v>
      </c>
      <c r="AC43" s="63">
        <v>8000000</v>
      </c>
      <c r="AD43" s="63">
        <v>121807.80060882799</v>
      </c>
      <c r="AE43" s="63">
        <v>160000</v>
      </c>
      <c r="AF43" s="63">
        <v>15828196.7064</v>
      </c>
      <c r="AG43" s="14">
        <v>5449654020.2399998</v>
      </c>
      <c r="AH43" s="14">
        <v>5722690888.5</v>
      </c>
      <c r="AI43" s="14">
        <v>6727934776</v>
      </c>
      <c r="AJ43" s="14">
        <v>840</v>
      </c>
      <c r="AK43" s="16"/>
    </row>
    <row r="44" spans="1:37" ht="15.75" customHeight="1" x14ac:dyDescent="0.25">
      <c r="A44" s="13">
        <v>46087</v>
      </c>
      <c r="B44" s="63">
        <v>1405</v>
      </c>
      <c r="C44" s="14">
        <v>0</v>
      </c>
      <c r="D44" s="14">
        <v>412879299</v>
      </c>
      <c r="E44" s="14">
        <v>158495000</v>
      </c>
      <c r="F44" s="14">
        <v>0</v>
      </c>
      <c r="G44" s="14">
        <v>12795000</v>
      </c>
      <c r="H44" s="14">
        <v>8048000</v>
      </c>
      <c r="I44" s="14">
        <v>1105369336</v>
      </c>
      <c r="J44" s="14">
        <v>138205000</v>
      </c>
      <c r="K44" s="14">
        <v>0</v>
      </c>
      <c r="L44" s="14">
        <v>2644096</v>
      </c>
      <c r="M44" s="14">
        <v>0</v>
      </c>
      <c r="N44" s="14">
        <v>0</v>
      </c>
      <c r="O44" s="14">
        <v>0</v>
      </c>
      <c r="P44" s="14">
        <v>0</v>
      </c>
      <c r="Q44" s="14">
        <v>165132703</v>
      </c>
      <c r="R44" s="14">
        <v>0</v>
      </c>
      <c r="S44" s="14">
        <v>0</v>
      </c>
      <c r="T44" s="14">
        <v>0</v>
      </c>
      <c r="U44" s="14">
        <v>300000000</v>
      </c>
      <c r="V44" s="14">
        <v>0</v>
      </c>
      <c r="W44" s="14">
        <v>0</v>
      </c>
      <c r="X44" s="14">
        <v>547535196</v>
      </c>
      <c r="Y44" s="14">
        <v>3952725761</v>
      </c>
      <c r="Z44" s="14">
        <v>208603111.9149</v>
      </c>
      <c r="AA44" s="14">
        <v>4660238685</v>
      </c>
      <c r="AB44" s="63">
        <v>2069775.5603799999</v>
      </c>
      <c r="AC44" s="63">
        <v>8000000</v>
      </c>
      <c r="AD44" s="63">
        <v>121807.80060882799</v>
      </c>
      <c r="AE44" s="63">
        <v>160000</v>
      </c>
      <c r="AF44" s="63">
        <v>15828196.7064</v>
      </c>
      <c r="AG44" s="14">
        <v>5449654020.2399998</v>
      </c>
      <c r="AH44" s="14">
        <v>5669231298.3500004</v>
      </c>
      <c r="AI44" s="14">
        <v>5790238230</v>
      </c>
      <c r="AJ44" s="14">
        <v>840</v>
      </c>
      <c r="AK44" s="16"/>
    </row>
    <row r="45" spans="1:37" ht="15.75" customHeight="1" x14ac:dyDescent="0.25">
      <c r="A45" s="13">
        <v>46090</v>
      </c>
      <c r="B45" s="63">
        <v>1405</v>
      </c>
      <c r="C45" s="14">
        <v>0</v>
      </c>
      <c r="D45" s="14">
        <v>445688779.68000001</v>
      </c>
      <c r="E45" s="14">
        <v>107811032</v>
      </c>
      <c r="F45" s="14">
        <v>0</v>
      </c>
      <c r="G45" s="14">
        <v>18663717</v>
      </c>
      <c r="H45" s="14">
        <v>8048000</v>
      </c>
      <c r="I45" s="14">
        <v>1249156888</v>
      </c>
      <c r="J45" s="14">
        <v>844639.62</v>
      </c>
      <c r="K45" s="14">
        <v>0</v>
      </c>
      <c r="L45" s="14">
        <v>88098086</v>
      </c>
      <c r="M45" s="14">
        <v>0</v>
      </c>
      <c r="N45" s="14">
        <v>0</v>
      </c>
      <c r="O45" s="14">
        <v>2118950</v>
      </c>
      <c r="P45" s="14">
        <v>40110389</v>
      </c>
      <c r="Q45" s="14">
        <v>1356016293.2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621207239</v>
      </c>
      <c r="Y45" s="14">
        <v>2772139921</v>
      </c>
      <c r="Z45" s="14">
        <v>208603111.9149</v>
      </c>
      <c r="AA45" s="14">
        <v>5451953419</v>
      </c>
      <c r="AB45" s="63">
        <v>2069775.5603799999</v>
      </c>
      <c r="AC45" s="63">
        <v>8000000</v>
      </c>
      <c r="AD45" s="63">
        <v>121807.80060882799</v>
      </c>
      <c r="AE45" s="63">
        <v>160000</v>
      </c>
      <c r="AF45" s="63">
        <v>16845041.739999998</v>
      </c>
      <c r="AG45" s="14">
        <v>5449654020.2399998</v>
      </c>
      <c r="AH45" s="14">
        <v>5713197710.4499998</v>
      </c>
      <c r="AI45" s="14">
        <v>8674829680</v>
      </c>
      <c r="AJ45" s="14">
        <v>840</v>
      </c>
      <c r="AK45" s="16"/>
    </row>
    <row r="46" spans="1:37" ht="15.75" customHeight="1" x14ac:dyDescent="0.25">
      <c r="A46" s="13">
        <v>46091</v>
      </c>
      <c r="B46" s="63">
        <v>1417</v>
      </c>
      <c r="C46" s="14">
        <v>0</v>
      </c>
      <c r="D46" s="14">
        <v>445688779</v>
      </c>
      <c r="E46" s="14">
        <v>-39984000</v>
      </c>
      <c r="F46" s="14">
        <v>0</v>
      </c>
      <c r="G46" s="14">
        <v>9298000</v>
      </c>
      <c r="H46" s="14">
        <v>8048000</v>
      </c>
      <c r="I46" s="14">
        <v>1595762118</v>
      </c>
      <c r="J46" s="14">
        <v>19280660</v>
      </c>
      <c r="K46" s="14">
        <v>86098436</v>
      </c>
      <c r="L46" s="14">
        <v>114305640</v>
      </c>
      <c r="M46" s="14">
        <v>0</v>
      </c>
      <c r="N46" s="14">
        <v>0</v>
      </c>
      <c r="O46" s="14">
        <v>0</v>
      </c>
      <c r="P46" s="14">
        <v>16800700</v>
      </c>
      <c r="Q46" s="14">
        <v>234494885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743364933</v>
      </c>
      <c r="Y46" s="14">
        <v>2278604381</v>
      </c>
      <c r="Z46" s="14">
        <v>208603111.9149</v>
      </c>
      <c r="AA46" s="14">
        <v>5438640665.6700001</v>
      </c>
      <c r="AB46" s="63">
        <v>2069775.5603799999</v>
      </c>
      <c r="AC46" s="63">
        <v>9000000</v>
      </c>
      <c r="AD46" s="63">
        <v>121807.80060882799</v>
      </c>
      <c r="AE46" s="63">
        <v>160000</v>
      </c>
      <c r="AF46" s="63">
        <v>14197400.124</v>
      </c>
      <c r="AG46" s="14">
        <v>5449654020.2399998</v>
      </c>
      <c r="AH46" s="14">
        <v>4859179616.5900002</v>
      </c>
      <c r="AI46" s="14">
        <v>8533988775</v>
      </c>
      <c r="AJ46" s="14">
        <v>1420000840</v>
      </c>
      <c r="AK46" s="16"/>
    </row>
    <row r="47" spans="1:37" ht="15.75" customHeight="1" x14ac:dyDescent="0.25">
      <c r="A47" s="13">
        <v>46092</v>
      </c>
      <c r="B47" s="63">
        <v>1401</v>
      </c>
      <c r="C47" s="14">
        <v>0</v>
      </c>
      <c r="D47" s="14">
        <v>496406750.56</v>
      </c>
      <c r="E47" s="14">
        <v>59736452</v>
      </c>
      <c r="F47" s="14">
        <v>0</v>
      </c>
      <c r="G47" s="14">
        <v>9298113</v>
      </c>
      <c r="H47" s="14">
        <v>7867000</v>
      </c>
      <c r="I47" s="14">
        <v>1579975629</v>
      </c>
      <c r="J47" s="14">
        <v>84800000</v>
      </c>
      <c r="K47" s="14">
        <v>0</v>
      </c>
      <c r="L47" s="14">
        <v>12400000</v>
      </c>
      <c r="M47" s="14">
        <v>0</v>
      </c>
      <c r="N47" s="14">
        <v>0</v>
      </c>
      <c r="O47" s="14">
        <v>0</v>
      </c>
      <c r="P47" s="14">
        <v>2195000</v>
      </c>
      <c r="Q47" s="14">
        <v>278397543</v>
      </c>
      <c r="R47" s="14">
        <v>0</v>
      </c>
      <c r="S47" s="14">
        <v>0</v>
      </c>
      <c r="T47" s="14">
        <v>0</v>
      </c>
      <c r="U47" s="14">
        <v>235000000</v>
      </c>
      <c r="V47" s="14">
        <v>0</v>
      </c>
      <c r="W47" s="14">
        <v>0</v>
      </c>
      <c r="X47" s="14">
        <v>2295766389.98</v>
      </c>
      <c r="Y47" s="14">
        <v>2142458235</v>
      </c>
      <c r="Z47" s="14">
        <v>208603111.9149</v>
      </c>
      <c r="AA47" s="14">
        <v>5136570401</v>
      </c>
      <c r="AB47" s="63">
        <v>2069775.5603799999</v>
      </c>
      <c r="AC47" s="63">
        <v>9000000</v>
      </c>
      <c r="AD47" s="63">
        <v>141199.467275495</v>
      </c>
      <c r="AE47" s="63">
        <v>160000</v>
      </c>
      <c r="AF47" s="63">
        <v>14246092.524</v>
      </c>
      <c r="AG47" s="14">
        <v>5449654020.2399998</v>
      </c>
      <c r="AH47" s="14">
        <v>4426491442.8000002</v>
      </c>
      <c r="AI47" s="14">
        <v>8437627575</v>
      </c>
      <c r="AJ47" s="14">
        <v>1653153603</v>
      </c>
      <c r="AK47" s="16"/>
    </row>
    <row r="48" spans="1:37" ht="15.75" customHeight="1" x14ac:dyDescent="0.25">
      <c r="A48" s="13">
        <v>46093</v>
      </c>
      <c r="B48" s="63">
        <v>1393</v>
      </c>
      <c r="C48" s="14">
        <v>0</v>
      </c>
      <c r="D48" s="14">
        <v>494096752</v>
      </c>
      <c r="E48" s="14">
        <v>64814000</v>
      </c>
      <c r="F48" s="14">
        <v>17746000</v>
      </c>
      <c r="G48" s="14">
        <v>16790000</v>
      </c>
      <c r="H48" s="14">
        <v>6108000</v>
      </c>
      <c r="I48" s="14">
        <v>1458063964</v>
      </c>
      <c r="J48" s="14">
        <v>176366449</v>
      </c>
      <c r="K48" s="14">
        <v>0</v>
      </c>
      <c r="L48" s="14">
        <v>6629023</v>
      </c>
      <c r="M48" s="14">
        <v>0</v>
      </c>
      <c r="N48" s="14">
        <v>0</v>
      </c>
      <c r="O48" s="14">
        <v>0</v>
      </c>
      <c r="P48" s="14">
        <v>0</v>
      </c>
      <c r="Q48" s="14">
        <v>469916271</v>
      </c>
      <c r="R48" s="14">
        <v>0</v>
      </c>
      <c r="S48" s="14">
        <v>0</v>
      </c>
      <c r="T48" s="14">
        <v>0</v>
      </c>
      <c r="U48" s="14">
        <v>200000000</v>
      </c>
      <c r="V48" s="14">
        <v>0</v>
      </c>
      <c r="W48" s="14">
        <v>0</v>
      </c>
      <c r="X48" s="14">
        <v>1638571298</v>
      </c>
      <c r="Y48" s="14">
        <v>1738903689</v>
      </c>
      <c r="Z48" s="14">
        <v>208603111.9149</v>
      </c>
      <c r="AA48" s="14">
        <v>5135688097</v>
      </c>
      <c r="AB48" s="63">
        <v>2069775.5603799999</v>
      </c>
      <c r="AC48" s="63">
        <v>9000000</v>
      </c>
      <c r="AD48" s="63">
        <v>141199.467275495</v>
      </c>
      <c r="AE48" s="63">
        <v>160000</v>
      </c>
      <c r="AF48" s="63">
        <v>13740489.874</v>
      </c>
      <c r="AG48" s="14">
        <v>5449654020.2399998</v>
      </c>
      <c r="AH48" s="14">
        <v>4651580822</v>
      </c>
      <c r="AI48" s="14">
        <v>8624032354</v>
      </c>
      <c r="AJ48" s="14">
        <v>1619790359.95</v>
      </c>
      <c r="AK48" s="16"/>
    </row>
    <row r="49" spans="1:37" ht="15.75" customHeight="1" x14ac:dyDescent="0.25">
      <c r="A49" s="13">
        <v>46094</v>
      </c>
      <c r="B49" s="63">
        <v>1397</v>
      </c>
      <c r="C49" s="14">
        <v>0</v>
      </c>
      <c r="D49" s="14">
        <v>776624900</v>
      </c>
      <c r="E49" s="14">
        <v>48288000</v>
      </c>
      <c r="F49" s="14">
        <v>21849000</v>
      </c>
      <c r="G49" s="14">
        <v>7750000</v>
      </c>
      <c r="H49" s="14">
        <v>2381000</v>
      </c>
      <c r="I49" s="14">
        <v>1171499857</v>
      </c>
      <c r="J49" s="14">
        <v>284416095</v>
      </c>
      <c r="K49" s="14">
        <v>0</v>
      </c>
      <c r="L49" s="14">
        <v>0</v>
      </c>
      <c r="M49" s="14">
        <v>0</v>
      </c>
      <c r="N49" s="14">
        <v>0</v>
      </c>
      <c r="O49" s="14">
        <v>5192799</v>
      </c>
      <c r="P49" s="14">
        <v>2899508</v>
      </c>
      <c r="Q49" s="14">
        <v>64291510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1297943637</v>
      </c>
      <c r="Y49" s="14">
        <v>1632533382</v>
      </c>
      <c r="Z49" s="14">
        <v>208603111.9149</v>
      </c>
      <c r="AA49" s="14">
        <v>5165195285</v>
      </c>
      <c r="AB49" s="63">
        <v>1250975</v>
      </c>
      <c r="AC49" s="63">
        <v>9000000</v>
      </c>
      <c r="AD49" s="63">
        <v>141199.467275495</v>
      </c>
      <c r="AE49" s="63">
        <v>160000</v>
      </c>
      <c r="AF49" s="63">
        <v>12820143.101</v>
      </c>
      <c r="AG49" s="14">
        <v>5449654020.2399998</v>
      </c>
      <c r="AH49" s="14">
        <v>4006602985</v>
      </c>
      <c r="AI49" s="14">
        <v>8648796266</v>
      </c>
      <c r="AJ49" s="14">
        <v>1620034443.6600001</v>
      </c>
      <c r="AK49" s="16"/>
    </row>
    <row r="50" spans="1:37" ht="15.75" customHeight="1" x14ac:dyDescent="0.25">
      <c r="A50" s="13">
        <v>46097</v>
      </c>
      <c r="B50" s="63">
        <v>1386</v>
      </c>
      <c r="C50" s="14">
        <v>0</v>
      </c>
      <c r="D50" s="14">
        <v>496041968.31</v>
      </c>
      <c r="E50" s="14">
        <v>78696000</v>
      </c>
      <c r="F50" s="14">
        <v>3849000</v>
      </c>
      <c r="G50" s="14">
        <v>4113000</v>
      </c>
      <c r="H50" s="14">
        <v>2381000</v>
      </c>
      <c r="I50" s="14">
        <v>1313630359</v>
      </c>
      <c r="J50" s="14">
        <v>175013626</v>
      </c>
      <c r="K50" s="14">
        <v>0</v>
      </c>
      <c r="L50" s="14">
        <v>93376144</v>
      </c>
      <c r="M50" s="14">
        <v>0</v>
      </c>
      <c r="N50" s="14">
        <v>0</v>
      </c>
      <c r="O50" s="14">
        <v>0</v>
      </c>
      <c r="P50" s="14">
        <v>7115202</v>
      </c>
      <c r="Q50" s="14">
        <v>7999270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1059874987</v>
      </c>
      <c r="Y50" s="14">
        <v>1751061941</v>
      </c>
      <c r="Z50" s="14">
        <v>208603111.9149</v>
      </c>
      <c r="AA50" s="14">
        <v>4945026674</v>
      </c>
      <c r="AB50" s="63">
        <v>1250975</v>
      </c>
      <c r="AC50" s="63">
        <v>9000000</v>
      </c>
      <c r="AD50" s="63">
        <v>141199.467275495</v>
      </c>
      <c r="AE50" s="63">
        <v>160000</v>
      </c>
      <c r="AF50" s="63">
        <v>14290777.001</v>
      </c>
      <c r="AG50" s="14">
        <v>5449654020.2399998</v>
      </c>
      <c r="AH50" s="14">
        <v>3440491694.6399999</v>
      </c>
      <c r="AI50" s="14">
        <v>9209146716</v>
      </c>
      <c r="AJ50" s="14">
        <v>1425244303.3499999</v>
      </c>
      <c r="AK50" s="16"/>
    </row>
    <row r="51" spans="1:37" ht="15.75" customHeight="1" x14ac:dyDescent="0.25">
      <c r="A51" s="13">
        <v>46098</v>
      </c>
      <c r="B51" s="63">
        <v>1390</v>
      </c>
      <c r="C51" s="14">
        <v>0</v>
      </c>
      <c r="D51" s="14">
        <v>475044247</v>
      </c>
      <c r="E51" s="14">
        <v>116518922</v>
      </c>
      <c r="F51" s="14">
        <v>5205905</v>
      </c>
      <c r="G51" s="14">
        <v>10432992.640000001</v>
      </c>
      <c r="H51" s="14">
        <v>2381000</v>
      </c>
      <c r="I51" s="14">
        <v>1469409002</v>
      </c>
      <c r="J51" s="14">
        <v>174057809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10492117</v>
      </c>
      <c r="Q51" s="14">
        <v>97995171</v>
      </c>
      <c r="R51" s="14">
        <v>141034158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861327456</v>
      </c>
      <c r="Y51" s="14">
        <v>1731117568</v>
      </c>
      <c r="Z51" s="14">
        <v>208603111.9149</v>
      </c>
      <c r="AA51" s="14">
        <v>5259320043</v>
      </c>
      <c r="AB51" s="63">
        <v>1228556.9603800001</v>
      </c>
      <c r="AC51" s="63">
        <v>9000000</v>
      </c>
      <c r="AD51" s="63">
        <v>141199.467275495</v>
      </c>
      <c r="AE51" s="63">
        <v>160000</v>
      </c>
      <c r="AF51" s="63">
        <v>14867224.501</v>
      </c>
      <c r="AG51" s="14">
        <v>5449654020.2399998</v>
      </c>
      <c r="AH51" s="14">
        <v>2938927373.5999999</v>
      </c>
      <c r="AI51" s="14">
        <v>9189021730</v>
      </c>
      <c r="AJ51" s="14">
        <v>1574225880.5799999</v>
      </c>
      <c r="AK51" s="16"/>
    </row>
    <row r="52" spans="1:37" ht="15.75" customHeight="1" x14ac:dyDescent="0.25">
      <c r="A52" s="13">
        <v>46099</v>
      </c>
      <c r="B52" s="63">
        <v>1394</v>
      </c>
      <c r="C52" s="14">
        <v>0</v>
      </c>
      <c r="D52" s="14">
        <v>538099582</v>
      </c>
      <c r="E52" s="14">
        <v>201265012</v>
      </c>
      <c r="F52" s="14">
        <v>4500000</v>
      </c>
      <c r="G52" s="14">
        <v>10432696</v>
      </c>
      <c r="H52" s="14">
        <v>3800000</v>
      </c>
      <c r="I52" s="14">
        <v>1590332187</v>
      </c>
      <c r="J52" s="14">
        <v>188091983</v>
      </c>
      <c r="K52" s="14">
        <v>0</v>
      </c>
      <c r="L52" s="14">
        <v>38908506</v>
      </c>
      <c r="M52" s="14">
        <v>0</v>
      </c>
      <c r="N52" s="14">
        <v>0</v>
      </c>
      <c r="O52" s="14">
        <v>0</v>
      </c>
      <c r="P52" s="14">
        <v>0</v>
      </c>
      <c r="Q52" s="14">
        <v>117971240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751509509</v>
      </c>
      <c r="Y52" s="14">
        <v>1693875769</v>
      </c>
      <c r="Z52" s="14">
        <v>208603111.9149</v>
      </c>
      <c r="AA52" s="14">
        <v>5461024896</v>
      </c>
      <c r="AB52" s="63">
        <v>1228556.9603800001</v>
      </c>
      <c r="AC52" s="63">
        <v>9000000</v>
      </c>
      <c r="AD52" s="63">
        <v>141199.467275495</v>
      </c>
      <c r="AE52" s="63">
        <v>160000</v>
      </c>
      <c r="AF52" s="63">
        <v>14554407.215</v>
      </c>
      <c r="AG52" s="14">
        <v>5449654020.2399998</v>
      </c>
      <c r="AH52" s="14">
        <v>2669906230.5599999</v>
      </c>
      <c r="AI52" s="14">
        <v>9211918622</v>
      </c>
      <c r="AJ52" s="14">
        <v>1691358076</v>
      </c>
      <c r="AK52" s="16"/>
    </row>
    <row r="53" spans="1:37" ht="15.75" customHeight="1" x14ac:dyDescent="0.25">
      <c r="A53" s="13">
        <v>46100</v>
      </c>
      <c r="B53" s="63">
        <v>1397</v>
      </c>
      <c r="C53" s="14">
        <v>0</v>
      </c>
      <c r="D53" s="14">
        <v>542935582</v>
      </c>
      <c r="E53" s="14">
        <v>60469000</v>
      </c>
      <c r="F53" s="14">
        <v>5164000</v>
      </c>
      <c r="G53" s="14">
        <v>9993772.9100000001</v>
      </c>
      <c r="H53" s="14">
        <v>3800000</v>
      </c>
      <c r="I53" s="14">
        <v>1660165654</v>
      </c>
      <c r="J53" s="14">
        <v>133869939</v>
      </c>
      <c r="K53" s="14">
        <v>0</v>
      </c>
      <c r="L53" s="14">
        <v>9156035</v>
      </c>
      <c r="M53" s="14">
        <v>0</v>
      </c>
      <c r="N53" s="14">
        <v>0</v>
      </c>
      <c r="O53" s="14">
        <v>0</v>
      </c>
      <c r="P53" s="14">
        <v>0</v>
      </c>
      <c r="Q53" s="14">
        <v>47379354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1638081318</v>
      </c>
      <c r="Y53" s="14">
        <v>1601091447</v>
      </c>
      <c r="Z53" s="14">
        <v>208603111.9149</v>
      </c>
      <c r="AA53" s="14">
        <v>4607813786.4399996</v>
      </c>
      <c r="AB53" s="63">
        <v>1228556.9603800001</v>
      </c>
      <c r="AC53" s="63">
        <v>9000000</v>
      </c>
      <c r="AD53" s="63">
        <v>141199.467275495</v>
      </c>
      <c r="AE53" s="63">
        <v>160000</v>
      </c>
      <c r="AF53" s="63">
        <v>13902830.249</v>
      </c>
      <c r="AG53" s="14">
        <v>5449654020.2399998</v>
      </c>
      <c r="AH53" s="14">
        <v>2382337963.2800002</v>
      </c>
      <c r="AI53" s="14">
        <v>9231743411</v>
      </c>
      <c r="AJ53" s="14">
        <v>1691358076</v>
      </c>
      <c r="AK53" s="16"/>
    </row>
    <row r="54" spans="1:37" ht="15.75" customHeight="1" x14ac:dyDescent="0.25">
      <c r="A54" s="13">
        <v>46101</v>
      </c>
      <c r="B54" s="63">
        <v>1391</v>
      </c>
      <c r="C54" s="14">
        <v>0</v>
      </c>
      <c r="D54" s="14">
        <v>657838152</v>
      </c>
      <c r="E54" s="14">
        <v>225017000</v>
      </c>
      <c r="F54" s="14">
        <v>2600000</v>
      </c>
      <c r="G54" s="14">
        <v>9993772.9100000001</v>
      </c>
      <c r="H54" s="14">
        <v>3800000</v>
      </c>
      <c r="I54" s="14">
        <v>1658651333</v>
      </c>
      <c r="J54" s="14">
        <v>211047561</v>
      </c>
      <c r="K54" s="14">
        <v>0</v>
      </c>
      <c r="L54" s="14">
        <v>178622803</v>
      </c>
      <c r="M54" s="14">
        <v>0</v>
      </c>
      <c r="N54" s="14">
        <v>0</v>
      </c>
      <c r="O54" s="14">
        <v>336600</v>
      </c>
      <c r="P54" s="14">
        <v>0</v>
      </c>
      <c r="Q54" s="14">
        <v>91189797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1448972679</v>
      </c>
      <c r="Y54" s="14">
        <v>1357212772</v>
      </c>
      <c r="Z54" s="14">
        <v>208603111.9149</v>
      </c>
      <c r="AA54" s="14">
        <v>5127082976</v>
      </c>
      <c r="AB54" s="63">
        <v>1228556.9603800001</v>
      </c>
      <c r="AC54" s="63">
        <v>9000000</v>
      </c>
      <c r="AD54" s="63">
        <v>141199.467275495</v>
      </c>
      <c r="AE54" s="63">
        <v>160000</v>
      </c>
      <c r="AF54" s="63">
        <v>14578331.668</v>
      </c>
      <c r="AG54" s="14">
        <v>5449654020.2399998</v>
      </c>
      <c r="AH54" s="14">
        <v>2981715106.2399998</v>
      </c>
      <c r="AI54" s="14">
        <v>9192093833</v>
      </c>
      <c r="AJ54" s="14">
        <v>1691358076</v>
      </c>
      <c r="AK54" s="16"/>
    </row>
    <row r="55" spans="1:37" ht="15.75" customHeight="1" x14ac:dyDescent="0.25">
      <c r="A55" s="13">
        <v>46106</v>
      </c>
      <c r="B55" s="63">
        <v>1392</v>
      </c>
      <c r="C55" s="14">
        <v>0</v>
      </c>
      <c r="D55" s="14">
        <v>752903080</v>
      </c>
      <c r="E55" s="14">
        <v>26119000</v>
      </c>
      <c r="F55" s="14">
        <v>2162000</v>
      </c>
      <c r="G55" s="14">
        <v>15791000</v>
      </c>
      <c r="H55" s="14">
        <v>3207000</v>
      </c>
      <c r="I55" s="14">
        <v>1610115708</v>
      </c>
      <c r="J55" s="14">
        <v>135527709</v>
      </c>
      <c r="K55" s="14">
        <v>0</v>
      </c>
      <c r="L55" s="14">
        <v>69163617</v>
      </c>
      <c r="M55" s="14">
        <v>0</v>
      </c>
      <c r="N55" s="14">
        <v>0</v>
      </c>
      <c r="O55" s="14">
        <v>1009800</v>
      </c>
      <c r="P55" s="14">
        <v>200629151</v>
      </c>
      <c r="Q55" s="14">
        <v>47630937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1180253141</v>
      </c>
      <c r="Y55" s="14">
        <v>710103092</v>
      </c>
      <c r="Z55" s="14">
        <v>208603111.9149</v>
      </c>
      <c r="AA55" s="14">
        <v>5481497772</v>
      </c>
      <c r="AB55" s="63">
        <v>1228556.9603800001</v>
      </c>
      <c r="AC55" s="63">
        <v>9000000</v>
      </c>
      <c r="AD55" s="63">
        <v>141199.467275495</v>
      </c>
      <c r="AE55" s="63">
        <v>160000</v>
      </c>
      <c r="AF55" s="63">
        <v>14669820.595000001</v>
      </c>
      <c r="AG55" s="14">
        <v>5449654020.2399998</v>
      </c>
      <c r="AH55" s="14">
        <v>3126846816</v>
      </c>
      <c r="AI55" s="14">
        <v>10956290016</v>
      </c>
      <c r="AJ55" s="14">
        <v>1692912381</v>
      </c>
      <c r="AK55" s="16"/>
    </row>
    <row r="56" spans="1:37" ht="15.75" customHeight="1" x14ac:dyDescent="0.25">
      <c r="A56" s="13">
        <v>46107</v>
      </c>
      <c r="B56" s="63">
        <v>1375</v>
      </c>
      <c r="C56" s="14">
        <v>0</v>
      </c>
      <c r="D56" s="14">
        <v>941322312</v>
      </c>
      <c r="E56" s="14">
        <v>-34900000</v>
      </c>
      <c r="F56" s="14">
        <v>90520000</v>
      </c>
      <c r="G56" s="14">
        <v>15791000</v>
      </c>
      <c r="H56" s="14">
        <v>3207000</v>
      </c>
      <c r="I56" s="14">
        <v>1560973000</v>
      </c>
      <c r="J56" s="14">
        <v>218255439</v>
      </c>
      <c r="K56" s="14">
        <v>0</v>
      </c>
      <c r="L56" s="14">
        <v>64598704</v>
      </c>
      <c r="M56" s="14">
        <v>0</v>
      </c>
      <c r="N56" s="14">
        <v>0</v>
      </c>
      <c r="O56" s="14">
        <v>4634982</v>
      </c>
      <c r="P56" s="14">
        <v>0</v>
      </c>
      <c r="Q56" s="14">
        <v>67600000</v>
      </c>
      <c r="R56" s="14">
        <v>0</v>
      </c>
      <c r="S56" s="14">
        <v>0</v>
      </c>
      <c r="T56" s="14">
        <v>0</v>
      </c>
      <c r="U56" s="14">
        <v>150000000</v>
      </c>
      <c r="V56" s="14">
        <v>0</v>
      </c>
      <c r="W56" s="14">
        <v>0</v>
      </c>
      <c r="X56" s="14">
        <v>1264387796</v>
      </c>
      <c r="Y56" s="14">
        <v>773190886</v>
      </c>
      <c r="Z56" s="14">
        <v>208603111.9149</v>
      </c>
      <c r="AA56" s="14">
        <v>5381776094</v>
      </c>
      <c r="AB56" s="63">
        <v>1186423.85038</v>
      </c>
      <c r="AC56" s="63">
        <v>9000000</v>
      </c>
      <c r="AD56" s="63">
        <v>141199.467275495</v>
      </c>
      <c r="AE56" s="63">
        <v>160000</v>
      </c>
      <c r="AF56" s="63">
        <v>14618622.710999999</v>
      </c>
      <c r="AG56" s="14">
        <v>5449654020.2399998</v>
      </c>
      <c r="AH56" s="14">
        <v>3368501207.5</v>
      </c>
      <c r="AI56" s="14">
        <v>10308834250</v>
      </c>
      <c r="AJ56" s="14">
        <v>1692912381</v>
      </c>
      <c r="AK56" s="16"/>
    </row>
    <row r="57" spans="1:37" ht="15.75" customHeight="1" x14ac:dyDescent="0.25">
      <c r="A57" s="13">
        <v>46108</v>
      </c>
      <c r="B57" s="63">
        <v>1366</v>
      </c>
      <c r="C57" s="14">
        <v>0</v>
      </c>
      <c r="D57" s="14">
        <v>827701000</v>
      </c>
      <c r="E57" s="14">
        <v>44961000</v>
      </c>
      <c r="F57" s="14">
        <v>181000000</v>
      </c>
      <c r="G57" s="14">
        <v>13532000</v>
      </c>
      <c r="H57" s="14">
        <v>3207000</v>
      </c>
      <c r="I57" s="14">
        <v>1511985003</v>
      </c>
      <c r="J57" s="14">
        <v>141809269</v>
      </c>
      <c r="K57" s="14">
        <v>0</v>
      </c>
      <c r="L57" s="14">
        <v>111489207</v>
      </c>
      <c r="M57" s="14">
        <v>0</v>
      </c>
      <c r="N57" s="14">
        <v>0</v>
      </c>
      <c r="O57" s="14">
        <v>104346000</v>
      </c>
      <c r="P57" s="14">
        <v>0</v>
      </c>
      <c r="Q57" s="14">
        <v>32757200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1212579961</v>
      </c>
      <c r="Y57" s="14">
        <v>764659987</v>
      </c>
      <c r="Z57" s="14">
        <v>208603111.9149</v>
      </c>
      <c r="AA57" s="14">
        <v>5314929980</v>
      </c>
      <c r="AB57" s="63">
        <v>1186423.85038</v>
      </c>
      <c r="AC57" s="63">
        <v>9000000</v>
      </c>
      <c r="AD57" s="63">
        <v>141199.467275495</v>
      </c>
      <c r="AE57" s="63">
        <v>160000</v>
      </c>
      <c r="AF57" s="63">
        <v>14554143.091</v>
      </c>
      <c r="AG57" s="14">
        <v>5449654020.2399998</v>
      </c>
      <c r="AH57" s="14">
        <v>3605178563.3600001</v>
      </c>
      <c r="AI57" s="14">
        <v>9881450028</v>
      </c>
      <c r="AJ57" s="14">
        <v>1657306981</v>
      </c>
      <c r="AK57" s="16"/>
    </row>
    <row r="58" spans="1:37" ht="15.75" customHeight="1" x14ac:dyDescent="0.25">
      <c r="A58" s="13">
        <v>46111</v>
      </c>
      <c r="B58" s="63">
        <v>1371.5</v>
      </c>
      <c r="C58" s="14">
        <v>0</v>
      </c>
      <c r="D58" s="14">
        <v>832701000</v>
      </c>
      <c r="E58" s="14">
        <v>975542000</v>
      </c>
      <c r="F58" s="14">
        <v>1442000</v>
      </c>
      <c r="G58" s="14">
        <v>14842000</v>
      </c>
      <c r="H58" s="14">
        <v>2800000</v>
      </c>
      <c r="I58" s="14">
        <v>935692970</v>
      </c>
      <c r="J58" s="14">
        <v>336145864</v>
      </c>
      <c r="K58" s="14">
        <v>0</v>
      </c>
      <c r="L58" s="14">
        <v>86897738</v>
      </c>
      <c r="M58" s="14">
        <v>0</v>
      </c>
      <c r="N58" s="14">
        <v>0</v>
      </c>
      <c r="O58" s="14">
        <v>0</v>
      </c>
      <c r="P58" s="14">
        <v>445000</v>
      </c>
      <c r="Q58" s="14">
        <v>25600000</v>
      </c>
      <c r="R58" s="14">
        <v>0</v>
      </c>
      <c r="S58" s="14">
        <v>0</v>
      </c>
      <c r="T58" s="14">
        <v>0</v>
      </c>
      <c r="U58" s="14">
        <v>300000000</v>
      </c>
      <c r="V58" s="14">
        <v>0</v>
      </c>
      <c r="W58" s="14">
        <v>0</v>
      </c>
      <c r="X58" s="14">
        <v>1016347490</v>
      </c>
      <c r="Y58" s="14">
        <v>962035178</v>
      </c>
      <c r="Z58" s="14">
        <v>208603111.9149</v>
      </c>
      <c r="AA58" s="14">
        <v>5546363032</v>
      </c>
      <c r="AB58" s="63">
        <v>1261501.4325300001</v>
      </c>
      <c r="AC58" s="63">
        <v>9000000</v>
      </c>
      <c r="AD58" s="63">
        <v>141199.467275495</v>
      </c>
      <c r="AE58" s="63">
        <v>160000</v>
      </c>
      <c r="AF58" s="63">
        <v>14623486.5525</v>
      </c>
      <c r="AG58" s="14">
        <v>5449654020.2399998</v>
      </c>
      <c r="AH58" s="14">
        <v>3282208636</v>
      </c>
      <c r="AI58" s="14">
        <v>10251360411.5</v>
      </c>
      <c r="AJ58" s="14">
        <v>1678236596</v>
      </c>
      <c r="AK58" s="16"/>
    </row>
    <row r="59" spans="1:37" ht="15.75" customHeight="1" x14ac:dyDescent="0.25">
      <c r="A59" s="13">
        <v>46112</v>
      </c>
      <c r="B59" s="63">
        <v>1371.5</v>
      </c>
      <c r="C59" s="14">
        <v>0</v>
      </c>
      <c r="D59" s="14">
        <v>1020478576.9299999</v>
      </c>
      <c r="E59" s="14">
        <v>96180000</v>
      </c>
      <c r="F59" s="14">
        <v>56816000</v>
      </c>
      <c r="G59" s="14">
        <v>10024326</v>
      </c>
      <c r="H59" s="14">
        <v>2800000</v>
      </c>
      <c r="I59" s="14">
        <v>1225007012</v>
      </c>
      <c r="J59" s="14">
        <v>485176000</v>
      </c>
      <c r="K59" s="14">
        <v>0</v>
      </c>
      <c r="L59" s="14">
        <v>655000</v>
      </c>
      <c r="M59" s="14">
        <v>0</v>
      </c>
      <c r="N59" s="14">
        <v>0</v>
      </c>
      <c r="O59" s="14">
        <v>14591610</v>
      </c>
      <c r="P59" s="14">
        <v>0</v>
      </c>
      <c r="Q59" s="14">
        <v>127954559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1001318794</v>
      </c>
      <c r="Y59" s="14">
        <v>873946433</v>
      </c>
      <c r="Z59" s="14">
        <v>208603111.9149</v>
      </c>
      <c r="AA59" s="14">
        <v>5009764245</v>
      </c>
      <c r="AB59" s="63">
        <v>1173173.7125299999</v>
      </c>
      <c r="AC59" s="63">
        <v>9000000</v>
      </c>
      <c r="AD59" s="63">
        <v>141199.467275495</v>
      </c>
      <c r="AE59" s="63">
        <v>160000</v>
      </c>
      <c r="AF59" s="63">
        <v>10642274.986</v>
      </c>
      <c r="AG59" s="14">
        <v>5582721359</v>
      </c>
      <c r="AH59" s="14">
        <v>3998648215.5100002</v>
      </c>
      <c r="AI59" s="14">
        <v>10251360411.5</v>
      </c>
      <c r="AJ59" s="14">
        <v>1678236596</v>
      </c>
      <c r="AK59" s="16"/>
    </row>
    <row r="60" spans="1:37" ht="15.75" customHeight="1" x14ac:dyDescent="0.25">
      <c r="A60" s="13">
        <v>46118</v>
      </c>
      <c r="B60" s="63">
        <v>1383</v>
      </c>
      <c r="C60" s="14">
        <v>0</v>
      </c>
      <c r="D60" s="14">
        <v>906680076</v>
      </c>
      <c r="E60" s="14">
        <v>87527408</v>
      </c>
      <c r="F60" s="14">
        <v>164533000</v>
      </c>
      <c r="G60" s="14">
        <v>9691000</v>
      </c>
      <c r="H60" s="14">
        <v>2500000</v>
      </c>
      <c r="I60" s="14">
        <v>1424949749</v>
      </c>
      <c r="J60" s="14">
        <v>168305085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66378278</v>
      </c>
      <c r="Q60" s="14">
        <v>244819590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1217405688</v>
      </c>
      <c r="Y60" s="14">
        <v>4192506916</v>
      </c>
      <c r="Z60" s="14">
        <v>202734656.16865</v>
      </c>
      <c r="AA60" s="14">
        <v>5070299230</v>
      </c>
      <c r="AB60" s="63">
        <v>1043837.65169</v>
      </c>
      <c r="AC60" s="63">
        <v>9000000</v>
      </c>
      <c r="AD60" s="63">
        <v>141199.467275495</v>
      </c>
      <c r="AE60" s="63">
        <v>160000</v>
      </c>
      <c r="AF60" s="63">
        <v>11964450.0055</v>
      </c>
      <c r="AG60" s="14">
        <v>5582721359</v>
      </c>
      <c r="AH60" s="14">
        <v>4335886957.9200001</v>
      </c>
      <c r="AI60" s="14">
        <v>10537028595</v>
      </c>
      <c r="AJ60" s="14">
        <v>1639971486</v>
      </c>
      <c r="AK60" s="16"/>
    </row>
    <row r="61" spans="1:37" ht="15.75" customHeight="1" x14ac:dyDescent="0.25">
      <c r="A61" s="13">
        <v>46119</v>
      </c>
      <c r="B61" s="63">
        <v>1382</v>
      </c>
      <c r="C61" s="14">
        <v>0</v>
      </c>
      <c r="D61" s="14">
        <v>976450190</v>
      </c>
      <c r="E61" s="14">
        <v>-276711000</v>
      </c>
      <c r="F61" s="14">
        <v>114129000</v>
      </c>
      <c r="G61" s="14">
        <v>9690000</v>
      </c>
      <c r="H61" s="14">
        <v>2500000</v>
      </c>
      <c r="I61" s="14">
        <v>1550678134</v>
      </c>
      <c r="J61" s="14">
        <v>228205027</v>
      </c>
      <c r="K61" s="14">
        <v>0</v>
      </c>
      <c r="L61" s="14">
        <v>13908000</v>
      </c>
      <c r="M61" s="14">
        <v>0</v>
      </c>
      <c r="N61" s="14">
        <v>0</v>
      </c>
      <c r="O61" s="14">
        <v>0</v>
      </c>
      <c r="P61" s="14">
        <v>1099000</v>
      </c>
      <c r="Q61" s="14">
        <v>448716641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1570067713</v>
      </c>
      <c r="Y61" s="14">
        <v>3719608294</v>
      </c>
      <c r="Z61" s="14">
        <v>202734656.16865</v>
      </c>
      <c r="AA61" s="14">
        <v>5205859918</v>
      </c>
      <c r="AB61" s="63">
        <v>1043837.65169</v>
      </c>
      <c r="AC61" s="63">
        <v>9000000</v>
      </c>
      <c r="AD61" s="63">
        <v>141199.467275495</v>
      </c>
      <c r="AE61" s="63">
        <v>160000</v>
      </c>
      <c r="AF61" s="63">
        <v>11612685.6785</v>
      </c>
      <c r="AG61" s="14">
        <v>5582721359</v>
      </c>
      <c r="AH61" s="14">
        <v>4809318318.8800001</v>
      </c>
      <c r="AI61" s="14">
        <v>10529409630</v>
      </c>
      <c r="AJ61" s="14">
        <v>1674297146</v>
      </c>
      <c r="AK61" s="16"/>
    </row>
    <row r="62" spans="1:37" ht="15.75" customHeight="1" x14ac:dyDescent="0.25">
      <c r="A62" s="13">
        <v>46120</v>
      </c>
      <c r="B62" s="63">
        <v>1382.5</v>
      </c>
      <c r="C62" s="14">
        <v>0</v>
      </c>
      <c r="D62" s="14">
        <v>1017149904</v>
      </c>
      <c r="E62" s="14">
        <v>12670000</v>
      </c>
      <c r="F62" s="14">
        <v>120419000</v>
      </c>
      <c r="G62" s="14">
        <v>314757</v>
      </c>
      <c r="H62" s="14">
        <v>2500000</v>
      </c>
      <c r="I62" s="14">
        <v>1601244716</v>
      </c>
      <c r="J62" s="14">
        <v>398655000</v>
      </c>
      <c r="K62" s="14">
        <v>0</v>
      </c>
      <c r="L62" s="14">
        <v>23306385</v>
      </c>
      <c r="M62" s="14">
        <v>0</v>
      </c>
      <c r="N62" s="14">
        <v>0</v>
      </c>
      <c r="O62" s="14">
        <v>0</v>
      </c>
      <c r="P62" s="14">
        <v>0</v>
      </c>
      <c r="Q62" s="14">
        <v>199614538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1287374179</v>
      </c>
      <c r="Y62" s="14">
        <v>3746628000</v>
      </c>
      <c r="Z62" s="14">
        <v>202734656.16865</v>
      </c>
      <c r="AA62" s="14">
        <v>5443486561</v>
      </c>
      <c r="AB62" s="63">
        <v>1043837.65169</v>
      </c>
      <c r="AC62" s="63">
        <v>9000000</v>
      </c>
      <c r="AD62" s="63">
        <v>141199.467275495</v>
      </c>
      <c r="AE62" s="63">
        <v>160000</v>
      </c>
      <c r="AF62" s="63">
        <v>11790325.294500001</v>
      </c>
      <c r="AG62" s="14">
        <v>5582721359</v>
      </c>
      <c r="AH62" s="14">
        <v>4140256031.8000002</v>
      </c>
      <c r="AI62" s="14">
        <v>10533219112.5</v>
      </c>
      <c r="AJ62" s="14">
        <v>1674902898</v>
      </c>
      <c r="AK62" s="16"/>
    </row>
    <row r="63" spans="1:37" ht="15.75" customHeight="1" x14ac:dyDescent="0.25">
      <c r="A63" s="13">
        <v>46121</v>
      </c>
      <c r="B63" s="63">
        <v>1382.5</v>
      </c>
      <c r="C63" s="14">
        <v>0</v>
      </c>
      <c r="D63" s="14">
        <v>1175631886</v>
      </c>
      <c r="E63" s="14">
        <v>123676000</v>
      </c>
      <c r="F63" s="14">
        <v>65535000</v>
      </c>
      <c r="G63" s="14">
        <v>1601901</v>
      </c>
      <c r="H63" s="14">
        <v>2500000</v>
      </c>
      <c r="I63" s="14">
        <v>1576163559</v>
      </c>
      <c r="J63" s="14">
        <v>42810000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1134776419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1686304226</v>
      </c>
      <c r="Y63" s="14">
        <v>2366743698</v>
      </c>
      <c r="Z63" s="14">
        <v>202734656.16865</v>
      </c>
      <c r="AA63" s="14">
        <v>5260055414</v>
      </c>
      <c r="AB63" s="63">
        <v>1043837.65169</v>
      </c>
      <c r="AC63" s="63">
        <v>9000000</v>
      </c>
      <c r="AD63" s="63">
        <v>141199.467275495</v>
      </c>
      <c r="AE63" s="63">
        <v>160000</v>
      </c>
      <c r="AF63" s="63">
        <v>12461597.5765</v>
      </c>
      <c r="AG63" s="14">
        <v>5582721359</v>
      </c>
      <c r="AH63" s="14">
        <v>5314070090</v>
      </c>
      <c r="AI63" s="14">
        <v>10533219112.5</v>
      </c>
      <c r="AJ63" s="14">
        <v>1674902898</v>
      </c>
      <c r="AK63" s="16"/>
    </row>
    <row r="64" spans="1:37" ht="15.75" customHeight="1" x14ac:dyDescent="0.25">
      <c r="A64" s="13">
        <v>46122</v>
      </c>
      <c r="B64" s="63">
        <v>1382</v>
      </c>
      <c r="C64" s="14">
        <v>0</v>
      </c>
      <c r="D64" s="14">
        <v>1094067815</v>
      </c>
      <c r="E64" s="14">
        <v>-24741000</v>
      </c>
      <c r="F64" s="14">
        <v>50432000</v>
      </c>
      <c r="G64" s="14">
        <v>-47296000</v>
      </c>
      <c r="H64" s="14">
        <v>-12432000</v>
      </c>
      <c r="I64" s="14">
        <v>1608021539</v>
      </c>
      <c r="J64" s="14">
        <v>151448140</v>
      </c>
      <c r="K64" s="14">
        <v>0</v>
      </c>
      <c r="L64" s="14">
        <v>280819495</v>
      </c>
      <c r="M64" s="14">
        <v>0</v>
      </c>
      <c r="N64" s="14">
        <v>0</v>
      </c>
      <c r="O64" s="14">
        <v>0</v>
      </c>
      <c r="P64" s="14">
        <v>121038032</v>
      </c>
      <c r="Q64" s="14">
        <v>348167135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2103842933</v>
      </c>
      <c r="Y64" s="14">
        <v>2027049642</v>
      </c>
      <c r="Z64" s="14">
        <v>202734656.16865</v>
      </c>
      <c r="AA64" s="14">
        <v>5682562836</v>
      </c>
      <c r="AB64" s="63">
        <v>1043837.65169</v>
      </c>
      <c r="AC64" s="63">
        <v>9000000</v>
      </c>
      <c r="AD64" s="63">
        <v>141199.467275495</v>
      </c>
      <c r="AE64" s="63">
        <v>160000</v>
      </c>
      <c r="AF64" s="63">
        <v>14538528.596999999</v>
      </c>
      <c r="AG64" s="14">
        <v>5582721359</v>
      </c>
      <c r="AH64" s="14">
        <v>5504015514.3800001</v>
      </c>
      <c r="AI64" s="14">
        <v>10529409630</v>
      </c>
      <c r="AJ64" s="14">
        <v>1674902898</v>
      </c>
      <c r="AK64" s="16"/>
    </row>
    <row r="65" spans="1:37" ht="15.75" customHeight="1" x14ac:dyDescent="0.25">
      <c r="A65" s="13">
        <v>46125</v>
      </c>
      <c r="B65" s="63">
        <v>1371.5</v>
      </c>
      <c r="C65" s="14">
        <v>0</v>
      </c>
      <c r="D65" s="14">
        <v>1175319480</v>
      </c>
      <c r="E65" s="14">
        <v>-14800000</v>
      </c>
      <c r="F65" s="14">
        <v>80000000</v>
      </c>
      <c r="G65" s="14">
        <v>-47296000</v>
      </c>
      <c r="H65" s="14">
        <v>2500000</v>
      </c>
      <c r="I65" s="14">
        <v>1542847285</v>
      </c>
      <c r="J65" s="14">
        <v>351202908</v>
      </c>
      <c r="K65" s="14">
        <v>0</v>
      </c>
      <c r="L65" s="14">
        <v>218300000</v>
      </c>
      <c r="M65" s="14">
        <v>0</v>
      </c>
      <c r="N65" s="14">
        <v>0</v>
      </c>
      <c r="O65" s="14">
        <v>0</v>
      </c>
      <c r="P65" s="14">
        <v>6971504</v>
      </c>
      <c r="Q65" s="14">
        <v>111568478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1932169958</v>
      </c>
      <c r="Y65" s="14">
        <v>1746864264</v>
      </c>
      <c r="Z65" s="14">
        <v>202734656.16865</v>
      </c>
      <c r="AA65" s="14">
        <v>5567248779</v>
      </c>
      <c r="AB65" s="63">
        <v>1043837.65169</v>
      </c>
      <c r="AC65" s="63">
        <v>9000000</v>
      </c>
      <c r="AD65" s="63">
        <v>141199.467275495</v>
      </c>
      <c r="AE65" s="63">
        <v>160000</v>
      </c>
      <c r="AF65" s="63">
        <v>15414085.287</v>
      </c>
      <c r="AG65" s="14">
        <v>5582721359</v>
      </c>
      <c r="AH65" s="14">
        <v>4662286275.335</v>
      </c>
      <c r="AI65" s="14">
        <v>8655009844</v>
      </c>
      <c r="AJ65" s="14">
        <v>1525590577</v>
      </c>
      <c r="AK65" s="16"/>
    </row>
    <row r="66" spans="1:37" ht="15.75" customHeight="1" x14ac:dyDescent="0.25">
      <c r="A66" s="13">
        <v>46126</v>
      </c>
      <c r="B66" s="63">
        <v>1360</v>
      </c>
      <c r="C66" s="14">
        <v>0</v>
      </c>
      <c r="D66" s="14">
        <v>1403445482</v>
      </c>
      <c r="E66" s="14">
        <v>101354000</v>
      </c>
      <c r="F66" s="14">
        <v>85648232</v>
      </c>
      <c r="G66" s="14">
        <v>2698000</v>
      </c>
      <c r="H66" s="14">
        <v>3456000</v>
      </c>
      <c r="I66" s="14">
        <v>1310322293</v>
      </c>
      <c r="J66" s="14">
        <v>369655847</v>
      </c>
      <c r="K66" s="14">
        <v>0</v>
      </c>
      <c r="L66" s="14">
        <v>11005220</v>
      </c>
      <c r="M66" s="14">
        <v>0</v>
      </c>
      <c r="N66" s="14">
        <v>0</v>
      </c>
      <c r="O66" s="14">
        <v>0</v>
      </c>
      <c r="P66" s="14">
        <v>170686877</v>
      </c>
      <c r="Q66" s="14">
        <v>194410416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2839096283</v>
      </c>
      <c r="Y66" s="14">
        <v>1459313632</v>
      </c>
      <c r="Z66" s="14">
        <v>202734656.16865</v>
      </c>
      <c r="AA66" s="63">
        <v>5323936474</v>
      </c>
      <c r="AB66" s="63">
        <v>1043837.65169</v>
      </c>
      <c r="AC66" s="63">
        <v>9000000</v>
      </c>
      <c r="AD66" s="63">
        <v>141199.467275495</v>
      </c>
      <c r="AE66" s="63">
        <v>160000</v>
      </c>
      <c r="AF66" s="63">
        <v>15805699.747</v>
      </c>
      <c r="AG66" s="63">
        <v>5582721359</v>
      </c>
      <c r="AH66" s="14">
        <v>3817389440</v>
      </c>
      <c r="AI66" s="14">
        <v>8988796240</v>
      </c>
      <c r="AJ66" s="14">
        <v>0</v>
      </c>
      <c r="AK66" s="16"/>
    </row>
    <row r="67" spans="1:37" ht="15.75" customHeight="1" x14ac:dyDescent="0.25">
      <c r="A67" s="13">
        <v>46127</v>
      </c>
      <c r="B67" s="63">
        <v>1352</v>
      </c>
      <c r="C67" s="14">
        <v>0</v>
      </c>
      <c r="D67" s="14">
        <v>1403445482</v>
      </c>
      <c r="E67" s="14">
        <v>206593000</v>
      </c>
      <c r="F67" s="14">
        <v>85648232</v>
      </c>
      <c r="G67" s="14">
        <v>2611000</v>
      </c>
      <c r="H67" s="14">
        <v>3456000</v>
      </c>
      <c r="I67" s="14">
        <v>1310322293</v>
      </c>
      <c r="J67" s="14">
        <v>337214711</v>
      </c>
      <c r="K67" s="14">
        <v>0</v>
      </c>
      <c r="L67" s="14">
        <v>17878000</v>
      </c>
      <c r="M67" s="14">
        <v>0</v>
      </c>
      <c r="N67" s="14">
        <v>0</v>
      </c>
      <c r="O67" s="14">
        <v>0</v>
      </c>
      <c r="P67" s="14">
        <v>10914176</v>
      </c>
      <c r="Q67" s="14">
        <v>135510630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2495481224</v>
      </c>
      <c r="Y67" s="14">
        <v>1377700645</v>
      </c>
      <c r="Z67" s="14">
        <v>202734656.16865</v>
      </c>
      <c r="AA67" s="63">
        <v>5326477214</v>
      </c>
      <c r="AB67" s="63">
        <v>1043837.65169</v>
      </c>
      <c r="AC67" s="63">
        <v>9000000</v>
      </c>
      <c r="AD67" s="63">
        <v>141199.467275495</v>
      </c>
      <c r="AE67" s="63">
        <v>160000</v>
      </c>
      <c r="AF67" s="63">
        <v>14987064.137</v>
      </c>
      <c r="AG67" s="63">
        <v>5582721359</v>
      </c>
      <c r="AH67" s="14">
        <v>3567315544</v>
      </c>
      <c r="AI67" s="14">
        <v>8935920968</v>
      </c>
      <c r="AJ67" s="14">
        <v>0</v>
      </c>
      <c r="AK67" s="16"/>
    </row>
    <row r="68" spans="1:37" ht="15.75" customHeight="1" x14ac:dyDescent="0.25">
      <c r="A68" s="13">
        <v>46128</v>
      </c>
      <c r="B68" s="63">
        <v>1360</v>
      </c>
      <c r="C68" s="14">
        <v>0</v>
      </c>
      <c r="D68" s="14">
        <v>1210218285</v>
      </c>
      <c r="E68" s="14">
        <v>154506000</v>
      </c>
      <c r="F68" s="14">
        <v>206414000</v>
      </c>
      <c r="G68" s="14">
        <v>2669000</v>
      </c>
      <c r="H68" s="14">
        <v>3456000</v>
      </c>
      <c r="I68" s="14">
        <v>1265122000</v>
      </c>
      <c r="J68" s="14">
        <v>192956961</v>
      </c>
      <c r="K68" s="14">
        <v>0</v>
      </c>
      <c r="L68" s="14">
        <v>3652167</v>
      </c>
      <c r="M68" s="14">
        <v>0</v>
      </c>
      <c r="N68" s="14">
        <v>0</v>
      </c>
      <c r="O68" s="14">
        <v>0</v>
      </c>
      <c r="P68" s="14">
        <v>0</v>
      </c>
      <c r="Q68" s="14">
        <v>5532358</v>
      </c>
      <c r="R68" s="14">
        <v>0</v>
      </c>
      <c r="S68" s="14">
        <v>0</v>
      </c>
      <c r="T68" s="14">
        <v>27315764</v>
      </c>
      <c r="U68" s="14">
        <v>60000000</v>
      </c>
      <c r="V68" s="14">
        <v>0</v>
      </c>
      <c r="W68" s="14">
        <v>0</v>
      </c>
      <c r="X68" s="14">
        <v>2893419877</v>
      </c>
      <c r="Y68" s="14">
        <v>1329325329</v>
      </c>
      <c r="Z68" s="14">
        <v>202734656.16865</v>
      </c>
      <c r="AA68" s="63">
        <v>5326477214</v>
      </c>
      <c r="AB68" s="63">
        <v>1073356.5716899999</v>
      </c>
      <c r="AC68" s="63">
        <v>9000000</v>
      </c>
      <c r="AD68" s="63">
        <v>141199.467275495</v>
      </c>
      <c r="AE68" s="63">
        <v>160000</v>
      </c>
      <c r="AF68" s="63">
        <v>15105321.484999999</v>
      </c>
      <c r="AG68" s="63">
        <v>5582721359</v>
      </c>
      <c r="AH68" s="14">
        <v>3627743288</v>
      </c>
      <c r="AI68" s="14">
        <v>8756902640</v>
      </c>
      <c r="AJ68" s="14">
        <v>0</v>
      </c>
      <c r="AK68" s="16"/>
    </row>
    <row r="69" spans="1:37" ht="15.75" customHeight="1" x14ac:dyDescent="0.25">
      <c r="A69" s="13">
        <v>46129</v>
      </c>
      <c r="B69" s="63">
        <v>1350.5</v>
      </c>
      <c r="C69" s="14">
        <v>0</v>
      </c>
      <c r="D69" s="14">
        <v>1267593265</v>
      </c>
      <c r="E69" s="14">
        <v>76372453</v>
      </c>
      <c r="F69" s="14">
        <v>74285000</v>
      </c>
      <c r="G69" s="14">
        <v>9854000</v>
      </c>
      <c r="H69" s="14">
        <v>5000000</v>
      </c>
      <c r="I69" s="14">
        <v>1123224296</v>
      </c>
      <c r="J69" s="14">
        <v>469448182</v>
      </c>
      <c r="K69" s="14">
        <v>0</v>
      </c>
      <c r="L69" s="14">
        <v>29391431</v>
      </c>
      <c r="M69" s="14">
        <v>0</v>
      </c>
      <c r="N69" s="14">
        <v>0</v>
      </c>
      <c r="O69" s="14">
        <v>0</v>
      </c>
      <c r="P69" s="14">
        <v>0</v>
      </c>
      <c r="Q69" s="14">
        <v>5316363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2690024375</v>
      </c>
      <c r="Y69" s="14">
        <v>1324212687</v>
      </c>
      <c r="Z69" s="14">
        <v>202734656.16865</v>
      </c>
      <c r="AA69" s="63">
        <v>4452570427</v>
      </c>
      <c r="AB69" s="63">
        <v>1073356.5716899999</v>
      </c>
      <c r="AC69" s="63">
        <v>9000000</v>
      </c>
      <c r="AD69" s="63">
        <v>141199.467275495</v>
      </c>
      <c r="AE69" s="63">
        <v>160000</v>
      </c>
      <c r="AF69" s="63">
        <v>15276296.839</v>
      </c>
      <c r="AG69" s="63">
        <v>5582721359</v>
      </c>
      <c r="AH69" s="14">
        <v>3303933250.4349999</v>
      </c>
      <c r="AI69" s="14">
        <v>8165952205</v>
      </c>
      <c r="AJ69" s="14">
        <v>0</v>
      </c>
      <c r="AK69" s="16"/>
    </row>
    <row r="70" spans="1:37" ht="15.75" customHeight="1" x14ac:dyDescent="0.25">
      <c r="A70" s="13">
        <v>46132</v>
      </c>
      <c r="B70" s="63">
        <v>1355.5</v>
      </c>
      <c r="C70" s="14">
        <v>0</v>
      </c>
      <c r="D70" s="14">
        <v>1267593265</v>
      </c>
      <c r="E70" s="14">
        <v>-116067000</v>
      </c>
      <c r="F70" s="14">
        <v>52600000</v>
      </c>
      <c r="G70" s="14">
        <v>4790000</v>
      </c>
      <c r="H70" s="14">
        <v>5000000</v>
      </c>
      <c r="I70" s="14">
        <v>1240572794</v>
      </c>
      <c r="J70" s="14">
        <v>300914150</v>
      </c>
      <c r="K70" s="14">
        <v>0</v>
      </c>
      <c r="L70" s="14">
        <v>77682307</v>
      </c>
      <c r="M70" s="14">
        <v>0</v>
      </c>
      <c r="N70" s="14">
        <v>0</v>
      </c>
      <c r="O70" s="14">
        <v>0</v>
      </c>
      <c r="P70" s="14">
        <v>14964634</v>
      </c>
      <c r="Q70" s="14">
        <v>158411799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2626877814</v>
      </c>
      <c r="Y70" s="14">
        <v>1210621552</v>
      </c>
      <c r="Z70" s="14">
        <v>202734656.16865</v>
      </c>
      <c r="AA70" s="63">
        <v>4251587803</v>
      </c>
      <c r="AB70" s="63">
        <v>1073356.5716899999</v>
      </c>
      <c r="AC70" s="63">
        <v>9000000</v>
      </c>
      <c r="AD70" s="63">
        <v>141199.467275495</v>
      </c>
      <c r="AE70" s="63">
        <v>160000</v>
      </c>
      <c r="AF70" s="63">
        <v>15276296.839</v>
      </c>
      <c r="AG70" s="63">
        <v>5582721359</v>
      </c>
      <c r="AH70" s="14">
        <v>2711482923.9850001</v>
      </c>
      <c r="AI70" s="14">
        <v>9988148144</v>
      </c>
      <c r="AJ70" s="14">
        <v>80200000</v>
      </c>
      <c r="AK70" s="16"/>
    </row>
    <row r="71" spans="1:37" ht="15.75" customHeight="1" x14ac:dyDescent="0.25">
      <c r="A71" s="13">
        <v>46133</v>
      </c>
      <c r="B71" s="63">
        <v>1372</v>
      </c>
      <c r="C71" s="14">
        <v>0</v>
      </c>
      <c r="D71" s="14">
        <v>1338654892</v>
      </c>
      <c r="E71" s="14">
        <v>-35371000</v>
      </c>
      <c r="F71" s="14">
        <v>163000000</v>
      </c>
      <c r="G71" s="14">
        <v>4790000</v>
      </c>
      <c r="H71" s="14">
        <v>5000000</v>
      </c>
      <c r="I71" s="14">
        <v>1110138054</v>
      </c>
      <c r="J71" s="14">
        <v>292098764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201453922</v>
      </c>
      <c r="Q71" s="14">
        <v>133001436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2169131172</v>
      </c>
      <c r="Y71" s="14">
        <v>765562959</v>
      </c>
      <c r="Z71" s="14">
        <v>202734656.16865</v>
      </c>
      <c r="AA71" s="63">
        <v>4290166643</v>
      </c>
      <c r="AB71" s="63">
        <v>1146353.5376899999</v>
      </c>
      <c r="AC71" s="63">
        <v>9000000</v>
      </c>
      <c r="AD71" s="63">
        <v>141199.467275495</v>
      </c>
      <c r="AE71" s="63">
        <v>160000</v>
      </c>
      <c r="AF71" s="63">
        <v>16078914.694499999</v>
      </c>
      <c r="AG71" s="63">
        <v>5582721359</v>
      </c>
      <c r="AH71" s="14">
        <v>2560829452.4400001</v>
      </c>
      <c r="AI71" s="14">
        <v>10109730176</v>
      </c>
      <c r="AJ71" s="14">
        <v>80265000</v>
      </c>
      <c r="AK71" s="16"/>
    </row>
    <row r="72" spans="1:37" ht="15.75" customHeight="1" x14ac:dyDescent="0.25">
      <c r="A72" s="13">
        <v>46134</v>
      </c>
      <c r="B72" s="63">
        <v>1377</v>
      </c>
      <c r="C72" s="14">
        <v>0</v>
      </c>
      <c r="D72" s="14">
        <v>1391899942</v>
      </c>
      <c r="E72" s="14">
        <v>295000000</v>
      </c>
      <c r="F72" s="14">
        <v>143000000</v>
      </c>
      <c r="G72" s="14">
        <v>9743000</v>
      </c>
      <c r="H72" s="14">
        <v>5000000</v>
      </c>
      <c r="I72" s="14">
        <v>1055697748</v>
      </c>
      <c r="J72" s="14">
        <v>211947173</v>
      </c>
      <c r="K72" s="14">
        <v>0</v>
      </c>
      <c r="L72" s="14">
        <v>842000</v>
      </c>
      <c r="M72" s="14">
        <v>0</v>
      </c>
      <c r="N72" s="14">
        <v>0</v>
      </c>
      <c r="O72" s="14">
        <v>141952080</v>
      </c>
      <c r="P72" s="14">
        <v>0</v>
      </c>
      <c r="Q72" s="14">
        <v>89500000</v>
      </c>
      <c r="R72" s="14">
        <v>0</v>
      </c>
      <c r="S72" s="14">
        <v>0</v>
      </c>
      <c r="T72" s="14">
        <v>0</v>
      </c>
      <c r="U72" s="14">
        <v>80000000</v>
      </c>
      <c r="V72" s="14">
        <v>0</v>
      </c>
      <c r="W72" s="14">
        <v>0</v>
      </c>
      <c r="X72" s="14">
        <v>1992139178</v>
      </c>
      <c r="Y72" s="14">
        <v>560117810</v>
      </c>
      <c r="Z72" s="14">
        <v>202734656.16865</v>
      </c>
      <c r="AA72" s="63">
        <v>4379298833</v>
      </c>
      <c r="AB72" s="63">
        <v>1146353.5376899999</v>
      </c>
      <c r="AC72" s="63">
        <v>9000000</v>
      </c>
      <c r="AD72" s="63">
        <v>141199.467275495</v>
      </c>
      <c r="AE72" s="63">
        <v>160000</v>
      </c>
      <c r="AF72" s="63">
        <v>16224100.4625</v>
      </c>
      <c r="AG72" s="63">
        <v>5582721359</v>
      </c>
      <c r="AH72" s="14">
        <v>2313985529.79</v>
      </c>
      <c r="AI72" s="14">
        <v>9900817272</v>
      </c>
      <c r="AJ72" s="14">
        <v>80300000</v>
      </c>
      <c r="AK72" s="16"/>
    </row>
    <row r="73" spans="1:37" ht="15.75" customHeight="1" x14ac:dyDescent="0.25">
      <c r="A73" s="13">
        <v>46135</v>
      </c>
      <c r="B73" s="63">
        <v>1373.5</v>
      </c>
      <c r="C73" s="14">
        <v>0</v>
      </c>
      <c r="D73" s="14">
        <v>1414433742</v>
      </c>
      <c r="E73" s="14">
        <v>27566000</v>
      </c>
      <c r="F73" s="14">
        <v>17046000</v>
      </c>
      <c r="G73" s="14">
        <v>2895000</v>
      </c>
      <c r="H73" s="14">
        <v>5000000</v>
      </c>
      <c r="I73" s="14">
        <v>1206468829</v>
      </c>
      <c r="J73" s="14">
        <v>255556200</v>
      </c>
      <c r="K73" s="14">
        <v>0</v>
      </c>
      <c r="L73" s="14">
        <v>33242998</v>
      </c>
      <c r="M73" s="14">
        <v>0</v>
      </c>
      <c r="N73" s="14">
        <v>0</v>
      </c>
      <c r="O73" s="14">
        <v>0</v>
      </c>
      <c r="P73" s="14">
        <v>21014869</v>
      </c>
      <c r="Q73" s="14">
        <v>15400000</v>
      </c>
      <c r="R73" s="14">
        <v>0</v>
      </c>
      <c r="S73" s="14">
        <v>0</v>
      </c>
      <c r="T73" s="14">
        <v>22900000</v>
      </c>
      <c r="U73" s="14">
        <v>0</v>
      </c>
      <c r="V73" s="14">
        <v>0</v>
      </c>
      <c r="W73" s="14">
        <v>0</v>
      </c>
      <c r="X73" s="14">
        <v>1519394912</v>
      </c>
      <c r="Y73" s="14">
        <v>551752466</v>
      </c>
      <c r="Z73" s="14">
        <v>202734656.16865</v>
      </c>
      <c r="AA73" s="63">
        <v>4712030319</v>
      </c>
      <c r="AB73" s="63">
        <v>1146353.5376899999</v>
      </c>
      <c r="AC73" s="63">
        <v>9000000</v>
      </c>
      <c r="AD73" s="63">
        <v>141199.467275495</v>
      </c>
      <c r="AE73" s="63">
        <v>160000</v>
      </c>
      <c r="AF73" s="63">
        <v>16778257.956500001</v>
      </c>
      <c r="AG73" s="63">
        <v>5582721359</v>
      </c>
      <c r="AH73" s="14">
        <v>1753393164.7449999</v>
      </c>
      <c r="AI73" s="14">
        <v>9875651796</v>
      </c>
      <c r="AJ73" s="14">
        <v>15309000</v>
      </c>
      <c r="AK73" s="16"/>
    </row>
    <row r="74" spans="1:37" ht="15.75" customHeight="1" x14ac:dyDescent="0.25">
      <c r="A74" s="13">
        <v>46136</v>
      </c>
      <c r="B74" s="63">
        <v>1382</v>
      </c>
      <c r="C74" s="14">
        <v>0</v>
      </c>
      <c r="D74" s="14">
        <v>1597175171</v>
      </c>
      <c r="E74" s="14">
        <v>75000000</v>
      </c>
      <c r="F74" s="14">
        <v>43802000</v>
      </c>
      <c r="G74" s="14">
        <v>9793000</v>
      </c>
      <c r="H74" s="14">
        <v>5000000</v>
      </c>
      <c r="I74" s="14">
        <v>1077543013</v>
      </c>
      <c r="J74" s="14">
        <v>234611000</v>
      </c>
      <c r="K74" s="14">
        <v>0</v>
      </c>
      <c r="L74" s="14">
        <v>5400000</v>
      </c>
      <c r="M74" s="14">
        <v>0</v>
      </c>
      <c r="N74" s="14">
        <v>0</v>
      </c>
      <c r="O74" s="14">
        <v>2056026</v>
      </c>
      <c r="P74" s="14">
        <v>0</v>
      </c>
      <c r="Q74" s="14">
        <v>15684872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1585276144</v>
      </c>
      <c r="Y74" s="14">
        <v>881125903</v>
      </c>
      <c r="Z74" s="14">
        <v>202734656.16865</v>
      </c>
      <c r="AA74" s="63">
        <v>4694734694</v>
      </c>
      <c r="AB74" s="63">
        <v>1197403.0916899999</v>
      </c>
      <c r="AC74" s="63">
        <v>9000000</v>
      </c>
      <c r="AD74" s="63">
        <v>141199.467275495</v>
      </c>
      <c r="AE74" s="63">
        <v>160000</v>
      </c>
      <c r="AF74" s="63">
        <v>17866546.067499999</v>
      </c>
      <c r="AG74" s="63">
        <v>5582721359</v>
      </c>
      <c r="AH74" s="14">
        <v>1415845622.24</v>
      </c>
      <c r="AI74" s="14">
        <v>9936767952</v>
      </c>
      <c r="AJ74" s="14">
        <v>15316000</v>
      </c>
      <c r="AK74" s="16"/>
    </row>
    <row r="75" spans="1:37" ht="15.75" customHeight="1" x14ac:dyDescent="0.25">
      <c r="A75" s="13">
        <v>46139</v>
      </c>
      <c r="B75" s="63">
        <v>1392</v>
      </c>
      <c r="C75" s="14">
        <v>0</v>
      </c>
      <c r="D75" s="14">
        <v>1175405558</v>
      </c>
      <c r="E75" s="14">
        <v>60784000</v>
      </c>
      <c r="F75" s="14">
        <v>52904000</v>
      </c>
      <c r="G75" s="14">
        <v>-850000</v>
      </c>
      <c r="H75" s="14">
        <v>5000000</v>
      </c>
      <c r="I75" s="14">
        <v>1508308609</v>
      </c>
      <c r="J75" s="14">
        <v>252767155</v>
      </c>
      <c r="K75" s="14">
        <v>0</v>
      </c>
      <c r="L75" s="14">
        <v>4233335</v>
      </c>
      <c r="M75" s="14">
        <v>0</v>
      </c>
      <c r="N75" s="14">
        <v>0</v>
      </c>
      <c r="O75" s="14">
        <v>13501112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1343741521</v>
      </c>
      <c r="Y75" s="14">
        <v>864331855</v>
      </c>
      <c r="Z75" s="14">
        <v>202734656.16865</v>
      </c>
      <c r="AA75" s="63">
        <v>5547195047</v>
      </c>
      <c r="AB75" s="63">
        <v>1197403.0916899999</v>
      </c>
      <c r="AC75" s="63">
        <v>9000000</v>
      </c>
      <c r="AD75" s="63">
        <v>141199.467275495</v>
      </c>
      <c r="AE75" s="63">
        <v>160000</v>
      </c>
      <c r="AF75" s="63">
        <v>19735952.995499998</v>
      </c>
      <c r="AG75" s="63">
        <v>5582721359</v>
      </c>
      <c r="AH75" s="14">
        <v>1255812844.8</v>
      </c>
      <c r="AI75" s="14">
        <v>10846823136</v>
      </c>
      <c r="AJ75" s="14">
        <v>15337000</v>
      </c>
      <c r="AK75" s="16"/>
    </row>
    <row r="76" spans="1:37" ht="15.75" customHeight="1" x14ac:dyDescent="0.25">
      <c r="A76" s="13">
        <v>46140</v>
      </c>
      <c r="B76" s="63">
        <v>1406</v>
      </c>
      <c r="C76" s="14">
        <v>0</v>
      </c>
      <c r="D76" s="14">
        <v>1246590848</v>
      </c>
      <c r="E76" s="14">
        <v>155954000</v>
      </c>
      <c r="F76" s="14">
        <v>168196000</v>
      </c>
      <c r="G76" s="14">
        <v>1889000</v>
      </c>
      <c r="H76" s="14">
        <v>2000000</v>
      </c>
      <c r="I76" s="14">
        <v>988265645</v>
      </c>
      <c r="J76" s="14">
        <v>253969477</v>
      </c>
      <c r="K76" s="14">
        <v>0</v>
      </c>
      <c r="L76" s="14">
        <v>2400000</v>
      </c>
      <c r="M76" s="14">
        <v>0</v>
      </c>
      <c r="N76" s="14">
        <v>0</v>
      </c>
      <c r="O76" s="14">
        <v>0</v>
      </c>
      <c r="P76" s="14">
        <v>0</v>
      </c>
      <c r="Q76" s="14">
        <v>29500000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1095625975</v>
      </c>
      <c r="Y76" s="14">
        <v>847059423</v>
      </c>
      <c r="Z76" s="14">
        <v>202734656.16865</v>
      </c>
      <c r="AA76" s="63">
        <v>5696016937</v>
      </c>
      <c r="AB76" s="63">
        <v>1197403.0916899999</v>
      </c>
      <c r="AC76" s="63">
        <v>9000000</v>
      </c>
      <c r="AD76" s="63">
        <v>141199.467275495</v>
      </c>
      <c r="AE76" s="63">
        <v>160000</v>
      </c>
      <c r="AF76" s="63">
        <v>20113367.468499999</v>
      </c>
      <c r="AG76" s="63">
        <v>5582721359</v>
      </c>
      <c r="AH76" s="14">
        <v>1000314869</v>
      </c>
      <c r="AI76" s="14">
        <v>10886710022</v>
      </c>
      <c r="AJ76" s="14">
        <v>15344000</v>
      </c>
      <c r="AK76" s="16"/>
    </row>
    <row r="77" spans="1:37" ht="15.75" customHeight="1" x14ac:dyDescent="0.25">
      <c r="A77" s="13">
        <v>46141</v>
      </c>
      <c r="B77" s="63">
        <v>1400</v>
      </c>
      <c r="C77" s="14">
        <v>0</v>
      </c>
      <c r="D77" s="14">
        <v>957101202</v>
      </c>
      <c r="E77" s="14">
        <v>-105615000</v>
      </c>
      <c r="F77" s="14">
        <v>183500000</v>
      </c>
      <c r="G77" s="14">
        <v>1946000</v>
      </c>
      <c r="H77" s="14">
        <v>2000000</v>
      </c>
      <c r="I77" s="14">
        <v>955153045</v>
      </c>
      <c r="J77" s="14">
        <v>387161334</v>
      </c>
      <c r="K77" s="14">
        <v>0</v>
      </c>
      <c r="L77" s="14">
        <v>4086149</v>
      </c>
      <c r="M77" s="14">
        <v>0</v>
      </c>
      <c r="N77" s="14">
        <v>0</v>
      </c>
      <c r="O77" s="14">
        <v>7328761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870640000</v>
      </c>
      <c r="Y77" s="14">
        <v>1020219535</v>
      </c>
      <c r="Z77" s="14">
        <v>202734656.16865</v>
      </c>
      <c r="AA77" s="63">
        <v>6059237792</v>
      </c>
      <c r="AB77" s="63">
        <v>1197403.0916899999</v>
      </c>
      <c r="AC77" s="63">
        <v>9000000</v>
      </c>
      <c r="AD77" s="63">
        <v>141199.467275495</v>
      </c>
      <c r="AE77" s="63">
        <v>160000</v>
      </c>
      <c r="AF77" s="63">
        <v>20113367.468499999</v>
      </c>
      <c r="AG77" s="63">
        <v>5582721359</v>
      </c>
      <c r="AH77" s="14">
        <v>1440833100</v>
      </c>
      <c r="AI77" s="14">
        <v>10870927200</v>
      </c>
      <c r="AJ77" s="14">
        <v>15351000</v>
      </c>
      <c r="AK77" s="16"/>
    </row>
    <row r="78" spans="1:37" ht="15.75" customHeight="1" x14ac:dyDescent="0.25">
      <c r="A78" s="13">
        <v>46142</v>
      </c>
      <c r="B78" s="63">
        <v>1400</v>
      </c>
      <c r="C78" s="14">
        <v>0</v>
      </c>
      <c r="D78" s="14">
        <v>1116981335</v>
      </c>
      <c r="E78" s="14">
        <v>21500000</v>
      </c>
      <c r="F78" s="14">
        <v>324500000</v>
      </c>
      <c r="G78" s="14">
        <v>1946000</v>
      </c>
      <c r="H78" s="14">
        <v>2000000</v>
      </c>
      <c r="I78" s="14">
        <v>1013495558</v>
      </c>
      <c r="J78" s="14">
        <v>419782337</v>
      </c>
      <c r="K78" s="14">
        <v>0</v>
      </c>
      <c r="L78" s="14">
        <v>115404377</v>
      </c>
      <c r="M78" s="14">
        <v>0</v>
      </c>
      <c r="N78" s="14">
        <v>0</v>
      </c>
      <c r="O78" s="14">
        <v>0</v>
      </c>
      <c r="P78" s="14">
        <v>0</v>
      </c>
      <c r="Q78" s="14">
        <v>4527200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949484713</v>
      </c>
      <c r="Y78" s="14">
        <v>1574004295</v>
      </c>
      <c r="Z78" s="14">
        <v>202734656.16865</v>
      </c>
      <c r="AA78" s="63">
        <v>6734890193</v>
      </c>
      <c r="AB78" s="63">
        <v>1197403.0916899999</v>
      </c>
      <c r="AC78" s="63">
        <v>9000000</v>
      </c>
      <c r="AD78" s="63">
        <v>141199.467275495</v>
      </c>
      <c r="AE78" s="63">
        <v>160000</v>
      </c>
      <c r="AF78" s="63">
        <v>10799849.478499999</v>
      </c>
      <c r="AG78" s="63">
        <v>5582721359</v>
      </c>
      <c r="AH78" s="14">
        <v>2504740980</v>
      </c>
      <c r="AI78" s="14">
        <v>10664858400</v>
      </c>
      <c r="AJ78" s="14">
        <v>15375000</v>
      </c>
      <c r="AK78" s="16"/>
    </row>
    <row r="79" spans="1:37" ht="15.75" customHeight="1" x14ac:dyDescent="0.25">
      <c r="A79" s="13">
        <v>46146</v>
      </c>
      <c r="B79" s="63">
        <v>1375</v>
      </c>
      <c r="C79" s="14">
        <v>0</v>
      </c>
      <c r="D79" s="14">
        <v>1131935735</v>
      </c>
      <c r="E79" s="14">
        <v>166033000</v>
      </c>
      <c r="F79" s="14">
        <v>28500000</v>
      </c>
      <c r="G79" s="14">
        <v>8048000</v>
      </c>
      <c r="H79" s="14">
        <v>2000000</v>
      </c>
      <c r="I79" s="14">
        <v>903817018</v>
      </c>
      <c r="J79" s="14">
        <v>229734851</v>
      </c>
      <c r="K79" s="14">
        <v>0</v>
      </c>
      <c r="L79" s="14">
        <v>150337439</v>
      </c>
      <c r="M79" s="14">
        <v>0</v>
      </c>
      <c r="N79" s="14">
        <v>0</v>
      </c>
      <c r="O79" s="14">
        <v>0</v>
      </c>
      <c r="P79" s="14">
        <v>0</v>
      </c>
      <c r="Q79" s="14">
        <v>219029189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761417437</v>
      </c>
      <c r="Y79" s="14">
        <v>1204637667</v>
      </c>
      <c r="Z79" s="14">
        <v>202734656.16865</v>
      </c>
      <c r="AA79" s="63">
        <v>6714755409</v>
      </c>
      <c r="AB79" s="63">
        <v>1197403.0916899999</v>
      </c>
      <c r="AC79" s="63">
        <v>9000000</v>
      </c>
      <c r="AD79" s="63">
        <v>141199.467275495</v>
      </c>
      <c r="AE79" s="63">
        <v>280000</v>
      </c>
      <c r="AF79" s="63">
        <v>11061867.478499999</v>
      </c>
      <c r="AG79" s="63">
        <v>5582721359</v>
      </c>
      <c r="AH79" s="14">
        <v>2267595962.5</v>
      </c>
      <c r="AI79" s="14">
        <v>10000689875</v>
      </c>
      <c r="AJ79" s="14">
        <v>15387507</v>
      </c>
      <c r="AK79" s="16"/>
    </row>
    <row r="80" spans="1:37" ht="15.75" customHeight="1" x14ac:dyDescent="0.25">
      <c r="A80" s="13">
        <v>46147</v>
      </c>
      <c r="B80" s="63">
        <v>1396.5</v>
      </c>
      <c r="C80" s="14">
        <v>0</v>
      </c>
      <c r="D80" s="14">
        <v>915176645</v>
      </c>
      <c r="E80" s="14">
        <v>148789000</v>
      </c>
      <c r="F80" s="14">
        <v>56350000</v>
      </c>
      <c r="G80" s="14">
        <v>7900000</v>
      </c>
      <c r="H80" s="14">
        <v>2000000</v>
      </c>
      <c r="I80" s="14">
        <v>1234633053</v>
      </c>
      <c r="J80" s="14">
        <v>78748672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22222231</v>
      </c>
      <c r="Q80" s="14">
        <v>371180743</v>
      </c>
      <c r="R80" s="14">
        <v>0</v>
      </c>
      <c r="S80" s="14">
        <v>0</v>
      </c>
      <c r="T80" s="14">
        <v>0</v>
      </c>
      <c r="U80" s="14">
        <v>100000000</v>
      </c>
      <c r="V80" s="14">
        <v>0</v>
      </c>
      <c r="W80" s="14">
        <v>0</v>
      </c>
      <c r="X80" s="14">
        <v>841723050</v>
      </c>
      <c r="Y80" s="14">
        <v>3021797600</v>
      </c>
      <c r="Z80" s="14">
        <v>202734656.16865</v>
      </c>
      <c r="AA80" s="63">
        <v>6871897895</v>
      </c>
      <c r="AB80" s="63">
        <v>1196248.61769</v>
      </c>
      <c r="AC80" s="63">
        <v>9000000</v>
      </c>
      <c r="AD80" s="63">
        <v>141199.467275495</v>
      </c>
      <c r="AE80" s="63">
        <v>280000</v>
      </c>
      <c r="AF80" s="63">
        <v>11210473.578500001</v>
      </c>
      <c r="AG80" s="63">
        <v>5582721359</v>
      </c>
      <c r="AH80" s="14">
        <v>3108364389.0599999</v>
      </c>
      <c r="AI80" s="14">
        <v>9693476572.5</v>
      </c>
      <c r="AJ80" s="14">
        <v>15392000</v>
      </c>
      <c r="AK80" s="16"/>
    </row>
    <row r="81" spans="1:37" ht="15.75" customHeight="1" x14ac:dyDescent="0.25">
      <c r="A81" s="13">
        <v>46148</v>
      </c>
      <c r="B81" s="63">
        <v>1394</v>
      </c>
      <c r="C81" s="14">
        <v>0</v>
      </c>
      <c r="D81" s="14">
        <v>1004100985</v>
      </c>
      <c r="E81" s="14">
        <v>169968000</v>
      </c>
      <c r="F81" s="14">
        <v>154116000</v>
      </c>
      <c r="G81" s="14">
        <v>5631000</v>
      </c>
      <c r="H81" s="14">
        <v>2000000</v>
      </c>
      <c r="I81" s="14">
        <v>1157142384</v>
      </c>
      <c r="J81" s="14">
        <v>164021678</v>
      </c>
      <c r="K81" s="14">
        <v>0</v>
      </c>
      <c r="L81" s="14">
        <v>8902350</v>
      </c>
      <c r="M81" s="14">
        <v>0</v>
      </c>
      <c r="N81" s="14">
        <v>0</v>
      </c>
      <c r="O81" s="14">
        <v>0</v>
      </c>
      <c r="P81" s="14">
        <v>15369453</v>
      </c>
      <c r="Q81" s="14">
        <v>196498507</v>
      </c>
      <c r="R81" s="14">
        <v>0</v>
      </c>
      <c r="S81" s="14">
        <v>0</v>
      </c>
      <c r="T81" s="14">
        <v>0</v>
      </c>
      <c r="U81" s="14">
        <v>180000000</v>
      </c>
      <c r="V81" s="14">
        <v>0</v>
      </c>
      <c r="W81" s="14">
        <v>0</v>
      </c>
      <c r="X81" s="14">
        <v>1105183352</v>
      </c>
      <c r="Y81" s="14">
        <v>3123849992</v>
      </c>
      <c r="Z81" s="14">
        <v>202734656.16865</v>
      </c>
      <c r="AA81" s="63">
        <v>7025155800</v>
      </c>
      <c r="AB81" s="63">
        <v>1196248.61769</v>
      </c>
      <c r="AC81" s="63">
        <v>9000000</v>
      </c>
      <c r="AD81" s="63">
        <v>141199.467275495</v>
      </c>
      <c r="AE81" s="63">
        <v>280000</v>
      </c>
      <c r="AF81" s="63">
        <v>12797567.936000001</v>
      </c>
      <c r="AG81" s="63">
        <v>5582721359</v>
      </c>
      <c r="AH81" s="14">
        <v>2680599046.96</v>
      </c>
      <c r="AI81" s="14">
        <v>8928795828</v>
      </c>
      <c r="AJ81" s="14">
        <v>67392000</v>
      </c>
      <c r="AK81" s="16"/>
    </row>
    <row r="82" spans="1:37" ht="15.75" customHeight="1" x14ac:dyDescent="0.25">
      <c r="A82" s="13">
        <v>46149</v>
      </c>
      <c r="B82" s="63">
        <v>1383</v>
      </c>
      <c r="C82" s="14">
        <v>0</v>
      </c>
      <c r="D82" s="14">
        <v>1004100985</v>
      </c>
      <c r="E82" s="14">
        <v>56178000</v>
      </c>
      <c r="F82" s="14">
        <v>13243000</v>
      </c>
      <c r="G82" s="14">
        <v>4270000</v>
      </c>
      <c r="H82" s="14">
        <v>2000000</v>
      </c>
      <c r="I82" s="14">
        <v>1586995953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1237302832.29</v>
      </c>
      <c r="Y82" s="14">
        <v>2896014463</v>
      </c>
      <c r="Z82" s="14">
        <v>202734656.16865</v>
      </c>
      <c r="AA82" s="63">
        <v>7174765725</v>
      </c>
      <c r="AB82" s="63">
        <v>1196248.61769</v>
      </c>
      <c r="AC82" s="63">
        <v>9000000</v>
      </c>
      <c r="AD82" s="63">
        <v>141199.467275495</v>
      </c>
      <c r="AE82" s="63">
        <v>280000</v>
      </c>
      <c r="AF82" s="63">
        <v>12657303.614</v>
      </c>
      <c r="AG82" s="63">
        <v>5582721359</v>
      </c>
      <c r="AH82" s="14">
        <v>2731278746</v>
      </c>
      <c r="AI82" s="14">
        <v>8858339046</v>
      </c>
      <c r="AJ82" s="14">
        <v>102471144</v>
      </c>
      <c r="AK82" s="16"/>
    </row>
    <row r="83" spans="1:37" ht="15.75" customHeight="1" x14ac:dyDescent="0.25">
      <c r="A83" s="13">
        <v>46150</v>
      </c>
      <c r="B83" s="63">
        <v>1388</v>
      </c>
      <c r="C83" s="14"/>
      <c r="D83" s="14">
        <v>1026676615</v>
      </c>
      <c r="E83" s="14">
        <v>160451000</v>
      </c>
      <c r="F83" s="14">
        <v>50895000</v>
      </c>
      <c r="G83" s="14">
        <v>2169000</v>
      </c>
      <c r="H83" s="14">
        <v>1428000</v>
      </c>
      <c r="I83" s="14">
        <v>1617879590</v>
      </c>
      <c r="J83" s="14">
        <v>284346273</v>
      </c>
      <c r="K83" s="14"/>
      <c r="L83" s="14">
        <v>204023840</v>
      </c>
      <c r="M83" s="14"/>
      <c r="N83" s="14"/>
      <c r="O83" s="14"/>
      <c r="P83" s="14">
        <v>2425645</v>
      </c>
      <c r="Q83" s="14">
        <v>13418493</v>
      </c>
      <c r="R83" s="14"/>
      <c r="S83" s="14"/>
      <c r="T83" s="14"/>
      <c r="U83" s="14"/>
      <c r="V83" s="14"/>
      <c r="W83" s="14"/>
      <c r="X83" s="14">
        <v>1738503267</v>
      </c>
      <c r="Y83" s="14">
        <v>2698378718</v>
      </c>
      <c r="Z83" s="14">
        <v>202734656.16865012</v>
      </c>
      <c r="AA83" s="63">
        <v>6689223249</v>
      </c>
      <c r="AB83" s="63">
        <v>1196248.61769</v>
      </c>
      <c r="AC83" s="63">
        <v>9000000</v>
      </c>
      <c r="AD83" s="63">
        <v>141199.47</v>
      </c>
      <c r="AE83" s="63">
        <v>280000</v>
      </c>
      <c r="AF83" s="63">
        <v>12737370.011500001</v>
      </c>
      <c r="AG83" s="63">
        <v>5582721359</v>
      </c>
      <c r="AH83" s="14">
        <v>2088518048</v>
      </c>
      <c r="AI83" s="14">
        <v>8890364856</v>
      </c>
      <c r="AJ83" s="14">
        <v>90511582</v>
      </c>
      <c r="AK83" s="16"/>
    </row>
    <row r="84" spans="1:37" ht="15.75" customHeight="1" x14ac:dyDescent="0.25">
      <c r="A84" s="13">
        <v>46153</v>
      </c>
      <c r="B84" s="63">
        <v>1389</v>
      </c>
      <c r="C84" s="14"/>
      <c r="D84" s="14">
        <v>1026676615</v>
      </c>
      <c r="E84" s="14">
        <v>177905205</v>
      </c>
      <c r="F84" s="14">
        <v>26207670</v>
      </c>
      <c r="G84" s="14">
        <v>-42250000</v>
      </c>
      <c r="H84" s="14">
        <v>2000000</v>
      </c>
      <c r="I84" s="14">
        <v>1897154988</v>
      </c>
      <c r="J84" s="14">
        <v>60206933</v>
      </c>
      <c r="K84" s="14">
        <v>86098436</v>
      </c>
      <c r="L84" s="14">
        <v>46609610</v>
      </c>
      <c r="M84" s="14"/>
      <c r="N84" s="14"/>
      <c r="O84" s="14"/>
      <c r="P84" s="14">
        <v>49239273</v>
      </c>
      <c r="Q84" s="14">
        <v>1226584509</v>
      </c>
      <c r="R84" s="14">
        <v>4462000</v>
      </c>
      <c r="S84" s="14"/>
      <c r="T84" s="14"/>
      <c r="U84" s="14"/>
      <c r="V84" s="14"/>
      <c r="W84" s="14"/>
      <c r="X84" s="14">
        <v>1697009243</v>
      </c>
      <c r="Y84" s="14">
        <v>1215298412</v>
      </c>
      <c r="Z84" s="14">
        <v>202734656.16865012</v>
      </c>
      <c r="AA84" s="63">
        <v>6649944967</v>
      </c>
      <c r="AB84" s="63">
        <v>1196248.61769</v>
      </c>
      <c r="AC84" s="63">
        <v>10000000</v>
      </c>
      <c r="AD84" s="63">
        <v>141199.47</v>
      </c>
      <c r="AE84" s="63">
        <v>280000</v>
      </c>
      <c r="AF84" s="63">
        <v>12946008.067500001</v>
      </c>
      <c r="AG84" s="63">
        <v>5582721359</v>
      </c>
      <c r="AH84" s="14">
        <v>2272274354</v>
      </c>
      <c r="AI84" s="14">
        <v>9463757040</v>
      </c>
      <c r="AJ84" s="14">
        <v>90663001</v>
      </c>
      <c r="AK84" s="16"/>
    </row>
    <row r="85" spans="1:37" ht="15.75" customHeight="1" x14ac:dyDescent="0.25">
      <c r="A85" s="13">
        <v>46154</v>
      </c>
      <c r="B85" s="63">
        <v>1391</v>
      </c>
      <c r="C85" s="14"/>
      <c r="D85" s="14">
        <v>1026676615</v>
      </c>
      <c r="E85" s="14">
        <v>-39733000</v>
      </c>
      <c r="F85" s="14">
        <v>54938000</v>
      </c>
      <c r="G85" s="14">
        <v>7516000</v>
      </c>
      <c r="H85" s="14">
        <v>2000000</v>
      </c>
      <c r="I85" s="14">
        <v>1897154988</v>
      </c>
      <c r="J85" s="14">
        <v>350881600</v>
      </c>
      <c r="K85" s="14"/>
      <c r="L85" s="14"/>
      <c r="M85" s="14"/>
      <c r="N85" s="14"/>
      <c r="O85" s="14">
        <v>4687440</v>
      </c>
      <c r="P85" s="14"/>
      <c r="Q85" s="14">
        <v>119797908</v>
      </c>
      <c r="R85" s="14"/>
      <c r="S85" s="14"/>
      <c r="T85" s="14"/>
      <c r="U85" s="14"/>
      <c r="V85" s="14"/>
      <c r="W85" s="14"/>
      <c r="X85" s="14">
        <v>2193914554</v>
      </c>
      <c r="Y85" s="14">
        <v>1224485195</v>
      </c>
      <c r="Z85" s="14">
        <v>202734656.16865012</v>
      </c>
      <c r="AA85" s="63">
        <v>5996923699</v>
      </c>
      <c r="AB85" s="63">
        <v>1100365.03789</v>
      </c>
      <c r="AC85" s="63">
        <v>10000000</v>
      </c>
      <c r="AD85" s="63">
        <v>141199.47</v>
      </c>
      <c r="AE85" s="63">
        <v>280000</v>
      </c>
      <c r="AF85" s="63">
        <v>12953741.867500002</v>
      </c>
      <c r="AG85" s="63">
        <v>5582721359</v>
      </c>
      <c r="AH85" s="14">
        <v>2527054056.4099998</v>
      </c>
      <c r="AI85" s="14">
        <v>9477383760</v>
      </c>
      <c r="AJ85" s="14">
        <v>90673439</v>
      </c>
      <c r="AK85" s="16"/>
    </row>
    <row r="86" spans="1:37" ht="15.75" customHeight="1" x14ac:dyDescent="0.25">
      <c r="A86" s="13">
        <v>46155</v>
      </c>
      <c r="B86" s="63">
        <v>1382.5</v>
      </c>
      <c r="C86" s="14"/>
      <c r="D86" s="14">
        <v>1049061340</v>
      </c>
      <c r="E86" s="14">
        <v>82398000</v>
      </c>
      <c r="F86" s="14">
        <v>238635000</v>
      </c>
      <c r="G86" s="14">
        <v>5524000</v>
      </c>
      <c r="H86" s="14">
        <v>2000000</v>
      </c>
      <c r="I86" s="14">
        <v>1871991100</v>
      </c>
      <c r="J86" s="14">
        <v>194004331</v>
      </c>
      <c r="K86" s="14"/>
      <c r="L86" s="14">
        <v>6881904</v>
      </c>
      <c r="M86" s="14"/>
      <c r="N86" s="14"/>
      <c r="O86" s="14"/>
      <c r="P86" s="14">
        <v>4499179</v>
      </c>
      <c r="Q86" s="14">
        <v>298337009</v>
      </c>
      <c r="R86" s="14"/>
      <c r="S86" s="14"/>
      <c r="T86" s="14"/>
      <c r="U86" s="14">
        <v>120000000</v>
      </c>
      <c r="V86" s="14"/>
      <c r="W86" s="14"/>
      <c r="X86" s="14">
        <v>1951558798</v>
      </c>
      <c r="Y86" s="14">
        <v>991611113</v>
      </c>
      <c r="Z86" s="14">
        <v>202734656.16865012</v>
      </c>
      <c r="AA86" s="63">
        <v>6063339939</v>
      </c>
      <c r="AB86" s="63">
        <v>1100365.03789</v>
      </c>
      <c r="AC86" s="63">
        <v>10000000</v>
      </c>
      <c r="AD86" s="63">
        <v>141199.47</v>
      </c>
      <c r="AE86" s="63">
        <v>280000</v>
      </c>
      <c r="AF86" s="63">
        <v>12416677.031000001</v>
      </c>
      <c r="AG86" s="63">
        <v>5582721359</v>
      </c>
      <c r="AH86" s="14">
        <v>2339462905.5</v>
      </c>
      <c r="AI86" s="14">
        <v>9419470200</v>
      </c>
      <c r="AJ86" s="14">
        <v>140735000</v>
      </c>
      <c r="AK86" s="16"/>
    </row>
    <row r="87" spans="1:37" ht="15.75" customHeight="1" x14ac:dyDescent="0.25">
      <c r="A87" s="13">
        <v>46156</v>
      </c>
      <c r="B87" s="63">
        <v>1386</v>
      </c>
      <c r="C87" s="14"/>
      <c r="D87" s="14">
        <f>+'[1]CF Dia V1'!$CJ$10</f>
        <v>837432835</v>
      </c>
      <c r="E87" s="14">
        <f>+'[1]CF Dia V1'!$CJ$13</f>
        <v>78949000</v>
      </c>
      <c r="F87" s="14">
        <f>+'[1]CF Dia V1'!$CJ$16</f>
        <v>45656000</v>
      </c>
      <c r="G87" s="14">
        <f>+'[1]CF Dia V1'!$CJ$14</f>
        <v>5783000</v>
      </c>
      <c r="H87" s="14">
        <f>+'[1]CF Dia V1'!$CJ$15</f>
        <v>2000000</v>
      </c>
      <c r="I87" s="14">
        <f>+'[1]CF Dia V1'!$CJ$22</f>
        <v>1740123570</v>
      </c>
      <c r="J87" s="14">
        <f>+'[1]CF Dia V1'!$CJ$43</f>
        <v>458483114</v>
      </c>
      <c r="K87" s="14">
        <f>+'[1]CF Dia V1'!$CJ$45</f>
        <v>0</v>
      </c>
      <c r="L87" s="14">
        <f>+'[1]CF Dia V1'!$CJ$46</f>
        <v>14376000</v>
      </c>
      <c r="M87" s="14">
        <f>+'[1]CF Dia V1'!$CJ$47</f>
        <v>0</v>
      </c>
      <c r="N87" s="14">
        <f>+'[1]CF Dia V1'!$CJ$48</f>
        <v>0</v>
      </c>
      <c r="O87" s="14">
        <f>+'[1]CF Dia V1'!$CJ$49</f>
        <v>0</v>
      </c>
      <c r="P87" s="14">
        <f>+'[1]CF Dia V1'!$CJ$50</f>
        <v>0</v>
      </c>
      <c r="Q87" s="14">
        <f>+'[1]CF Dia V1'!$CJ$51</f>
        <v>6873443</v>
      </c>
      <c r="R87" s="14">
        <f>+'[1]CF Dia V1'!$CJ$53</f>
        <v>0</v>
      </c>
      <c r="S87" s="14">
        <f>+'[1]CF Dia V1'!$CJ$56</f>
        <v>0</v>
      </c>
      <c r="T87" s="14">
        <f>+'[1]CF Dia V1'!$CJ$59</f>
        <v>0</v>
      </c>
      <c r="U87" s="14">
        <f>+'[1]CF Dia V1'!$CJ$60</f>
        <v>30000000</v>
      </c>
      <c r="V87" s="14">
        <f>+'[1]CF Dia V1'!$CJ$68</f>
        <v>0</v>
      </c>
      <c r="W87" s="14">
        <f>+'[1]CF Dia V1'!$CJ$61</f>
        <v>0</v>
      </c>
      <c r="X87" s="14">
        <f>+'[1]CF Dia V1'!$CJ$100</f>
        <v>1689393489</v>
      </c>
      <c r="Y87" s="14">
        <f>+'[1]CF Dia V1'!$CJ$101</f>
        <v>990744710</v>
      </c>
      <c r="Z87" s="14">
        <f>+'[1]CF Dia V1'!$CJ$104</f>
        <v>202734656.16865012</v>
      </c>
      <c r="AA87" s="63">
        <f>+'[1]CF Dia V1'!$CJ$102</f>
        <v>6063777655</v>
      </c>
      <c r="AB87" s="63">
        <f>+'[1]CF Dia V1'!$CJ$103</f>
        <v>1100365.03789</v>
      </c>
      <c r="AC87" s="63">
        <f>+'[1]CF Dia V1'!$CJ$105</f>
        <v>10000000</v>
      </c>
      <c r="AD87" s="63">
        <f>+'[1]CF Dia V1'!$CJ$106</f>
        <v>141199.46727549468</v>
      </c>
      <c r="AE87" s="63">
        <f>+'[1]CF Dia V1'!$CJ$107</f>
        <v>280000</v>
      </c>
      <c r="AF87" s="63">
        <f>+'[1]CF Dia V1'!$CJ$97</f>
        <v>7845303</v>
      </c>
      <c r="AG87" s="63">
        <f>+'[1]CF Dia V1'!$CJ$98</f>
        <v>5582721359</v>
      </c>
      <c r="AH87" s="14">
        <f>+'[1]CF Dia V1'!$CJ$24+'[1]CF Dia V1'!$CJ$25</f>
        <v>3564895672.7999997</v>
      </c>
      <c r="AI87" s="14">
        <f>+'[1]CF Dia V1'!$CJ$29</f>
        <v>8574762042</v>
      </c>
      <c r="AJ87" s="14">
        <f>+'[1]CF Dia V1'!$CJ$31</f>
        <v>140297925.61000001</v>
      </c>
      <c r="AK87" s="16"/>
    </row>
    <row r="88" spans="1:37" ht="15.75" customHeight="1" x14ac:dyDescent="0.25">
      <c r="A88" s="13">
        <v>46157</v>
      </c>
      <c r="B88" s="63">
        <v>1392</v>
      </c>
      <c r="C88" s="14"/>
      <c r="D88" s="14">
        <f>+'[1]CF Dia V1'!$CK$10</f>
        <v>850726335</v>
      </c>
      <c r="E88" s="14">
        <f>+'[1]CF Dia V1'!$CK$13</f>
        <v>55135000</v>
      </c>
      <c r="F88" s="14">
        <f>+'[1]CF Dia V1'!$CK$16</f>
        <v>35083000</v>
      </c>
      <c r="G88" s="14">
        <f>+'[1]CF Dia V1'!$CK$14</f>
        <v>6687413</v>
      </c>
      <c r="H88" s="14">
        <f>+'[1]CF Dia V1'!$CK$15</f>
        <v>2000000</v>
      </c>
      <c r="I88" s="14">
        <f>+'[1]CF Dia V1'!$CK$22</f>
        <v>1726830070</v>
      </c>
      <c r="J88" s="14">
        <f>+'[1]CF Dia V1'!$CK$43</f>
        <v>661233493</v>
      </c>
      <c r="K88" s="14"/>
      <c r="L88" s="14">
        <f>+'[1]CF Dia V1'!$CK$46</f>
        <v>9499387</v>
      </c>
      <c r="M88" s="14"/>
      <c r="N88" s="14"/>
      <c r="O88" s="14"/>
      <c r="P88" s="14">
        <f>+'[1]CF Dia V1'!$CK$50</f>
        <v>9401592</v>
      </c>
      <c r="Q88" s="14">
        <f>+'[1]CF Dia V1'!$CK$51</f>
        <v>10840885</v>
      </c>
      <c r="R88" s="14"/>
      <c r="S88" s="14"/>
      <c r="T88" s="14"/>
      <c r="U88" s="14"/>
      <c r="V88" s="14"/>
      <c r="W88" s="14"/>
      <c r="X88" s="14">
        <f>+'[1]CF Dia V1'!$CK$100</f>
        <v>1583396236</v>
      </c>
      <c r="Y88" s="14">
        <f>+'[1]CF Dia V1'!$CK$101</f>
        <v>771360669</v>
      </c>
      <c r="Z88" s="14">
        <f>+'[1]CF Dia V1'!$CK$104</f>
        <v>202734656.16865012</v>
      </c>
      <c r="AA88" s="63">
        <f>+'[1]CF Dia V1'!$CK$102</f>
        <v>5851473775</v>
      </c>
      <c r="AB88" s="63">
        <f>+'[1]CF Dia V1'!$CK$103</f>
        <v>1100365.03789</v>
      </c>
      <c r="AC88" s="63">
        <f>+'[1]CF Dia V1'!$CK$105</f>
        <v>10000000</v>
      </c>
      <c r="AD88" s="63">
        <v>220000</v>
      </c>
      <c r="AE88" s="63">
        <f>+'[1]CF Dia V1'!$CK$107</f>
        <v>280000</v>
      </c>
      <c r="AF88" s="63">
        <f>+'[1]CF Dia V1'!$CK$97</f>
        <v>6352071</v>
      </c>
      <c r="AG88" s="63">
        <f>+'[1]CF Dia V1'!$CK$98</f>
        <v>5582721359</v>
      </c>
      <c r="AH88" s="14">
        <f>+'[1]CF Dia V1'!$CK$24+'[1]CF Dia V1'!$CK$25</f>
        <v>3321669340.3200002</v>
      </c>
      <c r="AI88" s="14">
        <f>+'[1]CF Dia V1'!$CK$29</f>
        <v>8569053168</v>
      </c>
      <c r="AJ88" s="14">
        <f>+'[1]CF Dia V1'!$CK$31</f>
        <v>170372226</v>
      </c>
      <c r="AK88" s="16"/>
    </row>
    <row r="89" spans="1:37" ht="15.75" customHeight="1" x14ac:dyDescent="0.25">
      <c r="A89" s="13">
        <v>46160</v>
      </c>
      <c r="B89" s="63">
        <v>1392.5</v>
      </c>
      <c r="C89" s="14"/>
      <c r="D89" s="14">
        <v>958457035</v>
      </c>
      <c r="E89" s="14">
        <v>52780000</v>
      </c>
      <c r="F89" s="14">
        <v>11055319</v>
      </c>
      <c r="G89" s="14">
        <v>6146000</v>
      </c>
      <c r="H89" s="14">
        <f>+'[1]CF Dia V1'!$CK$15</f>
        <v>2000000</v>
      </c>
      <c r="I89" s="14">
        <v>1635289293</v>
      </c>
      <c r="J89" s="14">
        <v>267891646</v>
      </c>
      <c r="K89" s="14"/>
      <c r="L89" s="14"/>
      <c r="M89" s="14"/>
      <c r="N89" s="14"/>
      <c r="O89" s="14"/>
      <c r="P89" s="14">
        <v>45594750</v>
      </c>
      <c r="Q89" s="14">
        <v>76176394</v>
      </c>
      <c r="R89" s="14"/>
      <c r="S89" s="14"/>
      <c r="T89" s="14"/>
      <c r="U89" s="14">
        <v>100000000</v>
      </c>
      <c r="V89" s="14"/>
      <c r="W89" s="14"/>
      <c r="X89" s="14">
        <v>1537867977</v>
      </c>
      <c r="Y89" s="14">
        <v>695105278</v>
      </c>
      <c r="Z89" s="14">
        <f>+'[1]CF Dia V1'!$CK$104</f>
        <v>202734656.16865012</v>
      </c>
      <c r="AA89" s="63">
        <v>5792810924</v>
      </c>
      <c r="AB89" s="63">
        <v>1048306.3957399999</v>
      </c>
      <c r="AC89" s="63">
        <v>10000000</v>
      </c>
      <c r="AD89" s="63">
        <v>220000</v>
      </c>
      <c r="AE89" s="63">
        <v>280000</v>
      </c>
      <c r="AF89" s="63">
        <v>11256610.555</v>
      </c>
      <c r="AG89" s="63">
        <f>+'[1]CF Dia V1'!$CK$98</f>
        <v>5582721359</v>
      </c>
      <c r="AH89" s="14">
        <f>+'[1]CF Dia V1'!$CL$24+'[1]CF Dia V1'!$CL$25</f>
        <v>2819313929.2999997</v>
      </c>
      <c r="AI89" s="14">
        <f>+'[1]CF Dia V1'!$CL$29</f>
        <v>9272841310</v>
      </c>
      <c r="AJ89" s="14">
        <f>+'[1]CF Dia V1'!$CL$31</f>
        <v>186619420.55000001</v>
      </c>
      <c r="AK89" s="16"/>
    </row>
    <row r="90" spans="1:37" ht="15.75" customHeight="1" x14ac:dyDescent="0.25">
      <c r="A90" s="13">
        <v>46161</v>
      </c>
      <c r="B90" s="63">
        <v>1390</v>
      </c>
      <c r="C90" s="14"/>
      <c r="D90" s="14">
        <v>1007436112</v>
      </c>
      <c r="E90" s="14">
        <v>57028000</v>
      </c>
      <c r="F90" s="14">
        <v>256616000</v>
      </c>
      <c r="G90" s="14">
        <v>25612301</v>
      </c>
      <c r="H90" s="14">
        <v>2000000</v>
      </c>
      <c r="I90" s="14">
        <v>1583330883</v>
      </c>
      <c r="J90" s="14">
        <f>+'[1]CF Dia V1'!$CM$43</f>
        <v>345281349</v>
      </c>
      <c r="K90" s="14"/>
      <c r="L90" s="14">
        <f>+'[1]CF Dia V1'!$CM$46</f>
        <v>8048613</v>
      </c>
      <c r="M90" s="14"/>
      <c r="N90" s="14"/>
      <c r="O90" s="14"/>
      <c r="P90" s="14"/>
      <c r="Q90" s="14">
        <f>+'[1]CF Dia V1'!$CM$51</f>
        <v>77515155</v>
      </c>
      <c r="R90" s="14"/>
      <c r="S90" s="14"/>
      <c r="T90" s="14"/>
      <c r="U90" s="14">
        <v>30000000</v>
      </c>
      <c r="V90" s="14"/>
      <c r="W90" s="14"/>
      <c r="X90" s="14">
        <v>2531313482</v>
      </c>
      <c r="Y90" s="14">
        <v>824238787</v>
      </c>
      <c r="Z90" s="14">
        <f>+Z89</f>
        <v>202734656.16865012</v>
      </c>
      <c r="AA90" s="63">
        <v>6003601474</v>
      </c>
      <c r="AB90" s="63">
        <f t="shared" ref="AB90:AB95" si="0">+AB89</f>
        <v>1048306.3957399999</v>
      </c>
      <c r="AC90" s="63">
        <v>10000000</v>
      </c>
      <c r="AD90" s="63">
        <v>220000</v>
      </c>
      <c r="AE90" s="63">
        <v>280000</v>
      </c>
      <c r="AF90" s="63">
        <v>9237646.2980000023</v>
      </c>
      <c r="AG90" s="63">
        <f t="shared" ref="AG90:AG95" si="1">+AG89</f>
        <v>5582721359</v>
      </c>
      <c r="AH90" s="14">
        <f>+'[1]CF Dia V1'!$CM$24+'[1]CF Dia V1'!$CM$25</f>
        <v>2733096896.4000001</v>
      </c>
      <c r="AI90" s="14">
        <f>+'[1]CF Dia V1'!$CM$29</f>
        <v>9256193480</v>
      </c>
      <c r="AJ90" s="14">
        <f>+'[1]CF Dia V1'!$CM$31</f>
        <v>186701425</v>
      </c>
      <c r="AK90" s="16"/>
    </row>
    <row r="91" spans="1:37" ht="15.75" customHeight="1" x14ac:dyDescent="0.25">
      <c r="A91" s="13">
        <f>+'[1]CF Dia V1'!$CN$1</f>
        <v>46162</v>
      </c>
      <c r="B91" s="63">
        <f>+'[1]CF Dia V1'!$CN$2</f>
        <v>1395.5</v>
      </c>
      <c r="C91" s="14"/>
      <c r="D91" s="14">
        <f>+'[1]CF Dia V1'!$CN$10</f>
        <v>747534542</v>
      </c>
      <c r="E91" s="14">
        <f>+'[1]CF Dia V1'!$CN$13</f>
        <v>209536000</v>
      </c>
      <c r="F91" s="14">
        <f>+'[1]CF Dia V1'!$CN$16</f>
        <v>152378555.41</v>
      </c>
      <c r="G91" s="14">
        <f>+'[1]CF Dia V1'!$CN$14</f>
        <v>60202000</v>
      </c>
      <c r="H91" s="14">
        <f>+'[1]CF Dia V1'!$CN$15</f>
        <v>2000000</v>
      </c>
      <c r="I91" s="14">
        <f>+'[1]CF Dia V1'!$CN$22</f>
        <v>1628502061</v>
      </c>
      <c r="J91" s="14">
        <f>+'[1]CF Dia V1'!$CN$43</f>
        <v>434891710</v>
      </c>
      <c r="K91" s="14"/>
      <c r="L91" s="14">
        <f>+'[1]CF Dia V1'!$CN$46</f>
        <v>0</v>
      </c>
      <c r="M91" s="14"/>
      <c r="N91" s="14"/>
      <c r="O91" s="14">
        <f>+'[1]CF Dia V1'!$CN$50</f>
        <v>8039538</v>
      </c>
      <c r="P91" s="14"/>
      <c r="Q91" s="14"/>
      <c r="R91" s="14"/>
      <c r="S91" s="14"/>
      <c r="T91" s="14"/>
      <c r="U91" s="14">
        <f>+'[1]CF Dia V1'!$CN$60</f>
        <v>110000000</v>
      </c>
      <c r="V91" s="14"/>
      <c r="W91" s="14"/>
      <c r="X91" s="14">
        <f>+'[1]CF Dia V1'!$CN$100</f>
        <v>2211799335</v>
      </c>
      <c r="Y91" s="14">
        <f>+'[1]CF Dia V1'!$CN$101</f>
        <v>886288208</v>
      </c>
      <c r="Z91" s="14">
        <f>+Z90</f>
        <v>202734656.16865012</v>
      </c>
      <c r="AA91" s="63">
        <f>+'[1]CF Dia V1'!$CN$102</f>
        <v>6003847969</v>
      </c>
      <c r="AB91" s="63">
        <f t="shared" si="0"/>
        <v>1048306.3957399999</v>
      </c>
      <c r="AC91" s="63">
        <f t="shared" ref="AC91:AE92" si="2">+AC90</f>
        <v>10000000</v>
      </c>
      <c r="AD91" s="63">
        <f t="shared" si="2"/>
        <v>220000</v>
      </c>
      <c r="AE91" s="63">
        <f t="shared" si="2"/>
        <v>280000</v>
      </c>
      <c r="AF91" s="63">
        <f>+'[1]CF Dia V1'!$CN$97</f>
        <v>6348809</v>
      </c>
      <c r="AG91" s="63">
        <f t="shared" si="1"/>
        <v>5582721359</v>
      </c>
      <c r="AH91" s="14">
        <f>+'[1]CF Dia V1'!$CN$24+'[1]CF Dia V1'!$CN$25</f>
        <v>2979171243.4749999</v>
      </c>
      <c r="AI91" s="14">
        <f>+'[1]CF Dia V1'!$CN$29</f>
        <v>9098926540.5</v>
      </c>
      <c r="AJ91" s="14">
        <f>+'[1]CF Dia V1'!$CN$31</f>
        <v>186783280.19</v>
      </c>
      <c r="AK91" s="16"/>
    </row>
    <row r="92" spans="1:37" ht="15.75" customHeight="1" x14ac:dyDescent="0.25">
      <c r="A92" s="13">
        <f>+'[1]CF Dia V1'!$CO$1</f>
        <v>46163</v>
      </c>
      <c r="B92" s="63">
        <f>+B91</f>
        <v>1395.5</v>
      </c>
      <c r="C92" s="14"/>
      <c r="D92" s="14">
        <f>+'[1]CF Dia V1'!$CO$10</f>
        <v>935271863</v>
      </c>
      <c r="E92" s="14">
        <f>+'[1]CF Dia V1'!$CO$13</f>
        <v>164501000</v>
      </c>
      <c r="F92" s="14">
        <f>+'[1]CF Dia V1'!$CO$16</f>
        <v>109500000</v>
      </c>
      <c r="G92" s="14">
        <f>+'[1]CF Dia V1'!$CO$14</f>
        <v>9150000</v>
      </c>
      <c r="H92" s="14">
        <f>+H91</f>
        <v>2000000</v>
      </c>
      <c r="I92" s="14">
        <f>+'[1]CF Dia V1'!$CO$22</f>
        <v>1642654898</v>
      </c>
      <c r="J92" s="14">
        <f>+'[1]CF Dia V1'!$CO$43</f>
        <v>327757232</v>
      </c>
      <c r="K92" s="14"/>
      <c r="L92" s="14">
        <f>+'[1]CF Dia V1'!$CO$46</f>
        <v>0</v>
      </c>
      <c r="M92" s="14"/>
      <c r="N92" s="14"/>
      <c r="O92" s="14">
        <f>+'[1]CF Dia V1'!$CO$49</f>
        <v>85437900</v>
      </c>
      <c r="P92" s="14">
        <f>+'[1]CF Dia V1'!$CO$50</f>
        <v>59668977</v>
      </c>
      <c r="Q92" s="14">
        <f>+'[1]CF Dia V1'!$CO$51</f>
        <v>80898077</v>
      </c>
      <c r="R92" s="14"/>
      <c r="S92" s="14"/>
      <c r="T92" s="14"/>
      <c r="U92" s="14"/>
      <c r="V92" s="14"/>
      <c r="W92" s="14"/>
      <c r="X92" s="14">
        <f>+'[1]CF Dia V1'!$CO$100</f>
        <v>2022241225</v>
      </c>
      <c r="Y92" s="14">
        <f>+'[1]CF Dia V1'!$CO$101</f>
        <v>821747346</v>
      </c>
      <c r="Z92" s="14">
        <f>+Z91</f>
        <v>202734656.16865012</v>
      </c>
      <c r="AA92" s="63">
        <f>+'[1]CF Dia V1'!$CO$102</f>
        <v>6263281746</v>
      </c>
      <c r="AB92" s="63">
        <f t="shared" si="0"/>
        <v>1048306.3957399999</v>
      </c>
      <c r="AC92" s="63">
        <f t="shared" si="2"/>
        <v>10000000</v>
      </c>
      <c r="AD92" s="63">
        <f t="shared" si="2"/>
        <v>220000</v>
      </c>
      <c r="AE92" s="63">
        <f t="shared" si="2"/>
        <v>280000</v>
      </c>
      <c r="AF92" s="63">
        <f>+'[1]CF Dia V1'!$CO$97</f>
        <v>5162809</v>
      </c>
      <c r="AG92" s="63">
        <f t="shared" si="1"/>
        <v>5582721359</v>
      </c>
      <c r="AH92" s="14">
        <f>+'[1]CF Dia V1'!$CO$24+'[1]CF Dia V1'!$CO$25</f>
        <v>2877472227.2750001</v>
      </c>
      <c r="AI92" s="14">
        <f>+'[1]CF Dia V1'!$CO$29</f>
        <v>9098926540.5</v>
      </c>
      <c r="AJ92" s="14">
        <f>+'[1]CF Dia V1'!$CO$31</f>
        <v>186874280.19</v>
      </c>
      <c r="AK92" s="16"/>
    </row>
    <row r="93" spans="1:37" ht="15.75" customHeight="1" x14ac:dyDescent="0.25">
      <c r="A93" s="13">
        <f>+'[1]CF Dia V1'!$CP$1</f>
        <v>46164</v>
      </c>
      <c r="B93" s="63">
        <f>+'[1]CF Dia V1'!$CP$2</f>
        <v>1390</v>
      </c>
      <c r="C93" s="14"/>
      <c r="D93" s="14">
        <f>+'[1]CF Dia V1'!$CP$10</f>
        <v>901607908</v>
      </c>
      <c r="E93" s="14">
        <f>+'[1]CF Dia V1'!$CP$13</f>
        <v>-12018000</v>
      </c>
      <c r="F93" s="14">
        <f>+'[1]CF Dia V1'!$CP$16</f>
        <v>31400000</v>
      </c>
      <c r="G93" s="14">
        <f>+'[1]CF Dia V1'!$CP$14</f>
        <v>9062000</v>
      </c>
      <c r="H93" s="14">
        <f>+'[1]CF Dia V1'!$CP$15</f>
        <v>2876000</v>
      </c>
      <c r="I93" s="14">
        <f>+'[1]CF Dia V1'!$CP$22</f>
        <v>1143093119</v>
      </c>
      <c r="J93" s="14">
        <f>+'[1]CF Dia V1'!$CP$43</f>
        <v>350616029</v>
      </c>
      <c r="K93" s="14"/>
      <c r="L93" s="14">
        <f>+'[1]CF Dia V1'!$CP$46</f>
        <v>0</v>
      </c>
      <c r="M93" s="14"/>
      <c r="N93" s="14"/>
      <c r="O93" s="14">
        <f>+'[1]CF Dia V1'!$CP$49</f>
        <v>948120</v>
      </c>
      <c r="P93" s="14">
        <f>+'[1]CF Dia V1'!$CP$50</f>
        <v>21504816</v>
      </c>
      <c r="Q93" s="14">
        <f>+'[1]CF Dia V1'!$CP$51</f>
        <v>271146305</v>
      </c>
      <c r="R93" s="14"/>
      <c r="S93" s="14"/>
      <c r="T93" s="14"/>
      <c r="U93" s="14"/>
      <c r="V93" s="14"/>
      <c r="W93" s="14"/>
      <c r="X93" s="14">
        <f>+'[1]CF Dia V1'!$CP$100</f>
        <v>2230923297.48</v>
      </c>
      <c r="Y93" s="14">
        <f>+'[1]CF Dia V1'!$CP$101</f>
        <v>970095427</v>
      </c>
      <c r="Z93" s="14">
        <f>+'[1]CF Dia V1'!$CP$104</f>
        <v>202734656.16865012</v>
      </c>
      <c r="AA93" s="63">
        <f>+'[1]CF Dia V1'!$CP$102</f>
        <v>5815616379</v>
      </c>
      <c r="AB93" s="63">
        <f t="shared" si="0"/>
        <v>1048306.3957399999</v>
      </c>
      <c r="AC93" s="63">
        <f t="shared" ref="AC93:AE94" si="3">+AC92</f>
        <v>10000000</v>
      </c>
      <c r="AD93" s="63">
        <f t="shared" si="3"/>
        <v>220000</v>
      </c>
      <c r="AE93" s="63">
        <f t="shared" si="3"/>
        <v>280000</v>
      </c>
      <c r="AF93" s="63">
        <f>+'[1]CF Dia V1'!$CP$97</f>
        <v>4784062</v>
      </c>
      <c r="AG93" s="63">
        <f t="shared" si="1"/>
        <v>5582721359</v>
      </c>
      <c r="AH93" s="14">
        <f>+'[1]CF Dia V1'!$CP$24+'[1]CF Dia V1'!$CP$25</f>
        <v>3010733050</v>
      </c>
      <c r="AI93" s="14">
        <f>+'[1]CF Dia V1'!$CP$29</f>
        <v>9293453820</v>
      </c>
      <c r="AJ93" s="14">
        <f>+'[1]CF Dia V1'!$CP$31</f>
        <v>186965280.19</v>
      </c>
      <c r="AK93" s="16"/>
    </row>
    <row r="94" spans="1:37" ht="15.75" customHeight="1" x14ac:dyDescent="0.25">
      <c r="A94" s="13">
        <v>46168</v>
      </c>
      <c r="B94" s="63">
        <f>+'[1]CF Dia V1'!$CQ$2</f>
        <v>1392</v>
      </c>
      <c r="C94" s="14"/>
      <c r="D94" s="14">
        <f>+'[1]CF Dia V1'!$CQ$10</f>
        <v>1224537171</v>
      </c>
      <c r="E94" s="14">
        <f>+'[1]CF Dia V1'!$CQ$13</f>
        <v>149182000</v>
      </c>
      <c r="F94" s="14">
        <f>+'[1]CF Dia V1'!$CQ$16</f>
        <v>52639000</v>
      </c>
      <c r="G94" s="14">
        <f>+'[1]CF Dia V1'!$CQ$14</f>
        <v>9150000</v>
      </c>
      <c r="H94" s="14">
        <f>+'[1]CF Dia V1'!$CQ$15</f>
        <v>2000000</v>
      </c>
      <c r="I94" s="14">
        <f>+'[1]CF Dia V1'!$CQ$22</f>
        <v>1190510533</v>
      </c>
      <c r="J94" s="14">
        <f>+'[1]CF Dia V1'!$CQ$43</f>
        <v>418065530</v>
      </c>
      <c r="K94" s="14"/>
      <c r="L94" s="14">
        <f>+'[1]CF Dia V1'!$CQ$46</f>
        <v>18256232</v>
      </c>
      <c r="M94" s="14"/>
      <c r="N94" s="14"/>
      <c r="O94" s="14">
        <f>+'[1]CF Dia V1'!$CQ$49</f>
        <v>4500474</v>
      </c>
      <c r="P94" s="14"/>
      <c r="Q94" s="14">
        <f>+'[1]CF Dia V1'!$CQ$51</f>
        <v>36096372</v>
      </c>
      <c r="R94" s="14"/>
      <c r="S94" s="14"/>
      <c r="T94" s="14"/>
      <c r="U94" s="14"/>
      <c r="V94" s="14"/>
      <c r="W94" s="14"/>
      <c r="X94" s="14">
        <f>+'[1]CF Dia V1'!$CQ$100</f>
        <v>1816083018</v>
      </c>
      <c r="Y94" s="14">
        <f>+'[1]CF Dia V1'!$CQ$101</f>
        <v>851827495</v>
      </c>
      <c r="Z94" s="14">
        <f>+Z93</f>
        <v>202734656.16865012</v>
      </c>
      <c r="AA94" s="63">
        <f>+'[1]CF Dia V1'!$CQ$102</f>
        <v>5807216200</v>
      </c>
      <c r="AB94" s="63">
        <f t="shared" si="0"/>
        <v>1048306.3957399999</v>
      </c>
      <c r="AC94" s="63">
        <f t="shared" si="3"/>
        <v>10000000</v>
      </c>
      <c r="AD94" s="63">
        <f t="shared" si="3"/>
        <v>220000</v>
      </c>
      <c r="AE94" s="63">
        <f t="shared" si="3"/>
        <v>280000</v>
      </c>
      <c r="AF94" s="63">
        <f>+'[1]CF Dia V1'!$CQ$97</f>
        <v>4873216</v>
      </c>
      <c r="AG94" s="63">
        <f t="shared" si="1"/>
        <v>5582721359</v>
      </c>
      <c r="AH94" s="14">
        <f>+'[1]CF Dia V1'!$CQ$24+'[1]CF Dia V1'!$CQ$25</f>
        <v>3375267367.6799998</v>
      </c>
      <c r="AI94" s="14">
        <f>+'[1]CF Dia V1'!$CQ$29</f>
        <v>9433283328</v>
      </c>
      <c r="AJ94" s="14">
        <f>+'[1]CF Dia V1'!$CQ$31</f>
        <v>233388837.06</v>
      </c>
      <c r="AK94" s="16"/>
    </row>
    <row r="95" spans="1:37" ht="15.75" customHeight="1" x14ac:dyDescent="0.25">
      <c r="A95" s="13">
        <f>+'[1]CF Dia V1'!$CR$1</f>
        <v>46169</v>
      </c>
      <c r="B95" s="63">
        <f>+'[1]CF Dia V1'!$CR$2</f>
        <v>1406</v>
      </c>
      <c r="C95" s="14"/>
      <c r="D95" s="14">
        <f>+D94</f>
        <v>1224537171</v>
      </c>
      <c r="E95" s="14">
        <f>+'[1]CF Dia V1'!$CR$13</f>
        <v>183468000</v>
      </c>
      <c r="F95" s="14">
        <f>+'[1]CF Dia V1'!$CR$16</f>
        <v>87439375.879999995</v>
      </c>
      <c r="G95" s="14">
        <f>+G94</f>
        <v>9150000</v>
      </c>
      <c r="H95" s="14">
        <f>+H94</f>
        <v>2000000</v>
      </c>
      <c r="I95" s="14">
        <f>+'[1]CF Dia V1'!$CR$22</f>
        <v>1190510533</v>
      </c>
      <c r="J95" s="14">
        <f>+'[1]CF Dia V1'!$CR$43</f>
        <v>471654657</v>
      </c>
      <c r="K95" s="14"/>
      <c r="L95" s="14">
        <f>+'[1]CF Dia V1'!$CR$46</f>
        <v>1649700</v>
      </c>
      <c r="M95" s="14"/>
      <c r="N95" s="14"/>
      <c r="O95" s="14"/>
      <c r="P95" s="14"/>
      <c r="Q95" s="14">
        <f>+'[1]CF Dia V1'!$CR$51</f>
        <v>46281564</v>
      </c>
      <c r="R95" s="14"/>
      <c r="S95" s="14"/>
      <c r="T95" s="14"/>
      <c r="U95" s="14">
        <f>+'[1]CF Dia V1'!$CR$60</f>
        <v>29000000</v>
      </c>
      <c r="V95" s="14"/>
      <c r="W95" s="14"/>
      <c r="X95" s="14">
        <f>+'[1]CF Dia V1'!$CR$100</f>
        <v>1437358611</v>
      </c>
      <c r="Y95" s="14">
        <f>+'[1]CF Dia V1'!$CR$101</f>
        <v>786178943</v>
      </c>
      <c r="Z95" s="14">
        <f>+Z94</f>
        <v>202734656.16865012</v>
      </c>
      <c r="AA95" s="63">
        <f>+'[1]CF Dia V1'!$CR$102</f>
        <v>5719924121</v>
      </c>
      <c r="AB95" s="63">
        <f t="shared" si="0"/>
        <v>1048306.3957399999</v>
      </c>
      <c r="AC95" s="63">
        <f t="shared" ref="AC95:AE96" si="4">+AC94</f>
        <v>10000000</v>
      </c>
      <c r="AD95" s="63">
        <f t="shared" si="4"/>
        <v>220000</v>
      </c>
      <c r="AE95" s="63">
        <f t="shared" si="4"/>
        <v>280000</v>
      </c>
      <c r="AF95" s="63">
        <f>+'[1]CF Dia V1'!$CR$97</f>
        <v>6457477</v>
      </c>
      <c r="AG95" s="63">
        <f t="shared" si="1"/>
        <v>5582721359</v>
      </c>
      <c r="AH95" s="14">
        <f>+'[1]CF Dia V1'!$CR$24+'[1]CF Dia V1'!$CR$25</f>
        <v>4776032739.04</v>
      </c>
      <c r="AI95" s="14">
        <f>+'[1]CF Dia V1'!$CR$29</f>
        <v>7743577338</v>
      </c>
      <c r="AJ95" s="14">
        <f>+'[1]CF Dia V1'!$CR$31</f>
        <v>242095249.25</v>
      </c>
      <c r="AK95" s="16"/>
    </row>
    <row r="96" spans="1:37" ht="15.75" customHeight="1" x14ac:dyDescent="0.25">
      <c r="A96" s="13">
        <v>46170</v>
      </c>
      <c r="B96" s="63">
        <v>1408</v>
      </c>
      <c r="C96" s="14"/>
      <c r="D96" s="14">
        <f>+'[1]CF Dia V1'!$CS$10</f>
        <v>1224537171</v>
      </c>
      <c r="E96" s="14">
        <f>+'[1]CF Dia V1'!$CS$13</f>
        <v>139852000</v>
      </c>
      <c r="F96" s="14">
        <f>+'[1]CF Dia V1'!$CS$16</f>
        <v>165500000</v>
      </c>
      <c r="G96" s="14">
        <f>+'[1]CF Dia V1'!$CS$14</f>
        <v>13379850</v>
      </c>
      <c r="H96" s="14">
        <v>2000000</v>
      </c>
      <c r="I96" s="14">
        <f>+'[1]CF Dia V1'!$CS$22</f>
        <v>1290599938</v>
      </c>
      <c r="J96" s="14">
        <f>+'[1]CF Dia V1'!$CS$43+'[1]CF Dia V1'!$CS$44</f>
        <v>457355720</v>
      </c>
      <c r="K96" s="14"/>
      <c r="L96" s="14">
        <f>+'[1]CF Dia V1'!$CS$46</f>
        <v>90081817</v>
      </c>
      <c r="M96" s="14"/>
      <c r="N96" s="14"/>
      <c r="O96" s="14"/>
      <c r="P96" s="14"/>
      <c r="Q96" s="14">
        <f>+'[1]CF Dia V1'!$CS$51</f>
        <v>104935725</v>
      </c>
      <c r="R96" s="14"/>
      <c r="S96" s="14"/>
      <c r="T96" s="14"/>
      <c r="U96" s="14"/>
      <c r="V96" s="14"/>
      <c r="W96" s="14"/>
      <c r="X96" s="14">
        <f>+'[1]CF Dia V1'!$CS$100</f>
        <v>1452001433</v>
      </c>
      <c r="Y96" s="14">
        <f>+'[1]CF Dia V1'!$CS$101</f>
        <v>809592824</v>
      </c>
      <c r="Z96" s="14">
        <f>+Z95</f>
        <v>202734656.16865012</v>
      </c>
      <c r="AA96" s="63">
        <f>+'[1]CF Dia V1'!$CS$102</f>
        <v>4896254184</v>
      </c>
      <c r="AB96" s="63">
        <f>+AB95</f>
        <v>1048306.3957399999</v>
      </c>
      <c r="AC96" s="63">
        <f t="shared" si="4"/>
        <v>10000000</v>
      </c>
      <c r="AD96" s="63">
        <f t="shared" si="4"/>
        <v>220000</v>
      </c>
      <c r="AE96" s="63">
        <f t="shared" si="4"/>
        <v>280000</v>
      </c>
      <c r="AF96" s="63">
        <f>+'[1]CF Dia V1'!$CS$97</f>
        <v>6316844</v>
      </c>
      <c r="AG96" s="63">
        <f>+AG95</f>
        <v>5582721359</v>
      </c>
      <c r="AH96" s="14">
        <f>+'[1]CF Dia V1'!$CS$24+'[1]CF Dia V1'!$CS$25</f>
        <v>4659496990.7199993</v>
      </c>
      <c r="AI96" s="14">
        <f>+'[1]CF Dia V1'!$CS$29</f>
        <v>7917403648</v>
      </c>
      <c r="AJ96" s="14">
        <f>+'[1]CF Dia V1'!$CS$31</f>
        <v>242201628.41</v>
      </c>
      <c r="AK96" s="16"/>
    </row>
    <row r="97" spans="1:37" ht="15.75" customHeight="1" x14ac:dyDescent="0.25">
      <c r="A97" s="13">
        <v>46171</v>
      </c>
      <c r="B97" s="63">
        <v>1406.5</v>
      </c>
      <c r="C97" s="14"/>
      <c r="D97" s="14">
        <f>+'[1]CF Dia V1'!$CT$10</f>
        <v>1340551975</v>
      </c>
      <c r="E97" s="14">
        <f>+'[1]CF Dia V1'!$CT$13</f>
        <v>-33045000</v>
      </c>
      <c r="F97" s="14">
        <f>+'[1]CF Dia V1'!$CT$16</f>
        <v>35632000</v>
      </c>
      <c r="G97" s="14">
        <f>+'[1]CF Dia V1'!$CT$14</f>
        <v>13378000</v>
      </c>
      <c r="H97" s="14">
        <v>2000000</v>
      </c>
      <c r="I97" s="14">
        <f>+'[1]CF Dia V1'!$CT$22</f>
        <v>1250668537</v>
      </c>
      <c r="J97" s="14">
        <f>+'[1]CF Dia V1'!$CT$43+'[1]CF Dia V1'!$CT$44</f>
        <v>447130211</v>
      </c>
      <c r="K97" s="14"/>
      <c r="L97" s="14"/>
      <c r="M97" s="14"/>
      <c r="N97" s="14"/>
      <c r="O97" s="14"/>
      <c r="P97" s="14"/>
      <c r="Q97" s="14">
        <f>+'[1]CF Dia V1'!$CT$51</f>
        <v>69975466</v>
      </c>
      <c r="R97" s="14"/>
      <c r="S97" s="14"/>
      <c r="T97" s="14"/>
      <c r="U97" s="14"/>
      <c r="V97" s="14"/>
      <c r="W97" s="14"/>
      <c r="X97" s="14">
        <f>+'[1]CF Dia V1'!$CT$100</f>
        <v>1377152179</v>
      </c>
      <c r="Y97" s="14">
        <f>+'[1]CF Dia V1'!$CT$101</f>
        <v>898433033</v>
      </c>
      <c r="Z97" s="14">
        <f>+Z96</f>
        <v>202734656.16865012</v>
      </c>
      <c r="AA97" s="63">
        <f>+'[1]CF Dia V1'!$CT$102</f>
        <v>4628913889</v>
      </c>
      <c r="AB97" s="63">
        <f>+AB96</f>
        <v>1048306.3957399999</v>
      </c>
      <c r="AC97" s="63">
        <f t="shared" ref="AC97:AE98" si="5">+AC96</f>
        <v>10000000</v>
      </c>
      <c r="AD97" s="63">
        <f t="shared" si="5"/>
        <v>220000</v>
      </c>
      <c r="AE97" s="63">
        <f t="shared" si="5"/>
        <v>280000</v>
      </c>
      <c r="AF97" s="63">
        <f>+'[1]CF Dia V1'!$CT$97</f>
        <v>35688</v>
      </c>
      <c r="AG97" s="63">
        <f>+AG96</f>
        <v>5582721359</v>
      </c>
      <c r="AH97" s="14">
        <f>+'[1]CF Dia V1'!$CT$24+'[1]CF Dia V1'!$CT$25</f>
        <v>4357467157.5100002</v>
      </c>
      <c r="AI97" s="14">
        <f>+'[1]CF Dia V1'!$CT$29</f>
        <v>7908968914</v>
      </c>
      <c r="AJ97" s="14">
        <f>+'[1]CF Dia V1'!$CT$31</f>
        <v>242308205.68000001</v>
      </c>
      <c r="AK97" s="16"/>
    </row>
    <row r="98" spans="1:37" ht="15.75" customHeight="1" x14ac:dyDescent="0.25">
      <c r="A98" s="13">
        <v>46174</v>
      </c>
      <c r="B98" s="63">
        <v>1406</v>
      </c>
      <c r="C98" s="14"/>
      <c r="D98" s="14">
        <f>+'[1]CF Dia V1'!$CU$10</f>
        <v>1366573012</v>
      </c>
      <c r="E98" s="14">
        <v>310683000</v>
      </c>
      <c r="F98" s="14">
        <f>+'[1]CF Dia V1'!$CU$16</f>
        <v>447324554</v>
      </c>
      <c r="G98" s="14">
        <f>+'[1]CF Dia V1'!$CU$14</f>
        <v>13146882</v>
      </c>
      <c r="H98" s="14">
        <f t="shared" ref="H98:H103" si="6">+H97</f>
        <v>2000000</v>
      </c>
      <c r="I98" s="14">
        <f>+'[1]CF Dia V1'!$CU$22</f>
        <v>1213336989</v>
      </c>
      <c r="J98" s="14">
        <f>+'[1]CF Dia V1'!$CU$43</f>
        <v>325345795</v>
      </c>
      <c r="K98" s="14"/>
      <c r="L98" s="14">
        <f>+'[1]CF Dia V1'!$CU$46</f>
        <v>116687046</v>
      </c>
      <c r="M98" s="14"/>
      <c r="N98" s="14"/>
      <c r="O98" s="14"/>
      <c r="P98" s="14"/>
      <c r="Q98" s="14">
        <f>+'[1]CF Dia V1'!$CU$51</f>
        <v>5414532</v>
      </c>
      <c r="R98" s="14"/>
      <c r="S98" s="14"/>
      <c r="T98" s="14"/>
      <c r="U98" s="14"/>
      <c r="V98" s="14"/>
      <c r="W98" s="14"/>
      <c r="X98" s="14">
        <f>+'[1]CF Dia V1'!$CU$100</f>
        <v>1213908811</v>
      </c>
      <c r="Y98" s="14">
        <f>+'[1]CF Dia V1'!$CU$101</f>
        <v>3753759654</v>
      </c>
      <c r="Z98" s="14">
        <f>+'[1]CF Dia V1'!$CU$104</f>
        <v>191016771.98655012</v>
      </c>
      <c r="AA98" s="63">
        <f>+'[1]CF Dia V1'!$CU$102</f>
        <v>4562436968</v>
      </c>
      <c r="AB98" s="63">
        <f>+'[1]CF Dia V1'!$CU$103</f>
        <v>1028533.4021649999</v>
      </c>
      <c r="AC98" s="63">
        <f t="shared" si="5"/>
        <v>10000000</v>
      </c>
      <c r="AD98" s="63">
        <f t="shared" si="5"/>
        <v>220000</v>
      </c>
      <c r="AE98" s="63">
        <f t="shared" si="5"/>
        <v>280000</v>
      </c>
      <c r="AF98" s="63">
        <f>+'[1]CF Dia V1'!$CU$97</f>
        <v>7045070</v>
      </c>
      <c r="AG98" s="63">
        <f>+'[1]CF Dia V1'!$CU$98</f>
        <v>5582721359</v>
      </c>
      <c r="AH98" s="14">
        <f>+'[1]CF Dia V1'!$CU$24+'[1]CF Dia V1'!$CU$25</f>
        <v>4439196123.9400005</v>
      </c>
      <c r="AI98" s="14">
        <f>+'[1]CF Dia V1'!$CU$29</f>
        <v>8951903580</v>
      </c>
      <c r="AJ98" s="14">
        <f>+'[1]CF Dia V1'!$CU$31</f>
        <v>278673045.02999997</v>
      </c>
      <c r="AK98" s="16"/>
    </row>
    <row r="99" spans="1:37" ht="15.75" customHeight="1" x14ac:dyDescent="0.25">
      <c r="A99" s="13">
        <v>46175</v>
      </c>
      <c r="B99" s="63">
        <v>1419</v>
      </c>
      <c r="C99" s="14"/>
      <c r="D99" s="14">
        <f>+'[1]CF Dia V1'!$CV$10</f>
        <v>1366573012</v>
      </c>
      <c r="E99" s="14">
        <f>+'[1]CF Dia V1'!$CV$13</f>
        <v>62158000</v>
      </c>
      <c r="F99" s="14">
        <f>+'[1]CF Dia V1'!$CV$16</f>
        <v>90927000</v>
      </c>
      <c r="G99" s="14">
        <f>+'[1]CF Dia V1'!$CV$14</f>
        <v>9121127</v>
      </c>
      <c r="H99" s="14">
        <f t="shared" si="6"/>
        <v>2000000</v>
      </c>
      <c r="I99" s="14">
        <f>+'[1]CF Dia V1'!$CV$22</f>
        <v>1533043002</v>
      </c>
      <c r="J99" s="14">
        <f>+'[1]CF Dia V1'!$CV$43</f>
        <v>365000923</v>
      </c>
      <c r="K99" s="14"/>
      <c r="L99" s="14"/>
      <c r="M99" s="14"/>
      <c r="N99" s="14"/>
      <c r="O99" s="14"/>
      <c r="P99" s="14"/>
      <c r="Q99" s="14">
        <f>+'[1]CF Dia V1'!$CV$51</f>
        <v>80000000</v>
      </c>
      <c r="R99" s="14"/>
      <c r="S99" s="14"/>
      <c r="T99" s="14"/>
      <c r="U99" s="14"/>
      <c r="V99" s="14"/>
      <c r="W99" s="14"/>
      <c r="X99" s="14">
        <f>+'[1]CF Dia V1'!$CV$100</f>
        <v>1507567585</v>
      </c>
      <c r="Y99" s="14">
        <f>+'[1]CF Dia V1'!$CV$101</f>
        <v>4031972319</v>
      </c>
      <c r="Z99" s="14">
        <f>+'[1]CF Dia V1'!$CV$104</f>
        <v>191016771.98655012</v>
      </c>
      <c r="AA99" s="63">
        <f>+'[1]CF Dia V1'!$CV$102</f>
        <v>4496965997</v>
      </c>
      <c r="AB99" s="63">
        <f t="shared" ref="AB99:AE100" si="7">+AB98</f>
        <v>1028533.4021649999</v>
      </c>
      <c r="AC99" s="63">
        <f t="shared" si="7"/>
        <v>10000000</v>
      </c>
      <c r="AD99" s="63">
        <f t="shared" si="7"/>
        <v>220000</v>
      </c>
      <c r="AE99" s="63">
        <f t="shared" si="7"/>
        <v>280000</v>
      </c>
      <c r="AF99" s="63">
        <f>+'[1]CF Dia V1'!$CV$97</f>
        <v>8074763</v>
      </c>
      <c r="AG99" s="63">
        <f t="shared" ref="AG99:AG105" si="8">+AG98</f>
        <v>5582721359</v>
      </c>
      <c r="AH99" s="14">
        <f>+'[1]CF Dia V1'!$CV$24+'[1]CF Dia V1'!$CV$25</f>
        <v>4480241322.8100004</v>
      </c>
      <c r="AI99" s="14">
        <f>+'[1]CF Dia V1'!$CV$29</f>
        <v>8676102303</v>
      </c>
      <c r="AJ99" s="14">
        <f>+'[1]CF Dia V1'!$CV$31</f>
        <v>285798274.18000001</v>
      </c>
      <c r="AK99" s="16"/>
    </row>
    <row r="100" spans="1:37" ht="15.75" customHeight="1" x14ac:dyDescent="0.25">
      <c r="A100" s="13">
        <v>46176</v>
      </c>
      <c r="B100" s="63">
        <v>1424.5</v>
      </c>
      <c r="C100" s="14"/>
      <c r="D100" s="14">
        <f>+'[1]CF Dia V1'!$CW$10</f>
        <v>1366573012</v>
      </c>
      <c r="E100" s="14">
        <f>+'[1]CF Dia V1'!$CW$13</f>
        <v>193021000</v>
      </c>
      <c r="F100" s="14">
        <f>+'[1]CF Dia V1'!$CW$16</f>
        <v>120900000</v>
      </c>
      <c r="G100" s="14">
        <f>+'[1]CF Dia V1'!$CW$14</f>
        <v>3910000</v>
      </c>
      <c r="H100" s="14">
        <f t="shared" si="6"/>
        <v>2000000</v>
      </c>
      <c r="I100" s="14">
        <f>+'[1]CF Dia V1'!$CW$22</f>
        <v>1582834654</v>
      </c>
      <c r="J100" s="14">
        <f>+'[1]CF Dia V1'!$CW$43</f>
        <v>214487540</v>
      </c>
      <c r="K100" s="14"/>
      <c r="L100" s="14"/>
      <c r="M100" s="14"/>
      <c r="N100" s="14"/>
      <c r="O100" s="14"/>
      <c r="P100" s="14"/>
      <c r="Q100" s="14">
        <f>+'[1]CF Dia V1'!$CW$51</f>
        <v>178059700</v>
      </c>
      <c r="R100" s="14"/>
      <c r="S100" s="14"/>
      <c r="T100" s="14">
        <f>+'[1]CF Dia V1'!$CW$59</f>
        <v>11508455</v>
      </c>
      <c r="U100" s="14">
        <f>+'[1]CF Dia V1'!$CW$60</f>
        <v>100000000</v>
      </c>
      <c r="V100" s="14"/>
      <c r="W100" s="14"/>
      <c r="X100" s="14">
        <f>+'[1]CF Dia V1'!$CW$100</f>
        <v>1512097058</v>
      </c>
      <c r="Y100" s="14">
        <f>+'[1]CF Dia V1'!$CW$101</f>
        <v>3816902319</v>
      </c>
      <c r="Z100" s="14">
        <f t="shared" ref="Z100:Z105" si="9">+Z99</f>
        <v>191016771.98655012</v>
      </c>
      <c r="AA100" s="63">
        <f>+'[1]CF Dia V1'!$CW$102</f>
        <v>4472804706</v>
      </c>
      <c r="AB100" s="63">
        <f t="shared" si="7"/>
        <v>1028533.4021649999</v>
      </c>
      <c r="AC100" s="63">
        <f t="shared" si="7"/>
        <v>10000000</v>
      </c>
      <c r="AD100" s="63">
        <f t="shared" si="7"/>
        <v>220000</v>
      </c>
      <c r="AE100" s="63">
        <f t="shared" si="7"/>
        <v>280000</v>
      </c>
      <c r="AF100" s="63">
        <f>+'[1]CF Dia V1'!$CW$97</f>
        <v>8485763</v>
      </c>
      <c r="AG100" s="63">
        <f t="shared" si="8"/>
        <v>5582721359</v>
      </c>
      <c r="AH100" s="14">
        <f>+'[1]CF Dia V1'!$CW$24+'[1]CF Dia V1'!$CW$25</f>
        <v>4566269208.6549997</v>
      </c>
      <c r="AI100" s="14">
        <f>+'[1]CF Dia V1'!$CW$29</f>
        <v>8709730606.5</v>
      </c>
      <c r="AJ100" s="14">
        <f>+'[1]CF Dia V1'!$CW$31</f>
        <v>285922742.73000002</v>
      </c>
      <c r="AK100" s="16"/>
    </row>
    <row r="101" spans="1:37" ht="15.75" customHeight="1" x14ac:dyDescent="0.25">
      <c r="A101" s="13">
        <v>46177</v>
      </c>
      <c r="B101" s="63">
        <v>1430</v>
      </c>
      <c r="C101" s="14"/>
      <c r="D101" s="14">
        <f>+'[1]CF Dia V1'!$CX$10</f>
        <v>1366573012</v>
      </c>
      <c r="E101" s="14">
        <f>+'[1]CF Dia V1'!$CX$13</f>
        <v>97642000</v>
      </c>
      <c r="F101" s="14">
        <f>+'[1]CF Dia V1'!$CX$16</f>
        <v>13500000</v>
      </c>
      <c r="G101" s="14">
        <f>+'[1]CF Dia V1'!$CX$14</f>
        <v>5149000</v>
      </c>
      <c r="H101" s="14">
        <f t="shared" si="6"/>
        <v>2000000</v>
      </c>
      <c r="I101" s="14">
        <f>+'[1]CF Dia V1'!$CX$22</f>
        <v>1733927373</v>
      </c>
      <c r="J101" s="14">
        <f>+'[1]CF Dia V1'!$CX$43</f>
        <v>135000000</v>
      </c>
      <c r="K101" s="14"/>
      <c r="L101" s="14">
        <f>+'[1]CF Dia V1'!$CX$46</f>
        <v>3892372</v>
      </c>
      <c r="M101" s="14"/>
      <c r="N101" s="14"/>
      <c r="O101" s="14"/>
      <c r="P101" s="14">
        <f>+'[1]CF Dia V1'!$CX$50</f>
        <v>11667763</v>
      </c>
      <c r="Q101" s="14">
        <f>+'[1]CF Dia V1'!$CX$51</f>
        <v>481974372</v>
      </c>
      <c r="R101" s="14"/>
      <c r="S101" s="14"/>
      <c r="T101" s="14"/>
      <c r="U101" s="14"/>
      <c r="V101" s="14"/>
      <c r="W101" s="14"/>
      <c r="X101" s="14">
        <f>+'[1]CF Dia V1'!$CX$100</f>
        <v>1485119936</v>
      </c>
      <c r="Y101" s="14">
        <f>+'[1]CF Dia V1'!$CX$101</f>
        <v>3427374844</v>
      </c>
      <c r="Z101" s="14">
        <f t="shared" si="9"/>
        <v>191016771.98655012</v>
      </c>
      <c r="AA101" s="63">
        <f>+'[1]CF Dia V1'!$CX$102</f>
        <v>4799416274</v>
      </c>
      <c r="AB101" s="63">
        <f t="shared" ref="AB101:AE102" si="10">+AB100</f>
        <v>1028533.4021649999</v>
      </c>
      <c r="AC101" s="63">
        <f t="shared" si="10"/>
        <v>10000000</v>
      </c>
      <c r="AD101" s="63">
        <f t="shared" si="10"/>
        <v>220000</v>
      </c>
      <c r="AE101" s="63">
        <f t="shared" si="10"/>
        <v>280000</v>
      </c>
      <c r="AF101" s="63">
        <f>+'[1]CF Dia V1'!$CX$97</f>
        <v>8825768</v>
      </c>
      <c r="AG101" s="63">
        <f t="shared" si="8"/>
        <v>5582721359</v>
      </c>
      <c r="AH101" s="14">
        <f>+'[1]CF Dia V1'!$CX$24+'[1]CF Dia V1'!$CX$25</f>
        <v>4930610527.6999998</v>
      </c>
      <c r="AI101" s="14">
        <f>+'[1]CF Dia V1'!$CX$29</f>
        <v>8743351760</v>
      </c>
      <c r="AJ101" s="14">
        <f>+'[1]CF Dia V1'!$CX$31</f>
        <v>286045645.56999999</v>
      </c>
      <c r="AK101" s="16"/>
    </row>
    <row r="102" spans="1:37" ht="15.75" customHeight="1" x14ac:dyDescent="0.25">
      <c r="A102" s="13">
        <v>46178</v>
      </c>
      <c r="B102" s="63">
        <v>1434</v>
      </c>
      <c r="C102" s="14"/>
      <c r="D102" s="14">
        <f>+'[1]CF Dia V1'!$CY$10</f>
        <v>1366573012</v>
      </c>
      <c r="E102" s="14">
        <f>+'[1]CF Dia V1'!$CY$13</f>
        <v>272640465.12</v>
      </c>
      <c r="F102" s="14">
        <f>+'[1]CF Dia V1'!$CY$16</f>
        <v>20650974.870000001</v>
      </c>
      <c r="G102" s="14">
        <f>+'[1]CF Dia V1'!$CY$14</f>
        <v>16335000</v>
      </c>
      <c r="H102" s="14">
        <f t="shared" si="6"/>
        <v>2000000</v>
      </c>
      <c r="I102" s="14">
        <f>+'[1]CF Dia V1'!$CY$22</f>
        <v>1654368586</v>
      </c>
      <c r="J102" s="14">
        <f>+'[1]CF Dia V1'!$CY$43</f>
        <v>440719000</v>
      </c>
      <c r="K102" s="14"/>
      <c r="L102" s="14"/>
      <c r="M102" s="14"/>
      <c r="N102" s="14"/>
      <c r="O102" s="14"/>
      <c r="P102" s="14"/>
      <c r="Q102" s="14">
        <f>+'[1]CF Dia V1'!$CY$51</f>
        <v>83213406</v>
      </c>
      <c r="R102" s="14"/>
      <c r="S102" s="14"/>
      <c r="T102" s="14">
        <f>+'[1]CF Dia V1'!$CY$59</f>
        <v>10652000</v>
      </c>
      <c r="U102" s="14"/>
      <c r="V102" s="14"/>
      <c r="W102" s="14"/>
      <c r="X102" s="14">
        <f>+'[1]CF Dia V1'!$CY$100</f>
        <v>1499323745</v>
      </c>
      <c r="Y102" s="14">
        <f>+'[1]CF Dia V1'!$CY$101</f>
        <v>3574582194</v>
      </c>
      <c r="Z102" s="14">
        <f t="shared" si="9"/>
        <v>191016771.98655012</v>
      </c>
      <c r="AA102" s="63">
        <f>+'[1]CF Dia V1'!$CY$102</f>
        <v>4744842059</v>
      </c>
      <c r="AB102" s="63">
        <f t="shared" si="10"/>
        <v>1028533.4021649999</v>
      </c>
      <c r="AC102" s="63">
        <f t="shared" si="10"/>
        <v>10000000</v>
      </c>
      <c r="AD102" s="63">
        <f t="shared" si="10"/>
        <v>220000</v>
      </c>
      <c r="AE102" s="63">
        <f t="shared" si="10"/>
        <v>280000</v>
      </c>
      <c r="AF102" s="63">
        <f>+'[1]CF Dia V1'!$CY$97</f>
        <v>10993000</v>
      </c>
      <c r="AG102" s="63">
        <f t="shared" si="8"/>
        <v>5582721359</v>
      </c>
      <c r="AH102" s="14">
        <f>+'[1]CF Dia V1'!$CY$24+'[1]CF Dia V1'!$CY$25</f>
        <v>4857623576.7600002</v>
      </c>
      <c r="AI102" s="14">
        <f>+'[1]CF Dia V1'!$CY$29</f>
        <v>7931454000</v>
      </c>
      <c r="AJ102" s="14">
        <f>+'[1]CF Dia V1'!$CY$31</f>
        <v>264159921.84</v>
      </c>
      <c r="AK102" s="16"/>
    </row>
    <row r="103" spans="1:37" ht="15.75" customHeight="1" x14ac:dyDescent="0.25">
      <c r="A103" s="13">
        <v>46181</v>
      </c>
      <c r="B103" s="63">
        <v>1440</v>
      </c>
      <c r="C103" s="14"/>
      <c r="D103" s="14">
        <f>+'[1]CF Dia V1'!$CZ$10</f>
        <v>1366573012</v>
      </c>
      <c r="E103" s="14">
        <f>+'[1]CF Dia V1'!$CZ$13</f>
        <v>82078000</v>
      </c>
      <c r="F103" s="14">
        <f>+'[1]CF Dia V1'!$CZ$16</f>
        <v>19099000</v>
      </c>
      <c r="G103" s="14">
        <f>+'[1]CF Dia V1'!$CZ$14</f>
        <v>-55055000</v>
      </c>
      <c r="H103" s="14">
        <f t="shared" si="6"/>
        <v>2000000</v>
      </c>
      <c r="I103" s="14">
        <f>+'[1]CF Dia V1'!$CZ$22</f>
        <v>2504434234</v>
      </c>
      <c r="J103" s="14">
        <f>+'[1]CF Dia V1'!$CZ$43</f>
        <v>464435608</v>
      </c>
      <c r="K103" s="14"/>
      <c r="L103" s="14">
        <f>+'[1]CF Dia V1'!$CZ$46</f>
        <v>126723515</v>
      </c>
      <c r="M103" s="14"/>
      <c r="N103" s="14"/>
      <c r="O103" s="14"/>
      <c r="P103" s="14"/>
      <c r="Q103" s="14">
        <f>+'[1]CF Dia V1'!$CZ$51</f>
        <v>8388083</v>
      </c>
      <c r="R103" s="14"/>
      <c r="S103" s="14"/>
      <c r="T103" s="14"/>
      <c r="U103" s="14">
        <f>+'[1]CF Dia V1'!$CZ$60</f>
        <v>100000000</v>
      </c>
      <c r="V103" s="14"/>
      <c r="W103" s="14"/>
      <c r="X103" s="14">
        <f>+'[1]CF Dia V1'!$CZ$100</f>
        <v>1122265222</v>
      </c>
      <c r="Y103" s="14">
        <f>+'[1]CF Dia V1'!$CZ$101</f>
        <v>3203368814</v>
      </c>
      <c r="Z103" s="14">
        <f t="shared" si="9"/>
        <v>191016771.98655012</v>
      </c>
      <c r="AA103" s="63">
        <f>+'[1]CF Dia V1'!$CZ$102</f>
        <v>5023890065</v>
      </c>
      <c r="AB103" s="63">
        <v>1202455.9875649996</v>
      </c>
      <c r="AC103" s="63">
        <f t="shared" ref="AC103:AE105" si="11">+AC102</f>
        <v>10000000</v>
      </c>
      <c r="AD103" s="63">
        <f t="shared" si="11"/>
        <v>220000</v>
      </c>
      <c r="AE103" s="63">
        <f t="shared" si="11"/>
        <v>280000</v>
      </c>
      <c r="AF103" s="63">
        <f>+'[1]CF Dia V1'!$CZ$97</f>
        <v>10901124</v>
      </c>
      <c r="AG103" s="63">
        <f t="shared" si="8"/>
        <v>5582721359</v>
      </c>
      <c r="AH103" s="14">
        <f>+'[1]CF Dia V1'!$CZ$24+'[1]CF Dia V1'!$CZ$25</f>
        <v>4775601801.6000004</v>
      </c>
      <c r="AI103" s="14">
        <f>+'[1]CF Dia V1'!$CZ$29</f>
        <v>8096941440</v>
      </c>
      <c r="AJ103" s="14">
        <f>+'[1]CF Dia V1'!$CZ$31</f>
        <v>278518000</v>
      </c>
      <c r="AK103" s="16"/>
    </row>
    <row r="104" spans="1:37" ht="15.75" customHeight="1" x14ac:dyDescent="0.25">
      <c r="A104" s="13">
        <v>46182</v>
      </c>
      <c r="B104" s="63">
        <f>+'[1]CF Dia V1'!$DA$2</f>
        <v>1442</v>
      </c>
      <c r="C104" s="14"/>
      <c r="D104" s="14">
        <f>+D103</f>
        <v>1366573012</v>
      </c>
      <c r="E104" s="14">
        <f>+'[1]CF Dia V1'!$DA$13</f>
        <v>158003000</v>
      </c>
      <c r="F104" s="14">
        <f>+'[1]CF Dia V1'!$DA$16</f>
        <v>83500000</v>
      </c>
      <c r="G104" s="14">
        <f>+'[1]CF Dia V1'!$DA$14</f>
        <v>3455000</v>
      </c>
      <c r="H104" s="14">
        <f>+H103</f>
        <v>2000000</v>
      </c>
      <c r="I104" s="14">
        <f>+'[1]CF Dia V1'!$DA$22</f>
        <v>2504434234</v>
      </c>
      <c r="J104" s="14">
        <f>+'[1]CF Dia V1'!$DA$43</f>
        <v>26208000</v>
      </c>
      <c r="K104" s="14"/>
      <c r="L104" s="14"/>
      <c r="M104" s="14"/>
      <c r="N104" s="14"/>
      <c r="O104" s="14"/>
      <c r="P104" s="14">
        <f>+'[1]CF Dia V1'!$DA$50</f>
        <v>230621763</v>
      </c>
      <c r="Q104" s="14">
        <f>+'[1]CF Dia V1'!$DA$51</f>
        <v>999147178</v>
      </c>
      <c r="R104" s="14"/>
      <c r="S104" s="14"/>
      <c r="T104" s="14"/>
      <c r="U104" s="14"/>
      <c r="V104" s="14"/>
      <c r="W104" s="14"/>
      <c r="X104" s="14">
        <f>+'[1]CF Dia V1'!$DA$100</f>
        <v>1442191789</v>
      </c>
      <c r="Y104" s="14">
        <f>+'[1]CF Dia V1'!$DA$101</f>
        <v>2351933757</v>
      </c>
      <c r="Z104" s="14">
        <f t="shared" si="9"/>
        <v>191016771.98655012</v>
      </c>
      <c r="AA104" s="63">
        <f>+'[1]CF Dia V1'!$DA$102</f>
        <v>5329656243.5</v>
      </c>
      <c r="AB104" s="63">
        <f t="shared" ref="AB104:AB109" si="12">+AB103</f>
        <v>1202455.9875649996</v>
      </c>
      <c r="AC104" s="63">
        <f t="shared" si="11"/>
        <v>10000000</v>
      </c>
      <c r="AD104" s="63">
        <f t="shared" si="11"/>
        <v>220000</v>
      </c>
      <c r="AE104" s="63">
        <f t="shared" si="11"/>
        <v>280000</v>
      </c>
      <c r="AF104" s="63">
        <f>+'[1]CF Dia V1'!$DA$97</f>
        <v>10661367</v>
      </c>
      <c r="AG104" s="63">
        <f t="shared" si="8"/>
        <v>5582721359</v>
      </c>
      <c r="AH104" s="14">
        <f>+'[1]CF Dia V1'!$DA$24+'[1]CF Dia V1'!$DA$25</f>
        <v>4277809744.3200006</v>
      </c>
      <c r="AI104" s="14">
        <f>+'[1]CF Dia V1'!$DA$29</f>
        <v>8051598786</v>
      </c>
      <c r="AJ104" s="14">
        <f>+'[1]CF Dia V1'!$DA$31</f>
        <v>278638000</v>
      </c>
      <c r="AK104" s="16"/>
    </row>
    <row r="105" spans="1:37" ht="15.75" customHeight="1" x14ac:dyDescent="0.25">
      <c r="A105" s="13">
        <v>46183</v>
      </c>
      <c r="B105" s="63">
        <v>1444</v>
      </c>
      <c r="C105" s="14"/>
      <c r="D105" s="14">
        <f>+D104</f>
        <v>1366573012</v>
      </c>
      <c r="E105" s="14">
        <f>+'[1]CF Dia V1'!$DB$13</f>
        <v>282377595.08999997</v>
      </c>
      <c r="F105" s="14">
        <f>+'[1]CF Dia V1'!$DB$16</f>
        <v>404000000</v>
      </c>
      <c r="G105" s="14">
        <f>+G104</f>
        <v>3455000</v>
      </c>
      <c r="H105" s="14">
        <f>+H104</f>
        <v>2000000</v>
      </c>
      <c r="I105" s="14">
        <f>+'[1]CF Dia V1'!$DB$22</f>
        <v>2519698829</v>
      </c>
      <c r="J105" s="14">
        <f>+'[1]CF Dia V1'!$DB$43</f>
        <v>49230696</v>
      </c>
      <c r="K105" s="14"/>
      <c r="L105" s="14">
        <f>+'[1]CF Dia V1'!$DB$46</f>
        <v>176339266</v>
      </c>
      <c r="M105" s="14"/>
      <c r="N105" s="14"/>
      <c r="O105" s="14"/>
      <c r="P105" s="14">
        <f>+'[1]CF Dia V1'!$DB$50</f>
        <v>124006883</v>
      </c>
      <c r="Q105" s="14">
        <f>+'[1]CF Dia V1'!$DB$51</f>
        <v>413477248</v>
      </c>
      <c r="R105" s="14"/>
      <c r="S105" s="14"/>
      <c r="T105" s="14"/>
      <c r="U105" s="14">
        <f>+'[1]CF Dia V1'!$DB$60</f>
        <v>60000000</v>
      </c>
      <c r="V105" s="14"/>
      <c r="W105" s="14"/>
      <c r="X105" s="14">
        <f>+'[1]CF Dia V1'!$DB$100</f>
        <v>2069933438</v>
      </c>
      <c r="Y105" s="14">
        <f>+'[1]CF Dia V1'!$DB$101</f>
        <v>2032148193</v>
      </c>
      <c r="Z105" s="14">
        <f t="shared" si="9"/>
        <v>191016771.98655012</v>
      </c>
      <c r="AA105" s="63">
        <f>+'[1]CF Dia V1'!$DB$102</f>
        <v>5465695997</v>
      </c>
      <c r="AB105" s="63">
        <f t="shared" si="12"/>
        <v>1202455.9875649996</v>
      </c>
      <c r="AC105" s="63">
        <f t="shared" si="11"/>
        <v>10000000</v>
      </c>
      <c r="AD105" s="63">
        <f t="shared" si="11"/>
        <v>220000</v>
      </c>
      <c r="AE105" s="63">
        <f t="shared" si="11"/>
        <v>280000</v>
      </c>
      <c r="AF105" s="63">
        <f>+'[1]CF Dia V1'!$DB$97</f>
        <v>9665367</v>
      </c>
      <c r="AG105" s="63">
        <f t="shared" si="8"/>
        <v>5582721359</v>
      </c>
      <c r="AH105" s="14">
        <f>+'[1]CF Dia V1'!$DB$24+'[1]CF Dia V1'!$DB$25</f>
        <v>3295069376</v>
      </c>
      <c r="AI105" s="14">
        <f>+'[1]CF Dia V1'!$DB$29</f>
        <v>8062766052</v>
      </c>
      <c r="AJ105" s="14">
        <f>+'[1]CF Dia V1'!$DB$31</f>
        <v>178714000</v>
      </c>
      <c r="AK105" s="16"/>
    </row>
    <row r="106" spans="1:37" ht="15.75" customHeight="1" x14ac:dyDescent="0.25">
      <c r="A106" s="13">
        <v>46185</v>
      </c>
      <c r="B106" s="63">
        <v>1444</v>
      </c>
      <c r="C106" s="14"/>
      <c r="D106" s="14">
        <f>+'[1]CF Dia V1'!$DD$10</f>
        <v>1778551709</v>
      </c>
      <c r="E106" s="14">
        <f>+'[1]CF Dia V1'!$DD$13</f>
        <v>140935151.72999999</v>
      </c>
      <c r="F106" s="14">
        <f>+'[1]CF Dia V1'!$DD$16</f>
        <v>290571568</v>
      </c>
      <c r="G106" s="14">
        <f>+'[1]CF Dia V1'!$DD$14</f>
        <v>6748560</v>
      </c>
      <c r="H106" s="14">
        <v>2000000</v>
      </c>
      <c r="I106" s="14">
        <f>+'[1]CF Dia V1'!$DD$22</f>
        <v>2018496354</v>
      </c>
      <c r="J106" s="14">
        <f>+'[1]CF Dia V1'!$DD$43</f>
        <v>422611775</v>
      </c>
      <c r="K106" s="14"/>
      <c r="L106" s="14"/>
      <c r="M106" s="14"/>
      <c r="N106" s="14"/>
      <c r="O106" s="14"/>
      <c r="P106" s="14">
        <f>+'[1]CF Dia V1'!$DD$50</f>
        <v>285064171</v>
      </c>
      <c r="Q106" s="14">
        <f>+'[1]CF Dia V1'!$DD$51</f>
        <v>306986818</v>
      </c>
      <c r="R106" s="14"/>
      <c r="S106" s="14"/>
      <c r="T106" s="14"/>
      <c r="U106" s="14"/>
      <c r="V106" s="14"/>
      <c r="W106" s="14"/>
      <c r="X106" s="14">
        <f>+'[1]CF Dia V1'!$DD$100</f>
        <v>1873319205</v>
      </c>
      <c r="Y106" s="14">
        <f>+'[1]CF Dia V1'!$DD$101</f>
        <v>1563095825</v>
      </c>
      <c r="Z106" s="14">
        <f t="shared" ref="Z106:Z111" si="13">+Z105</f>
        <v>191016771.98655012</v>
      </c>
      <c r="AA106" s="63">
        <f>+'[1]CF Dia V1'!$DD$102</f>
        <v>5589564137</v>
      </c>
      <c r="AB106" s="63">
        <f t="shared" si="12"/>
        <v>1202455.9875649996</v>
      </c>
      <c r="AC106" s="63">
        <f t="shared" ref="AC106:AE107" si="14">+AC105</f>
        <v>10000000</v>
      </c>
      <c r="AD106" s="63">
        <f t="shared" si="14"/>
        <v>220000</v>
      </c>
      <c r="AE106" s="63">
        <f t="shared" si="14"/>
        <v>280000</v>
      </c>
      <c r="AF106" s="63">
        <f>+'[1]CF Dia V1'!$DD$97</f>
        <v>11289324</v>
      </c>
      <c r="AG106" s="63">
        <f t="shared" ref="AG106:AG111" si="15">+AG105</f>
        <v>5582721359</v>
      </c>
      <c r="AH106" s="14">
        <f>+'[1]CF Dia V1'!$DD$24+'[1]CF Dia V1'!$DD$25</f>
        <v>4056325584.5600004</v>
      </c>
      <c r="AI106" s="14">
        <f>+'[1]CF Dia V1'!$DD$29</f>
        <v>7951640144</v>
      </c>
      <c r="AJ106" s="14">
        <f>+'[1]CF Dia V1'!$DD$31</f>
        <v>194053266.78</v>
      </c>
      <c r="AK106" s="16"/>
    </row>
    <row r="107" spans="1:37" ht="15.75" customHeight="1" x14ac:dyDescent="0.25">
      <c r="A107" s="13">
        <v>46189</v>
      </c>
      <c r="B107" s="63">
        <v>1427</v>
      </c>
      <c r="C107" s="14"/>
      <c r="D107" s="14">
        <f>+'[1]CF Dia V1'!$DE$10</f>
        <v>2268029215</v>
      </c>
      <c r="E107" s="14">
        <f>+'[1]CF Dia V1'!$DE$13</f>
        <v>301482658.31</v>
      </c>
      <c r="F107" s="14">
        <f>+'[1]CF Dia V1'!$DE$16</f>
        <v>47500000</v>
      </c>
      <c r="G107" s="14">
        <f>+'[1]CF Dia V1'!$DE$14</f>
        <v>-5900000</v>
      </c>
      <c r="H107" s="14">
        <v>2000000</v>
      </c>
      <c r="I107" s="14">
        <f>+'[1]CF Dia V1'!$DE$22</f>
        <v>1530537822</v>
      </c>
      <c r="J107" s="14">
        <f>+'[1]CF Dia V1'!$DE$43</f>
        <v>334335700</v>
      </c>
      <c r="K107" s="14"/>
      <c r="L107" s="14">
        <f>+'[1]CF Dia V1'!$DE$46</f>
        <v>188300000</v>
      </c>
      <c r="M107" s="14"/>
      <c r="N107" s="14"/>
      <c r="O107" s="14"/>
      <c r="P107" s="14">
        <f>+'[1]CF Dia V1'!$DE$50</f>
        <v>36765809</v>
      </c>
      <c r="Q107" s="14">
        <f>+'[1]CF Dia V1'!$DE$51</f>
        <v>7627147</v>
      </c>
      <c r="R107" s="14"/>
      <c r="S107" s="14"/>
      <c r="T107" s="14"/>
      <c r="U107" s="14"/>
      <c r="V107" s="14"/>
      <c r="W107" s="14"/>
      <c r="X107" s="14">
        <f>+'[1]CF Dia V1'!$DE$100</f>
        <v>1870852101</v>
      </c>
      <c r="Y107" s="14">
        <f>+'[1]CF Dia V1'!$DE$101</f>
        <v>1693922893</v>
      </c>
      <c r="Z107" s="14">
        <f t="shared" si="13"/>
        <v>191016771.98655012</v>
      </c>
      <c r="AA107" s="63">
        <f>+'[1]CF Dia V1'!$DE$102</f>
        <v>5589072977</v>
      </c>
      <c r="AB107" s="63">
        <f t="shared" si="12"/>
        <v>1202455.9875649996</v>
      </c>
      <c r="AC107" s="63">
        <f t="shared" si="14"/>
        <v>10000000</v>
      </c>
      <c r="AD107" s="63">
        <f t="shared" si="14"/>
        <v>220000</v>
      </c>
      <c r="AE107" s="63">
        <f t="shared" si="14"/>
        <v>280000</v>
      </c>
      <c r="AF107" s="63">
        <f>+'[1]CF Dia V1'!$DE$97</f>
        <v>14799324</v>
      </c>
      <c r="AG107" s="63">
        <f t="shared" si="15"/>
        <v>5582721359</v>
      </c>
      <c r="AH107" s="14">
        <f>+'[1]CF Dia V1'!$DE$24+'[1]CF Dia V1'!$DE$25</f>
        <v>3269438043.4899998</v>
      </c>
      <c r="AI107" s="14">
        <f>+'[1]CF Dia V1'!$DE$29</f>
        <v>7858026652</v>
      </c>
      <c r="AJ107" s="14">
        <f>+'[1]CF Dia V1'!$DE$31</f>
        <v>194389386.99000001</v>
      </c>
      <c r="AK107" s="16"/>
    </row>
    <row r="108" spans="1:37" ht="15.75" customHeight="1" x14ac:dyDescent="0.25">
      <c r="A108" s="13">
        <v>46190</v>
      </c>
      <c r="B108" s="63">
        <v>1427</v>
      </c>
      <c r="C108" s="14"/>
      <c r="D108" s="14">
        <f>+'[1]CF Dia V1'!$DF$10</f>
        <v>2383852953</v>
      </c>
      <c r="E108" s="14">
        <f>+'[1]CF Dia V1'!$DF$13</f>
        <v>208109783.99000001</v>
      </c>
      <c r="F108" s="14">
        <f>+'[1]CF Dia V1'!$DF$16</f>
        <v>244510887.59999999</v>
      </c>
      <c r="G108" s="14">
        <f>+'[1]CF Dia V1'!$DF$14</f>
        <v>2048000</v>
      </c>
      <c r="H108" s="14">
        <v>2000000</v>
      </c>
      <c r="I108" s="14">
        <f>+'[1]CF Dia V1'!$DF$22</f>
        <v>1958536678</v>
      </c>
      <c r="J108" s="14">
        <f>+'[1]CF Dia V1'!$DF$43</f>
        <v>170816222</v>
      </c>
      <c r="K108" s="14"/>
      <c r="L108" s="14"/>
      <c r="M108" s="14"/>
      <c r="N108" s="14"/>
      <c r="O108" s="14"/>
      <c r="P108" s="14">
        <f>+'[1]CF Dia V1'!$DF$50</f>
        <v>14467604</v>
      </c>
      <c r="Q108" s="14">
        <f>+'[1]CF Dia V1'!$DF$51</f>
        <v>485193438</v>
      </c>
      <c r="R108" s="14"/>
      <c r="S108" s="14"/>
      <c r="T108" s="14"/>
      <c r="U108" s="14"/>
      <c r="V108" s="14"/>
      <c r="W108" s="14"/>
      <c r="X108" s="14">
        <f>+'[1]CF Dia V1'!$DF$100</f>
        <v>1779143763</v>
      </c>
      <c r="Y108" s="14">
        <f>+'[1]CF Dia V1'!$DF$101</f>
        <v>1922736439</v>
      </c>
      <c r="Z108" s="14">
        <f t="shared" si="13"/>
        <v>191016771.98655012</v>
      </c>
      <c r="AA108" s="63">
        <f>+'[1]CF Dia V1'!$DF$102</f>
        <v>5527488705</v>
      </c>
      <c r="AB108" s="63">
        <f t="shared" si="12"/>
        <v>1202455.9875649996</v>
      </c>
      <c r="AC108" s="63">
        <f t="shared" ref="AC108:AE109" si="16">+AC107</f>
        <v>10000000</v>
      </c>
      <c r="AD108" s="63">
        <f t="shared" si="16"/>
        <v>220000</v>
      </c>
      <c r="AE108" s="63">
        <f t="shared" si="16"/>
        <v>280000</v>
      </c>
      <c r="AF108" s="63">
        <f>+'[1]CF Dia V1'!$DF$97</f>
        <v>16047536</v>
      </c>
      <c r="AG108" s="63">
        <f t="shared" si="15"/>
        <v>5582721359</v>
      </c>
      <c r="AH108" s="14">
        <f>+'[1]CF Dia V1'!$DF$24+'[1]CF Dia V1'!$DF$25</f>
        <v>2966742560.9000001</v>
      </c>
      <c r="AI108" s="14">
        <f>+'[1]CF Dia V1'!$DF$29</f>
        <v>6821722128</v>
      </c>
      <c r="AJ108" s="14">
        <f>+'[1]CF Dia V1'!$DF$31</f>
        <v>194474045.46000001</v>
      </c>
      <c r="AK108" s="16"/>
    </row>
    <row r="109" spans="1:37" ht="15.75" customHeight="1" x14ac:dyDescent="0.25">
      <c r="A109" s="13">
        <v>46191</v>
      </c>
      <c r="B109" s="63">
        <v>1437</v>
      </c>
      <c r="C109" s="14"/>
      <c r="D109" s="14">
        <f>+'[1]CF Dia V1'!$DG$10</f>
        <v>2754644903</v>
      </c>
      <c r="E109" s="14">
        <f>+'[1]CF Dia V1'!$DG$13</f>
        <v>89606948.769999996</v>
      </c>
      <c r="F109" s="14">
        <f>+'[1]CF Dia V1'!$DG$16</f>
        <v>73309027.609999999</v>
      </c>
      <c r="G109" s="14">
        <f>+'[1]CF Dia V1'!$DG$14</f>
        <v>2278000</v>
      </c>
      <c r="H109" s="14">
        <f>+H108</f>
        <v>2000000</v>
      </c>
      <c r="I109" s="14">
        <f>+'[1]CF Dia V1'!$DG$22</f>
        <v>2024387793</v>
      </c>
      <c r="J109" s="14">
        <f>+'[1]CF Dia V1'!$DG$43</f>
        <v>358580004</v>
      </c>
      <c r="K109" s="14"/>
      <c r="L109" s="14">
        <f>+'[1]CF Dia V1'!$DG$46</f>
        <v>5545144</v>
      </c>
      <c r="M109" s="14"/>
      <c r="N109" s="14"/>
      <c r="O109" s="14">
        <f>+'[1]CF Dia V1'!$DG$49</f>
        <v>2338696</v>
      </c>
      <c r="P109" s="14">
        <f>+'[1]CF Dia V1'!$DG$50</f>
        <v>39867750</v>
      </c>
      <c r="Q109" s="14">
        <f>+'[1]CF Dia V1'!$DG$51</f>
        <v>400228697</v>
      </c>
      <c r="R109" s="14"/>
      <c r="S109" s="14"/>
      <c r="T109" s="14"/>
      <c r="U109" s="14"/>
      <c r="V109" s="14"/>
      <c r="W109" s="14"/>
      <c r="X109" s="14">
        <f>+'[1]CF Dia V1'!$DG$100</f>
        <v>1808281690</v>
      </c>
      <c r="Y109" s="14">
        <f>+'[1]CF Dia V1'!$DG$101</f>
        <v>1818368308</v>
      </c>
      <c r="Z109" s="14">
        <f t="shared" si="13"/>
        <v>191016771.98655012</v>
      </c>
      <c r="AA109" s="63">
        <f>+'[1]CF Dia V1'!$DG$102</f>
        <v>5520255928</v>
      </c>
      <c r="AB109" s="63">
        <f t="shared" si="12"/>
        <v>1202455.9875649996</v>
      </c>
      <c r="AC109" s="63">
        <f t="shared" si="16"/>
        <v>10000000</v>
      </c>
      <c r="AD109" s="63">
        <f t="shared" si="16"/>
        <v>220000</v>
      </c>
      <c r="AE109" s="63">
        <f t="shared" si="16"/>
        <v>280000</v>
      </c>
      <c r="AF109" s="63">
        <f>+'[1]CF Dia V1'!$DG$97</f>
        <v>14300536</v>
      </c>
      <c r="AG109" s="63">
        <f t="shared" si="15"/>
        <v>5582721359</v>
      </c>
      <c r="AH109" s="14">
        <f>+'[1]CF Dia V1'!$DG$24+'[1]CF Dia V1'!$DG$25</f>
        <v>2591490685.7999997</v>
      </c>
      <c r="AI109" s="14">
        <f>+'[1]CF Dia V1'!$DG$29</f>
        <v>6869526768</v>
      </c>
      <c r="AJ109" s="14">
        <f>+'[1]CF Dia V1'!$DG$31</f>
        <v>227573162.49000001</v>
      </c>
      <c r="AK109" s="16"/>
    </row>
    <row r="110" spans="1:37" ht="15.75" customHeight="1" x14ac:dyDescent="0.25">
      <c r="A110" s="13">
        <v>46192</v>
      </c>
      <c r="B110" s="63">
        <v>1445.5</v>
      </c>
      <c r="C110" s="14"/>
      <c r="D110" s="14">
        <f>+'[1]CF Dia V1'!$DH$10</f>
        <v>2925974238</v>
      </c>
      <c r="E110" s="14">
        <f>+'[1]CF Dia V1'!$DH$13</f>
        <v>203580423.72999999</v>
      </c>
      <c r="F110" s="14">
        <f>+'[1]CF Dia V1'!$DH$16</f>
        <v>54206880.939999998</v>
      </c>
      <c r="G110" s="14">
        <f>+'[1]CF Dia V1'!$DH$14</f>
        <v>2278000</v>
      </c>
      <c r="H110" s="14">
        <f>+H109</f>
        <v>2000000</v>
      </c>
      <c r="I110" s="14">
        <f>+'[1]CF Dia V1'!$DH$22</f>
        <v>1778382352</v>
      </c>
      <c r="J110" s="14">
        <f>+'[1]CF Dia V1'!$DH$43</f>
        <v>338308627</v>
      </c>
      <c r="K110" s="14"/>
      <c r="L110" s="14"/>
      <c r="M110" s="14"/>
      <c r="N110" s="14"/>
      <c r="O110" s="14"/>
      <c r="P110" s="14">
        <f>+'[1]CF Dia V1'!$DH$50</f>
        <v>2260244</v>
      </c>
      <c r="Q110" s="14">
        <f>+'[1]CF Dia V1'!$DH$51</f>
        <v>276513565</v>
      </c>
      <c r="R110" s="14"/>
      <c r="S110" s="14"/>
      <c r="T110" s="14">
        <f>+'[1]CF Dia V1'!$DH$59</f>
        <v>20225097</v>
      </c>
      <c r="U110" s="14"/>
      <c r="V110" s="14"/>
      <c r="W110" s="14"/>
      <c r="X110" s="14">
        <f>+'[1]CF Dia V1'!$DH$100</f>
        <v>2498492954</v>
      </c>
      <c r="Y110" s="14">
        <f>+'[1]CF Dia V1'!$DH$101</f>
        <v>1822504420</v>
      </c>
      <c r="Z110" s="14">
        <f t="shared" si="13"/>
        <v>191016771.98655012</v>
      </c>
      <c r="AA110" s="63">
        <f>+'[1]CF Dia V1'!$DH$102</f>
        <v>4582166979</v>
      </c>
      <c r="AB110" s="63">
        <f t="shared" ref="AB110:AE111" si="17">+AB109</f>
        <v>1202455.9875649996</v>
      </c>
      <c r="AC110" s="63">
        <f t="shared" si="17"/>
        <v>10000000</v>
      </c>
      <c r="AD110" s="63">
        <f t="shared" si="17"/>
        <v>220000</v>
      </c>
      <c r="AE110" s="63">
        <f t="shared" si="17"/>
        <v>280000</v>
      </c>
      <c r="AF110" s="63">
        <f>+'[1]CF Dia V1'!$DH$97</f>
        <v>16958536</v>
      </c>
      <c r="AG110" s="63">
        <f t="shared" si="15"/>
        <v>5582721359</v>
      </c>
      <c r="AH110" s="14">
        <f>+'[1]CF Dia V1'!$DH$25+'[1]CF Dia V1'!$DH$24</f>
        <v>1783010011.8249998</v>
      </c>
      <c r="AI110" s="14">
        <f>+'[1]CF Dia V1'!$DH$29</f>
        <v>6910160712</v>
      </c>
      <c r="AJ110" s="14">
        <f>+'[1]CF Dia V1'!$DH$31</f>
        <v>247680096.25</v>
      </c>
      <c r="AK110" s="16"/>
    </row>
    <row r="111" spans="1:37" ht="15.75" customHeight="1" x14ac:dyDescent="0.25">
      <c r="A111" s="13">
        <v>46195</v>
      </c>
      <c r="B111" s="63">
        <v>1460</v>
      </c>
      <c r="C111" s="14"/>
      <c r="D111" s="14">
        <f>+'[1]CF Dia V1'!$DI$10</f>
        <v>2857745373</v>
      </c>
      <c r="E111" s="14">
        <f>+'[1]CF Dia V1'!$DI$13</f>
        <v>117700000</v>
      </c>
      <c r="F111" s="14">
        <f>+'[1]CF Dia V1'!$DI$16</f>
        <v>6125000</v>
      </c>
      <c r="G111" s="14">
        <f>+'[1]CF Dia V1'!$DI$14</f>
        <v>9744000</v>
      </c>
      <c r="H111" s="14">
        <v>2000000</v>
      </c>
      <c r="I111" s="14">
        <f>+'[1]CF Dia V1'!$DI$22</f>
        <v>1893455465</v>
      </c>
      <c r="J111" s="14">
        <f>+'[1]CF Dia V1'!$DI$43</f>
        <v>261423124</v>
      </c>
      <c r="K111" s="14"/>
      <c r="L111" s="14">
        <f>+'[1]CF Dia V1'!$DI$46</f>
        <v>37652420</v>
      </c>
      <c r="M111" s="14"/>
      <c r="N111" s="14"/>
      <c r="O111" s="14">
        <f>+'[1]CF Dia V1'!$DI$49</f>
        <v>32173206</v>
      </c>
      <c r="P111" s="14">
        <f>+'[1]CF Dia V1'!$DI$50</f>
        <v>181228924</v>
      </c>
      <c r="Q111" s="14">
        <f>+'[1]CF Dia V1'!$DI$51</f>
        <v>73756788</v>
      </c>
      <c r="R111" s="14"/>
      <c r="S111" s="14"/>
      <c r="T111" s="14"/>
      <c r="U111" s="14"/>
      <c r="V111" s="14"/>
      <c r="W111" s="14"/>
      <c r="X111" s="14">
        <f>+'[1]CF Dia V1'!$DI$100</f>
        <v>2739960274</v>
      </c>
      <c r="Y111" s="14">
        <f>+'[1]CF Dia V1'!$DI$101</f>
        <v>1289294374</v>
      </c>
      <c r="Z111" s="14">
        <f t="shared" si="13"/>
        <v>191016771.98655012</v>
      </c>
      <c r="AA111" s="63">
        <f>+'[1]CF Dia V1'!$DI$102</f>
        <v>5211327530</v>
      </c>
      <c r="AB111" s="63">
        <f t="shared" si="17"/>
        <v>1202455.9875649996</v>
      </c>
      <c r="AC111" s="63">
        <f t="shared" si="17"/>
        <v>10000000</v>
      </c>
      <c r="AD111" s="63">
        <f t="shared" si="17"/>
        <v>220000</v>
      </c>
      <c r="AE111" s="63">
        <f t="shared" si="17"/>
        <v>280000</v>
      </c>
      <c r="AF111" s="63">
        <f>+'[1]CF Dia V1'!$DI$97</f>
        <v>15445491</v>
      </c>
      <c r="AG111" s="63">
        <f t="shared" si="15"/>
        <v>5582721359</v>
      </c>
      <c r="AH111" s="14">
        <f>+'[1]CF Dia V1'!$DI$24+'[1]CF Dia V1'!$DI$25</f>
        <v>1477297744.2</v>
      </c>
      <c r="AI111" s="14">
        <f>+'[1]CF Dia V1'!$DI$29</f>
        <v>7565003140</v>
      </c>
      <c r="AJ111" s="14">
        <f>+'[1]CF Dia V1'!$DI$31</f>
        <v>281043434.38</v>
      </c>
      <c r="AK111" s="16"/>
    </row>
    <row r="112" spans="1:37" ht="15.75" customHeight="1" x14ac:dyDescent="0.25">
      <c r="A112" s="13">
        <v>46196</v>
      </c>
      <c r="B112" s="63">
        <f>+'[1]CF Dia V1'!$DJ$2</f>
        <v>1455</v>
      </c>
      <c r="C112" s="14"/>
      <c r="D112" s="14">
        <f>+'[1]CF Dia V1'!$DJ$10</f>
        <v>2857745373</v>
      </c>
      <c r="E112" s="14">
        <f>+'[1]CF Dia V1'!$DJ$13</f>
        <v>100303523</v>
      </c>
      <c r="F112" s="14">
        <f>+'[1]CF Dia V1'!$DJ$16</f>
        <v>71567307.170000002</v>
      </c>
      <c r="G112" s="14">
        <f>+'[1]CF Dia V1'!$DJ$14</f>
        <v>53463000</v>
      </c>
      <c r="H112" s="14">
        <v>2000000</v>
      </c>
      <c r="I112" s="14">
        <f>+'[1]CF Dia V1'!$DJ$22</f>
        <v>1919655916</v>
      </c>
      <c r="J112" s="14">
        <f>+'[1]CF Dia V1'!$DJ$43</f>
        <v>314210003</v>
      </c>
      <c r="K112" s="14"/>
      <c r="L112" s="14"/>
      <c r="M112" s="14"/>
      <c r="N112" s="14"/>
      <c r="O112" s="14">
        <f>+'[1]CF Dia V1'!$DJ$49</f>
        <v>4300218</v>
      </c>
      <c r="P112" s="14">
        <f>+'[1]CF Dia V1'!$DJ$50</f>
        <v>18585962</v>
      </c>
      <c r="Q112" s="14">
        <f>+'[1]CF Dia V1'!$DJ$51</f>
        <v>226841660</v>
      </c>
      <c r="R112" s="14"/>
      <c r="S112" s="14"/>
      <c r="T112" s="14"/>
      <c r="U112" s="14"/>
      <c r="V112" s="14"/>
      <c r="W112" s="14"/>
      <c r="X112" s="14">
        <f>+'[1]CF Dia V1'!$DJ$100</f>
        <v>2406939664.6399999</v>
      </c>
      <c r="Y112" s="14">
        <f>+'[1]CF Dia V1'!$DJ$101</f>
        <v>1280496204</v>
      </c>
      <c r="Z112" s="14">
        <f>+'[1]CF Dia V1'!$DJ$104</f>
        <v>191016771.98655012</v>
      </c>
      <c r="AA112" s="63">
        <f>+'[1]CF Dia V1'!$DJ$102</f>
        <v>5270740211</v>
      </c>
      <c r="AB112" s="63">
        <f t="shared" ref="AB112:AE113" si="18">+AB111</f>
        <v>1202455.9875649996</v>
      </c>
      <c r="AC112" s="63">
        <f t="shared" si="18"/>
        <v>10000000</v>
      </c>
      <c r="AD112" s="63">
        <f t="shared" si="18"/>
        <v>220000</v>
      </c>
      <c r="AE112" s="63">
        <f t="shared" si="18"/>
        <v>280000</v>
      </c>
      <c r="AF112" s="63">
        <f>+'[1]CF Dia V1'!$DJ$97</f>
        <v>16753719</v>
      </c>
      <c r="AG112" s="63">
        <f>+AG111</f>
        <v>5582721359</v>
      </c>
      <c r="AH112" s="14">
        <f>+'[1]CF Dia V1'!$DJ$24+'[1]CF Dia V1'!$DJ$25</f>
        <v>810562530.75</v>
      </c>
      <c r="AI112" s="14">
        <f>+'[1]CF Dia V1'!$DJ$29</f>
        <v>7476198855</v>
      </c>
      <c r="AJ112" s="14">
        <f>+'[1]CF Dia V1'!$DJ$31</f>
        <v>287166963.37</v>
      </c>
      <c r="AK112" s="16"/>
    </row>
    <row r="113" spans="1:37" ht="15.75" customHeight="1" x14ac:dyDescent="0.25">
      <c r="A113" s="13">
        <v>46197</v>
      </c>
      <c r="B113" s="63">
        <v>1467</v>
      </c>
      <c r="C113" s="14"/>
      <c r="D113" s="14">
        <f>+'[1]CF Dia V1'!$DK$10</f>
        <v>3181470816</v>
      </c>
      <c r="E113" s="14">
        <f>+'[1]CF Dia V1'!$DK$13</f>
        <v>160135000</v>
      </c>
      <c r="F113" s="14">
        <f>+'[1]CF Dia V1'!$DK$16</f>
        <v>231543737.06</v>
      </c>
      <c r="G113" s="14">
        <f>+'[1]CF Dia V1'!$DK$14</f>
        <v>9168000</v>
      </c>
      <c r="H113" s="14">
        <v>2000000</v>
      </c>
      <c r="I113" s="14">
        <f>+'[1]CF Dia V1'!$DK$22</f>
        <v>1559790968</v>
      </c>
      <c r="J113" s="14">
        <f>+'[1]CF Dia V1'!$DK$43</f>
        <v>367400000</v>
      </c>
      <c r="K113" s="14"/>
      <c r="L113" s="14">
        <f>+'[1]CF Dia V1'!$DK$46</f>
        <v>101923754</v>
      </c>
      <c r="M113" s="14"/>
      <c r="N113" s="14"/>
      <c r="O113" s="14">
        <f>+'[1]CF Dia V1'!$DK$49</f>
        <v>848120</v>
      </c>
      <c r="P113" s="14">
        <f>+'[1]CF Dia V1'!$DK$51</f>
        <v>86200000</v>
      </c>
      <c r="Q113" s="14"/>
      <c r="R113" s="14"/>
      <c r="S113" s="14"/>
      <c r="T113" s="14">
        <f>+'[1]CF Dia V1'!$DK$59</f>
        <v>5007874</v>
      </c>
      <c r="U113" s="14"/>
      <c r="V113" s="14"/>
      <c r="W113" s="14"/>
      <c r="X113" s="14">
        <f>+'[1]CF Dia V1'!$DK$100</f>
        <v>2067308483</v>
      </c>
      <c r="Y113" s="14">
        <f>+'[1]CF Dia V1'!$DK$101</f>
        <v>1268841000</v>
      </c>
      <c r="Z113" s="14">
        <f t="shared" ref="Z113:Z124" si="19">+Z112</f>
        <v>191016771.98655012</v>
      </c>
      <c r="AA113" s="63">
        <f>+'[1]CF Dia V1'!$DK$102</f>
        <v>5270740211</v>
      </c>
      <c r="AB113" s="63">
        <f t="shared" si="18"/>
        <v>1202455.9875649996</v>
      </c>
      <c r="AC113" s="63">
        <f t="shared" si="18"/>
        <v>10000000</v>
      </c>
      <c r="AD113" s="63">
        <f t="shared" si="18"/>
        <v>220000</v>
      </c>
      <c r="AE113" s="63">
        <f t="shared" si="18"/>
        <v>280000</v>
      </c>
      <c r="AF113" s="63">
        <f>+'[1]CF Dia V1'!$DK$97</f>
        <v>16767719</v>
      </c>
      <c r="AG113" s="63">
        <f>+AG111</f>
        <v>5582721359</v>
      </c>
      <c r="AH113" s="14">
        <f>+'[1]CF Dia V1'!$DK$24+'[1]CF Dia V1'!$DK$25</f>
        <v>1084503222</v>
      </c>
      <c r="AI113" s="14">
        <f>+'[1]CF Dia V1'!$DK$29</f>
        <v>7537858227</v>
      </c>
      <c r="AJ113" s="14">
        <f>+'[1]CF Dia V1'!$DK$31</f>
        <v>287290505.68000001</v>
      </c>
      <c r="AK113" s="16"/>
    </row>
    <row r="114" spans="1:37" ht="15.75" customHeight="1" x14ac:dyDescent="0.25">
      <c r="A114" s="13">
        <v>46198</v>
      </c>
      <c r="B114" s="63">
        <v>1474</v>
      </c>
      <c r="C114" s="14"/>
      <c r="D114" s="14">
        <v>1996248317.76</v>
      </c>
      <c r="E114" s="14">
        <v>189477637.00999999</v>
      </c>
      <c r="F114" s="14">
        <v>13000000</v>
      </c>
      <c r="G114" s="14">
        <v>9000000</v>
      </c>
      <c r="H114" s="14">
        <v>2000000</v>
      </c>
      <c r="I114" s="14">
        <v>2201287040</v>
      </c>
      <c r="J114" s="14">
        <v>328739914</v>
      </c>
      <c r="K114" s="14"/>
      <c r="L114" s="14"/>
      <c r="M114" s="14"/>
      <c r="N114" s="14"/>
      <c r="O114" s="14"/>
      <c r="P114" s="14"/>
      <c r="Q114" s="14">
        <v>77822000</v>
      </c>
      <c r="R114" s="14"/>
      <c r="S114" s="14"/>
      <c r="T114" s="14">
        <v>2473400</v>
      </c>
      <c r="U114" s="14"/>
      <c r="V114" s="14"/>
      <c r="W114" s="14"/>
      <c r="X114" s="14">
        <v>2252502815</v>
      </c>
      <c r="Y114" s="14">
        <v>1849298006</v>
      </c>
      <c r="Z114" s="14">
        <f t="shared" si="19"/>
        <v>191016771.98655012</v>
      </c>
      <c r="AA114" s="63">
        <v>5652402569</v>
      </c>
      <c r="AB114" s="63">
        <f t="shared" ref="AB114:AE116" si="20">+AB113</f>
        <v>1202455.9875649996</v>
      </c>
      <c r="AC114" s="63">
        <f t="shared" si="20"/>
        <v>10000000</v>
      </c>
      <c r="AD114" s="63">
        <f t="shared" si="20"/>
        <v>220000</v>
      </c>
      <c r="AE114" s="63">
        <f t="shared" si="20"/>
        <v>280000</v>
      </c>
      <c r="AF114" s="63">
        <v>22041872.140500002</v>
      </c>
      <c r="AG114" s="63">
        <f t="shared" ref="AG114:AG124" si="21">+AG113</f>
        <v>5582721359</v>
      </c>
      <c r="AH114" s="14">
        <f>+'[1]CF Dia V1'!$DL$25+'[1]CF Dia V1'!$DL$24</f>
        <v>1089678084</v>
      </c>
      <c r="AI114" s="14">
        <f>+'[1]CF Dia V1'!$DL$29</f>
        <v>7573826194</v>
      </c>
      <c r="AJ114" s="14">
        <f>+AJ115-132000</f>
        <v>287409387.51999998</v>
      </c>
      <c r="AK114" s="16"/>
    </row>
    <row r="115" spans="1:37" ht="15.75" customHeight="1" x14ac:dyDescent="0.25">
      <c r="A115" s="13">
        <v>46199</v>
      </c>
      <c r="B115" s="63">
        <v>1475</v>
      </c>
      <c r="C115" s="14"/>
      <c r="D115" s="14">
        <v>1996248317.76</v>
      </c>
      <c r="E115" s="14">
        <v>35716000</v>
      </c>
      <c r="F115" s="14">
        <v>17000000</v>
      </c>
      <c r="G115" s="14">
        <v>8881000</v>
      </c>
      <c r="H115" s="14">
        <v>2000000</v>
      </c>
      <c r="I115" s="14">
        <v>1596541079</v>
      </c>
      <c r="J115" s="14">
        <v>356978533</v>
      </c>
      <c r="K115" s="14"/>
      <c r="L115" s="14">
        <v>19769384</v>
      </c>
      <c r="M115" s="14"/>
      <c r="N115" s="14"/>
      <c r="O115" s="14"/>
      <c r="P115" s="14"/>
      <c r="Q115" s="14">
        <v>244986993</v>
      </c>
      <c r="R115" s="14"/>
      <c r="S115" s="14"/>
      <c r="T115" s="14"/>
      <c r="U115" s="14"/>
      <c r="V115" s="14"/>
      <c r="W115" s="14"/>
      <c r="X115" s="14">
        <v>1895524281</v>
      </c>
      <c r="Y115" s="14">
        <v>1498128349</v>
      </c>
      <c r="Z115" s="14">
        <f t="shared" si="19"/>
        <v>191016771.98655012</v>
      </c>
      <c r="AA115" s="63">
        <v>5654402569</v>
      </c>
      <c r="AB115" s="63">
        <f t="shared" si="20"/>
        <v>1202455.9875649996</v>
      </c>
      <c r="AC115" s="63">
        <f t="shared" si="20"/>
        <v>10000000</v>
      </c>
      <c r="AD115" s="63">
        <f t="shared" si="20"/>
        <v>220000</v>
      </c>
      <c r="AE115" s="63">
        <f t="shared" si="20"/>
        <v>280000</v>
      </c>
      <c r="AF115" s="63">
        <v>22898816.490500003</v>
      </c>
      <c r="AG115" s="63">
        <f t="shared" si="21"/>
        <v>5582721359</v>
      </c>
      <c r="AH115" s="14">
        <f>+'[1]CF Dia V1'!$DM$24+'[1]CF Dia V1'!$DM$25</f>
        <v>776758850.75</v>
      </c>
      <c r="AI115" s="14">
        <f>+'[1]CF Dia V1'!$DM$29</f>
        <v>7831182100</v>
      </c>
      <c r="AJ115" s="14">
        <v>287541387.51999998</v>
      </c>
      <c r="AK115" s="16"/>
    </row>
    <row r="116" spans="1:37" ht="15.75" customHeight="1" x14ac:dyDescent="0.25">
      <c r="A116" s="13">
        <v>46202</v>
      </c>
      <c r="B116" s="63">
        <v>1470</v>
      </c>
      <c r="C116" s="14"/>
      <c r="D116" s="14">
        <v>2062068387</v>
      </c>
      <c r="E116" s="14">
        <v>117229000</v>
      </c>
      <c r="F116" s="14">
        <v>7900000</v>
      </c>
      <c r="G116" s="14">
        <v>9391000</v>
      </c>
      <c r="H116" s="14">
        <v>4000000</v>
      </c>
      <c r="I116" s="14">
        <v>1504677115</v>
      </c>
      <c r="J116" s="14">
        <v>388893963</v>
      </c>
      <c r="K116" s="14"/>
      <c r="L116" s="14">
        <v>3476320</v>
      </c>
      <c r="M116" s="14"/>
      <c r="N116" s="14"/>
      <c r="O116" s="14"/>
      <c r="P116" s="14"/>
      <c r="Q116" s="14">
        <v>131413281</v>
      </c>
      <c r="R116" s="14"/>
      <c r="S116" s="14"/>
      <c r="T116" s="14"/>
      <c r="U116" s="14"/>
      <c r="V116" s="14"/>
      <c r="W116" s="14"/>
      <c r="X116" s="14">
        <v>1651744072</v>
      </c>
      <c r="Y116" s="14">
        <v>1540652029</v>
      </c>
      <c r="Z116" s="14">
        <f t="shared" si="19"/>
        <v>191016771.98655012</v>
      </c>
      <c r="AA116" s="63">
        <v>5279024308</v>
      </c>
      <c r="AB116" s="63">
        <f t="shared" si="20"/>
        <v>1202455.9875649996</v>
      </c>
      <c r="AC116" s="63">
        <f t="shared" si="20"/>
        <v>10000000</v>
      </c>
      <c r="AD116" s="63">
        <f t="shared" si="20"/>
        <v>220000</v>
      </c>
      <c r="AE116" s="63">
        <f t="shared" si="20"/>
        <v>280000</v>
      </c>
      <c r="AF116" s="63">
        <v>23016844.990500003</v>
      </c>
      <c r="AG116" s="63">
        <f t="shared" si="21"/>
        <v>5582721359</v>
      </c>
      <c r="AH116" s="14">
        <f>+'[1]CF Dia V1'!$DN$24</f>
        <v>489502650</v>
      </c>
      <c r="AI116" s="14">
        <f>+'[1]CF Dia V1'!$DN$29</f>
        <v>7378079940</v>
      </c>
      <c r="AJ116" s="14">
        <v>287938563.44</v>
      </c>
      <c r="AK116" s="16"/>
    </row>
    <row r="117" spans="1:37" ht="15.75" customHeight="1" x14ac:dyDescent="0.25">
      <c r="A117" s="13">
        <v>46203</v>
      </c>
      <c r="B117" s="63">
        <f>+'[1]CF Dia V1'!$DO$2</f>
        <v>1472.5</v>
      </c>
      <c r="C117" s="14"/>
      <c r="D117" s="14">
        <f>+'[1]CF Dia V1'!$DO$10</f>
        <v>1711500000</v>
      </c>
      <c r="E117" s="14">
        <f>+'[1]CF Dia V1'!$DO$13</f>
        <v>28000000</v>
      </c>
      <c r="F117" s="14">
        <f>+'[1]CF Dia V1'!$DO$16</f>
        <v>440698000</v>
      </c>
      <c r="G117" s="14">
        <f>+'[1]CF Dia V1'!$DO$14</f>
        <v>915753000</v>
      </c>
      <c r="H117" s="14">
        <v>2000000</v>
      </c>
      <c r="I117" s="14">
        <f>+'[1]CF Dia V1'!$DO$22</f>
        <v>1484574186</v>
      </c>
      <c r="J117" s="14">
        <f>+'[1]CF Dia V1'!$DO$43</f>
        <v>402585340</v>
      </c>
      <c r="K117" s="14"/>
      <c r="L117" s="14"/>
      <c r="M117" s="14"/>
      <c r="N117" s="14"/>
      <c r="O117" s="14"/>
      <c r="P117" s="14"/>
      <c r="Q117" s="14">
        <f>+'[1]CF Dia V1'!$DO$51</f>
        <v>286700000</v>
      </c>
      <c r="R117" s="14"/>
      <c r="S117" s="14"/>
      <c r="T117" s="14"/>
      <c r="U117" s="14"/>
      <c r="V117" s="14"/>
      <c r="W117" s="14"/>
      <c r="X117" s="14">
        <f>+'[1]CF Dia V1'!$DO$100</f>
        <v>1523565364</v>
      </c>
      <c r="Y117" s="14">
        <f>+'[1]CF Dia V1'!$DO$101</f>
        <v>1548338237</v>
      </c>
      <c r="Z117" s="14">
        <f t="shared" si="19"/>
        <v>191016771.98655012</v>
      </c>
      <c r="AA117" s="63">
        <f>+'[1]CF Dia V1'!$DO$102</f>
        <v>4515567562</v>
      </c>
      <c r="AB117" s="63">
        <f>+AB116</f>
        <v>1202455.9875649996</v>
      </c>
      <c r="AC117" s="63">
        <v>11000000</v>
      </c>
      <c r="AD117" s="63">
        <v>220000</v>
      </c>
      <c r="AE117" s="63">
        <v>280000</v>
      </c>
      <c r="AF117" s="63">
        <f>+'[1]CF Dia V1'!$DO$97</f>
        <v>18385776</v>
      </c>
      <c r="AG117" s="63">
        <f t="shared" si="21"/>
        <v>5582721359</v>
      </c>
      <c r="AH117" s="14">
        <f>+'[1]CF Dia V1'!$DO$24</f>
        <v>563588979.14999998</v>
      </c>
      <c r="AI117" s="14">
        <f>+'[1]CF Dia V1'!$DO$29</f>
        <v>7390642420</v>
      </c>
      <c r="AJ117" s="14">
        <f>+'[1]CF Dia V1'!$DO$31</f>
        <v>288070150.68000001</v>
      </c>
      <c r="AK117" s="16"/>
    </row>
    <row r="118" spans="1:37" ht="15.75" customHeight="1" x14ac:dyDescent="0.25">
      <c r="A118" s="13">
        <f>+A117+1</f>
        <v>46204</v>
      </c>
      <c r="B118" s="63">
        <v>1478</v>
      </c>
      <c r="C118" s="14"/>
      <c r="D118" s="14">
        <v>1125285355</v>
      </c>
      <c r="E118" s="14">
        <v>133431000</v>
      </c>
      <c r="F118" s="14">
        <v>194411000</v>
      </c>
      <c r="G118" s="14">
        <v>765543000</v>
      </c>
      <c r="H118" s="14">
        <v>2056000</v>
      </c>
      <c r="I118" s="14">
        <v>1318333295</v>
      </c>
      <c r="J118" s="14">
        <v>138995655</v>
      </c>
      <c r="K118" s="14">
        <v>0</v>
      </c>
      <c r="L118" s="14">
        <v>27336455</v>
      </c>
      <c r="M118" s="14"/>
      <c r="N118" s="14"/>
      <c r="O118" s="14">
        <v>12112493</v>
      </c>
      <c r="P118" s="14">
        <v>0</v>
      </c>
      <c r="Q118" s="14">
        <v>374832103</v>
      </c>
      <c r="R118" s="14"/>
      <c r="S118" s="14"/>
      <c r="T118" s="14">
        <v>135000000</v>
      </c>
      <c r="U118" s="14"/>
      <c r="V118" s="14"/>
      <c r="W118" s="14"/>
      <c r="X118" s="14">
        <v>1764312348</v>
      </c>
      <c r="Y118" s="14">
        <v>10335065772</v>
      </c>
      <c r="Z118" s="14">
        <f t="shared" si="19"/>
        <v>191016771.98655012</v>
      </c>
      <c r="AA118" s="63">
        <v>5871902805</v>
      </c>
      <c r="AB118" s="63">
        <f>+'[1]CF Dia V1'!$DP$103</f>
        <v>1202455.9875649996</v>
      </c>
      <c r="AC118" s="63">
        <v>11000000</v>
      </c>
      <c r="AD118" s="63">
        <f t="shared" ref="AD118:AE124" si="22">+AD117</f>
        <v>220000</v>
      </c>
      <c r="AE118" s="63">
        <f t="shared" si="22"/>
        <v>280000</v>
      </c>
      <c r="AF118" s="63">
        <v>22844185.690500002</v>
      </c>
      <c r="AG118" s="63">
        <f t="shared" si="21"/>
        <v>5582721359</v>
      </c>
      <c r="AH118" s="14">
        <v>689979174</v>
      </c>
      <c r="AI118" s="14">
        <v>7418247536</v>
      </c>
      <c r="AJ118" s="14">
        <f>393405193.67-166000</f>
        <v>393239193.67000002</v>
      </c>
      <c r="AK118" s="16"/>
    </row>
    <row r="119" spans="1:37" ht="15.75" customHeight="1" x14ac:dyDescent="0.25">
      <c r="A119" s="13">
        <f>+A118+1</f>
        <v>46205</v>
      </c>
      <c r="B119" s="63">
        <v>1485</v>
      </c>
      <c r="C119" s="14"/>
      <c r="D119" s="14">
        <v>882676831</v>
      </c>
      <c r="E119" s="14">
        <v>139754000</v>
      </c>
      <c r="F119" s="14">
        <v>83519000</v>
      </c>
      <c r="G119" s="14">
        <v>15486000</v>
      </c>
      <c r="H119" s="14">
        <v>2000000</v>
      </c>
      <c r="I119" s="14">
        <v>1622364000</v>
      </c>
      <c r="J119" s="14">
        <v>274802850</v>
      </c>
      <c r="K119" s="14">
        <v>0</v>
      </c>
      <c r="L119" s="14">
        <v>27522945</v>
      </c>
      <c r="M119" s="14"/>
      <c r="N119" s="14"/>
      <c r="O119" s="14">
        <v>0</v>
      </c>
      <c r="P119" s="14">
        <v>5935500</v>
      </c>
      <c r="Q119" s="14">
        <v>382074274</v>
      </c>
      <c r="R119" s="14"/>
      <c r="S119" s="14"/>
      <c r="T119" s="14">
        <v>0</v>
      </c>
      <c r="U119" s="14">
        <v>150000000</v>
      </c>
      <c r="V119" s="14"/>
      <c r="W119" s="14"/>
      <c r="X119" s="14">
        <v>1498341393</v>
      </c>
      <c r="Y119" s="14">
        <v>10166250620</v>
      </c>
      <c r="Z119" s="14">
        <f t="shared" si="19"/>
        <v>191016771.98655012</v>
      </c>
      <c r="AA119" s="63">
        <v>5881436983</v>
      </c>
      <c r="AB119" s="63">
        <f t="shared" ref="AB119:AB124" si="23">+AB118</f>
        <v>1202455.9875649996</v>
      </c>
      <c r="AC119" s="63">
        <v>11000000</v>
      </c>
      <c r="AD119" s="63">
        <f t="shared" si="22"/>
        <v>220000</v>
      </c>
      <c r="AE119" s="63">
        <f t="shared" si="22"/>
        <v>280000</v>
      </c>
      <c r="AF119" s="63">
        <v>23156749.2905</v>
      </c>
      <c r="AG119" s="63">
        <f t="shared" si="21"/>
        <v>5582721359</v>
      </c>
      <c r="AH119" s="14">
        <v>726211035</v>
      </c>
      <c r="AI119" s="14">
        <v>7453381320</v>
      </c>
      <c r="AJ119" s="14">
        <f>+AJ118+166000</f>
        <v>393405193.67000002</v>
      </c>
      <c r="AK119" s="16"/>
    </row>
    <row r="120" spans="1:37" ht="15.75" customHeight="1" x14ac:dyDescent="0.25">
      <c r="A120" s="13">
        <f>+A119+1</f>
        <v>46206</v>
      </c>
      <c r="B120" s="63">
        <v>1488</v>
      </c>
      <c r="C120" s="14"/>
      <c r="D120" s="14">
        <v>882676831</v>
      </c>
      <c r="E120" s="14">
        <v>126675000</v>
      </c>
      <c r="F120" s="14">
        <v>8419000</v>
      </c>
      <c r="G120" s="14">
        <v>4548000</v>
      </c>
      <c r="H120" s="14">
        <v>4216000</v>
      </c>
      <c r="I120" s="14">
        <v>1569388000</v>
      </c>
      <c r="J120" s="14">
        <v>195622428</v>
      </c>
      <c r="K120" s="14">
        <v>92000000</v>
      </c>
      <c r="L120" s="14">
        <v>13665793</v>
      </c>
      <c r="M120" s="14"/>
      <c r="N120" s="14"/>
      <c r="O120" s="14">
        <v>1649700</v>
      </c>
      <c r="P120" s="14">
        <v>0</v>
      </c>
      <c r="Q120" s="14">
        <v>669764196</v>
      </c>
      <c r="R120" s="14"/>
      <c r="S120" s="14"/>
      <c r="T120" s="14">
        <v>0</v>
      </c>
      <c r="U120" s="14"/>
      <c r="V120" s="14"/>
      <c r="W120" s="14"/>
      <c r="X120" s="14">
        <v>1376748551</v>
      </c>
      <c r="Y120" s="14">
        <v>10339004575</v>
      </c>
      <c r="Z120" s="14">
        <f t="shared" si="19"/>
        <v>191016771.98655012</v>
      </c>
      <c r="AA120" s="63">
        <v>6776677353</v>
      </c>
      <c r="AB120" s="63">
        <f t="shared" si="23"/>
        <v>1202455.9875649996</v>
      </c>
      <c r="AC120" s="63">
        <v>13000000</v>
      </c>
      <c r="AD120" s="63">
        <f t="shared" si="22"/>
        <v>220000</v>
      </c>
      <c r="AE120" s="63">
        <f t="shared" si="22"/>
        <v>280000</v>
      </c>
      <c r="AF120" s="63">
        <v>23957045.612500001</v>
      </c>
      <c r="AG120" s="63">
        <f t="shared" si="21"/>
        <v>5582721359</v>
      </c>
      <c r="AH120" s="14">
        <v>1664113728</v>
      </c>
      <c r="AI120" s="14">
        <v>6664479696</v>
      </c>
      <c r="AJ120" s="14">
        <f>+AJ119+166000+2976377030</f>
        <v>3369948223.6700001</v>
      </c>
      <c r="AK120" s="16"/>
    </row>
    <row r="121" spans="1:37" ht="15.75" customHeight="1" x14ac:dyDescent="0.25">
      <c r="A121" s="13">
        <v>46209</v>
      </c>
      <c r="B121" s="63">
        <v>1488</v>
      </c>
      <c r="C121" s="14"/>
      <c r="D121" s="14">
        <v>771170000</v>
      </c>
      <c r="E121" s="14">
        <v>83297000</v>
      </c>
      <c r="F121" s="14">
        <v>98419000</v>
      </c>
      <c r="G121" s="14">
        <v>9936000</v>
      </c>
      <c r="H121" s="14">
        <v>2000000</v>
      </c>
      <c r="I121" s="14">
        <v>1856001304</v>
      </c>
      <c r="J121" s="14">
        <v>276944944</v>
      </c>
      <c r="K121" s="14">
        <v>0</v>
      </c>
      <c r="L121" s="14">
        <f>36926240+395000</f>
        <v>37321240</v>
      </c>
      <c r="M121" s="14"/>
      <c r="N121" s="14"/>
      <c r="O121" s="14">
        <v>0</v>
      </c>
      <c r="P121" s="14">
        <v>22230805</v>
      </c>
      <c r="Q121" s="14">
        <v>541318193</v>
      </c>
      <c r="R121" s="14"/>
      <c r="S121" s="14"/>
      <c r="T121" s="14">
        <v>0</v>
      </c>
      <c r="U121" s="14"/>
      <c r="V121" s="14"/>
      <c r="W121" s="14"/>
      <c r="X121" s="14">
        <v>1133889539</v>
      </c>
      <c r="Y121" s="14">
        <v>9516661103</v>
      </c>
      <c r="Z121" s="14">
        <f t="shared" si="19"/>
        <v>191016771.98655012</v>
      </c>
      <c r="AA121" s="63">
        <v>6813117204</v>
      </c>
      <c r="AB121" s="63">
        <f t="shared" si="23"/>
        <v>1202455.9875649996</v>
      </c>
      <c r="AC121" s="63">
        <v>13000000</v>
      </c>
      <c r="AD121" s="63">
        <f t="shared" si="22"/>
        <v>220000</v>
      </c>
      <c r="AE121" s="63">
        <f t="shared" si="22"/>
        <v>280000</v>
      </c>
      <c r="AF121" s="63">
        <v>25312661.962499999</v>
      </c>
      <c r="AG121" s="63">
        <f t="shared" si="21"/>
        <v>5582721359</v>
      </c>
      <c r="AH121" s="14">
        <v>1715995452</v>
      </c>
      <c r="AI121" s="14">
        <v>6901344000</v>
      </c>
      <c r="AJ121" s="14">
        <v>2079251717.6500001</v>
      </c>
      <c r="AK121" s="16"/>
    </row>
    <row r="122" spans="1:37" ht="15.75" customHeight="1" x14ac:dyDescent="0.25">
      <c r="A122" s="13">
        <v>46210</v>
      </c>
      <c r="B122" s="63">
        <v>1487.5</v>
      </c>
      <c r="C122" s="14"/>
      <c r="D122" s="14">
        <v>719567000</v>
      </c>
      <c r="E122" s="14">
        <v>69274000</v>
      </c>
      <c r="F122" s="14">
        <v>5250000</v>
      </c>
      <c r="G122" s="14">
        <v>9768000</v>
      </c>
      <c r="H122" s="14">
        <v>2000000</v>
      </c>
      <c r="I122" s="14">
        <v>1856001304</v>
      </c>
      <c r="J122" s="14">
        <v>209944020</v>
      </c>
      <c r="K122" s="14">
        <v>0</v>
      </c>
      <c r="L122" s="14">
        <v>0</v>
      </c>
      <c r="M122" s="14"/>
      <c r="N122" s="14"/>
      <c r="O122" s="14">
        <v>13083368</v>
      </c>
      <c r="P122" s="14">
        <v>0</v>
      </c>
      <c r="Q122" s="14">
        <v>472703154</v>
      </c>
      <c r="R122" s="14"/>
      <c r="S122" s="14"/>
      <c r="T122" s="14">
        <v>0</v>
      </c>
      <c r="U122" s="14"/>
      <c r="V122" s="14"/>
      <c r="W122" s="14"/>
      <c r="X122" s="14">
        <v>951204240</v>
      </c>
      <c r="Y122" s="14">
        <v>9099829904</v>
      </c>
      <c r="Z122" s="14">
        <f t="shared" si="19"/>
        <v>191016771.98655012</v>
      </c>
      <c r="AA122" s="63">
        <v>6788103710</v>
      </c>
      <c r="AB122" s="63">
        <f t="shared" si="23"/>
        <v>1202455.9875649996</v>
      </c>
      <c r="AC122" s="63">
        <v>13000000</v>
      </c>
      <c r="AD122" s="63">
        <f t="shared" si="22"/>
        <v>220000</v>
      </c>
      <c r="AE122" s="63">
        <f t="shared" si="22"/>
        <v>280000</v>
      </c>
      <c r="AF122" s="63">
        <v>23937361.162500001</v>
      </c>
      <c r="AG122" s="63">
        <f t="shared" si="21"/>
        <v>5582721359</v>
      </c>
      <c r="AH122" s="14">
        <v>1938307328.125</v>
      </c>
      <c r="AI122" s="14">
        <v>6677281887.5</v>
      </c>
      <c r="AJ122" s="14">
        <v>1179801668.49</v>
      </c>
      <c r="AK122" s="16"/>
    </row>
    <row r="123" spans="1:37" ht="15.75" customHeight="1" x14ac:dyDescent="0.25">
      <c r="A123" s="13">
        <v>46216</v>
      </c>
      <c r="B123" s="63">
        <v>1487</v>
      </c>
      <c r="C123" s="14"/>
      <c r="D123" s="14">
        <v>555384000</v>
      </c>
      <c r="E123" s="14">
        <v>58325000</v>
      </c>
      <c r="F123" s="14">
        <v>370184000</v>
      </c>
      <c r="G123" s="14">
        <v>10032000</v>
      </c>
      <c r="H123" s="14">
        <v>9230000</v>
      </c>
      <c r="I123" s="14">
        <v>2571413000</v>
      </c>
      <c r="J123" s="14">
        <v>45552363</v>
      </c>
      <c r="K123" s="14">
        <v>86098436</v>
      </c>
      <c r="L123" s="14">
        <v>77436970</v>
      </c>
      <c r="M123" s="14"/>
      <c r="N123" s="14"/>
      <c r="O123" s="14">
        <v>0</v>
      </c>
      <c r="P123" s="14">
        <v>1529909959</v>
      </c>
      <c r="Q123" s="14">
        <v>20620000</v>
      </c>
      <c r="R123" s="14"/>
      <c r="S123" s="14"/>
      <c r="T123" s="14">
        <v>200000000</v>
      </c>
      <c r="U123" s="14"/>
      <c r="V123" s="14"/>
      <c r="W123" s="14"/>
      <c r="X123" s="14">
        <v>1762595312</v>
      </c>
      <c r="Y123" s="14">
        <v>7644138345</v>
      </c>
      <c r="Z123" s="14">
        <f t="shared" si="19"/>
        <v>191016771.98655012</v>
      </c>
      <c r="AA123" s="63">
        <v>7533822534</v>
      </c>
      <c r="AB123" s="63">
        <f t="shared" si="23"/>
        <v>1202455.9875649996</v>
      </c>
      <c r="AC123" s="63">
        <v>13000000</v>
      </c>
      <c r="AD123" s="63">
        <f t="shared" si="22"/>
        <v>220000</v>
      </c>
      <c r="AE123" s="63">
        <f t="shared" si="22"/>
        <v>280000</v>
      </c>
      <c r="AF123" s="63">
        <v>23509904.3125</v>
      </c>
      <c r="AG123" s="63">
        <f t="shared" si="21"/>
        <v>5582721359</v>
      </c>
      <c r="AH123" s="14">
        <v>2348604558.6399999</v>
      </c>
      <c r="AI123" s="14">
        <v>6236537480</v>
      </c>
      <c r="AJ123" s="14">
        <v>0</v>
      </c>
      <c r="AK123" s="16"/>
    </row>
    <row r="124" spans="1:37" ht="15.75" customHeight="1" x14ac:dyDescent="0.25">
      <c r="A124" s="13">
        <v>46217</v>
      </c>
      <c r="B124" s="63">
        <v>1482.5</v>
      </c>
      <c r="C124" s="14"/>
      <c r="D124" s="14">
        <v>830423000</v>
      </c>
      <c r="E124" s="14">
        <v>50596000</v>
      </c>
      <c r="F124" s="14">
        <v>80140000</v>
      </c>
      <c r="G124" s="14">
        <v>2430000</v>
      </c>
      <c r="H124" s="14">
        <v>2000000</v>
      </c>
      <c r="I124" s="14">
        <v>2203125000</v>
      </c>
      <c r="J124" s="14">
        <v>143874200</v>
      </c>
      <c r="K124" s="14">
        <v>0</v>
      </c>
      <c r="L124" s="14">
        <v>1683000</v>
      </c>
      <c r="M124" s="14"/>
      <c r="N124" s="14"/>
      <c r="O124" s="14">
        <v>0</v>
      </c>
      <c r="P124" s="14">
        <v>20496778</v>
      </c>
      <c r="Q124" s="14">
        <v>705899379</v>
      </c>
      <c r="R124" s="14"/>
      <c r="S124" s="14"/>
      <c r="T124" s="14">
        <v>0</v>
      </c>
      <c r="U124" s="14"/>
      <c r="V124" s="14"/>
      <c r="W124" s="14"/>
      <c r="X124" s="14">
        <v>1606905322</v>
      </c>
      <c r="Y124" s="14">
        <v>7380278144</v>
      </c>
      <c r="Z124" s="14">
        <f t="shared" si="19"/>
        <v>191016771.98655012</v>
      </c>
      <c r="AA124" s="63">
        <v>7604369244</v>
      </c>
      <c r="AB124" s="63">
        <f t="shared" si="23"/>
        <v>1202455.9875649996</v>
      </c>
      <c r="AC124" s="63">
        <v>13000000</v>
      </c>
      <c r="AD124" s="63">
        <f t="shared" si="22"/>
        <v>220000</v>
      </c>
      <c r="AE124" s="63">
        <f t="shared" si="22"/>
        <v>280000</v>
      </c>
      <c r="AF124" s="63">
        <v>23509904.3125</v>
      </c>
      <c r="AG124" s="63">
        <f t="shared" si="21"/>
        <v>5582721359</v>
      </c>
      <c r="AH124" s="14">
        <v>4575481912.2999992</v>
      </c>
      <c r="AI124" s="14">
        <v>6217664300</v>
      </c>
      <c r="AJ124" s="14">
        <v>0</v>
      </c>
      <c r="AK124" s="16"/>
    </row>
    <row r="125" spans="1:37" ht="15.75" customHeight="1" x14ac:dyDescent="0.25">
      <c r="A125" s="13">
        <v>46218</v>
      </c>
      <c r="B125" s="63">
        <v>1473</v>
      </c>
      <c r="C125" s="14"/>
      <c r="D125" s="14">
        <v>756052000</v>
      </c>
      <c r="E125" s="14">
        <v>6541000</v>
      </c>
      <c r="F125" s="14">
        <v>3088000</v>
      </c>
      <c r="G125" s="14">
        <v>7444000</v>
      </c>
      <c r="H125" s="14">
        <v>3088000</v>
      </c>
      <c r="I125" s="14">
        <v>2046863680</v>
      </c>
      <c r="J125" s="14">
        <v>333100000</v>
      </c>
      <c r="K125" s="14"/>
      <c r="L125" s="14">
        <v>0</v>
      </c>
      <c r="M125" s="14"/>
      <c r="N125" s="14"/>
      <c r="O125" s="14">
        <v>0</v>
      </c>
      <c r="P125" s="14"/>
      <c r="Q125" s="14">
        <v>677274401</v>
      </c>
      <c r="R125" s="14"/>
      <c r="S125" s="14"/>
      <c r="T125" s="14">
        <v>150000000</v>
      </c>
      <c r="U125" s="14"/>
      <c r="V125" s="14"/>
      <c r="W125" s="14"/>
      <c r="X125" s="14">
        <v>2134226423</v>
      </c>
      <c r="Y125" s="14">
        <v>6568919472</v>
      </c>
      <c r="Z125" s="14">
        <f>+Z124</f>
        <v>191016771.98655012</v>
      </c>
      <c r="AA125" s="63">
        <v>6908538321</v>
      </c>
      <c r="AB125" s="63">
        <f>+AB124</f>
        <v>1202455.9875649996</v>
      </c>
      <c r="AC125" s="63">
        <v>13000000</v>
      </c>
      <c r="AD125" s="63">
        <v>220000</v>
      </c>
      <c r="AE125" s="63">
        <f>+AE124</f>
        <v>280000</v>
      </c>
      <c r="AF125" s="63">
        <v>23509904.3125</v>
      </c>
      <c r="AG125" s="63">
        <v>5582721359</v>
      </c>
      <c r="AH125" s="14">
        <v>2983568702.9699998</v>
      </c>
      <c r="AI125" s="14">
        <v>5794512441</v>
      </c>
      <c r="AJ125" s="14">
        <v>0</v>
      </c>
      <c r="AK125" s="16"/>
    </row>
    <row r="126" spans="1:37" ht="15.75" customHeight="1" x14ac:dyDescent="0.25">
      <c r="A126" s="13">
        <v>46219</v>
      </c>
      <c r="B126" s="63">
        <v>1466</v>
      </c>
      <c r="C126" s="14"/>
      <c r="D126" s="14">
        <v>849000000</v>
      </c>
      <c r="E126" s="14">
        <v>205418000</v>
      </c>
      <c r="F126" s="14">
        <v>2000000</v>
      </c>
      <c r="G126" s="14">
        <v>61862000</v>
      </c>
      <c r="H126" s="14">
        <v>2000000</v>
      </c>
      <c r="I126" s="14">
        <v>2046083000</v>
      </c>
      <c r="J126" s="14">
        <v>140554920</v>
      </c>
      <c r="K126" s="14"/>
      <c r="L126" s="14">
        <v>0</v>
      </c>
      <c r="M126" s="14"/>
      <c r="N126" s="14"/>
      <c r="O126" s="14">
        <v>1649700</v>
      </c>
      <c r="P126" s="14"/>
      <c r="Q126" s="14">
        <v>549746310</v>
      </c>
      <c r="R126" s="14"/>
      <c r="S126" s="14"/>
      <c r="T126" s="14">
        <v>58209514</v>
      </c>
      <c r="U126" s="14"/>
      <c r="V126" s="14"/>
      <c r="W126" s="14"/>
      <c r="X126" s="14">
        <v>2001950789</v>
      </c>
      <c r="Y126" s="14">
        <v>6759511608</v>
      </c>
      <c r="Z126" s="14">
        <f>+Z125</f>
        <v>191016771.98655012</v>
      </c>
      <c r="AA126" s="63">
        <v>7078036047</v>
      </c>
      <c r="AB126" s="63">
        <f>+AB125</f>
        <v>1202455.9875649996</v>
      </c>
      <c r="AC126" s="63">
        <f t="shared" ref="AC126:AD135" si="24">+AC125</f>
        <v>13000000</v>
      </c>
      <c r="AD126" s="63">
        <f t="shared" si="24"/>
        <v>220000</v>
      </c>
      <c r="AE126" s="63">
        <f>+AE125</f>
        <v>280000</v>
      </c>
      <c r="AF126" s="63">
        <v>37132677.035999998</v>
      </c>
      <c r="AG126" s="63">
        <v>5582721359</v>
      </c>
      <c r="AH126" s="14">
        <v>3142228343.54</v>
      </c>
      <c r="AI126" s="14">
        <v>5766975722</v>
      </c>
      <c r="AJ126" s="14">
        <v>0</v>
      </c>
      <c r="AK126" s="16"/>
    </row>
    <row r="127" spans="1:37" ht="15.75" customHeight="1" x14ac:dyDescent="0.25">
      <c r="A127" s="13">
        <f>+A126+1</f>
        <v>46220</v>
      </c>
      <c r="B127" s="63">
        <v>1471</v>
      </c>
      <c r="C127" s="14"/>
      <c r="D127" s="14">
        <v>666226000</v>
      </c>
      <c r="E127" s="14">
        <v>15591000</v>
      </c>
      <c r="F127" s="14">
        <v>2000000</v>
      </c>
      <c r="G127" s="14">
        <v>6224000</v>
      </c>
      <c r="H127" s="14">
        <v>2000000</v>
      </c>
      <c r="I127" s="14">
        <v>1694000000</v>
      </c>
      <c r="J127" s="14">
        <v>192226025</v>
      </c>
      <c r="K127" s="14"/>
      <c r="L127" s="14">
        <v>907000</v>
      </c>
      <c r="M127" s="14"/>
      <c r="N127" s="14"/>
      <c r="O127" s="14">
        <v>0</v>
      </c>
      <c r="P127" s="14">
        <v>10174295</v>
      </c>
      <c r="Q127" s="14">
        <v>590333238</v>
      </c>
      <c r="R127" s="14"/>
      <c r="S127" s="14"/>
      <c r="T127" s="14">
        <v>4886552</v>
      </c>
      <c r="U127" s="14"/>
      <c r="V127" s="14"/>
      <c r="W127" s="14"/>
      <c r="X127" s="14">
        <v>1907894000</v>
      </c>
      <c r="Y127" s="14">
        <v>5908971466</v>
      </c>
      <c r="Z127" s="14">
        <f>+Z126</f>
        <v>191016771.98655012</v>
      </c>
      <c r="AA127" s="63">
        <v>8558992064</v>
      </c>
      <c r="AB127" s="63">
        <f>+AB126</f>
        <v>1202455.9875649996</v>
      </c>
      <c r="AC127" s="63">
        <f t="shared" si="24"/>
        <v>13000000</v>
      </c>
      <c r="AD127" s="63">
        <f t="shared" si="24"/>
        <v>220000</v>
      </c>
      <c r="AE127" s="63">
        <f>+AE126</f>
        <v>280000</v>
      </c>
      <c r="AF127" s="63">
        <v>39333489.435999997</v>
      </c>
      <c r="AG127" s="63">
        <v>5582721359</v>
      </c>
      <c r="AH127" s="14">
        <v>2852123944.6900001</v>
      </c>
      <c r="AI127" s="14">
        <v>5224721336</v>
      </c>
      <c r="AJ127" s="14">
        <v>0</v>
      </c>
      <c r="AK127" s="16"/>
    </row>
    <row r="128" spans="1:37" ht="15.75" customHeight="1" x14ac:dyDescent="0.25">
      <c r="A128" s="13">
        <f>+A127+3</f>
        <v>46223</v>
      </c>
      <c r="B128" s="63">
        <v>1476</v>
      </c>
      <c r="C128" s="14"/>
      <c r="D128" s="14">
        <v>666226000</v>
      </c>
      <c r="E128" s="14">
        <v>70613000</v>
      </c>
      <c r="F128" s="14">
        <v>2000000</v>
      </c>
      <c r="G128" s="14">
        <v>6329000</v>
      </c>
      <c r="H128" s="14">
        <v>2000000</v>
      </c>
      <c r="I128" s="14">
        <v>1988759421</v>
      </c>
      <c r="J128" s="14">
        <v>473703223</v>
      </c>
      <c r="K128" s="14"/>
      <c r="L128" s="14">
        <f>11438845+3990742</f>
        <v>15429587</v>
      </c>
      <c r="M128" s="14"/>
      <c r="N128" s="14"/>
      <c r="O128" s="14">
        <v>14050924</v>
      </c>
      <c r="P128" s="14"/>
      <c r="Q128" s="14">
        <v>442204464</v>
      </c>
      <c r="R128" s="14"/>
      <c r="S128" s="14"/>
      <c r="T128" s="14">
        <v>0</v>
      </c>
      <c r="U128" s="14"/>
      <c r="V128" s="14"/>
      <c r="W128" s="14"/>
      <c r="X128" s="14">
        <v>1626027063.8599999</v>
      </c>
      <c r="Y128" s="14">
        <v>5433625574</v>
      </c>
      <c r="Z128" s="14">
        <f>+Z127</f>
        <v>191016771.98655012</v>
      </c>
      <c r="AA128" s="63">
        <v>7233335838.5200005</v>
      </c>
      <c r="AB128" s="63">
        <f>+AB127</f>
        <v>1202455.9875649996</v>
      </c>
      <c r="AC128" s="63">
        <f t="shared" si="24"/>
        <v>13000000</v>
      </c>
      <c r="AD128" s="63">
        <f t="shared" si="24"/>
        <v>220000</v>
      </c>
      <c r="AE128" s="63">
        <f>+AE127</f>
        <v>280000</v>
      </c>
      <c r="AF128" s="63">
        <v>37750136.090999991</v>
      </c>
      <c r="AG128" s="63">
        <v>5582721359</v>
      </c>
      <c r="AH128" s="14">
        <v>2196414773.6399999</v>
      </c>
      <c r="AI128" s="14">
        <v>6367443336</v>
      </c>
      <c r="AJ128" s="14">
        <v>0</v>
      </c>
      <c r="AK128" s="16"/>
    </row>
    <row r="129" spans="1:37" ht="15.75" customHeight="1" x14ac:dyDescent="0.25">
      <c r="A129" s="13">
        <f>+A128+1</f>
        <v>46224</v>
      </c>
      <c r="B129" s="63">
        <v>1476</v>
      </c>
      <c r="C129" s="14"/>
      <c r="D129" s="14">
        <v>621193000</v>
      </c>
      <c r="E129" s="14">
        <v>128688000</v>
      </c>
      <c r="F129" s="14">
        <v>40590000</v>
      </c>
      <c r="G129" s="14">
        <v>12142000</v>
      </c>
      <c r="H129" s="14">
        <v>2074000</v>
      </c>
      <c r="I129" s="14">
        <v>2118627004</v>
      </c>
      <c r="J129" s="14">
        <f>141500000+50000000</f>
        <v>191500000</v>
      </c>
      <c r="K129" s="14"/>
      <c r="L129" s="14">
        <v>0</v>
      </c>
      <c r="M129" s="14"/>
      <c r="N129" s="14"/>
      <c r="O129" s="14">
        <v>219172267</v>
      </c>
      <c r="P129" s="14">
        <v>730387742</v>
      </c>
      <c r="Q129" s="14">
        <v>61547402</v>
      </c>
      <c r="R129" s="14"/>
      <c r="S129" s="14"/>
      <c r="T129" s="14">
        <v>17800000</v>
      </c>
      <c r="U129" s="14"/>
      <c r="V129" s="14"/>
      <c r="W129" s="14"/>
      <c r="X129" s="14">
        <v>4424937079</v>
      </c>
      <c r="Y129" s="14">
        <v>4087557678</v>
      </c>
      <c r="Z129" s="14">
        <f t="shared" ref="Z129:Z135" si="25">+Z128</f>
        <v>191016771.98655012</v>
      </c>
      <c r="AA129" s="63">
        <v>6061696251.7399998</v>
      </c>
      <c r="AB129" s="63">
        <f t="shared" ref="AB129:AB135" si="26">+AB128</f>
        <v>1202455.9875649996</v>
      </c>
      <c r="AC129" s="63">
        <f t="shared" si="24"/>
        <v>13000000</v>
      </c>
      <c r="AD129" s="63">
        <f t="shared" si="24"/>
        <v>220000</v>
      </c>
      <c r="AE129" s="63">
        <f t="shared" ref="AE129:AE135" si="27">+AE128</f>
        <v>280000</v>
      </c>
      <c r="AF129" s="63">
        <v>38406149.159000002</v>
      </c>
      <c r="AG129" s="63">
        <v>5582721359</v>
      </c>
      <c r="AH129" s="14">
        <v>1872711900</v>
      </c>
      <c r="AI129" s="14">
        <v>6213471444</v>
      </c>
      <c r="AJ129" s="14"/>
      <c r="AK129" s="16"/>
    </row>
    <row r="130" spans="1:37" ht="15.75" customHeight="1" x14ac:dyDescent="0.25">
      <c r="A130" s="13">
        <f>+A129+1</f>
        <v>46225</v>
      </c>
      <c r="B130" s="63">
        <v>1476</v>
      </c>
      <c r="C130" s="14"/>
      <c r="D130" s="14">
        <v>653090000</v>
      </c>
      <c r="E130" s="14">
        <v>33319000</v>
      </c>
      <c r="F130" s="14">
        <v>50100000</v>
      </c>
      <c r="G130" s="14">
        <v>7246000</v>
      </c>
      <c r="H130" s="14">
        <v>1822000</v>
      </c>
      <c r="I130" s="14">
        <v>2086488000</v>
      </c>
      <c r="J130" s="14">
        <v>280000000</v>
      </c>
      <c r="K130" s="14"/>
      <c r="L130" s="14">
        <v>34500000</v>
      </c>
      <c r="M130" s="14"/>
      <c r="N130" s="14"/>
      <c r="O130" s="14">
        <v>28903620</v>
      </c>
      <c r="P130" s="14">
        <v>12241836</v>
      </c>
      <c r="Q130" s="14">
        <v>80606574</v>
      </c>
      <c r="R130" s="14"/>
      <c r="S130" s="14"/>
      <c r="T130" s="14">
        <v>0</v>
      </c>
      <c r="U130" s="14"/>
      <c r="V130" s="14">
        <v>50000000</v>
      </c>
      <c r="W130" s="14"/>
      <c r="X130" s="14">
        <v>4113275321.5</v>
      </c>
      <c r="Y130" s="14">
        <v>4087557678</v>
      </c>
      <c r="Z130" s="14">
        <f t="shared" si="25"/>
        <v>191016771.98655012</v>
      </c>
      <c r="AA130" s="63">
        <v>6061696251.7399998</v>
      </c>
      <c r="AB130" s="63">
        <f t="shared" si="26"/>
        <v>1202455.9875649996</v>
      </c>
      <c r="AC130" s="63">
        <f t="shared" si="24"/>
        <v>13000000</v>
      </c>
      <c r="AD130" s="63">
        <f t="shared" si="24"/>
        <v>220000</v>
      </c>
      <c r="AE130" s="63">
        <f t="shared" si="27"/>
        <v>280000</v>
      </c>
      <c r="AF130" s="63">
        <v>37496796.596999995</v>
      </c>
      <c r="AG130" s="63">
        <v>5582721359</v>
      </c>
      <c r="AH130" s="14">
        <v>1368728748</v>
      </c>
      <c r="AI130" s="14">
        <v>6134099544</v>
      </c>
      <c r="AJ130" s="14"/>
      <c r="AK130" s="16"/>
    </row>
    <row r="131" spans="1:37" ht="15.75" customHeight="1" x14ac:dyDescent="0.25">
      <c r="A131" s="13">
        <f>+A130+1</f>
        <v>46226</v>
      </c>
      <c r="B131" s="63">
        <v>1477</v>
      </c>
      <c r="C131" s="14"/>
      <c r="D131" s="14">
        <v>628000000</v>
      </c>
      <c r="E131" s="14">
        <v>77297000</v>
      </c>
      <c r="F131" s="14">
        <v>525000</v>
      </c>
      <c r="G131" s="14">
        <v>16817000</v>
      </c>
      <c r="H131" s="14">
        <v>1983000</v>
      </c>
      <c r="I131" s="14">
        <v>2086488000</v>
      </c>
      <c r="J131" s="14">
        <v>171450003</v>
      </c>
      <c r="K131" s="14"/>
      <c r="L131" s="14">
        <v>4347345</v>
      </c>
      <c r="M131" s="14"/>
      <c r="N131" s="14"/>
      <c r="O131" s="14">
        <v>0</v>
      </c>
      <c r="P131" s="14">
        <v>0</v>
      </c>
      <c r="Q131" s="14">
        <v>441658963</v>
      </c>
      <c r="R131" s="14"/>
      <c r="S131" s="14"/>
      <c r="T131" s="14">
        <v>0</v>
      </c>
      <c r="U131" s="14"/>
      <c r="V131" s="14"/>
      <c r="W131" s="14"/>
      <c r="X131" s="14">
        <v>4265423536</v>
      </c>
      <c r="Y131" s="14">
        <v>9854637743</v>
      </c>
      <c r="Z131" s="14">
        <f t="shared" si="25"/>
        <v>191016771.98655012</v>
      </c>
      <c r="AA131" s="63">
        <v>6041673039</v>
      </c>
      <c r="AB131" s="63">
        <f t="shared" si="26"/>
        <v>1202455.9875649996</v>
      </c>
      <c r="AC131" s="63">
        <f t="shared" si="24"/>
        <v>13000000</v>
      </c>
      <c r="AD131" s="63">
        <f t="shared" si="24"/>
        <v>220000</v>
      </c>
      <c r="AE131" s="63">
        <f t="shared" si="27"/>
        <v>280000</v>
      </c>
      <c r="AF131" s="63">
        <v>37496796.596999995</v>
      </c>
      <c r="AG131" s="63">
        <v>5582721359</v>
      </c>
      <c r="AH131" s="14">
        <v>967622579</v>
      </c>
      <c r="AI131" s="14">
        <v>6251743687</v>
      </c>
      <c r="AJ131" s="14"/>
      <c r="AK131" s="16"/>
    </row>
    <row r="132" spans="1:37" ht="15.75" customHeight="1" x14ac:dyDescent="0.25">
      <c r="A132" s="13">
        <f>+A131+1</f>
        <v>46227</v>
      </c>
      <c r="B132" s="63">
        <v>1487.5</v>
      </c>
      <c r="C132" s="14"/>
      <c r="D132" s="14">
        <v>628000000</v>
      </c>
      <c r="E132" s="14">
        <v>195404000</v>
      </c>
      <c r="F132" s="14">
        <v>525000</v>
      </c>
      <c r="G132" s="14">
        <v>17336000</v>
      </c>
      <c r="H132" s="14">
        <v>3716000</v>
      </c>
      <c r="I132" s="14">
        <v>2086488000</v>
      </c>
      <c r="J132" s="14">
        <v>506146983</v>
      </c>
      <c r="K132" s="14"/>
      <c r="L132" s="14">
        <v>0</v>
      </c>
      <c r="M132" s="14"/>
      <c r="N132" s="14"/>
      <c r="O132" s="14">
        <v>0</v>
      </c>
      <c r="P132" s="14">
        <v>0</v>
      </c>
      <c r="Q132" s="14">
        <v>272415178</v>
      </c>
      <c r="R132" s="14"/>
      <c r="S132" s="14"/>
      <c r="T132" s="14">
        <v>0</v>
      </c>
      <c r="U132" s="14"/>
      <c r="V132" s="14"/>
      <c r="W132" s="14"/>
      <c r="X132" s="14">
        <v>3909877844</v>
      </c>
      <c r="Y132" s="14">
        <v>4087557678</v>
      </c>
      <c r="Z132" s="14">
        <f t="shared" si="25"/>
        <v>191016771.98655012</v>
      </c>
      <c r="AA132" s="63">
        <v>6191397303</v>
      </c>
      <c r="AB132" s="63">
        <f t="shared" si="26"/>
        <v>1202455.9875649996</v>
      </c>
      <c r="AC132" s="63">
        <f t="shared" si="24"/>
        <v>13000000</v>
      </c>
      <c r="AD132" s="63">
        <f t="shared" si="24"/>
        <v>220000</v>
      </c>
      <c r="AE132" s="63">
        <f t="shared" si="27"/>
        <v>280000</v>
      </c>
      <c r="AF132" s="63">
        <v>37496796.596999995</v>
      </c>
      <c r="AG132" s="63">
        <v>5582721359</v>
      </c>
      <c r="AH132" s="14">
        <v>974501412.5</v>
      </c>
      <c r="AI132" s="14">
        <v>5095968237.5</v>
      </c>
      <c r="AJ132" s="14"/>
      <c r="AK132" s="16"/>
    </row>
    <row r="133" spans="1:37" ht="15.75" customHeight="1" x14ac:dyDescent="0.25">
      <c r="A133" s="13">
        <v>46230</v>
      </c>
      <c r="B133" s="63">
        <v>1491.5</v>
      </c>
      <c r="C133" s="14"/>
      <c r="D133" s="14">
        <v>327306000</v>
      </c>
      <c r="E133" s="14">
        <v>186327000</v>
      </c>
      <c r="F133" s="14">
        <v>1500000</v>
      </c>
      <c r="G133" s="14">
        <v>15082000</v>
      </c>
      <c r="H133" s="14">
        <v>2293000</v>
      </c>
      <c r="I133" s="14">
        <v>2936104000</v>
      </c>
      <c r="J133" s="14">
        <f>167790943+162047173</f>
        <v>329838116</v>
      </c>
      <c r="K133" s="14"/>
      <c r="L133" s="14">
        <v>47219345</v>
      </c>
      <c r="M133" s="14"/>
      <c r="N133" s="14"/>
      <c r="O133" s="14">
        <v>0</v>
      </c>
      <c r="P133" s="14">
        <f>24745500+17332851</f>
        <v>42078351</v>
      </c>
      <c r="Q133" s="14">
        <v>305121545</v>
      </c>
      <c r="R133" s="14"/>
      <c r="S133" s="14"/>
      <c r="T133" s="14">
        <v>0</v>
      </c>
      <c r="U133" s="14"/>
      <c r="V133" s="14"/>
      <c r="W133" s="14"/>
      <c r="X133" s="14">
        <v>3279423678</v>
      </c>
      <c r="Y133" s="14">
        <v>9097212715</v>
      </c>
      <c r="Z133" s="14">
        <f t="shared" si="25"/>
        <v>191016771.98655012</v>
      </c>
      <c r="AA133" s="63">
        <v>6110866783</v>
      </c>
      <c r="AB133" s="63">
        <f t="shared" si="26"/>
        <v>1202455.9875649996</v>
      </c>
      <c r="AC133" s="63">
        <f t="shared" si="24"/>
        <v>13000000</v>
      </c>
      <c r="AD133" s="63">
        <f t="shared" si="24"/>
        <v>220000</v>
      </c>
      <c r="AE133" s="63">
        <f t="shared" si="27"/>
        <v>280000</v>
      </c>
      <c r="AF133" s="63">
        <v>35774252.505999997</v>
      </c>
      <c r="AG133" s="63">
        <v>5582721359</v>
      </c>
      <c r="AH133" s="14">
        <v>1161014921.5</v>
      </c>
      <c r="AI133" s="14">
        <v>6972901209.5</v>
      </c>
      <c r="AJ133" s="14"/>
      <c r="AK133" s="16"/>
    </row>
    <row r="134" spans="1:37" ht="15.75" customHeight="1" x14ac:dyDescent="0.25">
      <c r="A134" s="13">
        <v>46231</v>
      </c>
      <c r="B134" s="63">
        <v>1493.5</v>
      </c>
      <c r="C134" s="14"/>
      <c r="D134" s="14">
        <v>327306000</v>
      </c>
      <c r="E134" s="14">
        <v>123895000</v>
      </c>
      <c r="F134" s="14">
        <v>50000000</v>
      </c>
      <c r="G134" s="14">
        <v>11173000</v>
      </c>
      <c r="H134" s="14">
        <v>2500000</v>
      </c>
      <c r="I134" s="14">
        <v>2506159000</v>
      </c>
      <c r="J134" s="14">
        <v>441385646</v>
      </c>
      <c r="K134" s="14"/>
      <c r="L134" s="14">
        <v>0</v>
      </c>
      <c r="M134" s="14"/>
      <c r="N134" s="14"/>
      <c r="O134" s="14">
        <v>0</v>
      </c>
      <c r="P134" s="14">
        <v>0</v>
      </c>
      <c r="Q134" s="14">
        <v>15629452</v>
      </c>
      <c r="R134" s="14"/>
      <c r="S134" s="14"/>
      <c r="T134" s="14">
        <v>0</v>
      </c>
      <c r="U134" s="14"/>
      <c r="V134" s="14"/>
      <c r="W134" s="14"/>
      <c r="X134" s="14">
        <v>2828008580</v>
      </c>
      <c r="Y134" s="14">
        <v>9105488614</v>
      </c>
      <c r="Z134" s="14">
        <f t="shared" si="25"/>
        <v>191016771.98655012</v>
      </c>
      <c r="AA134" s="63">
        <v>6157032317</v>
      </c>
      <c r="AB134" s="63">
        <f t="shared" si="26"/>
        <v>1202455.9875649996</v>
      </c>
      <c r="AC134" s="63">
        <v>14000000</v>
      </c>
      <c r="AD134" s="63">
        <f t="shared" si="24"/>
        <v>220000</v>
      </c>
      <c r="AE134" s="63">
        <f t="shared" si="27"/>
        <v>280000</v>
      </c>
      <c r="AF134" s="63">
        <v>38106922.169</v>
      </c>
      <c r="AG134" s="63">
        <v>5582721359</v>
      </c>
      <c r="AH134" s="14">
        <v>662087666.79999995</v>
      </c>
      <c r="AI134" s="14">
        <v>6982251395.5</v>
      </c>
      <c r="AJ134" s="14">
        <v>0</v>
      </c>
      <c r="AK134" s="16"/>
    </row>
    <row r="135" spans="1:37" ht="15.75" customHeight="1" x14ac:dyDescent="0.25">
      <c r="A135" s="13">
        <v>46232</v>
      </c>
      <c r="B135" s="63">
        <v>1493.5</v>
      </c>
      <c r="C135" s="14"/>
      <c r="D135" s="14">
        <v>297100000</v>
      </c>
      <c r="E135" s="14">
        <v>99046000</v>
      </c>
      <c r="F135" s="14">
        <v>54000000</v>
      </c>
      <c r="G135" s="14">
        <v>1181000</v>
      </c>
      <c r="H135" s="14">
        <v>3128000</v>
      </c>
      <c r="I135" s="14">
        <v>2604210000</v>
      </c>
      <c r="J135" s="14">
        <v>379474769</v>
      </c>
      <c r="K135" s="14"/>
      <c r="L135" s="14">
        <v>0</v>
      </c>
      <c r="M135" s="14"/>
      <c r="N135" s="14"/>
      <c r="O135" s="14">
        <v>0</v>
      </c>
      <c r="P135" s="14">
        <v>10064924</v>
      </c>
      <c r="Q135" s="14">
        <v>127556749</v>
      </c>
      <c r="R135" s="14"/>
      <c r="S135" s="14"/>
      <c r="T135" s="14">
        <v>0</v>
      </c>
      <c r="U135" s="14"/>
      <c r="V135" s="14"/>
      <c r="W135" s="14"/>
      <c r="X135" s="14">
        <v>2517270830</v>
      </c>
      <c r="Y135" s="14">
        <v>9079261502</v>
      </c>
      <c r="Z135" s="14">
        <f t="shared" si="25"/>
        <v>191016771.98655012</v>
      </c>
      <c r="AA135" s="63">
        <v>6429893546</v>
      </c>
      <c r="AB135" s="63">
        <f t="shared" si="26"/>
        <v>1202455.9875649996</v>
      </c>
      <c r="AC135" s="63">
        <v>14000000</v>
      </c>
      <c r="AD135" s="63">
        <f t="shared" si="24"/>
        <v>220000</v>
      </c>
      <c r="AE135" s="63">
        <f t="shared" si="27"/>
        <v>280000</v>
      </c>
      <c r="AF135" s="63">
        <v>38176752.241999999</v>
      </c>
      <c r="AG135" s="63">
        <v>5582721359</v>
      </c>
      <c r="AH135" s="14">
        <v>661342709</v>
      </c>
      <c r="AI135" s="14">
        <v>7313862161.5</v>
      </c>
      <c r="AJ135" s="14">
        <v>1040000000</v>
      </c>
      <c r="AK135" s="16"/>
    </row>
    <row r="136" spans="1:37" ht="15.75" customHeight="1" x14ac:dyDescent="0.25">
      <c r="A136" s="13">
        <f>+A135+1</f>
        <v>46233</v>
      </c>
      <c r="B136" s="63">
        <v>1496</v>
      </c>
      <c r="C136" s="14"/>
      <c r="D136" s="14">
        <v>210937000</v>
      </c>
      <c r="E136" s="14">
        <v>192928000</v>
      </c>
      <c r="F136" s="14">
        <v>59648000</v>
      </c>
      <c r="G136" s="14">
        <v>11177000</v>
      </c>
      <c r="H136" s="14">
        <v>2021000</v>
      </c>
      <c r="I136" s="14">
        <v>2604210000</v>
      </c>
      <c r="J136" s="14">
        <v>891913205</v>
      </c>
      <c r="K136" s="14"/>
      <c r="L136" s="14">
        <v>3137520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>
        <v>2581219963</v>
      </c>
      <c r="Y136" s="14">
        <v>12522717049</v>
      </c>
      <c r="Z136" s="14">
        <v>191016771.98655012</v>
      </c>
      <c r="AA136" s="63">
        <v>5027656217</v>
      </c>
      <c r="AB136" s="63">
        <v>1202455.9875649996</v>
      </c>
      <c r="AC136" s="63">
        <v>14000000</v>
      </c>
      <c r="AD136" s="63">
        <f>+AD135</f>
        <v>220000</v>
      </c>
      <c r="AE136" s="63">
        <v>280000</v>
      </c>
      <c r="AF136" s="63">
        <v>38547163.150999993</v>
      </c>
      <c r="AG136" s="63">
        <v>5582721359</v>
      </c>
      <c r="AH136" s="14">
        <v>1497575288</v>
      </c>
      <c r="AI136" s="14">
        <v>7119538800</v>
      </c>
      <c r="AJ136" s="14"/>
      <c r="AK136" s="16"/>
    </row>
    <row r="137" spans="1:37" ht="15.75" customHeight="1" x14ac:dyDescent="0.25">
      <c r="A137" s="13">
        <f>+A136+1</f>
        <v>46234</v>
      </c>
      <c r="B137" s="63">
        <v>1487</v>
      </c>
      <c r="C137" s="14"/>
      <c r="D137" s="14">
        <v>210937000</v>
      </c>
      <c r="E137" s="14">
        <v>16112000</v>
      </c>
      <c r="F137" s="14">
        <v>59000000</v>
      </c>
      <c r="G137" s="14">
        <v>16610000</v>
      </c>
      <c r="H137" s="14">
        <v>2020000</v>
      </c>
      <c r="I137" s="14">
        <v>2658759000</v>
      </c>
      <c r="J137" s="14">
        <v>625560946</v>
      </c>
      <c r="K137" s="14"/>
      <c r="L137" s="14">
        <v>34421036</v>
      </c>
      <c r="M137" s="14"/>
      <c r="N137" s="14"/>
      <c r="O137" s="14"/>
      <c r="P137" s="14">
        <v>82464937</v>
      </c>
      <c r="Q137" s="14"/>
      <c r="R137" s="14"/>
      <c r="S137" s="14"/>
      <c r="T137" s="14"/>
      <c r="U137" s="14"/>
      <c r="V137" s="14"/>
      <c r="W137" s="14"/>
      <c r="X137" s="14">
        <v>1826772888</v>
      </c>
      <c r="Y137" s="14">
        <v>12395831076</v>
      </c>
      <c r="Z137" s="14">
        <v>191016771.98655012</v>
      </c>
      <c r="AA137" s="63">
        <v>5027656217</v>
      </c>
      <c r="AB137" s="63">
        <v>1202455.9875649996</v>
      </c>
      <c r="AC137" s="63">
        <v>14000000</v>
      </c>
      <c r="AD137" s="63">
        <f>+AD136</f>
        <v>220000</v>
      </c>
      <c r="AE137" s="63">
        <v>280000</v>
      </c>
      <c r="AF137" s="63">
        <v>38817226.504000008</v>
      </c>
      <c r="AG137" s="63">
        <v>5582721359</v>
      </c>
      <c r="AH137" s="14">
        <v>1277002886</v>
      </c>
      <c r="AI137" s="14">
        <v>7076707350</v>
      </c>
      <c r="AJ137" s="14">
        <v>540751074</v>
      </c>
      <c r="AK137" s="16"/>
    </row>
    <row r="138" spans="1:37" ht="15.75" customHeight="1" x14ac:dyDescent="0.25">
      <c r="A138" s="13">
        <v>46237</v>
      </c>
      <c r="B138" s="63">
        <v>1486.5</v>
      </c>
      <c r="C138" s="14"/>
      <c r="D138" s="14">
        <v>301470000</v>
      </c>
      <c r="E138" s="14">
        <v>117229000</v>
      </c>
      <c r="F138" s="14">
        <v>60000000</v>
      </c>
      <c r="G138" s="14">
        <v>16161000</v>
      </c>
      <c r="H138" s="14">
        <v>1018000</v>
      </c>
      <c r="I138" s="14">
        <v>2377791000</v>
      </c>
      <c r="J138" s="14">
        <v>217459686</v>
      </c>
      <c r="K138" s="14"/>
      <c r="L138" s="14">
        <v>27025263</v>
      </c>
      <c r="M138" s="14"/>
      <c r="N138" s="14"/>
      <c r="O138" s="14"/>
      <c r="P138" s="14"/>
      <c r="Q138" s="14">
        <v>86600000</v>
      </c>
      <c r="R138" s="14"/>
      <c r="S138" s="14"/>
      <c r="T138" s="14"/>
      <c r="U138" s="14"/>
      <c r="V138" s="14"/>
      <c r="W138" s="14"/>
      <c r="X138" s="14">
        <v>1629882981</v>
      </c>
      <c r="Y138" s="14">
        <v>11839582661</v>
      </c>
      <c r="Z138" s="14">
        <v>179326122.93125013</v>
      </c>
      <c r="AA138" s="63">
        <v>5928276225.54</v>
      </c>
      <c r="AB138" s="63">
        <v>1202455.9875649996</v>
      </c>
      <c r="AC138" s="63">
        <v>14000000</v>
      </c>
      <c r="AD138" s="63">
        <v>245288.76712328769</v>
      </c>
      <c r="AE138" s="63">
        <v>280000</v>
      </c>
      <c r="AF138" s="63">
        <v>40484465.763999999</v>
      </c>
      <c r="AG138" s="63">
        <v>5582721359</v>
      </c>
      <c r="AH138" s="14">
        <v>739915780.5</v>
      </c>
      <c r="AI138" s="14">
        <v>7537867579.5</v>
      </c>
      <c r="AJ138" s="14">
        <v>0</v>
      </c>
      <c r="AK138" s="16"/>
    </row>
    <row r="139" spans="1:37" ht="15.75" customHeight="1" x14ac:dyDescent="0.25">
      <c r="A139" s="13">
        <v>46238</v>
      </c>
      <c r="B139" s="63">
        <v>1490</v>
      </c>
      <c r="C139" s="14"/>
      <c r="D139" s="14">
        <f>+'[1]CF Dia V1'!$EK$10</f>
        <v>441400000</v>
      </c>
      <c r="E139" s="14">
        <f>+'[1]CF Dia V1'!$EK$13</f>
        <v>122574000</v>
      </c>
      <c r="F139" s="14">
        <f>+'[1]CF Dia V1'!$EK$16</f>
        <v>95000000</v>
      </c>
      <c r="G139" s="14">
        <f>+'[1]CF Dia V1'!$EK$14</f>
        <v>13304000</v>
      </c>
      <c r="H139" s="14">
        <f>+'[1]CF Dia V1'!$EK$15</f>
        <v>2000000</v>
      </c>
      <c r="I139" s="14">
        <f>+'[1]CF Dia V1'!$EK$22</f>
        <v>2297663244</v>
      </c>
      <c r="J139" s="14">
        <f>+'[1]CF Dia V1'!$EK$43</f>
        <v>307499246</v>
      </c>
      <c r="K139" s="14"/>
      <c r="L139" s="14">
        <f>+'[1]CF Dia V1'!$EK$46</f>
        <v>14574830</v>
      </c>
      <c r="M139" s="14"/>
      <c r="N139" s="14"/>
      <c r="O139" s="14"/>
      <c r="P139" s="14"/>
      <c r="Q139" s="14">
        <f>+'[1]CF Dia V1'!$EK$51</f>
        <v>108710771</v>
      </c>
      <c r="R139" s="14"/>
      <c r="S139" s="14"/>
      <c r="T139" s="14"/>
      <c r="U139" s="14">
        <v>200000000</v>
      </c>
      <c r="V139" s="14"/>
      <c r="W139" s="14"/>
      <c r="X139" s="14">
        <f>+'[1]CF Dia V1'!$EK$100</f>
        <v>1325990325</v>
      </c>
      <c r="Y139" s="14">
        <f>+'[1]CF Dia V1'!$EK$101</f>
        <v>11905007831</v>
      </c>
      <c r="Z139" s="14">
        <f t="shared" ref="Z139:Z144" si="28">+Z138</f>
        <v>179326122.93125013</v>
      </c>
      <c r="AA139" s="63">
        <f>+'[1]CF Dia V1'!$EK$102</f>
        <v>6084858000</v>
      </c>
      <c r="AB139" s="63">
        <f t="shared" ref="AB139:AB144" si="29">+AB138</f>
        <v>1202455.9875649996</v>
      </c>
      <c r="AC139" s="63">
        <v>15000000</v>
      </c>
      <c r="AD139" s="63">
        <f>+AD138</f>
        <v>245288.76712328769</v>
      </c>
      <c r="AE139" s="63">
        <f>+AE138</f>
        <v>280000</v>
      </c>
      <c r="AF139" s="63">
        <f>+'[1]CF Dia V1'!$EK$97</f>
        <v>34675581.865000002</v>
      </c>
      <c r="AG139" s="63">
        <f t="shared" ref="AG139:AG144" si="30">+AG138</f>
        <v>5582721359</v>
      </c>
      <c r="AH139" s="14">
        <f>+'[1]CF Dia V1'!$EK$24+'[1]CF Dia V1'!$EK$25</f>
        <v>766642250</v>
      </c>
      <c r="AI139" s="14">
        <f>+'[1]CF Dia V1'!$EK$29</f>
        <v>7389960450</v>
      </c>
      <c r="AJ139" s="14"/>
      <c r="AK139" s="16"/>
    </row>
    <row r="140" spans="1:37" ht="15.75" customHeight="1" x14ac:dyDescent="0.25">
      <c r="A140" s="13">
        <f>+A139+1</f>
        <v>46239</v>
      </c>
      <c r="B140" s="63">
        <v>1494</v>
      </c>
      <c r="C140" s="14"/>
      <c r="D140" s="14">
        <v>436600000</v>
      </c>
      <c r="E140" s="14">
        <v>28496000</v>
      </c>
      <c r="F140" s="14">
        <v>102000000</v>
      </c>
      <c r="G140" s="14">
        <v>23733000</v>
      </c>
      <c r="H140" s="14">
        <v>285672000</v>
      </c>
      <c r="I140" s="14">
        <v>2179756902</v>
      </c>
      <c r="J140" s="14">
        <v>315965760</v>
      </c>
      <c r="K140" s="14"/>
      <c r="L140" s="14">
        <v>225000</v>
      </c>
      <c r="M140" s="14"/>
      <c r="N140" s="14"/>
      <c r="O140" s="14"/>
      <c r="P140" s="14">
        <v>0</v>
      </c>
      <c r="Q140" s="14">
        <v>415848270</v>
      </c>
      <c r="R140" s="14"/>
      <c r="S140" s="14"/>
      <c r="T140" s="14"/>
      <c r="U140" s="14">
        <v>33500000</v>
      </c>
      <c r="V140" s="14"/>
      <c r="W140" s="14"/>
      <c r="X140" s="14">
        <v>1295381406</v>
      </c>
      <c r="Y140" s="14">
        <v>11681248760</v>
      </c>
      <c r="Z140" s="14">
        <f t="shared" si="28"/>
        <v>179326122.93125013</v>
      </c>
      <c r="AA140" s="63">
        <v>7767195087</v>
      </c>
      <c r="AB140" s="63">
        <f t="shared" si="29"/>
        <v>1202455.9875649996</v>
      </c>
      <c r="AC140" s="63">
        <v>15000000</v>
      </c>
      <c r="AD140" s="63">
        <f t="shared" ref="AD140:AD146" si="31">+AD139</f>
        <v>245288.76712328769</v>
      </c>
      <c r="AE140" s="63">
        <v>280000</v>
      </c>
      <c r="AF140" s="63">
        <v>37087543.392000005</v>
      </c>
      <c r="AG140" s="63">
        <f t="shared" si="30"/>
        <v>5582721359</v>
      </c>
      <c r="AH140" s="14">
        <f>+'[1]CF Dia V1'!$EL$24+'[1]CF Dia V1'!$EL$25</f>
        <v>1666262682</v>
      </c>
      <c r="AI140" s="14">
        <f>+'[1]CF Dia V1'!$EL$29</f>
        <v>7409799270</v>
      </c>
      <c r="AJ140" s="14">
        <f>+'[1]CF Dia V1'!$EL$31</f>
        <v>999458000</v>
      </c>
      <c r="AK140" s="16"/>
    </row>
    <row r="141" spans="1:37" ht="15.75" customHeight="1" x14ac:dyDescent="0.25">
      <c r="A141" s="13">
        <f>+A140+1</f>
        <v>46240</v>
      </c>
      <c r="B141" s="63">
        <v>1493.5</v>
      </c>
      <c r="C141" s="14"/>
      <c r="D141" s="14">
        <v>390836716</v>
      </c>
      <c r="E141" s="14">
        <v>-162200000</v>
      </c>
      <c r="F141" s="14">
        <v>115000000</v>
      </c>
      <c r="G141" s="14">
        <v>878000</v>
      </c>
      <c r="H141" s="14">
        <v>3480000</v>
      </c>
      <c r="I141" s="14">
        <v>2068918000</v>
      </c>
      <c r="J141" s="14">
        <v>135200000</v>
      </c>
      <c r="K141" s="14"/>
      <c r="L141" s="14">
        <v>30702000</v>
      </c>
      <c r="M141" s="14"/>
      <c r="N141" s="14"/>
      <c r="O141" s="14"/>
      <c r="P141" s="14">
        <v>22272345</v>
      </c>
      <c r="Q141" s="14">
        <v>947816714</v>
      </c>
      <c r="R141" s="14"/>
      <c r="S141" s="14"/>
      <c r="T141" s="14"/>
      <c r="U141" s="14">
        <v>0</v>
      </c>
      <c r="V141" s="14"/>
      <c r="W141" s="14"/>
      <c r="X141" s="14">
        <v>2575252725</v>
      </c>
      <c r="Y141" s="14">
        <v>10958704076</v>
      </c>
      <c r="Z141" s="14">
        <f t="shared" si="28"/>
        <v>179326122.93125013</v>
      </c>
      <c r="AA141" s="63">
        <v>8029413003</v>
      </c>
      <c r="AB141" s="63">
        <f t="shared" si="29"/>
        <v>1202455.9875649996</v>
      </c>
      <c r="AC141" s="63">
        <v>15000000</v>
      </c>
      <c r="AD141" s="63">
        <f t="shared" si="31"/>
        <v>245288.76712328769</v>
      </c>
      <c r="AE141" s="63">
        <v>280000</v>
      </c>
      <c r="AF141" s="63">
        <v>36888391.270000003</v>
      </c>
      <c r="AG141" s="63">
        <f t="shared" si="30"/>
        <v>5582721359</v>
      </c>
      <c r="AH141" s="14">
        <f>+'[1]CF Dia V1'!$EM$24+'[1]CF Dia V1'!$EM$25</f>
        <v>1868026488.5</v>
      </c>
      <c r="AI141" s="14">
        <f>+'[1]CF Dia V1'!$EM$29</f>
        <v>7487514393.5</v>
      </c>
      <c r="AJ141" s="14"/>
      <c r="AK141" s="16"/>
    </row>
    <row r="142" spans="1:37" ht="15.75" customHeight="1" x14ac:dyDescent="0.25">
      <c r="A142" s="13">
        <f>+A141+1</f>
        <v>46241</v>
      </c>
      <c r="B142" s="63">
        <v>1493.5</v>
      </c>
      <c r="C142" s="14"/>
      <c r="D142" s="14">
        <v>266873000</v>
      </c>
      <c r="E142" s="14">
        <v>93043000</v>
      </c>
      <c r="F142" s="14">
        <v>68000000</v>
      </c>
      <c r="G142" s="14">
        <v>840000</v>
      </c>
      <c r="H142" s="14">
        <v>2932000</v>
      </c>
      <c r="I142" s="14">
        <v>2353065000</v>
      </c>
      <c r="J142" s="14">
        <v>224992975</v>
      </c>
      <c r="K142" s="14"/>
      <c r="L142" s="14">
        <v>0</v>
      </c>
      <c r="M142" s="14"/>
      <c r="N142" s="14"/>
      <c r="O142" s="14"/>
      <c r="P142" s="14">
        <v>51452643</v>
      </c>
      <c r="Q142" s="14">
        <v>121486987</v>
      </c>
      <c r="R142" s="14"/>
      <c r="S142" s="14"/>
      <c r="T142" s="14"/>
      <c r="U142" s="14">
        <v>0</v>
      </c>
      <c r="V142" s="14"/>
      <c r="W142" s="14"/>
      <c r="X142" s="14">
        <v>2295479847</v>
      </c>
      <c r="Y142" s="14">
        <v>10892663458</v>
      </c>
      <c r="Z142" s="14">
        <f t="shared" si="28"/>
        <v>179326122.93125013</v>
      </c>
      <c r="AA142" s="63">
        <v>8081657101</v>
      </c>
      <c r="AB142" s="63">
        <f t="shared" si="29"/>
        <v>1202455.9875649996</v>
      </c>
      <c r="AC142" s="63">
        <v>15000000</v>
      </c>
      <c r="AD142" s="63">
        <f t="shared" si="31"/>
        <v>245288.76712328769</v>
      </c>
      <c r="AE142" s="63">
        <v>280000</v>
      </c>
      <c r="AF142" s="63">
        <v>33210575.07</v>
      </c>
      <c r="AG142" s="63">
        <f t="shared" si="30"/>
        <v>5582721359</v>
      </c>
      <c r="AH142" s="14">
        <f>+'[1]CF Dia V1'!$EN$24+'[1]CF Dia V1'!$EN$25</f>
        <v>1181259929</v>
      </c>
      <c r="AI142" s="14">
        <f>+'[1]CF Dia V1'!$EN$29</f>
        <v>7487514393.5</v>
      </c>
      <c r="AJ142" s="14"/>
      <c r="AK142" s="16"/>
    </row>
    <row r="143" spans="1:37" ht="15.75" customHeight="1" x14ac:dyDescent="0.25">
      <c r="A143" s="13">
        <v>46244</v>
      </c>
      <c r="B143" s="63">
        <v>1495.5</v>
      </c>
      <c r="C143" s="14"/>
      <c r="D143" s="14">
        <v>766520000</v>
      </c>
      <c r="E143" s="14">
        <v>218766000</v>
      </c>
      <c r="F143" s="14">
        <v>1585000000</v>
      </c>
      <c r="G143" s="14">
        <v>-9300000</v>
      </c>
      <c r="H143" s="14">
        <v>2000000</v>
      </c>
      <c r="I143" s="14">
        <v>2596698170</v>
      </c>
      <c r="J143" s="14">
        <v>30805698</v>
      </c>
      <c r="K143" s="14"/>
      <c r="L143" s="14">
        <v>0</v>
      </c>
      <c r="M143" s="14"/>
      <c r="N143" s="14"/>
      <c r="O143" s="14"/>
      <c r="P143" s="14">
        <v>1388467872</v>
      </c>
      <c r="Q143" s="14">
        <v>530075264</v>
      </c>
      <c r="R143" s="14"/>
      <c r="S143" s="14"/>
      <c r="T143" s="14"/>
      <c r="U143" s="14">
        <v>0</v>
      </c>
      <c r="V143" s="14"/>
      <c r="W143" s="14"/>
      <c r="X143" s="14">
        <v>1408813874</v>
      </c>
      <c r="Y143" s="14">
        <v>7808517200</v>
      </c>
      <c r="Z143" s="14">
        <f t="shared" si="28"/>
        <v>179326122.93125013</v>
      </c>
      <c r="AA143" s="63">
        <v>8083336327</v>
      </c>
      <c r="AB143" s="63">
        <f t="shared" si="29"/>
        <v>1202455.9875649996</v>
      </c>
      <c r="AC143" s="63">
        <v>16000000</v>
      </c>
      <c r="AD143" s="63">
        <f t="shared" si="31"/>
        <v>245288.76712328769</v>
      </c>
      <c r="AE143" s="63">
        <v>280000</v>
      </c>
      <c r="AF143" s="63">
        <v>33904450.707000002</v>
      </c>
      <c r="AG143" s="63">
        <f t="shared" si="30"/>
        <v>5582721359</v>
      </c>
      <c r="AH143" s="14">
        <f>+'[1]CF Dia V1'!$EO$24+'[1]CF Dia V1'!$EO$25</f>
        <v>656733421.35000002</v>
      </c>
      <c r="AI143" s="14">
        <f>+'[1]CF Dia V1'!$EO$29</f>
        <v>7493928067.5</v>
      </c>
      <c r="AJ143" s="14"/>
      <c r="AK143" s="16"/>
    </row>
    <row r="144" spans="1:37" ht="15.75" customHeight="1" x14ac:dyDescent="0.25">
      <c r="A144" s="13">
        <v>46245</v>
      </c>
      <c r="B144" s="63">
        <v>1495</v>
      </c>
      <c r="C144" s="14"/>
      <c r="D144" s="14">
        <v>481253000</v>
      </c>
      <c r="E144" s="14">
        <f>+'[1]CF Dia V1'!$EP$13</f>
        <v>98247000</v>
      </c>
      <c r="F144" s="14">
        <f>+'[1]CF Dia V1'!$EP$16</f>
        <v>71200000</v>
      </c>
      <c r="G144" s="14">
        <f>+'[1]CF Dia V1'!$EP$14</f>
        <v>-9279000</v>
      </c>
      <c r="H144" s="14">
        <f>+'[1]CF Dia V1'!$EP$15</f>
        <v>2000000</v>
      </c>
      <c r="I144" s="14">
        <f>+'[1]CF Dia V1'!$EP$22</f>
        <v>2124014967</v>
      </c>
      <c r="J144" s="14">
        <f>+'[1]CF Dia V1'!$EP$43</f>
        <v>26925000</v>
      </c>
      <c r="K144" s="14"/>
      <c r="L144" s="14"/>
      <c r="M144" s="14"/>
      <c r="N144" s="14"/>
      <c r="O144" s="14"/>
      <c r="P144" s="14">
        <f>+'[1]CF Dia V1'!$EP$50</f>
        <v>10592000</v>
      </c>
      <c r="Q144" s="14">
        <f>+'[1]CF Dia V1'!$EP$51</f>
        <v>166523884</v>
      </c>
      <c r="R144" s="14"/>
      <c r="S144" s="14"/>
      <c r="T144" s="14">
        <f>+'[1]CF Dia V1'!$EP$59</f>
        <v>15741079</v>
      </c>
      <c r="U144" s="14">
        <f>+'[1]CF Dia V1'!$EP$60</f>
        <v>230000000</v>
      </c>
      <c r="V144" s="14"/>
      <c r="W144" s="14"/>
      <c r="X144" s="14">
        <f>+'[1]CF Dia V1'!$EP$100</f>
        <v>1451818208</v>
      </c>
      <c r="Y144" s="14">
        <f>+'[1]CF Dia V1'!$EP$101</f>
        <v>7793890781</v>
      </c>
      <c r="Z144" s="14">
        <f t="shared" si="28"/>
        <v>179326122.93125013</v>
      </c>
      <c r="AA144" s="63">
        <f>+'[1]CF Dia V1'!$EP$102</f>
        <v>8316978266</v>
      </c>
      <c r="AB144" s="63">
        <f t="shared" si="29"/>
        <v>1202455.9875649996</v>
      </c>
      <c r="AC144" s="63">
        <f>+AC143</f>
        <v>16000000</v>
      </c>
      <c r="AD144" s="63">
        <f t="shared" si="31"/>
        <v>245288.76712328769</v>
      </c>
      <c r="AE144" s="63">
        <f t="shared" ref="AE144:AE150" si="32">+AE143</f>
        <v>280000</v>
      </c>
      <c r="AF144" s="63">
        <f>+'[1]CF Dia V1'!$EP$97</f>
        <v>33977534.686999999</v>
      </c>
      <c r="AG144" s="63">
        <f t="shared" si="30"/>
        <v>5582721359</v>
      </c>
      <c r="AH144" s="14">
        <f>+'[1]CF Dia V1'!$EP$24+'[1]CF Dia V1'!$EP$25</f>
        <v>1169194650</v>
      </c>
      <c r="AI144" s="14">
        <f>+'[1]CF Dia V1'!$EP$29</f>
        <v>7347099760</v>
      </c>
      <c r="AJ144" s="14"/>
      <c r="AK144" s="16"/>
    </row>
    <row r="145" spans="1:37" ht="15.75" customHeight="1" x14ac:dyDescent="0.25">
      <c r="A145" s="13">
        <v>46247</v>
      </c>
      <c r="B145" s="63">
        <v>1490.5</v>
      </c>
      <c r="C145" s="14"/>
      <c r="D145" s="14">
        <v>416151000</v>
      </c>
      <c r="E145" s="14">
        <v>-17616000</v>
      </c>
      <c r="F145" s="14">
        <v>86071000</v>
      </c>
      <c r="G145" s="14">
        <v>6835000</v>
      </c>
      <c r="H145" s="14">
        <v>5147000</v>
      </c>
      <c r="I145" s="14">
        <v>1922934000</v>
      </c>
      <c r="J145" s="14">
        <v>285000002</v>
      </c>
      <c r="K145" s="14"/>
      <c r="L145" s="14">
        <v>11953410</v>
      </c>
      <c r="M145" s="14"/>
      <c r="N145" s="14"/>
      <c r="O145" s="14"/>
      <c r="P145" s="14">
        <v>6189916</v>
      </c>
      <c r="Q145" s="14">
        <v>142015347</v>
      </c>
      <c r="R145" s="14"/>
      <c r="S145" s="14"/>
      <c r="T145" s="14"/>
      <c r="U145" s="14">
        <v>50000000</v>
      </c>
      <c r="V145" s="14"/>
      <c r="W145" s="14"/>
      <c r="X145" s="14">
        <v>1191559852</v>
      </c>
      <c r="Y145" s="14">
        <v>9351103483</v>
      </c>
      <c r="Z145" s="14">
        <f t="shared" ref="Z145:Z150" si="33">+Z144</f>
        <v>179326122.93125013</v>
      </c>
      <c r="AA145" s="63">
        <v>8683893033</v>
      </c>
      <c r="AB145" s="63">
        <f>+AB144</f>
        <v>1202455.9875649996</v>
      </c>
      <c r="AC145" s="63">
        <f>+AC144</f>
        <v>16000000</v>
      </c>
      <c r="AD145" s="63">
        <f t="shared" si="31"/>
        <v>245288.76712328769</v>
      </c>
      <c r="AE145" s="63">
        <f t="shared" si="32"/>
        <v>280000</v>
      </c>
      <c r="AF145" s="63">
        <v>32411352</v>
      </c>
      <c r="AG145" s="63">
        <f t="shared" ref="AG145:AG150" si="34">+AG144</f>
        <v>5582721359</v>
      </c>
      <c r="AH145" s="14">
        <f>+'[1]CF Dia V1'!$ER$24+'[1]CF Dia V1'!$ER$25</f>
        <v>2241600361.5500002</v>
      </c>
      <c r="AI145" s="14">
        <f>+'[1]CF Dia V1'!$ER$29</f>
        <v>7142799438.5</v>
      </c>
      <c r="AJ145" s="14"/>
      <c r="AK145" s="16"/>
    </row>
    <row r="146" spans="1:37" ht="15.75" customHeight="1" x14ac:dyDescent="0.25">
      <c r="A146" s="13">
        <v>46248</v>
      </c>
      <c r="B146" s="63">
        <v>1488.5</v>
      </c>
      <c r="C146" s="14"/>
      <c r="D146" s="14">
        <v>290253000</v>
      </c>
      <c r="E146" s="14">
        <v>224553000</v>
      </c>
      <c r="F146" s="14">
        <v>86071000</v>
      </c>
      <c r="G146" s="14">
        <v>15740000</v>
      </c>
      <c r="H146" s="14">
        <v>3533000</v>
      </c>
      <c r="I146" s="14">
        <v>1637573000</v>
      </c>
      <c r="J146" s="14">
        <v>644058175</v>
      </c>
      <c r="K146" s="14"/>
      <c r="L146" s="14">
        <f>14794057+1334000</f>
        <v>16128057</v>
      </c>
      <c r="M146" s="14"/>
      <c r="N146" s="14"/>
      <c r="O146" s="14"/>
      <c r="P146" s="14">
        <v>17576906</v>
      </c>
      <c r="Q146" s="14">
        <v>523853458</v>
      </c>
      <c r="R146" s="14"/>
      <c r="S146" s="14"/>
      <c r="T146" s="14"/>
      <c r="U146" s="14"/>
      <c r="V146" s="14"/>
      <c r="W146" s="14"/>
      <c r="X146" s="14">
        <v>1225604256</v>
      </c>
      <c r="Y146" s="14">
        <v>8816725589</v>
      </c>
      <c r="Z146" s="14">
        <f t="shared" si="33"/>
        <v>179326122.93125013</v>
      </c>
      <c r="AA146" s="63">
        <v>6804950184</v>
      </c>
      <c r="AB146" s="63">
        <f>+AB145</f>
        <v>1202455.9875649996</v>
      </c>
      <c r="AC146" s="63">
        <f>+AC145</f>
        <v>16000000</v>
      </c>
      <c r="AD146" s="63">
        <f t="shared" si="31"/>
        <v>245288.76712328769</v>
      </c>
      <c r="AE146" s="63">
        <f t="shared" si="32"/>
        <v>280000</v>
      </c>
      <c r="AF146" s="63">
        <v>32294565</v>
      </c>
      <c r="AG146" s="63">
        <f t="shared" si="34"/>
        <v>5582721359</v>
      </c>
      <c r="AH146" s="14">
        <f>+'[1]CF Dia V1'!$ES$24+'[1]CF Dia V1'!$ES$25</f>
        <v>2099322348.5</v>
      </c>
      <c r="AI146" s="14">
        <f>+'[1]CF Dia V1'!$ES$29</f>
        <v>7824545852.5</v>
      </c>
      <c r="AJ146" s="14"/>
      <c r="AK146" s="16"/>
    </row>
    <row r="147" spans="1:37" ht="15.75" customHeight="1" x14ac:dyDescent="0.25">
      <c r="A147" s="13">
        <v>46252</v>
      </c>
      <c r="B147" s="63">
        <v>1485</v>
      </c>
      <c r="C147" s="14"/>
      <c r="D147" s="14">
        <f>+'[1]CF Dia V1'!$ET$10</f>
        <v>290253000</v>
      </c>
      <c r="E147" s="14">
        <f>+'[1]CF Dia V1'!$ET$13</f>
        <v>132315000</v>
      </c>
      <c r="F147" s="14">
        <f>+'[1]CF Dia V1'!$ET$16</f>
        <v>77700000</v>
      </c>
      <c r="G147" s="14">
        <v>15400000</v>
      </c>
      <c r="H147" s="14">
        <v>2787000</v>
      </c>
      <c r="I147" s="14">
        <f>+'[1]CF Dia V1'!$ET$22</f>
        <v>2028061000</v>
      </c>
      <c r="J147" s="14">
        <f>+'[1]CF Dia V1'!$ET$43</f>
        <v>258816904</v>
      </c>
      <c r="K147" s="14"/>
      <c r="L147" s="14">
        <f>+'[1]CF Dia V1'!$ET$46</f>
        <v>170517366</v>
      </c>
      <c r="M147" s="14"/>
      <c r="N147" s="14"/>
      <c r="O147" s="14"/>
      <c r="P147" s="14">
        <f>+'[1]CF Dia V1'!$ET$50</f>
        <v>10174295</v>
      </c>
      <c r="Q147" s="14">
        <f>+'[1]CF Dia V1'!$ET$51</f>
        <v>2789923</v>
      </c>
      <c r="R147" s="14"/>
      <c r="S147" s="14"/>
      <c r="T147" s="14"/>
      <c r="U147" s="14"/>
      <c r="V147" s="14"/>
      <c r="W147" s="14"/>
      <c r="X147" s="14">
        <f>+'[1]CF Dia V1'!$ET$100</f>
        <v>965630051</v>
      </c>
      <c r="Y147" s="14">
        <f>+'[1]CF Dia V1'!$ET$101</f>
        <v>8041036677</v>
      </c>
      <c r="Z147" s="14">
        <f t="shared" si="33"/>
        <v>179326122.93125013</v>
      </c>
      <c r="AA147" s="63">
        <f>+'[1]CF Dia V1'!$ET$102</f>
        <v>6960719090</v>
      </c>
      <c r="AB147" s="63">
        <v>1562000</v>
      </c>
      <c r="AC147" s="63">
        <v>16000000</v>
      </c>
      <c r="AD147" s="63">
        <f t="shared" ref="AD147:AD152" si="35">+AD146</f>
        <v>245288.76712328769</v>
      </c>
      <c r="AE147" s="63">
        <f t="shared" si="32"/>
        <v>280000</v>
      </c>
      <c r="AF147" s="63">
        <f>+'[1]CF Dia V1'!$ET$97</f>
        <v>33167571.769000001</v>
      </c>
      <c r="AG147" s="63">
        <f t="shared" si="34"/>
        <v>5582721359</v>
      </c>
      <c r="AH147" s="14">
        <f>+'[1]CF Dia V1'!$ET$24+'[1]CF Dia V1'!$ET$25</f>
        <v>1360047645</v>
      </c>
      <c r="AI147" s="14">
        <f>+'[1]CF Dia V1'!$ET$29</f>
        <v>9529757325</v>
      </c>
      <c r="AJ147" s="14"/>
      <c r="AK147" s="16"/>
    </row>
    <row r="148" spans="1:37" ht="15.75" customHeight="1" x14ac:dyDescent="0.25">
      <c r="A148" s="13">
        <v>46253</v>
      </c>
      <c r="B148" s="63">
        <v>1490</v>
      </c>
      <c r="C148" s="14"/>
      <c r="D148" s="14">
        <f>+'[1]CF Dia V1'!$EU$10</f>
        <v>636298000</v>
      </c>
      <c r="E148" s="14">
        <f>+'[1]CF Dia V1'!$EU$13</f>
        <v>15444000</v>
      </c>
      <c r="F148" s="14">
        <f>+'[1]CF Dia V1'!$EU$16</f>
        <v>1700000</v>
      </c>
      <c r="G148" s="14">
        <f>+'[1]CF Dia V1'!$EU$14</f>
        <v>15400000</v>
      </c>
      <c r="H148" s="14">
        <f>+'[1]CF Dia V1'!$EU$15</f>
        <v>1981000</v>
      </c>
      <c r="I148" s="14">
        <f>+'[1]CF Dia V1'!$EU$22</f>
        <v>1578577000</v>
      </c>
      <c r="J148" s="14">
        <f>+'[1]CF Dia V1'!$EU$43</f>
        <v>332793215</v>
      </c>
      <c r="K148" s="14"/>
      <c r="L148" s="14">
        <f>+'[1]CF Dia V1'!$EU$46</f>
        <v>107087250</v>
      </c>
      <c r="M148" s="14"/>
      <c r="N148" s="14"/>
      <c r="O148" s="14"/>
      <c r="P148" s="14"/>
      <c r="Q148" s="14">
        <f>+'[1]CF Dia V1'!$EU$51</f>
        <v>565997992</v>
      </c>
      <c r="R148" s="14"/>
      <c r="S148" s="14"/>
      <c r="T148" s="14"/>
      <c r="U148" s="14"/>
      <c r="V148" s="14"/>
      <c r="W148" s="14"/>
      <c r="X148" s="14">
        <f>+'[1]CF Dia V1'!$EU$100</f>
        <v>666408280</v>
      </c>
      <c r="Y148" s="14">
        <f>+'[1]CF Dia V1'!$EU$101</f>
        <v>7680124907</v>
      </c>
      <c r="Z148" s="14">
        <f t="shared" si="33"/>
        <v>179326122.93125013</v>
      </c>
      <c r="AA148" s="63">
        <f>+'[1]CF Dia V1'!$EU$102</f>
        <v>7307278803</v>
      </c>
      <c r="AB148" s="63">
        <f>+AB147</f>
        <v>1562000</v>
      </c>
      <c r="AC148" s="63">
        <f>+AC147</f>
        <v>16000000</v>
      </c>
      <c r="AD148" s="63">
        <f t="shared" si="35"/>
        <v>245288.76712328769</v>
      </c>
      <c r="AE148" s="63">
        <f t="shared" si="32"/>
        <v>280000</v>
      </c>
      <c r="AF148" s="63">
        <f>+'[1]CF Dia V1'!$EU$97</f>
        <v>32207178.398999996</v>
      </c>
      <c r="AG148" s="63">
        <f t="shared" si="34"/>
        <v>5582721359</v>
      </c>
      <c r="AH148" s="14">
        <f>+'[1]CF Dia V1'!$EU$24+'[1]CF Dia V1'!$EU$25</f>
        <v>1371440700</v>
      </c>
      <c r="AI148" s="14">
        <f>+'[1]CF Dia V1'!$EU$29</f>
        <v>9416998170</v>
      </c>
      <c r="AJ148" s="14"/>
      <c r="AK148" s="16"/>
    </row>
    <row r="149" spans="1:37" ht="15.75" customHeight="1" x14ac:dyDescent="0.25">
      <c r="A149" s="13">
        <v>46254</v>
      </c>
      <c r="B149" s="63">
        <v>1494</v>
      </c>
      <c r="C149" s="14"/>
      <c r="D149" s="14">
        <v>652234000</v>
      </c>
      <c r="E149" s="14">
        <v>106188000</v>
      </c>
      <c r="F149" s="14">
        <v>23454000</v>
      </c>
      <c r="G149" s="14">
        <v>5373000</v>
      </c>
      <c r="H149" s="14">
        <v>887898000</v>
      </c>
      <c r="I149" s="14">
        <v>1562105837</v>
      </c>
      <c r="J149" s="14">
        <v>497678816</v>
      </c>
      <c r="K149" s="14"/>
      <c r="L149" s="14">
        <v>4951414</v>
      </c>
      <c r="M149" s="14"/>
      <c r="N149" s="14"/>
      <c r="O149" s="14"/>
      <c r="P149" s="14">
        <v>0</v>
      </c>
      <c r="Q149" s="14">
        <v>45507216</v>
      </c>
      <c r="R149" s="14"/>
      <c r="S149" s="14"/>
      <c r="T149" s="14"/>
      <c r="U149" s="14"/>
      <c r="V149" s="14"/>
      <c r="W149" s="14"/>
      <c r="X149" s="14">
        <v>900747754</v>
      </c>
      <c r="Y149" s="14">
        <v>7370445877</v>
      </c>
      <c r="Z149" s="14">
        <f t="shared" si="33"/>
        <v>179326122.93125013</v>
      </c>
      <c r="AA149" s="63">
        <v>6456273353</v>
      </c>
      <c r="AB149" s="63">
        <f t="shared" ref="AB149:AB154" si="36">+AB148</f>
        <v>1562000</v>
      </c>
      <c r="AC149" s="63">
        <v>16800000</v>
      </c>
      <c r="AD149" s="63">
        <f t="shared" si="35"/>
        <v>245288.76712328769</v>
      </c>
      <c r="AE149" s="63">
        <f t="shared" si="32"/>
        <v>280000</v>
      </c>
      <c r="AF149" s="63">
        <f>+'[1]CF Dia V1'!$EV$97</f>
        <v>35762061.762999997</v>
      </c>
      <c r="AG149" s="63">
        <f t="shared" si="34"/>
        <v>5582721359</v>
      </c>
      <c r="AH149" s="14">
        <f>+'[1]CF Dia V1'!$EV$24+'[1]CF Dia V1'!$EV$25</f>
        <v>789543144</v>
      </c>
      <c r="AI149" s="14">
        <f>+'[1]CF Dia V1'!$EV$29</f>
        <v>9477118782</v>
      </c>
      <c r="AJ149" s="14"/>
      <c r="AK149" s="16"/>
    </row>
    <row r="150" spans="1:37" ht="15.75" customHeight="1" x14ac:dyDescent="0.25">
      <c r="A150" s="13">
        <v>46255</v>
      </c>
      <c r="B150" s="63">
        <v>1494</v>
      </c>
      <c r="C150" s="14"/>
      <c r="D150" s="14">
        <v>842000000</v>
      </c>
      <c r="E150" s="14">
        <v>48084000</v>
      </c>
      <c r="F150" s="14">
        <v>22551000</v>
      </c>
      <c r="G150" s="14">
        <v>30000000</v>
      </c>
      <c r="H150" s="14">
        <v>277343000</v>
      </c>
      <c r="I150" s="14">
        <v>1556464612</v>
      </c>
      <c r="J150" s="14">
        <v>369070003</v>
      </c>
      <c r="K150" s="14"/>
      <c r="L150" s="14">
        <v>0</v>
      </c>
      <c r="M150" s="14"/>
      <c r="N150" s="14"/>
      <c r="O150" s="14"/>
      <c r="P150" s="14">
        <v>935838954</v>
      </c>
      <c r="Q150" s="14">
        <v>17791074</v>
      </c>
      <c r="R150" s="14"/>
      <c r="S150" s="14"/>
      <c r="T150" s="14"/>
      <c r="U150" s="14"/>
      <c r="V150" s="14"/>
      <c r="W150" s="14"/>
      <c r="X150" s="14">
        <v>556318566</v>
      </c>
      <c r="Y150" s="14">
        <v>6558923582</v>
      </c>
      <c r="Z150" s="14">
        <f t="shared" si="33"/>
        <v>179326122.93125013</v>
      </c>
      <c r="AA150" s="63">
        <v>6755356465</v>
      </c>
      <c r="AB150" s="63">
        <f t="shared" si="36"/>
        <v>1562000</v>
      </c>
      <c r="AC150" s="63">
        <v>16800000</v>
      </c>
      <c r="AD150" s="63">
        <f t="shared" si="35"/>
        <v>245288.76712328769</v>
      </c>
      <c r="AE150" s="63">
        <f t="shared" si="32"/>
        <v>280000</v>
      </c>
      <c r="AF150" s="63">
        <f>+'[1]CF Dia V1'!$EW$97</f>
        <v>34024200.174000002</v>
      </c>
      <c r="AG150" s="63">
        <f t="shared" si="34"/>
        <v>5582721359</v>
      </c>
      <c r="AH150" s="14">
        <f>+'[1]CF Dia V1'!$EW$24+'[1]CF Dia V1'!$EW$25</f>
        <v>989775000</v>
      </c>
      <c r="AI150" s="14">
        <f>+'[1]CF Dia V1'!$EW$29</f>
        <v>9477118782</v>
      </c>
      <c r="AJ150" s="14"/>
      <c r="AK150" s="16"/>
    </row>
    <row r="151" spans="1:37" ht="15.75" customHeight="1" x14ac:dyDescent="0.25">
      <c r="A151" s="13">
        <v>46258</v>
      </c>
      <c r="B151" s="63">
        <v>1494</v>
      </c>
      <c r="C151" s="14"/>
      <c r="D151" s="14">
        <f>+'[1]CF Dia V1'!$EX$10</f>
        <v>808785000</v>
      </c>
      <c r="E151" s="14">
        <f>+'[1]CF Dia V1'!$EX$13</f>
        <v>-149731000</v>
      </c>
      <c r="F151" s="14">
        <f>+'[1]CF Dia V1'!$EX$16</f>
        <v>22000000</v>
      </c>
      <c r="G151" s="14">
        <f>+'[1]CF Dia V1'!$EX$14</f>
        <v>853000</v>
      </c>
      <c r="H151" s="14">
        <f>+'[1]CF Dia V1'!$EX$15</f>
        <v>277343000</v>
      </c>
      <c r="I151" s="14">
        <f>+'[1]CF Dia V1'!$EX$22</f>
        <v>1179389844</v>
      </c>
      <c r="J151" s="14">
        <f>+'[1]CF Dia V1'!$EX$43</f>
        <v>306425692</v>
      </c>
      <c r="K151" s="14"/>
      <c r="L151" s="14">
        <f>+'[1]CF Dia V1'!$EX$46</f>
        <v>46132000</v>
      </c>
      <c r="M151" s="14"/>
      <c r="N151" s="14"/>
      <c r="O151" s="14"/>
      <c r="P151" s="14">
        <f>+'[1]CF Dia V1'!$EX$50</f>
        <v>20950945</v>
      </c>
      <c r="Q151" s="14">
        <f>+'[1]CF Dia V1'!$EX$51</f>
        <v>107854200</v>
      </c>
      <c r="R151" s="14"/>
      <c r="S151" s="14"/>
      <c r="T151" s="14"/>
      <c r="U151" s="14"/>
      <c r="V151" s="14"/>
      <c r="W151" s="14"/>
      <c r="X151" s="14">
        <f>+'[1]CF Dia V1'!$EX$100</f>
        <v>512637872.16000003</v>
      </c>
      <c r="Y151" s="14">
        <f>+'[1]CF Dia V1'!$EX$101</f>
        <v>6504858243</v>
      </c>
      <c r="Z151" s="14">
        <f t="shared" ref="Z151:Z156" si="37">+Z150</f>
        <v>179326122.93125013</v>
      </c>
      <c r="AA151" s="63">
        <f>+'[1]CF Dia V1'!$EX$102</f>
        <v>8284777830</v>
      </c>
      <c r="AB151" s="63">
        <f t="shared" si="36"/>
        <v>1562000</v>
      </c>
      <c r="AC151" s="63">
        <v>17800000</v>
      </c>
      <c r="AD151" s="63">
        <f>+AD150</f>
        <v>245288.76712328769</v>
      </c>
      <c r="AE151" s="63">
        <f t="shared" ref="AE151:AE156" si="38">+AE150</f>
        <v>280000</v>
      </c>
      <c r="AF151" s="63">
        <f>+'[1]CF Dia V1'!$EX$97</f>
        <v>34329322.403999999</v>
      </c>
      <c r="AG151" s="63">
        <f t="shared" ref="AG151:AG156" si="39">+AG150</f>
        <v>5582721359</v>
      </c>
      <c r="AH151" s="14">
        <f>+'[1]CF Dia V1'!$EX$24</f>
        <v>171460404</v>
      </c>
      <c r="AI151" s="14">
        <f>+'[1]CF Dia V1'!$EX$29</f>
        <v>9505917126</v>
      </c>
      <c r="AJ151" s="14">
        <f>+'[1]CF Dia V1'!$EX$31</f>
        <v>1191838968</v>
      </c>
      <c r="AK151" s="16"/>
    </row>
    <row r="152" spans="1:37" ht="15.75" customHeight="1" x14ac:dyDescent="0.25">
      <c r="A152" s="13">
        <v>46259</v>
      </c>
      <c r="B152" s="63">
        <v>1505</v>
      </c>
      <c r="C152" s="14"/>
      <c r="D152" s="14">
        <f>+'[1]CF Dia V1'!$EY$10</f>
        <v>822623000</v>
      </c>
      <c r="E152" s="14">
        <f>+'[1]CF Dia V1'!$EY$13</f>
        <v>141038000</v>
      </c>
      <c r="F152" s="14">
        <f>+'[1]CF Dia V1'!$EY$16</f>
        <v>24000000</v>
      </c>
      <c r="G152" s="14">
        <f>+'[1]CF Dia V1'!$EY$14</f>
        <v>2397000</v>
      </c>
      <c r="H152" s="14">
        <f>+'[1]CF Dia V1'!$EY$15</f>
        <v>7343000</v>
      </c>
      <c r="I152" s="14">
        <f>+'[1]CF Dia V1'!$EY$22</f>
        <v>1165551444</v>
      </c>
      <c r="J152" s="14">
        <f>+'[1]CF Dia V1'!$EY$43</f>
        <v>57614176</v>
      </c>
      <c r="K152" s="14"/>
      <c r="L152" s="14">
        <f>+'[1]CF Dia V1'!$EY$46</f>
        <v>158407969</v>
      </c>
      <c r="M152" s="14"/>
      <c r="N152" s="14"/>
      <c r="O152" s="14">
        <f>+'[1]CF Dia V1'!$EY$49</f>
        <v>7495412</v>
      </c>
      <c r="P152" s="14"/>
      <c r="Q152" s="14">
        <f>+'[1]CF Dia V1'!$EY$51</f>
        <v>20850000</v>
      </c>
      <c r="R152" s="14"/>
      <c r="S152" s="14"/>
      <c r="T152" s="14"/>
      <c r="U152" s="14"/>
      <c r="V152" s="14"/>
      <c r="W152" s="14"/>
      <c r="X152" s="14">
        <f>+'[1]CF Dia V1'!$EY$100</f>
        <v>609168000</v>
      </c>
      <c r="Y152" s="14">
        <f>+'[1]CF Dia V1'!$EY$101</f>
        <v>6923980045</v>
      </c>
      <c r="Z152" s="14">
        <f t="shared" si="37"/>
        <v>179326122.93125013</v>
      </c>
      <c r="AA152" s="63">
        <f>+'[1]CF Dia V1'!$EY$102</f>
        <v>7816267342</v>
      </c>
      <c r="AB152" s="63">
        <f t="shared" si="36"/>
        <v>1562000</v>
      </c>
      <c r="AC152" s="63">
        <f t="shared" ref="AC152:AC156" si="40">+AC151</f>
        <v>17800000</v>
      </c>
      <c r="AD152" s="63">
        <f t="shared" si="35"/>
        <v>245288.76712328769</v>
      </c>
      <c r="AE152" s="63">
        <f t="shared" si="38"/>
        <v>280000</v>
      </c>
      <c r="AF152" s="63">
        <f>+'[1]CF Dia V1'!$EY$97</f>
        <v>35001309.556000002</v>
      </c>
      <c r="AG152" s="63">
        <f t="shared" si="39"/>
        <v>5582721359</v>
      </c>
      <c r="AH152" s="14">
        <f>+'[1]CF Dia V1'!$EY$24</f>
        <v>610691375</v>
      </c>
      <c r="AI152" s="14">
        <f>+'[1]CF Dia V1'!$EY$29</f>
        <v>9291260475</v>
      </c>
      <c r="AJ152" s="14">
        <f>+'[1]CF Dia V1'!$EY$31</f>
        <v>692194923</v>
      </c>
      <c r="AK152" s="16"/>
    </row>
    <row r="153" spans="1:37" ht="15.75" customHeight="1" x14ac:dyDescent="0.25">
      <c r="A153" s="13">
        <f>+A152+1</f>
        <v>46260</v>
      </c>
      <c r="B153" s="63">
        <v>1508</v>
      </c>
      <c r="C153" s="14"/>
      <c r="D153" s="14">
        <v>503000000</v>
      </c>
      <c r="E153" s="14">
        <v>249951000</v>
      </c>
      <c r="F153" s="14">
        <v>980000000</v>
      </c>
      <c r="G153" s="14">
        <v>2219000</v>
      </c>
      <c r="H153" s="14">
        <v>5524000</v>
      </c>
      <c r="I153" s="14">
        <v>1165000000</v>
      </c>
      <c r="J153" s="14">
        <v>235962163</v>
      </c>
      <c r="K153" s="14"/>
      <c r="L153" s="14">
        <v>5123717</v>
      </c>
      <c r="M153" s="14"/>
      <c r="N153" s="14"/>
      <c r="O153" s="14">
        <v>4487184</v>
      </c>
      <c r="P153" s="14">
        <v>236749728</v>
      </c>
      <c r="Q153" s="14">
        <v>229759453</v>
      </c>
      <c r="R153" s="14"/>
      <c r="S153" s="14"/>
      <c r="T153" s="14"/>
      <c r="U153" s="14"/>
      <c r="V153" s="14"/>
      <c r="W153" s="14"/>
      <c r="X153" s="14">
        <v>944817063</v>
      </c>
      <c r="Y153" s="14">
        <v>6433854244</v>
      </c>
      <c r="Z153" s="14">
        <f t="shared" si="37"/>
        <v>179326122.93125013</v>
      </c>
      <c r="AA153" s="63">
        <v>8027776486.46</v>
      </c>
      <c r="AB153" s="63">
        <f t="shared" si="36"/>
        <v>1562000</v>
      </c>
      <c r="AC153" s="63">
        <f t="shared" si="40"/>
        <v>17800000</v>
      </c>
      <c r="AD153" s="63">
        <f t="shared" ref="AD153:AD159" si="41">+AD152</f>
        <v>245288.76712328769</v>
      </c>
      <c r="AE153" s="63">
        <f t="shared" si="38"/>
        <v>280000</v>
      </c>
      <c r="AF153" s="63">
        <f>+'[1]CF Dia V1'!$EZ$97</f>
        <v>32475209.347000003</v>
      </c>
      <c r="AG153" s="63">
        <f t="shared" si="39"/>
        <v>5582721359</v>
      </c>
      <c r="AH153" s="14">
        <f>+'[1]CF Dia V1'!$EZ$24+'[1]CF Dia V1'!$EZ$25</f>
        <v>700488620</v>
      </c>
      <c r="AI153" s="14">
        <f>+'[1]CF Dia V1'!$EZ$29</f>
        <v>9349600000</v>
      </c>
      <c r="AJ153" s="14">
        <f>+'[1]CF Dia V1'!$EZ$31</f>
        <v>342368000</v>
      </c>
      <c r="AK153" s="16"/>
    </row>
    <row r="154" spans="1:37" ht="15.75" customHeight="1" x14ac:dyDescent="0.25">
      <c r="A154" s="13">
        <f>+A153+1</f>
        <v>46261</v>
      </c>
      <c r="B154" s="63">
        <v>1510</v>
      </c>
      <c r="C154" s="14"/>
      <c r="D154" s="14">
        <v>108000000</v>
      </c>
      <c r="E154" s="14">
        <v>139773000</v>
      </c>
      <c r="F154" s="14">
        <v>983000000</v>
      </c>
      <c r="G154" s="14">
        <v>2547000</v>
      </c>
      <c r="H154" s="14">
        <v>5524000</v>
      </c>
      <c r="I154" s="14">
        <v>1502000000</v>
      </c>
      <c r="J154" s="14">
        <v>213862279</v>
      </c>
      <c r="K154" s="14"/>
      <c r="L154" s="14">
        <v>14148020</v>
      </c>
      <c r="M154" s="14"/>
      <c r="N154" s="14"/>
      <c r="O154" s="14">
        <v>2199600</v>
      </c>
      <c r="P154" s="14"/>
      <c r="Q154" s="14">
        <v>121642988</v>
      </c>
      <c r="R154" s="14"/>
      <c r="S154" s="14"/>
      <c r="T154" s="14"/>
      <c r="U154" s="14"/>
      <c r="V154" s="14"/>
      <c r="W154" s="14"/>
      <c r="X154" s="14">
        <v>786422165</v>
      </c>
      <c r="Y154" s="14">
        <v>6553854244</v>
      </c>
      <c r="Z154" s="14">
        <f t="shared" si="37"/>
        <v>179326122.93125013</v>
      </c>
      <c r="AA154" s="63">
        <v>7969027248</v>
      </c>
      <c r="AB154" s="63">
        <f t="shared" si="36"/>
        <v>1562000</v>
      </c>
      <c r="AC154" s="63">
        <f t="shared" si="40"/>
        <v>17800000</v>
      </c>
      <c r="AD154" s="63">
        <f t="shared" si="41"/>
        <v>245288.76712328769</v>
      </c>
      <c r="AE154" s="63">
        <f t="shared" si="38"/>
        <v>280000</v>
      </c>
      <c r="AF154" s="63">
        <f>+'[1]CF Dia V1'!$FA$97</f>
        <v>32880196.405000001</v>
      </c>
      <c r="AG154" s="63">
        <f t="shared" si="39"/>
        <v>5582721359</v>
      </c>
      <c r="AH154" s="14">
        <f>+'[1]CF Dia V1'!$FA$24+'[1]CF Dia V1'!$FA$25</f>
        <v>2367378000</v>
      </c>
      <c r="AI154" s="14">
        <f>+'[1]CF Dia V1'!$FA$29</f>
        <v>8568276050</v>
      </c>
      <c r="AJ154" s="14"/>
      <c r="AK154" s="16"/>
    </row>
    <row r="155" spans="1:37" ht="15.75" customHeight="1" x14ac:dyDescent="0.25">
      <c r="A155" s="13">
        <f>+A154+1</f>
        <v>46262</v>
      </c>
      <c r="B155" s="63">
        <v>1510</v>
      </c>
      <c r="C155" s="14"/>
      <c r="D155" s="14">
        <v>144000000</v>
      </c>
      <c r="E155" s="14">
        <v>27615107</v>
      </c>
      <c r="F155" s="14">
        <v>623000000</v>
      </c>
      <c r="G155" s="14">
        <v>1948000</v>
      </c>
      <c r="H155" s="14">
        <v>5422000</v>
      </c>
      <c r="I155" s="14">
        <v>1411612000</v>
      </c>
      <c r="J155" s="14">
        <v>316999977</v>
      </c>
      <c r="K155" s="14"/>
      <c r="L155" s="14">
        <v>0</v>
      </c>
      <c r="M155" s="14"/>
      <c r="N155" s="14"/>
      <c r="O155" s="14"/>
      <c r="P155" s="14"/>
      <c r="Q155" s="14">
        <v>318251478</v>
      </c>
      <c r="R155" s="14"/>
      <c r="S155" s="14"/>
      <c r="T155" s="14"/>
      <c r="U155" s="14"/>
      <c r="V155" s="14"/>
      <c r="W155" s="14"/>
      <c r="X155" s="14">
        <v>786422165</v>
      </c>
      <c r="Y155" s="14">
        <v>6886479895</v>
      </c>
      <c r="Z155" s="14">
        <f t="shared" si="37"/>
        <v>179326122.93125013</v>
      </c>
      <c r="AA155" s="63">
        <f>+AA154</f>
        <v>7969027248</v>
      </c>
      <c r="AB155" s="63">
        <f>+AB154</f>
        <v>1562000</v>
      </c>
      <c r="AC155" s="63">
        <f t="shared" si="40"/>
        <v>17800000</v>
      </c>
      <c r="AD155" s="63">
        <f t="shared" si="41"/>
        <v>245288.76712328769</v>
      </c>
      <c r="AE155" s="63">
        <f t="shared" si="38"/>
        <v>280000</v>
      </c>
      <c r="AF155" s="63">
        <f>+'[1]CF Dia V1'!$FB$97</f>
        <v>32912551.405000001</v>
      </c>
      <c r="AG155" s="63">
        <f t="shared" si="39"/>
        <v>5582721359</v>
      </c>
      <c r="AH155" s="14">
        <f>+'[1]CF Dia V1'!$FB$24+'[1]CF Dia V1'!$FB$25</f>
        <v>2809468250</v>
      </c>
      <c r="AI155" s="14">
        <f>+'[1]CF Dia V1'!$FB$29</f>
        <v>8519420000</v>
      </c>
      <c r="AJ155" s="14"/>
      <c r="AK155" s="16"/>
    </row>
    <row r="156" spans="1:37" ht="15.75" customHeight="1" x14ac:dyDescent="0.25">
      <c r="A156" s="13">
        <f>+A155+3</f>
        <v>46265</v>
      </c>
      <c r="B156" s="63">
        <v>1510.5</v>
      </c>
      <c r="C156" s="14"/>
      <c r="D156" s="14">
        <v>0</v>
      </c>
      <c r="E156" s="14">
        <v>274849000</v>
      </c>
      <c r="F156" s="14">
        <v>3924000</v>
      </c>
      <c r="G156" s="14">
        <v>9554000</v>
      </c>
      <c r="H156" s="14">
        <v>969000</v>
      </c>
      <c r="I156" s="14">
        <v>1387349000</v>
      </c>
      <c r="J156" s="14">
        <v>332625651</v>
      </c>
      <c r="K156" s="14"/>
      <c r="L156" s="14">
        <v>11135485</v>
      </c>
      <c r="M156" s="14"/>
      <c r="N156" s="14"/>
      <c r="O156" s="14"/>
      <c r="P156" s="14"/>
      <c r="Q156" s="14">
        <v>213884973</v>
      </c>
      <c r="R156" s="14"/>
      <c r="S156" s="14"/>
      <c r="T156" s="14"/>
      <c r="U156" s="14"/>
      <c r="V156" s="14"/>
      <c r="W156" s="14"/>
      <c r="X156" s="14">
        <v>726565688</v>
      </c>
      <c r="Y156" s="14">
        <v>13577822892</v>
      </c>
      <c r="Z156" s="14">
        <f t="shared" si="37"/>
        <v>179326122.93125013</v>
      </c>
      <c r="AA156" s="63">
        <v>7678749522</v>
      </c>
      <c r="AB156" s="63">
        <f>+AB155</f>
        <v>1562000</v>
      </c>
      <c r="AC156" s="63">
        <f t="shared" si="40"/>
        <v>17800000</v>
      </c>
      <c r="AD156" s="63">
        <f t="shared" si="41"/>
        <v>245288.76712328769</v>
      </c>
      <c r="AE156" s="63">
        <f t="shared" si="38"/>
        <v>280000</v>
      </c>
      <c r="AF156" s="63">
        <f>+'[1]CF Dia V1'!$FC$97</f>
        <v>33013997.166000001</v>
      </c>
      <c r="AG156" s="63">
        <f t="shared" si="39"/>
        <v>5582721359</v>
      </c>
      <c r="AH156" s="14">
        <f>+'[1]CF Dia V1'!$FC$24+'[1]CF Dia V1'!$FC$25</f>
        <v>3150338073</v>
      </c>
      <c r="AI156" s="14">
        <f>+'[1]CF Dia V1'!$FC$29</f>
        <v>8712974856</v>
      </c>
      <c r="AJ156" s="14"/>
      <c r="AK156" s="16"/>
    </row>
    <row r="157" spans="1:37" ht="15.75" customHeight="1" x14ac:dyDescent="0.25">
      <c r="A157" s="13">
        <v>46266</v>
      </c>
      <c r="B157" s="63">
        <v>1506</v>
      </c>
      <c r="C157" s="14"/>
      <c r="D157" s="14">
        <v>16000000</v>
      </c>
      <c r="E157" s="14">
        <f>+'[1]CF Dia V1'!$FD$13</f>
        <v>604000</v>
      </c>
      <c r="F157" s="14">
        <f>+F156</f>
        <v>3924000</v>
      </c>
      <c r="G157" s="14">
        <f>+'[1]CF Dia V1'!$FD$14</f>
        <v>8107000</v>
      </c>
      <c r="H157" s="14">
        <f>+'[1]CF Dia V1'!$FD$15</f>
        <v>2967000</v>
      </c>
      <c r="I157" s="14">
        <f>+'[1]CF Dia V1'!$FD$22</f>
        <v>1387349000</v>
      </c>
      <c r="J157" s="14">
        <f>+'[1]CF Dia V1'!$FD$43</f>
        <v>181112077</v>
      </c>
      <c r="K157" s="14"/>
      <c r="L157" s="14">
        <f>+'[1]CF Dia V1'!$FD$46</f>
        <v>51477136</v>
      </c>
      <c r="M157" s="14"/>
      <c r="N157" s="14"/>
      <c r="O157" s="14"/>
      <c r="P157" s="14"/>
      <c r="Q157" s="14">
        <f>+'[1]CF Dia V1'!$FD$51</f>
        <v>169418024</v>
      </c>
      <c r="R157" s="14"/>
      <c r="S157" s="14"/>
      <c r="T157" s="14"/>
      <c r="U157" s="14">
        <f>+'[1]CF Dia V1'!$FD$60</f>
        <v>180000000</v>
      </c>
      <c r="V157" s="14"/>
      <c r="W157" s="14"/>
      <c r="X157" s="14">
        <f>+'[1]CF Dia V1'!$FD$100</f>
        <v>706516864</v>
      </c>
      <c r="Y157" s="14">
        <f>+'[1]CF Dia V1'!$FD$101</f>
        <v>13329945213</v>
      </c>
      <c r="Z157" s="14">
        <f t="shared" ref="Z157:Z162" si="42">+Z156</f>
        <v>179326122.93125013</v>
      </c>
      <c r="AA157" s="63">
        <f>+'[1]CF Dia V1'!$FD$102</f>
        <v>7550543000</v>
      </c>
      <c r="AB157" s="63">
        <f>+AB156</f>
        <v>1562000</v>
      </c>
      <c r="AC157" s="63">
        <f t="shared" ref="AC157:AC162" si="43">+AC156</f>
        <v>17800000</v>
      </c>
      <c r="AD157" s="63">
        <f t="shared" si="41"/>
        <v>245288.76712328769</v>
      </c>
      <c r="AE157" s="63">
        <f>+AE156</f>
        <v>280000</v>
      </c>
      <c r="AF157" s="63">
        <f>+'[1]CF Dia V1'!$FD$97</f>
        <v>34505019.689000003</v>
      </c>
      <c r="AG157" s="63">
        <f t="shared" ref="AG157:AG162" si="44">+AG156</f>
        <v>5582721359</v>
      </c>
      <c r="AH157" s="14">
        <f>+'[1]CF Dia V1'!$FD$24+'[1]CF Dia V1'!$FD$25</f>
        <v>3039638112</v>
      </c>
      <c r="AI157" s="14">
        <f>+'[1]CF Dia V1'!$FD$29</f>
        <v>8628895068</v>
      </c>
      <c r="AJ157" s="14"/>
      <c r="AK157" s="16"/>
    </row>
    <row r="158" spans="1:37" ht="15.75" customHeight="1" x14ac:dyDescent="0.25">
      <c r="A158" s="13">
        <f>+A157+1</f>
        <v>46267</v>
      </c>
      <c r="B158" s="63">
        <v>1509</v>
      </c>
      <c r="C158" s="14"/>
      <c r="D158" s="14">
        <v>37490000</v>
      </c>
      <c r="E158" s="14">
        <v>340432000</v>
      </c>
      <c r="F158" s="14">
        <v>3821000</v>
      </c>
      <c r="G158" s="14">
        <v>3760000</v>
      </c>
      <c r="H158" s="14">
        <v>118000</v>
      </c>
      <c r="I158" s="14">
        <v>1422868000</v>
      </c>
      <c r="J158" s="14">
        <v>274322161</v>
      </c>
      <c r="K158" s="14"/>
      <c r="L158" s="14">
        <v>52009050</v>
      </c>
      <c r="M158" s="14"/>
      <c r="N158" s="14"/>
      <c r="O158" s="14"/>
      <c r="P158" s="14">
        <v>0</v>
      </c>
      <c r="Q158" s="14">
        <v>167270769</v>
      </c>
      <c r="R158" s="14"/>
      <c r="S158" s="14"/>
      <c r="T158" s="14"/>
      <c r="U158" s="14">
        <v>85000000</v>
      </c>
      <c r="V158" s="14"/>
      <c r="W158" s="14"/>
      <c r="X158" s="14">
        <v>1645569309.77</v>
      </c>
      <c r="Y158" s="14">
        <v>13225547662</v>
      </c>
      <c r="Z158" s="14">
        <f t="shared" si="42"/>
        <v>179326122.93125013</v>
      </c>
      <c r="AA158" s="63">
        <v>7550543000</v>
      </c>
      <c r="AB158" s="63">
        <f>+AB157</f>
        <v>1562000</v>
      </c>
      <c r="AC158" s="63">
        <f t="shared" si="43"/>
        <v>17800000</v>
      </c>
      <c r="AD158" s="63">
        <f t="shared" si="41"/>
        <v>245288.76712328769</v>
      </c>
      <c r="AE158" s="63">
        <f>+AE157</f>
        <v>280000</v>
      </c>
      <c r="AF158" s="63">
        <f>+'[1]CF Dia V1'!$FE$97</f>
        <v>36005238.718999997</v>
      </c>
      <c r="AG158" s="63">
        <f t="shared" si="44"/>
        <v>5582721359</v>
      </c>
      <c r="AH158" s="14">
        <f>+'[1]CF Dia V1'!$FE$24+'[1]CF Dia V1'!$FE$25</f>
        <v>2647628022</v>
      </c>
      <c r="AI158" s="14">
        <f>+'[1]CF Dia V1'!$FE$29</f>
        <v>8734117653</v>
      </c>
      <c r="AJ158" s="14"/>
      <c r="AK158" s="16"/>
    </row>
    <row r="159" spans="1:37" ht="15.75" customHeight="1" x14ac:dyDescent="0.25">
      <c r="A159" s="13">
        <f>+A158+1</f>
        <v>46268</v>
      </c>
      <c r="B159" s="63">
        <v>1509</v>
      </c>
      <c r="C159" s="14"/>
      <c r="D159" s="14">
        <v>190280000</v>
      </c>
      <c r="E159" s="14">
        <v>190272000</v>
      </c>
      <c r="F159" s="14">
        <v>3821000</v>
      </c>
      <c r="G159" s="14">
        <v>4220000</v>
      </c>
      <c r="H159" s="14">
        <v>594000</v>
      </c>
      <c r="I159" s="14">
        <v>1127963988</v>
      </c>
      <c r="J159" s="14">
        <v>178000000</v>
      </c>
      <c r="K159" s="14"/>
      <c r="L159" s="14">
        <v>17421610</v>
      </c>
      <c r="M159" s="14"/>
      <c r="N159" s="14"/>
      <c r="O159" s="14"/>
      <c r="P159" s="14">
        <v>8931568</v>
      </c>
      <c r="Q159" s="14">
        <v>172415674</v>
      </c>
      <c r="R159" s="14"/>
      <c r="S159" s="14"/>
      <c r="T159" s="14"/>
      <c r="U159" s="14">
        <v>0</v>
      </c>
      <c r="V159" s="14"/>
      <c r="W159" s="14"/>
      <c r="X159" s="14">
        <v>1458973143.2</v>
      </c>
      <c r="Y159" s="14">
        <v>13058165815</v>
      </c>
      <c r="Z159" s="14">
        <f t="shared" si="42"/>
        <v>179326122.93125013</v>
      </c>
      <c r="AA159" s="63">
        <v>7127444966</v>
      </c>
      <c r="AB159" s="63">
        <f>+AB158</f>
        <v>1562000</v>
      </c>
      <c r="AC159" s="63">
        <f t="shared" si="43"/>
        <v>17800000</v>
      </c>
      <c r="AD159" s="63">
        <f t="shared" si="41"/>
        <v>245288.76712328769</v>
      </c>
      <c r="AE159" s="63">
        <f>+AE158</f>
        <v>280000</v>
      </c>
      <c r="AF159" s="63">
        <f>+'[1]CF Dia V1'!$FF$97</f>
        <v>33243348.778999999</v>
      </c>
      <c r="AG159" s="63">
        <f t="shared" si="44"/>
        <v>5582721359</v>
      </c>
      <c r="AH159" s="14">
        <f>+'[1]CF Dia V1'!$FF$24+'[1]CF Dia V1'!$FF$25</f>
        <v>2870717073</v>
      </c>
      <c r="AI159" s="14">
        <f>+'[1]CF Dia V1'!$FF$29</f>
        <v>8097476589</v>
      </c>
      <c r="AJ159" s="14"/>
      <c r="AK159" s="16"/>
    </row>
    <row r="160" spans="1:37" ht="15.75" customHeight="1" x14ac:dyDescent="0.25">
      <c r="A160" s="13">
        <f>+'[1]CF Dia V1'!$FG$1</f>
        <v>46269</v>
      </c>
      <c r="B160" s="63">
        <f>+'[1]CF Dia V1'!$FG$2</f>
        <v>1505.5</v>
      </c>
      <c r="C160" s="14"/>
      <c r="D160" s="14">
        <f>+'[1]CF Dia V1'!$FG$10</f>
        <v>190280000</v>
      </c>
      <c r="E160" s="14">
        <f>+'[1]CF Dia V1'!$FG$13</f>
        <v>58017000</v>
      </c>
      <c r="F160" s="14">
        <f>+'[1]CF Dia V1'!$FG$16</f>
        <v>3821000</v>
      </c>
      <c r="G160" s="14">
        <f>+'[1]CF Dia V1'!$FG$14</f>
        <v>44344000</v>
      </c>
      <c r="H160" s="14">
        <f>+'[1]CF Dia V1'!$FG$15</f>
        <v>2203000</v>
      </c>
      <c r="I160" s="14">
        <f>+'[1]CF Dia V1'!$FG$22</f>
        <v>1127963988</v>
      </c>
      <c r="J160" s="14">
        <f>+'[1]CF Dia V1'!$FG$43</f>
        <v>45290335</v>
      </c>
      <c r="K160" s="14"/>
      <c r="L160" s="14"/>
      <c r="M160" s="14"/>
      <c r="N160" s="14"/>
      <c r="O160" s="14"/>
      <c r="P160" s="14"/>
      <c r="Q160" s="14">
        <f>+'[1]CF Dia V1'!$FG$51</f>
        <v>688777988</v>
      </c>
      <c r="R160" s="14"/>
      <c r="S160" s="14"/>
      <c r="T160" s="14"/>
      <c r="U160" s="14"/>
      <c r="V160" s="14">
        <f>+'[1]CF Dia V1'!$FG$73</f>
        <v>130500000</v>
      </c>
      <c r="W160" s="14"/>
      <c r="X160" s="14">
        <f>+'[1]CF Dia V1'!$FG$100</f>
        <v>1504790455</v>
      </c>
      <c r="Y160" s="14">
        <f>+'[1]CF Dia V1'!$FG$101</f>
        <v>12353842398</v>
      </c>
      <c r="Z160" s="14">
        <f t="shared" si="42"/>
        <v>179326122.93125013</v>
      </c>
      <c r="AA160" s="63">
        <f>+AA159</f>
        <v>7127444966</v>
      </c>
      <c r="AB160" s="63">
        <f>+AB159</f>
        <v>1562000</v>
      </c>
      <c r="AC160" s="63">
        <f t="shared" si="43"/>
        <v>17800000</v>
      </c>
      <c r="AD160" s="63">
        <f t="shared" ref="AD160:AD165" si="45">+AD159</f>
        <v>245288.76712328769</v>
      </c>
      <c r="AE160" s="63">
        <f>+AE159</f>
        <v>280000</v>
      </c>
      <c r="AF160" s="63">
        <f>+'[1]CF Dia V1'!$FG$97</f>
        <v>32031098.270000003</v>
      </c>
      <c r="AG160" s="63">
        <f t="shared" si="44"/>
        <v>5582721359</v>
      </c>
      <c r="AH160" s="14">
        <f>+'[1]CF Dia V1'!$FG$24+'[1]CF Dia V1'!$FG$25</f>
        <v>3085793240</v>
      </c>
      <c r="AI160" s="14">
        <f>+'[1]CF Dia V1'!$FG$29</f>
        <v>8070931302</v>
      </c>
      <c r="AJ160" s="14"/>
      <c r="AK160" s="16"/>
    </row>
    <row r="161" spans="1:37" ht="15.75" customHeight="1" x14ac:dyDescent="0.25">
      <c r="A161" s="13">
        <v>46272</v>
      </c>
      <c r="B161" s="63">
        <v>1504</v>
      </c>
      <c r="C161" s="14"/>
      <c r="D161" s="14">
        <f>+'[1]CF Dia V1'!$FH$10</f>
        <v>204000000</v>
      </c>
      <c r="E161" s="14">
        <f>+'[1]CF Dia V1'!$FH$13</f>
        <v>113928000</v>
      </c>
      <c r="F161" s="14">
        <f>+'[1]CF Dia V1'!$FH$16</f>
        <v>4016000</v>
      </c>
      <c r="G161" s="14">
        <f>+'[1]CF Dia V1'!$FH$14</f>
        <v>41937000</v>
      </c>
      <c r="H161" s="14">
        <f>+'[1]CF Dia V1'!$FH$15</f>
        <v>3370000</v>
      </c>
      <c r="I161" s="14">
        <f>+'[1]CF Dia V1'!$FH$22</f>
        <v>1386769447</v>
      </c>
      <c r="J161" s="14">
        <f>+'[1]CF Dia V1'!$FH$43</f>
        <v>336815052</v>
      </c>
      <c r="K161" s="14"/>
      <c r="L161" s="14">
        <f>+'[1]CF Dia V1'!$FH$46</f>
        <v>212885656</v>
      </c>
      <c r="M161" s="14"/>
      <c r="N161" s="14"/>
      <c r="O161" s="14"/>
      <c r="P161" s="14">
        <f>+'[1]CF Dia V1'!$FH$50</f>
        <v>12611780</v>
      </c>
      <c r="Q161" s="14">
        <f>+'[1]CF Dia V1'!$FH$51</f>
        <v>338853719</v>
      </c>
      <c r="R161" s="14"/>
      <c r="S161" s="14"/>
      <c r="T161" s="14"/>
      <c r="U161" s="14"/>
      <c r="V161" s="14"/>
      <c r="W161" s="14"/>
      <c r="X161" s="14">
        <f>+'[1]CF Dia V1'!$FH$100</f>
        <v>1248071376</v>
      </c>
      <c r="Y161" s="14">
        <f>+'[1]CF Dia V1'!$FH$101</f>
        <v>11735279712</v>
      </c>
      <c r="Z161" s="14">
        <f t="shared" si="42"/>
        <v>179326122.93125013</v>
      </c>
      <c r="AA161" s="63">
        <f>+'[1]CF Dia V1'!$FH$102</f>
        <v>6953976045.9499998</v>
      </c>
      <c r="AB161" s="63">
        <f>+'[1]CF Dia V1'!$FH$103</f>
        <v>1745997.6</v>
      </c>
      <c r="AC161" s="63">
        <f t="shared" si="43"/>
        <v>17800000</v>
      </c>
      <c r="AD161" s="63">
        <f t="shared" si="45"/>
        <v>245288.76712328769</v>
      </c>
      <c r="AE161" s="63">
        <f>+PRESTAMOS_USD!G22</f>
        <v>325287.75547945208</v>
      </c>
      <c r="AF161" s="63">
        <f>+'[1]CF Dia V1'!$FH$97</f>
        <v>31412096.869999997</v>
      </c>
      <c r="AG161" s="63">
        <f t="shared" si="44"/>
        <v>5582721359</v>
      </c>
      <c r="AH161" s="14">
        <f>+'[1]CF Dia V1'!$FH$24+'[1]CF Dia V1'!$FH$25</f>
        <v>1292460896</v>
      </c>
      <c r="AI161" s="14">
        <f>+'[1]CF Dia V1'!$FH$29</f>
        <v>9475210528</v>
      </c>
      <c r="AJ161" s="14">
        <f>+'[1]CF Dia V1'!$FH$31</f>
        <v>1507317626</v>
      </c>
      <c r="AK161" s="16"/>
    </row>
    <row r="162" spans="1:37" ht="15.75" customHeight="1" x14ac:dyDescent="0.25">
      <c r="A162" s="13">
        <v>46273</v>
      </c>
      <c r="B162" s="63">
        <v>1509</v>
      </c>
      <c r="C162" s="14"/>
      <c r="D162" s="14">
        <f>+'[1]CF Dia V1'!$FI$10</f>
        <v>415424000</v>
      </c>
      <c r="E162" s="14">
        <f>+'[1]CF Dia V1'!$FI$13</f>
        <v>164014000</v>
      </c>
      <c r="F162" s="14">
        <f>+'[1]CF Dia V1'!$FI$16</f>
        <v>4441000</v>
      </c>
      <c r="G162" s="14">
        <f>+'[1]CF Dia V1'!$FI$14</f>
        <v>4649000</v>
      </c>
      <c r="H162" s="14">
        <f>+'[1]CF Dia V1'!$FI$15</f>
        <v>12518000</v>
      </c>
      <c r="I162" s="14">
        <f>+'[1]CF Dia V1'!$FI$22</f>
        <v>1142598325</v>
      </c>
      <c r="J162" s="14">
        <f>+'[1]CF Dia V1'!$FI$43</f>
        <v>424319420</v>
      </c>
      <c r="K162" s="14"/>
      <c r="L162" s="14">
        <f>+'[1]CF Dia V1'!$FI$46</f>
        <v>19575338</v>
      </c>
      <c r="M162" s="14"/>
      <c r="N162" s="14"/>
      <c r="O162" s="14"/>
      <c r="P162" s="14">
        <f>+'[1]CF Dia V1'!$FI$50</f>
        <v>31902411</v>
      </c>
      <c r="Q162" s="14">
        <f>+'[1]CF Dia V1'!$FI$51</f>
        <v>156151989</v>
      </c>
      <c r="R162" s="14"/>
      <c r="S162" s="14"/>
      <c r="T162" s="14"/>
      <c r="U162" s="14">
        <f>+'[1]CF Dia V1'!$FI$59</f>
        <v>160000000</v>
      </c>
      <c r="V162" s="14"/>
      <c r="W162" s="14"/>
      <c r="X162" s="14">
        <f>+'[1]CF Dia V1'!$FI$100</f>
        <v>865293563</v>
      </c>
      <c r="Y162" s="14">
        <f>+'[1]CF Dia V1'!$FI$101</f>
        <v>11387545619</v>
      </c>
      <c r="Z162" s="14">
        <f t="shared" si="42"/>
        <v>179326122.93125013</v>
      </c>
      <c r="AA162" s="63">
        <f>+'[1]CF Dia V1'!$FI$102</f>
        <v>6960467958</v>
      </c>
      <c r="AB162" s="63">
        <f t="shared" ref="AB162:AB168" si="46">+AB161</f>
        <v>1745997.6</v>
      </c>
      <c r="AC162" s="63">
        <f t="shared" si="43"/>
        <v>17800000</v>
      </c>
      <c r="AD162" s="63">
        <f t="shared" si="45"/>
        <v>245288.76712328769</v>
      </c>
      <c r="AE162" s="63">
        <f t="shared" ref="AE162:AE168" si="47">+AE161</f>
        <v>325287.75547945208</v>
      </c>
      <c r="AF162" s="63">
        <f>+'[1]CF Dia V1'!$FI$97</f>
        <v>32336779.435999997</v>
      </c>
      <c r="AG162" s="63">
        <f t="shared" si="44"/>
        <v>5582721359</v>
      </c>
      <c r="AH162" s="14">
        <f>+'[1]CF Dia V1'!$FI$24+'[1]CF Dia V1'!$FI$25</f>
        <v>1311847641</v>
      </c>
      <c r="AI162" s="14">
        <f>+'[1]CF Dia V1'!$FI$29</f>
        <v>9314471508</v>
      </c>
      <c r="AJ162" s="14">
        <f>+'[1]CF Dia V1'!$FI$31</f>
        <v>607633370</v>
      </c>
      <c r="AK162" s="16"/>
    </row>
    <row r="163" spans="1:37" ht="15.75" customHeight="1" x14ac:dyDescent="0.25">
      <c r="A163" s="13">
        <v>46274</v>
      </c>
      <c r="B163" s="63">
        <v>1505.5</v>
      </c>
      <c r="C163" s="14"/>
      <c r="D163" s="14">
        <f>+'[1]CF Dia V1'!$FJ$10</f>
        <v>306408000</v>
      </c>
      <c r="E163" s="14">
        <f>+'[1]CF Dia V1'!$FJ$13</f>
        <v>83668000</v>
      </c>
      <c r="F163" s="14">
        <f>+'[1]CF Dia V1'!$FJ$16</f>
        <v>39458000</v>
      </c>
      <c r="G163" s="14">
        <f>+'[1]CF Dia V1'!$FJ$14</f>
        <v>7582000</v>
      </c>
      <c r="H163" s="14">
        <f>+'[1]CF Dia V1'!$FJ$15</f>
        <v>12518000</v>
      </c>
      <c r="I163" s="14">
        <f>+'[1]CF Dia V1'!$FJ$22</f>
        <v>896745000</v>
      </c>
      <c r="J163" s="14">
        <f>+'[1]CF Dia V1'!$FJ$43</f>
        <v>2939544</v>
      </c>
      <c r="K163" s="14"/>
      <c r="L163" s="14"/>
      <c r="M163" s="14"/>
      <c r="N163" s="14"/>
      <c r="O163" s="14"/>
      <c r="P163" s="14">
        <f>+'[1]CF Dia V1'!$FJ$50</f>
        <v>2227081286</v>
      </c>
      <c r="Q163" s="14">
        <f>+'[1]CF Dia V1'!$FJ$51</f>
        <v>257288219</v>
      </c>
      <c r="R163" s="14"/>
      <c r="S163" s="14"/>
      <c r="T163" s="14"/>
      <c r="U163" s="14"/>
      <c r="V163" s="14"/>
      <c r="W163" s="14"/>
      <c r="X163" s="14">
        <f>+'[1]CF Dia V1'!$FJ$100</f>
        <v>989741585</v>
      </c>
      <c r="Y163" s="14">
        <f>+'[1]CF Dia V1'!$FJ$101</f>
        <v>8774851720</v>
      </c>
      <c r="Z163" s="14">
        <f t="shared" ref="Z163:Z168" si="48">+Z162</f>
        <v>179326122.93125013</v>
      </c>
      <c r="AA163" s="63">
        <f>+'[1]CF Dia V1'!$FJ$102</f>
        <v>6796061384</v>
      </c>
      <c r="AB163" s="63">
        <f t="shared" si="46"/>
        <v>1745997.6</v>
      </c>
      <c r="AC163" s="63">
        <f t="shared" ref="AC163:AC168" si="49">+AC162</f>
        <v>17800000</v>
      </c>
      <c r="AD163" s="63">
        <f t="shared" si="45"/>
        <v>245288.76712328769</v>
      </c>
      <c r="AE163" s="63">
        <f t="shared" si="47"/>
        <v>325287.75547945208</v>
      </c>
      <c r="AF163" s="63">
        <f>+'[1]CF Dia V1'!$FJ$97</f>
        <v>33644452.497500002</v>
      </c>
      <c r="AG163" s="63">
        <f t="shared" ref="AG163:AG168" si="50">+AG162</f>
        <v>5582721359</v>
      </c>
      <c r="AH163" s="14">
        <f>+'[1]CF Dia V1'!$FJ$24+'[1]CF Dia V1'!$FJ$25</f>
        <v>5759189381.5</v>
      </c>
      <c r="AI163" s="14">
        <f>+'[1]CF Dia V1'!$FJ$29</f>
        <v>8877075365</v>
      </c>
      <c r="AJ163" s="14"/>
      <c r="AK163" s="16"/>
    </row>
    <row r="164" spans="1:37" ht="15.75" customHeight="1" x14ac:dyDescent="0.25">
      <c r="A164" s="13">
        <v>46275</v>
      </c>
      <c r="B164" s="63">
        <v>1513</v>
      </c>
      <c r="C164" s="14"/>
      <c r="D164" s="14">
        <f>+'[1]CF Dia V1'!$FK$10</f>
        <v>197414000</v>
      </c>
      <c r="E164" s="14">
        <f>+'[1]CF Dia V1'!$FK$13</f>
        <v>29553000</v>
      </c>
      <c r="F164" s="14">
        <f>+'[1]CF Dia V1'!$FK$16</f>
        <v>33460000</v>
      </c>
      <c r="G164" s="14">
        <f>+'[1]CF Dia V1'!$FK$14</f>
        <v>10200000</v>
      </c>
      <c r="H164" s="14">
        <f>+'[1]CF Dia V1'!$FK$15</f>
        <v>5230000</v>
      </c>
      <c r="I164" s="14">
        <f>+'[1]CF Dia V1'!$FK$22</f>
        <v>896745000</v>
      </c>
      <c r="J164" s="14">
        <f>+'[1]CF Dia V1'!$FK$43</f>
        <v>63214078</v>
      </c>
      <c r="K164" s="14"/>
      <c r="L164" s="14"/>
      <c r="M164" s="14"/>
      <c r="N164" s="14"/>
      <c r="O164" s="14"/>
      <c r="P164" s="14">
        <f>+'[1]CF Dia V1'!$FK$50</f>
        <v>159022936</v>
      </c>
      <c r="Q164" s="14">
        <f>+'[1]CF Dia V1'!$FK$51</f>
        <v>564628974</v>
      </c>
      <c r="R164" s="14"/>
      <c r="S164" s="14"/>
      <c r="T164" s="14"/>
      <c r="U164" s="14"/>
      <c r="V164" s="14"/>
      <c r="W164" s="14"/>
      <c r="X164" s="14">
        <f>+'[1]CF Dia V1'!$FK$100</f>
        <v>1451865442.78</v>
      </c>
      <c r="Y164" s="14">
        <f>+'[1]CF Dia V1'!$FK$101</f>
        <v>7581875038</v>
      </c>
      <c r="Z164" s="14">
        <f t="shared" si="48"/>
        <v>179326122.93125013</v>
      </c>
      <c r="AA164" s="63">
        <f>+'[1]CF Dia V1'!$FK$102</f>
        <v>7878950730</v>
      </c>
      <c r="AB164" s="63">
        <f t="shared" si="46"/>
        <v>1745997.6</v>
      </c>
      <c r="AC164" s="63">
        <f t="shared" si="49"/>
        <v>17800000</v>
      </c>
      <c r="AD164" s="63">
        <f t="shared" si="45"/>
        <v>245288.76712328769</v>
      </c>
      <c r="AE164" s="63">
        <f t="shared" si="47"/>
        <v>325287.75547945208</v>
      </c>
      <c r="AF164" s="63">
        <f>+'[1]CF Dia V1'!$FK$97</f>
        <v>30931429.434500001</v>
      </c>
      <c r="AG164" s="63">
        <f t="shared" si="50"/>
        <v>5582721359</v>
      </c>
      <c r="AH164" s="14">
        <f>+'[1]CF Dia V1'!$FK$24+'[1]CF Dia V1'!$FK$25</f>
        <v>3718071921</v>
      </c>
      <c r="AI164" s="14">
        <f>+'[1]CF Dia V1'!$FK$29</f>
        <v>9498361329</v>
      </c>
      <c r="AJ164" s="14"/>
      <c r="AK164" s="16"/>
    </row>
    <row r="165" spans="1:37" ht="15.75" customHeight="1" x14ac:dyDescent="0.25">
      <c r="A165" s="13">
        <v>46276</v>
      </c>
      <c r="B165" s="63">
        <f>+'[1]CF Dia V1'!$FL$2</f>
        <v>1509</v>
      </c>
      <c r="C165" s="14"/>
      <c r="D165" s="14">
        <f>+'[1]CF Dia V1'!$FL$10</f>
        <v>358410581</v>
      </c>
      <c r="E165" s="14">
        <f>+'[1]CF Dia V1'!$FL$13</f>
        <v>58387000</v>
      </c>
      <c r="F165" s="14">
        <f>+'[1]CF Dia V1'!$FL$16</f>
        <v>3800000</v>
      </c>
      <c r="G165" s="14">
        <f>+'[1]CF Dia V1'!$FL$14</f>
        <v>6513000</v>
      </c>
      <c r="H165" s="14">
        <f>+'[1]CF Dia V1'!$FL$15</f>
        <v>4141000</v>
      </c>
      <c r="I165" s="14">
        <f>+'[1]CF Dia V1'!$FL$22</f>
        <v>1107000000</v>
      </c>
      <c r="J165" s="14">
        <f>+'[1]CF Dia V1'!$FL$43</f>
        <v>121593571</v>
      </c>
      <c r="K165" s="14"/>
      <c r="L165" s="14">
        <f>+'[1]CF Dia V1'!$FL$46</f>
        <v>6074370</v>
      </c>
      <c r="M165" s="14"/>
      <c r="N165" s="14"/>
      <c r="O165" s="14"/>
      <c r="P165" s="14">
        <f>+'[1]CF Dia V1'!$FL$49</f>
        <v>2199600</v>
      </c>
      <c r="Q165" s="14">
        <f>+'[1]CF Dia V1'!$FL$51</f>
        <v>516948396</v>
      </c>
      <c r="R165" s="14"/>
      <c r="S165" s="14"/>
      <c r="T165" s="14"/>
      <c r="U165" s="14"/>
      <c r="V165" s="14"/>
      <c r="W165" s="14"/>
      <c r="X165" s="14">
        <f>+'[1]CF Dia V1'!$FL$100</f>
        <v>1852178279</v>
      </c>
      <c r="Y165" s="14">
        <f>+'[1]CF Dia V1'!$FL$101</f>
        <v>7471140512</v>
      </c>
      <c r="Z165" s="14">
        <f t="shared" si="48"/>
        <v>179326122.93125013</v>
      </c>
      <c r="AA165" s="63">
        <f>+'[1]CF Dia V1'!$FL$102</f>
        <v>7301555646</v>
      </c>
      <c r="AB165" s="63">
        <f t="shared" si="46"/>
        <v>1745997.6</v>
      </c>
      <c r="AC165" s="63">
        <f t="shared" si="49"/>
        <v>17800000</v>
      </c>
      <c r="AD165" s="63">
        <f t="shared" si="45"/>
        <v>245288.76712328769</v>
      </c>
      <c r="AE165" s="63">
        <f t="shared" si="47"/>
        <v>325287.75547945208</v>
      </c>
      <c r="AF165" s="63">
        <f>+'[1]CF Dia V1'!$FL$97</f>
        <v>31810521.982500002</v>
      </c>
      <c r="AG165" s="63">
        <f t="shared" si="50"/>
        <v>5582721359</v>
      </c>
      <c r="AH165" s="14">
        <f>+'[1]CF Dia V1'!$FL$24+'[1]CF Dia V1'!$FL$25</f>
        <v>3014877879</v>
      </c>
      <c r="AI165" s="14">
        <f>+'[1]CF Dia V1'!$FL$29</f>
        <v>9129388131</v>
      </c>
      <c r="AJ165" s="14"/>
      <c r="AK165" s="16"/>
    </row>
    <row r="166" spans="1:37" ht="15.75" customHeight="1" x14ac:dyDescent="0.25">
      <c r="A166" s="13">
        <v>46279</v>
      </c>
      <c r="B166" s="63">
        <v>1505</v>
      </c>
      <c r="C166" s="14"/>
      <c r="D166" s="14">
        <f>+'[1]CF Dia V1'!$FM$10</f>
        <v>257838877</v>
      </c>
      <c r="E166" s="14">
        <f>+'[1]CF Dia V1'!$FM$13</f>
        <v>64789000</v>
      </c>
      <c r="F166" s="14">
        <f>+'[1]CF Dia V1'!$FM$16</f>
        <v>3807000</v>
      </c>
      <c r="G166" s="14">
        <f>+'[1]CF Dia V1'!$FM$14</f>
        <v>6569000</v>
      </c>
      <c r="H166" s="14">
        <f>+'[1]CF Dia V1'!$FM$15</f>
        <v>3637000</v>
      </c>
      <c r="I166" s="14">
        <f>+'[1]CF Dia V1'!$FM$22</f>
        <v>1107165633</v>
      </c>
      <c r="J166" s="14">
        <f>+'[1]CF Dia V1'!$FM$43</f>
        <v>421929408</v>
      </c>
      <c r="K166" s="14"/>
      <c r="L166" s="14"/>
      <c r="M166" s="14"/>
      <c r="N166" s="14"/>
      <c r="O166" s="14"/>
      <c r="P166" s="14">
        <f>+'[1]CF Dia V1'!$FM$50</f>
        <v>11201980</v>
      </c>
      <c r="Q166" s="14">
        <f>+'[1]CF Dia V1'!$FM$51</f>
        <v>240753608</v>
      </c>
      <c r="R166" s="14"/>
      <c r="S166" s="14"/>
      <c r="T166" s="14"/>
      <c r="U166" s="14"/>
      <c r="V166" s="14"/>
      <c r="W166" s="14"/>
      <c r="X166" s="14">
        <f>+'[1]CF Dia V1'!$FM$100</f>
        <v>1779462460</v>
      </c>
      <c r="Y166" s="14">
        <f>+'[1]CF Dia V1'!$FM$101</f>
        <v>6505310688</v>
      </c>
      <c r="Z166" s="14">
        <f t="shared" si="48"/>
        <v>179326122.93125013</v>
      </c>
      <c r="AA166" s="63">
        <f>+'[1]CF Dia V1'!$FM$102</f>
        <v>7447795635</v>
      </c>
      <c r="AB166" s="63">
        <f t="shared" si="46"/>
        <v>1745997.6</v>
      </c>
      <c r="AC166" s="63">
        <f t="shared" si="49"/>
        <v>17800000</v>
      </c>
      <c r="AD166" s="63">
        <f t="shared" ref="AD166:AD174" si="51">+AD165</f>
        <v>245288.76712328769</v>
      </c>
      <c r="AE166" s="63">
        <f t="shared" si="47"/>
        <v>325287.75547945208</v>
      </c>
      <c r="AF166" s="63">
        <f>+'[1]CF Dia V1'!$FM$97</f>
        <v>32543316.3825</v>
      </c>
      <c r="AG166" s="63">
        <f t="shared" si="50"/>
        <v>5582721359</v>
      </c>
      <c r="AH166" s="14">
        <f>+'[1]CF Dia V1'!$FM$24+'[1]CF Dia V1'!$FM$25</f>
        <v>2414214000</v>
      </c>
      <c r="AI166" s="14">
        <f>+'[1]CF Dia V1'!$FM$29</f>
        <v>9117288213</v>
      </c>
      <c r="AJ166" s="14"/>
      <c r="AK166" s="16"/>
    </row>
    <row r="167" spans="1:37" ht="15.75" customHeight="1" x14ac:dyDescent="0.25">
      <c r="A167" s="13">
        <v>46296</v>
      </c>
      <c r="B167" s="63">
        <v>1514</v>
      </c>
      <c r="C167" s="14"/>
      <c r="D167" s="14">
        <v>382663029</v>
      </c>
      <c r="E167" s="14">
        <v>2304000</v>
      </c>
      <c r="F167" s="14">
        <v>189000</v>
      </c>
      <c r="G167" s="14">
        <v>33089000</v>
      </c>
      <c r="H167" s="14">
        <v>1251000</v>
      </c>
      <c r="I167" s="14">
        <v>1319764000</v>
      </c>
      <c r="J167" s="14">
        <v>458410000</v>
      </c>
      <c r="K167" s="14"/>
      <c r="L167" s="14"/>
      <c r="M167" s="14"/>
      <c r="N167" s="14"/>
      <c r="O167" s="14"/>
      <c r="P167" s="14">
        <v>0</v>
      </c>
      <c r="Q167" s="14">
        <v>58600000</v>
      </c>
      <c r="R167" s="14"/>
      <c r="S167" s="14"/>
      <c r="T167" s="14"/>
      <c r="U167" s="14">
        <v>100000000</v>
      </c>
      <c r="V167" s="14"/>
      <c r="W167" s="14"/>
      <c r="X167" s="14">
        <v>1762654040</v>
      </c>
      <c r="Y167" s="14">
        <v>7190495192</v>
      </c>
      <c r="Z167" s="14">
        <f t="shared" si="48"/>
        <v>179326122.93125013</v>
      </c>
      <c r="AA167" s="63">
        <v>5377945521</v>
      </c>
      <c r="AB167" s="63">
        <f t="shared" si="46"/>
        <v>1745997.6</v>
      </c>
      <c r="AC167" s="63">
        <f t="shared" si="49"/>
        <v>17800000</v>
      </c>
      <c r="AD167" s="63">
        <f t="shared" si="51"/>
        <v>245288.76712328769</v>
      </c>
      <c r="AE167" s="63">
        <f t="shared" si="47"/>
        <v>325287.75547945208</v>
      </c>
      <c r="AF167" s="63">
        <f>+'[1]CF Dia V1'!$FS$97</f>
        <v>20019979.761999998</v>
      </c>
      <c r="AG167" s="63">
        <f t="shared" si="50"/>
        <v>5582721359</v>
      </c>
      <c r="AH167" s="14">
        <f>+'[1]CF Dia V1'!$FS$24+'[1]CF Dia V1'!$FS$25</f>
        <v>2433844326</v>
      </c>
      <c r="AI167" s="14">
        <f>+'[1]CF Dia V1'!$FS$29</f>
        <v>15720346480</v>
      </c>
      <c r="AJ167" s="14"/>
      <c r="AK167" s="16"/>
    </row>
    <row r="168" spans="1:37" ht="15.75" customHeight="1" x14ac:dyDescent="0.25">
      <c r="A168" s="13">
        <v>46297</v>
      </c>
      <c r="B168" s="63">
        <v>1521</v>
      </c>
      <c r="C168" s="14"/>
      <c r="D168" s="14">
        <v>453263709</v>
      </c>
      <c r="E168" s="14">
        <v>84597000</v>
      </c>
      <c r="F168" s="14">
        <v>4366000</v>
      </c>
      <c r="G168" s="14">
        <v>12489000</v>
      </c>
      <c r="H168" s="14">
        <v>1251000</v>
      </c>
      <c r="I168" s="14">
        <v>1027798000</v>
      </c>
      <c r="J168" s="14">
        <v>478806931</v>
      </c>
      <c r="K168" s="14"/>
      <c r="L168" s="14"/>
      <c r="M168" s="14"/>
      <c r="N168" s="14"/>
      <c r="O168" s="14"/>
      <c r="P168" s="14">
        <v>7666512</v>
      </c>
      <c r="Q168" s="14">
        <v>3500000</v>
      </c>
      <c r="R168" s="14"/>
      <c r="S168" s="14"/>
      <c r="T168" s="14"/>
      <c r="U168" s="14"/>
      <c r="V168" s="14"/>
      <c r="W168" s="14"/>
      <c r="X168" s="14">
        <v>1503400000</v>
      </c>
      <c r="Y168" s="14">
        <v>7079921684</v>
      </c>
      <c r="Z168" s="14">
        <f t="shared" si="48"/>
        <v>179326122.93125013</v>
      </c>
      <c r="AA168" s="63">
        <v>5279874156</v>
      </c>
      <c r="AB168" s="63">
        <f t="shared" si="46"/>
        <v>1745997.6</v>
      </c>
      <c r="AC168" s="63">
        <f t="shared" si="49"/>
        <v>17800000</v>
      </c>
      <c r="AD168" s="63">
        <f t="shared" si="51"/>
        <v>245288.76712328769</v>
      </c>
      <c r="AE168" s="63">
        <f t="shared" si="47"/>
        <v>325287.75547945208</v>
      </c>
      <c r="AF168" s="63">
        <f>+'[1]CF Dia V1'!$FT$97</f>
        <v>20145675.958000001</v>
      </c>
      <c r="AG168" s="63">
        <f t="shared" si="50"/>
        <v>5582721359</v>
      </c>
      <c r="AH168" s="14">
        <f>+'[1]CF Dia V1'!$FT$24+'[1]CF Dia V1'!$FT$25</f>
        <v>2445098760</v>
      </c>
      <c r="AI168" s="14">
        <f>+'[1]CF Dia V1'!$FT$29</f>
        <v>15756099840</v>
      </c>
      <c r="AJ168" s="14"/>
      <c r="AK168" s="16"/>
    </row>
    <row r="169" spans="1:37" ht="15.75" customHeight="1" x14ac:dyDescent="0.25">
      <c r="A169" s="13">
        <v>46300</v>
      </c>
      <c r="B169" s="63">
        <v>1520</v>
      </c>
      <c r="C169" s="14"/>
      <c r="D169" s="14">
        <f>+'[1]CF Dia V1'!$FU$10</f>
        <v>424267959</v>
      </c>
      <c r="E169" s="14">
        <f>+'[1]CF Dia V1'!$FU$13</f>
        <v>84597000</v>
      </c>
      <c r="F169" s="14">
        <f>+'[1]CF Dia V1'!$FU$16</f>
        <v>5305000</v>
      </c>
      <c r="G169" s="14">
        <f>+'[1]CF Dia V1'!$FU$14</f>
        <v>12270000</v>
      </c>
      <c r="H169" s="14">
        <f>+'[1]CF Dia V1'!$FU$15</f>
        <v>1251000</v>
      </c>
      <c r="I169" s="14">
        <f>+'[1]CF Dia V1'!$FU$22</f>
        <v>1325977000</v>
      </c>
      <c r="J169" s="14">
        <f>+'[1]CF Dia V1'!$FU$43</f>
        <v>400324888</v>
      </c>
      <c r="K169" s="14"/>
      <c r="L169" s="14"/>
      <c r="M169" s="14"/>
      <c r="N169" s="14"/>
      <c r="O169" s="14"/>
      <c r="P169" s="14">
        <f>+'[1]CF Dia V1'!$FU$50</f>
        <v>100748053</v>
      </c>
      <c r="Q169" s="14">
        <f>+'[1]CF Dia V1'!$FU$51</f>
        <v>146353825</v>
      </c>
      <c r="R169" s="14"/>
      <c r="S169" s="14"/>
      <c r="T169" s="14"/>
      <c r="U169" s="14"/>
      <c r="V169" s="14">
        <f>+'[1]CF Dia V1'!$FU$73</f>
        <v>131116450</v>
      </c>
      <c r="W169" s="14"/>
      <c r="X169" s="14">
        <f>+'[1]CF Dia V1'!$FU$100</f>
        <v>1139790764.1199999</v>
      </c>
      <c r="Y169" s="14">
        <f>+'[1]CF Dia V1'!$FU$101</f>
        <v>6949854020</v>
      </c>
      <c r="Z169" s="14">
        <f t="shared" ref="Z169:Z174" si="52">+Z168</f>
        <v>179326122.93125013</v>
      </c>
      <c r="AA169" s="63">
        <f>+'[1]CF Dia V1'!$FU$102</f>
        <v>5456915233</v>
      </c>
      <c r="AB169" s="63">
        <f t="shared" ref="AB169:AC174" si="53">+AB168</f>
        <v>1745997.6</v>
      </c>
      <c r="AC169" s="63">
        <f t="shared" si="53"/>
        <v>17800000</v>
      </c>
      <c r="AD169" s="63">
        <f t="shared" si="51"/>
        <v>245288.76712328769</v>
      </c>
      <c r="AE169" s="63">
        <f t="shared" ref="AE169:AE174" si="54">+AE168</f>
        <v>325287.75547945208</v>
      </c>
      <c r="AF169" s="63">
        <f>+'[1]CF Dia V1'!$FU$97</f>
        <v>18320136.857999999</v>
      </c>
      <c r="AG169" s="63">
        <f t="shared" ref="AG169:AG174" si="55">+AG168</f>
        <v>5582721359</v>
      </c>
      <c r="AH169" s="14">
        <f>+'[1]CF Dia V1'!$FU$24+'[1]CF Dia V1'!$FU$25</f>
        <v>2289509120</v>
      </c>
      <c r="AI169" s="14">
        <f>+'[1]CF Dia V1'!$FU$29</f>
        <v>16813510400</v>
      </c>
      <c r="AJ169" s="14"/>
      <c r="AK169" s="16"/>
    </row>
    <row r="170" spans="1:37" ht="15.75" customHeight="1" x14ac:dyDescent="0.25">
      <c r="A170" s="13">
        <f>+A169+1</f>
        <v>46301</v>
      </c>
      <c r="B170" s="63">
        <v>1515.5</v>
      </c>
      <c r="C170" s="14"/>
      <c r="D170" s="14">
        <v>500074013</v>
      </c>
      <c r="E170" s="14">
        <v>15027000</v>
      </c>
      <c r="F170" s="14">
        <v>5305000</v>
      </c>
      <c r="G170" s="14">
        <v>31178000</v>
      </c>
      <c r="H170" s="14">
        <v>748000</v>
      </c>
      <c r="I170" s="14">
        <v>1312927000</v>
      </c>
      <c r="J170" s="14">
        <v>55927147</v>
      </c>
      <c r="K170" s="14"/>
      <c r="L170" s="14"/>
      <c r="M170" s="14"/>
      <c r="N170" s="14"/>
      <c r="O170" s="14"/>
      <c r="P170" s="14">
        <v>50469898</v>
      </c>
      <c r="Q170" s="14">
        <v>471943552</v>
      </c>
      <c r="R170" s="14"/>
      <c r="S170" s="14"/>
      <c r="T170" s="14"/>
      <c r="U170" s="14"/>
      <c r="V170" s="14"/>
      <c r="W170" s="14"/>
      <c r="X170" s="14">
        <v>1152089528</v>
      </c>
      <c r="Y170" s="14">
        <v>6264887034</v>
      </c>
      <c r="Z170" s="14">
        <f t="shared" si="52"/>
        <v>179326122.93125013</v>
      </c>
      <c r="AA170" s="63">
        <v>5764029700</v>
      </c>
      <c r="AB170" s="63">
        <f t="shared" si="53"/>
        <v>1745997.6</v>
      </c>
      <c r="AC170" s="63">
        <f t="shared" si="53"/>
        <v>17800000</v>
      </c>
      <c r="AD170" s="63">
        <f t="shared" si="51"/>
        <v>245288.76712328769</v>
      </c>
      <c r="AE170" s="63">
        <f t="shared" si="54"/>
        <v>325287.75547945208</v>
      </c>
      <c r="AF170" s="63">
        <v>18055632.261</v>
      </c>
      <c r="AG170" s="63">
        <f t="shared" si="55"/>
        <v>5582721359</v>
      </c>
      <c r="AH170" s="14">
        <f>+'[1]CF Dia V1'!$FV$24+'[1]CF Dia V1'!$FV$25</f>
        <v>3989634071.5</v>
      </c>
      <c r="AI170" s="14">
        <f>+'[1]CF Dia V1'!$FV$29</f>
        <v>15781697137.5</v>
      </c>
      <c r="AJ170" s="14"/>
      <c r="AK170" s="16"/>
    </row>
    <row r="171" spans="1:37" ht="15.75" customHeight="1" x14ac:dyDescent="0.25">
      <c r="A171" s="13">
        <f>+A170+1</f>
        <v>46302</v>
      </c>
      <c r="B171" s="63">
        <v>1518</v>
      </c>
      <c r="C171" s="14"/>
      <c r="D171" s="14">
        <v>478863879</v>
      </c>
      <c r="E171" s="14">
        <v>62612000</v>
      </c>
      <c r="F171" s="14">
        <v>5305000</v>
      </c>
      <c r="G171" s="14">
        <v>27178000</v>
      </c>
      <c r="H171" s="14">
        <v>1724000</v>
      </c>
      <c r="I171" s="14">
        <v>1258414000</v>
      </c>
      <c r="J171" s="14">
        <v>442232576</v>
      </c>
      <c r="K171" s="14"/>
      <c r="L171" s="14">
        <v>7809210</v>
      </c>
      <c r="M171" s="14"/>
      <c r="N171" s="14"/>
      <c r="O171" s="14"/>
      <c r="P171" s="14">
        <v>0</v>
      </c>
      <c r="Q171" s="14">
        <v>0</v>
      </c>
      <c r="R171" s="14"/>
      <c r="S171" s="14"/>
      <c r="T171" s="14"/>
      <c r="U171" s="14"/>
      <c r="V171" s="14"/>
      <c r="W171" s="14"/>
      <c r="X171" s="14">
        <v>1510638274</v>
      </c>
      <c r="Y171" s="14">
        <v>6665822260</v>
      </c>
      <c r="Z171" s="14">
        <f t="shared" si="52"/>
        <v>179326122.93125013</v>
      </c>
      <c r="AA171" s="63">
        <v>5098108219</v>
      </c>
      <c r="AB171" s="63">
        <f t="shared" si="53"/>
        <v>1745997.6</v>
      </c>
      <c r="AC171" s="63">
        <f t="shared" si="53"/>
        <v>17800000</v>
      </c>
      <c r="AD171" s="63">
        <f t="shared" si="51"/>
        <v>245288.76712328769</v>
      </c>
      <c r="AE171" s="63">
        <f t="shared" si="54"/>
        <v>325287.75547945208</v>
      </c>
      <c r="AF171" s="63">
        <v>18240358.517000001</v>
      </c>
      <c r="AG171" s="63">
        <f t="shared" si="55"/>
        <v>5582721359</v>
      </c>
      <c r="AH171" s="14">
        <f>+'[1]CF Dia V1'!$FW$24+'[1]CF Dia V1'!$FW$25</f>
        <v>3617545800</v>
      </c>
      <c r="AI171" s="14">
        <f>+'[1]CF Dia V1'!$FW$29</f>
        <v>15326361006</v>
      </c>
      <c r="AJ171" s="14"/>
      <c r="AK171" s="16"/>
    </row>
    <row r="172" spans="1:37" ht="15.75" customHeight="1" x14ac:dyDescent="0.25">
      <c r="A172" s="13">
        <f>+A171+1</f>
        <v>46303</v>
      </c>
      <c r="B172" s="63">
        <v>1518.5</v>
      </c>
      <c r="C172" s="14"/>
      <c r="D172" s="14">
        <v>340217000</v>
      </c>
      <c r="E172" s="14">
        <v>147465000</v>
      </c>
      <c r="F172" s="14">
        <v>33194000</v>
      </c>
      <c r="G172" s="14">
        <v>15430000</v>
      </c>
      <c r="H172" s="14">
        <v>1724000</v>
      </c>
      <c r="I172" s="14">
        <v>1429682000</v>
      </c>
      <c r="J172" s="14">
        <v>360457806</v>
      </c>
      <c r="K172" s="14"/>
      <c r="L172" s="14"/>
      <c r="M172" s="14"/>
      <c r="N172" s="14"/>
      <c r="O172" s="14"/>
      <c r="P172" s="14">
        <v>59527807</v>
      </c>
      <c r="Q172" s="14">
        <v>86750000</v>
      </c>
      <c r="R172" s="14"/>
      <c r="S172" s="14"/>
      <c r="T172" s="14"/>
      <c r="U172" s="14">
        <v>165000000</v>
      </c>
      <c r="V172" s="14"/>
      <c r="W172" s="14"/>
      <c r="X172" s="14">
        <v>1531710486</v>
      </c>
      <c r="Y172" s="14">
        <v>6782907549</v>
      </c>
      <c r="Z172" s="14">
        <f t="shared" si="52"/>
        <v>179326122.93125013</v>
      </c>
      <c r="AA172" s="63">
        <v>4968994036</v>
      </c>
      <c r="AB172" s="63">
        <f t="shared" si="53"/>
        <v>1745997.6</v>
      </c>
      <c r="AC172" s="63">
        <f t="shared" si="53"/>
        <v>17800000</v>
      </c>
      <c r="AD172" s="63">
        <f t="shared" si="51"/>
        <v>245288.76712328769</v>
      </c>
      <c r="AE172" s="63">
        <f t="shared" si="54"/>
        <v>325287.75547945208</v>
      </c>
      <c r="AF172" s="63">
        <v>18110456.116999999</v>
      </c>
      <c r="AG172" s="63">
        <f t="shared" si="55"/>
        <v>5582721359</v>
      </c>
      <c r="AH172" s="14">
        <f>+'[1]CF Dia V1'!$FX$24+'[1]CF Dia V1'!$FX$25</f>
        <v>3507326523.5</v>
      </c>
      <c r="AI172" s="14">
        <f>+'[1]CF Dia V1'!$FX$29</f>
        <v>15721030500</v>
      </c>
      <c r="AJ172" s="14"/>
      <c r="AK172" s="16"/>
    </row>
    <row r="173" spans="1:37" ht="15.75" customHeight="1" x14ac:dyDescent="0.25">
      <c r="A173" s="13">
        <f>+A172+1</f>
        <v>46304</v>
      </c>
      <c r="B173" s="63">
        <v>1515</v>
      </c>
      <c r="C173" s="14"/>
      <c r="D173" s="14">
        <v>452730154</v>
      </c>
      <c r="E173" s="14">
        <v>42531000</v>
      </c>
      <c r="F173" s="14">
        <v>30830000</v>
      </c>
      <c r="G173" s="14">
        <v>15011000</v>
      </c>
      <c r="H173" s="14">
        <v>1721000</v>
      </c>
      <c r="I173" s="14">
        <v>1206229000</v>
      </c>
      <c r="J173" s="14">
        <v>46350291</v>
      </c>
      <c r="K173" s="14"/>
      <c r="L173" s="14"/>
      <c r="M173" s="14"/>
      <c r="N173" s="14"/>
      <c r="O173" s="14"/>
      <c r="P173" s="14">
        <v>1251871918</v>
      </c>
      <c r="Q173" s="14">
        <v>9434748</v>
      </c>
      <c r="R173" s="14"/>
      <c r="S173" s="14"/>
      <c r="T173" s="14"/>
      <c r="U173" s="14"/>
      <c r="V173" s="14"/>
      <c r="W173" s="14"/>
      <c r="X173" s="14">
        <v>1481240897</v>
      </c>
      <c r="Y173" s="14">
        <v>5666631031</v>
      </c>
      <c r="Z173" s="14">
        <f t="shared" si="52"/>
        <v>179326122.93125013</v>
      </c>
      <c r="AA173" s="63">
        <v>5008781104</v>
      </c>
      <c r="AB173" s="63">
        <f t="shared" si="53"/>
        <v>1745997.6</v>
      </c>
      <c r="AC173" s="63">
        <f t="shared" si="53"/>
        <v>17800000</v>
      </c>
      <c r="AD173" s="63">
        <f t="shared" si="51"/>
        <v>245288.76712328769</v>
      </c>
      <c r="AE173" s="63">
        <f t="shared" si="54"/>
        <v>325287.75547945208</v>
      </c>
      <c r="AF173" s="63">
        <v>18402837.916999999</v>
      </c>
      <c r="AG173" s="63">
        <f t="shared" si="55"/>
        <v>5582721359</v>
      </c>
      <c r="AH173" s="14">
        <f>+'[1]CF Dia V1'!$FY$24+'[1]CF Dia V1'!$FY$25</f>
        <v>3578725425</v>
      </c>
      <c r="AI173" s="14">
        <f>+'[1]CF Dia V1'!$FY$29</f>
        <v>15286824195</v>
      </c>
      <c r="AJ173" s="14"/>
      <c r="AK173" s="16"/>
    </row>
    <row r="174" spans="1:37" ht="15.75" customHeight="1" x14ac:dyDescent="0.25">
      <c r="A174" s="13">
        <v>46308</v>
      </c>
      <c r="B174" s="63">
        <v>1512.5</v>
      </c>
      <c r="C174" s="14"/>
      <c r="D174" s="14">
        <v>295560649</v>
      </c>
      <c r="E174" s="14">
        <v>6705000</v>
      </c>
      <c r="F174" s="14">
        <v>58371000</v>
      </c>
      <c r="G174" s="14">
        <v>109000</v>
      </c>
      <c r="H174" s="14">
        <v>1486000</v>
      </c>
      <c r="I174" s="14">
        <v>1301599000</v>
      </c>
      <c r="J174" s="14">
        <v>217450706</v>
      </c>
      <c r="K174" s="14"/>
      <c r="L174" s="14"/>
      <c r="M174" s="14"/>
      <c r="N174" s="14"/>
      <c r="O174" s="14"/>
      <c r="P174" s="14">
        <v>98091029</v>
      </c>
      <c r="Q174" s="14">
        <v>312350131</v>
      </c>
      <c r="R174" s="14"/>
      <c r="S174" s="14"/>
      <c r="T174" s="14"/>
      <c r="U174" s="14"/>
      <c r="V174" s="14"/>
      <c r="W174" s="14"/>
      <c r="X174" s="14">
        <v>1373080000</v>
      </c>
      <c r="Y174" s="14">
        <v>5260488633</v>
      </c>
      <c r="Z174" s="14">
        <f t="shared" si="52"/>
        <v>179326122.93125013</v>
      </c>
      <c r="AA174" s="63">
        <v>5192997629</v>
      </c>
      <c r="AB174" s="63">
        <f t="shared" si="53"/>
        <v>1745997.6</v>
      </c>
      <c r="AC174" s="63">
        <f t="shared" si="53"/>
        <v>17800000</v>
      </c>
      <c r="AD174" s="63">
        <f t="shared" si="51"/>
        <v>245288.76712328769</v>
      </c>
      <c r="AE174" s="63">
        <f t="shared" si="54"/>
        <v>325287.75547945208</v>
      </c>
      <c r="AF174" s="63">
        <v>18113616.579</v>
      </c>
      <c r="AG174" s="63">
        <f t="shared" si="55"/>
        <v>5582721359</v>
      </c>
      <c r="AH174" s="14">
        <f>+'[1]CF Dia V1'!$FZ$24+'[1]CF Dia V1'!$FZ$25</f>
        <v>2426500725</v>
      </c>
      <c r="AI174" s="14">
        <f>+'[1]CF Dia V1'!$FZ$29</f>
        <v>15497787387.5</v>
      </c>
      <c r="AJ174" s="14"/>
      <c r="AK174" s="16"/>
    </row>
    <row r="175" spans="1:37" ht="15.75" customHeight="1" x14ac:dyDescent="0.25">
      <c r="A175" s="13">
        <v>46309</v>
      </c>
      <c r="B175" s="63">
        <v>1512.5</v>
      </c>
      <c r="C175" s="14"/>
      <c r="D175" s="14">
        <v>800000000</v>
      </c>
      <c r="E175" s="14">
        <v>255778000</v>
      </c>
      <c r="F175" s="14">
        <v>8028000</v>
      </c>
      <c r="G175" s="14">
        <v>42667000</v>
      </c>
      <c r="H175" s="14">
        <v>2343000</v>
      </c>
      <c r="I175" s="14">
        <v>771590000</v>
      </c>
      <c r="J175" s="14">
        <v>459934993</v>
      </c>
      <c r="K175" s="14"/>
      <c r="L175" s="14"/>
      <c r="M175" s="14"/>
      <c r="N175" s="14"/>
      <c r="O175" s="14"/>
      <c r="P175" s="14">
        <v>57124570</v>
      </c>
      <c r="Q175" s="14">
        <v>89961084</v>
      </c>
      <c r="R175" s="14"/>
      <c r="S175" s="14"/>
      <c r="T175" s="14"/>
      <c r="U175" s="14"/>
      <c r="V175" s="14"/>
      <c r="W175" s="14"/>
      <c r="X175" s="14">
        <v>2044776652</v>
      </c>
      <c r="Y175" s="14">
        <v>5411365576</v>
      </c>
      <c r="Z175" s="14">
        <f t="shared" ref="Z175:Z180" si="56">+Z174</f>
        <v>179326122.93125013</v>
      </c>
      <c r="AA175" s="63">
        <v>6184142577</v>
      </c>
      <c r="AB175" s="63">
        <v>1374034.35</v>
      </c>
      <c r="AC175" s="63">
        <f t="shared" ref="AC175:AE178" si="57">+AC174</f>
        <v>17800000</v>
      </c>
      <c r="AD175" s="63">
        <f t="shared" si="57"/>
        <v>245288.76712328769</v>
      </c>
      <c r="AE175" s="63">
        <f t="shared" si="57"/>
        <v>325287.75547945208</v>
      </c>
      <c r="AF175" s="63">
        <f>+'[1]CF Dia V1'!$GA$97</f>
        <v>17389013.649</v>
      </c>
      <c r="AG175" s="63">
        <f t="shared" ref="AG175:AG180" si="58">+AG174</f>
        <v>5582721359</v>
      </c>
      <c r="AH175" s="14">
        <f>+'[1]CF Dia V1'!$GA$24+'[1]CF Dia V1'!$GA$25</f>
        <v>2311493250</v>
      </c>
      <c r="AI175" s="14">
        <f>+'[1]CF Dia V1'!$GA$29</f>
        <v>14949550000</v>
      </c>
      <c r="AJ175" s="14"/>
      <c r="AK175" s="16"/>
    </row>
    <row r="176" spans="1:37" ht="15.75" customHeight="1" x14ac:dyDescent="0.25">
      <c r="A176" s="13">
        <v>46310</v>
      </c>
      <c r="B176" s="63">
        <v>1512</v>
      </c>
      <c r="C176" s="14"/>
      <c r="D176" s="14">
        <v>788932000</v>
      </c>
      <c r="E176" s="14">
        <v>11315000</v>
      </c>
      <c r="F176" s="14">
        <v>70090000</v>
      </c>
      <c r="G176" s="14">
        <v>39861000</v>
      </c>
      <c r="H176" s="14">
        <v>2343000</v>
      </c>
      <c r="I176" s="14">
        <v>1066418000</v>
      </c>
      <c r="J176" s="14">
        <v>510470820</v>
      </c>
      <c r="K176" s="14"/>
      <c r="L176" s="14"/>
      <c r="M176" s="14"/>
      <c r="N176" s="14"/>
      <c r="O176" s="14"/>
      <c r="P176" s="14">
        <v>164313430</v>
      </c>
      <c r="Q176" s="14">
        <v>348213687</v>
      </c>
      <c r="R176" s="14"/>
      <c r="S176" s="14"/>
      <c r="T176" s="14"/>
      <c r="U176" s="14"/>
      <c r="V176" s="14"/>
      <c r="W176" s="14"/>
      <c r="X176" s="14">
        <v>1810854000</v>
      </c>
      <c r="Y176" s="14">
        <v>4190000000</v>
      </c>
      <c r="Z176" s="14">
        <f t="shared" si="56"/>
        <v>179326122.93125013</v>
      </c>
      <c r="AA176" s="63">
        <v>6180350000</v>
      </c>
      <c r="AB176" s="63">
        <v>1374034.35</v>
      </c>
      <c r="AC176" s="63">
        <f t="shared" si="57"/>
        <v>17800000</v>
      </c>
      <c r="AD176" s="63">
        <f t="shared" si="57"/>
        <v>245288.76712328769</v>
      </c>
      <c r="AE176" s="63">
        <f t="shared" si="57"/>
        <v>325287.75547945208</v>
      </c>
      <c r="AF176" s="63">
        <f>+'[1]CF Dia V1'!$GB$97</f>
        <v>17298912.278999999</v>
      </c>
      <c r="AG176" s="63">
        <f t="shared" si="58"/>
        <v>5582721359</v>
      </c>
      <c r="AH176" s="14">
        <f>+'[1]CF Dia V1'!$GB$24+'[1]CF Dia V1'!$GB$25</f>
        <v>1912869000</v>
      </c>
      <c r="AI176" s="14">
        <f>+'[1]CF Dia V1'!$GB$29</f>
        <v>14943478536</v>
      </c>
      <c r="AJ176" s="14"/>
      <c r="AK176" s="16"/>
    </row>
    <row r="177" spans="1:37" ht="15.75" customHeight="1" x14ac:dyDescent="0.25">
      <c r="A177" s="13">
        <v>46311</v>
      </c>
      <c r="B177" s="63">
        <v>1510.5</v>
      </c>
      <c r="C177" s="14"/>
      <c r="D177" s="14">
        <v>788932000</v>
      </c>
      <c r="E177" s="14">
        <v>35362000</v>
      </c>
      <c r="F177" s="14">
        <v>1016000</v>
      </c>
      <c r="G177" s="14">
        <v>11730000</v>
      </c>
      <c r="H177" s="14">
        <v>404000</v>
      </c>
      <c r="I177" s="14">
        <v>1377121000</v>
      </c>
      <c r="J177" s="14">
        <v>244100763</v>
      </c>
      <c r="K177" s="14"/>
      <c r="L177" s="14"/>
      <c r="M177" s="14"/>
      <c r="N177" s="14"/>
      <c r="O177" s="14"/>
      <c r="P177" s="14">
        <v>0</v>
      </c>
      <c r="Q177" s="14">
        <v>249605382</v>
      </c>
      <c r="R177" s="14"/>
      <c r="S177" s="14"/>
      <c r="T177" s="14"/>
      <c r="U177" s="14"/>
      <c r="V177" s="14"/>
      <c r="W177" s="14"/>
      <c r="X177" s="14">
        <v>1558257000</v>
      </c>
      <c r="Y177" s="14">
        <v>4023136000</v>
      </c>
      <c r="Z177" s="14">
        <f t="shared" si="56"/>
        <v>179326122.93125013</v>
      </c>
      <c r="AA177" s="63">
        <v>6180350000</v>
      </c>
      <c r="AB177" s="63">
        <v>1374034.35</v>
      </c>
      <c r="AC177" s="63">
        <f t="shared" si="57"/>
        <v>17800000</v>
      </c>
      <c r="AD177" s="63">
        <f t="shared" si="57"/>
        <v>245288.76712328769</v>
      </c>
      <c r="AE177" s="63">
        <f t="shared" si="57"/>
        <v>325287.75547945208</v>
      </c>
      <c r="AF177" s="63">
        <f>+'[1]CF Dia V1'!$GC$97</f>
        <v>16712000.329</v>
      </c>
      <c r="AG177" s="63">
        <f t="shared" si="58"/>
        <v>5582721359</v>
      </c>
      <c r="AH177" s="14">
        <f>+'[1]CF Dia V1'!$GC$24+'[1]CF Dia V1'!$GC$25</f>
        <v>853233114</v>
      </c>
      <c r="AI177" s="14">
        <f>+'[1]CF Dia V1'!$GC$29</f>
        <v>14928271500</v>
      </c>
      <c r="AJ177" s="14"/>
      <c r="AK177" s="16"/>
    </row>
    <row r="178" spans="1:37" ht="15.75" customHeight="1" x14ac:dyDescent="0.25">
      <c r="A178" s="13">
        <v>46314</v>
      </c>
      <c r="B178" s="63">
        <v>1510</v>
      </c>
      <c r="C178" s="14"/>
      <c r="D178" s="14">
        <v>1092601000</v>
      </c>
      <c r="E178" s="14">
        <v>131311000</v>
      </c>
      <c r="F178" s="14">
        <v>37764000</v>
      </c>
      <c r="G178" s="14">
        <v>41643000</v>
      </c>
      <c r="H178" s="14">
        <v>404000</v>
      </c>
      <c r="I178" s="14">
        <v>1602754000</v>
      </c>
      <c r="J178" s="14">
        <v>286865278</v>
      </c>
      <c r="K178" s="14"/>
      <c r="L178" s="14"/>
      <c r="M178" s="14"/>
      <c r="N178" s="14"/>
      <c r="O178" s="14"/>
      <c r="P178" s="14">
        <v>212997662</v>
      </c>
      <c r="Q178" s="14">
        <v>6281802</v>
      </c>
      <c r="R178" s="14"/>
      <c r="S178" s="14"/>
      <c r="T178" s="14"/>
      <c r="U178" s="14"/>
      <c r="V178" s="14"/>
      <c r="W178" s="14"/>
      <c r="X178" s="14">
        <v>1078384000</v>
      </c>
      <c r="Y178" s="14">
        <v>3810138000</v>
      </c>
      <c r="Z178" s="14">
        <f t="shared" si="56"/>
        <v>179326122.93125013</v>
      </c>
      <c r="AA178" s="63">
        <v>6184142757</v>
      </c>
      <c r="AB178" s="63">
        <v>1374034.35</v>
      </c>
      <c r="AC178" s="63">
        <f t="shared" si="57"/>
        <v>17800000</v>
      </c>
      <c r="AD178" s="63">
        <f t="shared" si="57"/>
        <v>245288.76712328769</v>
      </c>
      <c r="AE178" s="63">
        <f t="shared" si="57"/>
        <v>325287.75547945208</v>
      </c>
      <c r="AF178" s="63">
        <f>+'[1]CF Dia V1'!$GD$97</f>
        <v>15603011.429000001</v>
      </c>
      <c r="AG178" s="63">
        <f t="shared" si="58"/>
        <v>5582721359</v>
      </c>
      <c r="AH178" s="14">
        <f>+'[1]CF Dia V1'!$GD$24+'[1]CF Dia V1'!$GD$25</f>
        <v>1361902220</v>
      </c>
      <c r="AI178" s="14">
        <f>+'[1]CF Dia V1'!$GD$29</f>
        <v>13933978000</v>
      </c>
      <c r="AJ178" s="14"/>
      <c r="AK178" s="16"/>
    </row>
    <row r="179" spans="1:37" ht="15.75" customHeight="1" x14ac:dyDescent="0.25">
      <c r="A179" s="13">
        <v>46315</v>
      </c>
      <c r="B179" s="63">
        <v>1520</v>
      </c>
      <c r="C179" s="14"/>
      <c r="D179" s="14">
        <v>1109337000</v>
      </c>
      <c r="E179" s="14">
        <v>72028000</v>
      </c>
      <c r="F179" s="14">
        <v>47500000</v>
      </c>
      <c r="G179" s="14">
        <v>143521000</v>
      </c>
      <c r="H179" s="14">
        <v>3651000</v>
      </c>
      <c r="I179" s="14">
        <v>1287841000</v>
      </c>
      <c r="J179" s="14">
        <v>226468938</v>
      </c>
      <c r="K179" s="14"/>
      <c r="L179" s="14">
        <v>232750043</v>
      </c>
      <c r="M179" s="14"/>
      <c r="N179" s="14"/>
      <c r="O179" s="14"/>
      <c r="P179" s="14">
        <v>41333255</v>
      </c>
      <c r="Q179" s="14">
        <v>64386868</v>
      </c>
      <c r="R179" s="14"/>
      <c r="S179" s="14"/>
      <c r="T179" s="14"/>
      <c r="U179" s="14"/>
      <c r="V179" s="14">
        <v>105000000</v>
      </c>
      <c r="W179" s="14"/>
      <c r="X179" s="14">
        <v>1043088000</v>
      </c>
      <c r="Y179" s="14">
        <v>3201397000</v>
      </c>
      <c r="Z179" s="14">
        <f t="shared" si="56"/>
        <v>179326122.93125013</v>
      </c>
      <c r="AA179" s="63">
        <v>6175150000</v>
      </c>
      <c r="AB179" s="63">
        <f t="shared" ref="AB179:AE180" si="59">+AB178</f>
        <v>1374034.35</v>
      </c>
      <c r="AC179" s="63">
        <f t="shared" si="59"/>
        <v>17800000</v>
      </c>
      <c r="AD179" s="63">
        <f t="shared" si="59"/>
        <v>245288.76712328769</v>
      </c>
      <c r="AE179" s="63">
        <f t="shared" si="59"/>
        <v>325287.75547945208</v>
      </c>
      <c r="AF179" s="63">
        <f>+'[1]CF Dia V1'!$GE$97</f>
        <v>17806558.879000001</v>
      </c>
      <c r="AG179" s="63">
        <f t="shared" si="58"/>
        <v>5582721359</v>
      </c>
      <c r="AH179" s="14">
        <f>+'[1]CF Dia V1'!$GE$24+'[1]CF Dia V1'!$GE$25</f>
        <v>1473556400</v>
      </c>
      <c r="AI179" s="14">
        <f>+'[1]CF Dia V1'!$GE$29</f>
        <v>14026256000</v>
      </c>
      <c r="AJ179" s="14"/>
      <c r="AK179" s="16"/>
    </row>
    <row r="180" spans="1:37" ht="15.75" customHeight="1" x14ac:dyDescent="0.25">
      <c r="A180" s="13">
        <v>46316</v>
      </c>
      <c r="B180" s="63">
        <v>1520.5</v>
      </c>
      <c r="C180" s="14"/>
      <c r="D180" s="14">
        <v>1202903000</v>
      </c>
      <c r="E180" s="14">
        <v>33884000</v>
      </c>
      <c r="F180" s="14">
        <v>16637000</v>
      </c>
      <c r="G180" s="14">
        <v>36521000</v>
      </c>
      <c r="H180" s="14">
        <v>105701000</v>
      </c>
      <c r="I180" s="14">
        <v>1106215000</v>
      </c>
      <c r="J180" s="14">
        <v>158155647</v>
      </c>
      <c r="K180" s="14"/>
      <c r="L180" s="14">
        <v>239849900</v>
      </c>
      <c r="M180" s="14"/>
      <c r="N180" s="14"/>
      <c r="O180" s="14"/>
      <c r="P180" s="14">
        <v>189490155</v>
      </c>
      <c r="Q180" s="14">
        <v>166923129</v>
      </c>
      <c r="R180" s="14"/>
      <c r="S180" s="14"/>
      <c r="T180" s="14"/>
      <c r="U180" s="14"/>
      <c r="V180" s="14"/>
      <c r="W180" s="14"/>
      <c r="X180" s="14">
        <v>1225804000</v>
      </c>
      <c r="Y180" s="14">
        <v>3168735415</v>
      </c>
      <c r="Z180" s="14">
        <f t="shared" si="56"/>
        <v>179326122.93125013</v>
      </c>
      <c r="AA180" s="63">
        <v>6230779000</v>
      </c>
      <c r="AB180" s="63">
        <f t="shared" si="59"/>
        <v>1374034.35</v>
      </c>
      <c r="AC180" s="63">
        <f t="shared" si="59"/>
        <v>17800000</v>
      </c>
      <c r="AD180" s="63">
        <f t="shared" si="59"/>
        <v>245288.76712328769</v>
      </c>
      <c r="AE180" s="63">
        <f t="shared" si="59"/>
        <v>325287.75547945208</v>
      </c>
      <c r="AF180" s="63">
        <f>+'[1]CF Dia V1'!$GF$97</f>
        <v>18181792.929000001</v>
      </c>
      <c r="AG180" s="63">
        <f t="shared" si="58"/>
        <v>5582721359</v>
      </c>
      <c r="AH180" s="14">
        <f>+'[1]CF Dia V1'!$GF$24+'[1]CF Dia V1'!$GF$25</f>
        <v>1657614128.5</v>
      </c>
      <c r="AI180" s="14">
        <f>+'[1]CF Dia V1'!$GF$29</f>
        <v>13678684087.5</v>
      </c>
      <c r="AJ180" s="14"/>
      <c r="AK180" s="16"/>
    </row>
    <row r="181" spans="1:37" ht="15.75" customHeight="1" x14ac:dyDescent="0.25">
      <c r="A181" s="13">
        <v>46317</v>
      </c>
      <c r="B181" s="63">
        <v>1520.5</v>
      </c>
      <c r="C181" s="14"/>
      <c r="D181" s="14">
        <f>+D180</f>
        <v>1202903000</v>
      </c>
      <c r="E181" s="14">
        <f>+'[1]CF Dia V1'!$GG$13</f>
        <v>54527000</v>
      </c>
      <c r="F181" s="14">
        <f>+'[1]CF Dia V1'!$GG$16</f>
        <v>126829000</v>
      </c>
      <c r="G181" s="14">
        <f>+'[1]CF Dia V1'!$GG$14</f>
        <v>31357000</v>
      </c>
      <c r="H181" s="14">
        <v>400000</v>
      </c>
      <c r="I181" s="14">
        <f>+'[1]CF Dia V1'!$GG$22</f>
        <v>1026690000</v>
      </c>
      <c r="J181" s="14">
        <f>+'[1]CF Dia V1'!$GG$43</f>
        <v>187282014</v>
      </c>
      <c r="K181" s="14"/>
      <c r="L181" s="14"/>
      <c r="M181" s="14"/>
      <c r="N181" s="14"/>
      <c r="O181" s="14"/>
      <c r="P181" s="14">
        <f>+'[1]CF Dia V1'!$GG$50</f>
        <v>53320371</v>
      </c>
      <c r="Q181" s="14">
        <f>+'[1]CF Dia V1'!$GG$51</f>
        <v>3611906</v>
      </c>
      <c r="R181" s="14"/>
      <c r="S181" s="14"/>
      <c r="T181" s="14"/>
      <c r="U181" s="14"/>
      <c r="V181" s="14"/>
      <c r="W181" s="14"/>
      <c r="X181" s="14">
        <f>+'[1]CF Dia V1'!$GG$100</f>
        <v>1109216000</v>
      </c>
      <c r="Y181" s="14">
        <f>+'[1]CF Dia V1'!$GG$101</f>
        <v>3073819000</v>
      </c>
      <c r="Z181" s="14">
        <f>+Z180</f>
        <v>179326122.93125013</v>
      </c>
      <c r="AA181" s="63">
        <f>+'[1]CF Dia V1'!$GG$102</f>
        <v>5909439000</v>
      </c>
      <c r="AB181" s="63">
        <f t="shared" ref="AB181:AE182" si="60">+AB180</f>
        <v>1374034.35</v>
      </c>
      <c r="AC181" s="63">
        <f t="shared" si="60"/>
        <v>17800000</v>
      </c>
      <c r="AD181" s="63">
        <f t="shared" si="60"/>
        <v>245288.76712328769</v>
      </c>
      <c r="AE181" s="63">
        <f t="shared" si="60"/>
        <v>325287.75547945208</v>
      </c>
      <c r="AF181" s="63">
        <f>+'[1]CF Dia V1'!$GG$97</f>
        <v>17813275</v>
      </c>
      <c r="AG181" s="63">
        <f>+AG180</f>
        <v>5582721359</v>
      </c>
      <c r="AH181" s="14">
        <f>+'[1]CF Dia V1'!$GG$24+'[1]CF Dia V1'!$GG$25+'[1]CF Dia V1'!$GG$27+'[1]CF Dia V1'!$GG$28</f>
        <v>3117721389</v>
      </c>
      <c r="AI181" s="14">
        <f>+'[1]CF Dia V1'!$GG$29</f>
        <v>13678684087.5</v>
      </c>
      <c r="AJ181" s="14"/>
      <c r="AK181" s="16"/>
    </row>
    <row r="182" spans="1:37" ht="15.75" customHeight="1" x14ac:dyDescent="0.25">
      <c r="A182" s="13">
        <v>46318</v>
      </c>
      <c r="B182" s="63">
        <v>1524.5</v>
      </c>
      <c r="C182" s="14"/>
      <c r="D182" s="14">
        <f>+'[1]CF Dia V1'!$GH$10</f>
        <v>1156221059</v>
      </c>
      <c r="E182" s="14">
        <f>+'[1]CF Dia V1'!$GH$13</f>
        <v>54630000</v>
      </c>
      <c r="F182" s="14">
        <f>+'[1]CF Dia V1'!$GH$16</f>
        <v>6647000</v>
      </c>
      <c r="G182" s="14">
        <f>+'[1]CF Dia V1'!$GH$14</f>
        <v>33833000</v>
      </c>
      <c r="H182" s="14">
        <f>+'[1]CF Dia V1'!$GH$15</f>
        <v>400000</v>
      </c>
      <c r="I182" s="14">
        <f>+'[1]CF Dia V1'!$GH$22</f>
        <v>940503000</v>
      </c>
      <c r="J182" s="14">
        <f>+'[1]CF Dia V1'!$GH$43</f>
        <v>209580438</v>
      </c>
      <c r="K182" s="14"/>
      <c r="L182" s="14">
        <f>+'[1]CF Dia V1'!$GH$46</f>
        <v>43082759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>
        <f>+'[1]CF Dia V1'!$GH$100</f>
        <v>972612348.80999994</v>
      </c>
      <c r="Y182" s="14">
        <f>+'[1]CF Dia V1'!$GH$101</f>
        <v>3090737000</v>
      </c>
      <c r="Z182" s="14">
        <f>+Z181</f>
        <v>179326122.93125013</v>
      </c>
      <c r="AA182" s="63">
        <f>+'[1]CF Dia V1'!$GH$102</f>
        <v>5943000000</v>
      </c>
      <c r="AB182" s="63">
        <f t="shared" si="60"/>
        <v>1374034.35</v>
      </c>
      <c r="AC182" s="63">
        <f t="shared" si="60"/>
        <v>17800000</v>
      </c>
      <c r="AD182" s="63">
        <f t="shared" si="60"/>
        <v>245288.76712328769</v>
      </c>
      <c r="AE182" s="63">
        <f t="shared" si="60"/>
        <v>325287.75547945208</v>
      </c>
      <c r="AF182" s="63">
        <f>+'[1]CF Dia V1'!$GH$97</f>
        <v>17957000</v>
      </c>
      <c r="AG182" s="63">
        <f>+AG181</f>
        <v>5582721359</v>
      </c>
      <c r="AH182" s="14">
        <f>+'[1]CF Dia V1'!$GH$24+'[1]CF Dia V1'!$GH$25+'[1]CF Dia V1'!$GH$26+'[1]CF Dia V1'!$GH$28</f>
        <v>3245672696</v>
      </c>
      <c r="AI182" s="14">
        <f>+'[1]CF Dia V1'!$GH$29</f>
        <v>13654999857.5</v>
      </c>
      <c r="AJ182" s="14"/>
      <c r="AK182" s="16"/>
    </row>
    <row r="183" spans="1:37" ht="15.75" customHeight="1" x14ac:dyDescent="0.25">
      <c r="A183" s="13">
        <v>46321</v>
      </c>
      <c r="B183" s="63">
        <v>1524.5</v>
      </c>
      <c r="C183" s="14"/>
      <c r="D183" s="14">
        <f>+'[1]CF Dia V1'!$GI$10</f>
        <v>1044584000</v>
      </c>
      <c r="E183" s="14">
        <f>+'[1]CF Dia V1'!$GI$13</f>
        <v>5538000</v>
      </c>
      <c r="F183" s="14">
        <f>+'[1]CF Dia V1'!$GI$16</f>
        <v>183680000</v>
      </c>
      <c r="G183" s="14">
        <f>+'[1]CF Dia V1'!$GI$14</f>
        <v>37525000</v>
      </c>
      <c r="H183" s="14">
        <f>+H182</f>
        <v>400000</v>
      </c>
      <c r="I183" s="14">
        <f>+'[1]CF Dia V1'!$GI$22</f>
        <v>1006728000</v>
      </c>
      <c r="J183" s="14">
        <f>+'[1]CF Dia V1'!$GI$43</f>
        <v>213754697</v>
      </c>
      <c r="K183" s="14"/>
      <c r="L183" s="14">
        <f>+'[1]CF Dia V1'!$GI$46</f>
        <v>26732745</v>
      </c>
      <c r="M183" s="14"/>
      <c r="N183" s="14"/>
      <c r="O183" s="14"/>
      <c r="P183" s="14">
        <f>+'[1]CF Dia V1'!$GI$50</f>
        <v>159613430</v>
      </c>
      <c r="Q183" s="14">
        <f>+'[1]CF Dia V1'!$GI$51</f>
        <v>83400000</v>
      </c>
      <c r="R183" s="14"/>
      <c r="S183" s="14"/>
      <c r="T183" s="14"/>
      <c r="U183" s="14"/>
      <c r="V183" s="14"/>
      <c r="W183" s="14"/>
      <c r="X183" s="14">
        <f>+'[1]CF Dia V1'!$GI$100</f>
        <v>1297305000</v>
      </c>
      <c r="Y183" s="14">
        <f>+'[1]CF Dia V1'!$GI$101</f>
        <v>2990528971</v>
      </c>
      <c r="Z183" s="14">
        <f>+Z182</f>
        <v>179326122.93125013</v>
      </c>
      <c r="AA183" s="63">
        <f>+'[1]CF Dia V1'!$GI$102</f>
        <v>5581495000</v>
      </c>
      <c r="AB183" s="63">
        <f>+AB182</f>
        <v>1374034.35</v>
      </c>
      <c r="AC183" s="63">
        <f>+AC182</f>
        <v>17800000</v>
      </c>
      <c r="AD183" s="63">
        <f>+AD182</f>
        <v>245288.76712328769</v>
      </c>
      <c r="AE183" s="63">
        <f>+AE182</f>
        <v>325287.75547945208</v>
      </c>
      <c r="AF183" s="63">
        <f>+'[1]CF Dia V1'!$GI$97</f>
        <v>16620544.710000001</v>
      </c>
      <c r="AG183" s="63">
        <f>+AG182</f>
        <v>5582721359</v>
      </c>
      <c r="AH183" s="14">
        <f>+'[1]CF Dia V1'!$GI$24+'[1]CF Dia V1'!$GI$25+'[1]CF Dia V1'!$GI$26+'[1]CF Dia V1'!$GI$28</f>
        <v>3111614264</v>
      </c>
      <c r="AI183" s="14">
        <f>+'[1]CF Dia V1'!$GI$29</f>
        <v>16282251506</v>
      </c>
      <c r="AJ183" s="14"/>
      <c r="AK183" s="16"/>
    </row>
    <row r="184" spans="1:37" ht="15.75" customHeight="1" x14ac:dyDescent="0.25">
      <c r="A184" s="13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8"/>
      <c r="AB184" s="18"/>
      <c r="AC184" s="18"/>
      <c r="AD184" s="18"/>
      <c r="AE184" s="18"/>
      <c r="AF184" s="15"/>
      <c r="AG184" s="15"/>
      <c r="AH184" s="15"/>
      <c r="AI184" s="15"/>
      <c r="AJ184" s="15"/>
      <c r="AK184" s="16"/>
    </row>
    <row r="185" spans="1:37" ht="15.75" customHeight="1" x14ac:dyDescent="0.25">
      <c r="A185" s="13"/>
      <c r="B185" s="17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8"/>
      <c r="AB185" s="18"/>
      <c r="AC185" s="18"/>
      <c r="AD185" s="18"/>
      <c r="AE185" s="18"/>
      <c r="AF185" s="15"/>
      <c r="AG185" s="15"/>
      <c r="AH185" s="15"/>
      <c r="AI185" s="15"/>
      <c r="AJ185" s="15"/>
      <c r="AK185" s="16"/>
    </row>
    <row r="186" spans="1:37" ht="15.75" customHeight="1" x14ac:dyDescent="0.25">
      <c r="A186" s="13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8"/>
      <c r="AB186" s="18"/>
      <c r="AC186" s="18"/>
      <c r="AD186" s="18"/>
      <c r="AE186" s="18"/>
      <c r="AF186" s="15"/>
      <c r="AG186" s="15"/>
      <c r="AH186" s="15"/>
      <c r="AI186" s="15"/>
      <c r="AJ186" s="15"/>
      <c r="AK186" s="16"/>
    </row>
    <row r="187" spans="1:37" ht="15.75" customHeight="1" x14ac:dyDescent="0.25">
      <c r="A187" s="13"/>
      <c r="B187" s="17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8"/>
      <c r="AB187" s="18"/>
      <c r="AC187" s="18"/>
      <c r="AD187" s="18"/>
      <c r="AE187" s="18"/>
      <c r="AF187" s="15"/>
      <c r="AG187" s="15"/>
      <c r="AH187" s="15"/>
      <c r="AI187" s="15"/>
      <c r="AJ187" s="15"/>
      <c r="AK187" s="16"/>
    </row>
    <row r="188" spans="1:37" ht="15.75" customHeight="1" x14ac:dyDescent="0.25">
      <c r="A188" s="13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8"/>
      <c r="AB188" s="18"/>
      <c r="AC188" s="18"/>
      <c r="AD188" s="18"/>
      <c r="AE188" s="18"/>
      <c r="AF188" s="15"/>
      <c r="AG188" s="15"/>
      <c r="AH188" s="15"/>
      <c r="AI188" s="15"/>
      <c r="AJ188" s="15"/>
      <c r="AK188" s="16"/>
    </row>
    <row r="189" spans="1:37" ht="15.75" customHeight="1" x14ac:dyDescent="0.25">
      <c r="A189" s="13"/>
      <c r="B189" s="17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8"/>
      <c r="AB189" s="18"/>
      <c r="AC189" s="18"/>
      <c r="AD189" s="18"/>
      <c r="AE189" s="18"/>
      <c r="AF189" s="15"/>
      <c r="AG189" s="15"/>
      <c r="AH189" s="15"/>
      <c r="AI189" s="15"/>
      <c r="AJ189" s="15"/>
      <c r="AK189" s="16"/>
    </row>
    <row r="190" spans="1:37" ht="15.75" customHeight="1" x14ac:dyDescent="0.25">
      <c r="A190" s="13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8"/>
      <c r="AB190" s="18"/>
      <c r="AC190" s="18"/>
      <c r="AD190" s="18"/>
      <c r="AE190" s="18"/>
      <c r="AF190" s="15"/>
      <c r="AG190" s="15"/>
      <c r="AH190" s="15"/>
      <c r="AI190" s="15"/>
      <c r="AJ190" s="15"/>
      <c r="AK190" s="16"/>
    </row>
    <row r="191" spans="1:37" ht="15.75" customHeight="1" x14ac:dyDescent="0.25">
      <c r="A191" s="13"/>
      <c r="B191" s="17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8"/>
      <c r="AB191" s="18"/>
      <c r="AC191" s="18"/>
      <c r="AD191" s="18"/>
      <c r="AE191" s="18"/>
      <c r="AF191" s="15"/>
      <c r="AG191" s="15"/>
      <c r="AH191" s="15"/>
      <c r="AI191" s="15"/>
      <c r="AJ191" s="15"/>
      <c r="AK191" s="16"/>
    </row>
    <row r="192" spans="1:37" ht="15.75" customHeight="1" x14ac:dyDescent="0.25">
      <c r="A192" s="13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8"/>
      <c r="AB192" s="18"/>
      <c r="AC192" s="18"/>
      <c r="AD192" s="18"/>
      <c r="AE192" s="18"/>
      <c r="AF192" s="15"/>
      <c r="AG192" s="15"/>
      <c r="AH192" s="15"/>
      <c r="AI192" s="15"/>
      <c r="AJ192" s="15"/>
      <c r="AK192" s="16"/>
    </row>
    <row r="193" spans="1:37" ht="15.75" customHeight="1" x14ac:dyDescent="0.25">
      <c r="A193" s="13"/>
      <c r="B193" s="17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8"/>
      <c r="AB193" s="18"/>
      <c r="AC193" s="18"/>
      <c r="AD193" s="18"/>
      <c r="AE193" s="18"/>
      <c r="AF193" s="15"/>
      <c r="AG193" s="15"/>
      <c r="AH193" s="15"/>
      <c r="AI193" s="15"/>
      <c r="AJ193" s="15"/>
      <c r="AK193" s="16"/>
    </row>
    <row r="194" spans="1:37" ht="15.75" customHeight="1" x14ac:dyDescent="0.25">
      <c r="A194" s="13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8"/>
      <c r="AB194" s="18"/>
      <c r="AC194" s="18"/>
      <c r="AD194" s="18"/>
      <c r="AE194" s="18"/>
      <c r="AF194" s="15"/>
      <c r="AG194" s="15"/>
      <c r="AH194" s="15"/>
      <c r="AI194" s="15"/>
      <c r="AJ194" s="15"/>
      <c r="AK194" s="16"/>
    </row>
    <row r="195" spans="1:37" ht="15.75" customHeight="1" x14ac:dyDescent="0.25">
      <c r="A195" s="13"/>
      <c r="B195" s="17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8"/>
      <c r="AB195" s="18"/>
      <c r="AC195" s="18"/>
      <c r="AD195" s="18"/>
      <c r="AE195" s="18"/>
      <c r="AF195" s="15"/>
      <c r="AG195" s="15"/>
      <c r="AH195" s="15"/>
      <c r="AI195" s="15"/>
      <c r="AJ195" s="15"/>
      <c r="AK195" s="16"/>
    </row>
    <row r="196" spans="1:37" ht="15.75" customHeight="1" x14ac:dyDescent="0.25">
      <c r="A196" s="13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8"/>
      <c r="AB196" s="18"/>
      <c r="AC196" s="18"/>
      <c r="AD196" s="18"/>
      <c r="AE196" s="18"/>
      <c r="AF196" s="15"/>
      <c r="AG196" s="15"/>
      <c r="AH196" s="15"/>
      <c r="AI196" s="15"/>
      <c r="AJ196" s="15"/>
      <c r="AK196" s="16"/>
    </row>
    <row r="197" spans="1:37" ht="15.75" customHeight="1" x14ac:dyDescent="0.25">
      <c r="A197" s="13"/>
      <c r="B197" s="17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8"/>
      <c r="AB197" s="18"/>
      <c r="AC197" s="18"/>
      <c r="AD197" s="18"/>
      <c r="AE197" s="18"/>
      <c r="AF197" s="15"/>
      <c r="AG197" s="15"/>
      <c r="AH197" s="15"/>
      <c r="AI197" s="15"/>
      <c r="AJ197" s="15"/>
      <c r="AK197" s="16"/>
    </row>
    <row r="198" spans="1:37" ht="15.75" customHeight="1" x14ac:dyDescent="0.25">
      <c r="A198" s="13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8"/>
      <c r="AB198" s="18"/>
      <c r="AC198" s="18"/>
      <c r="AD198" s="18"/>
      <c r="AE198" s="18"/>
      <c r="AF198" s="15"/>
      <c r="AG198" s="15"/>
      <c r="AH198" s="15"/>
      <c r="AI198" s="15"/>
      <c r="AJ198" s="15"/>
      <c r="AK198" s="16"/>
    </row>
    <row r="199" spans="1:37" ht="15.75" customHeight="1" x14ac:dyDescent="0.25">
      <c r="A199" s="13"/>
      <c r="B199" s="17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8"/>
      <c r="AB199" s="18"/>
      <c r="AC199" s="18"/>
      <c r="AD199" s="18"/>
      <c r="AE199" s="18"/>
      <c r="AF199" s="15"/>
      <c r="AG199" s="15"/>
      <c r="AH199" s="15"/>
      <c r="AI199" s="15"/>
      <c r="AJ199" s="15"/>
      <c r="AK199" s="16"/>
    </row>
    <row r="200" spans="1:37" ht="15.75" customHeight="1" x14ac:dyDescent="0.25">
      <c r="A200" s="13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8"/>
      <c r="AB200" s="18"/>
      <c r="AC200" s="18"/>
      <c r="AD200" s="18"/>
      <c r="AE200" s="18"/>
      <c r="AF200" s="15"/>
      <c r="AG200" s="15"/>
      <c r="AH200" s="15"/>
      <c r="AI200" s="15"/>
      <c r="AJ200" s="15"/>
      <c r="AK200" s="16"/>
    </row>
    <row r="201" spans="1:37" ht="15.75" customHeight="1" x14ac:dyDescent="0.25">
      <c r="A201" s="13"/>
      <c r="B201" s="1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8"/>
      <c r="AB201" s="18"/>
      <c r="AC201" s="18"/>
      <c r="AD201" s="18"/>
      <c r="AE201" s="18"/>
      <c r="AF201" s="15"/>
      <c r="AG201" s="15"/>
      <c r="AH201" s="15"/>
      <c r="AI201" s="15"/>
      <c r="AJ201" s="15"/>
      <c r="AK201" s="16"/>
    </row>
    <row r="202" spans="1:37" ht="15.75" customHeight="1" x14ac:dyDescent="0.25">
      <c r="A202" s="13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8"/>
      <c r="AB202" s="18"/>
      <c r="AC202" s="18"/>
      <c r="AD202" s="18"/>
      <c r="AE202" s="18"/>
      <c r="AF202" s="15"/>
      <c r="AG202" s="15"/>
      <c r="AH202" s="15"/>
      <c r="AI202" s="15"/>
      <c r="AJ202" s="15"/>
      <c r="AK202" s="16"/>
    </row>
    <row r="203" spans="1:37" ht="15.75" customHeight="1" x14ac:dyDescent="0.25">
      <c r="A203" s="13"/>
      <c r="B203" s="1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8"/>
      <c r="AB203" s="18"/>
      <c r="AC203" s="18"/>
      <c r="AD203" s="18"/>
      <c r="AE203" s="18"/>
      <c r="AF203" s="15"/>
      <c r="AG203" s="15"/>
      <c r="AH203" s="15"/>
      <c r="AI203" s="15"/>
      <c r="AJ203" s="15"/>
      <c r="AK203" s="16"/>
    </row>
    <row r="204" spans="1:37" ht="15.75" customHeight="1" x14ac:dyDescent="0.25">
      <c r="A204" s="13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8"/>
      <c r="AB204" s="18"/>
      <c r="AC204" s="18"/>
      <c r="AD204" s="18"/>
      <c r="AE204" s="18"/>
      <c r="AF204" s="15"/>
      <c r="AG204" s="15"/>
      <c r="AH204" s="15"/>
      <c r="AI204" s="15"/>
      <c r="AJ204" s="15"/>
      <c r="AK204" s="16"/>
    </row>
    <row r="205" spans="1:37" ht="15.75" customHeight="1" x14ac:dyDescent="0.25">
      <c r="A205" s="13"/>
      <c r="B205" s="1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8"/>
      <c r="AB205" s="18"/>
      <c r="AC205" s="18"/>
      <c r="AD205" s="18"/>
      <c r="AE205" s="18"/>
      <c r="AF205" s="15"/>
      <c r="AG205" s="15"/>
      <c r="AH205" s="15"/>
      <c r="AI205" s="15"/>
      <c r="AJ205" s="15"/>
      <c r="AK205" s="16"/>
    </row>
    <row r="206" spans="1:37" ht="15.75" customHeight="1" x14ac:dyDescent="0.25">
      <c r="A206" s="13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8"/>
      <c r="AB206" s="18"/>
      <c r="AC206" s="18"/>
      <c r="AD206" s="18"/>
      <c r="AE206" s="18"/>
      <c r="AF206" s="15"/>
      <c r="AG206" s="15"/>
      <c r="AH206" s="15"/>
      <c r="AI206" s="15"/>
      <c r="AJ206" s="15"/>
      <c r="AK206" s="16"/>
    </row>
    <row r="207" spans="1:37" ht="15.75" customHeight="1" x14ac:dyDescent="0.25">
      <c r="A207" s="13"/>
      <c r="B207" s="1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8"/>
      <c r="AB207" s="18"/>
      <c r="AC207" s="18"/>
      <c r="AD207" s="18"/>
      <c r="AE207" s="18"/>
      <c r="AF207" s="15"/>
      <c r="AG207" s="15"/>
      <c r="AH207" s="15"/>
      <c r="AI207" s="15"/>
      <c r="AJ207" s="15"/>
      <c r="AK207" s="16"/>
    </row>
    <row r="208" spans="1:37" ht="15.75" customHeight="1" x14ac:dyDescent="0.25">
      <c r="A208" s="13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8"/>
      <c r="AB208" s="18"/>
      <c r="AC208" s="18"/>
      <c r="AD208" s="18"/>
      <c r="AE208" s="18"/>
      <c r="AF208" s="15"/>
      <c r="AG208" s="15"/>
      <c r="AH208" s="15"/>
      <c r="AI208" s="15"/>
      <c r="AJ208" s="15"/>
      <c r="AK208" s="16"/>
    </row>
    <row r="209" spans="1:37" ht="15.75" customHeight="1" x14ac:dyDescent="0.25">
      <c r="A209" s="13"/>
      <c r="B209" s="1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8"/>
      <c r="AB209" s="18"/>
      <c r="AC209" s="18"/>
      <c r="AD209" s="18"/>
      <c r="AE209" s="18"/>
      <c r="AF209" s="15"/>
      <c r="AG209" s="15"/>
      <c r="AH209" s="15"/>
      <c r="AI209" s="15"/>
      <c r="AJ209" s="15"/>
      <c r="AK209" s="16"/>
    </row>
    <row r="210" spans="1:37" ht="15.75" customHeight="1" x14ac:dyDescent="0.25">
      <c r="A210" s="13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8"/>
      <c r="AB210" s="18"/>
      <c r="AC210" s="18"/>
      <c r="AD210" s="18"/>
      <c r="AE210" s="18"/>
      <c r="AF210" s="15"/>
      <c r="AG210" s="15"/>
      <c r="AH210" s="15"/>
      <c r="AI210" s="15"/>
      <c r="AJ210" s="15"/>
      <c r="AK210" s="16"/>
    </row>
    <row r="211" spans="1:37" ht="15.75" customHeight="1" x14ac:dyDescent="0.25">
      <c r="A211" s="13"/>
      <c r="B211" s="17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8"/>
      <c r="AB211" s="18"/>
      <c r="AC211" s="18"/>
      <c r="AD211" s="18"/>
      <c r="AE211" s="18"/>
      <c r="AF211" s="15"/>
      <c r="AG211" s="15"/>
      <c r="AH211" s="15"/>
      <c r="AI211" s="15"/>
      <c r="AJ211" s="15"/>
      <c r="AK211" s="16"/>
    </row>
    <row r="212" spans="1:37" ht="15.75" customHeight="1" x14ac:dyDescent="0.25">
      <c r="A212" s="13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8"/>
      <c r="AB212" s="18"/>
      <c r="AC212" s="18"/>
      <c r="AD212" s="18"/>
      <c r="AE212" s="18"/>
      <c r="AF212" s="15"/>
      <c r="AG212" s="15"/>
      <c r="AH212" s="15"/>
      <c r="AI212" s="15"/>
      <c r="AJ212" s="15"/>
      <c r="AK212" s="16"/>
    </row>
    <row r="213" spans="1:37" ht="15.75" customHeight="1" x14ac:dyDescent="0.25">
      <c r="A213" s="13"/>
      <c r="B213" s="17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8"/>
      <c r="AB213" s="18"/>
      <c r="AC213" s="18"/>
      <c r="AD213" s="18"/>
      <c r="AE213" s="18"/>
      <c r="AF213" s="15"/>
      <c r="AG213" s="15"/>
      <c r="AH213" s="15"/>
      <c r="AI213" s="15"/>
      <c r="AJ213" s="15"/>
      <c r="AK213" s="16"/>
    </row>
    <row r="214" spans="1:37" ht="15.75" customHeight="1" x14ac:dyDescent="0.25">
      <c r="A214" s="13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8"/>
      <c r="AB214" s="18"/>
      <c r="AC214" s="18"/>
      <c r="AD214" s="18"/>
      <c r="AE214" s="18"/>
      <c r="AF214" s="15"/>
      <c r="AG214" s="15"/>
      <c r="AH214" s="15"/>
      <c r="AI214" s="15"/>
      <c r="AJ214" s="15"/>
      <c r="AK214" s="16"/>
    </row>
    <row r="215" spans="1:37" ht="15.75" customHeight="1" x14ac:dyDescent="0.25">
      <c r="A215" s="13"/>
      <c r="B215" s="17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8"/>
      <c r="AB215" s="18"/>
      <c r="AC215" s="18"/>
      <c r="AD215" s="18"/>
      <c r="AE215" s="18"/>
      <c r="AF215" s="15"/>
      <c r="AG215" s="15"/>
      <c r="AH215" s="15"/>
      <c r="AI215" s="15"/>
      <c r="AJ215" s="15"/>
      <c r="AK215" s="16"/>
    </row>
    <row r="216" spans="1:37" ht="15.75" customHeight="1" x14ac:dyDescent="0.25">
      <c r="A216" s="13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8"/>
      <c r="AB216" s="18"/>
      <c r="AC216" s="18"/>
      <c r="AD216" s="18"/>
      <c r="AE216" s="18"/>
      <c r="AF216" s="15"/>
      <c r="AG216" s="15"/>
      <c r="AH216" s="15"/>
      <c r="AI216" s="15"/>
      <c r="AJ216" s="15"/>
      <c r="AK216" s="16"/>
    </row>
    <row r="217" spans="1:37" ht="15.75" customHeight="1" x14ac:dyDescent="0.25">
      <c r="A217" s="13"/>
      <c r="B217" s="1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8"/>
      <c r="AB217" s="18"/>
      <c r="AC217" s="18"/>
      <c r="AD217" s="18"/>
      <c r="AE217" s="18"/>
      <c r="AF217" s="15"/>
      <c r="AG217" s="15"/>
      <c r="AH217" s="15"/>
      <c r="AI217" s="15"/>
      <c r="AJ217" s="15"/>
      <c r="AK217" s="16"/>
    </row>
    <row r="218" spans="1:37" ht="15.75" customHeight="1" x14ac:dyDescent="0.25">
      <c r="A218" s="13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8"/>
      <c r="AB218" s="18"/>
      <c r="AC218" s="18"/>
      <c r="AD218" s="18"/>
      <c r="AE218" s="18"/>
      <c r="AF218" s="15"/>
      <c r="AG218" s="15"/>
      <c r="AH218" s="15"/>
      <c r="AI218" s="15"/>
      <c r="AJ218" s="15"/>
      <c r="AK218" s="16"/>
    </row>
    <row r="219" spans="1:37" ht="15.75" customHeight="1" x14ac:dyDescent="0.25">
      <c r="A219" s="13"/>
      <c r="B219" s="1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8"/>
      <c r="AB219" s="18"/>
      <c r="AC219" s="18"/>
      <c r="AD219" s="18"/>
      <c r="AE219" s="18"/>
      <c r="AF219" s="15"/>
      <c r="AG219" s="15"/>
      <c r="AH219" s="15"/>
      <c r="AI219" s="15"/>
      <c r="AJ219" s="15"/>
      <c r="AK219" s="16"/>
    </row>
    <row r="220" spans="1:37" ht="15.75" customHeight="1" x14ac:dyDescent="0.25">
      <c r="A220" s="13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8"/>
      <c r="AB220" s="18"/>
      <c r="AC220" s="18"/>
      <c r="AD220" s="18"/>
      <c r="AE220" s="18"/>
      <c r="AF220" s="15"/>
      <c r="AG220" s="15"/>
      <c r="AH220" s="15"/>
      <c r="AI220" s="15"/>
      <c r="AJ220" s="15"/>
      <c r="AK220" s="16"/>
    </row>
    <row r="221" spans="1:37" ht="15.75" customHeight="1" x14ac:dyDescent="0.25">
      <c r="A221" s="13"/>
      <c r="B221" s="17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8"/>
      <c r="AB221" s="18"/>
      <c r="AC221" s="18"/>
      <c r="AD221" s="18"/>
      <c r="AE221" s="18"/>
      <c r="AF221" s="15"/>
      <c r="AG221" s="15"/>
      <c r="AH221" s="15"/>
      <c r="AI221" s="15"/>
      <c r="AJ221" s="15"/>
      <c r="AK221" s="16"/>
    </row>
    <row r="222" spans="1:37" ht="15.75" customHeight="1" x14ac:dyDescent="0.25">
      <c r="A222" s="13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8"/>
      <c r="AB222" s="18"/>
      <c r="AC222" s="18"/>
      <c r="AD222" s="18"/>
      <c r="AE222" s="18"/>
      <c r="AF222" s="15"/>
      <c r="AG222" s="15"/>
      <c r="AH222" s="15"/>
      <c r="AI222" s="15"/>
      <c r="AJ222" s="15"/>
      <c r="AK222" s="16"/>
    </row>
    <row r="223" spans="1:37" ht="15.75" customHeight="1" x14ac:dyDescent="0.25">
      <c r="A223" s="13"/>
      <c r="B223" s="17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8"/>
      <c r="AB223" s="18"/>
      <c r="AC223" s="18"/>
      <c r="AD223" s="18"/>
      <c r="AE223" s="18"/>
      <c r="AF223" s="15"/>
      <c r="AG223" s="15"/>
      <c r="AH223" s="15"/>
      <c r="AI223" s="15"/>
      <c r="AJ223" s="15"/>
      <c r="AK223" s="16"/>
    </row>
    <row r="224" spans="1:37" ht="15.75" customHeight="1" x14ac:dyDescent="0.25">
      <c r="A224" s="13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8"/>
      <c r="AB224" s="18"/>
      <c r="AC224" s="18"/>
      <c r="AD224" s="18"/>
      <c r="AE224" s="18"/>
      <c r="AF224" s="15"/>
      <c r="AG224" s="15"/>
      <c r="AH224" s="15"/>
      <c r="AI224" s="15"/>
      <c r="AJ224" s="15"/>
      <c r="AK224" s="16"/>
    </row>
    <row r="225" spans="1:37" ht="15.75" customHeight="1" x14ac:dyDescent="0.25">
      <c r="A225" s="13"/>
      <c r="B225" s="17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8"/>
      <c r="AB225" s="18"/>
      <c r="AC225" s="18"/>
      <c r="AD225" s="18"/>
      <c r="AE225" s="18"/>
      <c r="AF225" s="15"/>
      <c r="AG225" s="15"/>
      <c r="AH225" s="15"/>
      <c r="AI225" s="15"/>
      <c r="AJ225" s="15"/>
      <c r="AK225" s="16"/>
    </row>
    <row r="226" spans="1:37" ht="15.75" customHeight="1" x14ac:dyDescent="0.25">
      <c r="A226" s="13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8"/>
      <c r="AB226" s="18"/>
      <c r="AC226" s="18"/>
      <c r="AD226" s="18"/>
      <c r="AE226" s="18"/>
      <c r="AF226" s="15"/>
      <c r="AG226" s="15"/>
      <c r="AH226" s="15"/>
      <c r="AI226" s="15"/>
      <c r="AJ226" s="15"/>
      <c r="AK226" s="16"/>
    </row>
    <row r="227" spans="1:37" ht="15.75" customHeight="1" x14ac:dyDescent="0.25">
      <c r="A227" s="13"/>
      <c r="B227" s="17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8"/>
      <c r="AB227" s="18"/>
      <c r="AC227" s="18"/>
      <c r="AD227" s="18"/>
      <c r="AE227" s="18"/>
      <c r="AF227" s="15"/>
      <c r="AG227" s="15"/>
      <c r="AH227" s="15"/>
      <c r="AI227" s="15"/>
      <c r="AJ227" s="15"/>
      <c r="AK227" s="16"/>
    </row>
    <row r="228" spans="1:37" ht="15.75" customHeight="1" x14ac:dyDescent="0.25">
      <c r="A228" s="13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8"/>
      <c r="AB228" s="18"/>
      <c r="AC228" s="18"/>
      <c r="AD228" s="18"/>
      <c r="AE228" s="18"/>
      <c r="AF228" s="15"/>
      <c r="AG228" s="15"/>
      <c r="AH228" s="15"/>
      <c r="AI228" s="15"/>
      <c r="AJ228" s="15"/>
      <c r="AK228" s="16"/>
    </row>
    <row r="229" spans="1:37" ht="15.75" customHeight="1" x14ac:dyDescent="0.25">
      <c r="A229" s="13"/>
      <c r="B229" s="17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8"/>
      <c r="AB229" s="18"/>
      <c r="AC229" s="18"/>
      <c r="AD229" s="18"/>
      <c r="AE229" s="18"/>
      <c r="AF229" s="15"/>
      <c r="AG229" s="15"/>
      <c r="AH229" s="15"/>
      <c r="AI229" s="15"/>
      <c r="AJ229" s="15"/>
      <c r="AK229" s="16"/>
    </row>
    <row r="230" spans="1:37" ht="15.75" customHeight="1" x14ac:dyDescent="0.25">
      <c r="A230" s="13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8"/>
      <c r="AB230" s="18"/>
      <c r="AC230" s="18"/>
      <c r="AD230" s="18"/>
      <c r="AE230" s="18"/>
      <c r="AF230" s="15"/>
      <c r="AG230" s="15"/>
      <c r="AH230" s="15"/>
      <c r="AI230" s="15"/>
      <c r="AJ230" s="15"/>
      <c r="AK230" s="16"/>
    </row>
    <row r="231" spans="1:37" ht="15.75" customHeight="1" x14ac:dyDescent="0.25">
      <c r="A231" s="13"/>
      <c r="B231" s="17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8"/>
      <c r="AB231" s="18"/>
      <c r="AC231" s="18"/>
      <c r="AD231" s="18"/>
      <c r="AE231" s="18"/>
      <c r="AF231" s="15"/>
      <c r="AG231" s="15"/>
      <c r="AH231" s="15"/>
      <c r="AI231" s="15"/>
      <c r="AJ231" s="15"/>
      <c r="AK231" s="16"/>
    </row>
    <row r="232" spans="1:37" ht="15.75" customHeight="1" x14ac:dyDescent="0.25">
      <c r="A232" s="13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8"/>
      <c r="AB232" s="18"/>
      <c r="AC232" s="18"/>
      <c r="AD232" s="18"/>
      <c r="AE232" s="18"/>
      <c r="AF232" s="15"/>
      <c r="AG232" s="15"/>
      <c r="AH232" s="15"/>
      <c r="AI232" s="15"/>
      <c r="AJ232" s="15"/>
      <c r="AK232" s="16"/>
    </row>
    <row r="233" spans="1:37" ht="15.75" customHeight="1" x14ac:dyDescent="0.25">
      <c r="A233" s="13"/>
      <c r="B233" s="17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8"/>
      <c r="AB233" s="18"/>
      <c r="AC233" s="18"/>
      <c r="AD233" s="18"/>
      <c r="AE233" s="18"/>
      <c r="AF233" s="15"/>
      <c r="AG233" s="15"/>
      <c r="AH233" s="15"/>
      <c r="AI233" s="15"/>
      <c r="AJ233" s="15"/>
      <c r="AK233" s="16"/>
    </row>
    <row r="234" spans="1:37" ht="15.75" customHeight="1" x14ac:dyDescent="0.25">
      <c r="A234" s="13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8"/>
      <c r="AB234" s="18"/>
      <c r="AC234" s="18"/>
      <c r="AD234" s="18"/>
      <c r="AE234" s="18"/>
      <c r="AF234" s="15"/>
      <c r="AG234" s="15"/>
      <c r="AH234" s="15"/>
      <c r="AI234" s="15"/>
      <c r="AJ234" s="15"/>
      <c r="AK234" s="16"/>
    </row>
    <row r="235" spans="1:37" ht="15.75" customHeight="1" x14ac:dyDescent="0.25">
      <c r="A235" s="13"/>
      <c r="B235" s="17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8"/>
      <c r="AB235" s="18"/>
      <c r="AC235" s="18"/>
      <c r="AD235" s="18"/>
      <c r="AE235" s="18"/>
      <c r="AF235" s="15"/>
      <c r="AG235" s="15"/>
      <c r="AH235" s="15"/>
      <c r="AI235" s="15"/>
      <c r="AJ235" s="15"/>
      <c r="AK235" s="16"/>
    </row>
    <row r="236" spans="1:37" ht="15.75" customHeight="1" x14ac:dyDescent="0.25">
      <c r="A236" s="13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8"/>
      <c r="AB236" s="18"/>
      <c r="AC236" s="18"/>
      <c r="AD236" s="18"/>
      <c r="AE236" s="18"/>
      <c r="AF236" s="15"/>
      <c r="AG236" s="15"/>
      <c r="AH236" s="15"/>
      <c r="AI236" s="15"/>
      <c r="AJ236" s="15"/>
      <c r="AK236" s="16"/>
    </row>
    <row r="237" spans="1:37" ht="15.75" customHeight="1" x14ac:dyDescent="0.25">
      <c r="A237" s="13"/>
      <c r="B237" s="17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8"/>
      <c r="AB237" s="18"/>
      <c r="AC237" s="18"/>
      <c r="AD237" s="18"/>
      <c r="AE237" s="18"/>
      <c r="AF237" s="15"/>
      <c r="AG237" s="15"/>
      <c r="AH237" s="15"/>
      <c r="AI237" s="15"/>
      <c r="AJ237" s="15"/>
      <c r="AK237" s="16"/>
    </row>
    <row r="238" spans="1:37" ht="15.75" customHeight="1" x14ac:dyDescent="0.25">
      <c r="A238" s="13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8"/>
      <c r="AB238" s="18"/>
      <c r="AC238" s="18"/>
      <c r="AD238" s="18"/>
      <c r="AE238" s="18"/>
      <c r="AF238" s="15"/>
      <c r="AG238" s="15"/>
      <c r="AH238" s="15"/>
      <c r="AI238" s="15"/>
      <c r="AJ238" s="15"/>
      <c r="AK238" s="16"/>
    </row>
    <row r="239" spans="1:37" ht="15.75" customHeight="1" x14ac:dyDescent="0.25">
      <c r="A239" s="13"/>
      <c r="B239" s="17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8"/>
      <c r="AB239" s="18"/>
      <c r="AC239" s="18"/>
      <c r="AD239" s="18"/>
      <c r="AE239" s="18"/>
      <c r="AF239" s="15"/>
      <c r="AG239" s="15"/>
      <c r="AH239" s="15"/>
      <c r="AI239" s="15"/>
      <c r="AJ239" s="15"/>
      <c r="AK239" s="16"/>
    </row>
    <row r="240" spans="1:37" ht="15.75" customHeight="1" x14ac:dyDescent="0.25">
      <c r="A240" s="13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8"/>
      <c r="AB240" s="18"/>
      <c r="AC240" s="18"/>
      <c r="AD240" s="18"/>
      <c r="AE240" s="18"/>
      <c r="AF240" s="15"/>
      <c r="AG240" s="15"/>
      <c r="AH240" s="15"/>
      <c r="AI240" s="15"/>
      <c r="AJ240" s="15"/>
      <c r="AK240" s="16"/>
    </row>
    <row r="241" spans="1:37" ht="15.75" customHeight="1" x14ac:dyDescent="0.25">
      <c r="A241" s="13"/>
      <c r="B241" s="17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8"/>
      <c r="AB241" s="18"/>
      <c r="AC241" s="18"/>
      <c r="AD241" s="18"/>
      <c r="AE241" s="18"/>
      <c r="AF241" s="15"/>
      <c r="AG241" s="15"/>
      <c r="AH241" s="15"/>
      <c r="AI241" s="15"/>
      <c r="AJ241" s="15"/>
      <c r="AK241" s="16"/>
    </row>
    <row r="242" spans="1:37" ht="15.75" customHeight="1" x14ac:dyDescent="0.25">
      <c r="A242" s="13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8"/>
      <c r="AB242" s="18"/>
      <c r="AC242" s="18"/>
      <c r="AD242" s="18"/>
      <c r="AE242" s="18"/>
      <c r="AF242" s="15"/>
      <c r="AG242" s="15"/>
      <c r="AH242" s="15"/>
      <c r="AI242" s="15"/>
      <c r="AJ242" s="15"/>
      <c r="AK242" s="16"/>
    </row>
    <row r="243" spans="1:37" ht="15.75" customHeight="1" x14ac:dyDescent="0.25">
      <c r="A243" s="13"/>
      <c r="B243" s="17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8"/>
      <c r="AB243" s="18"/>
      <c r="AC243" s="18"/>
      <c r="AD243" s="18"/>
      <c r="AE243" s="18"/>
      <c r="AF243" s="15"/>
      <c r="AG243" s="15"/>
      <c r="AH243" s="15"/>
      <c r="AI243" s="15"/>
      <c r="AJ243" s="15"/>
      <c r="AK243" s="16"/>
    </row>
    <row r="244" spans="1:37" ht="15.75" customHeight="1" x14ac:dyDescent="0.25">
      <c r="A244" s="13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8"/>
      <c r="AB244" s="18"/>
      <c r="AC244" s="18"/>
      <c r="AD244" s="18"/>
      <c r="AE244" s="18"/>
      <c r="AF244" s="15"/>
      <c r="AG244" s="15"/>
      <c r="AH244" s="15"/>
      <c r="AI244" s="15"/>
      <c r="AJ244" s="15"/>
      <c r="AK244" s="16"/>
    </row>
    <row r="245" spans="1:37" ht="15.75" customHeight="1" x14ac:dyDescent="0.25">
      <c r="A245" s="13"/>
      <c r="B245" s="17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8"/>
      <c r="AB245" s="18"/>
      <c r="AC245" s="18"/>
      <c r="AD245" s="18"/>
      <c r="AE245" s="18"/>
      <c r="AF245" s="15"/>
      <c r="AG245" s="15"/>
      <c r="AH245" s="15"/>
      <c r="AI245" s="15"/>
      <c r="AJ245" s="15"/>
      <c r="AK245" s="16"/>
    </row>
    <row r="246" spans="1:37" ht="15.75" customHeight="1" x14ac:dyDescent="0.25">
      <c r="A246" s="13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8"/>
      <c r="AB246" s="18"/>
      <c r="AC246" s="18"/>
      <c r="AD246" s="18"/>
      <c r="AE246" s="18"/>
      <c r="AF246" s="15"/>
      <c r="AG246" s="15"/>
      <c r="AH246" s="15"/>
      <c r="AI246" s="15"/>
      <c r="AJ246" s="15"/>
      <c r="AK246" s="16"/>
    </row>
    <row r="247" spans="1:37" ht="15.75" customHeight="1" x14ac:dyDescent="0.25">
      <c r="A247" s="13"/>
      <c r="B247" s="17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8"/>
      <c r="AB247" s="18"/>
      <c r="AC247" s="18"/>
      <c r="AD247" s="18"/>
      <c r="AE247" s="18"/>
      <c r="AF247" s="15"/>
      <c r="AG247" s="15"/>
      <c r="AH247" s="15"/>
      <c r="AI247" s="15"/>
      <c r="AJ247" s="15"/>
      <c r="AK247" s="16"/>
    </row>
    <row r="248" spans="1:37" ht="15.75" customHeight="1" x14ac:dyDescent="0.25">
      <c r="A248" s="13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8"/>
      <c r="AB248" s="18"/>
      <c r="AC248" s="18"/>
      <c r="AD248" s="18"/>
      <c r="AE248" s="18"/>
      <c r="AF248" s="15"/>
      <c r="AG248" s="15"/>
      <c r="AH248" s="15"/>
      <c r="AI248" s="15"/>
      <c r="AJ248" s="15"/>
      <c r="AK248" s="16"/>
    </row>
    <row r="249" spans="1:37" ht="15.75" customHeight="1" x14ac:dyDescent="0.25">
      <c r="A249" s="13"/>
      <c r="B249" s="17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8"/>
      <c r="AB249" s="18"/>
      <c r="AC249" s="18"/>
      <c r="AD249" s="18"/>
      <c r="AE249" s="18"/>
      <c r="AF249" s="15"/>
      <c r="AG249" s="15"/>
      <c r="AH249" s="15"/>
      <c r="AI249" s="15"/>
      <c r="AJ249" s="15"/>
      <c r="AK249" s="16"/>
    </row>
    <row r="250" spans="1:37" ht="15.75" customHeight="1" x14ac:dyDescent="0.25">
      <c r="A250" s="13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8"/>
      <c r="AB250" s="18"/>
      <c r="AC250" s="18"/>
      <c r="AD250" s="18"/>
      <c r="AE250" s="18"/>
      <c r="AF250" s="15"/>
      <c r="AG250" s="15"/>
      <c r="AH250" s="15"/>
      <c r="AI250" s="15"/>
      <c r="AJ250" s="15"/>
      <c r="AK250" s="16"/>
    </row>
    <row r="251" spans="1:37" ht="15.75" customHeight="1" x14ac:dyDescent="0.25">
      <c r="A251" s="13"/>
      <c r="B251" s="17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8"/>
      <c r="AB251" s="18"/>
      <c r="AC251" s="18"/>
      <c r="AD251" s="18"/>
      <c r="AE251" s="18"/>
      <c r="AF251" s="15"/>
      <c r="AG251" s="15"/>
      <c r="AH251" s="15"/>
      <c r="AI251" s="15"/>
      <c r="AJ251" s="15"/>
      <c r="AK251" s="16"/>
    </row>
    <row r="252" spans="1:37" ht="15.75" customHeight="1" x14ac:dyDescent="0.25">
      <c r="A252" s="13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8"/>
      <c r="AB252" s="18"/>
      <c r="AC252" s="18"/>
      <c r="AD252" s="18"/>
      <c r="AE252" s="18"/>
      <c r="AF252" s="15"/>
      <c r="AG252" s="15"/>
      <c r="AH252" s="15"/>
      <c r="AI252" s="15"/>
      <c r="AJ252" s="15"/>
      <c r="AK252" s="16"/>
    </row>
    <row r="253" spans="1:37" ht="15.75" customHeight="1" x14ac:dyDescent="0.25">
      <c r="A253" s="13"/>
      <c r="B253" s="17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8"/>
      <c r="AB253" s="18"/>
      <c r="AC253" s="18"/>
      <c r="AD253" s="18"/>
      <c r="AE253" s="18"/>
      <c r="AF253" s="15"/>
      <c r="AG253" s="15"/>
      <c r="AH253" s="15"/>
      <c r="AI253" s="15"/>
      <c r="AJ253" s="15"/>
      <c r="AK253" s="16"/>
    </row>
    <row r="254" spans="1:37" ht="15.75" customHeight="1" x14ac:dyDescent="0.25">
      <c r="A254" s="13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8"/>
      <c r="AB254" s="18"/>
      <c r="AC254" s="18"/>
      <c r="AD254" s="18"/>
      <c r="AE254" s="18"/>
      <c r="AF254" s="15"/>
      <c r="AG254" s="15"/>
      <c r="AH254" s="15"/>
      <c r="AI254" s="15"/>
      <c r="AJ254" s="15"/>
      <c r="AK254" s="16"/>
    </row>
    <row r="255" spans="1:37" ht="15.75" customHeight="1" x14ac:dyDescent="0.25">
      <c r="A255" s="13"/>
      <c r="B255" s="17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8"/>
      <c r="AB255" s="18"/>
      <c r="AC255" s="18"/>
      <c r="AD255" s="18"/>
      <c r="AE255" s="18"/>
      <c r="AF255" s="15"/>
      <c r="AG255" s="15"/>
      <c r="AH255" s="15"/>
      <c r="AI255" s="15"/>
      <c r="AJ255" s="15"/>
      <c r="AK255" s="16"/>
    </row>
    <row r="256" spans="1:37" ht="15.75" customHeight="1" x14ac:dyDescent="0.25">
      <c r="A256" s="13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8"/>
      <c r="AB256" s="18"/>
      <c r="AC256" s="18"/>
      <c r="AD256" s="18"/>
      <c r="AE256" s="18"/>
      <c r="AF256" s="15"/>
      <c r="AG256" s="15"/>
      <c r="AH256" s="15"/>
      <c r="AI256" s="15"/>
      <c r="AJ256" s="15"/>
      <c r="AK256" s="16"/>
    </row>
    <row r="257" spans="1:37" ht="15.75" customHeight="1" x14ac:dyDescent="0.25">
      <c r="A257" s="13"/>
      <c r="B257" s="17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8"/>
      <c r="AB257" s="18"/>
      <c r="AC257" s="18"/>
      <c r="AD257" s="18"/>
      <c r="AE257" s="18"/>
      <c r="AF257" s="15"/>
      <c r="AG257" s="15"/>
      <c r="AH257" s="15"/>
      <c r="AI257" s="15"/>
      <c r="AJ257" s="15"/>
      <c r="AK257" s="16"/>
    </row>
    <row r="258" spans="1:37" ht="15.75" customHeight="1" x14ac:dyDescent="0.25">
      <c r="A258" s="13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8"/>
      <c r="AB258" s="18"/>
      <c r="AC258" s="18"/>
      <c r="AD258" s="18"/>
      <c r="AE258" s="18"/>
      <c r="AF258" s="15"/>
      <c r="AG258" s="15"/>
      <c r="AH258" s="15"/>
      <c r="AI258" s="15"/>
      <c r="AJ258" s="15"/>
      <c r="AK258" s="16"/>
    </row>
    <row r="259" spans="1:37" ht="15.75" customHeight="1" x14ac:dyDescent="0.25">
      <c r="A259" s="13"/>
      <c r="B259" s="17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8"/>
      <c r="AB259" s="18"/>
      <c r="AC259" s="18"/>
      <c r="AD259" s="18"/>
      <c r="AE259" s="18"/>
      <c r="AF259" s="15"/>
      <c r="AG259" s="15"/>
      <c r="AH259" s="15"/>
      <c r="AI259" s="15"/>
      <c r="AJ259" s="15"/>
      <c r="AK259" s="16"/>
    </row>
    <row r="260" spans="1:37" ht="15.75" customHeight="1" x14ac:dyDescent="0.25">
      <c r="A260" s="13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8"/>
      <c r="AB260" s="18"/>
      <c r="AC260" s="18"/>
      <c r="AD260" s="18"/>
      <c r="AE260" s="18"/>
      <c r="AF260" s="15"/>
      <c r="AG260" s="15"/>
      <c r="AH260" s="15"/>
      <c r="AI260" s="15"/>
      <c r="AJ260" s="15"/>
      <c r="AK260" s="16"/>
    </row>
    <row r="261" spans="1:37" ht="15.75" customHeight="1" x14ac:dyDescent="0.25">
      <c r="A261" s="13"/>
      <c r="B261" s="17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8"/>
      <c r="AB261" s="18"/>
      <c r="AC261" s="18"/>
      <c r="AD261" s="18"/>
      <c r="AE261" s="18"/>
      <c r="AF261" s="15"/>
      <c r="AG261" s="15"/>
      <c r="AH261" s="15"/>
      <c r="AI261" s="15"/>
      <c r="AJ261" s="15"/>
      <c r="AK261" s="16"/>
    </row>
    <row r="262" spans="1:37" ht="15.75" customHeight="1" x14ac:dyDescent="0.25">
      <c r="A262" s="13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8"/>
      <c r="AB262" s="18"/>
      <c r="AC262" s="18"/>
      <c r="AD262" s="18"/>
      <c r="AE262" s="18"/>
      <c r="AF262" s="15"/>
      <c r="AG262" s="15"/>
      <c r="AH262" s="15"/>
      <c r="AI262" s="15"/>
      <c r="AJ262" s="15"/>
      <c r="AK262" s="16"/>
    </row>
    <row r="263" spans="1:37" ht="15.75" customHeight="1" x14ac:dyDescent="0.25">
      <c r="A263" s="13"/>
      <c r="B263" s="17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8"/>
      <c r="AB263" s="18"/>
      <c r="AC263" s="18"/>
      <c r="AD263" s="18"/>
      <c r="AE263" s="18"/>
      <c r="AF263" s="15"/>
      <c r="AG263" s="15"/>
      <c r="AH263" s="15"/>
      <c r="AI263" s="15"/>
      <c r="AJ263" s="15"/>
      <c r="AK263" s="16"/>
    </row>
    <row r="264" spans="1:37" ht="15.75" customHeight="1" x14ac:dyDescent="0.25">
      <c r="A264" s="13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8"/>
      <c r="AB264" s="18"/>
      <c r="AC264" s="18"/>
      <c r="AD264" s="18"/>
      <c r="AE264" s="18"/>
      <c r="AF264" s="15"/>
      <c r="AG264" s="15"/>
      <c r="AH264" s="15"/>
      <c r="AI264" s="15"/>
      <c r="AJ264" s="15"/>
      <c r="AK264" s="16"/>
    </row>
    <row r="265" spans="1:37" ht="15.75" customHeight="1" x14ac:dyDescent="0.25">
      <c r="A265" s="13"/>
      <c r="B265" s="17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8"/>
      <c r="AB265" s="18"/>
      <c r="AC265" s="18"/>
      <c r="AD265" s="18"/>
      <c r="AE265" s="18"/>
      <c r="AF265" s="15"/>
      <c r="AG265" s="15"/>
      <c r="AH265" s="15"/>
      <c r="AI265" s="15"/>
      <c r="AJ265" s="15"/>
      <c r="AK265" s="16"/>
    </row>
    <row r="266" spans="1:37" ht="15.75" customHeight="1" x14ac:dyDescent="0.25">
      <c r="A266" s="13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8"/>
      <c r="AB266" s="18"/>
      <c r="AC266" s="18"/>
      <c r="AD266" s="18"/>
      <c r="AE266" s="18"/>
      <c r="AF266" s="15"/>
      <c r="AG266" s="15"/>
      <c r="AH266" s="15"/>
      <c r="AI266" s="15"/>
      <c r="AJ266" s="15"/>
      <c r="AK266" s="16"/>
    </row>
    <row r="267" spans="1:37" ht="15.75" customHeight="1" x14ac:dyDescent="0.25">
      <c r="A267" s="13"/>
      <c r="B267" s="17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8"/>
      <c r="AB267" s="18"/>
      <c r="AC267" s="18"/>
      <c r="AD267" s="18"/>
      <c r="AE267" s="18"/>
      <c r="AF267" s="15"/>
      <c r="AG267" s="15"/>
      <c r="AH267" s="15"/>
      <c r="AI267" s="15"/>
      <c r="AJ267" s="15"/>
      <c r="AK267" s="16"/>
    </row>
    <row r="268" spans="1:37" ht="15.75" customHeight="1" x14ac:dyDescent="0.25">
      <c r="A268" s="13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8"/>
      <c r="AB268" s="18"/>
      <c r="AC268" s="18"/>
      <c r="AD268" s="18"/>
      <c r="AE268" s="18"/>
      <c r="AF268" s="15"/>
      <c r="AG268" s="15"/>
      <c r="AH268" s="15"/>
      <c r="AI268" s="15"/>
      <c r="AJ268" s="15"/>
      <c r="AK268" s="16"/>
    </row>
    <row r="269" spans="1:37" ht="15.75" customHeight="1" x14ac:dyDescent="0.25">
      <c r="A269" s="13"/>
      <c r="B269" s="17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8"/>
      <c r="AB269" s="18"/>
      <c r="AC269" s="18"/>
      <c r="AD269" s="18"/>
      <c r="AE269" s="18"/>
      <c r="AF269" s="15"/>
      <c r="AG269" s="15"/>
      <c r="AH269" s="15"/>
      <c r="AI269" s="15"/>
      <c r="AJ269" s="15"/>
      <c r="AK269" s="16"/>
    </row>
    <row r="270" spans="1:37" ht="15.75" customHeight="1" x14ac:dyDescent="0.25">
      <c r="A270" s="13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8"/>
      <c r="AB270" s="18"/>
      <c r="AC270" s="18"/>
      <c r="AD270" s="18"/>
      <c r="AE270" s="18"/>
      <c r="AF270" s="15"/>
      <c r="AG270" s="15"/>
      <c r="AH270" s="15"/>
      <c r="AI270" s="15"/>
      <c r="AJ270" s="15"/>
      <c r="AK270" s="16"/>
    </row>
    <row r="271" spans="1:37" ht="15.75" customHeight="1" x14ac:dyDescent="0.25">
      <c r="A271" s="13"/>
      <c r="B271" s="17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8"/>
      <c r="AB271" s="18"/>
      <c r="AC271" s="18"/>
      <c r="AD271" s="18"/>
      <c r="AE271" s="18"/>
      <c r="AF271" s="15"/>
      <c r="AG271" s="15"/>
      <c r="AH271" s="15"/>
      <c r="AI271" s="15"/>
      <c r="AJ271" s="15"/>
      <c r="AK271" s="16"/>
    </row>
    <row r="272" spans="1:37" ht="15.75" customHeight="1" x14ac:dyDescent="0.25">
      <c r="A272" s="13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8"/>
      <c r="AB272" s="18"/>
      <c r="AC272" s="18"/>
      <c r="AD272" s="18"/>
      <c r="AE272" s="18"/>
      <c r="AF272" s="15"/>
      <c r="AG272" s="15"/>
      <c r="AH272" s="15"/>
      <c r="AI272" s="15"/>
      <c r="AJ272" s="15"/>
      <c r="AK272" s="16"/>
    </row>
    <row r="273" spans="1:37" ht="15.75" customHeight="1" x14ac:dyDescent="0.25">
      <c r="A273" s="13"/>
      <c r="B273" s="17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8"/>
      <c r="AB273" s="18"/>
      <c r="AC273" s="18"/>
      <c r="AD273" s="18"/>
      <c r="AE273" s="18"/>
      <c r="AF273" s="15"/>
      <c r="AG273" s="15"/>
      <c r="AH273" s="15"/>
      <c r="AI273" s="15"/>
      <c r="AJ273" s="15"/>
      <c r="AK273" s="16"/>
    </row>
    <row r="274" spans="1:37" ht="15.75" customHeight="1" x14ac:dyDescent="0.25">
      <c r="A274" s="13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8"/>
      <c r="AB274" s="18"/>
      <c r="AC274" s="18"/>
      <c r="AD274" s="18"/>
      <c r="AE274" s="18"/>
      <c r="AF274" s="15"/>
      <c r="AG274" s="15"/>
      <c r="AH274" s="15"/>
      <c r="AI274" s="15"/>
      <c r="AJ274" s="15"/>
      <c r="AK274" s="16"/>
    </row>
    <row r="275" spans="1:37" ht="15.75" customHeight="1" x14ac:dyDescent="0.25">
      <c r="A275" s="13"/>
      <c r="B275" s="17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8"/>
      <c r="AB275" s="18"/>
      <c r="AC275" s="18"/>
      <c r="AD275" s="18"/>
      <c r="AE275" s="18"/>
      <c r="AF275" s="15"/>
      <c r="AG275" s="15"/>
      <c r="AH275" s="15"/>
      <c r="AI275" s="15"/>
      <c r="AJ275" s="15"/>
      <c r="AK275" s="16"/>
    </row>
    <row r="276" spans="1:37" ht="15.75" customHeight="1" x14ac:dyDescent="0.25">
      <c r="A276" s="13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8"/>
      <c r="AB276" s="18"/>
      <c r="AC276" s="18"/>
      <c r="AD276" s="18"/>
      <c r="AE276" s="18"/>
      <c r="AF276" s="15"/>
      <c r="AG276" s="15"/>
      <c r="AH276" s="15"/>
      <c r="AI276" s="15"/>
      <c r="AJ276" s="15"/>
      <c r="AK276" s="16"/>
    </row>
    <row r="277" spans="1:37" ht="15.75" customHeight="1" x14ac:dyDescent="0.25">
      <c r="A277" s="13"/>
      <c r="B277" s="17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8"/>
      <c r="AB277" s="18"/>
      <c r="AC277" s="18"/>
      <c r="AD277" s="18"/>
      <c r="AE277" s="18"/>
      <c r="AF277" s="15"/>
      <c r="AG277" s="15"/>
      <c r="AH277" s="15"/>
      <c r="AI277" s="15"/>
      <c r="AJ277" s="15"/>
      <c r="AK277" s="16"/>
    </row>
    <row r="278" spans="1:37" ht="15.75" customHeight="1" x14ac:dyDescent="0.25">
      <c r="A278" s="13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8"/>
      <c r="AB278" s="18"/>
      <c r="AC278" s="18"/>
      <c r="AD278" s="18"/>
      <c r="AE278" s="18"/>
      <c r="AF278" s="15"/>
      <c r="AG278" s="15"/>
      <c r="AH278" s="15"/>
      <c r="AI278" s="15"/>
      <c r="AJ278" s="15"/>
      <c r="AK278" s="16"/>
    </row>
    <row r="279" spans="1:37" ht="15.75" customHeight="1" x14ac:dyDescent="0.25">
      <c r="A279" s="13"/>
      <c r="B279" s="17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8"/>
      <c r="AB279" s="18"/>
      <c r="AC279" s="18"/>
      <c r="AD279" s="18"/>
      <c r="AE279" s="18"/>
      <c r="AF279" s="15"/>
      <c r="AG279" s="15"/>
      <c r="AH279" s="15"/>
      <c r="AI279" s="15"/>
      <c r="AJ279" s="15"/>
      <c r="AK279" s="16"/>
    </row>
    <row r="280" spans="1:37" ht="15.75" customHeight="1" x14ac:dyDescent="0.25">
      <c r="A280" s="13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8"/>
      <c r="AB280" s="18"/>
      <c r="AC280" s="18"/>
      <c r="AD280" s="18"/>
      <c r="AE280" s="18"/>
      <c r="AF280" s="15"/>
      <c r="AG280" s="15"/>
      <c r="AH280" s="15"/>
      <c r="AI280" s="15"/>
      <c r="AJ280" s="15"/>
      <c r="AK280" s="16"/>
    </row>
    <row r="281" spans="1:37" ht="15.75" customHeight="1" x14ac:dyDescent="0.25">
      <c r="A281" s="13"/>
      <c r="B281" s="17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8"/>
      <c r="AB281" s="18"/>
      <c r="AC281" s="18"/>
      <c r="AD281" s="18"/>
      <c r="AE281" s="18"/>
      <c r="AF281" s="15"/>
      <c r="AG281" s="15"/>
      <c r="AH281" s="15"/>
      <c r="AI281" s="15"/>
      <c r="AJ281" s="15"/>
      <c r="AK281" s="16"/>
    </row>
    <row r="282" spans="1:37" ht="15.75" customHeight="1" x14ac:dyDescent="0.25">
      <c r="A282" s="13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8"/>
      <c r="AB282" s="18"/>
      <c r="AC282" s="18"/>
      <c r="AD282" s="18"/>
      <c r="AE282" s="18"/>
      <c r="AF282" s="15"/>
      <c r="AG282" s="15"/>
      <c r="AH282" s="15"/>
      <c r="AI282" s="15"/>
      <c r="AJ282" s="15"/>
      <c r="AK282" s="16"/>
    </row>
    <row r="283" spans="1:37" ht="15.75" customHeight="1" x14ac:dyDescent="0.25">
      <c r="A283" s="13"/>
      <c r="B283" s="17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8"/>
      <c r="AB283" s="18"/>
      <c r="AC283" s="18"/>
      <c r="AD283" s="18"/>
      <c r="AE283" s="18"/>
      <c r="AF283" s="15"/>
      <c r="AG283" s="15"/>
      <c r="AH283" s="15"/>
      <c r="AI283" s="15"/>
      <c r="AJ283" s="15"/>
      <c r="AK283" s="16"/>
    </row>
    <row r="284" spans="1:37" ht="15.75" customHeight="1" x14ac:dyDescent="0.25">
      <c r="A284" s="13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8"/>
      <c r="AB284" s="18"/>
      <c r="AC284" s="18"/>
      <c r="AD284" s="18"/>
      <c r="AE284" s="18"/>
      <c r="AF284" s="15"/>
      <c r="AG284" s="15"/>
      <c r="AH284" s="15"/>
      <c r="AI284" s="15"/>
      <c r="AJ284" s="15"/>
      <c r="AK284" s="16"/>
    </row>
    <row r="285" spans="1:37" ht="15.75" customHeight="1" x14ac:dyDescent="0.25">
      <c r="A285" s="13"/>
      <c r="B285" s="17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8"/>
      <c r="AB285" s="18"/>
      <c r="AC285" s="18"/>
      <c r="AD285" s="18"/>
      <c r="AE285" s="18"/>
      <c r="AF285" s="15"/>
      <c r="AG285" s="15"/>
      <c r="AH285" s="15"/>
      <c r="AI285" s="15"/>
      <c r="AJ285" s="15"/>
      <c r="AK285" s="16"/>
    </row>
    <row r="286" spans="1:37" ht="15.75" customHeight="1" x14ac:dyDescent="0.25">
      <c r="A286" s="13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8"/>
      <c r="AB286" s="18"/>
      <c r="AC286" s="18"/>
      <c r="AD286" s="18"/>
      <c r="AE286" s="18"/>
      <c r="AF286" s="15"/>
      <c r="AG286" s="15"/>
      <c r="AH286" s="15"/>
      <c r="AI286" s="15"/>
      <c r="AJ286" s="15"/>
      <c r="AK286" s="16"/>
    </row>
    <row r="287" spans="1:37" ht="15.75" customHeight="1" x14ac:dyDescent="0.25">
      <c r="A287" s="13"/>
      <c r="B287" s="17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8"/>
      <c r="AB287" s="18"/>
      <c r="AC287" s="18"/>
      <c r="AD287" s="18"/>
      <c r="AE287" s="18"/>
      <c r="AF287" s="15"/>
      <c r="AG287" s="15"/>
      <c r="AH287" s="15"/>
      <c r="AI287" s="15"/>
      <c r="AJ287" s="15"/>
      <c r="AK287" s="16"/>
    </row>
    <row r="288" spans="1:37" ht="15.75" customHeight="1" x14ac:dyDescent="0.25">
      <c r="A288" s="13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8"/>
      <c r="AB288" s="18"/>
      <c r="AC288" s="18"/>
      <c r="AD288" s="18"/>
      <c r="AE288" s="18"/>
      <c r="AF288" s="15"/>
      <c r="AG288" s="15"/>
      <c r="AH288" s="15"/>
      <c r="AI288" s="15"/>
      <c r="AJ288" s="15"/>
      <c r="AK288" s="16"/>
    </row>
    <row r="289" spans="1:37" ht="15.75" customHeight="1" x14ac:dyDescent="0.25">
      <c r="A289" s="13"/>
      <c r="B289" s="17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8"/>
      <c r="AB289" s="18"/>
      <c r="AC289" s="18"/>
      <c r="AD289" s="18"/>
      <c r="AE289" s="18"/>
      <c r="AF289" s="15"/>
      <c r="AG289" s="15"/>
      <c r="AH289" s="15"/>
      <c r="AI289" s="15"/>
      <c r="AJ289" s="15"/>
      <c r="AK289" s="16"/>
    </row>
    <row r="290" spans="1:37" ht="15.75" customHeight="1" x14ac:dyDescent="0.25">
      <c r="A290" s="13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8"/>
      <c r="AB290" s="18"/>
      <c r="AC290" s="18"/>
      <c r="AD290" s="18"/>
      <c r="AE290" s="18"/>
      <c r="AF290" s="15"/>
      <c r="AG290" s="15"/>
      <c r="AH290" s="15"/>
      <c r="AI290" s="15"/>
      <c r="AJ290" s="15"/>
      <c r="AK290" s="16"/>
    </row>
    <row r="291" spans="1:37" ht="15.75" customHeight="1" x14ac:dyDescent="0.25">
      <c r="A291" s="13"/>
      <c r="B291" s="17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8"/>
      <c r="AB291" s="18"/>
      <c r="AC291" s="18"/>
      <c r="AD291" s="18"/>
      <c r="AE291" s="18"/>
      <c r="AF291" s="15"/>
      <c r="AG291" s="15"/>
      <c r="AH291" s="15"/>
      <c r="AI291" s="15"/>
      <c r="AJ291" s="15"/>
      <c r="AK291" s="16"/>
    </row>
    <row r="292" spans="1:37" ht="15.75" customHeight="1" x14ac:dyDescent="0.25">
      <c r="A292" s="13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8"/>
      <c r="AB292" s="18"/>
      <c r="AC292" s="18"/>
      <c r="AD292" s="18"/>
      <c r="AE292" s="18"/>
      <c r="AF292" s="15"/>
      <c r="AG292" s="15"/>
      <c r="AH292" s="15"/>
      <c r="AI292" s="15"/>
      <c r="AJ292" s="15"/>
      <c r="AK292" s="16"/>
    </row>
    <row r="293" spans="1:37" ht="15.75" customHeight="1" x14ac:dyDescent="0.25">
      <c r="A293" s="13"/>
      <c r="B293" s="17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8"/>
      <c r="AB293" s="18"/>
      <c r="AC293" s="18"/>
      <c r="AD293" s="18"/>
      <c r="AE293" s="18"/>
      <c r="AF293" s="15"/>
      <c r="AG293" s="15"/>
      <c r="AH293" s="15"/>
      <c r="AI293" s="15"/>
      <c r="AJ293" s="15"/>
      <c r="AK293" s="16"/>
    </row>
    <row r="294" spans="1:37" ht="15.75" customHeight="1" x14ac:dyDescent="0.25">
      <c r="A294" s="13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8"/>
      <c r="AB294" s="18"/>
      <c r="AC294" s="18"/>
      <c r="AD294" s="18"/>
      <c r="AE294" s="18"/>
      <c r="AF294" s="15"/>
      <c r="AG294" s="15"/>
      <c r="AH294" s="15"/>
      <c r="AI294" s="15"/>
      <c r="AJ294" s="15"/>
      <c r="AK294" s="16"/>
    </row>
    <row r="295" spans="1:37" ht="15.75" customHeight="1" x14ac:dyDescent="0.25">
      <c r="A295" s="13"/>
      <c r="B295" s="17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8"/>
      <c r="AB295" s="18"/>
      <c r="AC295" s="18"/>
      <c r="AD295" s="18"/>
      <c r="AE295" s="18"/>
      <c r="AF295" s="15"/>
      <c r="AG295" s="15"/>
      <c r="AH295" s="15"/>
      <c r="AI295" s="15"/>
      <c r="AJ295" s="15"/>
      <c r="AK295" s="16"/>
    </row>
    <row r="296" spans="1:37" ht="15.75" customHeight="1" x14ac:dyDescent="0.25">
      <c r="A296" s="13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8"/>
      <c r="AB296" s="18"/>
      <c r="AC296" s="18"/>
      <c r="AD296" s="18"/>
      <c r="AE296" s="18"/>
      <c r="AF296" s="15"/>
      <c r="AG296" s="15"/>
      <c r="AH296" s="15"/>
      <c r="AI296" s="15"/>
      <c r="AJ296" s="15"/>
      <c r="AK296" s="16"/>
    </row>
    <row r="297" spans="1:37" ht="15.75" customHeight="1" x14ac:dyDescent="0.25">
      <c r="A297" s="13"/>
      <c r="B297" s="17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8"/>
      <c r="AB297" s="18"/>
      <c r="AC297" s="18"/>
      <c r="AD297" s="18"/>
      <c r="AE297" s="18"/>
      <c r="AF297" s="15"/>
      <c r="AG297" s="15"/>
      <c r="AH297" s="15"/>
      <c r="AI297" s="15"/>
      <c r="AJ297" s="15"/>
      <c r="AK297" s="16"/>
    </row>
    <row r="298" spans="1:37" ht="15.75" customHeight="1" x14ac:dyDescent="0.25">
      <c r="A298" s="13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8"/>
      <c r="AB298" s="18"/>
      <c r="AC298" s="18"/>
      <c r="AD298" s="18"/>
      <c r="AE298" s="18"/>
      <c r="AF298" s="15"/>
      <c r="AG298" s="15"/>
      <c r="AH298" s="15"/>
      <c r="AI298" s="15"/>
      <c r="AJ298" s="15"/>
      <c r="AK298" s="16"/>
    </row>
    <row r="299" spans="1:37" ht="15.75" customHeight="1" x14ac:dyDescent="0.25">
      <c r="A299" s="13"/>
      <c r="B299" s="17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8"/>
      <c r="AB299" s="18"/>
      <c r="AC299" s="18"/>
      <c r="AD299" s="18"/>
      <c r="AE299" s="18"/>
      <c r="AF299" s="15"/>
      <c r="AG299" s="15"/>
      <c r="AH299" s="15"/>
      <c r="AI299" s="15"/>
      <c r="AJ299" s="15"/>
      <c r="AK299" s="16"/>
    </row>
    <row r="300" spans="1:37" ht="15.75" customHeight="1" x14ac:dyDescent="0.25">
      <c r="A300" s="13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8"/>
      <c r="AB300" s="18"/>
      <c r="AC300" s="18"/>
      <c r="AD300" s="18"/>
      <c r="AE300" s="18"/>
      <c r="AF300" s="15"/>
      <c r="AG300" s="15"/>
      <c r="AH300" s="15"/>
      <c r="AI300" s="15"/>
      <c r="AJ300" s="15"/>
      <c r="AK300" s="16"/>
    </row>
    <row r="301" spans="1:37" ht="15.75" customHeight="1" x14ac:dyDescent="0.25">
      <c r="A301" s="13"/>
      <c r="B301" s="17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8"/>
      <c r="AB301" s="18"/>
      <c r="AC301" s="18"/>
      <c r="AD301" s="18"/>
      <c r="AE301" s="18"/>
      <c r="AF301" s="15"/>
      <c r="AG301" s="15"/>
      <c r="AH301" s="15"/>
      <c r="AI301" s="15"/>
      <c r="AJ301" s="15"/>
      <c r="AK301" s="16"/>
    </row>
    <row r="302" spans="1:37" ht="15.75" customHeight="1" x14ac:dyDescent="0.25">
      <c r="A302" s="13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8"/>
      <c r="AB302" s="18"/>
      <c r="AC302" s="18"/>
      <c r="AD302" s="18"/>
      <c r="AE302" s="18"/>
      <c r="AF302" s="15"/>
      <c r="AG302" s="15"/>
      <c r="AH302" s="15"/>
      <c r="AI302" s="15"/>
      <c r="AJ302" s="15"/>
      <c r="AK302" s="16"/>
    </row>
    <row r="303" spans="1:37" ht="15.75" customHeight="1" x14ac:dyDescent="0.25">
      <c r="A303" s="13"/>
      <c r="B303" s="17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8"/>
      <c r="AB303" s="18"/>
      <c r="AC303" s="18"/>
      <c r="AD303" s="18"/>
      <c r="AE303" s="18"/>
      <c r="AF303" s="15"/>
      <c r="AG303" s="15"/>
      <c r="AH303" s="15"/>
      <c r="AI303" s="15"/>
      <c r="AJ303" s="15"/>
      <c r="AK303" s="16"/>
    </row>
    <row r="304" spans="1:37" ht="15.75" customHeight="1" x14ac:dyDescent="0.25">
      <c r="A304" s="13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8"/>
      <c r="AB304" s="18"/>
      <c r="AC304" s="18"/>
      <c r="AD304" s="18"/>
      <c r="AE304" s="18"/>
      <c r="AF304" s="15"/>
      <c r="AG304" s="15"/>
      <c r="AH304" s="15"/>
      <c r="AI304" s="15"/>
      <c r="AJ304" s="15"/>
      <c r="AK304" s="16"/>
    </row>
    <row r="305" spans="1:37" ht="15.75" customHeight="1" x14ac:dyDescent="0.25">
      <c r="A305" s="13"/>
      <c r="B305" s="17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8"/>
      <c r="AB305" s="18"/>
      <c r="AC305" s="18"/>
      <c r="AD305" s="18"/>
      <c r="AE305" s="18"/>
      <c r="AF305" s="15"/>
      <c r="AG305" s="15"/>
      <c r="AH305" s="15"/>
      <c r="AI305" s="15"/>
      <c r="AJ305" s="15"/>
      <c r="AK305" s="16"/>
    </row>
    <row r="306" spans="1:37" ht="15.75" customHeight="1" x14ac:dyDescent="0.25">
      <c r="A306" s="13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8"/>
      <c r="AB306" s="18"/>
      <c r="AC306" s="18"/>
      <c r="AD306" s="18"/>
      <c r="AE306" s="18"/>
      <c r="AF306" s="15"/>
      <c r="AG306" s="15"/>
      <c r="AH306" s="15"/>
      <c r="AI306" s="15"/>
      <c r="AJ306" s="15"/>
      <c r="AK306" s="16"/>
    </row>
    <row r="307" spans="1:37" ht="15.75" customHeight="1" x14ac:dyDescent="0.25">
      <c r="A307" s="13"/>
      <c r="B307" s="17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8"/>
      <c r="AB307" s="18"/>
      <c r="AC307" s="18"/>
      <c r="AD307" s="18"/>
      <c r="AE307" s="18"/>
      <c r="AF307" s="15"/>
      <c r="AG307" s="15"/>
      <c r="AH307" s="15"/>
      <c r="AI307" s="15"/>
      <c r="AJ307" s="15"/>
      <c r="AK307" s="16"/>
    </row>
    <row r="308" spans="1:37" ht="15.75" customHeight="1" x14ac:dyDescent="0.25">
      <c r="A308" s="13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8"/>
      <c r="AB308" s="18"/>
      <c r="AC308" s="18"/>
      <c r="AD308" s="18"/>
      <c r="AE308" s="18"/>
      <c r="AF308" s="15"/>
      <c r="AG308" s="15"/>
      <c r="AH308" s="15"/>
      <c r="AI308" s="15"/>
      <c r="AJ308" s="15"/>
      <c r="AK308" s="16"/>
    </row>
    <row r="309" spans="1:37" ht="15.75" customHeight="1" x14ac:dyDescent="0.25">
      <c r="A309" s="13"/>
      <c r="B309" s="17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8"/>
      <c r="AB309" s="18"/>
      <c r="AC309" s="18"/>
      <c r="AD309" s="18"/>
      <c r="AE309" s="18"/>
      <c r="AF309" s="15"/>
      <c r="AG309" s="15"/>
      <c r="AH309" s="15"/>
      <c r="AI309" s="15"/>
      <c r="AJ309" s="15"/>
      <c r="AK309" s="16"/>
    </row>
    <row r="310" spans="1:37" ht="15.75" customHeight="1" x14ac:dyDescent="0.25">
      <c r="A310" s="13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8"/>
      <c r="AB310" s="18"/>
      <c r="AC310" s="18"/>
      <c r="AD310" s="18"/>
      <c r="AE310" s="18"/>
      <c r="AF310" s="15"/>
      <c r="AG310" s="15"/>
      <c r="AH310" s="15"/>
      <c r="AI310" s="15"/>
      <c r="AJ310" s="15"/>
      <c r="AK310" s="16"/>
    </row>
    <row r="311" spans="1:37" ht="15.75" customHeight="1" x14ac:dyDescent="0.25">
      <c r="A311" s="13"/>
      <c r="B311" s="17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8"/>
      <c r="AB311" s="18"/>
      <c r="AC311" s="18"/>
      <c r="AD311" s="18"/>
      <c r="AE311" s="18"/>
      <c r="AF311" s="15"/>
      <c r="AG311" s="15"/>
      <c r="AH311" s="15"/>
      <c r="AI311" s="15"/>
      <c r="AJ311" s="15"/>
      <c r="AK311" s="16"/>
    </row>
    <row r="312" spans="1:37" ht="15.75" customHeight="1" x14ac:dyDescent="0.25">
      <c r="A312" s="13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8"/>
      <c r="AB312" s="18"/>
      <c r="AC312" s="18"/>
      <c r="AD312" s="18"/>
      <c r="AE312" s="18"/>
      <c r="AF312" s="15"/>
      <c r="AG312" s="15"/>
      <c r="AH312" s="15"/>
      <c r="AI312" s="15"/>
      <c r="AJ312" s="15"/>
      <c r="AK312" s="16"/>
    </row>
    <row r="313" spans="1:37" ht="15.75" customHeight="1" x14ac:dyDescent="0.25">
      <c r="A313" s="13"/>
      <c r="B313" s="17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8"/>
      <c r="AB313" s="18"/>
      <c r="AC313" s="18"/>
      <c r="AD313" s="18"/>
      <c r="AE313" s="18"/>
      <c r="AF313" s="15"/>
      <c r="AG313" s="15"/>
      <c r="AH313" s="15"/>
      <c r="AI313" s="15"/>
      <c r="AJ313" s="15"/>
      <c r="AK313" s="16"/>
    </row>
    <row r="314" spans="1:37" ht="15.75" customHeight="1" x14ac:dyDescent="0.25">
      <c r="A314" s="13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8"/>
      <c r="AB314" s="18"/>
      <c r="AC314" s="18"/>
      <c r="AD314" s="18"/>
      <c r="AE314" s="18"/>
      <c r="AF314" s="15"/>
      <c r="AG314" s="15"/>
      <c r="AH314" s="15"/>
      <c r="AI314" s="15"/>
      <c r="AJ314" s="15"/>
      <c r="AK314" s="16"/>
    </row>
    <row r="315" spans="1:37" ht="15.75" customHeight="1" x14ac:dyDescent="0.25">
      <c r="A315" s="13"/>
      <c r="B315" s="17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8"/>
      <c r="AB315" s="18"/>
      <c r="AC315" s="18"/>
      <c r="AD315" s="18"/>
      <c r="AE315" s="18"/>
      <c r="AF315" s="15"/>
      <c r="AG315" s="15"/>
      <c r="AH315" s="15"/>
      <c r="AI315" s="15"/>
      <c r="AJ315" s="15"/>
      <c r="AK315" s="16"/>
    </row>
    <row r="316" spans="1:37" ht="15.75" customHeight="1" x14ac:dyDescent="0.25">
      <c r="A316" s="13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8"/>
      <c r="AB316" s="18"/>
      <c r="AC316" s="18"/>
      <c r="AD316" s="18"/>
      <c r="AE316" s="18"/>
      <c r="AF316" s="15"/>
      <c r="AG316" s="15"/>
      <c r="AH316" s="15"/>
      <c r="AI316" s="15"/>
      <c r="AJ316" s="15"/>
      <c r="AK316" s="16"/>
    </row>
    <row r="317" spans="1:37" ht="15.75" customHeight="1" x14ac:dyDescent="0.25">
      <c r="A317" s="13"/>
      <c r="B317" s="17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8"/>
      <c r="AB317" s="18"/>
      <c r="AC317" s="18"/>
      <c r="AD317" s="18"/>
      <c r="AE317" s="18"/>
      <c r="AF317" s="15"/>
      <c r="AG317" s="15"/>
      <c r="AH317" s="15"/>
      <c r="AI317" s="15"/>
      <c r="AJ317" s="15"/>
      <c r="AK317" s="16"/>
    </row>
    <row r="318" spans="1:37" ht="15.75" customHeight="1" x14ac:dyDescent="0.25">
      <c r="A318" s="13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8"/>
      <c r="AB318" s="18"/>
      <c r="AC318" s="18"/>
      <c r="AD318" s="18"/>
      <c r="AE318" s="18"/>
      <c r="AF318" s="15"/>
      <c r="AG318" s="15"/>
      <c r="AH318" s="15"/>
      <c r="AI318" s="15"/>
      <c r="AJ318" s="15"/>
      <c r="AK318" s="16"/>
    </row>
    <row r="319" spans="1:37" ht="15.75" customHeight="1" x14ac:dyDescent="0.25">
      <c r="A319" s="13"/>
      <c r="B319" s="17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8"/>
      <c r="AB319" s="18"/>
      <c r="AC319" s="18"/>
      <c r="AD319" s="18"/>
      <c r="AE319" s="18"/>
      <c r="AF319" s="15"/>
      <c r="AG319" s="15"/>
      <c r="AH319" s="15"/>
      <c r="AI319" s="15"/>
      <c r="AJ319" s="15"/>
      <c r="AK319" s="16"/>
    </row>
    <row r="320" spans="1:37" ht="15.75" customHeight="1" x14ac:dyDescent="0.25">
      <c r="A320" s="13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8"/>
      <c r="AB320" s="18"/>
      <c r="AC320" s="18"/>
      <c r="AD320" s="18"/>
      <c r="AE320" s="18"/>
      <c r="AF320" s="15"/>
      <c r="AG320" s="15"/>
      <c r="AH320" s="15"/>
      <c r="AI320" s="15"/>
      <c r="AJ320" s="15"/>
      <c r="AK320" s="16"/>
    </row>
    <row r="321" spans="1:37" ht="15.75" customHeight="1" x14ac:dyDescent="0.25">
      <c r="A321" s="13"/>
      <c r="B321" s="17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8"/>
      <c r="AB321" s="18"/>
      <c r="AC321" s="18"/>
      <c r="AD321" s="18"/>
      <c r="AE321" s="18"/>
      <c r="AF321" s="15"/>
      <c r="AG321" s="15"/>
      <c r="AH321" s="15"/>
      <c r="AI321" s="15"/>
      <c r="AJ321" s="15"/>
      <c r="AK321" s="16"/>
    </row>
    <row r="322" spans="1:37" ht="15.75" customHeight="1" x14ac:dyDescent="0.25">
      <c r="A322" s="13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8"/>
      <c r="AB322" s="18"/>
      <c r="AC322" s="18"/>
      <c r="AD322" s="18"/>
      <c r="AE322" s="18"/>
      <c r="AF322" s="15"/>
      <c r="AG322" s="15"/>
      <c r="AH322" s="15"/>
      <c r="AI322" s="15"/>
      <c r="AJ322" s="15"/>
      <c r="AK322" s="16"/>
    </row>
    <row r="323" spans="1:37" ht="15.75" customHeight="1" x14ac:dyDescent="0.25">
      <c r="A323" s="13"/>
      <c r="B323" s="17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8"/>
      <c r="AB323" s="18"/>
      <c r="AC323" s="18"/>
      <c r="AD323" s="18"/>
      <c r="AE323" s="18"/>
      <c r="AF323" s="15"/>
      <c r="AG323" s="15"/>
      <c r="AH323" s="15"/>
      <c r="AI323" s="15"/>
      <c r="AJ323" s="15"/>
      <c r="AK323" s="16"/>
    </row>
    <row r="324" spans="1:37" ht="15.75" customHeight="1" x14ac:dyDescent="0.25">
      <c r="A324" s="13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8"/>
      <c r="AB324" s="18"/>
      <c r="AC324" s="18"/>
      <c r="AD324" s="18"/>
      <c r="AE324" s="18"/>
      <c r="AF324" s="15"/>
      <c r="AG324" s="15"/>
      <c r="AH324" s="15"/>
      <c r="AI324" s="15"/>
      <c r="AJ324" s="15"/>
      <c r="AK324" s="16"/>
    </row>
    <row r="325" spans="1:37" ht="15.75" customHeight="1" x14ac:dyDescent="0.25">
      <c r="A325" s="13"/>
      <c r="B325" s="17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8"/>
      <c r="AB325" s="18"/>
      <c r="AC325" s="18"/>
      <c r="AD325" s="18"/>
      <c r="AE325" s="18"/>
      <c r="AF325" s="15"/>
      <c r="AG325" s="15"/>
      <c r="AH325" s="15"/>
      <c r="AI325" s="15"/>
      <c r="AJ325" s="15"/>
      <c r="AK325" s="16"/>
    </row>
    <row r="326" spans="1:37" ht="15.75" customHeight="1" x14ac:dyDescent="0.25">
      <c r="A326" s="13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8"/>
      <c r="AB326" s="18"/>
      <c r="AC326" s="18"/>
      <c r="AD326" s="18"/>
      <c r="AE326" s="18"/>
      <c r="AF326" s="15"/>
      <c r="AG326" s="15"/>
      <c r="AH326" s="15"/>
      <c r="AI326" s="15"/>
      <c r="AJ326" s="15"/>
      <c r="AK326" s="16"/>
    </row>
    <row r="327" spans="1:37" ht="15.75" customHeight="1" x14ac:dyDescent="0.25">
      <c r="A327" s="13"/>
      <c r="B327" s="17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8"/>
      <c r="AB327" s="18"/>
      <c r="AC327" s="18"/>
      <c r="AD327" s="18"/>
      <c r="AE327" s="18"/>
      <c r="AF327" s="15"/>
      <c r="AG327" s="15"/>
      <c r="AH327" s="15"/>
      <c r="AI327" s="15"/>
      <c r="AJ327" s="15"/>
      <c r="AK327" s="16"/>
    </row>
    <row r="328" spans="1:37" ht="15.75" customHeight="1" x14ac:dyDescent="0.25">
      <c r="A328" s="13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8"/>
      <c r="AB328" s="18"/>
      <c r="AC328" s="18"/>
      <c r="AD328" s="18"/>
      <c r="AE328" s="18"/>
      <c r="AF328" s="15"/>
      <c r="AG328" s="15"/>
      <c r="AH328" s="15"/>
      <c r="AI328" s="15"/>
      <c r="AJ328" s="15"/>
      <c r="AK328" s="16"/>
    </row>
    <row r="329" spans="1:37" ht="15.75" customHeight="1" x14ac:dyDescent="0.25">
      <c r="A329" s="13"/>
      <c r="B329" s="17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8"/>
      <c r="AB329" s="18"/>
      <c r="AC329" s="18"/>
      <c r="AD329" s="18"/>
      <c r="AE329" s="18"/>
      <c r="AF329" s="15"/>
      <c r="AG329" s="15"/>
      <c r="AH329" s="15"/>
      <c r="AI329" s="15"/>
      <c r="AJ329" s="15"/>
      <c r="AK329" s="16"/>
    </row>
    <row r="330" spans="1:37" ht="15.75" customHeight="1" x14ac:dyDescent="0.25">
      <c r="A330" s="13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8"/>
      <c r="AB330" s="18"/>
      <c r="AC330" s="18"/>
      <c r="AD330" s="18"/>
      <c r="AE330" s="18"/>
      <c r="AF330" s="15"/>
      <c r="AG330" s="15"/>
      <c r="AH330" s="15"/>
      <c r="AI330" s="15"/>
      <c r="AJ330" s="15"/>
      <c r="AK330" s="16"/>
    </row>
    <row r="331" spans="1:37" ht="15.75" customHeight="1" x14ac:dyDescent="0.25">
      <c r="A331" s="13"/>
      <c r="B331" s="17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8"/>
      <c r="AB331" s="18"/>
      <c r="AC331" s="18"/>
      <c r="AD331" s="18"/>
      <c r="AE331" s="18"/>
      <c r="AF331" s="15"/>
      <c r="AG331" s="15"/>
      <c r="AH331" s="15"/>
      <c r="AI331" s="15"/>
      <c r="AJ331" s="15"/>
      <c r="AK331" s="16"/>
    </row>
    <row r="332" spans="1:37" ht="15.75" customHeight="1" x14ac:dyDescent="0.25">
      <c r="A332" s="13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8"/>
      <c r="AB332" s="18"/>
      <c r="AC332" s="18"/>
      <c r="AD332" s="18"/>
      <c r="AE332" s="18"/>
      <c r="AF332" s="15"/>
      <c r="AG332" s="15"/>
      <c r="AH332" s="15"/>
      <c r="AI332" s="15"/>
      <c r="AJ332" s="15"/>
      <c r="AK332" s="16"/>
    </row>
    <row r="333" spans="1:37" ht="15.75" customHeight="1" x14ac:dyDescent="0.25">
      <c r="A333" s="13"/>
      <c r="B333" s="17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8"/>
      <c r="AB333" s="18"/>
      <c r="AC333" s="18"/>
      <c r="AD333" s="18"/>
      <c r="AE333" s="18"/>
      <c r="AF333" s="15"/>
      <c r="AG333" s="15"/>
      <c r="AH333" s="15"/>
      <c r="AI333" s="15"/>
      <c r="AJ333" s="15"/>
      <c r="AK333" s="16"/>
    </row>
    <row r="334" spans="1:37" ht="15.75" customHeight="1" x14ac:dyDescent="0.25">
      <c r="A334" s="13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8"/>
      <c r="AB334" s="18"/>
      <c r="AC334" s="18"/>
      <c r="AD334" s="18"/>
      <c r="AE334" s="18"/>
      <c r="AF334" s="15"/>
      <c r="AG334" s="15"/>
      <c r="AH334" s="15"/>
      <c r="AI334" s="15"/>
      <c r="AJ334" s="15"/>
      <c r="AK334" s="16"/>
    </row>
    <row r="335" spans="1:37" ht="15.75" customHeight="1" x14ac:dyDescent="0.25">
      <c r="A335" s="13"/>
      <c r="B335" s="17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8"/>
      <c r="AB335" s="18"/>
      <c r="AC335" s="18"/>
      <c r="AD335" s="18"/>
      <c r="AE335" s="18"/>
      <c r="AF335" s="15"/>
      <c r="AG335" s="15"/>
      <c r="AH335" s="15"/>
      <c r="AI335" s="15"/>
      <c r="AJ335" s="15"/>
      <c r="AK335" s="16"/>
    </row>
    <row r="336" spans="1:37" ht="15.75" customHeight="1" x14ac:dyDescent="0.25">
      <c r="A336" s="13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8"/>
      <c r="AB336" s="18"/>
      <c r="AC336" s="18"/>
      <c r="AD336" s="18"/>
      <c r="AE336" s="18"/>
      <c r="AF336" s="15"/>
      <c r="AG336" s="15"/>
      <c r="AH336" s="15"/>
      <c r="AI336" s="15"/>
      <c r="AJ336" s="15"/>
      <c r="AK336" s="16"/>
    </row>
    <row r="337" spans="1:37" ht="15.75" customHeight="1" x14ac:dyDescent="0.25">
      <c r="A337" s="13"/>
      <c r="B337" s="17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8"/>
      <c r="AB337" s="18"/>
      <c r="AC337" s="18"/>
      <c r="AD337" s="18"/>
      <c r="AE337" s="18"/>
      <c r="AF337" s="15"/>
      <c r="AG337" s="15"/>
      <c r="AH337" s="15"/>
      <c r="AI337" s="15"/>
      <c r="AJ337" s="15"/>
      <c r="AK337" s="16"/>
    </row>
    <row r="338" spans="1:37" ht="15.75" customHeight="1" x14ac:dyDescent="0.25">
      <c r="A338" s="13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8"/>
      <c r="AB338" s="18"/>
      <c r="AC338" s="18"/>
      <c r="AD338" s="18"/>
      <c r="AE338" s="18"/>
      <c r="AF338" s="15"/>
      <c r="AG338" s="15"/>
      <c r="AH338" s="15"/>
      <c r="AI338" s="15"/>
      <c r="AJ338" s="15"/>
      <c r="AK338" s="16"/>
    </row>
    <row r="339" spans="1:37" ht="15.75" customHeight="1" x14ac:dyDescent="0.25">
      <c r="A339" s="13"/>
      <c r="B339" s="17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8"/>
      <c r="AB339" s="18"/>
      <c r="AC339" s="18"/>
      <c r="AD339" s="18"/>
      <c r="AE339" s="18"/>
      <c r="AF339" s="15"/>
      <c r="AG339" s="15"/>
      <c r="AH339" s="15"/>
      <c r="AI339" s="15"/>
      <c r="AJ339" s="15"/>
      <c r="AK339" s="16"/>
    </row>
    <row r="340" spans="1:37" ht="15.75" customHeight="1" x14ac:dyDescent="0.25">
      <c r="A340" s="13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8"/>
      <c r="AB340" s="18"/>
      <c r="AC340" s="18"/>
      <c r="AD340" s="18"/>
      <c r="AE340" s="18"/>
      <c r="AF340" s="15"/>
      <c r="AG340" s="15"/>
      <c r="AH340" s="15"/>
      <c r="AI340" s="15"/>
      <c r="AJ340" s="15"/>
      <c r="AK340" s="16"/>
    </row>
    <row r="341" spans="1:37" ht="15.75" customHeight="1" x14ac:dyDescent="0.25">
      <c r="A341" s="13"/>
      <c r="B341" s="17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8"/>
      <c r="AB341" s="18"/>
      <c r="AC341" s="18"/>
      <c r="AD341" s="18"/>
      <c r="AE341" s="18"/>
      <c r="AF341" s="15"/>
      <c r="AG341" s="15"/>
      <c r="AH341" s="15"/>
      <c r="AI341" s="15"/>
      <c r="AJ341" s="15"/>
      <c r="AK341" s="16"/>
    </row>
    <row r="342" spans="1:37" ht="15.75" customHeight="1" x14ac:dyDescent="0.25">
      <c r="A342" s="13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8"/>
      <c r="AB342" s="18"/>
      <c r="AC342" s="18"/>
      <c r="AD342" s="18"/>
      <c r="AE342" s="18"/>
      <c r="AF342" s="15"/>
      <c r="AG342" s="15"/>
      <c r="AH342" s="15"/>
      <c r="AI342" s="15"/>
      <c r="AJ342" s="15"/>
      <c r="AK342" s="16"/>
    </row>
    <row r="343" spans="1:37" ht="15.75" customHeight="1" x14ac:dyDescent="0.25">
      <c r="A343" s="13"/>
      <c r="B343" s="17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8"/>
      <c r="AB343" s="18"/>
      <c r="AC343" s="18"/>
      <c r="AD343" s="18"/>
      <c r="AE343" s="18"/>
      <c r="AF343" s="15"/>
      <c r="AG343" s="15"/>
      <c r="AH343" s="15"/>
      <c r="AI343" s="15"/>
      <c r="AJ343" s="15"/>
      <c r="AK343" s="16"/>
    </row>
    <row r="344" spans="1:37" ht="15.75" customHeight="1" x14ac:dyDescent="0.25">
      <c r="A344" s="13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8"/>
      <c r="AB344" s="18"/>
      <c r="AC344" s="18"/>
      <c r="AD344" s="18"/>
      <c r="AE344" s="18"/>
      <c r="AF344" s="15"/>
      <c r="AG344" s="15"/>
      <c r="AH344" s="15"/>
      <c r="AI344" s="15"/>
      <c r="AJ344" s="15"/>
      <c r="AK344" s="16"/>
    </row>
    <row r="345" spans="1:37" ht="15.75" customHeight="1" x14ac:dyDescent="0.25">
      <c r="A345" s="13"/>
      <c r="B345" s="17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8"/>
      <c r="AB345" s="18"/>
      <c r="AC345" s="18"/>
      <c r="AD345" s="18"/>
      <c r="AE345" s="18"/>
      <c r="AF345" s="15"/>
      <c r="AG345" s="15"/>
      <c r="AH345" s="15"/>
      <c r="AI345" s="15"/>
      <c r="AJ345" s="15"/>
      <c r="AK345" s="16"/>
    </row>
    <row r="346" spans="1:37" ht="15.75" customHeight="1" x14ac:dyDescent="0.25">
      <c r="A346" s="13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8"/>
      <c r="AB346" s="18"/>
      <c r="AC346" s="18"/>
      <c r="AD346" s="18"/>
      <c r="AE346" s="18"/>
      <c r="AF346" s="15"/>
      <c r="AG346" s="15"/>
      <c r="AH346" s="15"/>
      <c r="AI346" s="15"/>
      <c r="AJ346" s="15"/>
      <c r="AK346" s="16"/>
    </row>
    <row r="347" spans="1:37" ht="15.75" customHeight="1" x14ac:dyDescent="0.25">
      <c r="A347" s="13"/>
      <c r="B347" s="17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8"/>
      <c r="AB347" s="18"/>
      <c r="AC347" s="18"/>
      <c r="AD347" s="18"/>
      <c r="AE347" s="18"/>
      <c r="AF347" s="15"/>
      <c r="AG347" s="15"/>
      <c r="AH347" s="15"/>
      <c r="AI347" s="15"/>
      <c r="AJ347" s="15"/>
      <c r="AK347" s="16"/>
    </row>
    <row r="348" spans="1:37" ht="15.75" customHeight="1" x14ac:dyDescent="0.25">
      <c r="A348" s="13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8"/>
      <c r="AB348" s="18"/>
      <c r="AC348" s="18"/>
      <c r="AD348" s="18"/>
      <c r="AE348" s="18"/>
      <c r="AF348" s="15"/>
      <c r="AG348" s="15"/>
      <c r="AH348" s="15"/>
      <c r="AI348" s="15"/>
      <c r="AJ348" s="15"/>
      <c r="AK348" s="16"/>
    </row>
    <row r="349" spans="1:37" ht="15.75" customHeight="1" x14ac:dyDescent="0.25">
      <c r="A349" s="13"/>
      <c r="B349" s="17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8"/>
      <c r="AB349" s="18"/>
      <c r="AC349" s="18"/>
      <c r="AD349" s="18"/>
      <c r="AE349" s="18"/>
      <c r="AF349" s="15"/>
      <c r="AG349" s="15"/>
      <c r="AH349" s="15"/>
      <c r="AI349" s="15"/>
      <c r="AJ349" s="15"/>
      <c r="AK349" s="16"/>
    </row>
    <row r="350" spans="1:37" ht="15.75" customHeight="1" x14ac:dyDescent="0.25">
      <c r="A350" s="13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8"/>
      <c r="AB350" s="18"/>
      <c r="AC350" s="18"/>
      <c r="AD350" s="18"/>
      <c r="AE350" s="18"/>
      <c r="AF350" s="15"/>
      <c r="AG350" s="15"/>
      <c r="AH350" s="15"/>
      <c r="AI350" s="15"/>
      <c r="AJ350" s="15"/>
      <c r="AK350" s="16"/>
    </row>
    <row r="351" spans="1:37" ht="15.75" customHeight="1" x14ac:dyDescent="0.25">
      <c r="A351" s="13"/>
      <c r="B351" s="17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8"/>
      <c r="AB351" s="18"/>
      <c r="AC351" s="18"/>
      <c r="AD351" s="18"/>
      <c r="AE351" s="18"/>
      <c r="AF351" s="15"/>
      <c r="AG351" s="15"/>
      <c r="AH351" s="15"/>
      <c r="AI351" s="15"/>
      <c r="AJ351" s="15"/>
      <c r="AK351" s="16"/>
    </row>
    <row r="352" spans="1:37" ht="15.75" customHeight="1" x14ac:dyDescent="0.25">
      <c r="A352" s="13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8"/>
      <c r="AB352" s="18"/>
      <c r="AC352" s="18"/>
      <c r="AD352" s="18"/>
      <c r="AE352" s="18"/>
      <c r="AF352" s="15"/>
      <c r="AG352" s="15"/>
      <c r="AH352" s="15"/>
      <c r="AI352" s="15"/>
      <c r="AJ352" s="15"/>
      <c r="AK352" s="16"/>
    </row>
    <row r="353" spans="1:37" ht="15.75" customHeight="1" x14ac:dyDescent="0.25">
      <c r="A353" s="13"/>
      <c r="B353" s="17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8"/>
      <c r="AB353" s="18"/>
      <c r="AC353" s="18"/>
      <c r="AD353" s="18"/>
      <c r="AE353" s="18"/>
      <c r="AF353" s="15"/>
      <c r="AG353" s="15"/>
      <c r="AH353" s="15"/>
      <c r="AI353" s="15"/>
      <c r="AJ353" s="15"/>
      <c r="AK353" s="16"/>
    </row>
    <row r="354" spans="1:37" ht="15.75" customHeight="1" x14ac:dyDescent="0.25">
      <c r="A354" s="13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8"/>
      <c r="AB354" s="18"/>
      <c r="AC354" s="18"/>
      <c r="AD354" s="18"/>
      <c r="AE354" s="18"/>
      <c r="AF354" s="15"/>
      <c r="AG354" s="15"/>
      <c r="AH354" s="15"/>
      <c r="AI354" s="15"/>
      <c r="AJ354" s="15"/>
      <c r="AK354" s="16"/>
    </row>
    <row r="355" spans="1:37" ht="15.75" customHeight="1" x14ac:dyDescent="0.25">
      <c r="A355" s="13"/>
      <c r="B355" s="17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8"/>
      <c r="AB355" s="18"/>
      <c r="AC355" s="18"/>
      <c r="AD355" s="18"/>
      <c r="AE355" s="18"/>
      <c r="AF355" s="15"/>
      <c r="AG355" s="15"/>
      <c r="AH355" s="15"/>
      <c r="AI355" s="15"/>
      <c r="AJ355" s="15"/>
      <c r="AK355" s="16"/>
    </row>
    <row r="356" spans="1:37" ht="15.75" customHeight="1" x14ac:dyDescent="0.25">
      <c r="A356" s="13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8"/>
      <c r="AB356" s="18"/>
      <c r="AC356" s="18"/>
      <c r="AD356" s="18"/>
      <c r="AE356" s="18"/>
      <c r="AF356" s="15"/>
      <c r="AG356" s="15"/>
      <c r="AH356" s="15"/>
      <c r="AI356" s="15"/>
      <c r="AJ356" s="15"/>
      <c r="AK356" s="16"/>
    </row>
    <row r="357" spans="1:37" ht="15.75" customHeight="1" x14ac:dyDescent="0.25">
      <c r="A357" s="13"/>
      <c r="B357" s="17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8"/>
      <c r="AB357" s="18"/>
      <c r="AC357" s="18"/>
      <c r="AD357" s="18"/>
      <c r="AE357" s="18"/>
      <c r="AF357" s="15"/>
      <c r="AG357" s="15"/>
      <c r="AH357" s="15"/>
      <c r="AI357" s="15"/>
      <c r="AJ357" s="15"/>
      <c r="AK357" s="16"/>
    </row>
    <row r="358" spans="1:37" ht="15.75" customHeight="1" x14ac:dyDescent="0.25">
      <c r="A358" s="13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8"/>
      <c r="AB358" s="18"/>
      <c r="AC358" s="18"/>
      <c r="AD358" s="18"/>
      <c r="AE358" s="18"/>
      <c r="AF358" s="15"/>
      <c r="AG358" s="15"/>
      <c r="AH358" s="15"/>
      <c r="AI358" s="15"/>
      <c r="AJ358" s="15"/>
      <c r="AK358" s="16"/>
    </row>
    <row r="359" spans="1:37" ht="15.75" customHeight="1" x14ac:dyDescent="0.25">
      <c r="A359" s="13"/>
      <c r="B359" s="17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8"/>
      <c r="AB359" s="18"/>
      <c r="AC359" s="18"/>
      <c r="AD359" s="18"/>
      <c r="AE359" s="18"/>
      <c r="AF359" s="15"/>
      <c r="AG359" s="15"/>
      <c r="AH359" s="15"/>
      <c r="AI359" s="15"/>
      <c r="AJ359" s="15"/>
      <c r="AK359" s="16"/>
    </row>
    <row r="360" spans="1:37" ht="15.75" customHeight="1" x14ac:dyDescent="0.25">
      <c r="A360" s="13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8"/>
      <c r="AB360" s="18"/>
      <c r="AC360" s="18"/>
      <c r="AD360" s="18"/>
      <c r="AE360" s="18"/>
      <c r="AF360" s="15"/>
      <c r="AG360" s="15"/>
      <c r="AH360" s="15"/>
      <c r="AI360" s="15"/>
      <c r="AJ360" s="15"/>
      <c r="AK360" s="16"/>
    </row>
    <row r="361" spans="1:37" ht="15.75" customHeight="1" x14ac:dyDescent="0.25">
      <c r="A361" s="13"/>
      <c r="B361" s="17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8"/>
      <c r="AB361" s="18"/>
      <c r="AC361" s="18"/>
      <c r="AD361" s="18"/>
      <c r="AE361" s="18"/>
      <c r="AF361" s="15"/>
      <c r="AG361" s="15"/>
      <c r="AH361" s="15"/>
      <c r="AI361" s="15"/>
      <c r="AJ361" s="15"/>
      <c r="AK361" s="16"/>
    </row>
    <row r="362" spans="1:37" ht="15.75" customHeight="1" x14ac:dyDescent="0.25">
      <c r="A362" s="13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8"/>
      <c r="AB362" s="18"/>
      <c r="AC362" s="18"/>
      <c r="AD362" s="18"/>
      <c r="AE362" s="18"/>
      <c r="AF362" s="15"/>
      <c r="AG362" s="15"/>
      <c r="AH362" s="15"/>
      <c r="AI362" s="15"/>
      <c r="AJ362" s="15"/>
      <c r="AK362" s="16"/>
    </row>
    <row r="363" spans="1:37" ht="15.75" customHeight="1" x14ac:dyDescent="0.25">
      <c r="A363" s="13"/>
      <c r="B363" s="17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8"/>
      <c r="AB363" s="18"/>
      <c r="AC363" s="18"/>
      <c r="AD363" s="18"/>
      <c r="AE363" s="18"/>
      <c r="AF363" s="15"/>
      <c r="AG363" s="15"/>
      <c r="AH363" s="15"/>
      <c r="AI363" s="15"/>
      <c r="AJ363" s="15"/>
      <c r="AK363" s="16"/>
    </row>
    <row r="364" spans="1:37" ht="15.75" customHeight="1" x14ac:dyDescent="0.25">
      <c r="A364" s="13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8"/>
      <c r="AB364" s="18"/>
      <c r="AC364" s="18"/>
      <c r="AD364" s="18"/>
      <c r="AE364" s="18"/>
      <c r="AF364" s="15"/>
      <c r="AG364" s="15"/>
      <c r="AH364" s="15"/>
      <c r="AI364" s="15"/>
      <c r="AJ364" s="15"/>
      <c r="AK364" s="16"/>
    </row>
    <row r="365" spans="1:37" ht="15.75" customHeight="1" x14ac:dyDescent="0.25">
      <c r="A365" s="13"/>
      <c r="B365" s="17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8"/>
      <c r="AB365" s="18"/>
      <c r="AC365" s="18"/>
      <c r="AD365" s="18"/>
      <c r="AE365" s="18"/>
      <c r="AF365" s="15"/>
      <c r="AG365" s="15"/>
      <c r="AH365" s="15"/>
      <c r="AI365" s="15"/>
      <c r="AJ365" s="15"/>
      <c r="AK365" s="16"/>
    </row>
    <row r="366" spans="1:37" ht="15.75" customHeight="1" x14ac:dyDescent="0.25">
      <c r="A366" s="13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8"/>
      <c r="AB366" s="18"/>
      <c r="AC366" s="18"/>
      <c r="AD366" s="18"/>
      <c r="AE366" s="18"/>
      <c r="AF366" s="15"/>
      <c r="AG366" s="15"/>
      <c r="AH366" s="15"/>
      <c r="AI366" s="15"/>
      <c r="AJ366" s="15"/>
      <c r="AK366" s="16"/>
    </row>
    <row r="367" spans="1:37" ht="15.75" customHeight="1" x14ac:dyDescent="0.25">
      <c r="A367" s="13"/>
      <c r="B367" s="17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8"/>
      <c r="AB367" s="18"/>
      <c r="AC367" s="18"/>
      <c r="AD367" s="18"/>
      <c r="AE367" s="18"/>
      <c r="AF367" s="15"/>
      <c r="AG367" s="15"/>
      <c r="AH367" s="15"/>
      <c r="AI367" s="15"/>
      <c r="AJ367" s="15"/>
      <c r="AK367" s="16"/>
    </row>
    <row r="368" spans="1:37" ht="15.75" customHeight="1" x14ac:dyDescent="0.25">
      <c r="A368" s="13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8"/>
      <c r="AB368" s="18"/>
      <c r="AC368" s="18"/>
      <c r="AD368" s="18"/>
      <c r="AE368" s="18"/>
      <c r="AF368" s="15"/>
      <c r="AG368" s="15"/>
      <c r="AH368" s="15"/>
      <c r="AI368" s="15"/>
      <c r="AJ368" s="15"/>
      <c r="AK368" s="16"/>
    </row>
    <row r="369" spans="1:37" ht="15.75" customHeight="1" x14ac:dyDescent="0.25">
      <c r="A369" s="13"/>
      <c r="B369" s="17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8"/>
      <c r="AB369" s="18"/>
      <c r="AC369" s="18"/>
      <c r="AD369" s="18"/>
      <c r="AE369" s="18"/>
      <c r="AF369" s="15"/>
      <c r="AG369" s="15"/>
      <c r="AH369" s="15"/>
      <c r="AI369" s="15"/>
      <c r="AJ369" s="15"/>
      <c r="AK369" s="16"/>
    </row>
    <row r="370" spans="1:37" ht="15.75" customHeight="1" x14ac:dyDescent="0.25">
      <c r="A370" s="13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8"/>
      <c r="AB370" s="18"/>
      <c r="AC370" s="18"/>
      <c r="AD370" s="18"/>
      <c r="AE370" s="18"/>
      <c r="AF370" s="15"/>
      <c r="AG370" s="15"/>
      <c r="AH370" s="15"/>
      <c r="AI370" s="15"/>
      <c r="AJ370" s="15"/>
      <c r="AK370" s="16"/>
    </row>
    <row r="371" spans="1:37" ht="15.75" customHeight="1" x14ac:dyDescent="0.25">
      <c r="A371" s="13"/>
      <c r="B371" s="17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8"/>
      <c r="AB371" s="18"/>
      <c r="AC371" s="18"/>
      <c r="AD371" s="18"/>
      <c r="AE371" s="18"/>
      <c r="AF371" s="15"/>
      <c r="AG371" s="15"/>
      <c r="AH371" s="15"/>
      <c r="AI371" s="15"/>
      <c r="AJ371" s="15"/>
      <c r="AK371" s="16"/>
    </row>
    <row r="372" spans="1:37" ht="15.75" customHeight="1" x14ac:dyDescent="0.25">
      <c r="A372" s="13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8"/>
      <c r="AB372" s="18"/>
      <c r="AC372" s="18"/>
      <c r="AD372" s="18"/>
      <c r="AE372" s="18"/>
      <c r="AF372" s="15"/>
      <c r="AG372" s="15"/>
      <c r="AH372" s="15"/>
      <c r="AI372" s="15"/>
      <c r="AJ372" s="15"/>
      <c r="AK372" s="16"/>
    </row>
    <row r="373" spans="1:37" ht="15.75" customHeight="1" x14ac:dyDescent="0.25">
      <c r="A373" s="13"/>
      <c r="B373" s="17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8"/>
      <c r="AB373" s="18"/>
      <c r="AC373" s="18"/>
      <c r="AD373" s="18"/>
      <c r="AE373" s="18"/>
      <c r="AF373" s="15"/>
      <c r="AG373" s="15"/>
      <c r="AH373" s="15"/>
      <c r="AI373" s="15"/>
      <c r="AJ373" s="15"/>
      <c r="AK373" s="16"/>
    </row>
    <row r="374" spans="1:37" ht="15.75" customHeight="1" x14ac:dyDescent="0.25">
      <c r="A374" s="13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8"/>
      <c r="AB374" s="18"/>
      <c r="AC374" s="18"/>
      <c r="AD374" s="18"/>
      <c r="AE374" s="18"/>
      <c r="AF374" s="15"/>
      <c r="AG374" s="15"/>
      <c r="AH374" s="15"/>
      <c r="AI374" s="15"/>
      <c r="AJ374" s="15"/>
      <c r="AK374" s="16"/>
    </row>
    <row r="375" spans="1:37" ht="15.75" customHeight="1" x14ac:dyDescent="0.25">
      <c r="A375" s="13"/>
      <c r="B375" s="17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8"/>
      <c r="AB375" s="18"/>
      <c r="AC375" s="18"/>
      <c r="AD375" s="18"/>
      <c r="AE375" s="18"/>
      <c r="AF375" s="15"/>
      <c r="AG375" s="15"/>
      <c r="AH375" s="15"/>
      <c r="AI375" s="15"/>
      <c r="AJ375" s="15"/>
      <c r="AK375" s="16"/>
    </row>
    <row r="376" spans="1:37" ht="15.75" customHeight="1" x14ac:dyDescent="0.25">
      <c r="A376" s="13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8"/>
      <c r="AB376" s="18"/>
      <c r="AC376" s="18"/>
      <c r="AD376" s="18"/>
      <c r="AE376" s="18"/>
      <c r="AF376" s="15"/>
      <c r="AG376" s="15"/>
      <c r="AH376" s="15"/>
      <c r="AI376" s="15"/>
      <c r="AJ376" s="15"/>
      <c r="AK376" s="16"/>
    </row>
    <row r="377" spans="1:37" ht="15.75" customHeight="1" x14ac:dyDescent="0.25">
      <c r="A377" s="13"/>
      <c r="B377" s="17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8"/>
      <c r="AB377" s="18"/>
      <c r="AC377" s="18"/>
      <c r="AD377" s="18"/>
      <c r="AE377" s="18"/>
      <c r="AF377" s="15"/>
      <c r="AG377" s="15"/>
      <c r="AH377" s="15"/>
      <c r="AI377" s="15"/>
      <c r="AJ377" s="15"/>
      <c r="AK377" s="16"/>
    </row>
    <row r="378" spans="1:37" ht="15.75" customHeight="1" x14ac:dyDescent="0.25">
      <c r="A378" s="13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8"/>
      <c r="AB378" s="18"/>
      <c r="AC378" s="18"/>
      <c r="AD378" s="18"/>
      <c r="AE378" s="18"/>
      <c r="AF378" s="15"/>
      <c r="AG378" s="15"/>
      <c r="AH378" s="15"/>
      <c r="AI378" s="15"/>
      <c r="AJ378" s="15"/>
      <c r="AK378" s="16"/>
    </row>
    <row r="379" spans="1:37" ht="15.75" customHeight="1" x14ac:dyDescent="0.25">
      <c r="A379" s="13"/>
      <c r="B379" s="17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8"/>
      <c r="AB379" s="18"/>
      <c r="AC379" s="18"/>
      <c r="AD379" s="18"/>
      <c r="AE379" s="18"/>
      <c r="AF379" s="15"/>
      <c r="AG379" s="15"/>
      <c r="AH379" s="15"/>
      <c r="AI379" s="15"/>
      <c r="AJ379" s="15"/>
      <c r="AK379" s="16"/>
    </row>
    <row r="380" spans="1:37" ht="15.75" customHeight="1" x14ac:dyDescent="0.25">
      <c r="A380" s="13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8"/>
      <c r="AB380" s="18"/>
      <c r="AC380" s="18"/>
      <c r="AD380" s="18"/>
      <c r="AE380" s="18"/>
      <c r="AF380" s="15"/>
      <c r="AG380" s="15"/>
      <c r="AH380" s="15"/>
      <c r="AI380" s="15"/>
      <c r="AJ380" s="15"/>
      <c r="AK380" s="16"/>
    </row>
    <row r="381" spans="1:37" ht="15.75" customHeight="1" x14ac:dyDescent="0.25">
      <c r="A381" s="13"/>
      <c r="B381" s="17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8"/>
      <c r="AB381" s="18"/>
      <c r="AC381" s="18"/>
      <c r="AD381" s="18"/>
      <c r="AE381" s="18"/>
      <c r="AF381" s="15"/>
      <c r="AG381" s="15"/>
      <c r="AH381" s="15"/>
      <c r="AI381" s="15"/>
      <c r="AJ381" s="15"/>
      <c r="AK381" s="16"/>
    </row>
    <row r="382" spans="1:37" ht="15.75" customHeight="1" x14ac:dyDescent="0.25">
      <c r="A382" s="13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8"/>
      <c r="AB382" s="18"/>
      <c r="AC382" s="18"/>
      <c r="AD382" s="18"/>
      <c r="AE382" s="18"/>
      <c r="AF382" s="15"/>
      <c r="AG382" s="15"/>
      <c r="AH382" s="15"/>
      <c r="AI382" s="15"/>
      <c r="AJ382" s="15"/>
      <c r="AK382" s="16"/>
    </row>
    <row r="383" spans="1:37" ht="15.75" customHeight="1" x14ac:dyDescent="0.25">
      <c r="A383" s="13"/>
      <c r="B383" s="17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8"/>
      <c r="AB383" s="18"/>
      <c r="AC383" s="18"/>
      <c r="AD383" s="18"/>
      <c r="AE383" s="18"/>
      <c r="AF383" s="15"/>
      <c r="AG383" s="15"/>
      <c r="AH383" s="15"/>
      <c r="AI383" s="15"/>
      <c r="AJ383" s="15"/>
      <c r="AK383" s="16"/>
    </row>
    <row r="384" spans="1:37" ht="15.75" customHeight="1" x14ac:dyDescent="0.25">
      <c r="A384" s="13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8"/>
      <c r="AB384" s="18"/>
      <c r="AC384" s="18"/>
      <c r="AD384" s="18"/>
      <c r="AE384" s="18"/>
      <c r="AF384" s="15"/>
      <c r="AG384" s="15"/>
      <c r="AH384" s="15"/>
      <c r="AI384" s="15"/>
      <c r="AJ384" s="15"/>
      <c r="AK384" s="16"/>
    </row>
    <row r="385" spans="1:37" ht="15.75" customHeight="1" x14ac:dyDescent="0.25">
      <c r="A385" s="13"/>
      <c r="B385" s="17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8"/>
      <c r="AB385" s="18"/>
      <c r="AC385" s="18"/>
      <c r="AD385" s="18"/>
      <c r="AE385" s="18"/>
      <c r="AF385" s="15"/>
      <c r="AG385" s="15"/>
      <c r="AH385" s="15"/>
      <c r="AI385" s="15"/>
      <c r="AJ385" s="15"/>
      <c r="AK385" s="16"/>
    </row>
    <row r="386" spans="1:37" ht="15.75" customHeight="1" x14ac:dyDescent="0.25">
      <c r="A386" s="13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8"/>
      <c r="AB386" s="18"/>
      <c r="AC386" s="18"/>
      <c r="AD386" s="18"/>
      <c r="AE386" s="18"/>
      <c r="AF386" s="15"/>
      <c r="AG386" s="15"/>
      <c r="AH386" s="15"/>
      <c r="AI386" s="15"/>
      <c r="AJ386" s="15"/>
      <c r="AK386" s="16"/>
    </row>
    <row r="387" spans="1:37" ht="15.75" customHeight="1" x14ac:dyDescent="0.25">
      <c r="A387" s="13"/>
      <c r="B387" s="17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8"/>
      <c r="AB387" s="18"/>
      <c r="AC387" s="18"/>
      <c r="AD387" s="18"/>
      <c r="AE387" s="18"/>
      <c r="AF387" s="15"/>
      <c r="AG387" s="15"/>
      <c r="AH387" s="15"/>
      <c r="AI387" s="15"/>
      <c r="AJ387" s="15"/>
      <c r="AK387" s="16"/>
    </row>
    <row r="388" spans="1:37" ht="15.75" customHeight="1" x14ac:dyDescent="0.25">
      <c r="A388" s="13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8"/>
      <c r="AB388" s="18"/>
      <c r="AC388" s="18"/>
      <c r="AD388" s="18"/>
      <c r="AE388" s="18"/>
      <c r="AF388" s="15"/>
      <c r="AG388" s="15"/>
      <c r="AH388" s="15"/>
      <c r="AI388" s="15"/>
      <c r="AJ388" s="15"/>
      <c r="AK388" s="16"/>
    </row>
    <row r="389" spans="1:37" ht="15.75" customHeight="1" x14ac:dyDescent="0.25">
      <c r="A389" s="13"/>
      <c r="B389" s="17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8"/>
      <c r="AB389" s="18"/>
      <c r="AC389" s="18"/>
      <c r="AD389" s="18"/>
      <c r="AE389" s="18"/>
      <c r="AF389" s="15"/>
      <c r="AG389" s="15"/>
      <c r="AH389" s="15"/>
      <c r="AI389" s="15"/>
      <c r="AJ389" s="15"/>
      <c r="AK389" s="16"/>
    </row>
    <row r="390" spans="1:37" ht="15.75" customHeight="1" x14ac:dyDescent="0.25">
      <c r="A390" s="13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8"/>
      <c r="AB390" s="18"/>
      <c r="AC390" s="18"/>
      <c r="AD390" s="18"/>
      <c r="AE390" s="18"/>
      <c r="AF390" s="15"/>
      <c r="AG390" s="15"/>
      <c r="AH390" s="15"/>
      <c r="AI390" s="15"/>
      <c r="AJ390" s="15"/>
      <c r="AK390" s="16"/>
    </row>
    <row r="391" spans="1:37" ht="15.75" customHeight="1" x14ac:dyDescent="0.25">
      <c r="A391" s="13"/>
      <c r="B391" s="17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8"/>
      <c r="AB391" s="18"/>
      <c r="AC391" s="18"/>
      <c r="AD391" s="18"/>
      <c r="AE391" s="18"/>
      <c r="AF391" s="15"/>
      <c r="AG391" s="15"/>
      <c r="AH391" s="15"/>
      <c r="AI391" s="15"/>
      <c r="AJ391" s="15"/>
      <c r="AK391" s="16"/>
    </row>
    <row r="392" spans="1:37" ht="15.75" customHeight="1" x14ac:dyDescent="0.25">
      <c r="A392" s="13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8"/>
      <c r="AB392" s="18"/>
      <c r="AC392" s="18"/>
      <c r="AD392" s="18"/>
      <c r="AE392" s="18"/>
      <c r="AF392" s="15"/>
      <c r="AG392" s="15"/>
      <c r="AH392" s="15"/>
      <c r="AI392" s="15"/>
      <c r="AJ392" s="15"/>
      <c r="AK392" s="16"/>
    </row>
    <row r="393" spans="1:37" ht="15.75" customHeight="1" x14ac:dyDescent="0.25">
      <c r="A393" s="13"/>
      <c r="B393" s="17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8"/>
      <c r="AB393" s="18"/>
      <c r="AC393" s="18"/>
      <c r="AD393" s="18"/>
      <c r="AE393" s="18"/>
      <c r="AF393" s="15"/>
      <c r="AG393" s="15"/>
      <c r="AH393" s="15"/>
      <c r="AI393" s="15"/>
      <c r="AJ393" s="15"/>
      <c r="AK393" s="16"/>
    </row>
    <row r="394" spans="1:37" ht="15.75" customHeight="1" x14ac:dyDescent="0.25">
      <c r="A394" s="13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8"/>
      <c r="AB394" s="18"/>
      <c r="AC394" s="18"/>
      <c r="AD394" s="18"/>
      <c r="AE394" s="18"/>
      <c r="AF394" s="15"/>
      <c r="AG394" s="15"/>
      <c r="AH394" s="15"/>
      <c r="AI394" s="15"/>
      <c r="AJ394" s="15"/>
      <c r="AK394" s="16"/>
    </row>
    <row r="395" spans="1:37" ht="15.75" customHeight="1" x14ac:dyDescent="0.25">
      <c r="A395" s="13"/>
      <c r="B395" s="17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8"/>
      <c r="AB395" s="18"/>
      <c r="AC395" s="18"/>
      <c r="AD395" s="18"/>
      <c r="AE395" s="18"/>
      <c r="AF395" s="15"/>
      <c r="AG395" s="15"/>
      <c r="AH395" s="15"/>
      <c r="AI395" s="15"/>
      <c r="AJ395" s="15"/>
      <c r="AK395" s="16"/>
    </row>
    <row r="396" spans="1:37" ht="15.75" customHeight="1" x14ac:dyDescent="0.25">
      <c r="A396" s="13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8"/>
      <c r="AB396" s="18"/>
      <c r="AC396" s="18"/>
      <c r="AD396" s="18"/>
      <c r="AE396" s="18"/>
      <c r="AF396" s="15"/>
      <c r="AG396" s="15"/>
      <c r="AH396" s="15"/>
      <c r="AI396" s="15"/>
      <c r="AJ396" s="15"/>
      <c r="AK396" s="16"/>
    </row>
    <row r="397" spans="1:37" ht="15.75" customHeight="1" x14ac:dyDescent="0.25">
      <c r="A397" s="13"/>
      <c r="B397" s="17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8"/>
      <c r="AB397" s="18"/>
      <c r="AC397" s="18"/>
      <c r="AD397" s="18"/>
      <c r="AE397" s="18"/>
      <c r="AF397" s="15"/>
      <c r="AG397" s="15"/>
      <c r="AH397" s="15"/>
      <c r="AI397" s="15"/>
      <c r="AJ397" s="15"/>
      <c r="AK397" s="16"/>
    </row>
    <row r="398" spans="1:37" ht="15.75" customHeight="1" x14ac:dyDescent="0.25">
      <c r="A398" s="13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8"/>
      <c r="AB398" s="18"/>
      <c r="AC398" s="18"/>
      <c r="AD398" s="18"/>
      <c r="AE398" s="18"/>
      <c r="AF398" s="15"/>
      <c r="AG398" s="15"/>
      <c r="AH398" s="15"/>
      <c r="AI398" s="15"/>
      <c r="AJ398" s="15"/>
      <c r="AK398" s="16"/>
    </row>
    <row r="399" spans="1:37" ht="15.75" customHeight="1" x14ac:dyDescent="0.25">
      <c r="A399" s="13"/>
      <c r="B399" s="17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8"/>
      <c r="AB399" s="18"/>
      <c r="AC399" s="18"/>
      <c r="AD399" s="18"/>
      <c r="AE399" s="18"/>
      <c r="AF399" s="15"/>
      <c r="AG399" s="15"/>
      <c r="AH399" s="15"/>
      <c r="AI399" s="15"/>
      <c r="AJ399" s="15"/>
      <c r="AK399" s="16"/>
    </row>
    <row r="400" spans="1:37" ht="15.75" customHeight="1" x14ac:dyDescent="0.25">
      <c r="A400" s="13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8"/>
      <c r="AB400" s="18"/>
      <c r="AC400" s="18"/>
      <c r="AD400" s="18"/>
      <c r="AE400" s="18"/>
      <c r="AF400" s="15"/>
      <c r="AG400" s="15"/>
      <c r="AH400" s="15"/>
      <c r="AI400" s="15"/>
      <c r="AJ400" s="15"/>
      <c r="AK400" s="16"/>
    </row>
    <row r="401" spans="1:37" ht="15.75" customHeight="1" x14ac:dyDescent="0.25">
      <c r="A401" s="13"/>
      <c r="B401" s="17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8"/>
      <c r="AB401" s="18"/>
      <c r="AC401" s="18"/>
      <c r="AD401" s="18"/>
      <c r="AE401" s="18"/>
      <c r="AF401" s="15"/>
      <c r="AG401" s="15"/>
      <c r="AH401" s="15"/>
      <c r="AI401" s="15"/>
      <c r="AJ401" s="15"/>
      <c r="AK401" s="16"/>
    </row>
    <row r="402" spans="1:37" ht="15.75" customHeight="1" x14ac:dyDescent="0.25">
      <c r="A402" s="13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8"/>
      <c r="AB402" s="18"/>
      <c r="AC402" s="18"/>
      <c r="AD402" s="18"/>
      <c r="AE402" s="18"/>
      <c r="AF402" s="15"/>
      <c r="AG402" s="15"/>
      <c r="AH402" s="15"/>
      <c r="AI402" s="15"/>
      <c r="AJ402" s="15"/>
      <c r="AK402" s="16"/>
    </row>
    <row r="403" spans="1:37" ht="15.75" customHeight="1" x14ac:dyDescent="0.25">
      <c r="A403" s="13"/>
      <c r="B403" s="17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8"/>
      <c r="AB403" s="18"/>
      <c r="AC403" s="18"/>
      <c r="AD403" s="18"/>
      <c r="AE403" s="18"/>
      <c r="AF403" s="15"/>
      <c r="AG403" s="15"/>
      <c r="AH403" s="15"/>
      <c r="AI403" s="15"/>
      <c r="AJ403" s="15"/>
      <c r="AK403" s="16"/>
    </row>
    <row r="404" spans="1:37" ht="15.75" customHeight="1" x14ac:dyDescent="0.25">
      <c r="A404" s="13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8"/>
      <c r="AB404" s="18"/>
      <c r="AC404" s="18"/>
      <c r="AD404" s="18"/>
      <c r="AE404" s="18"/>
      <c r="AF404" s="15"/>
      <c r="AG404" s="15"/>
      <c r="AH404" s="15"/>
      <c r="AI404" s="15"/>
      <c r="AJ404" s="15"/>
      <c r="AK404" s="16"/>
    </row>
    <row r="405" spans="1:37" ht="15.75" customHeight="1" x14ac:dyDescent="0.25">
      <c r="A405" s="13"/>
      <c r="B405" s="17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8"/>
      <c r="AB405" s="18"/>
      <c r="AC405" s="18"/>
      <c r="AD405" s="18"/>
      <c r="AE405" s="18"/>
      <c r="AF405" s="15"/>
      <c r="AG405" s="15"/>
      <c r="AH405" s="15"/>
      <c r="AI405" s="15"/>
      <c r="AJ405" s="15"/>
      <c r="AK405" s="16"/>
    </row>
    <row r="406" spans="1:37" ht="15.75" customHeight="1" x14ac:dyDescent="0.25">
      <c r="A406" s="13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8"/>
      <c r="AB406" s="18"/>
      <c r="AC406" s="18"/>
      <c r="AD406" s="18"/>
      <c r="AE406" s="18"/>
      <c r="AF406" s="15"/>
      <c r="AG406" s="15"/>
      <c r="AH406" s="15"/>
      <c r="AI406" s="15"/>
      <c r="AJ406" s="15"/>
      <c r="AK406" s="16"/>
    </row>
    <row r="407" spans="1:37" ht="15.75" customHeight="1" x14ac:dyDescent="0.25">
      <c r="A407" s="13"/>
      <c r="B407" s="17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8"/>
      <c r="AB407" s="18"/>
      <c r="AC407" s="18"/>
      <c r="AD407" s="18"/>
      <c r="AE407" s="18"/>
      <c r="AF407" s="15"/>
      <c r="AG407" s="15"/>
      <c r="AH407" s="15"/>
      <c r="AI407" s="15"/>
      <c r="AJ407" s="15"/>
      <c r="AK407" s="16"/>
    </row>
    <row r="408" spans="1:37" ht="15.75" customHeight="1" x14ac:dyDescent="0.25">
      <c r="A408" s="13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8"/>
      <c r="AB408" s="18"/>
      <c r="AC408" s="18"/>
      <c r="AD408" s="18"/>
      <c r="AE408" s="18"/>
      <c r="AF408" s="15"/>
      <c r="AG408" s="15"/>
      <c r="AH408" s="15"/>
      <c r="AI408" s="15"/>
      <c r="AJ408" s="15"/>
      <c r="AK408" s="16"/>
    </row>
    <row r="409" spans="1:37" ht="15.75" customHeight="1" x14ac:dyDescent="0.25">
      <c r="A409" s="13"/>
      <c r="B409" s="17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8"/>
      <c r="AB409" s="18"/>
      <c r="AC409" s="18"/>
      <c r="AD409" s="18"/>
      <c r="AE409" s="18"/>
      <c r="AF409" s="15"/>
      <c r="AG409" s="15"/>
      <c r="AH409" s="15"/>
      <c r="AI409" s="15"/>
      <c r="AJ409" s="15"/>
      <c r="AK409" s="16"/>
    </row>
    <row r="410" spans="1:37" ht="15.75" customHeight="1" x14ac:dyDescent="0.25">
      <c r="A410" s="13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8"/>
      <c r="AB410" s="18"/>
      <c r="AC410" s="18"/>
      <c r="AD410" s="18"/>
      <c r="AE410" s="18"/>
      <c r="AF410" s="15"/>
      <c r="AG410" s="15"/>
      <c r="AH410" s="15"/>
      <c r="AI410" s="15"/>
      <c r="AJ410" s="15"/>
      <c r="AK410" s="16"/>
    </row>
    <row r="411" spans="1:37" ht="15.75" customHeight="1" x14ac:dyDescent="0.25">
      <c r="A411" s="13"/>
      <c r="B411" s="17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8"/>
      <c r="AB411" s="18"/>
      <c r="AC411" s="18"/>
      <c r="AD411" s="18"/>
      <c r="AE411" s="18"/>
      <c r="AF411" s="15"/>
      <c r="AG411" s="15"/>
      <c r="AH411" s="15"/>
      <c r="AI411" s="15"/>
      <c r="AJ411" s="15"/>
      <c r="AK411" s="16"/>
    </row>
    <row r="412" spans="1:37" ht="15.75" customHeight="1" x14ac:dyDescent="0.25">
      <c r="A412" s="13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8"/>
      <c r="AB412" s="18"/>
      <c r="AC412" s="18"/>
      <c r="AD412" s="18"/>
      <c r="AE412" s="18"/>
      <c r="AF412" s="15"/>
      <c r="AG412" s="15"/>
      <c r="AH412" s="15"/>
      <c r="AI412" s="15"/>
      <c r="AJ412" s="15"/>
      <c r="AK412" s="16"/>
    </row>
    <row r="413" spans="1:37" ht="15.75" customHeight="1" x14ac:dyDescent="0.25">
      <c r="A413" s="13"/>
      <c r="B413" s="17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8"/>
      <c r="AB413" s="18"/>
      <c r="AC413" s="18"/>
      <c r="AD413" s="18"/>
      <c r="AE413" s="18"/>
      <c r="AF413" s="15"/>
      <c r="AG413" s="15"/>
      <c r="AH413" s="15"/>
      <c r="AI413" s="15"/>
      <c r="AJ413" s="15"/>
      <c r="AK413" s="16"/>
    </row>
    <row r="414" spans="1:37" ht="15.75" customHeight="1" x14ac:dyDescent="0.25">
      <c r="A414" s="13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8"/>
      <c r="AB414" s="18"/>
      <c r="AC414" s="18"/>
      <c r="AD414" s="18"/>
      <c r="AE414" s="18"/>
      <c r="AF414" s="15"/>
      <c r="AG414" s="15"/>
      <c r="AH414" s="15"/>
      <c r="AI414" s="15"/>
      <c r="AJ414" s="15"/>
      <c r="AK414" s="16"/>
    </row>
    <row r="415" spans="1:37" ht="15.75" customHeight="1" x14ac:dyDescent="0.25">
      <c r="A415" s="13"/>
      <c r="B415" s="17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8"/>
      <c r="AB415" s="18"/>
      <c r="AC415" s="18"/>
      <c r="AD415" s="18"/>
      <c r="AE415" s="18"/>
      <c r="AF415" s="15"/>
      <c r="AG415" s="15"/>
      <c r="AH415" s="15"/>
      <c r="AI415" s="15"/>
      <c r="AJ415" s="15"/>
      <c r="AK415" s="16"/>
    </row>
    <row r="416" spans="1:37" ht="15.75" customHeight="1" x14ac:dyDescent="0.25">
      <c r="A416" s="13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8"/>
      <c r="AB416" s="18"/>
      <c r="AC416" s="18"/>
      <c r="AD416" s="18"/>
      <c r="AE416" s="18"/>
      <c r="AF416" s="15"/>
      <c r="AG416" s="15"/>
      <c r="AH416" s="15"/>
      <c r="AI416" s="15"/>
      <c r="AJ416" s="15"/>
      <c r="AK416" s="16"/>
    </row>
    <row r="417" spans="1:37" ht="15.75" customHeight="1" x14ac:dyDescent="0.25">
      <c r="A417" s="13"/>
      <c r="B417" s="17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8"/>
      <c r="AB417" s="18"/>
      <c r="AC417" s="18"/>
      <c r="AD417" s="18"/>
      <c r="AE417" s="18"/>
      <c r="AF417" s="15"/>
      <c r="AG417" s="15"/>
      <c r="AH417" s="15"/>
      <c r="AI417" s="15"/>
      <c r="AJ417" s="15"/>
      <c r="AK417" s="16"/>
    </row>
    <row r="418" spans="1:37" ht="15.75" customHeight="1" x14ac:dyDescent="0.25">
      <c r="A418" s="13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8"/>
      <c r="AB418" s="18"/>
      <c r="AC418" s="18"/>
      <c r="AD418" s="18"/>
      <c r="AE418" s="18"/>
      <c r="AF418" s="15"/>
      <c r="AG418" s="15"/>
      <c r="AH418" s="15"/>
      <c r="AI418" s="15"/>
      <c r="AJ418" s="15"/>
      <c r="AK418" s="16"/>
    </row>
    <row r="419" spans="1:37" ht="15.75" customHeight="1" x14ac:dyDescent="0.25">
      <c r="A419" s="13"/>
      <c r="B419" s="17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8"/>
      <c r="AB419" s="18"/>
      <c r="AC419" s="18"/>
      <c r="AD419" s="18"/>
      <c r="AE419" s="18"/>
      <c r="AF419" s="15"/>
      <c r="AG419" s="15"/>
      <c r="AH419" s="15"/>
      <c r="AI419" s="15"/>
      <c r="AJ419" s="15"/>
      <c r="AK419" s="16"/>
    </row>
    <row r="420" spans="1:37" ht="15.75" customHeight="1" x14ac:dyDescent="0.25">
      <c r="A420" s="13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8"/>
      <c r="AB420" s="18"/>
      <c r="AC420" s="18"/>
      <c r="AD420" s="18"/>
      <c r="AE420" s="18"/>
      <c r="AF420" s="15"/>
      <c r="AG420" s="15"/>
      <c r="AH420" s="15"/>
      <c r="AI420" s="15"/>
      <c r="AJ420" s="15"/>
      <c r="AK420" s="16"/>
    </row>
    <row r="421" spans="1:37" ht="15.75" customHeight="1" x14ac:dyDescent="0.25">
      <c r="A421" s="13"/>
      <c r="B421" s="17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8"/>
      <c r="AB421" s="18"/>
      <c r="AC421" s="18"/>
      <c r="AD421" s="18"/>
      <c r="AE421" s="18"/>
      <c r="AF421" s="15"/>
      <c r="AG421" s="15"/>
      <c r="AH421" s="15"/>
      <c r="AI421" s="15"/>
      <c r="AJ421" s="15"/>
      <c r="AK421" s="16"/>
    </row>
    <row r="422" spans="1:37" ht="15.75" customHeight="1" x14ac:dyDescent="0.25">
      <c r="A422" s="13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8"/>
      <c r="AB422" s="18"/>
      <c r="AC422" s="18"/>
      <c r="AD422" s="18"/>
      <c r="AE422" s="18"/>
      <c r="AF422" s="15"/>
      <c r="AG422" s="15"/>
      <c r="AH422" s="15"/>
      <c r="AI422" s="15"/>
      <c r="AJ422" s="15"/>
      <c r="AK422" s="16"/>
    </row>
    <row r="423" spans="1:37" ht="15.75" customHeight="1" x14ac:dyDescent="0.25">
      <c r="A423" s="13"/>
      <c r="B423" s="17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8"/>
      <c r="AB423" s="18"/>
      <c r="AC423" s="18"/>
      <c r="AD423" s="18"/>
      <c r="AE423" s="18"/>
      <c r="AF423" s="15"/>
      <c r="AG423" s="15"/>
      <c r="AH423" s="15"/>
      <c r="AI423" s="15"/>
      <c r="AJ423" s="15"/>
      <c r="AK423" s="16"/>
    </row>
    <row r="424" spans="1:37" ht="15.75" customHeight="1" x14ac:dyDescent="0.25">
      <c r="A424" s="13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8"/>
      <c r="AB424" s="18"/>
      <c r="AC424" s="18"/>
      <c r="AD424" s="18"/>
      <c r="AE424" s="18"/>
      <c r="AF424" s="15"/>
      <c r="AG424" s="15"/>
      <c r="AH424" s="15"/>
      <c r="AI424" s="15"/>
      <c r="AJ424" s="15"/>
      <c r="AK424" s="16"/>
    </row>
    <row r="425" spans="1:37" ht="15.75" customHeight="1" x14ac:dyDescent="0.25">
      <c r="A425" s="13"/>
      <c r="B425" s="17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8"/>
      <c r="AB425" s="18"/>
      <c r="AC425" s="18"/>
      <c r="AD425" s="18"/>
      <c r="AE425" s="18"/>
      <c r="AF425" s="15"/>
      <c r="AG425" s="15"/>
      <c r="AH425" s="15"/>
      <c r="AI425" s="15"/>
      <c r="AJ425" s="15"/>
      <c r="AK425" s="16"/>
    </row>
    <row r="426" spans="1:37" ht="15.75" customHeight="1" x14ac:dyDescent="0.25">
      <c r="A426" s="13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8"/>
      <c r="AB426" s="18"/>
      <c r="AC426" s="18"/>
      <c r="AD426" s="18"/>
      <c r="AE426" s="18"/>
      <c r="AF426" s="15"/>
      <c r="AG426" s="15"/>
      <c r="AH426" s="15"/>
      <c r="AI426" s="15"/>
      <c r="AJ426" s="15"/>
      <c r="AK426" s="16"/>
    </row>
    <row r="427" spans="1:37" ht="15.75" customHeight="1" x14ac:dyDescent="0.25">
      <c r="A427" s="13"/>
      <c r="B427" s="17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8"/>
      <c r="AB427" s="18"/>
      <c r="AC427" s="18"/>
      <c r="AD427" s="18"/>
      <c r="AE427" s="18"/>
      <c r="AF427" s="15"/>
      <c r="AG427" s="15"/>
      <c r="AH427" s="15"/>
      <c r="AI427" s="15"/>
      <c r="AJ427" s="15"/>
      <c r="AK427" s="16"/>
    </row>
    <row r="428" spans="1:37" ht="15.75" customHeight="1" x14ac:dyDescent="0.25">
      <c r="A428" s="13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8"/>
      <c r="AB428" s="18"/>
      <c r="AC428" s="18"/>
      <c r="AD428" s="18"/>
      <c r="AE428" s="18"/>
      <c r="AF428" s="15"/>
      <c r="AG428" s="15"/>
      <c r="AH428" s="15"/>
      <c r="AI428" s="15"/>
      <c r="AJ428" s="15"/>
      <c r="AK428" s="16"/>
    </row>
    <row r="429" spans="1:37" ht="15.75" customHeight="1" x14ac:dyDescent="0.25">
      <c r="A429" s="13"/>
      <c r="B429" s="17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8"/>
      <c r="AB429" s="18"/>
      <c r="AC429" s="18"/>
      <c r="AD429" s="18"/>
      <c r="AE429" s="18"/>
      <c r="AF429" s="15"/>
      <c r="AG429" s="15"/>
      <c r="AH429" s="15"/>
      <c r="AI429" s="15"/>
      <c r="AJ429" s="15"/>
      <c r="AK429" s="16"/>
    </row>
    <row r="430" spans="1:37" ht="15.75" customHeight="1" x14ac:dyDescent="0.25">
      <c r="A430" s="13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8"/>
      <c r="AB430" s="18"/>
      <c r="AC430" s="18"/>
      <c r="AD430" s="18"/>
      <c r="AE430" s="18"/>
      <c r="AF430" s="15"/>
      <c r="AG430" s="15"/>
      <c r="AH430" s="15"/>
      <c r="AI430" s="15"/>
      <c r="AJ430" s="15"/>
      <c r="AK430" s="16"/>
    </row>
    <row r="431" spans="1:37" ht="15.75" customHeight="1" x14ac:dyDescent="0.25">
      <c r="A431" s="13"/>
      <c r="B431" s="17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8"/>
      <c r="AB431" s="18"/>
      <c r="AC431" s="18"/>
      <c r="AD431" s="18"/>
      <c r="AE431" s="18"/>
      <c r="AF431" s="15"/>
      <c r="AG431" s="15"/>
      <c r="AH431" s="15"/>
      <c r="AI431" s="15"/>
      <c r="AJ431" s="15"/>
      <c r="AK431" s="16"/>
    </row>
    <row r="432" spans="1:37" ht="15.75" customHeight="1" x14ac:dyDescent="0.25">
      <c r="A432" s="13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8"/>
      <c r="AB432" s="18"/>
      <c r="AC432" s="18"/>
      <c r="AD432" s="18"/>
      <c r="AE432" s="18"/>
      <c r="AF432" s="15"/>
      <c r="AG432" s="15"/>
      <c r="AH432" s="15"/>
      <c r="AI432" s="15"/>
      <c r="AJ432" s="15"/>
      <c r="AK432" s="16"/>
    </row>
    <row r="433" spans="1:37" ht="15.75" customHeight="1" x14ac:dyDescent="0.25">
      <c r="A433" s="13"/>
      <c r="B433" s="17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8"/>
      <c r="AB433" s="18"/>
      <c r="AC433" s="18"/>
      <c r="AD433" s="18"/>
      <c r="AE433" s="18"/>
      <c r="AF433" s="15"/>
      <c r="AG433" s="15"/>
      <c r="AH433" s="15"/>
      <c r="AI433" s="15"/>
      <c r="AJ433" s="15"/>
      <c r="AK433" s="16"/>
    </row>
    <row r="434" spans="1:37" ht="15.75" customHeight="1" x14ac:dyDescent="0.25">
      <c r="A434" s="13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8"/>
      <c r="AB434" s="18"/>
      <c r="AC434" s="18"/>
      <c r="AD434" s="18"/>
      <c r="AE434" s="18"/>
      <c r="AF434" s="15"/>
      <c r="AG434" s="15"/>
      <c r="AH434" s="15"/>
      <c r="AI434" s="15"/>
      <c r="AJ434" s="15"/>
      <c r="AK434" s="16"/>
    </row>
    <row r="435" spans="1:37" ht="15.75" customHeight="1" x14ac:dyDescent="0.25">
      <c r="A435" s="13"/>
      <c r="B435" s="17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8"/>
      <c r="AB435" s="18"/>
      <c r="AC435" s="18"/>
      <c r="AD435" s="18"/>
      <c r="AE435" s="18"/>
      <c r="AF435" s="15"/>
      <c r="AG435" s="15"/>
      <c r="AH435" s="15"/>
      <c r="AI435" s="15"/>
      <c r="AJ435" s="15"/>
      <c r="AK435" s="16"/>
    </row>
    <row r="436" spans="1:37" ht="15.75" customHeight="1" x14ac:dyDescent="0.25">
      <c r="A436" s="13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8"/>
      <c r="AB436" s="18"/>
      <c r="AC436" s="18"/>
      <c r="AD436" s="18"/>
      <c r="AE436" s="18"/>
      <c r="AF436" s="15"/>
      <c r="AG436" s="15"/>
      <c r="AH436" s="15"/>
      <c r="AI436" s="15"/>
      <c r="AJ436" s="15"/>
      <c r="AK436" s="16"/>
    </row>
    <row r="437" spans="1:37" ht="15.75" customHeight="1" x14ac:dyDescent="0.25">
      <c r="A437" s="13"/>
      <c r="B437" s="17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8"/>
      <c r="AB437" s="18"/>
      <c r="AC437" s="18"/>
      <c r="AD437" s="18"/>
      <c r="AE437" s="18"/>
      <c r="AF437" s="15"/>
      <c r="AG437" s="15"/>
      <c r="AH437" s="15"/>
      <c r="AI437" s="15"/>
      <c r="AJ437" s="15"/>
      <c r="AK437" s="16"/>
    </row>
    <row r="438" spans="1:37" ht="15.75" customHeight="1" x14ac:dyDescent="0.25">
      <c r="A438" s="13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8"/>
      <c r="AB438" s="18"/>
      <c r="AC438" s="18"/>
      <c r="AD438" s="18"/>
      <c r="AE438" s="18"/>
      <c r="AF438" s="15"/>
      <c r="AG438" s="15"/>
      <c r="AH438" s="15"/>
      <c r="AI438" s="15"/>
      <c r="AJ438" s="15"/>
      <c r="AK438" s="16"/>
    </row>
    <row r="439" spans="1:37" ht="15.75" customHeight="1" x14ac:dyDescent="0.25">
      <c r="A439" s="13"/>
      <c r="B439" s="17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8"/>
      <c r="AB439" s="18"/>
      <c r="AC439" s="18"/>
      <c r="AD439" s="18"/>
      <c r="AE439" s="18"/>
      <c r="AF439" s="15"/>
      <c r="AG439" s="15"/>
      <c r="AH439" s="15"/>
      <c r="AI439" s="15"/>
      <c r="AJ439" s="15"/>
      <c r="AK439" s="16"/>
    </row>
    <row r="440" spans="1:37" ht="15.75" customHeight="1" x14ac:dyDescent="0.25">
      <c r="A440" s="13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8"/>
      <c r="AB440" s="18"/>
      <c r="AC440" s="18"/>
      <c r="AD440" s="18"/>
      <c r="AE440" s="18"/>
      <c r="AF440" s="15"/>
      <c r="AG440" s="15"/>
      <c r="AH440" s="15"/>
      <c r="AI440" s="15"/>
      <c r="AJ440" s="15"/>
      <c r="AK440" s="16"/>
    </row>
    <row r="441" spans="1:37" ht="15.75" customHeight="1" x14ac:dyDescent="0.25">
      <c r="A441" s="13"/>
      <c r="B441" s="17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8"/>
      <c r="AB441" s="18"/>
      <c r="AC441" s="18"/>
      <c r="AD441" s="18"/>
      <c r="AE441" s="18"/>
      <c r="AF441" s="15"/>
      <c r="AG441" s="15"/>
      <c r="AH441" s="15"/>
      <c r="AI441" s="15"/>
      <c r="AJ441" s="15"/>
      <c r="AK441" s="16"/>
    </row>
    <row r="442" spans="1:37" ht="15.75" customHeight="1" x14ac:dyDescent="0.25">
      <c r="A442" s="13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8"/>
      <c r="AB442" s="18"/>
      <c r="AC442" s="18"/>
      <c r="AD442" s="18"/>
      <c r="AE442" s="18"/>
      <c r="AF442" s="15"/>
      <c r="AG442" s="15"/>
      <c r="AH442" s="15"/>
      <c r="AI442" s="15"/>
      <c r="AJ442" s="15"/>
      <c r="AK442" s="16"/>
    </row>
    <row r="443" spans="1:37" ht="15.75" customHeight="1" x14ac:dyDescent="0.25">
      <c r="A443" s="13"/>
      <c r="B443" s="17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8"/>
      <c r="AB443" s="18"/>
      <c r="AC443" s="18"/>
      <c r="AD443" s="18"/>
      <c r="AE443" s="18"/>
      <c r="AF443" s="15"/>
      <c r="AG443" s="15"/>
      <c r="AH443" s="15"/>
      <c r="AI443" s="15"/>
      <c r="AJ443" s="15"/>
      <c r="AK443" s="16"/>
    </row>
    <row r="444" spans="1:37" ht="15.75" customHeight="1" x14ac:dyDescent="0.25">
      <c r="A444" s="13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8"/>
      <c r="AB444" s="18"/>
      <c r="AC444" s="18"/>
      <c r="AD444" s="18"/>
      <c r="AE444" s="18"/>
      <c r="AF444" s="15"/>
      <c r="AG444" s="15"/>
      <c r="AH444" s="15"/>
      <c r="AI444" s="15"/>
      <c r="AJ444" s="15"/>
      <c r="AK444" s="16"/>
    </row>
    <row r="445" spans="1:37" ht="15.75" customHeight="1" x14ac:dyDescent="0.25">
      <c r="A445" s="13"/>
      <c r="B445" s="17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8"/>
      <c r="AB445" s="18"/>
      <c r="AC445" s="18"/>
      <c r="AD445" s="18"/>
      <c r="AE445" s="18"/>
      <c r="AF445" s="15"/>
      <c r="AG445" s="15"/>
      <c r="AH445" s="15"/>
      <c r="AI445" s="15"/>
      <c r="AJ445" s="15"/>
      <c r="AK445" s="16"/>
    </row>
    <row r="446" spans="1:37" ht="15.75" customHeight="1" x14ac:dyDescent="0.25">
      <c r="A446" s="13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8"/>
      <c r="AB446" s="18"/>
      <c r="AC446" s="18"/>
      <c r="AD446" s="18"/>
      <c r="AE446" s="18"/>
      <c r="AF446" s="15"/>
      <c r="AG446" s="15"/>
      <c r="AH446" s="15"/>
      <c r="AI446" s="15"/>
      <c r="AJ446" s="15"/>
      <c r="AK446" s="16"/>
    </row>
    <row r="447" spans="1:37" ht="15.75" customHeight="1" x14ac:dyDescent="0.25">
      <c r="A447" s="13"/>
      <c r="B447" s="17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8"/>
      <c r="AB447" s="18"/>
      <c r="AC447" s="18"/>
      <c r="AD447" s="18"/>
      <c r="AE447" s="18"/>
      <c r="AF447" s="15"/>
      <c r="AG447" s="15"/>
      <c r="AH447" s="15"/>
      <c r="AI447" s="15"/>
      <c r="AJ447" s="15"/>
      <c r="AK447" s="16"/>
    </row>
    <row r="448" spans="1:37" ht="15.75" customHeight="1" x14ac:dyDescent="0.25">
      <c r="A448" s="13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8"/>
      <c r="AB448" s="18"/>
      <c r="AC448" s="18"/>
      <c r="AD448" s="18"/>
      <c r="AE448" s="18"/>
      <c r="AF448" s="15"/>
      <c r="AG448" s="15"/>
      <c r="AH448" s="15"/>
      <c r="AI448" s="15"/>
      <c r="AJ448" s="15"/>
      <c r="AK448" s="16"/>
    </row>
    <row r="449" spans="1:37" ht="15.75" customHeight="1" x14ac:dyDescent="0.25">
      <c r="A449" s="13"/>
      <c r="B449" s="17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8"/>
      <c r="AB449" s="18"/>
      <c r="AC449" s="18"/>
      <c r="AD449" s="18"/>
      <c r="AE449" s="18"/>
      <c r="AF449" s="15"/>
      <c r="AG449" s="15"/>
      <c r="AH449" s="15"/>
      <c r="AI449" s="15"/>
      <c r="AJ449" s="15"/>
      <c r="AK449" s="16"/>
    </row>
    <row r="450" spans="1:37" ht="15.75" customHeight="1" x14ac:dyDescent="0.25">
      <c r="A450" s="13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8"/>
      <c r="AB450" s="18"/>
      <c r="AC450" s="18"/>
      <c r="AD450" s="18"/>
      <c r="AE450" s="18"/>
      <c r="AF450" s="15"/>
      <c r="AG450" s="15"/>
      <c r="AH450" s="15"/>
      <c r="AI450" s="15"/>
      <c r="AJ450" s="15"/>
      <c r="AK450" s="16"/>
    </row>
    <row r="451" spans="1:37" ht="15.75" customHeight="1" x14ac:dyDescent="0.25">
      <c r="A451" s="13"/>
      <c r="B451" s="17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8"/>
      <c r="AB451" s="18"/>
      <c r="AC451" s="18"/>
      <c r="AD451" s="18"/>
      <c r="AE451" s="18"/>
      <c r="AF451" s="15"/>
      <c r="AG451" s="15"/>
      <c r="AH451" s="15"/>
      <c r="AI451" s="15"/>
      <c r="AJ451" s="15"/>
      <c r="AK451" s="16"/>
    </row>
    <row r="452" spans="1:37" ht="15.75" customHeight="1" x14ac:dyDescent="0.25">
      <c r="A452" s="13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8"/>
      <c r="AB452" s="18"/>
      <c r="AC452" s="18"/>
      <c r="AD452" s="18"/>
      <c r="AE452" s="18"/>
      <c r="AF452" s="15"/>
      <c r="AG452" s="15"/>
      <c r="AH452" s="15"/>
      <c r="AI452" s="15"/>
      <c r="AJ452" s="15"/>
      <c r="AK452" s="16"/>
    </row>
    <row r="453" spans="1:37" ht="15.75" customHeight="1" x14ac:dyDescent="0.25">
      <c r="A453" s="13"/>
      <c r="B453" s="17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8"/>
      <c r="AB453" s="18"/>
      <c r="AC453" s="18"/>
      <c r="AD453" s="18"/>
      <c r="AE453" s="18"/>
      <c r="AF453" s="15"/>
      <c r="AG453" s="15"/>
      <c r="AH453" s="15"/>
      <c r="AI453" s="15"/>
      <c r="AJ453" s="15"/>
      <c r="AK453" s="16"/>
    </row>
    <row r="454" spans="1:37" ht="15.75" customHeight="1" x14ac:dyDescent="0.25">
      <c r="A454" s="13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8"/>
      <c r="AB454" s="18"/>
      <c r="AC454" s="18"/>
      <c r="AD454" s="18"/>
      <c r="AE454" s="18"/>
      <c r="AF454" s="15"/>
      <c r="AG454" s="15"/>
      <c r="AH454" s="15"/>
      <c r="AI454" s="15"/>
      <c r="AJ454" s="15"/>
      <c r="AK454" s="16"/>
    </row>
    <row r="455" spans="1:37" ht="15.75" customHeight="1" x14ac:dyDescent="0.25">
      <c r="A455" s="13"/>
      <c r="B455" s="17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8"/>
      <c r="AB455" s="18"/>
      <c r="AC455" s="18"/>
      <c r="AD455" s="18"/>
      <c r="AE455" s="18"/>
      <c r="AF455" s="15"/>
      <c r="AG455" s="15"/>
      <c r="AH455" s="15"/>
      <c r="AI455" s="15"/>
      <c r="AJ455" s="15"/>
      <c r="AK455" s="16"/>
    </row>
    <row r="456" spans="1:37" ht="15.75" customHeight="1" x14ac:dyDescent="0.25">
      <c r="A456" s="13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8"/>
      <c r="AB456" s="18"/>
      <c r="AC456" s="18"/>
      <c r="AD456" s="18"/>
      <c r="AE456" s="18"/>
      <c r="AF456" s="15"/>
      <c r="AG456" s="15"/>
      <c r="AH456" s="15"/>
      <c r="AI456" s="15"/>
      <c r="AJ456" s="15"/>
      <c r="AK456" s="16"/>
    </row>
    <row r="457" spans="1:37" ht="15.75" customHeight="1" x14ac:dyDescent="0.25">
      <c r="A457" s="13"/>
      <c r="B457" s="17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8"/>
      <c r="AB457" s="18"/>
      <c r="AC457" s="18"/>
      <c r="AD457" s="18"/>
      <c r="AE457" s="18"/>
      <c r="AF457" s="15"/>
      <c r="AG457" s="15"/>
      <c r="AH457" s="15"/>
      <c r="AI457" s="15"/>
      <c r="AJ457" s="15"/>
      <c r="AK457" s="16"/>
    </row>
    <row r="458" spans="1:37" ht="15.75" customHeight="1" x14ac:dyDescent="0.25">
      <c r="A458" s="13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8"/>
      <c r="AB458" s="18"/>
      <c r="AC458" s="18"/>
      <c r="AD458" s="18"/>
      <c r="AE458" s="18"/>
      <c r="AF458" s="15"/>
      <c r="AG458" s="15"/>
      <c r="AH458" s="15"/>
      <c r="AI458" s="15"/>
      <c r="AJ458" s="15"/>
      <c r="AK458" s="16"/>
    </row>
    <row r="459" spans="1:37" ht="15.75" customHeight="1" x14ac:dyDescent="0.25">
      <c r="A459" s="13"/>
      <c r="B459" s="17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8"/>
      <c r="AB459" s="18"/>
      <c r="AC459" s="18"/>
      <c r="AD459" s="18"/>
      <c r="AE459" s="18"/>
      <c r="AF459" s="15"/>
      <c r="AG459" s="15"/>
      <c r="AH459" s="15"/>
      <c r="AI459" s="15"/>
      <c r="AJ459" s="15"/>
      <c r="AK459" s="16"/>
    </row>
    <row r="460" spans="1:37" ht="15.75" customHeight="1" x14ac:dyDescent="0.25">
      <c r="A460" s="13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8"/>
      <c r="AB460" s="18"/>
      <c r="AC460" s="18"/>
      <c r="AD460" s="18"/>
      <c r="AE460" s="18"/>
      <c r="AF460" s="15"/>
      <c r="AG460" s="15"/>
      <c r="AH460" s="15"/>
      <c r="AI460" s="15"/>
      <c r="AJ460" s="15"/>
      <c r="AK460" s="16"/>
    </row>
    <row r="461" spans="1:37" ht="15.75" customHeight="1" x14ac:dyDescent="0.25">
      <c r="A461" s="13"/>
      <c r="B461" s="17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8"/>
      <c r="AB461" s="18"/>
      <c r="AC461" s="18"/>
      <c r="AD461" s="18"/>
      <c r="AE461" s="18"/>
      <c r="AF461" s="15"/>
      <c r="AG461" s="15"/>
      <c r="AH461" s="15"/>
      <c r="AI461" s="15"/>
      <c r="AJ461" s="15"/>
      <c r="AK461" s="16"/>
    </row>
    <row r="462" spans="1:37" ht="15.75" customHeight="1" x14ac:dyDescent="0.25">
      <c r="A462" s="13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8"/>
      <c r="AB462" s="18"/>
      <c r="AC462" s="18"/>
      <c r="AD462" s="18"/>
      <c r="AE462" s="18"/>
      <c r="AF462" s="15"/>
      <c r="AG462" s="15"/>
      <c r="AH462" s="15"/>
      <c r="AI462" s="15"/>
      <c r="AJ462" s="15"/>
      <c r="AK462" s="16"/>
    </row>
    <row r="463" spans="1:37" ht="15.75" customHeight="1" x14ac:dyDescent="0.25">
      <c r="A463" s="13"/>
      <c r="B463" s="17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8"/>
      <c r="AB463" s="18"/>
      <c r="AC463" s="18"/>
      <c r="AD463" s="18"/>
      <c r="AE463" s="18"/>
      <c r="AF463" s="15"/>
      <c r="AG463" s="15"/>
      <c r="AH463" s="15"/>
      <c r="AI463" s="15"/>
      <c r="AJ463" s="15"/>
      <c r="AK463" s="16"/>
    </row>
    <row r="464" spans="1:37" ht="15.75" customHeight="1" x14ac:dyDescent="0.25">
      <c r="A464" s="13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8"/>
      <c r="AB464" s="18"/>
      <c r="AC464" s="18"/>
      <c r="AD464" s="18"/>
      <c r="AE464" s="18"/>
      <c r="AF464" s="15"/>
      <c r="AG464" s="15"/>
      <c r="AH464" s="15"/>
      <c r="AI464" s="15"/>
      <c r="AJ464" s="15"/>
      <c r="AK464" s="16"/>
    </row>
    <row r="465" spans="1:37" ht="15.75" customHeight="1" x14ac:dyDescent="0.25">
      <c r="A465" s="13"/>
      <c r="B465" s="17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8"/>
      <c r="AB465" s="18"/>
      <c r="AC465" s="18"/>
      <c r="AD465" s="18"/>
      <c r="AE465" s="18"/>
      <c r="AF465" s="15"/>
      <c r="AG465" s="15"/>
      <c r="AH465" s="15"/>
      <c r="AI465" s="15"/>
      <c r="AJ465" s="15"/>
      <c r="AK465" s="16"/>
    </row>
    <row r="466" spans="1:37" ht="15.75" customHeight="1" x14ac:dyDescent="0.25">
      <c r="A466" s="13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8"/>
      <c r="AB466" s="18"/>
      <c r="AC466" s="18"/>
      <c r="AD466" s="18"/>
      <c r="AE466" s="18"/>
      <c r="AF466" s="15"/>
      <c r="AG466" s="15"/>
      <c r="AH466" s="15"/>
      <c r="AI466" s="15"/>
      <c r="AJ466" s="15"/>
      <c r="AK466" s="16"/>
    </row>
    <row r="467" spans="1:37" ht="15.75" customHeight="1" x14ac:dyDescent="0.25">
      <c r="A467" s="13"/>
      <c r="B467" s="17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8"/>
      <c r="AB467" s="18"/>
      <c r="AC467" s="18"/>
      <c r="AD467" s="18"/>
      <c r="AE467" s="18"/>
      <c r="AF467" s="15"/>
      <c r="AG467" s="15"/>
      <c r="AH467" s="15"/>
      <c r="AI467" s="15"/>
      <c r="AJ467" s="15"/>
      <c r="AK467" s="16"/>
    </row>
    <row r="468" spans="1:37" ht="15.75" customHeight="1" x14ac:dyDescent="0.25">
      <c r="A468" s="13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8"/>
      <c r="AB468" s="18"/>
      <c r="AC468" s="18"/>
      <c r="AD468" s="18"/>
      <c r="AE468" s="18"/>
      <c r="AF468" s="15"/>
      <c r="AG468" s="15"/>
      <c r="AH468" s="15"/>
      <c r="AI468" s="15"/>
      <c r="AJ468" s="15"/>
      <c r="AK468" s="16"/>
    </row>
    <row r="469" spans="1:37" ht="15.75" customHeight="1" x14ac:dyDescent="0.25">
      <c r="A469" s="13"/>
      <c r="B469" s="17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8"/>
      <c r="AB469" s="18"/>
      <c r="AC469" s="18"/>
      <c r="AD469" s="18"/>
      <c r="AE469" s="18"/>
      <c r="AF469" s="15"/>
      <c r="AG469" s="15"/>
      <c r="AH469" s="15"/>
      <c r="AI469" s="15"/>
      <c r="AJ469" s="15"/>
      <c r="AK469" s="16"/>
    </row>
    <row r="470" spans="1:37" ht="15.75" customHeight="1" x14ac:dyDescent="0.25">
      <c r="A470" s="13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8"/>
      <c r="AB470" s="18"/>
      <c r="AC470" s="18"/>
      <c r="AD470" s="18"/>
      <c r="AE470" s="18"/>
      <c r="AF470" s="15"/>
      <c r="AG470" s="15"/>
      <c r="AH470" s="15"/>
      <c r="AI470" s="15"/>
      <c r="AJ470" s="15"/>
      <c r="AK470" s="16"/>
    </row>
    <row r="471" spans="1:37" ht="15.75" customHeight="1" x14ac:dyDescent="0.25">
      <c r="A471" s="13"/>
      <c r="B471" s="17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8"/>
      <c r="AB471" s="18"/>
      <c r="AC471" s="18"/>
      <c r="AD471" s="18"/>
      <c r="AE471" s="18"/>
      <c r="AF471" s="15"/>
      <c r="AG471" s="15"/>
      <c r="AH471" s="15"/>
      <c r="AI471" s="15"/>
      <c r="AJ471" s="15"/>
      <c r="AK471" s="16"/>
    </row>
    <row r="472" spans="1:37" ht="15.75" customHeight="1" x14ac:dyDescent="0.25">
      <c r="A472" s="13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8"/>
      <c r="AB472" s="18"/>
      <c r="AC472" s="18"/>
      <c r="AD472" s="18"/>
      <c r="AE472" s="18"/>
      <c r="AF472" s="15"/>
      <c r="AG472" s="15"/>
      <c r="AH472" s="15"/>
      <c r="AI472" s="15"/>
      <c r="AJ472" s="15"/>
      <c r="AK472" s="16"/>
    </row>
    <row r="473" spans="1:37" ht="15.75" customHeight="1" x14ac:dyDescent="0.25">
      <c r="A473" s="13"/>
      <c r="B473" s="17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8"/>
      <c r="AB473" s="18"/>
      <c r="AC473" s="18"/>
      <c r="AD473" s="18"/>
      <c r="AE473" s="18"/>
      <c r="AF473" s="15"/>
      <c r="AG473" s="15"/>
      <c r="AH473" s="15"/>
      <c r="AI473" s="15"/>
      <c r="AJ473" s="15"/>
      <c r="AK473" s="16"/>
    </row>
    <row r="474" spans="1:37" ht="15.75" customHeight="1" x14ac:dyDescent="0.25">
      <c r="A474" s="13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8"/>
      <c r="AB474" s="18"/>
      <c r="AC474" s="18"/>
      <c r="AD474" s="18"/>
      <c r="AE474" s="18"/>
      <c r="AF474" s="15"/>
      <c r="AG474" s="15"/>
      <c r="AH474" s="15"/>
      <c r="AI474" s="15"/>
      <c r="AJ474" s="15"/>
      <c r="AK474" s="16"/>
    </row>
    <row r="475" spans="1:37" ht="15.75" customHeight="1" x14ac:dyDescent="0.25">
      <c r="A475" s="13"/>
      <c r="B475" s="17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8"/>
      <c r="AB475" s="18"/>
      <c r="AC475" s="18"/>
      <c r="AD475" s="18"/>
      <c r="AE475" s="18"/>
      <c r="AF475" s="15"/>
      <c r="AG475" s="15"/>
      <c r="AH475" s="15"/>
      <c r="AI475" s="15"/>
      <c r="AJ475" s="15"/>
      <c r="AK475" s="16"/>
    </row>
    <row r="476" spans="1:37" ht="15.75" customHeight="1" x14ac:dyDescent="0.25">
      <c r="A476" s="13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8"/>
      <c r="AB476" s="18"/>
      <c r="AC476" s="18"/>
      <c r="AD476" s="18"/>
      <c r="AE476" s="18"/>
      <c r="AF476" s="15"/>
      <c r="AG476" s="15"/>
      <c r="AH476" s="15"/>
      <c r="AI476" s="15"/>
      <c r="AJ476" s="15"/>
      <c r="AK476" s="16"/>
    </row>
    <row r="477" spans="1:37" ht="15.75" customHeight="1" x14ac:dyDescent="0.25">
      <c r="A477" s="13"/>
      <c r="B477" s="17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8"/>
      <c r="AB477" s="18"/>
      <c r="AC477" s="18"/>
      <c r="AD477" s="18"/>
      <c r="AE477" s="18"/>
      <c r="AF477" s="15"/>
      <c r="AG477" s="15"/>
      <c r="AH477" s="15"/>
      <c r="AI477" s="15"/>
      <c r="AJ477" s="15"/>
      <c r="AK477" s="16"/>
    </row>
    <row r="478" spans="1:37" ht="15.75" customHeight="1" x14ac:dyDescent="0.25">
      <c r="A478" s="13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8"/>
      <c r="AB478" s="18"/>
      <c r="AC478" s="18"/>
      <c r="AD478" s="18"/>
      <c r="AE478" s="18"/>
      <c r="AF478" s="15"/>
      <c r="AG478" s="15"/>
      <c r="AH478" s="15"/>
      <c r="AI478" s="15"/>
      <c r="AJ478" s="15"/>
      <c r="AK478" s="16"/>
    </row>
    <row r="479" spans="1:37" ht="15.75" customHeight="1" x14ac:dyDescent="0.25">
      <c r="A479" s="13"/>
      <c r="B479" s="17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8"/>
      <c r="AB479" s="18"/>
      <c r="AC479" s="18"/>
      <c r="AD479" s="18"/>
      <c r="AE479" s="18"/>
      <c r="AF479" s="15"/>
      <c r="AG479" s="15"/>
      <c r="AH479" s="15"/>
      <c r="AI479" s="15"/>
      <c r="AJ479" s="15"/>
      <c r="AK479" s="16"/>
    </row>
    <row r="480" spans="1:37" ht="15.75" customHeight="1" x14ac:dyDescent="0.25">
      <c r="A480" s="13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8"/>
      <c r="AB480" s="18"/>
      <c r="AC480" s="18"/>
      <c r="AD480" s="18"/>
      <c r="AE480" s="18"/>
      <c r="AF480" s="15"/>
      <c r="AG480" s="15"/>
      <c r="AH480" s="15"/>
      <c r="AI480" s="15"/>
      <c r="AJ480" s="15"/>
      <c r="AK480" s="16"/>
    </row>
    <row r="481" spans="1:37" ht="15.75" customHeight="1" x14ac:dyDescent="0.25">
      <c r="A481" s="13"/>
      <c r="B481" s="17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8"/>
      <c r="AB481" s="18"/>
      <c r="AC481" s="18"/>
      <c r="AD481" s="18"/>
      <c r="AE481" s="18"/>
      <c r="AF481" s="15"/>
      <c r="AG481" s="15"/>
      <c r="AH481" s="15"/>
      <c r="AI481" s="15"/>
      <c r="AJ481" s="15"/>
      <c r="AK481" s="16"/>
    </row>
    <row r="482" spans="1:37" ht="15.75" customHeight="1" x14ac:dyDescent="0.25">
      <c r="A482" s="13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8"/>
      <c r="AB482" s="18"/>
      <c r="AC482" s="18"/>
      <c r="AD482" s="18"/>
      <c r="AE482" s="18"/>
      <c r="AF482" s="15"/>
      <c r="AG482" s="15"/>
      <c r="AH482" s="15"/>
      <c r="AI482" s="15"/>
      <c r="AJ482" s="15"/>
      <c r="AK482" s="16"/>
    </row>
    <row r="483" spans="1:37" ht="15.75" customHeight="1" x14ac:dyDescent="0.25">
      <c r="A483" s="13"/>
      <c r="B483" s="17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8"/>
      <c r="AB483" s="18"/>
      <c r="AC483" s="18"/>
      <c r="AD483" s="18"/>
      <c r="AE483" s="18"/>
      <c r="AF483" s="15"/>
      <c r="AG483" s="15"/>
      <c r="AH483" s="15"/>
      <c r="AI483" s="15"/>
      <c r="AJ483" s="15"/>
      <c r="AK483" s="16"/>
    </row>
    <row r="484" spans="1:37" ht="15.75" customHeight="1" x14ac:dyDescent="0.25">
      <c r="A484" s="13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8"/>
      <c r="AB484" s="18"/>
      <c r="AC484" s="18"/>
      <c r="AD484" s="18"/>
      <c r="AE484" s="18"/>
      <c r="AF484" s="15"/>
      <c r="AG484" s="15"/>
      <c r="AH484" s="15"/>
      <c r="AI484" s="15"/>
      <c r="AJ484" s="15"/>
      <c r="AK484" s="16"/>
    </row>
    <row r="485" spans="1:37" ht="15.75" customHeight="1" x14ac:dyDescent="0.25">
      <c r="A485" s="13"/>
      <c r="B485" s="17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8"/>
      <c r="AB485" s="18"/>
      <c r="AC485" s="18"/>
      <c r="AD485" s="18"/>
      <c r="AE485" s="18"/>
      <c r="AF485" s="15"/>
      <c r="AG485" s="15"/>
      <c r="AH485" s="15"/>
      <c r="AI485" s="15"/>
      <c r="AJ485" s="15"/>
      <c r="AK485" s="16"/>
    </row>
    <row r="486" spans="1:37" ht="15.75" customHeight="1" x14ac:dyDescent="0.25">
      <c r="A486" s="13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8"/>
      <c r="AB486" s="18"/>
      <c r="AC486" s="18"/>
      <c r="AD486" s="18"/>
      <c r="AE486" s="18"/>
      <c r="AF486" s="15"/>
      <c r="AG486" s="15"/>
      <c r="AH486" s="15"/>
      <c r="AI486" s="15"/>
      <c r="AJ486" s="15"/>
      <c r="AK486" s="16"/>
    </row>
    <row r="487" spans="1:37" ht="15.75" customHeight="1" x14ac:dyDescent="0.25">
      <c r="A487" s="13"/>
      <c r="B487" s="17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8"/>
      <c r="AB487" s="18"/>
      <c r="AC487" s="18"/>
      <c r="AD487" s="18"/>
      <c r="AE487" s="18"/>
      <c r="AF487" s="15"/>
      <c r="AG487" s="15"/>
      <c r="AH487" s="15"/>
      <c r="AI487" s="15"/>
      <c r="AJ487" s="15"/>
      <c r="AK487" s="16"/>
    </row>
    <row r="488" spans="1:37" ht="15.75" customHeight="1" x14ac:dyDescent="0.25">
      <c r="A488" s="13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8"/>
      <c r="AB488" s="18"/>
      <c r="AC488" s="18"/>
      <c r="AD488" s="18"/>
      <c r="AE488" s="18"/>
      <c r="AF488" s="15"/>
      <c r="AG488" s="15"/>
      <c r="AH488" s="15"/>
      <c r="AI488" s="15"/>
      <c r="AJ488" s="15"/>
      <c r="AK488" s="16"/>
    </row>
    <row r="489" spans="1:37" ht="15.75" customHeight="1" x14ac:dyDescent="0.25">
      <c r="A489" s="13"/>
      <c r="B489" s="17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8"/>
      <c r="AB489" s="18"/>
      <c r="AC489" s="18"/>
      <c r="AD489" s="18"/>
      <c r="AE489" s="18"/>
      <c r="AF489" s="15"/>
      <c r="AG489" s="15"/>
      <c r="AH489" s="15"/>
      <c r="AI489" s="15"/>
      <c r="AJ489" s="15"/>
      <c r="AK489" s="16"/>
    </row>
    <row r="490" spans="1:37" ht="15.75" customHeight="1" x14ac:dyDescent="0.25">
      <c r="A490" s="13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8"/>
      <c r="AB490" s="18"/>
      <c r="AC490" s="18"/>
      <c r="AD490" s="18"/>
      <c r="AE490" s="18"/>
      <c r="AF490" s="15"/>
      <c r="AG490" s="15"/>
      <c r="AH490" s="15"/>
      <c r="AI490" s="15"/>
      <c r="AJ490" s="15"/>
      <c r="AK490" s="16"/>
    </row>
    <row r="491" spans="1:37" ht="15.75" customHeight="1" x14ac:dyDescent="0.25">
      <c r="A491" s="13"/>
      <c r="B491" s="17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8"/>
      <c r="AB491" s="18"/>
      <c r="AC491" s="18"/>
      <c r="AD491" s="18"/>
      <c r="AE491" s="18"/>
      <c r="AF491" s="15"/>
      <c r="AG491" s="15"/>
      <c r="AH491" s="15"/>
      <c r="AI491" s="15"/>
      <c r="AJ491" s="15"/>
      <c r="AK491" s="16"/>
    </row>
    <row r="492" spans="1:37" ht="15.75" customHeight="1" x14ac:dyDescent="0.25">
      <c r="A492" s="13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8"/>
      <c r="AB492" s="18"/>
      <c r="AC492" s="18"/>
      <c r="AD492" s="18"/>
      <c r="AE492" s="18"/>
      <c r="AF492" s="15"/>
      <c r="AG492" s="15"/>
      <c r="AH492" s="15"/>
      <c r="AI492" s="15"/>
      <c r="AJ492" s="15"/>
      <c r="AK492" s="16"/>
    </row>
    <row r="493" spans="1:37" ht="15.75" customHeight="1" x14ac:dyDescent="0.25">
      <c r="A493" s="13"/>
      <c r="B493" s="17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8"/>
      <c r="AB493" s="18"/>
      <c r="AC493" s="18"/>
      <c r="AD493" s="18"/>
      <c r="AE493" s="18"/>
      <c r="AF493" s="15"/>
      <c r="AG493" s="15"/>
      <c r="AH493" s="15"/>
      <c r="AI493" s="15"/>
      <c r="AJ493" s="15"/>
      <c r="AK493" s="16"/>
    </row>
    <row r="494" spans="1:37" ht="15.75" customHeight="1" x14ac:dyDescent="0.25">
      <c r="A494" s="13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8"/>
      <c r="AB494" s="18"/>
      <c r="AC494" s="18"/>
      <c r="AD494" s="18"/>
      <c r="AE494" s="18"/>
      <c r="AF494" s="15"/>
      <c r="AG494" s="15"/>
      <c r="AH494" s="15"/>
      <c r="AI494" s="15"/>
      <c r="AJ494" s="15"/>
      <c r="AK494" s="16"/>
    </row>
    <row r="495" spans="1:37" ht="15.75" customHeight="1" x14ac:dyDescent="0.25">
      <c r="A495" s="13"/>
      <c r="B495" s="17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8"/>
      <c r="AB495" s="18"/>
      <c r="AC495" s="18"/>
      <c r="AD495" s="18"/>
      <c r="AE495" s="18"/>
      <c r="AF495" s="15"/>
      <c r="AG495" s="15"/>
      <c r="AH495" s="15"/>
      <c r="AI495" s="15"/>
      <c r="AJ495" s="15"/>
      <c r="AK495" s="16"/>
    </row>
    <row r="496" spans="1:37" ht="15.75" customHeight="1" x14ac:dyDescent="0.25">
      <c r="A496" s="13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8"/>
      <c r="AB496" s="18"/>
      <c r="AC496" s="18"/>
      <c r="AD496" s="18"/>
      <c r="AE496" s="18"/>
      <c r="AF496" s="15"/>
      <c r="AG496" s="15"/>
      <c r="AH496" s="15"/>
      <c r="AI496" s="15"/>
      <c r="AJ496" s="15"/>
      <c r="AK496" s="16"/>
    </row>
    <row r="497" spans="1:37" ht="15.75" customHeight="1" x14ac:dyDescent="0.25">
      <c r="A497" s="13"/>
      <c r="B497" s="17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8"/>
      <c r="AB497" s="18"/>
      <c r="AC497" s="18"/>
      <c r="AD497" s="18"/>
      <c r="AE497" s="18"/>
      <c r="AF497" s="15"/>
      <c r="AG497" s="15"/>
      <c r="AH497" s="15"/>
      <c r="AI497" s="15"/>
      <c r="AJ497" s="15"/>
      <c r="AK497" s="16"/>
    </row>
    <row r="498" spans="1:37" ht="15.75" customHeight="1" x14ac:dyDescent="0.25">
      <c r="A498" s="13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8"/>
      <c r="AB498" s="18"/>
      <c r="AC498" s="18"/>
      <c r="AD498" s="18"/>
      <c r="AE498" s="18"/>
      <c r="AF498" s="15"/>
      <c r="AG498" s="15"/>
      <c r="AH498" s="15"/>
      <c r="AI498" s="15"/>
      <c r="AJ498" s="15"/>
      <c r="AK498" s="16"/>
    </row>
    <row r="499" spans="1:37" ht="15.75" customHeight="1" x14ac:dyDescent="0.25">
      <c r="A499" s="13"/>
      <c r="B499" s="17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8"/>
      <c r="AB499" s="18"/>
      <c r="AC499" s="18"/>
      <c r="AD499" s="18"/>
      <c r="AE499" s="18"/>
      <c r="AF499" s="15"/>
      <c r="AG499" s="15"/>
      <c r="AH499" s="15"/>
      <c r="AI499" s="15"/>
      <c r="AJ499" s="15"/>
      <c r="AK499" s="16"/>
    </row>
    <row r="500" spans="1:37" ht="15.75" customHeight="1" x14ac:dyDescent="0.25">
      <c r="A500" s="13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8"/>
      <c r="AB500" s="18"/>
      <c r="AC500" s="18"/>
      <c r="AD500" s="18"/>
      <c r="AE500" s="18"/>
      <c r="AF500" s="15"/>
      <c r="AG500" s="15"/>
      <c r="AH500" s="15"/>
      <c r="AI500" s="15"/>
      <c r="AJ500" s="15"/>
      <c r="AK500" s="16"/>
    </row>
    <row r="501" spans="1:37" ht="15.75" customHeight="1" x14ac:dyDescent="0.25"/>
    <row r="502" spans="1:37" ht="15.75" customHeight="1" x14ac:dyDescent="0.25"/>
    <row r="503" spans="1:37" ht="15.75" customHeight="1" x14ac:dyDescent="0.25"/>
  </sheetData>
  <mergeCells count="5">
    <mergeCell ref="A1:Z1"/>
    <mergeCell ref="C2:I2"/>
    <mergeCell ref="J2:V2"/>
    <mergeCell ref="W2:AE2"/>
    <mergeCell ref="AG2:AJ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showGridLines="0" zoomScaleNormal="100" workbookViewId="0">
      <selection activeCell="E36" sqref="E36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4" width="14" customWidth="1"/>
    <col min="5" max="5" width="12" customWidth="1"/>
    <col min="6" max="6" width="14" customWidth="1"/>
    <col min="7" max="7" width="12" customWidth="1"/>
    <col min="8" max="8" width="18" customWidth="1"/>
    <col min="9" max="9" width="12" customWidth="1"/>
  </cols>
  <sheetData>
    <row r="1" spans="1:9" ht="27.75" customHeight="1" x14ac:dyDescent="0.25">
      <c r="A1" s="72" t="s">
        <v>96</v>
      </c>
      <c r="B1" s="72"/>
      <c r="C1" s="72"/>
      <c r="D1" s="72"/>
      <c r="E1" s="72"/>
      <c r="F1" s="72"/>
      <c r="G1" s="72"/>
      <c r="H1" s="72"/>
    </row>
    <row r="2" spans="1:9" ht="21.75" customHeight="1" x14ac:dyDescent="0.25">
      <c r="A2" s="19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  <c r="H2" s="19" t="s">
        <v>104</v>
      </c>
      <c r="I2" s="19" t="s">
        <v>105</v>
      </c>
    </row>
    <row r="3" spans="1:9" ht="15.75" customHeight="1" x14ac:dyDescent="0.25">
      <c r="A3" s="20" t="s">
        <v>106</v>
      </c>
      <c r="B3" s="20" t="s">
        <v>107</v>
      </c>
      <c r="C3" s="21">
        <v>46096</v>
      </c>
      <c r="D3" s="21">
        <v>46157</v>
      </c>
      <c r="E3" s="22">
        <f ca="1">IFERROR(D3-TODAY(),"")</f>
        <v>-164</v>
      </c>
      <c r="F3" s="23">
        <v>320000</v>
      </c>
      <c r="G3" s="17">
        <v>1197</v>
      </c>
      <c r="H3" s="24">
        <f>IFERROR(F3*G3,0)</f>
        <v>383040000</v>
      </c>
      <c r="I3" s="20" t="s">
        <v>108</v>
      </c>
    </row>
    <row r="4" spans="1:9" ht="15.75" customHeight="1" x14ac:dyDescent="0.25">
      <c r="A4" s="20" t="s">
        <v>109</v>
      </c>
      <c r="B4" s="20" t="s">
        <v>110</v>
      </c>
      <c r="C4" s="21">
        <v>46113</v>
      </c>
      <c r="D4" s="21">
        <v>46172</v>
      </c>
      <c r="E4" s="22">
        <f ca="1">IFERROR(D4-TODAY(),"")</f>
        <v>-149</v>
      </c>
      <c r="F4" s="23">
        <v>185000</v>
      </c>
      <c r="G4" s="17">
        <v>1197</v>
      </c>
      <c r="H4" s="24">
        <f>IFERROR(F4*G4,0)</f>
        <v>221445000</v>
      </c>
      <c r="I4" s="20" t="s">
        <v>108</v>
      </c>
    </row>
    <row r="5" spans="1:9" ht="15.75" customHeight="1" x14ac:dyDescent="0.25">
      <c r="A5" s="20" t="s">
        <v>111</v>
      </c>
      <c r="B5" s="20" t="s">
        <v>112</v>
      </c>
      <c r="C5" s="21">
        <v>46122</v>
      </c>
      <c r="D5" s="21">
        <v>46183</v>
      </c>
      <c r="E5" s="22">
        <f ca="1">IFERROR(D5-TODAY(),"")</f>
        <v>-138</v>
      </c>
      <c r="F5" s="23">
        <v>240000</v>
      </c>
      <c r="G5" s="17">
        <v>1197</v>
      </c>
      <c r="H5" s="24">
        <f>IFERROR(F5*G5,0)</f>
        <v>287280000</v>
      </c>
      <c r="I5" s="20" t="s">
        <v>108</v>
      </c>
    </row>
    <row r="6" spans="1:9" ht="15.75" customHeight="1" x14ac:dyDescent="0.25">
      <c r="A6" s="20" t="s">
        <v>113</v>
      </c>
      <c r="B6" s="20" t="s">
        <v>114</v>
      </c>
      <c r="C6" s="21">
        <v>46132</v>
      </c>
      <c r="D6" s="21">
        <v>46193</v>
      </c>
      <c r="E6" s="22">
        <f ca="1">IFERROR(D6-TODAY(),"")</f>
        <v>-128</v>
      </c>
      <c r="F6" s="23">
        <v>495000</v>
      </c>
      <c r="G6" s="17">
        <v>1197</v>
      </c>
      <c r="H6" s="24">
        <f>IFERROR(F6*G6,0)</f>
        <v>592515000</v>
      </c>
      <c r="I6" s="20" t="s">
        <v>108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5" width="14" customWidth="1"/>
    <col min="6" max="6" width="18" customWidth="1"/>
  </cols>
  <sheetData>
    <row r="1" spans="1:6" ht="27.75" customHeight="1" x14ac:dyDescent="0.25">
      <c r="A1" s="72" t="s">
        <v>115</v>
      </c>
      <c r="B1" s="72"/>
      <c r="C1" s="72"/>
      <c r="D1" s="72"/>
      <c r="E1" s="72"/>
      <c r="F1" s="72"/>
    </row>
    <row r="2" spans="1:6" ht="21.75" customHeight="1" x14ac:dyDescent="0.25">
      <c r="A2" s="19" t="s">
        <v>60</v>
      </c>
      <c r="B2" s="19" t="s">
        <v>116</v>
      </c>
      <c r="C2" s="19" t="s">
        <v>117</v>
      </c>
      <c r="D2" s="19" t="s">
        <v>118</v>
      </c>
      <c r="E2" s="19" t="s">
        <v>119</v>
      </c>
      <c r="F2" s="19" t="s">
        <v>120</v>
      </c>
    </row>
    <row r="3" spans="1:6" ht="15.75" customHeight="1" x14ac:dyDescent="0.25">
      <c r="A3" s="21">
        <v>46140</v>
      </c>
      <c r="B3" s="17">
        <v>1194</v>
      </c>
      <c r="C3" s="23">
        <v>285000</v>
      </c>
      <c r="D3" s="23">
        <v>140000</v>
      </c>
      <c r="E3" s="25">
        <f>C3+D3</f>
        <v>425000</v>
      </c>
      <c r="F3" s="23">
        <v>87000</v>
      </c>
    </row>
    <row r="4" spans="1:6" ht="15.75" customHeight="1" x14ac:dyDescent="0.25">
      <c r="A4" s="21">
        <v>46141</v>
      </c>
      <c r="B4" s="17">
        <v>1196</v>
      </c>
      <c r="C4" s="23">
        <v>268000</v>
      </c>
      <c r="D4" s="23">
        <v>135000</v>
      </c>
      <c r="E4" s="25">
        <f>C4+D4</f>
        <v>403000</v>
      </c>
      <c r="F4" s="23">
        <v>72000</v>
      </c>
    </row>
    <row r="5" spans="1:6" ht="15.75" customHeight="1" x14ac:dyDescent="0.25">
      <c r="A5" s="21">
        <v>46142</v>
      </c>
      <c r="B5" s="17">
        <v>1197</v>
      </c>
      <c r="C5" s="23">
        <v>301000</v>
      </c>
      <c r="D5" s="23">
        <v>148000</v>
      </c>
      <c r="E5" s="25">
        <f>C5+D5</f>
        <v>449000</v>
      </c>
      <c r="F5" s="23">
        <v>95000</v>
      </c>
    </row>
    <row r="6" spans="1:6" ht="15.75" customHeight="1" x14ac:dyDescent="0.25">
      <c r="A6" s="21">
        <v>46144</v>
      </c>
      <c r="B6" s="17">
        <v>1198.5</v>
      </c>
      <c r="C6" s="23">
        <v>275000</v>
      </c>
      <c r="D6" s="23">
        <v>128000</v>
      </c>
      <c r="E6" s="25">
        <f>C6+D6</f>
        <v>403000</v>
      </c>
      <c r="F6" s="23">
        <v>68000</v>
      </c>
    </row>
    <row r="7" spans="1:6" ht="15.75" customHeight="1" x14ac:dyDescent="0.25">
      <c r="A7" s="21">
        <v>46147</v>
      </c>
      <c r="B7" s="17">
        <v>1197</v>
      </c>
      <c r="C7" s="23">
        <v>285000</v>
      </c>
      <c r="D7" s="23">
        <v>140000</v>
      </c>
      <c r="E7" s="25">
        <f>C7+D7</f>
        <v>425000</v>
      </c>
      <c r="F7" s="23">
        <v>87000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10" customWidth="1"/>
    <col min="3" max="3" width="42" customWidth="1"/>
    <col min="4" max="4" width="18" customWidth="1"/>
    <col min="5" max="5" width="12" customWidth="1"/>
    <col min="6" max="6" width="14" customWidth="1"/>
    <col min="7" max="7" width="12" customWidth="1"/>
  </cols>
  <sheetData>
    <row r="1" spans="1:7" ht="27.75" customHeight="1" x14ac:dyDescent="0.25">
      <c r="A1" s="72" t="s">
        <v>121</v>
      </c>
      <c r="B1" s="72"/>
      <c r="C1" s="72"/>
      <c r="D1" s="72"/>
      <c r="E1" s="72"/>
      <c r="F1" s="72"/>
      <c r="G1" s="72"/>
    </row>
    <row r="2" spans="1:7" ht="15.75" customHeight="1" x14ac:dyDescent="0.25">
      <c r="A2" s="80" t="s">
        <v>122</v>
      </c>
      <c r="B2" s="80"/>
      <c r="C2" s="80"/>
      <c r="D2" s="80"/>
      <c r="E2" s="80"/>
      <c r="F2" s="80"/>
      <c r="G2" s="80"/>
    </row>
    <row r="3" spans="1:7" ht="21.75" customHeight="1" x14ac:dyDescent="0.25">
      <c r="A3" s="19" t="s">
        <v>60</v>
      </c>
      <c r="B3" s="19" t="s">
        <v>123</v>
      </c>
      <c r="C3" s="19" t="s">
        <v>124</v>
      </c>
      <c r="D3" s="19" t="s">
        <v>125</v>
      </c>
      <c r="E3" s="19" t="s">
        <v>126</v>
      </c>
      <c r="F3" s="19" t="s">
        <v>102</v>
      </c>
      <c r="G3" s="19" t="s">
        <v>105</v>
      </c>
    </row>
    <row r="4" spans="1:7" ht="15.75" customHeight="1" x14ac:dyDescent="0.25">
      <c r="A4" s="13">
        <v>46148</v>
      </c>
      <c r="B4" s="26" t="s">
        <v>127</v>
      </c>
      <c r="C4" s="27" t="s">
        <v>128</v>
      </c>
      <c r="D4" s="15">
        <v>42000000</v>
      </c>
      <c r="E4" s="28">
        <v>1197</v>
      </c>
      <c r="F4" s="29">
        <f t="shared" ref="F4:F12" si="0">IFERROR(D4/E4,0)</f>
        <v>35087.719298245611</v>
      </c>
      <c r="G4" s="16" t="s">
        <v>108</v>
      </c>
    </row>
    <row r="5" spans="1:7" ht="15.75" customHeight="1" x14ac:dyDescent="0.25">
      <c r="A5" s="13">
        <v>46149</v>
      </c>
      <c r="B5" s="30" t="s">
        <v>129</v>
      </c>
      <c r="C5" s="27" t="s">
        <v>130</v>
      </c>
      <c r="D5" s="15">
        <v>87000000</v>
      </c>
      <c r="E5" s="28">
        <v>1197</v>
      </c>
      <c r="F5" s="31">
        <f t="shared" si="0"/>
        <v>72681.704260651633</v>
      </c>
      <c r="G5" s="16" t="s">
        <v>108</v>
      </c>
    </row>
    <row r="6" spans="1:7" ht="15.75" customHeight="1" x14ac:dyDescent="0.25">
      <c r="A6" s="13">
        <v>46150</v>
      </c>
      <c r="B6" s="26" t="s">
        <v>127</v>
      </c>
      <c r="C6" s="27" t="s">
        <v>131</v>
      </c>
      <c r="D6" s="15">
        <v>65000000</v>
      </c>
      <c r="E6" s="28">
        <v>1197</v>
      </c>
      <c r="F6" s="29">
        <f t="shared" si="0"/>
        <v>54302.422723475356</v>
      </c>
      <c r="G6" s="16" t="s">
        <v>108</v>
      </c>
    </row>
    <row r="7" spans="1:7" ht="15.75" customHeight="1" x14ac:dyDescent="0.25">
      <c r="A7" s="13">
        <v>46151</v>
      </c>
      <c r="B7" s="30" t="s">
        <v>129</v>
      </c>
      <c r="C7" s="27" t="s">
        <v>132</v>
      </c>
      <c r="D7" s="15">
        <v>48500000</v>
      </c>
      <c r="E7" s="28">
        <v>1197</v>
      </c>
      <c r="F7" s="31">
        <f t="shared" si="0"/>
        <v>40517.96157059315</v>
      </c>
      <c r="G7" s="16" t="s">
        <v>108</v>
      </c>
    </row>
    <row r="8" spans="1:7" ht="15.75" customHeight="1" x14ac:dyDescent="0.25">
      <c r="A8" s="13">
        <v>46152</v>
      </c>
      <c r="B8" s="26" t="s">
        <v>127</v>
      </c>
      <c r="C8" s="27" t="s">
        <v>133</v>
      </c>
      <c r="D8" s="15">
        <v>113715000</v>
      </c>
      <c r="E8" s="28">
        <v>1197</v>
      </c>
      <c r="F8" s="29">
        <f t="shared" si="0"/>
        <v>95000</v>
      </c>
      <c r="G8" s="16" t="s">
        <v>108</v>
      </c>
    </row>
    <row r="9" spans="1:7" ht="15.75" customHeight="1" x14ac:dyDescent="0.25">
      <c r="A9" s="13">
        <v>46152</v>
      </c>
      <c r="B9" s="30" t="s">
        <v>129</v>
      </c>
      <c r="C9" s="27" t="s">
        <v>134</v>
      </c>
      <c r="D9" s="15">
        <v>96000000</v>
      </c>
      <c r="E9" s="28">
        <v>1197</v>
      </c>
      <c r="F9" s="31">
        <f t="shared" si="0"/>
        <v>80200.501253132839</v>
      </c>
      <c r="G9" s="16" t="s">
        <v>108</v>
      </c>
    </row>
    <row r="10" spans="1:7" ht="15.75" customHeight="1" x14ac:dyDescent="0.25">
      <c r="A10" s="13">
        <v>46154</v>
      </c>
      <c r="B10" s="30" t="s">
        <v>129</v>
      </c>
      <c r="C10" s="27" t="s">
        <v>135</v>
      </c>
      <c r="D10" s="15">
        <v>23000000</v>
      </c>
      <c r="E10" s="28">
        <v>1197</v>
      </c>
      <c r="F10" s="31">
        <f t="shared" si="0"/>
        <v>19214.703425229742</v>
      </c>
      <c r="G10" s="16" t="s">
        <v>108</v>
      </c>
    </row>
    <row r="11" spans="1:7" ht="15.75" customHeight="1" x14ac:dyDescent="0.25">
      <c r="A11" s="13">
        <v>46157</v>
      </c>
      <c r="B11" s="26" t="s">
        <v>127</v>
      </c>
      <c r="C11" s="27" t="s">
        <v>136</v>
      </c>
      <c r="D11" s="15">
        <v>145000000</v>
      </c>
      <c r="E11" s="28">
        <v>1197</v>
      </c>
      <c r="F11" s="29">
        <f t="shared" si="0"/>
        <v>121136.17376775271</v>
      </c>
      <c r="G11" s="16" t="s">
        <v>108</v>
      </c>
    </row>
    <row r="12" spans="1:7" ht="15.75" customHeight="1" x14ac:dyDescent="0.25">
      <c r="A12" s="13">
        <v>46162</v>
      </c>
      <c r="B12" s="30" t="s">
        <v>129</v>
      </c>
      <c r="C12" s="27" t="s">
        <v>137</v>
      </c>
      <c r="D12" s="15">
        <v>95760000</v>
      </c>
      <c r="E12" s="28">
        <v>1197</v>
      </c>
      <c r="F12" s="31">
        <f t="shared" si="0"/>
        <v>80000</v>
      </c>
      <c r="G12" s="16" t="s">
        <v>108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3"/>
  <sheetViews>
    <sheetView showGridLines="0" zoomScaleNormal="100" workbookViewId="0">
      <pane xSplit="1" ySplit="3" topLeftCell="B86" activePane="bottomRight" state="frozen"/>
      <selection pane="topRight" activeCell="B1" sqref="B1"/>
      <selection pane="bottomLeft" activeCell="A4" sqref="A4"/>
      <selection pane="bottomRight" activeCell="C136" sqref="C136:C138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18" customWidth="1"/>
    <col min="4" max="4" width="16" customWidth="1"/>
    <col min="5" max="5" width="18" customWidth="1"/>
    <col min="6" max="7" width="14" customWidth="1"/>
    <col min="8" max="8" width="18" customWidth="1"/>
  </cols>
  <sheetData>
    <row r="1" spans="1:8" ht="27.75" customHeight="1" x14ac:dyDescent="0.25">
      <c r="A1" s="72" t="s">
        <v>138</v>
      </c>
      <c r="B1" s="72"/>
      <c r="C1" s="72"/>
      <c r="D1" s="72"/>
      <c r="E1" s="72"/>
      <c r="F1" s="72"/>
      <c r="G1" s="72"/>
      <c r="H1" s="72"/>
    </row>
    <row r="2" spans="1:8" ht="18" customHeight="1" x14ac:dyDescent="0.25">
      <c r="A2" s="81" t="s">
        <v>139</v>
      </c>
      <c r="B2" s="81"/>
      <c r="C2" s="81"/>
      <c r="D2" s="81"/>
      <c r="E2" s="81"/>
      <c r="F2" s="81"/>
      <c r="G2" s="81"/>
      <c r="H2" s="81"/>
    </row>
    <row r="3" spans="1:8" ht="31.5" customHeight="1" x14ac:dyDescent="0.25">
      <c r="A3" s="19" t="s">
        <v>60</v>
      </c>
      <c r="B3" s="19" t="s">
        <v>116</v>
      </c>
      <c r="C3" s="19" t="s">
        <v>140</v>
      </c>
      <c r="D3" s="19" t="s">
        <v>141</v>
      </c>
      <c r="E3" s="19" t="s">
        <v>142</v>
      </c>
      <c r="F3" s="32" t="s">
        <v>143</v>
      </c>
      <c r="G3" s="32" t="s">
        <v>144</v>
      </c>
      <c r="H3" s="19" t="s">
        <v>145</v>
      </c>
    </row>
    <row r="4" spans="1:8" ht="15.75" customHeight="1" x14ac:dyDescent="0.25">
      <c r="A4" s="33">
        <f>IF(CARGA_DIARIA!A4="","",CARGA_DIARIA!A4)</f>
        <v>46029</v>
      </c>
      <c r="B4" s="34">
        <f>IF(CARGA_DIARIA!A4="","",CARGA_DIARIA!B4)</f>
        <v>1463</v>
      </c>
      <c r="C4" s="35">
        <f>IF(CARGA_DIARIA!A4="","",IF(CARGA_DIARIA!B4=0,0,(CARGA_DIARIA!C4+CARGA_DIARIA!D4+CARGA_DIARIA!E4+CARGA_DIARIA!F4+CARGA_DIARIA!G4+CARGA_DIARIA!H4+CARGA_DIARIA!I4+CARGA_DIARIA!AG4+CARGA_DIARIA!AH4+CARGA_DIARIA!AI4+CARGA_DIARIA!AJ4)/CARGA_DIARIA!B4+CARGA_DIARIA!AF4))</f>
        <v>19059123.833219413</v>
      </c>
      <c r="D4" s="36">
        <f>IF(CARGA_DIARIA!A4="","",IF(CARGA_DIARIA!B4=0,0,(CARGA_DIARIA!J4+CARGA_DIARIA!K4+CARGA_DIARIA!L4+CARGA_DIARIA!M4+CARGA_DIARIA!N4+CARGA_DIARIA!O4+CARGA_DIARIA!P4+CARGA_DIARIA!Q4+CARGA_DIARIA!R4+CARGA_DIARIA!S4+CARGA_DIARIA!T4+CARGA_DIARIA!U4+CARGA_DIARIA!V4+CARGA_DIARIA!W4)/CARGA_DIARIA!B4))</f>
        <v>290132.79835953523</v>
      </c>
      <c r="E4" s="36">
        <f>IF(CARGA_DIARIA!A4="","",IF(CARGA_DIARIA!B4=0,0,(CARGA_DIARIA!X4+CARGA_DIARIA!Y4+CARGA_DIARIA!Z4+CARGA_DIARIA!AA4)/CARGA_DIARIA!B4+CARGA_DIARIA!AB4+CARGA_DIARIA!AC4+CARGA_DIARIA!AD4+CARGA_DIARIA!AE4))</f>
        <v>16746778.332194122</v>
      </c>
      <c r="F4" s="37" t="s">
        <v>146</v>
      </c>
      <c r="G4" s="37" t="s">
        <v>146</v>
      </c>
      <c r="H4" s="38">
        <f>IF(CARGA_DIARIA!A4="","",C4-D4-E4)</f>
        <v>2022212.7026657555</v>
      </c>
    </row>
    <row r="5" spans="1:8" ht="15.75" customHeight="1" x14ac:dyDescent="0.25">
      <c r="A5" s="33">
        <f>IF(CARGA_DIARIA!A5="","",CARGA_DIARIA!A5)</f>
        <v>46030</v>
      </c>
      <c r="B5" s="34">
        <f>IF(CARGA_DIARIA!A5="","",CARGA_DIARIA!B5)</f>
        <v>1469</v>
      </c>
      <c r="C5" s="35">
        <f>IF(CARGA_DIARIA!A5="","",IF(CARGA_DIARIA!B5=0,0,(CARGA_DIARIA!C5+CARGA_DIARIA!D5+CARGA_DIARIA!E5+CARGA_DIARIA!F5+CARGA_DIARIA!G5+CARGA_DIARIA!H5+CARGA_DIARIA!I5+CARGA_DIARIA!AG5+CARGA_DIARIA!AH5+CARGA_DIARIA!AI5+CARGA_DIARIA!AJ5)/CARGA_DIARIA!B5+CARGA_DIARIA!AF5))</f>
        <v>18101965.789680056</v>
      </c>
      <c r="D5" s="36">
        <f>IF(CARGA_DIARIA!A5="","",IF(CARGA_DIARIA!B5=0,0,(CARGA_DIARIA!J5+CARGA_DIARIA!K5+CARGA_DIARIA!L5+CARGA_DIARIA!M5+CARGA_DIARIA!N5+CARGA_DIARIA!O5+CARGA_DIARIA!P5+CARGA_DIARIA!Q5+CARGA_DIARIA!R5+CARGA_DIARIA!S5+CARGA_DIARIA!T5+CARGA_DIARIA!U5+CARGA_DIARIA!V5+CARGA_DIARIA!W5)/CARGA_DIARIA!B5))</f>
        <v>350053.34179033356</v>
      </c>
      <c r="E5" s="36">
        <f>IF(CARGA_DIARIA!A5="","",IF(CARGA_DIARIA!B5=0,0,(CARGA_DIARIA!X5+CARGA_DIARIA!Y5+CARGA_DIARIA!Z5+CARGA_DIARIA!AA5)/CARGA_DIARIA!B5+CARGA_DIARIA!AB5+CARGA_DIARIA!AC5+CARGA_DIARIA!AD5+CARGA_DIARIA!AE5))</f>
        <v>16647891.517290674</v>
      </c>
      <c r="F5" s="37" t="s">
        <v>146</v>
      </c>
      <c r="G5" s="37" t="s">
        <v>146</v>
      </c>
      <c r="H5" s="38">
        <f>IF(CARGA_DIARIA!A5="","",C5-D5-E5)</f>
        <v>1104020.9305990487</v>
      </c>
    </row>
    <row r="6" spans="1:8" ht="15.75" customHeight="1" x14ac:dyDescent="0.25">
      <c r="A6" s="33">
        <f>IF(CARGA_DIARIA!A6="","",CARGA_DIARIA!A6)</f>
        <v>46031</v>
      </c>
      <c r="B6" s="34">
        <f>IF(CARGA_DIARIA!A6="","",CARGA_DIARIA!B6)</f>
        <v>1455</v>
      </c>
      <c r="C6" s="35">
        <f>IF(CARGA_DIARIA!A6="","",IF(CARGA_DIARIA!B6=0,0,(CARGA_DIARIA!C6+CARGA_DIARIA!D6+CARGA_DIARIA!E6+CARGA_DIARIA!F6+CARGA_DIARIA!G6+CARGA_DIARIA!H6+CARGA_DIARIA!I6+CARGA_DIARIA!AG6+CARGA_DIARIA!AH6+CARGA_DIARIA!AI6+CARGA_DIARIA!AJ6)/CARGA_DIARIA!B6+CARGA_DIARIA!AF6))</f>
        <v>18851670.692027491</v>
      </c>
      <c r="D6" s="36">
        <f>IF(CARGA_DIARIA!A6="","",IF(CARGA_DIARIA!B6=0,0,(CARGA_DIARIA!J6+CARGA_DIARIA!K6+CARGA_DIARIA!L6+CARGA_DIARIA!M6+CARGA_DIARIA!N6+CARGA_DIARIA!O6+CARGA_DIARIA!P6+CARGA_DIARIA!Q6+CARGA_DIARIA!R6+CARGA_DIARIA!S6+CARGA_DIARIA!T6+CARGA_DIARIA!U6+CARGA_DIARIA!V6+CARGA_DIARIA!W6)/CARGA_DIARIA!B6))</f>
        <v>93342.511340206183</v>
      </c>
      <c r="E6" s="36">
        <f>IF(CARGA_DIARIA!A6="","",IF(CARGA_DIARIA!B6=0,0,(CARGA_DIARIA!X6+CARGA_DIARIA!Y6+CARGA_DIARIA!Z6+CARGA_DIARIA!AA6)/CARGA_DIARIA!B6+CARGA_DIARIA!AB6+CARGA_DIARIA!AC6+CARGA_DIARIA!AD6+CARGA_DIARIA!AE6))</f>
        <v>15918601.225457044</v>
      </c>
      <c r="F6" s="37" t="s">
        <v>146</v>
      </c>
      <c r="G6" s="37" t="s">
        <v>146</v>
      </c>
      <c r="H6" s="38">
        <f>IF(CARGA_DIARIA!A6="","",C6-D6-E6)</f>
        <v>2839726.9552302416</v>
      </c>
    </row>
    <row r="7" spans="1:8" ht="15.75" customHeight="1" x14ac:dyDescent="0.25">
      <c r="A7" s="33">
        <f>IF(CARGA_DIARIA!A7="","",CARGA_DIARIA!A7)</f>
        <v>46034</v>
      </c>
      <c r="B7" s="34">
        <f>IF(CARGA_DIARIA!A7="","",CARGA_DIARIA!B7)</f>
        <v>1465.5</v>
      </c>
      <c r="C7" s="35">
        <f>IF(CARGA_DIARIA!A7="","",IF(CARGA_DIARIA!B7=0,0,(CARGA_DIARIA!C7+CARGA_DIARIA!D7+CARGA_DIARIA!E7+CARGA_DIARIA!F7+CARGA_DIARIA!G7+CARGA_DIARIA!H7+CARGA_DIARIA!I7+CARGA_DIARIA!AG7+CARGA_DIARIA!AH7+CARGA_DIARIA!AI7+CARGA_DIARIA!AJ7)/CARGA_DIARIA!B7+CARGA_DIARIA!AF7))</f>
        <v>18930220.226229958</v>
      </c>
      <c r="D7" s="36">
        <f>IF(CARGA_DIARIA!A7="","",IF(CARGA_DIARIA!B7=0,0,(CARGA_DIARIA!J7+CARGA_DIARIA!K7+CARGA_DIARIA!L7+CARGA_DIARIA!M7+CARGA_DIARIA!N7+CARGA_DIARIA!O7+CARGA_DIARIA!P7+CARGA_DIARIA!Q7+CARGA_DIARIA!R7+CARGA_DIARIA!S7+CARGA_DIARIA!T7+CARGA_DIARIA!U7+CARGA_DIARIA!V7+CARGA_DIARIA!W7)/CARGA_DIARIA!B7))</f>
        <v>269697.40361651313</v>
      </c>
      <c r="E7" s="36">
        <f>IF(CARGA_DIARIA!A7="","",IF(CARGA_DIARIA!B7=0,0,(CARGA_DIARIA!X7+CARGA_DIARIA!Y7+CARGA_DIARIA!Z7+CARGA_DIARIA!AA7)/CARGA_DIARIA!B7+CARGA_DIARIA!AB7+CARGA_DIARIA!AC7+CARGA_DIARIA!AD7+CARGA_DIARIA!AE7))</f>
        <v>16152945.719890822</v>
      </c>
      <c r="F7" s="37" t="s">
        <v>146</v>
      </c>
      <c r="G7" s="37" t="s">
        <v>146</v>
      </c>
      <c r="H7" s="38">
        <f>IF(CARGA_DIARIA!A7="","",C7-D7-E7)</f>
        <v>2507577.1027226225</v>
      </c>
    </row>
    <row r="8" spans="1:8" ht="15.75" customHeight="1" x14ac:dyDescent="0.25">
      <c r="A8" s="33">
        <f>IF(CARGA_DIARIA!A8="","",CARGA_DIARIA!A8)</f>
        <v>46035</v>
      </c>
      <c r="B8" s="34">
        <f>IF(CARGA_DIARIA!A8="","",CARGA_DIARIA!B8)</f>
        <v>1462</v>
      </c>
      <c r="C8" s="35">
        <f>IF(CARGA_DIARIA!A8="","",IF(CARGA_DIARIA!B8=0,0,(CARGA_DIARIA!C8+CARGA_DIARIA!D8+CARGA_DIARIA!E8+CARGA_DIARIA!F8+CARGA_DIARIA!G8+CARGA_DIARIA!H8+CARGA_DIARIA!I8+CARGA_DIARIA!AG8+CARGA_DIARIA!AH8+CARGA_DIARIA!AI8+CARGA_DIARIA!AJ8)/CARGA_DIARIA!B8+CARGA_DIARIA!AF8))</f>
        <v>19304446.480984952</v>
      </c>
      <c r="D8" s="36">
        <f>IF(CARGA_DIARIA!A8="","",IF(CARGA_DIARIA!B8=0,0,(CARGA_DIARIA!J8+CARGA_DIARIA!K8+CARGA_DIARIA!L8+CARGA_DIARIA!M8+CARGA_DIARIA!N8+CARGA_DIARIA!O8+CARGA_DIARIA!P8+CARGA_DIARIA!Q8+CARGA_DIARIA!R8+CARGA_DIARIA!S8+CARGA_DIARIA!T8+CARGA_DIARIA!U8+CARGA_DIARIA!V8+CARGA_DIARIA!W8)/CARGA_DIARIA!B8))</f>
        <v>275609.76812585501</v>
      </c>
      <c r="E8" s="36">
        <f>IF(CARGA_DIARIA!A8="","",IF(CARGA_DIARIA!B8=0,0,(CARGA_DIARIA!X8+CARGA_DIARIA!Y8+CARGA_DIARIA!Z8+CARGA_DIARIA!AA8)/CARGA_DIARIA!B8+CARGA_DIARIA!AB8+CARGA_DIARIA!AC8+CARGA_DIARIA!AD8+CARGA_DIARIA!AE8))</f>
        <v>15935429.376880985</v>
      </c>
      <c r="F8" s="37" t="s">
        <v>146</v>
      </c>
      <c r="G8" s="37" t="s">
        <v>146</v>
      </c>
      <c r="H8" s="38">
        <f>IF(CARGA_DIARIA!A8="","",C8-D8-E8)</f>
        <v>3093407.3359781131</v>
      </c>
    </row>
    <row r="9" spans="1:8" ht="19.5" customHeight="1" x14ac:dyDescent="0.25">
      <c r="A9" s="33">
        <f>IF(CARGA_DIARIA!A9="","",CARGA_DIARIA!A9)</f>
        <v>46036</v>
      </c>
      <c r="B9" s="34">
        <f>IF(CARGA_DIARIA!A9="","",CARGA_DIARIA!B9)</f>
        <v>1464.5</v>
      </c>
      <c r="C9" s="35">
        <f>IF(CARGA_DIARIA!A9="","",IF(CARGA_DIARIA!B9=0,0,(CARGA_DIARIA!C9+CARGA_DIARIA!D9+CARGA_DIARIA!E9+CARGA_DIARIA!F9+CARGA_DIARIA!G9+CARGA_DIARIA!H9+CARGA_DIARIA!I9+CARGA_DIARIA!AG9+CARGA_DIARIA!AH9+CARGA_DIARIA!AI9+CARGA_DIARIA!AJ9)/CARGA_DIARIA!B9+CARGA_DIARIA!AF9))</f>
        <v>18887089.899716627</v>
      </c>
      <c r="D9" s="36">
        <f>IF(CARGA_DIARIA!A9="","",IF(CARGA_DIARIA!B9=0,0,(CARGA_DIARIA!J9+CARGA_DIARIA!K9+CARGA_DIARIA!L9+CARGA_DIARIA!M9+CARGA_DIARIA!N9+CARGA_DIARIA!O9+CARGA_DIARIA!P9+CARGA_DIARIA!Q9+CARGA_DIARIA!R9+CARGA_DIARIA!S9+CARGA_DIARIA!T9+CARGA_DIARIA!U9+CARGA_DIARIA!V9+CARGA_DIARIA!W9)/CARGA_DIARIA!B9))</f>
        <v>241159.24752475249</v>
      </c>
      <c r="E9" s="36">
        <f>IF(CARGA_DIARIA!A9="","",IF(CARGA_DIARIA!B9=0,0,(CARGA_DIARIA!X9+CARGA_DIARIA!Y9+CARGA_DIARIA!Z9+CARGA_DIARIA!AA9)/CARGA_DIARIA!B9+CARGA_DIARIA!AB9+CARGA_DIARIA!AC9+CARGA_DIARIA!AD9+CARGA_DIARIA!AE9))</f>
        <v>15830369.79822465</v>
      </c>
      <c r="F9" s="39" t="s">
        <v>146</v>
      </c>
      <c r="G9" s="39" t="s">
        <v>146</v>
      </c>
      <c r="H9" s="38">
        <f>IF(CARGA_DIARIA!A9="","",C9-D9-E9)</f>
        <v>2815560.8539672233</v>
      </c>
    </row>
    <row r="10" spans="1:8" ht="15.75" customHeight="1" x14ac:dyDescent="0.25">
      <c r="A10" s="33">
        <f>IF(CARGA_DIARIA!A10="","",CARGA_DIARIA!A10)</f>
        <v>46037</v>
      </c>
      <c r="B10" s="34">
        <f>IF(CARGA_DIARIA!A10="","",CARGA_DIARIA!B10)</f>
        <v>1450</v>
      </c>
      <c r="C10" s="35">
        <f>IF(CARGA_DIARIA!A10="","",IF(CARGA_DIARIA!B10=0,0,(CARGA_DIARIA!C10+CARGA_DIARIA!D10+CARGA_DIARIA!E10+CARGA_DIARIA!F10+CARGA_DIARIA!G10+CARGA_DIARIA!H10+CARGA_DIARIA!I10+CARGA_DIARIA!AG10+CARGA_DIARIA!AH10+CARGA_DIARIA!AI10+CARGA_DIARIA!AJ10)/CARGA_DIARIA!B10+CARGA_DIARIA!AF10))</f>
        <v>19136047.49469655</v>
      </c>
      <c r="D10" s="36">
        <f>IF(CARGA_DIARIA!A10="","",IF(CARGA_DIARIA!B10=0,0,(CARGA_DIARIA!J10+CARGA_DIARIA!K10+CARGA_DIARIA!L10+CARGA_DIARIA!M10+CARGA_DIARIA!N10+CARGA_DIARIA!O10+CARGA_DIARIA!P10+CARGA_DIARIA!Q10+CARGA_DIARIA!R10+CARGA_DIARIA!S10+CARGA_DIARIA!T10+CARGA_DIARIA!U10+CARGA_DIARIA!V10+CARGA_DIARIA!W10)/CARGA_DIARIA!B10))</f>
        <v>332734.65771034482</v>
      </c>
      <c r="E10" s="36">
        <f>IF(CARGA_DIARIA!A10="","",IF(CARGA_DIARIA!B10=0,0,(CARGA_DIARIA!X10+CARGA_DIARIA!Y10+CARGA_DIARIA!Z10+CARGA_DIARIA!AA10)/CARGA_DIARIA!B10+CARGA_DIARIA!AB10+CARGA_DIARIA!AC10+CARGA_DIARIA!AD10+CARGA_DIARIA!AE10))</f>
        <v>15774051.068158621</v>
      </c>
      <c r="F10" s="39" t="s">
        <v>146</v>
      </c>
      <c r="G10" s="39" t="s">
        <v>146</v>
      </c>
      <c r="H10" s="38">
        <f>IF(CARGA_DIARIA!A10="","",C10-D10-E10)</f>
        <v>3029261.7688275855</v>
      </c>
    </row>
    <row r="11" spans="1:8" ht="15.75" customHeight="1" x14ac:dyDescent="0.25">
      <c r="A11" s="33">
        <f>IF(CARGA_DIARIA!A11="","",CARGA_DIARIA!A11)</f>
        <v>46038</v>
      </c>
      <c r="B11" s="34">
        <f>IF(CARGA_DIARIA!A11="","",CARGA_DIARIA!B11)</f>
        <v>1440</v>
      </c>
      <c r="C11" s="35">
        <f>IF(CARGA_DIARIA!A11="","",IF(CARGA_DIARIA!B11=0,0,(CARGA_DIARIA!C11+CARGA_DIARIA!D11+CARGA_DIARIA!E11+CARGA_DIARIA!F11+CARGA_DIARIA!G11+CARGA_DIARIA!H11+CARGA_DIARIA!I11+CARGA_DIARIA!AG11+CARGA_DIARIA!AH11+CARGA_DIARIA!AI11+CARGA_DIARIA!AJ11)/CARGA_DIARIA!B11+CARGA_DIARIA!AF11))</f>
        <v>19578701.754090279</v>
      </c>
      <c r="D11" s="36">
        <f>IF(CARGA_DIARIA!A11="","",IF(CARGA_DIARIA!B11=0,0,(CARGA_DIARIA!J11+CARGA_DIARIA!K11+CARGA_DIARIA!L11+CARGA_DIARIA!M11+CARGA_DIARIA!N11+CARGA_DIARIA!O11+CARGA_DIARIA!P11+CARGA_DIARIA!Q11+CARGA_DIARIA!R11+CARGA_DIARIA!S11+CARGA_DIARIA!T11+CARGA_DIARIA!U11+CARGA_DIARIA!V11+CARGA_DIARIA!W11)/CARGA_DIARIA!B11))</f>
        <v>134777.59925</v>
      </c>
      <c r="E11" s="36">
        <f>IF(CARGA_DIARIA!A11="","",IF(CARGA_DIARIA!B11=0,0,(CARGA_DIARIA!X11+CARGA_DIARIA!Y11+CARGA_DIARIA!Z11+CARGA_DIARIA!AA11)/CARGA_DIARIA!B11+CARGA_DIARIA!AB11+CARGA_DIARIA!AC11+CARGA_DIARIA!AD11+CARGA_DIARIA!AE11))</f>
        <v>15465778.913888888</v>
      </c>
      <c r="F11" s="39" t="s">
        <v>146</v>
      </c>
      <c r="G11" s="39" t="s">
        <v>146</v>
      </c>
      <c r="H11" s="38">
        <f>IF(CARGA_DIARIA!A11="","",C11-D11-E11)</f>
        <v>3978145.2409513909</v>
      </c>
    </row>
    <row r="12" spans="1:8" ht="15.75" customHeight="1" x14ac:dyDescent="0.25">
      <c r="A12" s="33">
        <f>IF(CARGA_DIARIA!A12="","",CARGA_DIARIA!A12)</f>
        <v>46041</v>
      </c>
      <c r="B12" s="34">
        <f>IF(CARGA_DIARIA!A12="","",CARGA_DIARIA!B12)</f>
        <v>1428</v>
      </c>
      <c r="C12" s="35">
        <f>IF(CARGA_DIARIA!A12="","",IF(CARGA_DIARIA!B12=0,0,(CARGA_DIARIA!C12+CARGA_DIARIA!D12+CARGA_DIARIA!E12+CARGA_DIARIA!F12+CARGA_DIARIA!G12+CARGA_DIARIA!H12+CARGA_DIARIA!I12+CARGA_DIARIA!AG12+CARGA_DIARIA!AH12+CARGA_DIARIA!AI12+CARGA_DIARIA!AJ12)/CARGA_DIARIA!B12+CARGA_DIARIA!AF12))</f>
        <v>20822018.529691875</v>
      </c>
      <c r="D12" s="36">
        <f>IF(CARGA_DIARIA!A12="","",IF(CARGA_DIARIA!B12=0,0,(CARGA_DIARIA!J12+CARGA_DIARIA!K12+CARGA_DIARIA!L12+CARGA_DIARIA!M12+CARGA_DIARIA!N12+CARGA_DIARIA!O12+CARGA_DIARIA!P12+CARGA_DIARIA!Q12+CARGA_DIARIA!R12+CARGA_DIARIA!S12+CARGA_DIARIA!T12+CARGA_DIARIA!U12+CARGA_DIARIA!V12+CARGA_DIARIA!W12)/CARGA_DIARIA!B12))</f>
        <v>163030.92507002802</v>
      </c>
      <c r="E12" s="36">
        <f>IF(CARGA_DIARIA!A12="","",IF(CARGA_DIARIA!B12=0,0,(CARGA_DIARIA!X12+CARGA_DIARIA!Y12+CARGA_DIARIA!Z12+CARGA_DIARIA!AA12)/CARGA_DIARIA!B12+CARGA_DIARIA!AB12+CARGA_DIARIA!AC12+CARGA_DIARIA!AD12+CARGA_DIARIA!AE12))</f>
        <v>14933647.414565826</v>
      </c>
      <c r="F12" s="39" t="s">
        <v>146</v>
      </c>
      <c r="G12" s="39" t="s">
        <v>146</v>
      </c>
      <c r="H12" s="38">
        <f>IF(CARGA_DIARIA!A12="","",C12-D12-E12)</f>
        <v>5725340.1900560204</v>
      </c>
    </row>
    <row r="13" spans="1:8" ht="15.75" customHeight="1" x14ac:dyDescent="0.25">
      <c r="A13" s="33">
        <f>IF(CARGA_DIARIA!A13="","",CARGA_DIARIA!A13)</f>
        <v>46042</v>
      </c>
      <c r="B13" s="34">
        <f>IF(CARGA_DIARIA!A13="","",CARGA_DIARIA!B13)</f>
        <v>1428.5</v>
      </c>
      <c r="C13" s="35">
        <f>IF(CARGA_DIARIA!A13="","",IF(CARGA_DIARIA!B13=0,0,(CARGA_DIARIA!C13+CARGA_DIARIA!D13+CARGA_DIARIA!E13+CARGA_DIARIA!F13+CARGA_DIARIA!G13+CARGA_DIARIA!H13+CARGA_DIARIA!I13+CARGA_DIARIA!AG13+CARGA_DIARIA!AH13+CARGA_DIARIA!AI13+CARGA_DIARIA!AJ13)/CARGA_DIARIA!B13+CARGA_DIARIA!AF13))</f>
        <v>21139012.370606754</v>
      </c>
      <c r="D13" s="36">
        <f>IF(CARGA_DIARIA!A13="","",IF(CARGA_DIARIA!B13=0,0,(CARGA_DIARIA!J13+CARGA_DIARIA!K13+CARGA_DIARIA!L13+CARGA_DIARIA!M13+CARGA_DIARIA!N13+CARGA_DIARIA!O13+CARGA_DIARIA!P13+CARGA_DIARIA!Q13+CARGA_DIARIA!R13+CARGA_DIARIA!S13+CARGA_DIARIA!T13+CARGA_DIARIA!U13+CARGA_DIARIA!V13+CARGA_DIARIA!W13)/CARGA_DIARIA!B13))</f>
        <v>357428.5586279314</v>
      </c>
      <c r="E13" s="36">
        <f>IF(CARGA_DIARIA!A13="","",IF(CARGA_DIARIA!B13=0,0,(CARGA_DIARIA!X13+CARGA_DIARIA!Y13+CARGA_DIARIA!Z13+CARGA_DIARIA!AA13)/CARGA_DIARIA!B13+CARGA_DIARIA!AB13+CARGA_DIARIA!AC13+CARGA_DIARIA!AD13+CARGA_DIARIA!AE13))</f>
        <v>15449352.154707735</v>
      </c>
      <c r="F13" s="39" t="s">
        <v>146</v>
      </c>
      <c r="G13" s="39" t="s">
        <v>146</v>
      </c>
      <c r="H13" s="38">
        <f>IF(CARGA_DIARIA!A13="","",C13-D13-E13)</f>
        <v>5332231.657271089</v>
      </c>
    </row>
    <row r="14" spans="1:8" ht="15.75" customHeight="1" x14ac:dyDescent="0.25">
      <c r="A14" s="33">
        <f>IF(CARGA_DIARIA!A14="","",CARGA_DIARIA!A14)</f>
        <v>46043</v>
      </c>
      <c r="B14" s="34">
        <f>IF(CARGA_DIARIA!A14="","",CARGA_DIARIA!B14)</f>
        <v>1432</v>
      </c>
      <c r="C14" s="35">
        <f>IF(CARGA_DIARIA!A14="","",IF(CARGA_DIARIA!B14=0,0,(CARGA_DIARIA!C14+CARGA_DIARIA!D14+CARGA_DIARIA!E14+CARGA_DIARIA!F14+CARGA_DIARIA!G14+CARGA_DIARIA!H14+CARGA_DIARIA!I14+CARGA_DIARIA!AG14+CARGA_DIARIA!AH14+CARGA_DIARIA!AI14+CARGA_DIARIA!AJ14)/CARGA_DIARIA!B14+CARGA_DIARIA!AF14))</f>
        <v>21488028.177569833</v>
      </c>
      <c r="D14" s="36">
        <f>IF(CARGA_DIARIA!A14="","",IF(CARGA_DIARIA!B14=0,0,(CARGA_DIARIA!J14+CARGA_DIARIA!K14+CARGA_DIARIA!L14+CARGA_DIARIA!M14+CARGA_DIARIA!N14+CARGA_DIARIA!O14+CARGA_DIARIA!P14+CARGA_DIARIA!Q14+CARGA_DIARIA!R14+CARGA_DIARIA!S14+CARGA_DIARIA!T14+CARGA_DIARIA!U14+CARGA_DIARIA!V14+CARGA_DIARIA!W14)/CARGA_DIARIA!B14))</f>
        <v>251536.26047486035</v>
      </c>
      <c r="E14" s="36">
        <f>IF(CARGA_DIARIA!A14="","",IF(CARGA_DIARIA!B14=0,0,(CARGA_DIARIA!X14+CARGA_DIARIA!Y14+CARGA_DIARIA!Z14+CARGA_DIARIA!AA14)/CARGA_DIARIA!B14+CARGA_DIARIA!AB14+CARGA_DIARIA!AC14+CARGA_DIARIA!AD14+CARGA_DIARIA!AE14))</f>
        <v>15559503.222765364</v>
      </c>
      <c r="F14" s="39" t="s">
        <v>146</v>
      </c>
      <c r="G14" s="39" t="s">
        <v>146</v>
      </c>
      <c r="H14" s="38">
        <f>IF(CARGA_DIARIA!A14="","",C14-D14-E14)</f>
        <v>5676988.6943296082</v>
      </c>
    </row>
    <row r="15" spans="1:8" ht="15.75" customHeight="1" x14ac:dyDescent="0.25">
      <c r="A15" s="33">
        <f>IF(CARGA_DIARIA!A15="","",CARGA_DIARIA!A15)</f>
        <v>46044</v>
      </c>
      <c r="B15" s="34">
        <f>IF(CARGA_DIARIA!A15="","",CARGA_DIARIA!B15)</f>
        <v>1427</v>
      </c>
      <c r="C15" s="35">
        <f>IF(CARGA_DIARIA!A15="","",IF(CARGA_DIARIA!B15=0,0,(CARGA_DIARIA!C15+CARGA_DIARIA!D15+CARGA_DIARIA!E15+CARGA_DIARIA!F15+CARGA_DIARIA!G15+CARGA_DIARIA!H15+CARGA_DIARIA!I15+CARGA_DIARIA!AG15+CARGA_DIARIA!AH15+CARGA_DIARIA!AI15+CARGA_DIARIA!AJ15)/CARGA_DIARIA!B15+CARGA_DIARIA!AF15))</f>
        <v>21827493.868072882</v>
      </c>
      <c r="D15" s="36">
        <f>IF(CARGA_DIARIA!A15="","",IF(CARGA_DIARIA!B15=0,0,(CARGA_DIARIA!J15+CARGA_DIARIA!K15+CARGA_DIARIA!L15+CARGA_DIARIA!M15+CARGA_DIARIA!N15+CARGA_DIARIA!O15+CARGA_DIARIA!P15+CARGA_DIARIA!Q15+CARGA_DIARIA!R15+CARGA_DIARIA!S15+CARGA_DIARIA!T15+CARGA_DIARIA!U15+CARGA_DIARIA!V15+CARGA_DIARIA!W15)/CARGA_DIARIA!B15))</f>
        <v>164046.41205325859</v>
      </c>
      <c r="E15" s="36">
        <f>IF(CARGA_DIARIA!A15="","",IF(CARGA_DIARIA!B15=0,0,(CARGA_DIARIA!X15+CARGA_DIARIA!Y15+CARGA_DIARIA!Z15+CARGA_DIARIA!AA15)/CARGA_DIARIA!B15+CARGA_DIARIA!AB15+CARGA_DIARIA!AC15+CARGA_DIARIA!AD15+CARGA_DIARIA!AE15))</f>
        <v>15422835.760238262</v>
      </c>
      <c r="F15" s="39" t="s">
        <v>146</v>
      </c>
      <c r="G15" s="39" t="s">
        <v>146</v>
      </c>
      <c r="H15" s="38">
        <f>IF(CARGA_DIARIA!A15="","",C15-D15-E15)</f>
        <v>6240611.6957813632</v>
      </c>
    </row>
    <row r="16" spans="1:8" ht="15.75" customHeight="1" x14ac:dyDescent="0.25">
      <c r="A16" s="33">
        <f>IF(CARGA_DIARIA!A16="","",CARGA_DIARIA!A16)</f>
        <v>46045</v>
      </c>
      <c r="B16" s="34">
        <f>IF(CARGA_DIARIA!A16="","",CARGA_DIARIA!B16)</f>
        <v>1421</v>
      </c>
      <c r="C16" s="35">
        <f>IF(CARGA_DIARIA!A16="","",IF(CARGA_DIARIA!B16=0,0,(CARGA_DIARIA!C16+CARGA_DIARIA!D16+CARGA_DIARIA!E16+CARGA_DIARIA!F16+CARGA_DIARIA!G16+CARGA_DIARIA!H16+CARGA_DIARIA!I16+CARGA_DIARIA!AG16+CARGA_DIARIA!AH16+CARGA_DIARIA!AI16+CARGA_DIARIA!AJ16)/CARGA_DIARIA!B16+CARGA_DIARIA!AF16))</f>
        <v>22512544.142153412</v>
      </c>
      <c r="D16" s="36">
        <f>IF(CARGA_DIARIA!A16="","",IF(CARGA_DIARIA!B16=0,0,(CARGA_DIARIA!J16+CARGA_DIARIA!K16+CARGA_DIARIA!L16+CARGA_DIARIA!M16+CARGA_DIARIA!N16+CARGA_DIARIA!O16+CARGA_DIARIA!P16+CARGA_DIARIA!Q16+CARGA_DIARIA!R16+CARGA_DIARIA!S16+CARGA_DIARIA!T16+CARGA_DIARIA!U16+CARGA_DIARIA!V16+CARGA_DIARIA!W16)/CARGA_DIARIA!B16))</f>
        <v>147054.30752990852</v>
      </c>
      <c r="E16" s="36">
        <f>IF(CARGA_DIARIA!A16="","",IF(CARGA_DIARIA!B16=0,0,(CARGA_DIARIA!X16+CARGA_DIARIA!Y16+CARGA_DIARIA!Z16+CARGA_DIARIA!AA16)/CARGA_DIARIA!B16+CARGA_DIARIA!AB16+CARGA_DIARIA!AC16+CARGA_DIARIA!AD16+CARGA_DIARIA!AE16))</f>
        <v>15227170.868106967</v>
      </c>
      <c r="F16" s="39" t="s">
        <v>146</v>
      </c>
      <c r="G16" s="39" t="s">
        <v>146</v>
      </c>
      <c r="H16" s="38">
        <f>IF(CARGA_DIARIA!A16="","",C16-D16-E16)</f>
        <v>7138318.9665165376</v>
      </c>
    </row>
    <row r="17" spans="1:8" ht="15.75" customHeight="1" x14ac:dyDescent="0.25">
      <c r="A17" s="33">
        <f>IF(CARGA_DIARIA!A17="","",CARGA_DIARIA!A17)</f>
        <v>46048</v>
      </c>
      <c r="B17" s="34">
        <f>IF(CARGA_DIARIA!A17="","",CARGA_DIARIA!B17)</f>
        <v>1428</v>
      </c>
      <c r="C17" s="35">
        <f>IF(CARGA_DIARIA!A17="","",IF(CARGA_DIARIA!B17=0,0,(CARGA_DIARIA!C17+CARGA_DIARIA!D17+CARGA_DIARIA!E17+CARGA_DIARIA!F17+CARGA_DIARIA!G17+CARGA_DIARIA!H17+CARGA_DIARIA!I17+CARGA_DIARIA!AG17+CARGA_DIARIA!AH17+CARGA_DIARIA!AI17+CARGA_DIARIA!AJ17)/CARGA_DIARIA!B17+CARGA_DIARIA!AF17))</f>
        <v>23367981.410546221</v>
      </c>
      <c r="D17" s="36">
        <f>IF(CARGA_DIARIA!A17="","",IF(CARGA_DIARIA!B17=0,0,(CARGA_DIARIA!J17+CARGA_DIARIA!K17+CARGA_DIARIA!L17+CARGA_DIARIA!M17+CARGA_DIARIA!N17+CARGA_DIARIA!O17+CARGA_DIARIA!P17+CARGA_DIARIA!Q17+CARGA_DIARIA!R17+CARGA_DIARIA!S17+CARGA_DIARIA!T17+CARGA_DIARIA!U17+CARGA_DIARIA!V17+CARGA_DIARIA!W17)/CARGA_DIARIA!B17))</f>
        <v>98051.014481792721</v>
      </c>
      <c r="E17" s="36">
        <f>IF(CARGA_DIARIA!A17="","",IF(CARGA_DIARIA!B17=0,0,(CARGA_DIARIA!X17+CARGA_DIARIA!Y17+CARGA_DIARIA!Z17+CARGA_DIARIA!AA17)/CARGA_DIARIA!B17+CARGA_DIARIA!AB17+CARGA_DIARIA!AC17+CARGA_DIARIA!AD17+CARGA_DIARIA!AE17))</f>
        <v>15177325.964355743</v>
      </c>
      <c r="F17" s="39" t="s">
        <v>146</v>
      </c>
      <c r="G17" s="39" t="s">
        <v>146</v>
      </c>
      <c r="H17" s="38">
        <f>IF(CARGA_DIARIA!A17="","",C17-D17-E17)</f>
        <v>8092604.4317086842</v>
      </c>
    </row>
    <row r="18" spans="1:8" ht="15.75" customHeight="1" x14ac:dyDescent="0.25">
      <c r="A18" s="33">
        <f>IF(CARGA_DIARIA!A18="","",CARGA_DIARIA!A18)</f>
        <v>46049</v>
      </c>
      <c r="B18" s="34">
        <f>IF(CARGA_DIARIA!A18="","",CARGA_DIARIA!B18)</f>
        <v>1435</v>
      </c>
      <c r="C18" s="35">
        <f>IF(CARGA_DIARIA!A18="","",IF(CARGA_DIARIA!B18=0,0,(CARGA_DIARIA!C18+CARGA_DIARIA!D18+CARGA_DIARIA!E18+CARGA_DIARIA!F18+CARGA_DIARIA!G18+CARGA_DIARIA!H18+CARGA_DIARIA!I18+CARGA_DIARIA!AG18+CARGA_DIARIA!AH18+CARGA_DIARIA!AI18+CARGA_DIARIA!AJ18)/CARGA_DIARIA!B18+CARGA_DIARIA!AF18))</f>
        <v>24852186.952054355</v>
      </c>
      <c r="D18" s="36">
        <f>IF(CARGA_DIARIA!A18="","",IF(CARGA_DIARIA!B18=0,0,(CARGA_DIARIA!J18+CARGA_DIARIA!K18+CARGA_DIARIA!L18+CARGA_DIARIA!M18+CARGA_DIARIA!N18+CARGA_DIARIA!O18+CARGA_DIARIA!P18+CARGA_DIARIA!Q18+CARGA_DIARIA!R18+CARGA_DIARIA!S18+CARGA_DIARIA!T18+CARGA_DIARIA!U18+CARGA_DIARIA!V18+CARGA_DIARIA!W18)/CARGA_DIARIA!B18))</f>
        <v>231215.63623693379</v>
      </c>
      <c r="E18" s="36">
        <f>IF(CARGA_DIARIA!A18="","",IF(CARGA_DIARIA!B18=0,0,(CARGA_DIARIA!X18+CARGA_DIARIA!Y18+CARGA_DIARIA!Z18+CARGA_DIARIA!AA18)/CARGA_DIARIA!B18+CARGA_DIARIA!AB18+CARGA_DIARIA!AC18+CARGA_DIARIA!AD18+CARGA_DIARIA!AE18))</f>
        <v>17107721.403484322</v>
      </c>
      <c r="F18" s="39" t="s">
        <v>146</v>
      </c>
      <c r="G18" s="39" t="s">
        <v>146</v>
      </c>
      <c r="H18" s="38">
        <f>IF(CARGA_DIARIA!A18="","",C18-D18-E18)</f>
        <v>7513249.912333101</v>
      </c>
    </row>
    <row r="19" spans="1:8" ht="15.75" customHeight="1" x14ac:dyDescent="0.25">
      <c r="A19" s="33">
        <f>IF(CARGA_DIARIA!A19="","",CARGA_DIARIA!A19)</f>
        <v>46050</v>
      </c>
      <c r="B19" s="34">
        <f>IF(CARGA_DIARIA!A19="","",CARGA_DIARIA!B19)</f>
        <v>1437</v>
      </c>
      <c r="C19" s="35">
        <f>IF(CARGA_DIARIA!A19="","",IF(CARGA_DIARIA!B19=0,0,(CARGA_DIARIA!C19+CARGA_DIARIA!D19+CARGA_DIARIA!E19+CARGA_DIARIA!F19+CARGA_DIARIA!G19+CARGA_DIARIA!H19+CARGA_DIARIA!I19+CARGA_DIARIA!AG19+CARGA_DIARIA!AH19+CARGA_DIARIA!AI19+CARGA_DIARIA!AJ19)/CARGA_DIARIA!B19+CARGA_DIARIA!AF19))</f>
        <v>24671394.316318721</v>
      </c>
      <c r="D19" s="36">
        <f>IF(CARGA_DIARIA!A19="","",IF(CARGA_DIARIA!B19=0,0,(CARGA_DIARIA!J19+CARGA_DIARIA!K19+CARGA_DIARIA!L19+CARGA_DIARIA!M19+CARGA_DIARIA!N19+CARGA_DIARIA!O19+CARGA_DIARIA!P19+CARGA_DIARIA!Q19+CARGA_DIARIA!R19+CARGA_DIARIA!S19+CARGA_DIARIA!T19+CARGA_DIARIA!U19+CARGA_DIARIA!V19+CARGA_DIARIA!W19)/CARGA_DIARIA!B19))</f>
        <v>151307.98329853863</v>
      </c>
      <c r="E19" s="36">
        <f>IF(CARGA_DIARIA!A19="","",IF(CARGA_DIARIA!B19=0,0,(CARGA_DIARIA!X19+CARGA_DIARIA!Y19+CARGA_DIARIA!Z19+CARGA_DIARIA!AA19)/CARGA_DIARIA!B19+CARGA_DIARIA!AB19+CARGA_DIARIA!AC19+CARGA_DIARIA!AD19+CARGA_DIARIA!AE19))</f>
        <v>16405927.947028533</v>
      </c>
      <c r="F19" s="39" t="s">
        <v>146</v>
      </c>
      <c r="G19" s="39" t="s">
        <v>146</v>
      </c>
      <c r="H19" s="38">
        <f>IF(CARGA_DIARIA!A19="","",C19-D19-E19)</f>
        <v>8114158.3859916478</v>
      </c>
    </row>
    <row r="20" spans="1:8" ht="15.75" customHeight="1" x14ac:dyDescent="0.25">
      <c r="A20" s="33">
        <f>IF(CARGA_DIARIA!A20="","",CARGA_DIARIA!A20)</f>
        <v>46051</v>
      </c>
      <c r="B20" s="34">
        <f>IF(CARGA_DIARIA!A20="","",CARGA_DIARIA!B20)</f>
        <v>1437</v>
      </c>
      <c r="C20" s="35">
        <f>IF(CARGA_DIARIA!A20="","",IF(CARGA_DIARIA!B20=0,0,(CARGA_DIARIA!C20+CARGA_DIARIA!D20+CARGA_DIARIA!E20+CARGA_DIARIA!F20+CARGA_DIARIA!G20+CARGA_DIARIA!H20+CARGA_DIARIA!I20+CARGA_DIARIA!AG20+CARGA_DIARIA!AH20+CARGA_DIARIA!AI20+CARGA_DIARIA!AJ20)/CARGA_DIARIA!B20+CARGA_DIARIA!AF20))</f>
        <v>28841625.977550104</v>
      </c>
      <c r="D20" s="36">
        <f>IF(CARGA_DIARIA!A20="","",IF(CARGA_DIARIA!B20=0,0,(CARGA_DIARIA!J20+CARGA_DIARIA!K20+CARGA_DIARIA!L20+CARGA_DIARIA!M20+CARGA_DIARIA!N20+CARGA_DIARIA!O20+CARGA_DIARIA!P20+CARGA_DIARIA!Q20+CARGA_DIARIA!R20+CARGA_DIARIA!S20+CARGA_DIARIA!T20+CARGA_DIARIA!U20+CARGA_DIARIA!V20+CARGA_DIARIA!W20)/CARGA_DIARIA!B20))</f>
        <v>63470.784272790537</v>
      </c>
      <c r="E20" s="36">
        <f>IF(CARGA_DIARIA!A20="","",IF(CARGA_DIARIA!B20=0,0,(CARGA_DIARIA!X20+CARGA_DIARIA!Y20+CARGA_DIARIA!Z20+CARGA_DIARIA!AA20)/CARGA_DIARIA!B20+CARGA_DIARIA!AB20+CARGA_DIARIA!AC20+CARGA_DIARIA!AD20+CARGA_DIARIA!AE20))</f>
        <v>16327270.561322199</v>
      </c>
      <c r="F20" s="39" t="s">
        <v>146</v>
      </c>
      <c r="G20" s="39" t="s">
        <v>146</v>
      </c>
      <c r="H20" s="38">
        <f>IF(CARGA_DIARIA!A20="","",C20-D20-E20)</f>
        <v>12450884.631955115</v>
      </c>
    </row>
    <row r="21" spans="1:8" ht="15.75" customHeight="1" x14ac:dyDescent="0.25">
      <c r="A21" s="33">
        <f>IF(CARGA_DIARIA!A21="","",CARGA_DIARIA!A21)</f>
        <v>46052</v>
      </c>
      <c r="B21" s="34">
        <f>IF(CARGA_DIARIA!A21="","",CARGA_DIARIA!B21)</f>
        <v>1443</v>
      </c>
      <c r="C21" s="35">
        <f>IF(CARGA_DIARIA!A21="","",IF(CARGA_DIARIA!B21=0,0,(CARGA_DIARIA!C21+CARGA_DIARIA!D21+CARGA_DIARIA!E21+CARGA_DIARIA!F21+CARGA_DIARIA!G21+CARGA_DIARIA!H21+CARGA_DIARIA!I21+CARGA_DIARIA!AG21+CARGA_DIARIA!AH21+CARGA_DIARIA!AI21+CARGA_DIARIA!AJ21)/CARGA_DIARIA!B21+CARGA_DIARIA!AF21))</f>
        <v>27252554.916146915</v>
      </c>
      <c r="D21" s="36">
        <f>IF(CARGA_DIARIA!A21="","",IF(CARGA_DIARIA!B21=0,0,(CARGA_DIARIA!J21+CARGA_DIARIA!K21+CARGA_DIARIA!L21+CARGA_DIARIA!M21+CARGA_DIARIA!N21+CARGA_DIARIA!O21+CARGA_DIARIA!P21+CARGA_DIARIA!Q21+CARGA_DIARIA!R21+CARGA_DIARIA!S21+CARGA_DIARIA!T21+CARGA_DIARIA!U21+CARGA_DIARIA!V21+CARGA_DIARIA!W21)/CARGA_DIARIA!B21))</f>
        <v>282650.90783090785</v>
      </c>
      <c r="E21" s="36">
        <f>IF(CARGA_DIARIA!A21="","",IF(CARGA_DIARIA!B21=0,0,(CARGA_DIARIA!X21+CARGA_DIARIA!Y21+CARGA_DIARIA!Z21+CARGA_DIARIA!AA21)/CARGA_DIARIA!B21+CARGA_DIARIA!AB21+CARGA_DIARIA!AC21+CARGA_DIARIA!AD21+CARGA_DIARIA!AE21))</f>
        <v>15419997.384712406</v>
      </c>
      <c r="F21" s="39" t="s">
        <v>146</v>
      </c>
      <c r="G21" s="39" t="s">
        <v>146</v>
      </c>
      <c r="H21" s="38">
        <f>IF(CARGA_DIARIA!A21="","",C21-D21-E21)</f>
        <v>11549906.623603601</v>
      </c>
    </row>
    <row r="22" spans="1:8" ht="15.75" customHeight="1" x14ac:dyDescent="0.25">
      <c r="A22" s="33">
        <f>IF(CARGA_DIARIA!A22="","",CARGA_DIARIA!A22)</f>
        <v>46055</v>
      </c>
      <c r="B22" s="34">
        <f>IF(CARGA_DIARIA!A22="","",CARGA_DIARIA!B22)</f>
        <v>1444</v>
      </c>
      <c r="C22" s="35">
        <f>IF(CARGA_DIARIA!A22="","",IF(CARGA_DIARIA!B22=0,0,(CARGA_DIARIA!C22+CARGA_DIARIA!D22+CARGA_DIARIA!E22+CARGA_DIARIA!F22+CARGA_DIARIA!G22+CARGA_DIARIA!H22+CARGA_DIARIA!I22+CARGA_DIARIA!AG22+CARGA_DIARIA!AH22+CARGA_DIARIA!AI22+CARGA_DIARIA!AJ22)/CARGA_DIARIA!B22+CARGA_DIARIA!AF22))</f>
        <v>30109966.928670362</v>
      </c>
      <c r="D22" s="36">
        <f>IF(CARGA_DIARIA!A22="","",IF(CARGA_DIARIA!B22=0,0,(CARGA_DIARIA!J22+CARGA_DIARIA!K22+CARGA_DIARIA!L22+CARGA_DIARIA!M22+CARGA_DIARIA!N22+CARGA_DIARIA!O22+CARGA_DIARIA!P22+CARGA_DIARIA!Q22+CARGA_DIARIA!R22+CARGA_DIARIA!S22+CARGA_DIARIA!T22+CARGA_DIARIA!U22+CARGA_DIARIA!V22+CARGA_DIARIA!W22)/CARGA_DIARIA!B22))</f>
        <v>160812.96745152355</v>
      </c>
      <c r="E22" s="36">
        <f>IF(CARGA_DIARIA!A22="","",IF(CARGA_DIARIA!B22=0,0,(CARGA_DIARIA!X22+CARGA_DIARIA!Y22+CARGA_DIARIA!Z22+CARGA_DIARIA!AA22)/CARGA_DIARIA!B22+CARGA_DIARIA!AB22+CARGA_DIARIA!AC22+CARGA_DIARIA!AD22+CARGA_DIARIA!AE22))</f>
        <v>17203509.793016724</v>
      </c>
      <c r="F22" s="39" t="s">
        <v>146</v>
      </c>
      <c r="G22" s="39" t="s">
        <v>146</v>
      </c>
      <c r="H22" s="38">
        <f>IF(CARGA_DIARIA!A22="","",C22-D22-E22)</f>
        <v>12745644.168202113</v>
      </c>
    </row>
    <row r="23" spans="1:8" ht="15.75" customHeight="1" x14ac:dyDescent="0.25">
      <c r="A23" s="33">
        <f>IF(CARGA_DIARIA!A23="","",CARGA_DIARIA!A23)</f>
        <v>46056</v>
      </c>
      <c r="B23" s="34">
        <f>IF(CARGA_DIARIA!A23="","",CARGA_DIARIA!B23)</f>
        <v>1447</v>
      </c>
      <c r="C23" s="35">
        <f>IF(CARGA_DIARIA!A23="","",IF(CARGA_DIARIA!B23=0,0,(CARGA_DIARIA!C23+CARGA_DIARIA!D23+CARGA_DIARIA!E23+CARGA_DIARIA!F23+CARGA_DIARIA!G23+CARGA_DIARIA!H23+CARGA_DIARIA!I23+CARGA_DIARIA!AG23+CARGA_DIARIA!AH23+CARGA_DIARIA!AI23+CARGA_DIARIA!AJ23)/CARGA_DIARIA!B23+CARGA_DIARIA!AF23))</f>
        <v>28311525.989972357</v>
      </c>
      <c r="D23" s="36">
        <f>IF(CARGA_DIARIA!A23="","",IF(CARGA_DIARIA!B23=0,0,(CARGA_DIARIA!J23+CARGA_DIARIA!K23+CARGA_DIARIA!L23+CARGA_DIARIA!M23+CARGA_DIARIA!N23+CARGA_DIARIA!O23+CARGA_DIARIA!P23+CARGA_DIARIA!Q23+CARGA_DIARIA!R23+CARGA_DIARIA!S23+CARGA_DIARIA!T23+CARGA_DIARIA!U23+CARGA_DIARIA!V23+CARGA_DIARIA!W23)/CARGA_DIARIA!B23))</f>
        <v>117693.32550103663</v>
      </c>
      <c r="E23" s="36">
        <f>IF(CARGA_DIARIA!A23="","",IF(CARGA_DIARIA!B23=0,0,(CARGA_DIARIA!X23+CARGA_DIARIA!Y23+CARGA_DIARIA!Z23+CARGA_DIARIA!AA23)/CARGA_DIARIA!B23+CARGA_DIARIA!AB23+CARGA_DIARIA!AC23+CARGA_DIARIA!AD23+CARGA_DIARIA!AE23))</f>
        <v>16979168.513556428</v>
      </c>
      <c r="F23" s="39" t="s">
        <v>146</v>
      </c>
      <c r="G23" s="39" t="s">
        <v>146</v>
      </c>
      <c r="H23" s="38">
        <f>IF(CARGA_DIARIA!A23="","",C23-D23-E23)</f>
        <v>11214664.150914893</v>
      </c>
    </row>
    <row r="24" spans="1:8" ht="15.75" customHeight="1" x14ac:dyDescent="0.25">
      <c r="A24" s="33">
        <f>IF(CARGA_DIARIA!A24="","",CARGA_DIARIA!A24)</f>
        <v>46057</v>
      </c>
      <c r="B24" s="34">
        <f>IF(CARGA_DIARIA!A24="","",CARGA_DIARIA!B24)</f>
        <v>1444</v>
      </c>
      <c r="C24" s="35">
        <f>IF(CARGA_DIARIA!A24="","",IF(CARGA_DIARIA!B24=0,0,(CARGA_DIARIA!C24+CARGA_DIARIA!D24+CARGA_DIARIA!E24+CARGA_DIARIA!F24+CARGA_DIARIA!G24+CARGA_DIARIA!H24+CARGA_DIARIA!I24+CARGA_DIARIA!AG24+CARGA_DIARIA!AH24+CARGA_DIARIA!AI24+CARGA_DIARIA!AJ24)/CARGA_DIARIA!B24+CARGA_DIARIA!AF24))</f>
        <v>26156792.014542937</v>
      </c>
      <c r="D24" s="36">
        <f>IF(CARGA_DIARIA!A24="","",IF(CARGA_DIARIA!B24=0,0,(CARGA_DIARIA!J24+CARGA_DIARIA!K24+CARGA_DIARIA!L24+CARGA_DIARIA!M24+CARGA_DIARIA!N24+CARGA_DIARIA!O24+CARGA_DIARIA!P24+CARGA_DIARIA!Q24+CARGA_DIARIA!R24+CARGA_DIARIA!S24+CARGA_DIARIA!T24+CARGA_DIARIA!U24+CARGA_DIARIA!V24+CARGA_DIARIA!W24)/CARGA_DIARIA!B24))</f>
        <v>156174.48684210525</v>
      </c>
      <c r="E24" s="36">
        <f>IF(CARGA_DIARIA!A24="","",IF(CARGA_DIARIA!B24=0,0,(CARGA_DIARIA!X24+CARGA_DIARIA!Y24+CARGA_DIARIA!Z24+CARGA_DIARIA!AA24)/CARGA_DIARIA!B24+CARGA_DIARIA!AB24+CARGA_DIARIA!AC24+CARGA_DIARIA!AD24+CARGA_DIARIA!AE24))</f>
        <v>16986764.02016354</v>
      </c>
      <c r="F24" s="39" t="s">
        <v>146</v>
      </c>
      <c r="G24" s="39" t="s">
        <v>146</v>
      </c>
      <c r="H24" s="38">
        <f>IF(CARGA_DIARIA!A24="","",C24-D24-E24)</f>
        <v>9013853.5075372905</v>
      </c>
    </row>
    <row r="25" spans="1:8" ht="15.75" customHeight="1" x14ac:dyDescent="0.25">
      <c r="A25" s="33">
        <f>IF(CARGA_DIARIA!A25="","",CARGA_DIARIA!A25)</f>
        <v>46058</v>
      </c>
      <c r="B25" s="34">
        <f>IF(CARGA_DIARIA!A25="","",CARGA_DIARIA!B25)</f>
        <v>1444.5</v>
      </c>
      <c r="C25" s="35">
        <f>IF(CARGA_DIARIA!A25="","",IF(CARGA_DIARIA!B25=0,0,(CARGA_DIARIA!C25+CARGA_DIARIA!D25+CARGA_DIARIA!E25+CARGA_DIARIA!F25+CARGA_DIARIA!G25+CARGA_DIARIA!H25+CARGA_DIARIA!I25+CARGA_DIARIA!AG25+CARGA_DIARIA!AH25+CARGA_DIARIA!AI25+CARGA_DIARIA!AJ25)/CARGA_DIARIA!B25+CARGA_DIARIA!AF25))</f>
        <v>27709476.858571168</v>
      </c>
      <c r="D25" s="36">
        <f>IF(CARGA_DIARIA!A25="","",IF(CARGA_DIARIA!B25=0,0,(CARGA_DIARIA!J25+CARGA_DIARIA!K25+CARGA_DIARIA!L25+CARGA_DIARIA!M25+CARGA_DIARIA!N25+CARGA_DIARIA!O25+CARGA_DIARIA!P25+CARGA_DIARIA!Q25+CARGA_DIARIA!R25+CARGA_DIARIA!S25+CARGA_DIARIA!T25+CARGA_DIARIA!U25+CARGA_DIARIA!V25+CARGA_DIARIA!W25)/CARGA_DIARIA!B25))</f>
        <v>255839.15610938042</v>
      </c>
      <c r="E25" s="36">
        <f>IF(CARGA_DIARIA!A25="","",IF(CARGA_DIARIA!B25=0,0,(CARGA_DIARIA!X25+CARGA_DIARIA!Y25+CARGA_DIARIA!Z25+CARGA_DIARIA!AA25)/CARGA_DIARIA!B25+CARGA_DIARIA!AB25+CARGA_DIARIA!AC25+CARGA_DIARIA!AD25+CARGA_DIARIA!AE25))</f>
        <v>16729854.189993873</v>
      </c>
      <c r="F25" s="39" t="s">
        <v>146</v>
      </c>
      <c r="G25" s="39" t="s">
        <v>146</v>
      </c>
      <c r="H25" s="38">
        <f>IF(CARGA_DIARIA!A25="","",C25-D25-E25)</f>
        <v>10723783.512467913</v>
      </c>
    </row>
    <row r="26" spans="1:8" ht="15.75" customHeight="1" x14ac:dyDescent="0.25">
      <c r="A26" s="33">
        <f>IF(CARGA_DIARIA!A26="","",CARGA_DIARIA!A26)</f>
        <v>46059</v>
      </c>
      <c r="B26" s="34">
        <f>IF(CARGA_DIARIA!A26="","",CARGA_DIARIA!B26)</f>
        <v>1444.5</v>
      </c>
      <c r="C26" s="35">
        <f>IF(CARGA_DIARIA!A26="","",IF(CARGA_DIARIA!B26=0,0,(CARGA_DIARIA!C26+CARGA_DIARIA!D26+CARGA_DIARIA!E26+CARGA_DIARIA!F26+CARGA_DIARIA!G26+CARGA_DIARIA!H26+CARGA_DIARIA!I26+CARGA_DIARIA!AG26+CARGA_DIARIA!AH26+CARGA_DIARIA!AI26+CARGA_DIARIA!AJ26)/CARGA_DIARIA!B26+CARGA_DIARIA!AF26))</f>
        <v>29020191.661892042</v>
      </c>
      <c r="D26" s="36">
        <f>IF(CARGA_DIARIA!A26="","",IF(CARGA_DIARIA!B26=0,0,(CARGA_DIARIA!J26+CARGA_DIARIA!K26+CARGA_DIARIA!L26+CARGA_DIARIA!M26+CARGA_DIARIA!N26+CARGA_DIARIA!O26+CARGA_DIARIA!P26+CARGA_DIARIA!Q26+CARGA_DIARIA!R26+CARGA_DIARIA!S26+CARGA_DIARIA!T26+CARGA_DIARIA!U26+CARGA_DIARIA!V26+CARGA_DIARIA!W26)/CARGA_DIARIA!B26))</f>
        <v>288885.70824506751</v>
      </c>
      <c r="E26" s="36">
        <f>IF(CARGA_DIARIA!A26="","",IF(CARGA_DIARIA!B26=0,0,(CARGA_DIARIA!X26+CARGA_DIARIA!Y26+CARGA_DIARIA!Z26+CARGA_DIARIA!AA26)/CARGA_DIARIA!B26+CARGA_DIARIA!AB26+CARGA_DIARIA!AC26+CARGA_DIARIA!AD26+CARGA_DIARIA!AE26))</f>
        <v>16522953.105265595</v>
      </c>
      <c r="F26" s="39" t="s">
        <v>146</v>
      </c>
      <c r="G26" s="39" t="s">
        <v>146</v>
      </c>
      <c r="H26" s="38">
        <f>IF(CARGA_DIARIA!A26="","",C26-D26-E26)</f>
        <v>12208352.848381378</v>
      </c>
    </row>
    <row r="27" spans="1:8" ht="15.75" customHeight="1" x14ac:dyDescent="0.25">
      <c r="A27" s="33">
        <f>IF(CARGA_DIARIA!A27="","",CARGA_DIARIA!A27)</f>
        <v>46062</v>
      </c>
      <c r="B27" s="34">
        <f>IF(CARGA_DIARIA!A27="","",CARGA_DIARIA!B27)</f>
        <v>1420</v>
      </c>
      <c r="C27" s="35">
        <f>IF(CARGA_DIARIA!A27="","",IF(CARGA_DIARIA!B27=0,0,(CARGA_DIARIA!C27+CARGA_DIARIA!D27+CARGA_DIARIA!E27+CARGA_DIARIA!F27+CARGA_DIARIA!G27+CARGA_DIARIA!H27+CARGA_DIARIA!I27+CARGA_DIARIA!AG27+CARGA_DIARIA!AH27+CARGA_DIARIA!AI27+CARGA_DIARIA!AJ27)/CARGA_DIARIA!B27+CARGA_DIARIA!AF27))</f>
        <v>28747586.385005631</v>
      </c>
      <c r="D27" s="36">
        <f>IF(CARGA_DIARIA!A27="","",IF(CARGA_DIARIA!B27=0,0,(CARGA_DIARIA!J27+CARGA_DIARIA!K27+CARGA_DIARIA!L27+CARGA_DIARIA!M27+CARGA_DIARIA!N27+CARGA_DIARIA!O27+CARGA_DIARIA!P27+CARGA_DIARIA!Q27+CARGA_DIARIA!R27+CARGA_DIARIA!S27+CARGA_DIARIA!T27+CARGA_DIARIA!U27+CARGA_DIARIA!V27+CARGA_DIARIA!W27)/CARGA_DIARIA!B27))</f>
        <v>108410.3453943662</v>
      </c>
      <c r="E27" s="36">
        <f>IF(CARGA_DIARIA!A27="","",IF(CARGA_DIARIA!B27=0,0,(CARGA_DIARIA!X27+CARGA_DIARIA!Y27+CARGA_DIARIA!Z27+CARGA_DIARIA!AA27)/CARGA_DIARIA!B27+CARGA_DIARIA!AB27+CARGA_DIARIA!AC27+CARGA_DIARIA!AD27+CARGA_DIARIA!AE27))</f>
        <v>14211039.183180388</v>
      </c>
      <c r="F27" s="39" t="s">
        <v>146</v>
      </c>
      <c r="G27" s="39" t="s">
        <v>146</v>
      </c>
      <c r="H27" s="38">
        <f>IF(CARGA_DIARIA!A27="","",C27-D27-E27)</f>
        <v>14428136.856430877</v>
      </c>
    </row>
    <row r="28" spans="1:8" ht="15.75" customHeight="1" x14ac:dyDescent="0.25">
      <c r="A28" s="33">
        <f>IF(CARGA_DIARIA!A28="","",CARGA_DIARIA!A28)</f>
        <v>46063</v>
      </c>
      <c r="B28" s="34">
        <f>IF(CARGA_DIARIA!A28="","",CARGA_DIARIA!B28)</f>
        <v>1424</v>
      </c>
      <c r="C28" s="35">
        <f>IF(CARGA_DIARIA!A28="","",IF(CARGA_DIARIA!B28=0,0,(CARGA_DIARIA!C28+CARGA_DIARIA!D28+CARGA_DIARIA!E28+CARGA_DIARIA!F28+CARGA_DIARIA!G28+CARGA_DIARIA!H28+CARGA_DIARIA!I28+CARGA_DIARIA!AG28+CARGA_DIARIA!AH28+CARGA_DIARIA!AI28+CARGA_DIARIA!AJ28)/CARGA_DIARIA!B28+CARGA_DIARIA!AF28))</f>
        <v>27431409.687887359</v>
      </c>
      <c r="D28" s="36">
        <f>IF(CARGA_DIARIA!A28="","",IF(CARGA_DIARIA!B28=0,0,(CARGA_DIARIA!J28+CARGA_DIARIA!K28+CARGA_DIARIA!L28+CARGA_DIARIA!M28+CARGA_DIARIA!N28+CARGA_DIARIA!O28+CARGA_DIARIA!P28+CARGA_DIARIA!Q28+CARGA_DIARIA!R28+CARGA_DIARIA!S28+CARGA_DIARIA!T28+CARGA_DIARIA!U28+CARGA_DIARIA!V28+CARGA_DIARIA!W28)/CARGA_DIARIA!B28))</f>
        <v>234454.02387640451</v>
      </c>
      <c r="E28" s="36">
        <f>IF(CARGA_DIARIA!A28="","",IF(CARGA_DIARIA!B28=0,0,(CARGA_DIARIA!X28+CARGA_DIARIA!Y28+CARGA_DIARIA!Z28+CARGA_DIARIA!AA28)/CARGA_DIARIA!B28+CARGA_DIARIA!AB28+CARGA_DIARIA!AC28+CARGA_DIARIA!AD28+CARGA_DIARIA!AE28))</f>
        <v>13996864.073817521</v>
      </c>
      <c r="F28" s="39" t="s">
        <v>146</v>
      </c>
      <c r="G28" s="39" t="s">
        <v>146</v>
      </c>
      <c r="H28" s="38">
        <f>IF(CARGA_DIARIA!A28="","",C28-D28-E28)</f>
        <v>13200091.590193432</v>
      </c>
    </row>
    <row r="29" spans="1:8" ht="15.75" customHeight="1" x14ac:dyDescent="0.25">
      <c r="A29" s="33">
        <f>IF(CARGA_DIARIA!A29="","",CARGA_DIARIA!A29)</f>
        <v>46064</v>
      </c>
      <c r="B29" s="34">
        <f>IF(CARGA_DIARIA!A29="","",CARGA_DIARIA!B29)</f>
        <v>1401</v>
      </c>
      <c r="C29" s="35">
        <f>IF(CARGA_DIARIA!A29="","",IF(CARGA_DIARIA!B29=0,0,(CARGA_DIARIA!C29+CARGA_DIARIA!D29+CARGA_DIARIA!E29+CARGA_DIARIA!F29+CARGA_DIARIA!G29+CARGA_DIARIA!H29+CARGA_DIARIA!I29+CARGA_DIARIA!AG29+CARGA_DIARIA!AH29+CARGA_DIARIA!AI29+CARGA_DIARIA!AJ29)/CARGA_DIARIA!B29+CARGA_DIARIA!AF29))</f>
        <v>30415338.051476017</v>
      </c>
      <c r="D29" s="36">
        <f>IF(CARGA_DIARIA!A29="","",IF(CARGA_DIARIA!B29=0,0,(CARGA_DIARIA!J29+CARGA_DIARIA!K29+CARGA_DIARIA!L29+CARGA_DIARIA!M29+CARGA_DIARIA!N29+CARGA_DIARIA!O29+CARGA_DIARIA!P29+CARGA_DIARIA!Q29+CARGA_DIARIA!R29+CARGA_DIARIA!S29+CARGA_DIARIA!T29+CARGA_DIARIA!U29+CARGA_DIARIA!V29+CARGA_DIARIA!W29)/CARGA_DIARIA!B29))</f>
        <v>246900.89578872235</v>
      </c>
      <c r="E29" s="36">
        <f>IF(CARGA_DIARIA!A29="","",IF(CARGA_DIARIA!B29=0,0,(CARGA_DIARIA!X29+CARGA_DIARIA!Y29+CARGA_DIARIA!Z29+CARGA_DIARIA!AA29)/CARGA_DIARIA!B29+CARGA_DIARIA!AB29+CARGA_DIARIA!AC29+CARGA_DIARIA!AD29+CARGA_DIARIA!AE29))</f>
        <v>13042101.352852356</v>
      </c>
      <c r="F29" s="39" t="s">
        <v>146</v>
      </c>
      <c r="G29" s="39" t="s">
        <v>146</v>
      </c>
      <c r="H29" s="38">
        <f>IF(CARGA_DIARIA!A29="","",C29-D29-E29)</f>
        <v>17126335.802834939</v>
      </c>
    </row>
    <row r="30" spans="1:8" ht="15.75" customHeight="1" x14ac:dyDescent="0.25">
      <c r="A30" s="33">
        <f>IF(CARGA_DIARIA!A30="","",CARGA_DIARIA!A30)</f>
        <v>46065</v>
      </c>
      <c r="B30" s="34">
        <f>IF(CARGA_DIARIA!A30="","",CARGA_DIARIA!B30)</f>
        <v>1397</v>
      </c>
      <c r="C30" s="35">
        <f>IF(CARGA_DIARIA!A30="","",IF(CARGA_DIARIA!B30=0,0,(CARGA_DIARIA!C30+CARGA_DIARIA!D30+CARGA_DIARIA!E30+CARGA_DIARIA!F30+CARGA_DIARIA!G30+CARGA_DIARIA!H30+CARGA_DIARIA!I30+CARGA_DIARIA!AG30+CARGA_DIARIA!AH30+CARGA_DIARIA!AI30+CARGA_DIARIA!AJ30)/CARGA_DIARIA!B30+CARGA_DIARIA!AF30))</f>
        <v>32198379.828313746</v>
      </c>
      <c r="D30" s="36">
        <f>IF(CARGA_DIARIA!A30="","",IF(CARGA_DIARIA!B30=0,0,(CARGA_DIARIA!J30+CARGA_DIARIA!K30+CARGA_DIARIA!L30+CARGA_DIARIA!M30+CARGA_DIARIA!N30+CARGA_DIARIA!O30+CARGA_DIARIA!P30+CARGA_DIARIA!Q30+CARGA_DIARIA!R30+CARGA_DIARIA!S30+CARGA_DIARIA!T30+CARGA_DIARIA!U30+CARGA_DIARIA!V30+CARGA_DIARIA!W30)/CARGA_DIARIA!B30))</f>
        <v>391264.17823908373</v>
      </c>
      <c r="E30" s="36">
        <f>IF(CARGA_DIARIA!A30="","",IF(CARGA_DIARIA!B30=0,0,(CARGA_DIARIA!X30+CARGA_DIARIA!Y30+CARGA_DIARIA!Z30+CARGA_DIARIA!AA30)/CARGA_DIARIA!B30+CARGA_DIARIA!AB30+CARGA_DIARIA!AC30+CARGA_DIARIA!AD30+CARGA_DIARIA!AE30))</f>
        <v>13292695.289990086</v>
      </c>
      <c r="F30" s="39" t="s">
        <v>146</v>
      </c>
      <c r="G30" s="39" t="s">
        <v>146</v>
      </c>
      <c r="H30" s="38">
        <f>IF(CARGA_DIARIA!A30="","",C30-D30-E30)</f>
        <v>18514420.360084575</v>
      </c>
    </row>
    <row r="31" spans="1:8" ht="15.75" customHeight="1" x14ac:dyDescent="0.25">
      <c r="A31" s="33">
        <f>IF(CARGA_DIARIA!A31="","",CARGA_DIARIA!A31)</f>
        <v>46066</v>
      </c>
      <c r="B31" s="34">
        <f>IF(CARGA_DIARIA!A31="","",CARGA_DIARIA!B31)</f>
        <v>1390</v>
      </c>
      <c r="C31" s="35">
        <f>IF(CARGA_DIARIA!A31="","",IF(CARGA_DIARIA!B31=0,0,(CARGA_DIARIA!C31+CARGA_DIARIA!D31+CARGA_DIARIA!E31+CARGA_DIARIA!F31+CARGA_DIARIA!G31+CARGA_DIARIA!H31+CARGA_DIARIA!I31+CARGA_DIARIA!AG31+CARGA_DIARIA!AH31+CARGA_DIARIA!AI31+CARGA_DIARIA!AJ31)/CARGA_DIARIA!B31+CARGA_DIARIA!AF31))</f>
        <v>32564442.28493597</v>
      </c>
      <c r="D31" s="36">
        <f>IF(CARGA_DIARIA!A31="","",IF(CARGA_DIARIA!B31=0,0,(CARGA_DIARIA!J31+CARGA_DIARIA!K31+CARGA_DIARIA!L31+CARGA_DIARIA!M31+CARGA_DIARIA!N31+CARGA_DIARIA!O31+CARGA_DIARIA!P31+CARGA_DIARIA!Q31+CARGA_DIARIA!R31+CARGA_DIARIA!S31+CARGA_DIARIA!T31+CARGA_DIARIA!U31+CARGA_DIARIA!V31+CARGA_DIARIA!W31)/CARGA_DIARIA!B31))</f>
        <v>411389.13093525177</v>
      </c>
      <c r="E31" s="36">
        <f>IF(CARGA_DIARIA!A31="","",IF(CARGA_DIARIA!B31=0,0,(CARGA_DIARIA!X31+CARGA_DIARIA!Y31+CARGA_DIARIA!Z31+CARGA_DIARIA!AA31)/CARGA_DIARIA!B31+CARGA_DIARIA!AB31+CARGA_DIARIA!AC31+CARGA_DIARIA!AD31+CARGA_DIARIA!AE31))</f>
        <v>13061680.076342553</v>
      </c>
      <c r="F31" s="39" t="s">
        <v>146</v>
      </c>
      <c r="G31" s="39" t="s">
        <v>146</v>
      </c>
      <c r="H31" s="38">
        <f>IF(CARGA_DIARIA!A31="","",C31-D31-E31)</f>
        <v>19091373.077658165</v>
      </c>
    </row>
    <row r="32" spans="1:8" ht="15.75" customHeight="1" x14ac:dyDescent="0.25">
      <c r="A32" s="33">
        <f>IF(CARGA_DIARIA!A32="","",CARGA_DIARIA!A32)</f>
        <v>46071</v>
      </c>
      <c r="B32" s="34">
        <f>IF(CARGA_DIARIA!A32="","",CARGA_DIARIA!B32)</f>
        <v>1392</v>
      </c>
      <c r="C32" s="35">
        <f>IF(CARGA_DIARIA!A32="","",IF(CARGA_DIARIA!B32=0,0,(CARGA_DIARIA!C32+CARGA_DIARIA!D32+CARGA_DIARIA!E32+CARGA_DIARIA!F32+CARGA_DIARIA!G32+CARGA_DIARIA!H32+CARGA_DIARIA!I32+CARGA_DIARIA!AG32+CARGA_DIARIA!AH32+CARGA_DIARIA!AI32+CARGA_DIARIA!AJ32)/CARGA_DIARIA!B32+CARGA_DIARIA!AF32))</f>
        <v>35470783.939570978</v>
      </c>
      <c r="D32" s="36">
        <f>IF(CARGA_DIARIA!A32="","",IF(CARGA_DIARIA!B32=0,0,(CARGA_DIARIA!J32+CARGA_DIARIA!K32+CARGA_DIARIA!L32+CARGA_DIARIA!M32+CARGA_DIARIA!N32+CARGA_DIARIA!O32+CARGA_DIARIA!P32+CARGA_DIARIA!Q32+CARGA_DIARIA!R32+CARGA_DIARIA!S32+CARGA_DIARIA!T32+CARGA_DIARIA!U32+CARGA_DIARIA!V32+CARGA_DIARIA!W32)/CARGA_DIARIA!B32))</f>
        <v>336356.57471264369</v>
      </c>
      <c r="E32" s="36">
        <f>IF(CARGA_DIARIA!A32="","",IF(CARGA_DIARIA!B32=0,0,(CARGA_DIARIA!X32+CARGA_DIARIA!Y32+CARGA_DIARIA!Z32+CARGA_DIARIA!AA32)/CARGA_DIARIA!B32+CARGA_DIARIA!AB32+CARGA_DIARIA!AC32+CARGA_DIARIA!AD32+CARGA_DIARIA!AE32))</f>
        <v>12926116.582015164</v>
      </c>
      <c r="F32" s="39" t="s">
        <v>146</v>
      </c>
      <c r="G32" s="39" t="s">
        <v>146</v>
      </c>
      <c r="H32" s="38">
        <f>IF(CARGA_DIARIA!A32="","",C32-D32-E32)</f>
        <v>22208310.782843173</v>
      </c>
    </row>
    <row r="33" spans="1:8" ht="15.75" customHeight="1" x14ac:dyDescent="0.25">
      <c r="A33" s="33">
        <f>IF(CARGA_DIARIA!A33="","",CARGA_DIARIA!A33)</f>
        <v>46072</v>
      </c>
      <c r="B33" s="34">
        <f>IF(CARGA_DIARIA!A33="","",CARGA_DIARIA!B33)</f>
        <v>1400</v>
      </c>
      <c r="C33" s="35">
        <f>IF(CARGA_DIARIA!A33="","",IF(CARGA_DIARIA!B33=0,0,(CARGA_DIARIA!C33+CARGA_DIARIA!D33+CARGA_DIARIA!E33+CARGA_DIARIA!F33+CARGA_DIARIA!G33+CARGA_DIARIA!H33+CARGA_DIARIA!I33+CARGA_DIARIA!AG33+CARGA_DIARIA!AH33+CARGA_DIARIA!AI33+CARGA_DIARIA!AJ33)/CARGA_DIARIA!B33+CARGA_DIARIA!AF33))</f>
        <v>35414565.862435713</v>
      </c>
      <c r="D33" s="36">
        <f>IF(CARGA_DIARIA!A33="","",IF(CARGA_DIARIA!B33=0,0,(CARGA_DIARIA!J33+CARGA_DIARIA!K33+CARGA_DIARIA!L33+CARGA_DIARIA!M33+CARGA_DIARIA!N33+CARGA_DIARIA!O33+CARGA_DIARIA!P33+CARGA_DIARIA!Q33+CARGA_DIARIA!R33+CARGA_DIARIA!S33+CARGA_DIARIA!T33+CARGA_DIARIA!U33+CARGA_DIARIA!V33+CARGA_DIARIA!W33)/CARGA_DIARIA!B33))</f>
        <v>270902.95571428572</v>
      </c>
      <c r="E33" s="36">
        <f>IF(CARGA_DIARIA!A33="","",IF(CARGA_DIARIA!B33=0,0,(CARGA_DIARIA!X33+CARGA_DIARIA!Y33+CARGA_DIARIA!Z33+CARGA_DIARIA!AA33)/CARGA_DIARIA!B33+CARGA_DIARIA!AB33+CARGA_DIARIA!AC33+CARGA_DIARIA!AD33+CARGA_DIARIA!AE33))</f>
        <v>12826652.08260582</v>
      </c>
      <c r="F33" s="39" t="s">
        <v>146</v>
      </c>
      <c r="G33" s="39" t="s">
        <v>146</v>
      </c>
      <c r="H33" s="38">
        <f>IF(CARGA_DIARIA!A33="","",C33-D33-E33)</f>
        <v>22317010.824115608</v>
      </c>
    </row>
    <row r="34" spans="1:8" ht="15.75" customHeight="1" x14ac:dyDescent="0.25">
      <c r="A34" s="33">
        <f>IF(CARGA_DIARIA!A34="","",CARGA_DIARIA!A34)</f>
        <v>46073</v>
      </c>
      <c r="B34" s="34">
        <f>IF(CARGA_DIARIA!A34="","",CARGA_DIARIA!B34)</f>
        <v>1400</v>
      </c>
      <c r="C34" s="35">
        <f>IF(CARGA_DIARIA!A34="","",IF(CARGA_DIARIA!B34=0,0,(CARGA_DIARIA!C34+CARGA_DIARIA!D34+CARGA_DIARIA!E34+CARGA_DIARIA!F34+CARGA_DIARIA!G34+CARGA_DIARIA!H34+CARGA_DIARIA!I34+CARGA_DIARIA!AG34+CARGA_DIARIA!AH34+CARGA_DIARIA!AI34+CARGA_DIARIA!AJ34)/CARGA_DIARIA!B34+CARGA_DIARIA!AF34))</f>
        <v>34742352.658757143</v>
      </c>
      <c r="D34" s="36">
        <f>IF(CARGA_DIARIA!A34="","",IF(CARGA_DIARIA!B34=0,0,(CARGA_DIARIA!J34+CARGA_DIARIA!K34+CARGA_DIARIA!L34+CARGA_DIARIA!M34+CARGA_DIARIA!N34+CARGA_DIARIA!O34+CARGA_DIARIA!P34+CARGA_DIARIA!Q34+CARGA_DIARIA!R34+CARGA_DIARIA!S34+CARGA_DIARIA!T34+CARGA_DIARIA!U34+CARGA_DIARIA!V34+CARGA_DIARIA!W34)/CARGA_DIARIA!B34))</f>
        <v>480097.63048571436</v>
      </c>
      <c r="E34" s="36">
        <f>IF(CARGA_DIARIA!A34="","",IF(CARGA_DIARIA!B34=0,0,(CARGA_DIARIA!X34+CARGA_DIARIA!Y34+CARGA_DIARIA!Z34+CARGA_DIARIA!AA34)/CARGA_DIARIA!B34+CARGA_DIARIA!AB34+CARGA_DIARIA!AC34+CARGA_DIARIA!AD34+CARGA_DIARIA!AE34))</f>
        <v>12582537.210334392</v>
      </c>
      <c r="F34" s="39" t="s">
        <v>146</v>
      </c>
      <c r="G34" s="39" t="s">
        <v>146</v>
      </c>
      <c r="H34" s="38">
        <f>IF(CARGA_DIARIA!A34="","",C34-D34-E34)</f>
        <v>21679717.817937039</v>
      </c>
    </row>
    <row r="35" spans="1:8" ht="15.75" customHeight="1" x14ac:dyDescent="0.25">
      <c r="A35" s="33">
        <f>IF(CARGA_DIARIA!A35="","",CARGA_DIARIA!A35)</f>
        <v>46076</v>
      </c>
      <c r="B35" s="34">
        <f>IF(CARGA_DIARIA!A35="","",CARGA_DIARIA!B35)</f>
        <v>1381</v>
      </c>
      <c r="C35" s="35">
        <f>IF(CARGA_DIARIA!A35="","",IF(CARGA_DIARIA!B35=0,0,(CARGA_DIARIA!C35+CARGA_DIARIA!D35+CARGA_DIARIA!E35+CARGA_DIARIA!F35+CARGA_DIARIA!G35+CARGA_DIARIA!H35+CARGA_DIARIA!I35+CARGA_DIARIA!AG35+CARGA_DIARIA!AH35+CARGA_DIARIA!AI35+CARGA_DIARIA!AJ35)/CARGA_DIARIA!B35+CARGA_DIARIA!AF35))</f>
        <v>39041185.354154527</v>
      </c>
      <c r="D35" s="36">
        <f>IF(CARGA_DIARIA!A35="","",IF(CARGA_DIARIA!B35=0,0,(CARGA_DIARIA!J35+CARGA_DIARIA!K35+CARGA_DIARIA!L35+CARGA_DIARIA!M35+CARGA_DIARIA!N35+CARGA_DIARIA!O35+CARGA_DIARIA!P35+CARGA_DIARIA!Q35+CARGA_DIARIA!R35+CARGA_DIARIA!S35+CARGA_DIARIA!T35+CARGA_DIARIA!U35+CARGA_DIARIA!V35+CARGA_DIARIA!W35)/CARGA_DIARIA!B35))</f>
        <v>157540.14301230991</v>
      </c>
      <c r="E35" s="36">
        <f>IF(CARGA_DIARIA!A35="","",IF(CARGA_DIARIA!B35=0,0,(CARGA_DIARIA!X35+CARGA_DIARIA!Y35+CARGA_DIARIA!Z35+CARGA_DIARIA!AA35)/CARGA_DIARIA!B35+CARGA_DIARIA!AB35+CARGA_DIARIA!AC35+CARGA_DIARIA!AD35+CARGA_DIARIA!AE35))</f>
        <v>12596062.319334488</v>
      </c>
      <c r="F35" s="39" t="s">
        <v>146</v>
      </c>
      <c r="G35" s="39" t="s">
        <v>146</v>
      </c>
      <c r="H35" s="38">
        <f>IF(CARGA_DIARIA!A35="","",C35-D35-E35)</f>
        <v>26287582.891807731</v>
      </c>
    </row>
    <row r="36" spans="1:8" ht="15.75" customHeight="1" x14ac:dyDescent="0.25">
      <c r="A36" s="33">
        <f>IF(CARGA_DIARIA!A36="","",CARGA_DIARIA!A36)</f>
        <v>46077</v>
      </c>
      <c r="B36" s="34">
        <f>IF(CARGA_DIARIA!A36="","",CARGA_DIARIA!B36)</f>
        <v>1360.5</v>
      </c>
      <c r="C36" s="35">
        <f>IF(CARGA_DIARIA!A36="","",IF(CARGA_DIARIA!B36=0,0,(CARGA_DIARIA!C36+CARGA_DIARIA!D36+CARGA_DIARIA!E36+CARGA_DIARIA!F36+CARGA_DIARIA!G36+CARGA_DIARIA!H36+CARGA_DIARIA!I36+CARGA_DIARIA!AG36+CARGA_DIARIA!AH36+CARGA_DIARIA!AI36+CARGA_DIARIA!AJ36)/CARGA_DIARIA!B36+CARGA_DIARIA!AF36))</f>
        <v>40183944.124584496</v>
      </c>
      <c r="D36" s="36">
        <f>IF(CARGA_DIARIA!A36="","",IF(CARGA_DIARIA!B36=0,0,(CARGA_DIARIA!J36+CARGA_DIARIA!K36+CARGA_DIARIA!L36+CARGA_DIARIA!M36+CARGA_DIARIA!N36+CARGA_DIARIA!O36+CARGA_DIARIA!P36+CARGA_DIARIA!Q36+CARGA_DIARIA!R36+CARGA_DIARIA!S36+CARGA_DIARIA!T36+CARGA_DIARIA!U36+CARGA_DIARIA!V36+CARGA_DIARIA!W36)/CARGA_DIARIA!B36))</f>
        <v>150367.80889378904</v>
      </c>
      <c r="E36" s="36">
        <f>IF(CARGA_DIARIA!A36="","",IF(CARGA_DIARIA!B36=0,0,(CARGA_DIARIA!X36+CARGA_DIARIA!Y36+CARGA_DIARIA!Z36+CARGA_DIARIA!AA36)/CARGA_DIARIA!B36+CARGA_DIARIA!AB36+CARGA_DIARIA!AC36+CARGA_DIARIA!AD36+CARGA_DIARIA!AE36))</f>
        <v>12954040.448277434</v>
      </c>
      <c r="F36" s="39" t="s">
        <v>146</v>
      </c>
      <c r="G36" s="39" t="s">
        <v>146</v>
      </c>
      <c r="H36" s="38">
        <f>IF(CARGA_DIARIA!A36="","",C36-D36-E36)</f>
        <v>27079535.867413267</v>
      </c>
    </row>
    <row r="37" spans="1:8" ht="15.75" customHeight="1" x14ac:dyDescent="0.25">
      <c r="A37" s="33">
        <f>IF(CARGA_DIARIA!A37="","",CARGA_DIARIA!A37)</f>
        <v>46078</v>
      </c>
      <c r="B37" s="34">
        <f>IF(CARGA_DIARIA!A37="","",CARGA_DIARIA!B37)</f>
        <v>1373.5</v>
      </c>
      <c r="C37" s="35">
        <f>IF(CARGA_DIARIA!A37="","",IF(CARGA_DIARIA!B37=0,0,(CARGA_DIARIA!C37+CARGA_DIARIA!D37+CARGA_DIARIA!E37+CARGA_DIARIA!F37+CARGA_DIARIA!G37+CARGA_DIARIA!H37+CARGA_DIARIA!I37+CARGA_DIARIA!AG37+CARGA_DIARIA!AH37+CARGA_DIARIA!AI37+CARGA_DIARIA!AJ37)/CARGA_DIARIA!B37+CARGA_DIARIA!AF37))</f>
        <v>34469176.744401455</v>
      </c>
      <c r="D37" s="36">
        <f>IF(CARGA_DIARIA!A37="","",IF(CARGA_DIARIA!B37=0,0,(CARGA_DIARIA!J37+CARGA_DIARIA!K37+CARGA_DIARIA!L37+CARGA_DIARIA!M37+CARGA_DIARIA!N37+CARGA_DIARIA!O37+CARGA_DIARIA!P37+CARGA_DIARIA!Q37+CARGA_DIARIA!R37+CARGA_DIARIA!S37+CARGA_DIARIA!T37+CARGA_DIARIA!U37+CARGA_DIARIA!V37+CARGA_DIARIA!W37)/CARGA_DIARIA!B37))</f>
        <v>188702.91844193666</v>
      </c>
      <c r="E37" s="36">
        <f>IF(CARGA_DIARIA!A37="","",IF(CARGA_DIARIA!B37=0,0,(CARGA_DIARIA!X37+CARGA_DIARIA!Y37+CARGA_DIARIA!Z37+CARGA_DIARIA!AA37)/CARGA_DIARIA!B37+CARGA_DIARIA!AB37+CARGA_DIARIA!AC37+CARGA_DIARIA!AD37+CARGA_DIARIA!AE37))</f>
        <v>12830593.365254924</v>
      </c>
      <c r="F37" s="39" t="s">
        <v>146</v>
      </c>
      <c r="G37" s="39" t="s">
        <v>146</v>
      </c>
      <c r="H37" s="38">
        <f>IF(CARGA_DIARIA!A37="","",C37-D37-E37)</f>
        <v>21449880.460704595</v>
      </c>
    </row>
    <row r="38" spans="1:8" ht="15.75" customHeight="1" x14ac:dyDescent="0.25">
      <c r="A38" s="33">
        <f>IF(CARGA_DIARIA!A38="","",CARGA_DIARIA!A38)</f>
        <v>46079</v>
      </c>
      <c r="B38" s="34">
        <f>IF(CARGA_DIARIA!A38="","",CARGA_DIARIA!B38)</f>
        <v>1383.5</v>
      </c>
      <c r="C38" s="35">
        <f>IF(CARGA_DIARIA!A38="","",IF(CARGA_DIARIA!B38=0,0,(CARGA_DIARIA!C38+CARGA_DIARIA!D38+CARGA_DIARIA!E38+CARGA_DIARIA!F38+CARGA_DIARIA!G38+CARGA_DIARIA!H38+CARGA_DIARIA!I38+CARGA_DIARIA!AG38+CARGA_DIARIA!AH38+CARGA_DIARIA!AI38+CARGA_DIARIA!AJ38)/CARGA_DIARIA!B38+CARGA_DIARIA!AF38))</f>
        <v>34929069.135254353</v>
      </c>
      <c r="D38" s="36">
        <f>IF(CARGA_DIARIA!A38="","",IF(CARGA_DIARIA!B38=0,0,(CARGA_DIARIA!J38+CARGA_DIARIA!K38+CARGA_DIARIA!L38+CARGA_DIARIA!M38+CARGA_DIARIA!N38+CARGA_DIARIA!O38+CARGA_DIARIA!P38+CARGA_DIARIA!Q38+CARGA_DIARIA!R38+CARGA_DIARIA!S38+CARGA_DIARIA!T38+CARGA_DIARIA!U38+CARGA_DIARIA!V38+CARGA_DIARIA!W38)/CARGA_DIARIA!B38))</f>
        <v>267982.21756414889</v>
      </c>
      <c r="E38" s="36">
        <f>IF(CARGA_DIARIA!A38="","",IF(CARGA_DIARIA!B38=0,0,(CARGA_DIARIA!X38+CARGA_DIARIA!Y38+CARGA_DIARIA!Z38+CARGA_DIARIA!AA38)/CARGA_DIARIA!B38+CARGA_DIARIA!AB38+CARGA_DIARIA!AC38+CARGA_DIARIA!AD38+CARGA_DIARIA!AE38))</f>
        <v>12944434.682834014</v>
      </c>
      <c r="F38" s="39" t="s">
        <v>146</v>
      </c>
      <c r="G38" s="39" t="s">
        <v>146</v>
      </c>
      <c r="H38" s="38">
        <f>IF(CARGA_DIARIA!A38="","",C38-D38-E38)</f>
        <v>21716652.234856188</v>
      </c>
    </row>
    <row r="39" spans="1:8" ht="15.75" customHeight="1" x14ac:dyDescent="0.25">
      <c r="A39" s="33">
        <f>IF(CARGA_DIARIA!A39="","",CARGA_DIARIA!A39)</f>
        <v>46080</v>
      </c>
      <c r="B39" s="34">
        <f>IF(CARGA_DIARIA!A39="","",CARGA_DIARIA!B39)</f>
        <v>1401</v>
      </c>
      <c r="C39" s="35">
        <f>IF(CARGA_DIARIA!A39="","",IF(CARGA_DIARIA!B39=0,0,(CARGA_DIARIA!C39+CARGA_DIARIA!D39+CARGA_DIARIA!E39+CARGA_DIARIA!F39+CARGA_DIARIA!G39+CARGA_DIARIA!H39+CARGA_DIARIA!I39+CARGA_DIARIA!AG39+CARGA_DIARIA!AH39+CARGA_DIARIA!AI39+CARGA_DIARIA!AJ39)/CARGA_DIARIA!B39+CARGA_DIARIA!AF39))</f>
        <v>30820979.341896076</v>
      </c>
      <c r="D39" s="36">
        <f>IF(CARGA_DIARIA!A39="","",IF(CARGA_DIARIA!B39=0,0,(CARGA_DIARIA!J39+CARGA_DIARIA!K39+CARGA_DIARIA!L39+CARGA_DIARIA!M39+CARGA_DIARIA!N39+CARGA_DIARIA!O39+CARGA_DIARIA!P39+CARGA_DIARIA!Q39+CARGA_DIARIA!R39+CARGA_DIARIA!S39+CARGA_DIARIA!T39+CARGA_DIARIA!U39+CARGA_DIARIA!V39+CARGA_DIARIA!W39)/CARGA_DIARIA!B39))</f>
        <v>167890.9022127052</v>
      </c>
      <c r="E39" s="36">
        <f>IF(CARGA_DIARIA!A39="","",IF(CARGA_DIARIA!B39=0,0,(CARGA_DIARIA!X39+CARGA_DIARIA!Y39+CARGA_DIARIA!Z39+CARGA_DIARIA!AA39)/CARGA_DIARIA!B39+CARGA_DIARIA!AB39+CARGA_DIARIA!AC39+CARGA_DIARIA!AD39+CARGA_DIARIA!AE39))</f>
        <v>12695993.370350819</v>
      </c>
      <c r="F39" s="39" t="s">
        <v>146</v>
      </c>
      <c r="G39" s="39" t="s">
        <v>146</v>
      </c>
      <c r="H39" s="38">
        <f>IF(CARGA_DIARIA!A39="","",C39-D39-E39)</f>
        <v>17957095.069332551</v>
      </c>
    </row>
    <row r="40" spans="1:8" ht="15.75" customHeight="1" x14ac:dyDescent="0.25">
      <c r="A40" s="33">
        <f>IF(CARGA_DIARIA!A40="","",CARGA_DIARIA!A40)</f>
        <v>46083</v>
      </c>
      <c r="B40" s="34">
        <f>IF(CARGA_DIARIA!A40="","",CARGA_DIARIA!B40)</f>
        <v>1407</v>
      </c>
      <c r="C40" s="35">
        <f>IF(CARGA_DIARIA!A40="","",IF(CARGA_DIARIA!B40=0,0,(CARGA_DIARIA!C40+CARGA_DIARIA!D40+CARGA_DIARIA!E40+CARGA_DIARIA!F40+CARGA_DIARIA!G40+CARGA_DIARIA!H40+CARGA_DIARIA!I40+CARGA_DIARIA!AG40+CARGA_DIARIA!AH40+CARGA_DIARIA!AI40+CARGA_DIARIA!AJ40)/CARGA_DIARIA!B40+CARGA_DIARIA!AF40))</f>
        <v>34339259.394367307</v>
      </c>
      <c r="D40" s="36">
        <f>IF(CARGA_DIARIA!A40="","",IF(CARGA_DIARIA!B40=0,0,(CARGA_DIARIA!J40+CARGA_DIARIA!K40+CARGA_DIARIA!L40+CARGA_DIARIA!M40+CARGA_DIARIA!N40+CARGA_DIARIA!O40+CARGA_DIARIA!P40+CARGA_DIARIA!Q40+CARGA_DIARIA!R40+CARGA_DIARIA!S40+CARGA_DIARIA!T40+CARGA_DIARIA!U40+CARGA_DIARIA!V40+CARGA_DIARIA!W40)/CARGA_DIARIA!B40))</f>
        <v>504321.49538024166</v>
      </c>
      <c r="E40" s="36">
        <f>IF(CARGA_DIARIA!A40="","",IF(CARGA_DIARIA!B40=0,0,(CARGA_DIARIA!X40+CARGA_DIARIA!Y40+CARGA_DIARIA!Z40+CARGA_DIARIA!AA40)/CARGA_DIARIA!B40+CARGA_DIARIA!AB40+CARGA_DIARIA!AC40+CARGA_DIARIA!AD40+CARGA_DIARIA!AE40))</f>
        <v>17201654.793216903</v>
      </c>
      <c r="F40" s="39" t="s">
        <v>146</v>
      </c>
      <c r="G40" s="39" t="s">
        <v>146</v>
      </c>
      <c r="H40" s="38">
        <f>IF(CARGA_DIARIA!A40="","",C40-D40-E40)</f>
        <v>16633283.10577016</v>
      </c>
    </row>
    <row r="41" spans="1:8" ht="15.75" customHeight="1" x14ac:dyDescent="0.25">
      <c r="A41" s="33">
        <f>IF(CARGA_DIARIA!A41="","",CARGA_DIARIA!A41)</f>
        <v>46084</v>
      </c>
      <c r="B41" s="34">
        <f>IF(CARGA_DIARIA!A41="","",CARGA_DIARIA!B41)</f>
        <v>1403</v>
      </c>
      <c r="C41" s="35">
        <f>IF(CARGA_DIARIA!A41="","",IF(CARGA_DIARIA!B41=0,0,(CARGA_DIARIA!C41+CARGA_DIARIA!D41+CARGA_DIARIA!E41+CARGA_DIARIA!F41+CARGA_DIARIA!G41+CARGA_DIARIA!H41+CARGA_DIARIA!I41+CARGA_DIARIA!AG41+CARGA_DIARIA!AH41+CARGA_DIARIA!AI41+CARGA_DIARIA!AJ41)/CARGA_DIARIA!B41+CARGA_DIARIA!AF41))</f>
        <v>34086753.362914614</v>
      </c>
      <c r="D41" s="36">
        <f>IF(CARGA_DIARIA!A41="","",IF(CARGA_DIARIA!B41=0,0,(CARGA_DIARIA!J41+CARGA_DIARIA!K41+CARGA_DIARIA!L41+CARGA_DIARIA!M41+CARGA_DIARIA!N41+CARGA_DIARIA!O41+CARGA_DIARIA!P41+CARGA_DIARIA!Q41+CARGA_DIARIA!R41+CARGA_DIARIA!S41+CARGA_DIARIA!T41+CARGA_DIARIA!U41+CARGA_DIARIA!V41+CARGA_DIARIA!W41)/CARGA_DIARIA!B41))</f>
        <v>310196.80755523877</v>
      </c>
      <c r="E41" s="36">
        <f>IF(CARGA_DIARIA!A41="","",IF(CARGA_DIARIA!B41=0,0,(CARGA_DIARIA!X41+CARGA_DIARIA!Y41+CARGA_DIARIA!Z41+CARGA_DIARIA!AA41)/CARGA_DIARIA!B41+CARGA_DIARIA!AB41+CARGA_DIARIA!AC41+CARGA_DIARIA!AD41+CARGA_DIARIA!AE41))</f>
        <v>16922737.215287879</v>
      </c>
      <c r="F41" s="39" t="s">
        <v>146</v>
      </c>
      <c r="G41" s="39" t="s">
        <v>146</v>
      </c>
      <c r="H41" s="38">
        <f>IF(CARGA_DIARIA!A41="","",C41-D41-E41)</f>
        <v>16853819.340071499</v>
      </c>
    </row>
    <row r="42" spans="1:8" ht="15.75" customHeight="1" x14ac:dyDescent="0.25">
      <c r="A42" s="33">
        <f>IF(CARGA_DIARIA!A42="","",CARGA_DIARIA!A42)</f>
        <v>46085</v>
      </c>
      <c r="B42" s="34">
        <f>IF(CARGA_DIARIA!A42="","",CARGA_DIARIA!B42)</f>
        <v>1407</v>
      </c>
      <c r="C42" s="35">
        <f>IF(CARGA_DIARIA!A42="","",IF(CARGA_DIARIA!B42=0,0,(CARGA_DIARIA!C42+CARGA_DIARIA!D42+CARGA_DIARIA!E42+CARGA_DIARIA!F42+CARGA_DIARIA!G42+CARGA_DIARIA!H42+CARGA_DIARIA!I42+CARGA_DIARIA!AG42+CARGA_DIARIA!AH42+CARGA_DIARIA!AI42+CARGA_DIARIA!AJ42)/CARGA_DIARIA!B42+CARGA_DIARIA!AF42))</f>
        <v>28838643.934367307</v>
      </c>
      <c r="D42" s="36">
        <f>IF(CARGA_DIARIA!A42="","",IF(CARGA_DIARIA!B42=0,0,(CARGA_DIARIA!J42+CARGA_DIARIA!K42+CARGA_DIARIA!L42+CARGA_DIARIA!M42+CARGA_DIARIA!N42+CARGA_DIARIA!O42+CARGA_DIARIA!P42+CARGA_DIARIA!Q42+CARGA_DIARIA!R42+CARGA_DIARIA!S42+CARGA_DIARIA!T42+CARGA_DIARIA!U42+CARGA_DIARIA!V42+CARGA_DIARIA!W42)/CARGA_DIARIA!B42))</f>
        <v>351793.33049040509</v>
      </c>
      <c r="E42" s="36">
        <f>IF(CARGA_DIARIA!A42="","",IF(CARGA_DIARIA!B42=0,0,(CARGA_DIARIA!X42+CARGA_DIARIA!Y42+CARGA_DIARIA!Z42+CARGA_DIARIA!AA42)/CARGA_DIARIA!B42+CARGA_DIARIA!AB42+CARGA_DIARIA!AC42+CARGA_DIARIA!AD42+CARGA_DIARIA!AE42))</f>
        <v>18051003.490935452</v>
      </c>
      <c r="F42" s="39" t="s">
        <v>146</v>
      </c>
      <c r="G42" s="39" t="s">
        <v>146</v>
      </c>
      <c r="H42" s="38">
        <f>IF(CARGA_DIARIA!A42="","",C42-D42-E42)</f>
        <v>10435847.112941448</v>
      </c>
    </row>
    <row r="43" spans="1:8" ht="15.75" customHeight="1" x14ac:dyDescent="0.25">
      <c r="A43" s="33">
        <f>IF(CARGA_DIARIA!A43="","",CARGA_DIARIA!A43)</f>
        <v>46086</v>
      </c>
      <c r="B43" s="34">
        <f>IF(CARGA_DIARIA!A43="","",CARGA_DIARIA!B43)</f>
        <v>1400.5</v>
      </c>
      <c r="C43" s="35">
        <f>IF(CARGA_DIARIA!A43="","",IF(CARGA_DIARIA!B43=0,0,(CARGA_DIARIA!C43+CARGA_DIARIA!D43+CARGA_DIARIA!E43+CARGA_DIARIA!F43+CARGA_DIARIA!G43+CARGA_DIARIA!H43+CARGA_DIARIA!I43+CARGA_DIARIA!AG43+CARGA_DIARIA!AH43+CARGA_DIARIA!AI43+CARGA_DIARIA!AJ43)/CARGA_DIARIA!B43+CARGA_DIARIA!AF43))</f>
        <v>29652566.659802355</v>
      </c>
      <c r="D43" s="36">
        <f>IF(CARGA_DIARIA!A43="","",IF(CARGA_DIARIA!B43=0,0,(CARGA_DIARIA!J43+CARGA_DIARIA!K43+CARGA_DIARIA!L43+CARGA_DIARIA!M43+CARGA_DIARIA!N43+CARGA_DIARIA!O43+CARGA_DIARIA!P43+CARGA_DIARIA!Q43+CARGA_DIARIA!R43+CARGA_DIARIA!S43+CARGA_DIARIA!T43+CARGA_DIARIA!U43+CARGA_DIARIA!V43+CARGA_DIARIA!W43)/CARGA_DIARIA!B43))</f>
        <v>410326.72045697964</v>
      </c>
      <c r="E43" s="36">
        <f>IF(CARGA_DIARIA!A43="","",IF(CARGA_DIARIA!B43=0,0,(CARGA_DIARIA!X43+CARGA_DIARIA!Y43+CARGA_DIARIA!Z43+CARGA_DIARIA!AA43)/CARGA_DIARIA!B43+CARGA_DIARIA!AB43+CARGA_DIARIA!AC43+CARGA_DIARIA!AD43+CARGA_DIARIA!AE43))</f>
        <v>17276395.501592115</v>
      </c>
      <c r="F43" s="39" t="s">
        <v>146</v>
      </c>
      <c r="G43" s="39" t="s">
        <v>146</v>
      </c>
      <c r="H43" s="38">
        <f>IF(CARGA_DIARIA!A43="","",C43-D43-E43)</f>
        <v>11965844.43775326</v>
      </c>
    </row>
    <row r="44" spans="1:8" ht="15.75" customHeight="1" x14ac:dyDescent="0.25">
      <c r="A44" s="33">
        <f>IF(CARGA_DIARIA!A44="","",CARGA_DIARIA!A44)</f>
        <v>46087</v>
      </c>
      <c r="B44" s="34">
        <f>IF(CARGA_DIARIA!A44="","",CARGA_DIARIA!B44)</f>
        <v>1405</v>
      </c>
      <c r="C44" s="35">
        <f>IF(CARGA_DIARIA!A44="","",IF(CARGA_DIARIA!B44=0,0,(CARGA_DIARIA!C44+CARGA_DIARIA!D44+CARGA_DIARIA!E44+CARGA_DIARIA!F44+CARGA_DIARIA!G44+CARGA_DIARIA!H44+CARGA_DIARIA!I44+CARGA_DIARIA!AG44+CARGA_DIARIA!AH44+CARGA_DIARIA!AI44+CARGA_DIARIA!AJ44)/CARGA_DIARIA!B44+CARGA_DIARIA!AF44))</f>
        <v>29071407.39934662</v>
      </c>
      <c r="D44" s="36">
        <f>IF(CARGA_DIARIA!A44="","",IF(CARGA_DIARIA!B44=0,0,(CARGA_DIARIA!J44+CARGA_DIARIA!K44+CARGA_DIARIA!L44+CARGA_DIARIA!M44+CARGA_DIARIA!N44+CARGA_DIARIA!O44+CARGA_DIARIA!P44+CARGA_DIARIA!Q44+CARGA_DIARIA!R44+CARGA_DIARIA!S44+CARGA_DIARIA!T44+CARGA_DIARIA!U44+CARGA_DIARIA!V44+CARGA_DIARIA!W44)/CARGA_DIARIA!B44))</f>
        <v>431303.7715302491</v>
      </c>
      <c r="E44" s="36">
        <f>IF(CARGA_DIARIA!A44="","",IF(CARGA_DIARIA!B44=0,0,(CARGA_DIARIA!X44+CARGA_DIARIA!Y44+CARGA_DIARIA!Z44+CARGA_DIARIA!AA44)/CARGA_DIARIA!B44+CARGA_DIARIA!AB44+CARGA_DIARIA!AC44+CARGA_DIARIA!AD44+CARGA_DIARIA!AE44))</f>
        <v>17019983.897583064</v>
      </c>
      <c r="F44" s="39" t="s">
        <v>146</v>
      </c>
      <c r="G44" s="39" t="s">
        <v>146</v>
      </c>
      <c r="H44" s="38">
        <f>IF(CARGA_DIARIA!A44="","",C44-D44-E44)</f>
        <v>11620119.730233308</v>
      </c>
    </row>
    <row r="45" spans="1:8" ht="15.75" customHeight="1" x14ac:dyDescent="0.25">
      <c r="A45" s="33">
        <f>IF(CARGA_DIARIA!A45="","",CARGA_DIARIA!A45)</f>
        <v>46090</v>
      </c>
      <c r="B45" s="34">
        <f>IF(CARGA_DIARIA!A45="","",CARGA_DIARIA!B45)</f>
        <v>1405</v>
      </c>
      <c r="C45" s="35">
        <f>IF(CARGA_DIARIA!A45="","",IF(CARGA_DIARIA!B45=0,0,(CARGA_DIARIA!C45+CARGA_DIARIA!D45+CARGA_DIARIA!E45+CARGA_DIARIA!F45+CARGA_DIARIA!G45+CARGA_DIARIA!H45+CARGA_DIARIA!I45+CARGA_DIARIA!AG45+CARGA_DIARIA!AH45+CARGA_DIARIA!AI45+CARGA_DIARIA!AJ45)/CARGA_DIARIA!B45+CARGA_DIARIA!AF45))</f>
        <v>32266430.11535231</v>
      </c>
      <c r="D45" s="36">
        <f>IF(CARGA_DIARIA!A45="","",IF(CARGA_DIARIA!B45=0,0,(CARGA_DIARIA!J45+CARGA_DIARIA!K45+CARGA_DIARIA!L45+CARGA_DIARIA!M45+CARGA_DIARIA!N45+CARGA_DIARIA!O45+CARGA_DIARIA!P45+CARGA_DIARIA!Q45+CARGA_DIARIA!R45+CARGA_DIARIA!S45+CARGA_DIARIA!T45+CARGA_DIARIA!U45+CARGA_DIARIA!V45+CARGA_DIARIA!W45)/CARGA_DIARIA!B45))</f>
        <v>1058497.0518291816</v>
      </c>
      <c r="E45" s="36">
        <f>IF(CARGA_DIARIA!A45="","",IF(CARGA_DIARIA!B45=0,0,(CARGA_DIARIA!X45+CARGA_DIARIA!Y45+CARGA_DIARIA!Z45+CARGA_DIARIA!AA45)/CARGA_DIARIA!B45+CARGA_DIARIA!AB45+CARGA_DIARIA!AC45+CARGA_DIARIA!AD45+CARGA_DIARIA!AE45))</f>
        <v>16795642.927476302</v>
      </c>
      <c r="F45" s="39" t="s">
        <v>146</v>
      </c>
      <c r="G45" s="39" t="s">
        <v>146</v>
      </c>
      <c r="H45" s="38">
        <f>IF(CARGA_DIARIA!A45="","",C45-D45-E45)</f>
        <v>14412290.136046827</v>
      </c>
    </row>
    <row r="46" spans="1:8" ht="15.75" customHeight="1" x14ac:dyDescent="0.25">
      <c r="A46" s="33">
        <f>IF(CARGA_DIARIA!A46="","",CARGA_DIARIA!A46)</f>
        <v>46091</v>
      </c>
      <c r="B46" s="34">
        <f>IF(CARGA_DIARIA!A46="","",CARGA_DIARIA!B46)</f>
        <v>1417</v>
      </c>
      <c r="C46" s="35">
        <f>IF(CARGA_DIARIA!A46="","",IF(CARGA_DIARIA!B46=0,0,(CARGA_DIARIA!C46+CARGA_DIARIA!D46+CARGA_DIARIA!E46+CARGA_DIARIA!F46+CARGA_DIARIA!G46+CARGA_DIARIA!H46+CARGA_DIARIA!I46+CARGA_DIARIA!AG46+CARGA_DIARIA!AH46+CARGA_DIARIA!AI46+CARGA_DIARIA!AJ46)/CARGA_DIARIA!B46+CARGA_DIARIA!AF46))</f>
        <v>29921913.990499649</v>
      </c>
      <c r="D46" s="36">
        <f>IF(CARGA_DIARIA!A46="","",IF(CARGA_DIARIA!B46=0,0,(CARGA_DIARIA!J46+CARGA_DIARIA!K46+CARGA_DIARIA!L46+CARGA_DIARIA!M46+CARGA_DIARIA!N46+CARGA_DIARIA!O46+CARGA_DIARIA!P46+CARGA_DIARIA!Q46+CARGA_DIARIA!R46+CARGA_DIARIA!S46+CARGA_DIARIA!T46+CARGA_DIARIA!U46+CARGA_DIARIA!V46+CARGA_DIARIA!W46)/CARGA_DIARIA!B46))</f>
        <v>332378.4904728299</v>
      </c>
      <c r="E46" s="36">
        <f>IF(CARGA_DIARIA!A46="","",IF(CARGA_DIARIA!B46=0,0,(CARGA_DIARIA!X46+CARGA_DIARIA!Y46+CARGA_DIARIA!Z46+CARGA_DIARIA!AA46)/CARGA_DIARIA!B46+CARGA_DIARIA!AB46+CARGA_DIARIA!AC46+CARGA_DIARIA!AD46+CARGA_DIARIA!AE46))</f>
        <v>17469588.365635902</v>
      </c>
      <c r="F46" s="39" t="s">
        <v>146</v>
      </c>
      <c r="G46" s="39" t="s">
        <v>146</v>
      </c>
      <c r="H46" s="38">
        <f>IF(CARGA_DIARIA!A46="","",C46-D46-E46)</f>
        <v>12119947.134390917</v>
      </c>
    </row>
    <row r="47" spans="1:8" ht="15.75" customHeight="1" x14ac:dyDescent="0.25">
      <c r="A47" s="33">
        <f>IF(CARGA_DIARIA!A47="","",CARGA_DIARIA!A47)</f>
        <v>46092</v>
      </c>
      <c r="B47" s="34">
        <f>IF(CARGA_DIARIA!A47="","",CARGA_DIARIA!B47)</f>
        <v>1401</v>
      </c>
      <c r="C47" s="35">
        <f>IF(CARGA_DIARIA!A47="","",IF(CARGA_DIARIA!B47=0,0,(CARGA_DIARIA!C47+CARGA_DIARIA!D47+CARGA_DIARIA!E47+CARGA_DIARIA!F47+CARGA_DIARIA!G47+CARGA_DIARIA!H47+CARGA_DIARIA!I47+CARGA_DIARIA!AG47+CARGA_DIARIA!AH47+CARGA_DIARIA!AI47+CARGA_DIARIA!AJ47)/CARGA_DIARIA!B47+CARGA_DIARIA!AF47))</f>
        <v>30034965.176105637</v>
      </c>
      <c r="D47" s="36">
        <f>IF(CARGA_DIARIA!A47="","",IF(CARGA_DIARIA!B47=0,0,(CARGA_DIARIA!J47+CARGA_DIARIA!K47+CARGA_DIARIA!L47+CARGA_DIARIA!M47+CARGA_DIARIA!N47+CARGA_DIARIA!O47+CARGA_DIARIA!P47+CARGA_DIARIA!Q47+CARGA_DIARIA!R47+CARGA_DIARIA!S47+CARGA_DIARIA!T47+CARGA_DIARIA!U47+CARGA_DIARIA!V47+CARGA_DIARIA!W47)/CARGA_DIARIA!B47))</f>
        <v>437396.53319057816</v>
      </c>
      <c r="E47" s="36">
        <f>IF(CARGA_DIARIA!A47="","",IF(CARGA_DIARIA!B47=0,0,(CARGA_DIARIA!X47+CARGA_DIARIA!Y47+CARGA_DIARIA!Z47+CARGA_DIARIA!AA47)/CARGA_DIARIA!B47+CARGA_DIARIA!AB47+CARGA_DIARIA!AC47+CARGA_DIARIA!AD47+CARGA_DIARIA!AE47))</f>
        <v>18354128.58789454</v>
      </c>
      <c r="F47" s="39" t="s">
        <v>146</v>
      </c>
      <c r="G47" s="39" t="s">
        <v>146</v>
      </c>
      <c r="H47" s="38">
        <f>IF(CARGA_DIARIA!A47="","",C47-D47-E47)</f>
        <v>11243440.055020519</v>
      </c>
    </row>
    <row r="48" spans="1:8" ht="15.75" customHeight="1" x14ac:dyDescent="0.25">
      <c r="A48" s="33">
        <f>IF(CARGA_DIARIA!A48="","",CARGA_DIARIA!A48)</f>
        <v>46093</v>
      </c>
      <c r="B48" s="34">
        <f>IF(CARGA_DIARIA!A48="","",CARGA_DIARIA!B48)</f>
        <v>1393</v>
      </c>
      <c r="C48" s="35">
        <f>IF(CARGA_DIARIA!A48="","",IF(CARGA_DIARIA!B48=0,0,(CARGA_DIARIA!C48+CARGA_DIARIA!D48+CARGA_DIARIA!E48+CARGA_DIARIA!F48+CARGA_DIARIA!G48+CARGA_DIARIA!H48+CARGA_DIARIA!I48+CARGA_DIARIA!AG48+CARGA_DIARIA!AH48+CARGA_DIARIA!AI48+CARGA_DIARIA!AJ48)/CARGA_DIARIA!B48+CARGA_DIARIA!AF48))</f>
        <v>29822813.113188799</v>
      </c>
      <c r="D48" s="36">
        <f>IF(CARGA_DIARIA!A48="","",IF(CARGA_DIARIA!B48=0,0,(CARGA_DIARIA!J48+CARGA_DIARIA!K48+CARGA_DIARIA!L48+CARGA_DIARIA!M48+CARGA_DIARIA!N48+CARGA_DIARIA!O48+CARGA_DIARIA!P48+CARGA_DIARIA!Q48+CARGA_DIARIA!R48+CARGA_DIARIA!S48+CARGA_DIARIA!T48+CARGA_DIARIA!U48+CARGA_DIARIA!V48+CARGA_DIARIA!W48)/CARGA_DIARIA!B48))</f>
        <v>612284.0940416368</v>
      </c>
      <c r="E48" s="36">
        <f>IF(CARGA_DIARIA!A48="","",IF(CARGA_DIARIA!B48=0,0,(CARGA_DIARIA!X48+CARGA_DIARIA!Y48+CARGA_DIARIA!Z48+CARGA_DIARIA!AA48)/CARGA_DIARIA!B48+CARGA_DIARIA!AB48+CARGA_DIARIA!AC48+CARGA_DIARIA!AD48+CARGA_DIARIA!AE48))</f>
        <v>17632113.718190242</v>
      </c>
      <c r="F48" s="39" t="s">
        <v>146</v>
      </c>
      <c r="G48" s="39" t="s">
        <v>146</v>
      </c>
      <c r="H48" s="38">
        <f>IF(CARGA_DIARIA!A48="","",C48-D48-E48)</f>
        <v>11578415.30095692</v>
      </c>
    </row>
    <row r="49" spans="1:8" ht="15.75" customHeight="1" x14ac:dyDescent="0.25">
      <c r="A49" s="33">
        <f>IF(CARGA_DIARIA!A49="","",CARGA_DIARIA!A49)</f>
        <v>46094</v>
      </c>
      <c r="B49" s="34">
        <f>IF(CARGA_DIARIA!A49="","",CARGA_DIARIA!B49)</f>
        <v>1397</v>
      </c>
      <c r="C49" s="35">
        <f>IF(CARGA_DIARIA!A49="","",IF(CARGA_DIARIA!B49=0,0,(CARGA_DIARIA!C49+CARGA_DIARIA!D49+CARGA_DIARIA!E49+CARGA_DIARIA!F49+CARGA_DIARIA!G49+CARGA_DIARIA!H49+CARGA_DIARIA!I49+CARGA_DIARIA!AG49+CARGA_DIARIA!AH49+CARGA_DIARIA!AI49+CARGA_DIARIA!AJ49)/CARGA_DIARIA!B49+CARGA_DIARIA!AF49))</f>
        <v>28391711.083748743</v>
      </c>
      <c r="D49" s="36">
        <f>IF(CARGA_DIARIA!A49="","",IF(CARGA_DIARIA!B49=0,0,(CARGA_DIARIA!J49+CARGA_DIARIA!K49+CARGA_DIARIA!L49+CARGA_DIARIA!M49+CARGA_DIARIA!N49+CARGA_DIARIA!O49+CARGA_DIARIA!P49+CARGA_DIARIA!Q49+CARGA_DIARIA!R49+CARGA_DIARIA!S49+CARGA_DIARIA!T49+CARGA_DIARIA!U49+CARGA_DIARIA!V49+CARGA_DIARIA!W49)/CARGA_DIARIA!B49))</f>
        <v>255404.37508947746</v>
      </c>
      <c r="E49" s="36">
        <f>IF(CARGA_DIARIA!A49="","",IF(CARGA_DIARIA!B49=0,0,(CARGA_DIARIA!X49+CARGA_DIARIA!Y49+CARGA_DIARIA!Z49+CARGA_DIARIA!AA49)/CARGA_DIARIA!B49+CARGA_DIARIA!AB49+CARGA_DIARIA!AC49+CARGA_DIARIA!AD49+CARGA_DIARIA!AE49))</f>
        <v>16496537.68553956</v>
      </c>
      <c r="F49" s="39" t="s">
        <v>146</v>
      </c>
      <c r="G49" s="39" t="s">
        <v>146</v>
      </c>
      <c r="H49" s="38">
        <f>IF(CARGA_DIARIA!A49="","",C49-D49-E49)</f>
        <v>11639769.023119705</v>
      </c>
    </row>
    <row r="50" spans="1:8" ht="15.75" customHeight="1" x14ac:dyDescent="0.25">
      <c r="A50" s="33">
        <f>IF(CARGA_DIARIA!A50="","",CARGA_DIARIA!A50)</f>
        <v>46097</v>
      </c>
      <c r="B50" s="34">
        <f>IF(CARGA_DIARIA!A50="","",CARGA_DIARIA!B50)</f>
        <v>1386</v>
      </c>
      <c r="C50" s="35">
        <f>IF(CARGA_DIARIA!A50="","",IF(CARGA_DIARIA!B50=0,0,(CARGA_DIARIA!C50+CARGA_DIARIA!D50+CARGA_DIARIA!E50+CARGA_DIARIA!F50+CARGA_DIARIA!G50+CARGA_DIARIA!H50+CARGA_DIARIA!I50+CARGA_DIARIA!AG50+CARGA_DIARIA!AH50+CARGA_DIARIA!AI50+CARGA_DIARIA!AJ50)/CARGA_DIARIA!B50+CARGA_DIARIA!AF50))</f>
        <v>29747665.934290044</v>
      </c>
      <c r="D50" s="36">
        <f>IF(CARGA_DIARIA!A50="","",IF(CARGA_DIARIA!B50=0,0,(CARGA_DIARIA!J50+CARGA_DIARIA!K50+CARGA_DIARIA!L50+CARGA_DIARIA!M50+CARGA_DIARIA!N50+CARGA_DIARIA!O50+CARGA_DIARIA!P50+CARGA_DIARIA!Q50+CARGA_DIARIA!R50+CARGA_DIARIA!S50+CARGA_DIARIA!T50+CARGA_DIARIA!U50+CARGA_DIARIA!V50+CARGA_DIARIA!W50)/CARGA_DIARIA!B50))</f>
        <v>204548.51515151514</v>
      </c>
      <c r="E50" s="36">
        <f>IF(CARGA_DIARIA!A50="","",IF(CARGA_DIARIA!B50=0,0,(CARGA_DIARIA!X50+CARGA_DIARIA!Y50+CARGA_DIARIA!Z50+CARGA_DIARIA!AA50)/CARGA_DIARIA!B50+CARGA_DIARIA!AB50+CARGA_DIARIA!AC50+CARGA_DIARIA!AD50+CARGA_DIARIA!AE50))</f>
        <v>16298615.097805725</v>
      </c>
      <c r="F50" s="39" t="s">
        <v>146</v>
      </c>
      <c r="G50" s="39" t="s">
        <v>146</v>
      </c>
      <c r="H50" s="38">
        <f>IF(CARGA_DIARIA!A50="","",C50-D50-E50)</f>
        <v>13244502.321332803</v>
      </c>
    </row>
    <row r="51" spans="1:8" ht="15.75" customHeight="1" x14ac:dyDescent="0.25">
      <c r="A51" s="33">
        <f>IF(CARGA_DIARIA!A51="","",CARGA_DIARIA!A51)</f>
        <v>46098</v>
      </c>
      <c r="B51" s="34">
        <f>IF(CARGA_DIARIA!A51="","",CARGA_DIARIA!B51)</f>
        <v>1390</v>
      </c>
      <c r="C51" s="35">
        <f>IF(CARGA_DIARIA!A51="","",IF(CARGA_DIARIA!B51=0,0,(CARGA_DIARIA!C51+CARGA_DIARIA!D51+CARGA_DIARIA!E51+CARGA_DIARIA!F51+CARGA_DIARIA!G51+CARGA_DIARIA!H51+CARGA_DIARIA!I51+CARGA_DIARIA!AG51+CARGA_DIARIA!AH51+CARGA_DIARIA!AI51+CARGA_DIARIA!AJ51)/CARGA_DIARIA!B51+CARGA_DIARIA!AF51))</f>
        <v>30141196.496007193</v>
      </c>
      <c r="D51" s="36">
        <f>IF(CARGA_DIARIA!A51="","",IF(CARGA_DIARIA!B51=0,0,(CARGA_DIARIA!J51+CARGA_DIARIA!K51+CARGA_DIARIA!L51+CARGA_DIARIA!M51+CARGA_DIARIA!N51+CARGA_DIARIA!O51+CARGA_DIARIA!P51+CARGA_DIARIA!Q51+CARGA_DIARIA!R51+CARGA_DIARIA!S51+CARGA_DIARIA!T51+CARGA_DIARIA!U51+CARGA_DIARIA!V51+CARGA_DIARIA!W51)/CARGA_DIARIA!B51))</f>
        <v>304733.27697841724</v>
      </c>
      <c r="E51" s="36">
        <f>IF(CARGA_DIARIA!A51="","",IF(CARGA_DIARIA!B51=0,0,(CARGA_DIARIA!X51+CARGA_DIARIA!Y51+CARGA_DIARIA!Z51+CARGA_DIARIA!AA51)/CARGA_DIARIA!B51+CARGA_DIARIA!AB51+CARGA_DIARIA!AC51+CARGA_DIARIA!AD51+CARGA_DIARIA!AE51))</f>
        <v>16328582.455651825</v>
      </c>
      <c r="F51" s="39" t="s">
        <v>146</v>
      </c>
      <c r="G51" s="39" t="s">
        <v>146</v>
      </c>
      <c r="H51" s="38">
        <f>IF(CARGA_DIARIA!A51="","",C51-D51-E51)</f>
        <v>13507880.763376949</v>
      </c>
    </row>
    <row r="52" spans="1:8" ht="15.75" customHeight="1" x14ac:dyDescent="0.25">
      <c r="A52" s="33">
        <f>IF(CARGA_DIARIA!A52="","",CARGA_DIARIA!A52)</f>
        <v>46099</v>
      </c>
      <c r="B52" s="34">
        <f>IF(CARGA_DIARIA!A52="","",CARGA_DIARIA!B52)</f>
        <v>1394</v>
      </c>
      <c r="C52" s="35">
        <f>IF(CARGA_DIARIA!A52="","",IF(CARGA_DIARIA!B52=0,0,(CARGA_DIARIA!C52+CARGA_DIARIA!D52+CARGA_DIARIA!E52+CARGA_DIARIA!F52+CARGA_DIARIA!G52+CARGA_DIARIA!H52+CARGA_DIARIA!I52+CARGA_DIARIA!AG52+CARGA_DIARIA!AH52+CARGA_DIARIA!AI52+CARGA_DIARIA!AJ52)/CARGA_DIARIA!B52+CARGA_DIARIA!AF52))</f>
        <v>29885301.35115495</v>
      </c>
      <c r="D52" s="36">
        <f>IF(CARGA_DIARIA!A52="","",IF(CARGA_DIARIA!B52=0,0,(CARGA_DIARIA!J52+CARGA_DIARIA!K52+CARGA_DIARIA!L52+CARGA_DIARIA!M52+CARGA_DIARIA!N52+CARGA_DIARIA!O52+CARGA_DIARIA!P52+CARGA_DIARIA!Q52+CARGA_DIARIA!R52+CARGA_DIARIA!S52+CARGA_DIARIA!T52+CARGA_DIARIA!U52+CARGA_DIARIA!V52+CARGA_DIARIA!W52)/CARGA_DIARIA!B52))</f>
        <v>247468.95911047346</v>
      </c>
      <c r="E52" s="36">
        <f>IF(CARGA_DIARIA!A52="","",IF(CARGA_DIARIA!B52=0,0,(CARGA_DIARIA!X52+CARGA_DIARIA!Y52+CARGA_DIARIA!Z52+CARGA_DIARIA!AA52)/CARGA_DIARIA!B52+CARGA_DIARIA!AB52+CARGA_DIARIA!AC52+CARGA_DIARIA!AD52+CARGA_DIARIA!AE52))</f>
        <v>16351143.289861305</v>
      </c>
      <c r="F52" s="39" t="s">
        <v>146</v>
      </c>
      <c r="G52" s="39" t="s">
        <v>146</v>
      </c>
      <c r="H52" s="38">
        <f>IF(CARGA_DIARIA!A52="","",C52-D52-E52)</f>
        <v>13286689.102183172</v>
      </c>
    </row>
    <row r="53" spans="1:8" ht="15.75" customHeight="1" x14ac:dyDescent="0.25">
      <c r="A53" s="33">
        <f>IF(CARGA_DIARIA!A53="","",CARGA_DIARIA!A53)</f>
        <v>46100</v>
      </c>
      <c r="B53" s="34">
        <f>IF(CARGA_DIARIA!A53="","",CARGA_DIARIA!B53)</f>
        <v>1397</v>
      </c>
      <c r="C53" s="35">
        <f>IF(CARGA_DIARIA!A53="","",IF(CARGA_DIARIA!B53=0,0,(CARGA_DIARIA!C53+CARGA_DIARIA!D53+CARGA_DIARIA!E53+CARGA_DIARIA!F53+CARGA_DIARIA!G53+CARGA_DIARIA!H53+CARGA_DIARIA!I53+CARGA_DIARIA!AG53+CARGA_DIARIA!AH53+CARGA_DIARIA!AI53+CARGA_DIARIA!AJ53)/CARGA_DIARIA!B53+CARGA_DIARIA!AF53))</f>
        <v>28961972.324468862</v>
      </c>
      <c r="D53" s="36">
        <f>IF(CARGA_DIARIA!A53="","",IF(CARGA_DIARIA!B53=0,0,(CARGA_DIARIA!J53+CARGA_DIARIA!K53+CARGA_DIARIA!L53+CARGA_DIARIA!M53+CARGA_DIARIA!N53+CARGA_DIARIA!O53+CARGA_DIARIA!P53+CARGA_DIARIA!Q53+CARGA_DIARIA!R53+CARGA_DIARIA!S53+CARGA_DIARIA!T53+CARGA_DIARIA!U53+CARGA_DIARIA!V53+CARGA_DIARIA!W53)/CARGA_DIARIA!B53))</f>
        <v>136295.86828919113</v>
      </c>
      <c r="E53" s="36">
        <f>IF(CARGA_DIARIA!A53="","",IF(CARGA_DIARIA!B53=0,0,(CARGA_DIARIA!X53+CARGA_DIARIA!Y53+CARGA_DIARIA!Z53+CARGA_DIARIA!AA53)/CARGA_DIARIA!B53+CARGA_DIARIA!AB53+CARGA_DIARIA!AC53+CARGA_DIARIA!AD53+CARGA_DIARIA!AE53))</f>
        <v>16296105.506649697</v>
      </c>
      <c r="F53" s="39" t="s">
        <v>146</v>
      </c>
      <c r="G53" s="39" t="s">
        <v>146</v>
      </c>
      <c r="H53" s="38">
        <f>IF(CARGA_DIARIA!A53="","",C53-D53-E53)</f>
        <v>12529570.949529974</v>
      </c>
    </row>
    <row r="54" spans="1:8" ht="15.75" customHeight="1" x14ac:dyDescent="0.25">
      <c r="A54" s="33">
        <f>IF(CARGA_DIARIA!A54="","",CARGA_DIARIA!A54)</f>
        <v>46101</v>
      </c>
      <c r="B54" s="34">
        <f>IF(CARGA_DIARIA!A54="","",CARGA_DIARIA!B54)</f>
        <v>1391</v>
      </c>
      <c r="C54" s="35">
        <f>IF(CARGA_DIARIA!A54="","",IF(CARGA_DIARIA!B54=0,0,(CARGA_DIARIA!C54+CARGA_DIARIA!D54+CARGA_DIARIA!E54+CARGA_DIARIA!F54+CARGA_DIARIA!G54+CARGA_DIARIA!H54+CARGA_DIARIA!I54+CARGA_DIARIA!AG54+CARGA_DIARIA!AH54+CARGA_DIARIA!AI54+CARGA_DIARIA!AJ54)/CARGA_DIARIA!B54+CARGA_DIARIA!AF54))</f>
        <v>30302789.822845437</v>
      </c>
      <c r="D54" s="36">
        <f>IF(CARGA_DIARIA!A54="","",IF(CARGA_DIARIA!B54=0,0,(CARGA_DIARIA!J54+CARGA_DIARIA!K54+CARGA_DIARIA!L54+CARGA_DIARIA!M54+CARGA_DIARIA!N54+CARGA_DIARIA!O54+CARGA_DIARIA!P54+CARGA_DIARIA!Q54+CARGA_DIARIA!R54+CARGA_DIARIA!S54+CARGA_DIARIA!T54+CARGA_DIARIA!U54+CARGA_DIARIA!V54+CARGA_DIARIA!W54)/CARGA_DIARIA!B54))</f>
        <v>345935.84543493891</v>
      </c>
      <c r="E54" s="36">
        <f>IF(CARGA_DIARIA!A54="","",IF(CARGA_DIARIA!B54=0,0,(CARGA_DIARIA!X54+CARGA_DIARIA!Y54+CARGA_DIARIA!Z54+CARGA_DIARIA!AA54)/CARGA_DIARIA!B54+CARGA_DIARIA!AB54+CARGA_DIARIA!AC54+CARGA_DIARIA!AD54+CARGA_DIARIA!AE54))</f>
        <v>16383006.994812144</v>
      </c>
      <c r="F54" s="39" t="s">
        <v>146</v>
      </c>
      <c r="G54" s="39" t="s">
        <v>146</v>
      </c>
      <c r="H54" s="38">
        <f>IF(CARGA_DIARIA!A54="","",C54-D54-E54)</f>
        <v>13573846.982598355</v>
      </c>
    </row>
    <row r="55" spans="1:8" ht="15.75" customHeight="1" x14ac:dyDescent="0.25">
      <c r="A55" s="33">
        <f>IF(CARGA_DIARIA!A55="","",CARGA_DIARIA!A55)</f>
        <v>46106</v>
      </c>
      <c r="B55" s="34">
        <f>IF(CARGA_DIARIA!A55="","",CARGA_DIARIA!B55)</f>
        <v>1392</v>
      </c>
      <c r="C55" s="35">
        <f>IF(CARGA_DIARIA!A55="","",IF(CARGA_DIARIA!B55=0,0,(CARGA_DIARIA!C55+CARGA_DIARIA!D55+CARGA_DIARIA!E55+CARGA_DIARIA!F55+CARGA_DIARIA!G55+CARGA_DIARIA!H55+CARGA_DIARIA!I55+CARGA_DIARIA!AG55+CARGA_DIARIA!AH55+CARGA_DIARIA!AI55+CARGA_DIARIA!AJ55)/CARGA_DIARIA!B55+CARGA_DIARIA!AF55))</f>
        <v>31649706.386120692</v>
      </c>
      <c r="D55" s="36">
        <f>IF(CARGA_DIARIA!A55="","",IF(CARGA_DIARIA!B55=0,0,(CARGA_DIARIA!J55+CARGA_DIARIA!K55+CARGA_DIARIA!L55+CARGA_DIARIA!M55+CARGA_DIARIA!N55+CARGA_DIARIA!O55+CARGA_DIARIA!P55+CARGA_DIARIA!Q55+CARGA_DIARIA!R55+CARGA_DIARIA!S55+CARGA_DIARIA!T55+CARGA_DIARIA!U55+CARGA_DIARIA!V55+CARGA_DIARIA!W55)/CARGA_DIARIA!B55))</f>
        <v>326121.5617816092</v>
      </c>
      <c r="E55" s="36">
        <f>IF(CARGA_DIARIA!A55="","",IF(CARGA_DIARIA!B55=0,0,(CARGA_DIARIA!X55+CARGA_DIARIA!Y55+CARGA_DIARIA!Z55+CARGA_DIARIA!AA55)/CARGA_DIARIA!B55+CARGA_DIARIA!AB55+CARGA_DIARIA!AC55+CARGA_DIARIA!AD55+CARGA_DIARIA!AE55))</f>
        <v>15975487.11509436</v>
      </c>
      <c r="F55" s="39" t="s">
        <v>146</v>
      </c>
      <c r="G55" s="39" t="s">
        <v>146</v>
      </c>
      <c r="H55" s="38">
        <f>IF(CARGA_DIARIA!A55="","",C55-D55-E55)</f>
        <v>15348097.709244724</v>
      </c>
    </row>
    <row r="56" spans="1:8" ht="15.75" customHeight="1" x14ac:dyDescent="0.25">
      <c r="A56" s="33">
        <f>IF(CARGA_DIARIA!A56="","",CARGA_DIARIA!A56)</f>
        <v>46107</v>
      </c>
      <c r="B56" s="34">
        <f>IF(CARGA_DIARIA!A56="","",CARGA_DIARIA!B56)</f>
        <v>1375</v>
      </c>
      <c r="C56" s="35">
        <f>IF(CARGA_DIARIA!A56="","",IF(CARGA_DIARIA!B56=0,0,(CARGA_DIARIA!C56+CARGA_DIARIA!D56+CARGA_DIARIA!E56+CARGA_DIARIA!F56+CARGA_DIARIA!G56+CARGA_DIARIA!H56+CARGA_DIARIA!I56+CARGA_DIARIA!AG56+CARGA_DIARIA!AH56+CARGA_DIARIA!AI56+CARGA_DIARIA!AJ56)/CARGA_DIARIA!B56+CARGA_DIARIA!AF56))</f>
        <v>31634488.289719999</v>
      </c>
      <c r="D56" s="36">
        <f>IF(CARGA_DIARIA!A56="","",IF(CARGA_DIARIA!B56=0,0,(CARGA_DIARIA!J56+CARGA_DIARIA!K56+CARGA_DIARIA!L56+CARGA_DIARIA!M56+CARGA_DIARIA!N56+CARGA_DIARIA!O56+CARGA_DIARIA!P56+CARGA_DIARIA!Q56+CARGA_DIARIA!R56+CARGA_DIARIA!S56+CARGA_DIARIA!T56+CARGA_DIARIA!U56+CARGA_DIARIA!V56+CARGA_DIARIA!W56)/CARGA_DIARIA!B56))</f>
        <v>367337.54545454547</v>
      </c>
      <c r="E56" s="36">
        <f>IF(CARGA_DIARIA!A56="","",IF(CARGA_DIARIA!B56=0,0,(CARGA_DIARIA!X56+CARGA_DIARIA!Y56+CARGA_DIARIA!Z56+CARGA_DIARIA!AA56)/CARGA_DIARIA!B56+CARGA_DIARIA!AB56+CARGA_DIARIA!AC56+CARGA_DIARIA!AD56+CARGA_DIARIA!AE56))</f>
        <v>16035229.054320877</v>
      </c>
      <c r="F56" s="39" t="s">
        <v>146</v>
      </c>
      <c r="G56" s="39" t="s">
        <v>146</v>
      </c>
      <c r="H56" s="38">
        <f>IF(CARGA_DIARIA!A56="","",C56-D56-E56)</f>
        <v>15231921.689944575</v>
      </c>
    </row>
    <row r="57" spans="1:8" ht="15.75" customHeight="1" x14ac:dyDescent="0.25">
      <c r="A57" s="33">
        <f>IF(CARGA_DIARIA!A57="","",CARGA_DIARIA!A57)</f>
        <v>46108</v>
      </c>
      <c r="B57" s="34">
        <f>IF(CARGA_DIARIA!A57="","",CARGA_DIARIA!B57)</f>
        <v>1366</v>
      </c>
      <c r="C57" s="35">
        <f>IF(CARGA_DIARIA!A57="","",IF(CARGA_DIARIA!B57=0,0,(CARGA_DIARIA!C57+CARGA_DIARIA!D57+CARGA_DIARIA!E57+CARGA_DIARIA!F57+CARGA_DIARIA!G57+CARGA_DIARIA!H57+CARGA_DIARIA!I57+CARGA_DIARIA!AG57+CARGA_DIARIA!AH57+CARGA_DIARIA!AI57+CARGA_DIARIA!AJ57)/CARGA_DIARIA!B57+CARGA_DIARIA!AF57))</f>
        <v>31520450.262010247</v>
      </c>
      <c r="D57" s="36">
        <f>IF(CARGA_DIARIA!A57="","",IF(CARGA_DIARIA!B57=0,0,(CARGA_DIARIA!J57+CARGA_DIARIA!K57+CARGA_DIARIA!L57+CARGA_DIARIA!M57+CARGA_DIARIA!N57+CARGA_DIARIA!O57+CARGA_DIARIA!P57+CARGA_DIARIA!Q57+CARGA_DIARIA!R57+CARGA_DIARIA!S57+CARGA_DIARIA!T57+CARGA_DIARIA!U57+CARGA_DIARIA!V57+CARGA_DIARIA!W57)/CARGA_DIARIA!B57))</f>
        <v>285799.17715959006</v>
      </c>
      <c r="E57" s="36">
        <f>IF(CARGA_DIARIA!A57="","",IF(CARGA_DIARIA!B57=0,0,(CARGA_DIARIA!X57+CARGA_DIARIA!Y57+CARGA_DIARIA!Z57+CARGA_DIARIA!AA57)/CARGA_DIARIA!B57+CARGA_DIARIA!AB57+CARGA_DIARIA!AC57+CARGA_DIARIA!AD57+CARGA_DIARIA!AE57))</f>
        <v>15978672.395192025</v>
      </c>
      <c r="F57" s="39" t="s">
        <v>146</v>
      </c>
      <c r="G57" s="39" t="s">
        <v>146</v>
      </c>
      <c r="H57" s="38">
        <f>IF(CARGA_DIARIA!A57="","",C57-D57-E57)</f>
        <v>15255978.689658633</v>
      </c>
    </row>
    <row r="58" spans="1:8" ht="15.75" customHeight="1" x14ac:dyDescent="0.25">
      <c r="A58" s="33">
        <f>IF(CARGA_DIARIA!A58="","",CARGA_DIARIA!A58)</f>
        <v>46111</v>
      </c>
      <c r="B58" s="34">
        <f>IF(CARGA_DIARIA!A58="","",CARGA_DIARIA!B58)</f>
        <v>1371.5</v>
      </c>
      <c r="C58" s="35">
        <f>IF(CARGA_DIARIA!A58="","",IF(CARGA_DIARIA!B58=0,0,(CARGA_DIARIA!C58+CARGA_DIARIA!D58+CARGA_DIARIA!E58+CARGA_DIARIA!F58+CARGA_DIARIA!G58+CARGA_DIARIA!H58+CARGA_DIARIA!I58+CARGA_DIARIA!AG58+CARGA_DIARIA!AH58+CARGA_DIARIA!AI58+CARGA_DIARIA!AJ58)/CARGA_DIARIA!B58+CARGA_DIARIA!AF58))</f>
        <v>31702946.730217829</v>
      </c>
      <c r="D58" s="36">
        <f>IF(CARGA_DIARIA!A58="","",IF(CARGA_DIARIA!B58=0,0,(CARGA_DIARIA!J58+CARGA_DIARIA!K58+CARGA_DIARIA!L58+CARGA_DIARIA!M58+CARGA_DIARIA!N58+CARGA_DIARIA!O58+CARGA_DIARIA!P58+CARGA_DIARIA!Q58+CARGA_DIARIA!R58+CARGA_DIARIA!S58+CARGA_DIARIA!T58+CARGA_DIARIA!U58+CARGA_DIARIA!V58+CARGA_DIARIA!W58)/CARGA_DIARIA!B58))</f>
        <v>546181.99197958445</v>
      </c>
      <c r="E58" s="36">
        <f>IF(CARGA_DIARIA!A58="","",IF(CARGA_DIARIA!B58=0,0,(CARGA_DIARIA!X58+CARGA_DIARIA!Y58+CARGA_DIARIA!Z58+CARGA_DIARIA!AA58)/CARGA_DIARIA!B58+CARGA_DIARIA!AB58+CARGA_DIARIA!AC58+CARGA_DIARIA!AD58+CARGA_DIARIA!AE58))</f>
        <v>16201307.397738341</v>
      </c>
      <c r="F58" s="39" t="s">
        <v>146</v>
      </c>
      <c r="G58" s="39" t="s">
        <v>146</v>
      </c>
      <c r="H58" s="38">
        <f>IF(CARGA_DIARIA!A58="","",C58-D58-E58)</f>
        <v>14955457.340499904</v>
      </c>
    </row>
    <row r="59" spans="1:8" ht="15.75" customHeight="1" x14ac:dyDescent="0.25">
      <c r="A59" s="33">
        <f>IF(CARGA_DIARIA!A59="","",CARGA_DIARIA!A59)</f>
        <v>46112</v>
      </c>
      <c r="B59" s="34">
        <f>IF(CARGA_DIARIA!A59="","",CARGA_DIARIA!B59)</f>
        <v>1371.5</v>
      </c>
      <c r="C59" s="35">
        <f>IF(CARGA_DIARIA!A59="","",IF(CARGA_DIARIA!B59=0,0,(CARGA_DIARIA!C59+CARGA_DIARIA!D59+CARGA_DIARIA!E59+CARGA_DIARIA!F59+CARGA_DIARIA!G59+CARGA_DIARIA!H59+CARGA_DIARIA!I59+CARGA_DIARIA!AG59+CARGA_DIARIA!AH59+CARGA_DIARIA!AI59+CARGA_DIARIA!AJ59)/CARGA_DIARIA!B59+CARGA_DIARIA!AF59))</f>
        <v>28084690.222558513</v>
      </c>
      <c r="D59" s="36">
        <f>IF(CARGA_DIARIA!A59="","",IF(CARGA_DIARIA!B59=0,0,(CARGA_DIARIA!J59+CARGA_DIARIA!K59+CARGA_DIARIA!L59+CARGA_DIARIA!M59+CARGA_DIARIA!N59+CARGA_DIARIA!O59+CARGA_DIARIA!P59+CARGA_DIARIA!Q59+CARGA_DIARIA!R59+CARGA_DIARIA!S59+CARGA_DIARIA!T59+CARGA_DIARIA!U59+CARGA_DIARIA!V59+CARGA_DIARIA!W59)/CARGA_DIARIA!B59))</f>
        <v>458167.82282172801</v>
      </c>
      <c r="E59" s="36">
        <f>IF(CARGA_DIARIA!A59="","",IF(CARGA_DIARIA!B59=0,0,(CARGA_DIARIA!X59+CARGA_DIARIA!Y59+CARGA_DIARIA!Z59+CARGA_DIARIA!AA59)/CARGA_DIARIA!B59+CARGA_DIARIA!AB59+CARGA_DIARIA!AC59+CARGA_DIARIA!AD59+CARGA_DIARIA!AE59))</f>
        <v>15646544.221668346</v>
      </c>
      <c r="F59" s="39" t="s">
        <v>146</v>
      </c>
      <c r="G59" s="39" t="s">
        <v>146</v>
      </c>
      <c r="H59" s="38">
        <f>IF(CARGA_DIARIA!A59="","",C59-D59-E59)</f>
        <v>11979978.178068439</v>
      </c>
    </row>
    <row r="60" spans="1:8" ht="15.75" customHeight="1" x14ac:dyDescent="0.25">
      <c r="A60" s="33">
        <f>IF(CARGA_DIARIA!A60="","",CARGA_DIARIA!A60)</f>
        <v>46118</v>
      </c>
      <c r="B60" s="34">
        <f>IF(CARGA_DIARIA!A60="","",CARGA_DIARIA!B60)</f>
        <v>1383</v>
      </c>
      <c r="C60" s="35">
        <f>IF(CARGA_DIARIA!A60="","",IF(CARGA_DIARIA!B60=0,0,(CARGA_DIARIA!C60+CARGA_DIARIA!D60+CARGA_DIARIA!E60+CARGA_DIARIA!F60+CARGA_DIARIA!G60+CARGA_DIARIA!H60+CARGA_DIARIA!I60+CARGA_DIARIA!AG60+CARGA_DIARIA!AH60+CARGA_DIARIA!AI60+CARGA_DIARIA!AJ60)/CARGA_DIARIA!B60+CARGA_DIARIA!AF60))</f>
        <v>29818021.683677875</v>
      </c>
      <c r="D60" s="36">
        <f>IF(CARGA_DIARIA!A60="","",IF(CARGA_DIARIA!B60=0,0,(CARGA_DIARIA!J60+CARGA_DIARIA!K60+CARGA_DIARIA!L60+CARGA_DIARIA!M60+CARGA_DIARIA!N60+CARGA_DIARIA!O60+CARGA_DIARIA!P60+CARGA_DIARIA!Q60+CARGA_DIARIA!R60+CARGA_DIARIA!S60+CARGA_DIARIA!T60+CARGA_DIARIA!U60+CARGA_DIARIA!V60+CARGA_DIARIA!W60)/CARGA_DIARIA!B60))</f>
        <v>346712.18582791032</v>
      </c>
      <c r="E60" s="36">
        <f>IF(CARGA_DIARIA!A60="","",IF(CARGA_DIARIA!B60=0,0,(CARGA_DIARIA!X60+CARGA_DIARIA!Y60+CARGA_DIARIA!Z60+CARGA_DIARIA!AA60)/CARGA_DIARIA!B60+CARGA_DIARIA!AB60+CARGA_DIARIA!AC60+CARGA_DIARIA!AD60+CARGA_DIARIA!AE60))</f>
        <v>18069510.358422223</v>
      </c>
      <c r="F60" s="39" t="s">
        <v>146</v>
      </c>
      <c r="G60" s="39" t="s">
        <v>146</v>
      </c>
      <c r="H60" s="38">
        <f>IF(CARGA_DIARIA!A60="","",C60-D60-E60)</f>
        <v>11401799.13942774</v>
      </c>
    </row>
    <row r="61" spans="1:8" ht="15.75" customHeight="1" x14ac:dyDescent="0.25">
      <c r="A61" s="33">
        <f>IF(CARGA_DIARIA!A61="","",CARGA_DIARIA!A61)</f>
        <v>46119</v>
      </c>
      <c r="B61" s="34">
        <f>IF(CARGA_DIARIA!A61="","",CARGA_DIARIA!B61)</f>
        <v>1382</v>
      </c>
      <c r="C61" s="35">
        <f>IF(CARGA_DIARIA!A61="","",IF(CARGA_DIARIA!B61=0,0,(CARGA_DIARIA!C61+CARGA_DIARIA!D61+CARGA_DIARIA!E61+CARGA_DIARIA!F61+CARGA_DIARIA!G61+CARGA_DIARIA!H61+CARGA_DIARIA!I61+CARGA_DIARIA!AG61+CARGA_DIARIA!AH61+CARGA_DIARIA!AI61+CARGA_DIARIA!AJ61)/CARGA_DIARIA!B61+CARGA_DIARIA!AF61))</f>
        <v>29682499.555403039</v>
      </c>
      <c r="D61" s="36">
        <f>IF(CARGA_DIARIA!A61="","",IF(CARGA_DIARIA!B61=0,0,(CARGA_DIARIA!J61+CARGA_DIARIA!K61+CARGA_DIARIA!L61+CARGA_DIARIA!M61+CARGA_DIARIA!N61+CARGA_DIARIA!O61+CARGA_DIARIA!P61+CARGA_DIARIA!Q61+CARGA_DIARIA!R61+CARGA_DIARIA!S61+CARGA_DIARIA!T61+CARGA_DIARIA!U61+CARGA_DIARIA!V61+CARGA_DIARIA!W61)/CARGA_DIARIA!B61))</f>
        <v>500671.97395079595</v>
      </c>
      <c r="E61" s="36">
        <f>IF(CARGA_DIARIA!A61="","",IF(CARGA_DIARIA!B61=0,0,(CARGA_DIARIA!X61+CARGA_DIARIA!Y61+CARGA_DIARIA!Z61+CARGA_DIARIA!AA61)/CARGA_DIARIA!B61+CARGA_DIARIA!AB61+CARGA_DIARIA!AC61+CARGA_DIARIA!AD61+CARGA_DIARIA!AE61))</f>
        <v>18086188.04600504</v>
      </c>
      <c r="F61" s="39" t="s">
        <v>146</v>
      </c>
      <c r="G61" s="39" t="s">
        <v>146</v>
      </c>
      <c r="H61" s="38">
        <f>IF(CARGA_DIARIA!A61="","",C61-D61-E61)</f>
        <v>11095639.535447203</v>
      </c>
    </row>
    <row r="62" spans="1:8" ht="15.75" customHeight="1" x14ac:dyDescent="0.25">
      <c r="A62" s="33">
        <f>IF(CARGA_DIARIA!A62="","",CARGA_DIARIA!A62)</f>
        <v>46120</v>
      </c>
      <c r="B62" s="34">
        <f>IF(CARGA_DIARIA!A62="","",CARGA_DIARIA!B62)</f>
        <v>1382.5</v>
      </c>
      <c r="C62" s="35">
        <f>IF(CARGA_DIARIA!A62="","",IF(CARGA_DIARIA!B62=0,0,(CARGA_DIARIA!C62+CARGA_DIARIA!D62+CARGA_DIARIA!E62+CARGA_DIARIA!F62+CARGA_DIARIA!G62+CARGA_DIARIA!H62+CARGA_DIARIA!I62+CARGA_DIARIA!AG62+CARGA_DIARIA!AH62+CARGA_DIARIA!AI62+CARGA_DIARIA!AJ62)/CARGA_DIARIA!B62+CARGA_DIARIA!AF62))</f>
        <v>29645947.55728481</v>
      </c>
      <c r="D62" s="36">
        <f>IF(CARGA_DIARIA!A62="","",IF(CARGA_DIARIA!B62=0,0,(CARGA_DIARIA!J62+CARGA_DIARIA!K62+CARGA_DIARIA!L62+CARGA_DIARIA!M62+CARGA_DIARIA!N62+CARGA_DIARIA!O62+CARGA_DIARIA!P62+CARGA_DIARIA!Q62+CARGA_DIARIA!R62+CARGA_DIARIA!S62+CARGA_DIARIA!T62+CARGA_DIARIA!U62+CARGA_DIARIA!V62+CARGA_DIARIA!W62)/CARGA_DIARIA!B62))</f>
        <v>449602.83761301992</v>
      </c>
      <c r="E62" s="36">
        <f>IF(CARGA_DIARIA!A62="","",IF(CARGA_DIARIA!B62=0,0,(CARGA_DIARIA!X62+CARGA_DIARIA!Y62+CARGA_DIARIA!Z62+CARGA_DIARIA!AA62)/CARGA_DIARIA!B62+CARGA_DIARIA!AB62+CARGA_DIARIA!AC62+CARGA_DIARIA!AD62+CARGA_DIARIA!AE62))</f>
        <v>18070334.331384052</v>
      </c>
      <c r="F62" s="39" t="s">
        <v>146</v>
      </c>
      <c r="G62" s="39" t="s">
        <v>146</v>
      </c>
      <c r="H62" s="38">
        <f>IF(CARGA_DIARIA!A62="","",C62-D62-E62)</f>
        <v>11126010.388287738</v>
      </c>
    </row>
    <row r="63" spans="1:8" ht="15.75" customHeight="1" x14ac:dyDescent="0.25">
      <c r="A63" s="33">
        <f>IF(CARGA_DIARIA!A63="","",CARGA_DIARIA!A63)</f>
        <v>46121</v>
      </c>
      <c r="B63" s="34">
        <f>IF(CARGA_DIARIA!A63="","",CARGA_DIARIA!B63)</f>
        <v>1382.5</v>
      </c>
      <c r="C63" s="35">
        <f>IF(CARGA_DIARIA!A63="","",IF(CARGA_DIARIA!B63=0,0,(CARGA_DIARIA!C63+CARGA_DIARIA!D63+CARGA_DIARIA!E63+CARGA_DIARIA!F63+CARGA_DIARIA!G63+CARGA_DIARIA!H63+CARGA_DIARIA!I63+CARGA_DIARIA!AG63+CARGA_DIARIA!AH63+CARGA_DIARIA!AI63+CARGA_DIARIA!AJ63)/CARGA_DIARIA!B63+CARGA_DIARIA!AF63))</f>
        <v>31304289.660044305</v>
      </c>
      <c r="D63" s="36">
        <f>IF(CARGA_DIARIA!A63="","",IF(CARGA_DIARIA!B63=0,0,(CARGA_DIARIA!J63+CARGA_DIARIA!K63+CARGA_DIARIA!L63+CARGA_DIARIA!M63+CARGA_DIARIA!N63+CARGA_DIARIA!O63+CARGA_DIARIA!P63+CARGA_DIARIA!Q63+CARGA_DIARIA!R63+CARGA_DIARIA!S63+CARGA_DIARIA!T63+CARGA_DIARIA!U63+CARGA_DIARIA!V63+CARGA_DIARIA!W63)/CARGA_DIARIA!B63))</f>
        <v>851780.41157323692</v>
      </c>
      <c r="E63" s="36">
        <f>IF(CARGA_DIARIA!A63="","",IF(CARGA_DIARIA!B63=0,0,(CARGA_DIARIA!X63+CARGA_DIARIA!Y63+CARGA_DIARIA!Z63+CARGA_DIARIA!AA63)/CARGA_DIARIA!B63+CARGA_DIARIA!AB63+CARGA_DIARIA!AC63+CARGA_DIARIA!AD63+CARGA_DIARIA!AE63))</f>
        <v>17228102.575868677</v>
      </c>
      <c r="F63" s="39" t="s">
        <v>146</v>
      </c>
      <c r="G63" s="39" t="s">
        <v>146</v>
      </c>
      <c r="H63" s="38">
        <f>IF(CARGA_DIARIA!A63="","",C63-D63-E63)</f>
        <v>13224406.672602389</v>
      </c>
    </row>
    <row r="64" spans="1:8" ht="15.75" customHeight="1" x14ac:dyDescent="0.25">
      <c r="A64" s="33">
        <f>IF(CARGA_DIARIA!A64="","",CARGA_DIARIA!A64)</f>
        <v>46122</v>
      </c>
      <c r="B64" s="34">
        <f>IF(CARGA_DIARIA!A64="","",CARGA_DIARIA!B64)</f>
        <v>1382</v>
      </c>
      <c r="C64" s="35">
        <f>IF(CARGA_DIARIA!A64="","",IF(CARGA_DIARIA!B64=0,0,(CARGA_DIARIA!C64+CARGA_DIARIA!D64+CARGA_DIARIA!E64+CARGA_DIARIA!F64+CARGA_DIARIA!G64+CARGA_DIARIA!H64+CARGA_DIARIA!I64+CARGA_DIARIA!AG64+CARGA_DIARIA!AH64+CARGA_DIARIA!AI64+CARGA_DIARIA!AJ64)/CARGA_DIARIA!B64+CARGA_DIARIA!AF64))</f>
        <v>33322249.1146411</v>
      </c>
      <c r="D64" s="36">
        <f>IF(CARGA_DIARIA!A64="","",IF(CARGA_DIARIA!B64=0,0,(CARGA_DIARIA!J64+CARGA_DIARIA!K64+CARGA_DIARIA!L64+CARGA_DIARIA!M64+CARGA_DIARIA!N64+CARGA_DIARIA!O64+CARGA_DIARIA!P64+CARGA_DIARIA!Q64+CARGA_DIARIA!R64+CARGA_DIARIA!S64+CARGA_DIARIA!T64+CARGA_DIARIA!U64+CARGA_DIARIA!V64+CARGA_DIARIA!W64)/CARGA_DIARIA!B64))</f>
        <v>652295.80463096965</v>
      </c>
      <c r="E64" s="36">
        <f>IF(CARGA_DIARIA!A64="","",IF(CARGA_DIARIA!B64=0,0,(CARGA_DIARIA!X64+CARGA_DIARIA!Y64+CARGA_DIARIA!Z64+CARGA_DIARIA!AA64)/CARGA_DIARIA!B64+CARGA_DIARIA!AB64+CARGA_DIARIA!AC64+CARGA_DIARIA!AD64+CARGA_DIARIA!AE64))</f>
        <v>17592642.087973204</v>
      </c>
      <c r="F64" s="39" t="s">
        <v>146</v>
      </c>
      <c r="G64" s="39" t="s">
        <v>146</v>
      </c>
      <c r="H64" s="38">
        <f>IF(CARGA_DIARIA!A64="","",C64-D64-E64)</f>
        <v>15077311.222036928</v>
      </c>
    </row>
    <row r="65" spans="1:8" ht="15.75" customHeight="1" x14ac:dyDescent="0.25">
      <c r="A65" s="33">
        <f>IF(CARGA_DIARIA!A65="","",CARGA_DIARIA!A65)</f>
        <v>46125</v>
      </c>
      <c r="B65" s="34">
        <f>IF(CARGA_DIARIA!A65="","",CARGA_DIARIA!B65)</f>
        <v>1371.5</v>
      </c>
      <c r="C65" s="35">
        <f>IF(CARGA_DIARIA!A65="","",IF(CARGA_DIARIA!B65=0,0,(CARGA_DIARIA!C65+CARGA_DIARIA!D65+CARGA_DIARIA!E65+CARGA_DIARIA!F65+CARGA_DIARIA!G65+CARGA_DIARIA!H65+CARGA_DIARIA!I65+CARGA_DIARIA!AG65+CARGA_DIARIA!AH65+CARGA_DIARIA!AI65+CARGA_DIARIA!AJ65)/CARGA_DIARIA!B65+CARGA_DIARIA!AF65))</f>
        <v>32303752.673317898</v>
      </c>
      <c r="D65" s="36">
        <f>IF(CARGA_DIARIA!A65="","",IF(CARGA_DIARIA!B65=0,0,(CARGA_DIARIA!J65+CARGA_DIARIA!K65+CARGA_DIARIA!L65+CARGA_DIARIA!M65+CARGA_DIARIA!N65+CARGA_DIARIA!O65+CARGA_DIARIA!P65+CARGA_DIARIA!Q65+CARGA_DIARIA!R65+CARGA_DIARIA!S65+CARGA_DIARIA!T65+CARGA_DIARIA!U65+CARGA_DIARIA!V65+CARGA_DIARIA!W65)/CARGA_DIARIA!B65))</f>
        <v>501671.81188479764</v>
      </c>
      <c r="E65" s="36">
        <f>IF(CARGA_DIARIA!A65="","",IF(CARGA_DIARIA!B65=0,0,(CARGA_DIARIA!X65+CARGA_DIARIA!Y65+CARGA_DIARIA!Z65+CARGA_DIARIA!AA65)/CARGA_DIARIA!B65+CARGA_DIARIA!AB65+CARGA_DIARIA!AC65+CARGA_DIARIA!AD65+CARGA_DIARIA!AE65))</f>
        <v>17234586.996594843</v>
      </c>
      <c r="F65" s="39" t="s">
        <v>146</v>
      </c>
      <c r="G65" s="39" t="s">
        <v>146</v>
      </c>
      <c r="H65" s="38">
        <f>IF(CARGA_DIARIA!A65="","",C65-D65-E65)</f>
        <v>14567493.864838257</v>
      </c>
    </row>
    <row r="66" spans="1:8" ht="15.75" customHeight="1" x14ac:dyDescent="0.25">
      <c r="A66" s="33">
        <f>IF(CARGA_DIARIA!A66="","",CARGA_DIARIA!A66)</f>
        <v>46126</v>
      </c>
      <c r="B66" s="34">
        <f>IF(CARGA_DIARIA!A66="","",CARGA_DIARIA!B66)</f>
        <v>1360</v>
      </c>
      <c r="C66" s="35">
        <f>IF(CARGA_DIARIA!A66="","",IF(CARGA_DIARIA!B66=0,0,(CARGA_DIARIA!C66+CARGA_DIARIA!D66+CARGA_DIARIA!E66+CARGA_DIARIA!F66+CARGA_DIARIA!G66+CARGA_DIARIA!H66+CARGA_DIARIA!I66+CARGA_DIARIA!AG66+CARGA_DIARIA!AH66+CARGA_DIARIA!AI66+CARGA_DIARIA!AJ66)/CARGA_DIARIA!B66+CARGA_DIARIA!AF66))</f>
        <v>31464399.04552941</v>
      </c>
      <c r="D66" s="36">
        <f>IF(CARGA_DIARIA!A66="","",IF(CARGA_DIARIA!B66=0,0,(CARGA_DIARIA!J66+CARGA_DIARIA!K66+CARGA_DIARIA!L66+CARGA_DIARIA!M66+CARGA_DIARIA!N66+CARGA_DIARIA!O66+CARGA_DIARIA!P66+CARGA_DIARIA!Q66+CARGA_DIARIA!R66+CARGA_DIARIA!S66+CARGA_DIARIA!T66+CARGA_DIARIA!U66+CARGA_DIARIA!V66+CARGA_DIARIA!W66)/CARGA_DIARIA!B66))</f>
        <v>548351.73529411759</v>
      </c>
      <c r="E66" s="36">
        <f>IF(CARGA_DIARIA!A66="","",IF(CARGA_DIARIA!B66=0,0,(CARGA_DIARIA!X66+CARGA_DIARIA!Y66+CARGA_DIARIA!Z66+CARGA_DIARIA!AA66)/CARGA_DIARIA!B66+CARGA_DIARIA!AB66+CARGA_DIARIA!AC66+CARGA_DIARIA!AD66+CARGA_DIARIA!AE66))</f>
        <v>17569361.416883621</v>
      </c>
      <c r="F66" s="39" t="s">
        <v>146</v>
      </c>
      <c r="G66" s="39" t="s">
        <v>146</v>
      </c>
      <c r="H66" s="38">
        <f>IF(CARGA_DIARIA!A66="","",C66-D66-E66)</f>
        <v>13346685.89335167</v>
      </c>
    </row>
    <row r="67" spans="1:8" ht="15.75" customHeight="1" x14ac:dyDescent="0.25">
      <c r="A67" s="33">
        <f>IF(CARGA_DIARIA!A67="","",CARGA_DIARIA!A67)</f>
        <v>46127</v>
      </c>
      <c r="B67" s="34">
        <f>IF(CARGA_DIARIA!A67="","",CARGA_DIARIA!B67)</f>
        <v>1352</v>
      </c>
      <c r="C67" s="35">
        <f>IF(CARGA_DIARIA!A67="","",IF(CARGA_DIARIA!B67=0,0,(CARGA_DIARIA!C67+CARGA_DIARIA!D67+CARGA_DIARIA!E67+CARGA_DIARIA!F67+CARGA_DIARIA!G67+CARGA_DIARIA!H67+CARGA_DIARIA!I67+CARGA_DIARIA!AG67+CARGA_DIARIA!AH67+CARGA_DIARIA!AI67+CARGA_DIARIA!AJ67)/CARGA_DIARIA!B67+CARGA_DIARIA!AF67))</f>
        <v>30592118.780491125</v>
      </c>
      <c r="D67" s="36">
        <f>IF(CARGA_DIARIA!A67="","",IF(CARGA_DIARIA!B67=0,0,(CARGA_DIARIA!J67+CARGA_DIARIA!K67+CARGA_DIARIA!L67+CARGA_DIARIA!M67+CARGA_DIARIA!N67+CARGA_DIARIA!O67+CARGA_DIARIA!P67+CARGA_DIARIA!Q67+CARGA_DIARIA!R67+CARGA_DIARIA!S67+CARGA_DIARIA!T67+CARGA_DIARIA!U67+CARGA_DIARIA!V67+CARGA_DIARIA!W67)/CARGA_DIARIA!B67))</f>
        <v>370944.90902366862</v>
      </c>
      <c r="E67" s="36">
        <f>IF(CARGA_DIARIA!A67="","",IF(CARGA_DIARIA!B67=0,0,(CARGA_DIARIA!X67+CARGA_DIARIA!Y67+CARGA_DIARIA!Z67+CARGA_DIARIA!AA67)/CARGA_DIARIA!B67+CARGA_DIARIA!AB67+CARGA_DIARIA!AC67+CARGA_DIARIA!AD67+CARGA_DIARIA!AE67))</f>
        <v>17299470.357995562</v>
      </c>
      <c r="F67" s="39" t="s">
        <v>146</v>
      </c>
      <c r="G67" s="39" t="s">
        <v>146</v>
      </c>
      <c r="H67" s="38">
        <f>IF(CARGA_DIARIA!A67="","",C67-D67-E67)</f>
        <v>12921703.513471894</v>
      </c>
    </row>
    <row r="68" spans="1:8" ht="15.75" customHeight="1" x14ac:dyDescent="0.25">
      <c r="A68" s="33">
        <f>IF(CARGA_DIARIA!A68="","",CARGA_DIARIA!A68)</f>
        <v>46128</v>
      </c>
      <c r="B68" s="34">
        <f>IF(CARGA_DIARIA!A68="","",CARGA_DIARIA!B68)</f>
        <v>1360</v>
      </c>
      <c r="C68" s="35">
        <f>IF(CARGA_DIARIA!A68="","",IF(CARGA_DIARIA!B68=0,0,(CARGA_DIARIA!C68+CARGA_DIARIA!D68+CARGA_DIARIA!E68+CARGA_DIARIA!F68+CARGA_DIARIA!G68+CARGA_DIARIA!H68+CARGA_DIARIA!I68+CARGA_DIARIA!AG68+CARGA_DIARIA!AH68+CARGA_DIARIA!AI68+CARGA_DIARIA!AJ68)/CARGA_DIARIA!B68+CARGA_DIARIA!AF68))</f>
        <v>30406610.140882351</v>
      </c>
      <c r="D68" s="36">
        <f>IF(CARGA_DIARIA!A68="","",IF(CARGA_DIARIA!B68=0,0,(CARGA_DIARIA!J68+CARGA_DIARIA!K68+CARGA_DIARIA!L68+CARGA_DIARIA!M68+CARGA_DIARIA!N68+CARGA_DIARIA!O68+CARGA_DIARIA!P68+CARGA_DIARIA!Q68+CARGA_DIARIA!R68+CARGA_DIARIA!S68+CARGA_DIARIA!T68+CARGA_DIARIA!U68+CARGA_DIARIA!V68+CARGA_DIARIA!W68)/CARGA_DIARIA!B68))</f>
        <v>212836.21323529413</v>
      </c>
      <c r="E68" s="36">
        <f>IF(CARGA_DIARIA!A68="","",IF(CARGA_DIARIA!B68=0,0,(CARGA_DIARIA!X68+CARGA_DIARIA!Y68+CARGA_DIARIA!Z68+CARGA_DIARIA!AA68)/CARGA_DIARIA!B68+CARGA_DIARIA!AB68+CARGA_DIARIA!AC68+CARGA_DIARIA!AD68+CARGA_DIARIA!AE68))</f>
        <v>17545112.712618914</v>
      </c>
      <c r="F68" s="39" t="s">
        <v>146</v>
      </c>
      <c r="G68" s="39" t="s">
        <v>146</v>
      </c>
      <c r="H68" s="38">
        <f>IF(CARGA_DIARIA!A68="","",C68-D68-E68)</f>
        <v>12648661.215028144</v>
      </c>
    </row>
    <row r="69" spans="1:8" ht="15.75" customHeight="1" x14ac:dyDescent="0.25">
      <c r="A69" s="33">
        <f>IF(CARGA_DIARIA!A69="","",CARGA_DIARIA!A69)</f>
        <v>46129</v>
      </c>
      <c r="B69" s="34">
        <f>IF(CARGA_DIARIA!A69="","",CARGA_DIARIA!B69)</f>
        <v>1350.5</v>
      </c>
      <c r="C69" s="35">
        <f>IF(CARGA_DIARIA!A69="","",IF(CARGA_DIARIA!B69=0,0,(CARGA_DIARIA!C69+CARGA_DIARIA!D69+CARGA_DIARIA!E69+CARGA_DIARIA!F69+CARGA_DIARIA!G69+CARGA_DIARIA!H69+CARGA_DIARIA!I69+CARGA_DIARIA!AG69+CARGA_DIARIA!AH69+CARGA_DIARIA!AI69+CARGA_DIARIA!AJ69)/CARGA_DIARIA!B69+CARGA_DIARIA!AF69))</f>
        <v>29796056.800817844</v>
      </c>
      <c r="D69" s="36">
        <f>IF(CARGA_DIARIA!A69="","",IF(CARGA_DIARIA!B69=0,0,(CARGA_DIARIA!J69+CARGA_DIARIA!K69+CARGA_DIARIA!L69+CARGA_DIARIA!M69+CARGA_DIARIA!N69+CARGA_DIARIA!O69+CARGA_DIARIA!P69+CARGA_DIARIA!Q69+CARGA_DIARIA!R69+CARGA_DIARIA!S69+CARGA_DIARIA!T69+CARGA_DIARIA!U69+CARGA_DIARIA!V69+CARGA_DIARIA!W69)/CARGA_DIARIA!B69))</f>
        <v>373310.6079229915</v>
      </c>
      <c r="E69" s="36">
        <f>IF(CARGA_DIARIA!A69="","",IF(CARGA_DIARIA!B69=0,0,(CARGA_DIARIA!X69+CARGA_DIARIA!Y69+CARGA_DIARIA!Z69+CARGA_DIARIA!AA69)/CARGA_DIARIA!B69+CARGA_DIARIA!AB69+CARGA_DIARIA!AC69+CARGA_DIARIA!AD69+CARGA_DIARIA!AE69))</f>
        <v>16794061.514840096</v>
      </c>
      <c r="F69" s="39" t="s">
        <v>146</v>
      </c>
      <c r="G69" s="39" t="s">
        <v>146</v>
      </c>
      <c r="H69" s="38">
        <f>IF(CARGA_DIARIA!A69="","",C69-D69-E69)</f>
        <v>12628684.678054757</v>
      </c>
    </row>
    <row r="70" spans="1:8" ht="15.75" customHeight="1" x14ac:dyDescent="0.25">
      <c r="A70" s="33">
        <f>IF(CARGA_DIARIA!A70="","",CARGA_DIARIA!A70)</f>
        <v>46132</v>
      </c>
      <c r="B70" s="34">
        <f>IF(CARGA_DIARIA!A70="","",CARGA_DIARIA!B70)</f>
        <v>1355.5</v>
      </c>
      <c r="C70" s="35">
        <f>IF(CARGA_DIARIA!A70="","",IF(CARGA_DIARIA!B70=0,0,(CARGA_DIARIA!C70+CARGA_DIARIA!D70+CARGA_DIARIA!E70+CARGA_DIARIA!F70+CARGA_DIARIA!G70+CARGA_DIARIA!H70+CARGA_DIARIA!I70+CARGA_DIARIA!AG70+CARGA_DIARIA!AH70+CARGA_DIARIA!AI70+CARGA_DIARIA!AJ70)/CARGA_DIARIA!B70+CARGA_DIARIA!AF70))</f>
        <v>30633760.126336776</v>
      </c>
      <c r="D70" s="36">
        <f>IF(CARGA_DIARIA!A70="","",IF(CARGA_DIARIA!B70=0,0,(CARGA_DIARIA!J70+CARGA_DIARIA!K70+CARGA_DIARIA!L70+CARGA_DIARIA!M70+CARGA_DIARIA!N70+CARGA_DIARIA!O70+CARGA_DIARIA!P70+CARGA_DIARIA!Q70+CARGA_DIARIA!R70+CARGA_DIARIA!S70+CARGA_DIARIA!T70+CARGA_DIARIA!U70+CARGA_DIARIA!V70+CARGA_DIARIA!W70)/CARGA_DIARIA!B70))</f>
        <v>407209.80450018443</v>
      </c>
      <c r="E70" s="36">
        <f>IF(CARGA_DIARIA!A70="","",IF(CARGA_DIARIA!B70=0,0,(CARGA_DIARIA!X70+CARGA_DIARIA!Y70+CARGA_DIARIA!Z70+CARGA_DIARIA!AA70)/CARGA_DIARIA!B70+CARGA_DIARIA!AB70+CARGA_DIARIA!AC70+CARGA_DIARIA!AD70+CARGA_DIARIA!AE70))</f>
        <v>16491724.482468741</v>
      </c>
      <c r="F70" s="39" t="s">
        <v>146</v>
      </c>
      <c r="G70" s="39" t="s">
        <v>146</v>
      </c>
      <c r="H70" s="38">
        <f>IF(CARGA_DIARIA!A70="","",C70-D70-E70)</f>
        <v>13734825.83936785</v>
      </c>
    </row>
    <row r="71" spans="1:8" ht="15.75" customHeight="1" x14ac:dyDescent="0.25">
      <c r="A71" s="33">
        <f>IF(CARGA_DIARIA!A71="","",CARGA_DIARIA!A71)</f>
        <v>46133</v>
      </c>
      <c r="B71" s="34">
        <f>IF(CARGA_DIARIA!A71="","",CARGA_DIARIA!B71)</f>
        <v>1372</v>
      </c>
      <c r="C71" s="35">
        <f>IF(CARGA_DIARIA!A71="","",IF(CARGA_DIARIA!B71=0,0,(CARGA_DIARIA!C71+CARGA_DIARIA!D71+CARGA_DIARIA!E71+CARGA_DIARIA!F71+CARGA_DIARIA!G71+CARGA_DIARIA!H71+CARGA_DIARIA!I71+CARGA_DIARIA!AG71+CARGA_DIARIA!AH71+CARGA_DIARIA!AI71+CARGA_DIARIA!AJ71)/CARGA_DIARIA!B71+CARGA_DIARIA!AF71))</f>
        <v>31326551.672225948</v>
      </c>
      <c r="D71" s="36">
        <f>IF(CARGA_DIARIA!A71="","",IF(CARGA_DIARIA!B71=0,0,(CARGA_DIARIA!J71+CARGA_DIARIA!K71+CARGA_DIARIA!L71+CARGA_DIARIA!M71+CARGA_DIARIA!N71+CARGA_DIARIA!O71+CARGA_DIARIA!P71+CARGA_DIARIA!Q71+CARGA_DIARIA!R71+CARGA_DIARIA!S71+CARGA_DIARIA!T71+CARGA_DIARIA!U71+CARGA_DIARIA!V71+CARGA_DIARIA!W71)/CARGA_DIARIA!B71))</f>
        <v>456672.10058309039</v>
      </c>
      <c r="E71" s="36">
        <f>IF(CARGA_DIARIA!A71="","",IF(CARGA_DIARIA!B71=0,0,(CARGA_DIARIA!X71+CARGA_DIARIA!Y71+CARGA_DIARIA!Z71+CARGA_DIARIA!AA71)/CARGA_DIARIA!B71+CARGA_DIARIA!AB71+CARGA_DIARIA!AC71+CARGA_DIARIA!AD71+CARGA_DIARIA!AE71))</f>
        <v>15861252.298091331</v>
      </c>
      <c r="F71" s="39" t="s">
        <v>146</v>
      </c>
      <c r="G71" s="39" t="s">
        <v>146</v>
      </c>
      <c r="H71" s="38">
        <f>IF(CARGA_DIARIA!A71="","",C71-D71-E71)</f>
        <v>15008627.273551526</v>
      </c>
    </row>
    <row r="72" spans="1:8" ht="15.75" customHeight="1" x14ac:dyDescent="0.25">
      <c r="A72" s="33">
        <f>IF(CARGA_DIARIA!A72="","",CARGA_DIARIA!A72)</f>
        <v>46134</v>
      </c>
      <c r="B72" s="34">
        <f>IF(CARGA_DIARIA!A72="","",CARGA_DIARIA!B72)</f>
        <v>1377</v>
      </c>
      <c r="C72" s="35">
        <f>IF(CARGA_DIARIA!A72="","",IF(CARGA_DIARIA!B72=0,0,(CARGA_DIARIA!C72+CARGA_DIARIA!D72+CARGA_DIARIA!E72+CARGA_DIARIA!F72+CARGA_DIARIA!G72+CARGA_DIARIA!H72+CARGA_DIARIA!I72+CARGA_DIARIA!AG72+CARGA_DIARIA!AH72+CARGA_DIARIA!AI72+CARGA_DIARIA!AJ72)/CARGA_DIARIA!B72+CARGA_DIARIA!AF72))</f>
        <v>31313544.798585694</v>
      </c>
      <c r="D72" s="36">
        <f>IF(CARGA_DIARIA!A72="","",IF(CARGA_DIARIA!B72=0,0,(CARGA_DIARIA!J72+CARGA_DIARIA!K72+CARGA_DIARIA!L72+CARGA_DIARIA!M72+CARGA_DIARIA!N72+CARGA_DIARIA!O72+CARGA_DIARIA!P72+CARGA_DIARIA!Q72+CARGA_DIARIA!R72+CARGA_DIARIA!S72+CARGA_DIARIA!T72+CARGA_DIARIA!U72+CARGA_DIARIA!V72+CARGA_DIARIA!W72)/CARGA_DIARIA!B72))</f>
        <v>380712.60203340597</v>
      </c>
      <c r="E72" s="36">
        <f>IF(CARGA_DIARIA!A72="","",IF(CARGA_DIARIA!B72=0,0,(CARGA_DIARIA!X72+CARGA_DIARIA!Y72+CARGA_DIARIA!Z72+CARGA_DIARIA!AA72)/CARGA_DIARIA!B72+CARGA_DIARIA!AB72+CARGA_DIARIA!AC72+CARGA_DIARIA!AD72+CARGA_DIARIA!AE72))</f>
        <v>15628591.84096306</v>
      </c>
      <c r="F72" s="39" t="s">
        <v>146</v>
      </c>
      <c r="G72" s="39" t="s">
        <v>146</v>
      </c>
      <c r="H72" s="38">
        <f>IF(CARGA_DIARIA!A72="","",C72-D72-E72)</f>
        <v>15304240.355589228</v>
      </c>
    </row>
    <row r="73" spans="1:8" ht="15.75" customHeight="1" x14ac:dyDescent="0.25">
      <c r="A73" s="33">
        <f>IF(CARGA_DIARIA!A73="","",CARGA_DIARIA!A73)</f>
        <v>46135</v>
      </c>
      <c r="B73" s="34">
        <f>IF(CARGA_DIARIA!A73="","",CARGA_DIARIA!B73)</f>
        <v>1373.5</v>
      </c>
      <c r="C73" s="35">
        <f>IF(CARGA_DIARIA!A73="","",IF(CARGA_DIARIA!B73=0,0,(CARGA_DIARIA!C73+CARGA_DIARIA!D73+CARGA_DIARIA!E73+CARGA_DIARIA!F73+CARGA_DIARIA!G73+CARGA_DIARIA!H73+CARGA_DIARIA!I73+CARGA_DIARIA!AG73+CARGA_DIARIA!AH73+CARGA_DIARIA!AI73+CARGA_DIARIA!AJ73)/CARGA_DIARIA!B73+CARGA_DIARIA!AF73))</f>
        <v>31267143.934472334</v>
      </c>
      <c r="D73" s="36">
        <f>IF(CARGA_DIARIA!A73="","",IF(CARGA_DIARIA!B73=0,0,(CARGA_DIARIA!J73+CARGA_DIARIA!K73+CARGA_DIARIA!L73+CARGA_DIARIA!M73+CARGA_DIARIA!N73+CARGA_DIARIA!O73+CARGA_DIARIA!P73+CARGA_DIARIA!Q73+CARGA_DIARIA!R73+CARGA_DIARIA!S73+CARGA_DIARIA!T73+CARGA_DIARIA!U73+CARGA_DIARIA!V73+CARGA_DIARIA!W73)/CARGA_DIARIA!B73))</f>
        <v>253450.35820895524</v>
      </c>
      <c r="E73" s="36">
        <f>IF(CARGA_DIARIA!A73="","",IF(CARGA_DIARIA!B73=0,0,(CARGA_DIARIA!X73+CARGA_DIARIA!Y73+CARGA_DIARIA!Z73+CARGA_DIARIA!AA73)/CARGA_DIARIA!B73+CARGA_DIARIA!AB73+CARGA_DIARIA!AC73+CARGA_DIARIA!AD73+CARGA_DIARIA!AE73))</f>
        <v>15533765.129587738</v>
      </c>
      <c r="F73" s="39" t="s">
        <v>146</v>
      </c>
      <c r="G73" s="39" t="s">
        <v>146</v>
      </c>
      <c r="H73" s="38">
        <f>IF(CARGA_DIARIA!A73="","",C73-D73-E73)</f>
        <v>15479928.446675641</v>
      </c>
    </row>
    <row r="74" spans="1:8" ht="15.75" customHeight="1" x14ac:dyDescent="0.25">
      <c r="A74" s="33">
        <f>IF(CARGA_DIARIA!A74="","",CARGA_DIARIA!A74)</f>
        <v>46136</v>
      </c>
      <c r="B74" s="34">
        <f>IF(CARGA_DIARIA!A74="","",CARGA_DIARIA!B74)</f>
        <v>1382</v>
      </c>
      <c r="C74" s="35">
        <f>IF(CARGA_DIARIA!A74="","",IF(CARGA_DIARIA!B74=0,0,(CARGA_DIARIA!C74+CARGA_DIARIA!D74+CARGA_DIARIA!E74+CARGA_DIARIA!F74+CARGA_DIARIA!G74+CARGA_DIARIA!H74+CARGA_DIARIA!I74+CARGA_DIARIA!AG74+CARGA_DIARIA!AH74+CARGA_DIARIA!AI74+CARGA_DIARIA!AJ74)/CARGA_DIARIA!B74+CARGA_DIARIA!AF74))</f>
        <v>32163915.182724312</v>
      </c>
      <c r="D74" s="36">
        <f>IF(CARGA_DIARIA!A74="","",IF(CARGA_DIARIA!B74=0,0,(CARGA_DIARIA!J74+CARGA_DIARIA!K74+CARGA_DIARIA!L74+CARGA_DIARIA!M74+CARGA_DIARIA!N74+CARGA_DIARIA!O74+CARGA_DIARIA!P74+CARGA_DIARIA!Q74+CARGA_DIARIA!R74+CARGA_DIARIA!S74+CARGA_DIARIA!T74+CARGA_DIARIA!U74+CARGA_DIARIA!V74+CARGA_DIARIA!W74)/CARGA_DIARIA!B74))</f>
        <v>186506.43849493488</v>
      </c>
      <c r="E74" s="36">
        <f>IF(CARGA_DIARIA!A74="","",IF(CARGA_DIARIA!B74=0,0,(CARGA_DIARIA!X74+CARGA_DIARIA!Y74+CARGA_DIARIA!Z74+CARGA_DIARIA!AA74)/CARGA_DIARIA!B74+CARGA_DIARIA!AB74+CARGA_DIARIA!AC74+CARGA_DIARIA!AD74+CARGA_DIARIA!AE74))</f>
        <v>15827018.910028193</v>
      </c>
      <c r="F74" s="39" t="s">
        <v>146</v>
      </c>
      <c r="G74" s="39" t="s">
        <v>146</v>
      </c>
      <c r="H74" s="38">
        <f>IF(CARGA_DIARIA!A74="","",C74-D74-E74)</f>
        <v>16150389.834201183</v>
      </c>
    </row>
    <row r="75" spans="1:8" ht="15.75" customHeight="1" x14ac:dyDescent="0.25">
      <c r="A75" s="33">
        <f>IF(CARGA_DIARIA!A75="","",CARGA_DIARIA!A75)</f>
        <v>46139</v>
      </c>
      <c r="B75" s="34">
        <f>IF(CARGA_DIARIA!A75="","",CARGA_DIARIA!B75)</f>
        <v>1392</v>
      </c>
      <c r="C75" s="35">
        <f>IF(CARGA_DIARIA!A75="","",IF(CARGA_DIARIA!B75=0,0,(CARGA_DIARIA!C75+CARGA_DIARIA!D75+CARGA_DIARIA!E75+CARGA_DIARIA!F75+CARGA_DIARIA!G75+CARGA_DIARIA!H75+CARGA_DIARIA!I75+CARGA_DIARIA!AG75+CARGA_DIARIA!AH75+CARGA_DIARIA!AI75+CARGA_DIARIA!AJ75)/CARGA_DIARIA!B75+CARGA_DIARIA!AF75))</f>
        <v>34464578.359580457</v>
      </c>
      <c r="D75" s="36">
        <f>IF(CARGA_DIARIA!A75="","",IF(CARGA_DIARIA!B75=0,0,(CARGA_DIARIA!J75+CARGA_DIARIA!K75+CARGA_DIARIA!L75+CARGA_DIARIA!M75+CARGA_DIARIA!N75+CARGA_DIARIA!O75+CARGA_DIARIA!P75+CARGA_DIARIA!Q75+CARGA_DIARIA!R75+CARGA_DIARIA!S75+CARGA_DIARIA!T75+CARGA_DIARIA!U75+CARGA_DIARIA!V75+CARGA_DIARIA!W75)/CARGA_DIARIA!B75))</f>
        <v>194325.86350574714</v>
      </c>
      <c r="E75" s="36">
        <f>IF(CARGA_DIARIA!A75="","",IF(CARGA_DIARIA!B75=0,0,(CARGA_DIARIA!X75+CARGA_DIARIA!Y75+CARGA_DIARIA!Z75+CARGA_DIARIA!AA75)/CARGA_DIARIA!B75+CARGA_DIARIA!AB75+CARGA_DIARIA!AC75+CARGA_DIARIA!AD75+CARGA_DIARIA!AE75))</f>
        <v>16215558.794000445</v>
      </c>
      <c r="F75" s="39" t="s">
        <v>146</v>
      </c>
      <c r="G75" s="39" t="s">
        <v>146</v>
      </c>
      <c r="H75" s="38">
        <f>IF(CARGA_DIARIA!A75="","",C75-D75-E75)</f>
        <v>18054693.702074267</v>
      </c>
    </row>
    <row r="76" spans="1:8" ht="15.75" customHeight="1" x14ac:dyDescent="0.25">
      <c r="A76" s="33">
        <f>IF(CARGA_DIARIA!A76="","",CARGA_DIARIA!A76)</f>
        <v>46140</v>
      </c>
      <c r="B76" s="34">
        <f>IF(CARGA_DIARIA!A76="","",CARGA_DIARIA!B76)</f>
        <v>1406</v>
      </c>
      <c r="C76" s="35">
        <f>IF(CARGA_DIARIA!A76="","",IF(CARGA_DIARIA!B76=0,0,(CARGA_DIARIA!C76+CARGA_DIARIA!D76+CARGA_DIARIA!E76+CARGA_DIARIA!F76+CARGA_DIARIA!G76+CARGA_DIARIA!H76+CARGA_DIARIA!I76+CARGA_DIARIA!AG76+CARGA_DIARIA!AH76+CARGA_DIARIA!AI76+CARGA_DIARIA!AJ76)/CARGA_DIARIA!B76+CARGA_DIARIA!AF76))</f>
        <v>34372247.797802985</v>
      </c>
      <c r="D76" s="36">
        <f>IF(CARGA_DIARIA!A76="","",IF(CARGA_DIARIA!B76=0,0,(CARGA_DIARIA!J76+CARGA_DIARIA!K76+CARGA_DIARIA!L76+CARGA_DIARIA!M76+CARGA_DIARIA!N76+CARGA_DIARIA!O76+CARGA_DIARIA!P76+CARGA_DIARIA!Q76+CARGA_DIARIA!R76+CARGA_DIARIA!S76+CARGA_DIARIA!T76+CARGA_DIARIA!U76+CARGA_DIARIA!V76+CARGA_DIARIA!W76)/CARGA_DIARIA!B76))</f>
        <v>203321.10739687056</v>
      </c>
      <c r="E76" s="36">
        <f>IF(CARGA_DIARIA!A76="","",IF(CARGA_DIARIA!B76=0,0,(CARGA_DIARIA!X76+CARGA_DIARIA!Y76+CARGA_DIARIA!Z76+CARGA_DIARIA!AA76)/CARGA_DIARIA!B76+CARGA_DIARIA!AB76+CARGA_DIARIA!AC76+CARGA_DIARIA!AD76+CARGA_DIARIA!AE76))</f>
        <v>16075727.019256143</v>
      </c>
      <c r="F76" s="39" t="s">
        <v>146</v>
      </c>
      <c r="G76" s="39" t="s">
        <v>146</v>
      </c>
      <c r="H76" s="38">
        <f>IF(CARGA_DIARIA!A76="","",C76-D76-E76)</f>
        <v>18093199.671149969</v>
      </c>
    </row>
    <row r="77" spans="1:8" ht="15.75" customHeight="1" x14ac:dyDescent="0.25">
      <c r="A77" s="33">
        <f>IF(CARGA_DIARIA!A77="","",CARGA_DIARIA!A77)</f>
        <v>46141</v>
      </c>
      <c r="B77" s="34">
        <f>IF(CARGA_DIARIA!A77="","",CARGA_DIARIA!B77)</f>
        <v>1400</v>
      </c>
      <c r="C77" s="35">
        <f>IF(CARGA_DIARIA!A77="","",IF(CARGA_DIARIA!B77=0,0,(CARGA_DIARIA!C77+CARGA_DIARIA!D77+CARGA_DIARIA!E77+CARGA_DIARIA!F77+CARGA_DIARIA!G77+CARGA_DIARIA!H77+CARGA_DIARIA!I77+CARGA_DIARIA!AG77+CARGA_DIARIA!AH77+CARGA_DIARIA!AI77+CARGA_DIARIA!AJ77)/CARGA_DIARIA!B77+CARGA_DIARIA!AF77))</f>
        <v>34330451.687071428</v>
      </c>
      <c r="D77" s="36">
        <f>IF(CARGA_DIARIA!A77="","",IF(CARGA_DIARIA!B77=0,0,(CARGA_DIARIA!J77+CARGA_DIARIA!K77+CARGA_DIARIA!L77+CARGA_DIARIA!M77+CARGA_DIARIA!N77+CARGA_DIARIA!O77+CARGA_DIARIA!P77+CARGA_DIARIA!Q77+CARGA_DIARIA!R77+CARGA_DIARIA!S77+CARGA_DIARIA!T77+CARGA_DIARIA!U77+CARGA_DIARIA!V77+CARGA_DIARIA!W77)/CARGA_DIARIA!B77))</f>
        <v>284697.31714285712</v>
      </c>
      <c r="E77" s="36">
        <f>IF(CARGA_DIARIA!A77="","",IF(CARGA_DIARIA!B77=0,0,(CARGA_DIARIA!X77+CARGA_DIARIA!Y77+CARGA_DIARIA!Z77+CARGA_DIARIA!AA77)/CARGA_DIARIA!B77+CARGA_DIARIA!AB77+CARGA_DIARIA!AC77+CARGA_DIARIA!AD77+CARGA_DIARIA!AE77))</f>
        <v>16322053.975514529</v>
      </c>
      <c r="F77" s="39" t="s">
        <v>146</v>
      </c>
      <c r="G77" s="39" t="s">
        <v>146</v>
      </c>
      <c r="H77" s="38">
        <f>IF(CARGA_DIARIA!A77="","",C77-D77-E77)</f>
        <v>17723700.394414037</v>
      </c>
    </row>
    <row r="78" spans="1:8" ht="15.75" customHeight="1" x14ac:dyDescent="0.25">
      <c r="A78" s="33">
        <f>IF(CARGA_DIARIA!A78="","",CARGA_DIARIA!A78)</f>
        <v>46142</v>
      </c>
      <c r="B78" s="34">
        <f>IF(CARGA_DIARIA!A78="","",CARGA_DIARIA!B78)</f>
        <v>1400</v>
      </c>
      <c r="C78" s="35">
        <f>IF(CARGA_DIARIA!A78="","",IF(CARGA_DIARIA!B78=0,0,(CARGA_DIARIA!C78+CARGA_DIARIA!D78+CARGA_DIARIA!E78+CARGA_DIARIA!F78+CARGA_DIARIA!G78+CARGA_DIARIA!H78+CARGA_DIARIA!I78+CARGA_DIARIA!AG78+CARGA_DIARIA!AH78+CARGA_DIARIA!AI78+CARGA_DIARIA!AJ78)/CARGA_DIARIA!B78+CARGA_DIARIA!AF78))</f>
        <v>25977077.072785713</v>
      </c>
      <c r="D78" s="36">
        <f>IF(CARGA_DIARIA!A78="","",IF(CARGA_DIARIA!B78=0,0,(CARGA_DIARIA!J78+CARGA_DIARIA!K78+CARGA_DIARIA!L78+CARGA_DIARIA!M78+CARGA_DIARIA!N78+CARGA_DIARIA!O78+CARGA_DIARIA!P78+CARGA_DIARIA!Q78+CARGA_DIARIA!R78+CARGA_DIARIA!S78+CARGA_DIARIA!T78+CARGA_DIARIA!U78+CARGA_DIARIA!V78+CARGA_DIARIA!W78)/CARGA_DIARIA!B78))</f>
        <v>385509.93857142859</v>
      </c>
      <c r="E78" s="36">
        <f>IF(CARGA_DIARIA!A78="","",IF(CARGA_DIARIA!B78=0,0,(CARGA_DIARIA!X78+CARGA_DIARIA!Y78+CARGA_DIARIA!Z78+CARGA_DIARIA!AA78)/CARGA_DIARIA!B78+CARGA_DIARIA!AB78+CARGA_DIARIA!AC78+CARGA_DIARIA!AD78+CARGA_DIARIA!AE78))</f>
        <v>17256541.028371673</v>
      </c>
      <c r="F78" s="39" t="s">
        <v>146</v>
      </c>
      <c r="G78" s="39" t="s">
        <v>146</v>
      </c>
      <c r="H78" s="38">
        <f>IF(CARGA_DIARIA!A78="","",C78-D78-E78)</f>
        <v>8335026.1058426127</v>
      </c>
    </row>
    <row r="79" spans="1:8" ht="15.75" customHeight="1" x14ac:dyDescent="0.25">
      <c r="A79" s="33">
        <f>IF(CARGA_DIARIA!A79="","",CARGA_DIARIA!A79)</f>
        <v>46146</v>
      </c>
      <c r="B79" s="34">
        <f>IF(CARGA_DIARIA!A79="","",CARGA_DIARIA!B79)</f>
        <v>1375</v>
      </c>
      <c r="C79" s="35">
        <f>IF(CARGA_DIARIA!A79="","",IF(CARGA_DIARIA!B79=0,0,(CARGA_DIARIA!C79+CARGA_DIARIA!D79+CARGA_DIARIA!E79+CARGA_DIARIA!F79+CARGA_DIARIA!G79+CARGA_DIARIA!H79+CARGA_DIARIA!I79+CARGA_DIARIA!AG79+CARGA_DIARIA!AH79+CARGA_DIARIA!AI79+CARGA_DIARIA!AJ79)/CARGA_DIARIA!B79+CARGA_DIARIA!AF79))</f>
        <v>25684942.71959091</v>
      </c>
      <c r="D79" s="36">
        <f>IF(CARGA_DIARIA!A79="","",IF(CARGA_DIARIA!B79=0,0,(CARGA_DIARIA!J79+CARGA_DIARIA!K79+CARGA_DIARIA!L79+CARGA_DIARIA!M79+CARGA_DIARIA!N79+CARGA_DIARIA!O79+CARGA_DIARIA!P79+CARGA_DIARIA!Q79+CARGA_DIARIA!R79+CARGA_DIARIA!S79+CARGA_DIARIA!T79+CARGA_DIARIA!U79+CARGA_DIARIA!V79+CARGA_DIARIA!W79)/CARGA_DIARIA!B79))</f>
        <v>435710.16654545453</v>
      </c>
      <c r="E79" s="36">
        <f>IF(CARGA_DIARIA!A79="","",IF(CARGA_DIARIA!B79=0,0,(CARGA_DIARIA!X79+CARGA_DIARIA!Y79+CARGA_DIARIA!Z79+CARGA_DIARIA!AA79)/CARGA_DIARIA!B79+CARGA_DIARIA!AB79+CARGA_DIARIA!AC79+CARGA_DIARIA!AD79+CARGA_DIARIA!AE79))</f>
        <v>17079362.681997243</v>
      </c>
      <c r="F79" s="39" t="s">
        <v>146</v>
      </c>
      <c r="G79" s="39" t="s">
        <v>146</v>
      </c>
      <c r="H79" s="38">
        <f>IF(CARGA_DIARIA!A79="","",C79-D79-E79)</f>
        <v>8169869.8710482121</v>
      </c>
    </row>
    <row r="80" spans="1:8" ht="15.75" customHeight="1" x14ac:dyDescent="0.25">
      <c r="A80" s="33">
        <f>IF(CARGA_DIARIA!A80="","",CARGA_DIARIA!A80)</f>
        <v>46147</v>
      </c>
      <c r="B80" s="34">
        <f>IF(CARGA_DIARIA!A80="","",CARGA_DIARIA!B80)</f>
        <v>1396.5</v>
      </c>
      <c r="C80" s="35">
        <f>IF(CARGA_DIARIA!A80="","",IF(CARGA_DIARIA!B80=0,0,(CARGA_DIARIA!C80+CARGA_DIARIA!D80+CARGA_DIARIA!E80+CARGA_DIARIA!F80+CARGA_DIARIA!G80+CARGA_DIARIA!H80+CARGA_DIARIA!I80+CARGA_DIARIA!AG80+CARGA_DIARIA!AH80+CARGA_DIARIA!AI80+CARGA_DIARIA!AJ80)/CARGA_DIARIA!B80+CARGA_DIARIA!AF80))</f>
        <v>26079648.672348909</v>
      </c>
      <c r="D80" s="36">
        <f>IF(CARGA_DIARIA!A80="","",IF(CARGA_DIARIA!B80=0,0,(CARGA_DIARIA!J80+CARGA_DIARIA!K80+CARGA_DIARIA!L80+CARGA_DIARIA!M80+CARGA_DIARIA!N80+CARGA_DIARIA!O80+CARGA_DIARIA!P80+CARGA_DIARIA!Q80+CARGA_DIARIA!R80+CARGA_DIARIA!S80+CARGA_DIARIA!T80+CARGA_DIARIA!U80+CARGA_DIARIA!V80+CARGA_DIARIA!W80)/CARGA_DIARIA!B80))</f>
        <v>409704.00716075907</v>
      </c>
      <c r="E80" s="36">
        <f>IF(CARGA_DIARIA!A80="","",IF(CARGA_DIARIA!B80=0,0,(CARGA_DIARIA!X80+CARGA_DIARIA!Y80+CARGA_DIARIA!Z80+CARGA_DIARIA!AA80)/CARGA_DIARIA!B80+CARGA_DIARIA!AB80+CARGA_DIARIA!AC80+CARGA_DIARIA!AD80+CARGA_DIARIA!AE80))</f>
        <v>18449996.027084116</v>
      </c>
      <c r="F80" s="39" t="s">
        <v>146</v>
      </c>
      <c r="G80" s="39" t="s">
        <v>146</v>
      </c>
      <c r="H80" s="38">
        <f>IF(CARGA_DIARIA!A80="","",C80-D80-E80)</f>
        <v>7219948.6381040327</v>
      </c>
    </row>
    <row r="81" spans="1:8" ht="15.75" customHeight="1" x14ac:dyDescent="0.25">
      <c r="A81" s="33">
        <f>IF(CARGA_DIARIA!A81="","",CARGA_DIARIA!A81)</f>
        <v>46148</v>
      </c>
      <c r="B81" s="34">
        <f>IF(CARGA_DIARIA!A81="","",CARGA_DIARIA!B81)</f>
        <v>1394</v>
      </c>
      <c r="C81" s="35">
        <f>IF(CARGA_DIARIA!A81="","",IF(CARGA_DIARIA!B81=0,0,(CARGA_DIARIA!C81+CARGA_DIARIA!D81+CARGA_DIARIA!E81+CARGA_DIARIA!F81+CARGA_DIARIA!G81+CARGA_DIARIA!H81+CARGA_DIARIA!I81+CARGA_DIARIA!AG81+CARGA_DIARIA!AH81+CARGA_DIARIA!AI81+CARGA_DIARIA!AJ81)/CARGA_DIARIA!B81+CARGA_DIARIA!AF81))</f>
        <v>26967199.645440459</v>
      </c>
      <c r="D81" s="36">
        <f>IF(CARGA_DIARIA!A81="","",IF(CARGA_DIARIA!B81=0,0,(CARGA_DIARIA!J81+CARGA_DIARIA!K81+CARGA_DIARIA!L81+CARGA_DIARIA!M81+CARGA_DIARIA!N81+CARGA_DIARIA!O81+CARGA_DIARIA!P81+CARGA_DIARIA!Q81+CARGA_DIARIA!R81+CARGA_DIARIA!S81+CARGA_DIARIA!T81+CARGA_DIARIA!U81+CARGA_DIARIA!V81+CARGA_DIARIA!W81)/CARGA_DIARIA!B81))</f>
        <v>405159.24533715926</v>
      </c>
      <c r="E81" s="36">
        <f>IF(CARGA_DIARIA!A81="","",IF(CARGA_DIARIA!B81=0,0,(CARGA_DIARIA!X81+CARGA_DIARIA!Y81+CARGA_DIARIA!Z81+CARGA_DIARIA!AA81)/CARGA_DIARIA!B81+CARGA_DIARIA!AB81+CARGA_DIARIA!AC81+CARGA_DIARIA!AD81+CARGA_DIARIA!AE81))</f>
        <v>18836188.257252906</v>
      </c>
      <c r="F81" s="39" t="s">
        <v>146</v>
      </c>
      <c r="G81" s="39" t="s">
        <v>146</v>
      </c>
      <c r="H81" s="38">
        <f>IF(CARGA_DIARIA!A81="","",C81-D81-E81)</f>
        <v>7725852.1428503953</v>
      </c>
    </row>
    <row r="82" spans="1:8" ht="15.75" customHeight="1" x14ac:dyDescent="0.25">
      <c r="A82" s="33">
        <f>IF(CARGA_DIARIA!A82="","",CARGA_DIARIA!A82)</f>
        <v>46149</v>
      </c>
      <c r="B82" s="34">
        <f>IF(CARGA_DIARIA!A82="","",CARGA_DIARIA!B82)</f>
        <v>1383</v>
      </c>
      <c r="C82" s="35">
        <f>IF(CARGA_DIARIA!A82="","",IF(CARGA_DIARIA!B82=0,0,(CARGA_DIARIA!C82+CARGA_DIARIA!D82+CARGA_DIARIA!E82+CARGA_DIARIA!F82+CARGA_DIARIA!G82+CARGA_DIARIA!H82+CARGA_DIARIA!I82+CARGA_DIARIA!AG82+CARGA_DIARIA!AH82+CARGA_DIARIA!AI82+CARGA_DIARIA!AJ82)/CARGA_DIARIA!B82+CARGA_DIARIA!AF82))</f>
        <v>27076391.27343601</v>
      </c>
      <c r="D82" s="36">
        <f>IF(CARGA_DIARIA!A82="","",IF(CARGA_DIARIA!B82=0,0,(CARGA_DIARIA!J82+CARGA_DIARIA!K82+CARGA_DIARIA!L82+CARGA_DIARIA!M82+CARGA_DIARIA!N82+CARGA_DIARIA!O82+CARGA_DIARIA!P82+CARGA_DIARIA!Q82+CARGA_DIARIA!R82+CARGA_DIARIA!S82+CARGA_DIARIA!T82+CARGA_DIARIA!U82+CARGA_DIARIA!V82+CARGA_DIARIA!W82)/CARGA_DIARIA!B82))</f>
        <v>0</v>
      </c>
      <c r="E82" s="36">
        <f>IF(CARGA_DIARIA!A82="","",IF(CARGA_DIARIA!B82=0,0,(CARGA_DIARIA!X82+CARGA_DIARIA!Y82+CARGA_DIARIA!Z82+CARGA_DIARIA!AA82)/CARGA_DIARIA!B82+CARGA_DIARIA!AB82+CARGA_DIARIA!AC82+CARGA_DIARIA!AD82+CARGA_DIARIA!AE82))</f>
        <v>18940526.665195901</v>
      </c>
      <c r="F82" s="39" t="s">
        <v>146</v>
      </c>
      <c r="G82" s="39" t="s">
        <v>146</v>
      </c>
      <c r="H82" s="38">
        <f>IF(CARGA_DIARIA!A82="","",C82-D82-E82)</f>
        <v>8135864.6082401089</v>
      </c>
    </row>
    <row r="83" spans="1:8" ht="15.75" customHeight="1" x14ac:dyDescent="0.25">
      <c r="A83" s="33">
        <f>IF(CARGA_DIARIA!A83="","",CARGA_DIARIA!A83)</f>
        <v>46150</v>
      </c>
      <c r="B83" s="34">
        <f>IF(CARGA_DIARIA!A83="","",CARGA_DIARIA!B83)</f>
        <v>1388</v>
      </c>
      <c r="C83" s="35">
        <f>IF(CARGA_DIARIA!A83="","",IF(CARGA_DIARIA!B83=0,0,(CARGA_DIARIA!C83+CARGA_DIARIA!D83+CARGA_DIARIA!E83+CARGA_DIARIA!F83+CARGA_DIARIA!G83+CARGA_DIARIA!H83+CARGA_DIARIA!I83+CARGA_DIARIA!AG83+CARGA_DIARIA!AH83+CARGA_DIARIA!AI83+CARGA_DIARIA!AJ83)/CARGA_DIARIA!B83+CARGA_DIARIA!AF83))</f>
        <v>26794729.557609513</v>
      </c>
      <c r="D83" s="36">
        <f>IF(CARGA_DIARIA!A83="","",IF(CARGA_DIARIA!B83=0,0,(CARGA_DIARIA!J83+CARGA_DIARIA!K83+CARGA_DIARIA!L83+CARGA_DIARIA!M83+CARGA_DIARIA!N83+CARGA_DIARIA!O83+CARGA_DIARIA!P83+CARGA_DIARIA!Q83+CARGA_DIARIA!R83+CARGA_DIARIA!S83+CARGA_DIARIA!T83+CARGA_DIARIA!U83+CARGA_DIARIA!V83+CARGA_DIARIA!W83)/CARGA_DIARIA!B83))</f>
        <v>363266.75144092221</v>
      </c>
      <c r="E83" s="36">
        <f>IF(CARGA_DIARIA!A83="","",IF(CARGA_DIARIA!B83=0,0,(CARGA_DIARIA!X83+CARGA_DIARIA!Y83+CARGA_DIARIA!Z83+CARGA_DIARIA!AA83)/CARGA_DIARIA!B83+CARGA_DIARIA!AB83+CARGA_DIARIA!AC83+CARGA_DIARIA!AD83+CARGA_DIARIA!AE83))</f>
        <v>18779436.481183261</v>
      </c>
      <c r="F83" s="39" t="s">
        <v>146</v>
      </c>
      <c r="G83" s="39" t="s">
        <v>146</v>
      </c>
      <c r="H83" s="38">
        <f>IF(CARGA_DIARIA!A83="","",C83-D83-E83)</f>
        <v>7652026.3249853291</v>
      </c>
    </row>
    <row r="84" spans="1:8" ht="15.75" customHeight="1" x14ac:dyDescent="0.25">
      <c r="A84" s="33">
        <f>IF(CARGA_DIARIA!A84="","",CARGA_DIARIA!A84)</f>
        <v>46153</v>
      </c>
      <c r="B84" s="34">
        <f>IF(CARGA_DIARIA!A84="","",CARGA_DIARIA!B84)</f>
        <v>1389</v>
      </c>
      <c r="C84" s="35">
        <f>IF(CARGA_DIARIA!A84="","",IF(CARGA_DIARIA!B84=0,0,(CARGA_DIARIA!C84+CARGA_DIARIA!D84+CARGA_DIARIA!E84+CARGA_DIARIA!F84+CARGA_DIARIA!G84+CARGA_DIARIA!H84+CARGA_DIARIA!I84+CARGA_DIARIA!AG84+CARGA_DIARIA!AH84+CARGA_DIARIA!AI84+CARGA_DIARIA!AJ84)/CARGA_DIARIA!B84+CARGA_DIARIA!AF84))</f>
        <v>27702746.895433769</v>
      </c>
      <c r="D84" s="36">
        <f>IF(CARGA_DIARIA!A84="","",IF(CARGA_DIARIA!B84=0,0,(CARGA_DIARIA!J84+CARGA_DIARIA!K84+CARGA_DIARIA!L84+CARGA_DIARIA!M84+CARGA_DIARIA!N84+CARGA_DIARIA!O84+CARGA_DIARIA!P84+CARGA_DIARIA!Q84+CARGA_DIARIA!R84+CARGA_DIARIA!S84+CARGA_DIARIA!T84+CARGA_DIARIA!U84+CARGA_DIARIA!V84+CARGA_DIARIA!W84)/CARGA_DIARIA!B84))</f>
        <v>1060619.6983441324</v>
      </c>
      <c r="E84" s="36">
        <f>IF(CARGA_DIARIA!A84="","",IF(CARGA_DIARIA!B84=0,0,(CARGA_DIARIA!X84+CARGA_DIARIA!Y84+CARGA_DIARIA!Z84+CARGA_DIARIA!AA84)/CARGA_DIARIA!B84+CARGA_DIARIA!AB84+CARGA_DIARIA!AC84+CARGA_DIARIA!AD84+CARGA_DIARIA!AE84))</f>
        <v>18647676.509697665</v>
      </c>
      <c r="F84" s="39" t="s">
        <v>146</v>
      </c>
      <c r="G84" s="39" t="s">
        <v>146</v>
      </c>
      <c r="H84" s="38">
        <f>IF(CARGA_DIARIA!A84="","",C84-D84-E84)</f>
        <v>7994450.6873919703</v>
      </c>
    </row>
    <row r="85" spans="1:8" ht="15.75" customHeight="1" x14ac:dyDescent="0.25">
      <c r="A85" s="33">
        <f>IF(CARGA_DIARIA!A85="","",CARGA_DIARIA!A85)</f>
        <v>46154</v>
      </c>
      <c r="B85" s="34">
        <f>IF(CARGA_DIARIA!A85="","",CARGA_DIARIA!B85)</f>
        <v>1391</v>
      </c>
      <c r="C85" s="35">
        <f>IF(CARGA_DIARIA!A85="","",IF(CARGA_DIARIA!B85=0,0,(CARGA_DIARIA!C85+CARGA_DIARIA!D85+CARGA_DIARIA!E85+CARGA_DIARIA!F85+CARGA_DIARIA!G85+CARGA_DIARIA!H85+CARGA_DIARIA!I85+CARGA_DIARIA!AG85+CARGA_DIARIA!AH85+CARGA_DIARIA!AI85+CARGA_DIARIA!AJ85)/CARGA_DIARIA!B85+CARGA_DIARIA!AF85))</f>
        <v>27782199.967722863</v>
      </c>
      <c r="D85" s="36">
        <f>IF(CARGA_DIARIA!A85="","",IF(CARGA_DIARIA!B85=0,0,(CARGA_DIARIA!J85+CARGA_DIARIA!K85+CARGA_DIARIA!L85+CARGA_DIARIA!M85+CARGA_DIARIA!N85+CARGA_DIARIA!O85+CARGA_DIARIA!P85+CARGA_DIARIA!Q85+CARGA_DIARIA!R85+CARGA_DIARIA!S85+CARGA_DIARIA!T85+CARGA_DIARIA!U85+CARGA_DIARIA!V85+CARGA_DIARIA!W85)/CARGA_DIARIA!B85))</f>
        <v>341744.75053918047</v>
      </c>
      <c r="E85" s="36">
        <f>IF(CARGA_DIARIA!A85="","",IF(CARGA_DIARIA!B85=0,0,(CARGA_DIARIA!X85+CARGA_DIARIA!Y85+CARGA_DIARIA!Z85+CARGA_DIARIA!AA85)/CARGA_DIARIA!B85+CARGA_DIARIA!AB85+CARGA_DIARIA!AC85+CARGA_DIARIA!AD85+CARGA_DIARIA!AE85))</f>
        <v>18436056.315344095</v>
      </c>
      <c r="F85" s="39" t="s">
        <v>146</v>
      </c>
      <c r="G85" s="39" t="s">
        <v>146</v>
      </c>
      <c r="H85" s="38">
        <f>IF(CARGA_DIARIA!A85="","",C85-D85-E85)</f>
        <v>9004398.9018395878</v>
      </c>
    </row>
    <row r="86" spans="1:8" ht="15.75" customHeight="1" x14ac:dyDescent="0.25">
      <c r="A86" s="33">
        <f>IF(CARGA_DIARIA!A86="","",CARGA_DIARIA!A86)</f>
        <v>46155</v>
      </c>
      <c r="B86" s="34">
        <f>IF(CARGA_DIARIA!A86="","",CARGA_DIARIA!B86)</f>
        <v>1382.5</v>
      </c>
      <c r="C86" s="35">
        <f>IF(CARGA_DIARIA!A86="","",IF(CARGA_DIARIA!B86=0,0,(CARGA_DIARIA!C86+CARGA_DIARIA!D86+CARGA_DIARIA!E86+CARGA_DIARIA!F86+CARGA_DIARIA!G86+CARGA_DIARIA!H86+CARGA_DIARIA!I86+CARGA_DIARIA!AG86+CARGA_DIARIA!AH86+CARGA_DIARIA!AI86+CARGA_DIARIA!AJ86)/CARGA_DIARIA!B86+CARGA_DIARIA!AF86))</f>
        <v>27412697.938414104</v>
      </c>
      <c r="D86" s="36">
        <f>IF(CARGA_DIARIA!A86="","",IF(CARGA_DIARIA!B86=0,0,(CARGA_DIARIA!J86+CARGA_DIARIA!K86+CARGA_DIARIA!L86+CARGA_DIARIA!M86+CARGA_DIARIA!N86+CARGA_DIARIA!O86+CARGA_DIARIA!P86+CARGA_DIARIA!Q86+CARGA_DIARIA!R86+CARGA_DIARIA!S86+CARGA_DIARIA!T86+CARGA_DIARIA!U86+CARGA_DIARIA!V86+CARGA_DIARIA!W86)/CARGA_DIARIA!B86))</f>
        <v>451155.45967450272</v>
      </c>
      <c r="E86" s="36">
        <f>IF(CARGA_DIARIA!A86="","",IF(CARGA_DIARIA!B86=0,0,(CARGA_DIARIA!X86+CARGA_DIARIA!Y86+CARGA_DIARIA!Z86+CARGA_DIARIA!AA86)/CARGA_DIARIA!B86+CARGA_DIARIA!AB86+CARGA_DIARIA!AC86+CARGA_DIARIA!AD86+CARGA_DIARIA!AE86))</f>
        <v>18182862.52320186</v>
      </c>
      <c r="F86" s="39" t="s">
        <v>146</v>
      </c>
      <c r="G86" s="39" t="s">
        <v>146</v>
      </c>
      <c r="H86" s="38">
        <f>IF(CARGA_DIARIA!A86="","",C86-D86-E86)</f>
        <v>8778679.9555377401</v>
      </c>
    </row>
    <row r="87" spans="1:8" ht="15.75" customHeight="1" x14ac:dyDescent="0.25">
      <c r="A87" s="33">
        <f>IF(CARGA_DIARIA!A87="","",CARGA_DIARIA!A87)</f>
        <v>46156</v>
      </c>
      <c r="B87" s="34">
        <f>IF(CARGA_DIARIA!A87="","",CARGA_DIARIA!B87)</f>
        <v>1386</v>
      </c>
      <c r="C87" s="35">
        <f>IF(CARGA_DIARIA!A87="","",IF(CARGA_DIARIA!B87=0,0,(CARGA_DIARIA!C87+CARGA_DIARIA!D87+CARGA_DIARIA!E87+CARGA_DIARIA!F87+CARGA_DIARIA!G87+CARGA_DIARIA!H87+CARGA_DIARIA!I87+CARGA_DIARIA!AG87+CARGA_DIARIA!AH87+CARGA_DIARIA!AI87+CARGA_DIARIA!AJ87)/CARGA_DIARIA!B87+CARGA_DIARIA!AF87))</f>
        <v>22688464.186443001</v>
      </c>
      <c r="D87" s="36">
        <f>IF(CARGA_DIARIA!A87="","",IF(CARGA_DIARIA!B87=0,0,(CARGA_DIARIA!J87+CARGA_DIARIA!K87+CARGA_DIARIA!L87+CARGA_DIARIA!M87+CARGA_DIARIA!N87+CARGA_DIARIA!O87+CARGA_DIARIA!P87+CARGA_DIARIA!Q87+CARGA_DIARIA!R87+CARGA_DIARIA!S87+CARGA_DIARIA!T87+CARGA_DIARIA!U87+CARGA_DIARIA!V87+CARGA_DIARIA!W87)/CARGA_DIARIA!B87))</f>
        <v>367772.40764790768</v>
      </c>
      <c r="E87" s="36">
        <f>IF(CARGA_DIARIA!A87="","",IF(CARGA_DIARIA!B87=0,0,(CARGA_DIARIA!X87+CARGA_DIARIA!Y87+CARGA_DIARIA!Z87+CARGA_DIARIA!AA87)/CARGA_DIARIA!B87+CARGA_DIARIA!AB87+CARGA_DIARIA!AC87+CARGA_DIARIA!AD87+CARGA_DIARIA!AE87))</f>
        <v>17976579.303266972</v>
      </c>
      <c r="F87" s="39" t="s">
        <v>146</v>
      </c>
      <c r="G87" s="39" t="s">
        <v>146</v>
      </c>
      <c r="H87" s="38">
        <f>IF(CARGA_DIARIA!A87="","",C87-D87-E87)</f>
        <v>4344112.475528121</v>
      </c>
    </row>
    <row r="88" spans="1:8" ht="15.75" customHeight="1" x14ac:dyDescent="0.25">
      <c r="A88" s="33">
        <f>IF(CARGA_DIARIA!A88="","",CARGA_DIARIA!A88)</f>
        <v>46157</v>
      </c>
      <c r="B88" s="34">
        <f>IF(CARGA_DIARIA!A88="","",CARGA_DIARIA!B88)</f>
        <v>1392</v>
      </c>
      <c r="C88" s="35">
        <f>IF(CARGA_DIARIA!A88="","",IF(CARGA_DIARIA!B88=0,0,(CARGA_DIARIA!C88+CARGA_DIARIA!D88+CARGA_DIARIA!E88+CARGA_DIARIA!F88+CARGA_DIARIA!G88+CARGA_DIARIA!H88+CARGA_DIARIA!I88+CARGA_DIARIA!AG88+CARGA_DIARIA!AH88+CARGA_DIARIA!AI88+CARGA_DIARIA!AJ88)/CARGA_DIARIA!B88+CARGA_DIARIA!AF88))</f>
        <v>20949971.798362069</v>
      </c>
      <c r="D88" s="36">
        <f>IF(CARGA_DIARIA!A88="","",IF(CARGA_DIARIA!B88=0,0,(CARGA_DIARIA!J88+CARGA_DIARIA!K88+CARGA_DIARIA!L88+CARGA_DIARIA!M88+CARGA_DIARIA!N88+CARGA_DIARIA!O88+CARGA_DIARIA!P88+CARGA_DIARIA!Q88+CARGA_DIARIA!R88+CARGA_DIARIA!S88+CARGA_DIARIA!T88+CARGA_DIARIA!U88+CARGA_DIARIA!V88+CARGA_DIARIA!W88)/CARGA_DIARIA!B88))</f>
        <v>496390.3426724138</v>
      </c>
      <c r="E88" s="36">
        <f>IF(CARGA_DIARIA!A88="","",IF(CARGA_DIARIA!B88=0,0,(CARGA_DIARIA!X88+CARGA_DIARIA!Y88+CARGA_DIARIA!Z88+CARGA_DIARIA!AA88)/CARGA_DIARIA!B88+CARGA_DIARIA!AB88+CARGA_DIARIA!AC88+CARGA_DIARIA!AD88+CARGA_DIARIA!AE88))</f>
        <v>17641288.411574375</v>
      </c>
      <c r="F88" s="39" t="s">
        <v>146</v>
      </c>
      <c r="G88" s="39" t="s">
        <v>146</v>
      </c>
      <c r="H88" s="38">
        <f>IF(CARGA_DIARIA!A88="","",C88-D88-E88)</f>
        <v>2812293.0441152789</v>
      </c>
    </row>
    <row r="89" spans="1:8" ht="15.75" customHeight="1" x14ac:dyDescent="0.25">
      <c r="A89" s="33">
        <f>IF(CARGA_DIARIA!A89="","",CARGA_DIARIA!A89)</f>
        <v>46160</v>
      </c>
      <c r="B89" s="34">
        <f>IF(CARGA_DIARIA!A89="","",CARGA_DIARIA!B89)</f>
        <v>1392.5</v>
      </c>
      <c r="C89" s="35">
        <f>IF(CARGA_DIARIA!A89="","",IF(CARGA_DIARIA!B89=0,0,(CARGA_DIARIA!C89+CARGA_DIARIA!D89+CARGA_DIARIA!E89+CARGA_DIARIA!F89+CARGA_DIARIA!G89+CARGA_DIARIA!H89+CARGA_DIARIA!I89+CARGA_DIARIA!AG89+CARGA_DIARIA!AH89+CARGA_DIARIA!AI89+CARGA_DIARIA!AJ89)/CARGA_DIARIA!B89+CARGA_DIARIA!AF89))</f>
        <v>25997884.282719925</v>
      </c>
      <c r="D89" s="36">
        <f>IF(CARGA_DIARIA!A89="","",IF(CARGA_DIARIA!B89=0,0,(CARGA_DIARIA!J89+CARGA_DIARIA!K89+CARGA_DIARIA!L89+CARGA_DIARIA!M89+CARGA_DIARIA!N89+CARGA_DIARIA!O89+CARGA_DIARIA!P89+CARGA_DIARIA!Q89+CARGA_DIARIA!R89+CARGA_DIARIA!S89+CARGA_DIARIA!T89+CARGA_DIARIA!U89+CARGA_DIARIA!V89+CARGA_DIARIA!W89)/CARGA_DIARIA!B89))</f>
        <v>351642.9371633752</v>
      </c>
      <c r="E89" s="36">
        <f>IF(CARGA_DIARIA!A89="","",IF(CARGA_DIARIA!B89=0,0,(CARGA_DIARIA!X89+CARGA_DIARIA!Y89+CARGA_DIARIA!Z89+CARGA_DIARIA!AA89)/CARGA_DIARIA!B89+CARGA_DIARIA!AB89+CARGA_DIARIA!AC89+CARGA_DIARIA!AD89+CARGA_DIARIA!AE89))</f>
        <v>17457476.115789298</v>
      </c>
      <c r="F89" s="39" t="s">
        <v>146</v>
      </c>
      <c r="G89" s="39" t="s">
        <v>146</v>
      </c>
      <c r="H89" s="38">
        <f>IF(CARGA_DIARIA!A89="","",C89-D89-E89)</f>
        <v>8188765.2297672518</v>
      </c>
    </row>
    <row r="90" spans="1:8" ht="15.75" customHeight="1" x14ac:dyDescent="0.25">
      <c r="A90" s="33">
        <f>IF(CARGA_DIARIA!A90="","",CARGA_DIARIA!A90)</f>
        <v>46161</v>
      </c>
      <c r="B90" s="34">
        <f>IF(CARGA_DIARIA!A90="","",CARGA_DIARIA!B90)</f>
        <v>1390</v>
      </c>
      <c r="C90" s="35">
        <f>IF(CARGA_DIARIA!A90="","",IF(CARGA_DIARIA!B90=0,0,(CARGA_DIARIA!C90+CARGA_DIARIA!D90+CARGA_DIARIA!E90+CARGA_DIARIA!F90+CARGA_DIARIA!G90+CARGA_DIARIA!H90+CARGA_DIARIA!I90+CARGA_DIARIA!AG90+CARGA_DIARIA!AH90+CARGA_DIARIA!AI90+CARGA_DIARIA!AJ90)/CARGA_DIARIA!B90+CARGA_DIARIA!AF90))</f>
        <v>24123068.209079139</v>
      </c>
      <c r="D90" s="36">
        <f>IF(CARGA_DIARIA!A90="","",IF(CARGA_DIARIA!B90=0,0,(CARGA_DIARIA!J90+CARGA_DIARIA!K90+CARGA_DIARIA!L90+CARGA_DIARIA!M90+CARGA_DIARIA!N90+CARGA_DIARIA!O90+CARGA_DIARIA!P90+CARGA_DIARIA!Q90+CARGA_DIARIA!R90+CARGA_DIARIA!S90+CARGA_DIARIA!T90+CARGA_DIARIA!U90+CARGA_DIARIA!V90+CARGA_DIARIA!W90)/CARGA_DIARIA!B90))</f>
        <v>331543.24964028777</v>
      </c>
      <c r="E90" s="36">
        <f>IF(CARGA_DIARIA!A90="","",IF(CARGA_DIARIA!B90=0,0,(CARGA_DIARIA!X90+CARGA_DIARIA!Y90+CARGA_DIARIA!Z90+CARGA_DIARIA!AA90)/CARGA_DIARIA!B90+CARGA_DIARIA!AB90+CARGA_DIARIA!AC90+CARGA_DIARIA!AD90+CARGA_DIARIA!AE90))</f>
        <v>18427362.798019603</v>
      </c>
      <c r="F90" s="39" t="s">
        <v>146</v>
      </c>
      <c r="G90" s="39" t="s">
        <v>146</v>
      </c>
      <c r="H90" s="38">
        <f>IF(CARGA_DIARIA!A90="","",C90-D90-E90)</f>
        <v>5364162.1614192501</v>
      </c>
    </row>
    <row r="91" spans="1:8" ht="15.75" customHeight="1" x14ac:dyDescent="0.25">
      <c r="A91" s="33">
        <f>IF(CARGA_DIARIA!A91="","",CARGA_DIARIA!A91)</f>
        <v>46162</v>
      </c>
      <c r="B91" s="34">
        <f>IF(CARGA_DIARIA!A91="","",CARGA_DIARIA!B91)</f>
        <v>1395.5</v>
      </c>
      <c r="C91" s="35">
        <f>IF(CARGA_DIARIA!A91="","",IF(CARGA_DIARIA!B91=0,0,(CARGA_DIARIA!C91+CARGA_DIARIA!D91+CARGA_DIARIA!E91+CARGA_DIARIA!F91+CARGA_DIARIA!G91+CARGA_DIARIA!H91+CARGA_DIARIA!I91+CARGA_DIARIA!AG91+CARGA_DIARIA!AH91+CARGA_DIARIA!AI91+CARGA_DIARIA!AJ91)/CARGA_DIARIA!B91+CARGA_DIARIA!AF91))</f>
        <v>21144764.27164099</v>
      </c>
      <c r="D91" s="36">
        <f>IF(CARGA_DIARIA!A91="","",IF(CARGA_DIARIA!B91=0,0,(CARGA_DIARIA!J91+CARGA_DIARIA!K91+CARGA_DIARIA!L91+CARGA_DIARIA!M91+CARGA_DIARIA!N91+CARGA_DIARIA!O91+CARGA_DIARIA!P91+CARGA_DIARIA!Q91+CARGA_DIARIA!R91+CARGA_DIARIA!S91+CARGA_DIARIA!T91+CARGA_DIARIA!U91+CARGA_DIARIA!V91+CARGA_DIARIA!W91)/CARGA_DIARIA!B91))</f>
        <v>396224.47008240776</v>
      </c>
      <c r="E91" s="36">
        <f>IF(CARGA_DIARIA!A91="","",IF(CARGA_DIARIA!B91=0,0,(CARGA_DIARIA!X91+CARGA_DIARIA!Y91+CARGA_DIARIA!Z91+CARGA_DIARIA!AA91)/CARGA_DIARIA!B91+CARGA_DIARIA!AB91+CARGA_DIARIA!AC91+CARGA_DIARIA!AD91+CARGA_DIARIA!AE91))</f>
        <v>18215931.023592848</v>
      </c>
      <c r="F91" s="39" t="s">
        <v>146</v>
      </c>
      <c r="G91" s="39" t="s">
        <v>146</v>
      </c>
      <c r="H91" s="38">
        <f>IF(CARGA_DIARIA!A91="","",C91-D91-E91)</f>
        <v>2532608.7779657356</v>
      </c>
    </row>
    <row r="92" spans="1:8" ht="15.75" customHeight="1" x14ac:dyDescent="0.25">
      <c r="A92" s="33">
        <f>IF(CARGA_DIARIA!A92="","",CARGA_DIARIA!A92)</f>
        <v>46163</v>
      </c>
      <c r="B92" s="34">
        <f>IF(CARGA_DIARIA!A92="","",CARGA_DIARIA!B92)</f>
        <v>1395.5</v>
      </c>
      <c r="C92" s="35">
        <f>IF(CARGA_DIARIA!A92="","",IF(CARGA_DIARIA!B92=0,0,(CARGA_DIARIA!C92+CARGA_DIARIA!D92+CARGA_DIARIA!E92+CARGA_DIARIA!F92+CARGA_DIARIA!G92+CARGA_DIARIA!H92+CARGA_DIARIA!I92+CARGA_DIARIA!AG92+CARGA_DIARIA!AH92+CARGA_DIARIA!AI92+CARGA_DIARIA!AJ92)/CARGA_DIARIA!B92+CARGA_DIARIA!AF92))</f>
        <v>19931044.161565747</v>
      </c>
      <c r="D92" s="36">
        <f>IF(CARGA_DIARIA!A92="","",IF(CARGA_DIARIA!B92=0,0,(CARGA_DIARIA!J92+CARGA_DIARIA!K92+CARGA_DIARIA!L92+CARGA_DIARIA!M92+CARGA_DIARIA!N92+CARGA_DIARIA!O92+CARGA_DIARIA!P92+CARGA_DIARIA!Q92+CARGA_DIARIA!R92+CARGA_DIARIA!S92+CARGA_DIARIA!T92+CARGA_DIARIA!U92+CARGA_DIARIA!V92+CARGA_DIARIA!W92)/CARGA_DIARIA!B92))</f>
        <v>396819.91114295949</v>
      </c>
      <c r="E92" s="36">
        <f>IF(CARGA_DIARIA!A92="","",IF(CARGA_DIARIA!B92=0,0,(CARGA_DIARIA!X92+CARGA_DIARIA!Y92+CARGA_DIARIA!Z92+CARGA_DIARIA!AA92)/CARGA_DIARIA!B92+CARGA_DIARIA!AB92+CARGA_DIARIA!AC92+CARGA_DIARIA!AD92+CARGA_DIARIA!AE92))</f>
        <v>18219753.886366047</v>
      </c>
      <c r="F92" s="39" t="s">
        <v>146</v>
      </c>
      <c r="G92" s="39" t="s">
        <v>146</v>
      </c>
      <c r="H92" s="38">
        <f>IF(CARGA_DIARIA!A92="","",C92-D92-E92)</f>
        <v>1314470.36405674</v>
      </c>
    </row>
    <row r="93" spans="1:8" ht="15.75" customHeight="1" x14ac:dyDescent="0.25">
      <c r="A93" s="33">
        <f>IF(CARGA_DIARIA!A93="","",CARGA_DIARIA!A93)</f>
        <v>46164</v>
      </c>
      <c r="B93" s="34">
        <f>IF(CARGA_DIARIA!A93="","",CARGA_DIARIA!B93)</f>
        <v>1390</v>
      </c>
      <c r="C93" s="35">
        <f>IF(CARGA_DIARIA!A93="","",IF(CARGA_DIARIA!B93=0,0,(CARGA_DIARIA!C93+CARGA_DIARIA!D93+CARGA_DIARIA!E93+CARGA_DIARIA!F93+CARGA_DIARIA!G93+CARGA_DIARIA!H93+CARGA_DIARIA!I93+CARGA_DIARIA!AG93+CARGA_DIARIA!AH93+CARGA_DIARIA!AI93+CARGA_DIARIA!AJ93)/CARGA_DIARIA!B93+CARGA_DIARIA!AF93))</f>
        <v>19280389.004453234</v>
      </c>
      <c r="D93" s="36">
        <f>IF(CARGA_DIARIA!A93="","",IF(CARGA_DIARIA!B93=0,0,(CARGA_DIARIA!J93+CARGA_DIARIA!K93+CARGA_DIARIA!L93+CARGA_DIARIA!M93+CARGA_DIARIA!N93+CARGA_DIARIA!O93+CARGA_DIARIA!P93+CARGA_DIARIA!Q93+CARGA_DIARIA!R93+CARGA_DIARIA!S93+CARGA_DIARIA!T93+CARGA_DIARIA!U93+CARGA_DIARIA!V93+CARGA_DIARIA!W93)/CARGA_DIARIA!B93))</f>
        <v>463464.22302158276</v>
      </c>
      <c r="E93" s="36">
        <f>IF(CARGA_DIARIA!A93="","",IF(CARGA_DIARIA!B93=0,0,(CARGA_DIARIA!X93+CARGA_DIARIA!Y93+CARGA_DIARIA!Z93+CARGA_DIARIA!AA93)/CARGA_DIARIA!B93+CARGA_DIARIA!AB93+CARGA_DIARIA!AC93+CARGA_DIARIA!AD93+CARGA_DIARIA!AE93))</f>
        <v>18180946.510595143</v>
      </c>
      <c r="F93" s="39" t="s">
        <v>146</v>
      </c>
      <c r="G93" s="39" t="s">
        <v>146</v>
      </c>
      <c r="H93" s="38">
        <f>IF(CARGA_DIARIA!A93="","",C93-D93-E93)</f>
        <v>635978.27083650976</v>
      </c>
    </row>
    <row r="94" spans="1:8" ht="15.75" customHeight="1" x14ac:dyDescent="0.25">
      <c r="A94" s="33">
        <f>IF(CARGA_DIARIA!A94="","",CARGA_DIARIA!A94)</f>
        <v>46168</v>
      </c>
      <c r="B94" s="34">
        <f>IF(CARGA_DIARIA!A94="","",CARGA_DIARIA!B94)</f>
        <v>1392</v>
      </c>
      <c r="C94" s="35">
        <f>IF(CARGA_DIARIA!A94="","",IF(CARGA_DIARIA!B94=0,0,(CARGA_DIARIA!C94+CARGA_DIARIA!D94+CARGA_DIARIA!E94+CARGA_DIARIA!F94+CARGA_DIARIA!G94+CARGA_DIARIA!H94+CARGA_DIARIA!I94+CARGA_DIARIA!AG94+CARGA_DIARIA!AH94+CARGA_DIARIA!AI94+CARGA_DIARIA!AJ94)/CARGA_DIARIA!B94+CARGA_DIARIA!AF94))</f>
        <v>20140945.594640806</v>
      </c>
      <c r="D94" s="36">
        <f>IF(CARGA_DIARIA!A94="","",IF(CARGA_DIARIA!B94=0,0,(CARGA_DIARIA!J94+CARGA_DIARIA!K94+CARGA_DIARIA!L94+CARGA_DIARIA!M94+CARGA_DIARIA!N94+CARGA_DIARIA!O94+CARGA_DIARIA!P94+CARGA_DIARIA!Q94+CARGA_DIARIA!R94+CARGA_DIARIA!S94+CARGA_DIARIA!T94+CARGA_DIARIA!U94+CARGA_DIARIA!V94+CARGA_DIARIA!W94)/CARGA_DIARIA!B94))</f>
        <v>342613.94252873561</v>
      </c>
      <c r="E94" s="36">
        <f>IF(CARGA_DIARIA!A94="","",IF(CARGA_DIARIA!B94=0,0,(CARGA_DIARIA!X94+CARGA_DIARIA!Y94+CARGA_DIARIA!Z94+CARGA_DIARIA!AA94)/CARGA_DIARIA!B94+CARGA_DIARIA!AB94+CARGA_DIARIA!AC94+CARGA_DIARIA!AD94+CARGA_DIARIA!AE94))</f>
        <v>17782402.206924375</v>
      </c>
      <c r="F94" s="39" t="s">
        <v>146</v>
      </c>
      <c r="G94" s="39" t="s">
        <v>146</v>
      </c>
      <c r="H94" s="38">
        <f>IF(CARGA_DIARIA!A94="","",C94-D94-E94)</f>
        <v>2015929.4451876953</v>
      </c>
    </row>
    <row r="95" spans="1:8" ht="15.75" customHeight="1" x14ac:dyDescent="0.25">
      <c r="A95" s="33">
        <f>IF(CARGA_DIARIA!A95="","",CARGA_DIARIA!A95)</f>
        <v>46169</v>
      </c>
      <c r="B95" s="34">
        <f>IF(CARGA_DIARIA!A95="","",CARGA_DIARIA!B95)</f>
        <v>1406</v>
      </c>
      <c r="C95" s="35">
        <f>IF(CARGA_DIARIA!A95="","",IF(CARGA_DIARIA!B95=0,0,(CARGA_DIARIA!C95+CARGA_DIARIA!D95+CARGA_DIARIA!E95+CARGA_DIARIA!F95+CARGA_DIARIA!G95+CARGA_DIARIA!H95+CARGA_DIARIA!I95+CARGA_DIARIA!AG95+CARGA_DIARIA!AH95+CARGA_DIARIA!AI95+CARGA_DIARIA!AJ95)/CARGA_DIARIA!B95+CARGA_DIARIA!AF95))</f>
        <v>21423004.571244664</v>
      </c>
      <c r="D95" s="36">
        <f>IF(CARGA_DIARIA!A95="","",IF(CARGA_DIARIA!B95=0,0,(CARGA_DIARIA!J95+CARGA_DIARIA!K95+CARGA_DIARIA!L95+CARGA_DIARIA!M95+CARGA_DIARIA!N95+CARGA_DIARIA!O95+CARGA_DIARIA!P95+CARGA_DIARIA!Q95+CARGA_DIARIA!R95+CARGA_DIARIA!S95+CARGA_DIARIA!T95+CARGA_DIARIA!U95+CARGA_DIARIA!V95+CARGA_DIARIA!W95)/CARGA_DIARIA!B95))</f>
        <v>390174.90825035563</v>
      </c>
      <c r="E95" s="36">
        <f>IF(CARGA_DIARIA!A95="","",IF(CARGA_DIARIA!B95=0,0,(CARGA_DIARIA!X95+CARGA_DIARIA!Y95+CARGA_DIARIA!Z95+CARGA_DIARIA!AA95)/CARGA_DIARIA!B95+CARGA_DIARIA!AB95+CARGA_DIARIA!AC95+CARGA_DIARIA!AD95+CARGA_DIARIA!AE95))</f>
        <v>17342187.143370617</v>
      </c>
      <c r="F95" s="39" t="s">
        <v>146</v>
      </c>
      <c r="G95" s="39" t="s">
        <v>146</v>
      </c>
      <c r="H95" s="38">
        <f>IF(CARGA_DIARIA!A95="","",C95-D95-E95)</f>
        <v>3690642.5196236931</v>
      </c>
    </row>
    <row r="96" spans="1:8" ht="15.75" customHeight="1" x14ac:dyDescent="0.25">
      <c r="A96" s="33">
        <f>IF(CARGA_DIARIA!A96="","",CARGA_DIARIA!A96)</f>
        <v>46170</v>
      </c>
      <c r="B96" s="34">
        <f>IF(CARGA_DIARIA!A96="","",CARGA_DIARIA!B96)</f>
        <v>1408</v>
      </c>
      <c r="C96" s="35">
        <f>IF(CARGA_DIARIA!A96="","",IF(CARGA_DIARIA!B96=0,0,(CARGA_DIARIA!C96+CARGA_DIARIA!D96+CARGA_DIARIA!E96+CARGA_DIARIA!F96+CARGA_DIARIA!G96+CARGA_DIARIA!H96+CARGA_DIARIA!I96+CARGA_DIARIA!AG96+CARGA_DIARIA!AH96+CARGA_DIARIA!AI96+CARGA_DIARIA!AJ96)/CARGA_DIARIA!B96+CARGA_DIARIA!AF96))</f>
        <v>21400432.483757101</v>
      </c>
      <c r="D96" s="36">
        <f>IF(CARGA_DIARIA!A96="","",IF(CARGA_DIARIA!B96=0,0,(CARGA_DIARIA!J96+CARGA_DIARIA!K96+CARGA_DIARIA!L96+CARGA_DIARIA!M96+CARGA_DIARIA!N96+CARGA_DIARIA!O96+CARGA_DIARIA!P96+CARGA_DIARIA!Q96+CARGA_DIARIA!R96+CARGA_DIARIA!S96+CARGA_DIARIA!T96+CARGA_DIARIA!U96+CARGA_DIARIA!V96+CARGA_DIARIA!W96)/CARGA_DIARIA!B96))</f>
        <v>463333.28267045453</v>
      </c>
      <c r="E96" s="36">
        <f>IF(CARGA_DIARIA!A96="","",IF(CARGA_DIARIA!B96=0,0,(CARGA_DIARIA!X96+CARGA_DIARIA!Y96+CARGA_DIARIA!Z96+CARGA_DIARIA!AA96)/CARGA_DIARIA!B96+CARGA_DIARIA!AB96+CARGA_DIARIA!AC96+CARGA_DIARIA!AD96+CARGA_DIARIA!AE96))</f>
        <v>16775993.254524551</v>
      </c>
      <c r="F96" s="39" t="s">
        <v>146</v>
      </c>
      <c r="G96" s="39" t="s">
        <v>146</v>
      </c>
      <c r="H96" s="38">
        <f>IF(CARGA_DIARIA!A96="","",C96-D96-E96)</f>
        <v>4161105.9465620965</v>
      </c>
    </row>
    <row r="97" spans="1:8" ht="15.75" customHeight="1" x14ac:dyDescent="0.25">
      <c r="A97" s="33">
        <f>IF(CARGA_DIARIA!A97="","",CARGA_DIARIA!A97)</f>
        <v>46171</v>
      </c>
      <c r="B97" s="34">
        <f>IF(CARGA_DIARIA!A97="","",CARGA_DIARIA!B97)</f>
        <v>1406.5</v>
      </c>
      <c r="C97" s="35">
        <f>IF(CARGA_DIARIA!A97="","",IF(CARGA_DIARIA!B97=0,0,(CARGA_DIARIA!C97+CARGA_DIARIA!D97+CARGA_DIARIA!E97+CARGA_DIARIA!F97+CARGA_DIARIA!G97+CARGA_DIARIA!H97+CARGA_DIARIA!I97+CARGA_DIARIA!AG97+CARGA_DIARIA!AH97+CARGA_DIARIA!AI97+CARGA_DIARIA!AJ97)/CARGA_DIARIA!B97+CARGA_DIARIA!AF97))</f>
        <v>14753534.532662639</v>
      </c>
      <c r="D97" s="36">
        <f>IF(CARGA_DIARIA!A97="","",IF(CARGA_DIARIA!B97=0,0,(CARGA_DIARIA!J97+CARGA_DIARIA!K97+CARGA_DIARIA!L97+CARGA_DIARIA!M97+CARGA_DIARIA!N97+CARGA_DIARIA!O97+CARGA_DIARIA!P97+CARGA_DIARIA!Q97+CARGA_DIARIA!R97+CARGA_DIARIA!S97+CARGA_DIARIA!T97+CARGA_DIARIA!U97+CARGA_DIARIA!V97+CARGA_DIARIA!W97)/CARGA_DIARIA!B97))</f>
        <v>367654.23178101669</v>
      </c>
      <c r="E97" s="36">
        <f>IF(CARGA_DIARIA!A97="","",IF(CARGA_DIARIA!B97=0,0,(CARGA_DIARIA!X97+CARGA_DIARIA!Y97+CARGA_DIARIA!Z97+CARGA_DIARIA!AA97)/CARGA_DIARIA!B97+CARGA_DIARIA!AB97+CARGA_DIARIA!AC97+CARGA_DIARIA!AD97+CARGA_DIARIA!AE97))</f>
        <v>16601440.954693891</v>
      </c>
      <c r="F97" s="39" t="s">
        <v>146</v>
      </c>
      <c r="G97" s="39" t="s">
        <v>146</v>
      </c>
      <c r="H97" s="38">
        <f>IF(CARGA_DIARIA!A97="","",C97-D97-E97)</f>
        <v>-2215560.6538122687</v>
      </c>
    </row>
    <row r="98" spans="1:8" ht="15.75" customHeight="1" x14ac:dyDescent="0.25">
      <c r="A98" s="33">
        <f>IF(CARGA_DIARIA!A98="","",CARGA_DIARIA!A98)</f>
        <v>46174</v>
      </c>
      <c r="B98" s="34">
        <f>IF(CARGA_DIARIA!A98="","",CARGA_DIARIA!B98)</f>
        <v>1406</v>
      </c>
      <c r="C98" s="35">
        <f>IF(CARGA_DIARIA!A98="","",IF(CARGA_DIARIA!B98=0,0,(CARGA_DIARIA!C98+CARGA_DIARIA!D98+CARGA_DIARIA!E98+CARGA_DIARIA!F98+CARGA_DIARIA!G98+CARGA_DIARIA!H98+CARGA_DIARIA!I98+CARGA_DIARIA!AG98+CARGA_DIARIA!AH98+CARGA_DIARIA!AI98+CARGA_DIARIA!AJ98)/CARGA_DIARIA!B98+CARGA_DIARIA!AF98))</f>
        <v>23122992.151472263</v>
      </c>
      <c r="D98" s="36">
        <f>IF(CARGA_DIARIA!A98="","",IF(CARGA_DIARIA!B98=0,0,(CARGA_DIARIA!J98+CARGA_DIARIA!K98+CARGA_DIARIA!L98+CARGA_DIARIA!M98+CARGA_DIARIA!N98+CARGA_DIARIA!O98+CARGA_DIARIA!P98+CARGA_DIARIA!Q98+CARGA_DIARIA!R98+CARGA_DIARIA!S98+CARGA_DIARIA!T98+CARGA_DIARIA!U98+CARGA_DIARIA!V98+CARGA_DIARIA!W98)/CARGA_DIARIA!B98))</f>
        <v>318241.37482219061</v>
      </c>
      <c r="E98" s="36">
        <f>IF(CARGA_DIARIA!A98="","",IF(CARGA_DIARIA!B98=0,0,(CARGA_DIARIA!X98+CARGA_DIARIA!Y98+CARGA_DIARIA!Z98+CARGA_DIARIA!AA98)/CARGA_DIARIA!B98+CARGA_DIARIA!AB98+CARGA_DIARIA!AC98+CARGA_DIARIA!AD98+CARGA_DIARIA!AE98))</f>
        <v>18442560.57498616</v>
      </c>
      <c r="F98" s="39" t="s">
        <v>146</v>
      </c>
      <c r="G98" s="39" t="s">
        <v>146</v>
      </c>
      <c r="H98" s="38">
        <f>IF(CARGA_DIARIA!A98="","",C98-D98-E98)</f>
        <v>4362190.2016639113</v>
      </c>
    </row>
    <row r="99" spans="1:8" ht="15.75" customHeight="1" x14ac:dyDescent="0.25">
      <c r="A99" s="33">
        <f>IF(CARGA_DIARIA!A99="","",CARGA_DIARIA!A99)</f>
        <v>46175</v>
      </c>
      <c r="B99" s="34">
        <f>IF(CARGA_DIARIA!A99="","",CARGA_DIARIA!B99)</f>
        <v>1419</v>
      </c>
      <c r="C99" s="35">
        <f>IF(CARGA_DIARIA!A99="","",IF(CARGA_DIARIA!B99=0,0,(CARGA_DIARIA!C99+CARGA_DIARIA!D99+CARGA_DIARIA!E99+CARGA_DIARIA!F99+CARGA_DIARIA!G99+CARGA_DIARIA!H99+CARGA_DIARIA!I99+CARGA_DIARIA!AG99+CARGA_DIARIA!AH99+CARGA_DIARIA!AI99+CARGA_DIARIA!AJ99)/CARGA_DIARIA!B99+CARGA_DIARIA!AF99))</f>
        <v>23641137.489069767</v>
      </c>
      <c r="D99" s="36">
        <f>IF(CARGA_DIARIA!A99="","",IF(CARGA_DIARIA!B99=0,0,(CARGA_DIARIA!J99+CARGA_DIARIA!K99+CARGA_DIARIA!L99+CARGA_DIARIA!M99+CARGA_DIARIA!N99+CARGA_DIARIA!O99+CARGA_DIARIA!P99+CARGA_DIARIA!Q99+CARGA_DIARIA!R99+CARGA_DIARIA!S99+CARGA_DIARIA!T99+CARGA_DIARIA!U99+CARGA_DIARIA!V99+CARGA_DIARIA!W99)/CARGA_DIARIA!B99))</f>
        <v>313601.77801268501</v>
      </c>
      <c r="E99" s="36">
        <f>IF(CARGA_DIARIA!A99="","",IF(CARGA_DIARIA!B99=0,0,(CARGA_DIARIA!X99+CARGA_DIARIA!Y99+CARGA_DIARIA!Z99+CARGA_DIARIA!AA99)/CARGA_DIARIA!B99+CARGA_DIARIA!AB99+CARGA_DIARIA!AC99+CARGA_DIARIA!AD99+CARGA_DIARIA!AE99))</f>
        <v>18736089.901803158</v>
      </c>
      <c r="F99" s="39" t="s">
        <v>146</v>
      </c>
      <c r="G99" s="39" t="s">
        <v>146</v>
      </c>
      <c r="H99" s="38">
        <f>IF(CARGA_DIARIA!A99="","",C99-D99-E99)</f>
        <v>4591445.8092539236</v>
      </c>
    </row>
    <row r="100" spans="1:8" ht="15.75" customHeight="1" x14ac:dyDescent="0.25">
      <c r="A100" s="33">
        <f>IF(CARGA_DIARIA!A100="","",CARGA_DIARIA!A100)</f>
        <v>46176</v>
      </c>
      <c r="B100" s="34">
        <f>IF(CARGA_DIARIA!A100="","",CARGA_DIARIA!B100)</f>
        <v>1424.5</v>
      </c>
      <c r="C100" s="35">
        <f>IF(CARGA_DIARIA!A100="","",IF(CARGA_DIARIA!B100=0,0,(CARGA_DIARIA!C100+CARGA_DIARIA!D100+CARGA_DIARIA!E100+CARGA_DIARIA!F100+CARGA_DIARIA!G100+CARGA_DIARIA!H100+CARGA_DIARIA!I100+CARGA_DIARIA!AG100+CARGA_DIARIA!AH100+CARGA_DIARIA!AI100+CARGA_DIARIA!AJ100)/CARGA_DIARIA!B100+CARGA_DIARIA!AF100))</f>
        <v>24220324.307746574</v>
      </c>
      <c r="D100" s="36">
        <f>IF(CARGA_DIARIA!A100="","",IF(CARGA_DIARIA!B100=0,0,(CARGA_DIARIA!J100+CARGA_DIARIA!K100+CARGA_DIARIA!L100+CARGA_DIARIA!M100+CARGA_DIARIA!N100+CARGA_DIARIA!O100+CARGA_DIARIA!P100+CARGA_DIARIA!Q100+CARGA_DIARIA!R100+CARGA_DIARIA!S100+CARGA_DIARIA!T100+CARGA_DIARIA!U100+CARGA_DIARIA!V100+CARGA_DIARIA!W100)/CARGA_DIARIA!B100))</f>
        <v>353847.45173745172</v>
      </c>
      <c r="E100" s="36">
        <f>IF(CARGA_DIARIA!A100="","",IF(CARGA_DIARIA!B100=0,0,(CARGA_DIARIA!X100+CARGA_DIARIA!Y100+CARGA_DIARIA!Z100+CARGA_DIARIA!AA100)/CARGA_DIARIA!B100+CARGA_DIARIA!AB100+CARGA_DIARIA!AC100+CARGA_DIARIA!AD100+CARGA_DIARIA!AE100))</f>
        <v>18543500.657332815</v>
      </c>
      <c r="F100" s="39" t="s">
        <v>146</v>
      </c>
      <c r="G100" s="39" t="s">
        <v>146</v>
      </c>
      <c r="H100" s="38">
        <f>IF(CARGA_DIARIA!A100="","",C100-D100-E100)</f>
        <v>5322976.1986763068</v>
      </c>
    </row>
    <row r="101" spans="1:8" ht="15.75" customHeight="1" x14ac:dyDescent="0.25">
      <c r="A101" s="33">
        <f>IF(CARGA_DIARIA!A101="","",CARGA_DIARIA!A101)</f>
        <v>46177</v>
      </c>
      <c r="B101" s="34">
        <f>IF(CARGA_DIARIA!A101="","",CARGA_DIARIA!B101)</f>
        <v>1430</v>
      </c>
      <c r="C101" s="35">
        <f>IF(CARGA_DIARIA!A101="","",IF(CARGA_DIARIA!B101=0,0,(CARGA_DIARIA!C101+CARGA_DIARIA!D101+CARGA_DIARIA!E101+CARGA_DIARIA!F101+CARGA_DIARIA!G101+CARGA_DIARIA!H101+CARGA_DIARIA!I101+CARGA_DIARIA!AG101+CARGA_DIARIA!AH101+CARGA_DIARIA!AI101+CARGA_DIARIA!AJ101)/CARGA_DIARIA!B101+CARGA_DIARIA!AF101))</f>
        <v>24742915.326762237</v>
      </c>
      <c r="D101" s="36">
        <f>IF(CARGA_DIARIA!A101="","",IF(CARGA_DIARIA!B101=0,0,(CARGA_DIARIA!J101+CARGA_DIARIA!K101+CARGA_DIARIA!L101+CARGA_DIARIA!M101+CARGA_DIARIA!N101+CARGA_DIARIA!O101+CARGA_DIARIA!P101+CARGA_DIARIA!Q101+CARGA_DIARIA!R101+CARGA_DIARIA!S101+CARGA_DIARIA!T101+CARGA_DIARIA!U101+CARGA_DIARIA!V101+CARGA_DIARIA!W101)/CARGA_DIARIA!B101))</f>
        <v>442331.82307692309</v>
      </c>
      <c r="E101" s="36">
        <f>IF(CARGA_DIARIA!A101="","",IF(CARGA_DIARIA!B101=0,0,(CARGA_DIARIA!X101+CARGA_DIARIA!Y101+CARGA_DIARIA!Z101+CARGA_DIARIA!AA101)/CARGA_DIARIA!B101+CARGA_DIARIA!AB101+CARGA_DIARIA!AC101+CARGA_DIARIA!AD101+CARGA_DIARIA!AE101))</f>
        <v>18453657.756001748</v>
      </c>
      <c r="F101" s="39" t="s">
        <v>146</v>
      </c>
      <c r="G101" s="39" t="s">
        <v>146</v>
      </c>
      <c r="H101" s="38">
        <f>IF(CARGA_DIARIA!A101="","",C101-D101-E101)</f>
        <v>5846925.7476835661</v>
      </c>
    </row>
    <row r="102" spans="1:8" ht="15.75" customHeight="1" x14ac:dyDescent="0.25">
      <c r="A102" s="33">
        <f>IF(CARGA_DIARIA!A102="","",CARGA_DIARIA!A102)</f>
        <v>46178</v>
      </c>
      <c r="B102" s="34">
        <f>IF(CARGA_DIARIA!A102="","",CARGA_DIARIA!B102)</f>
        <v>1434</v>
      </c>
      <c r="C102" s="35">
        <f>IF(CARGA_DIARIA!A102="","",IF(CARGA_DIARIA!B102=0,0,(CARGA_DIARIA!C102+CARGA_DIARIA!D102+CARGA_DIARIA!E102+CARGA_DIARIA!F102+CARGA_DIARIA!G102+CARGA_DIARIA!H102+CARGA_DIARIA!I102+CARGA_DIARIA!AG102+CARGA_DIARIA!AH102+CARGA_DIARIA!AI102+CARGA_DIARIA!AJ102)/CARGA_DIARIA!B102+CARGA_DIARIA!AF102))</f>
        <v>26312753.762615062</v>
      </c>
      <c r="D102" s="36">
        <f>IF(CARGA_DIARIA!A102="","",IF(CARGA_DIARIA!B102=0,0,(CARGA_DIARIA!J102+CARGA_DIARIA!K102+CARGA_DIARIA!L102+CARGA_DIARIA!M102+CARGA_DIARIA!N102+CARGA_DIARIA!O102+CARGA_DIARIA!P102+CARGA_DIARIA!Q102+CARGA_DIARIA!R102+CARGA_DIARIA!S102+CARGA_DIARIA!T102+CARGA_DIARIA!U102+CARGA_DIARIA!V102+CARGA_DIARIA!W102)/CARGA_DIARIA!B102))</f>
        <v>372792.47280334728</v>
      </c>
      <c r="E102" s="36">
        <f>IF(CARGA_DIARIA!A102="","",IF(CARGA_DIARIA!B102=0,0,(CARGA_DIARIA!X102+CARGA_DIARIA!Y102+CARGA_DIARIA!Z102+CARGA_DIARIA!AA102)/CARGA_DIARIA!B102+CARGA_DIARIA!AB102+CARGA_DIARIA!AC102+CARGA_DIARIA!AD102+CARGA_DIARIA!AE102))</f>
        <v>18508843.562546134</v>
      </c>
      <c r="F102" s="39" t="s">
        <v>146</v>
      </c>
      <c r="G102" s="39" t="s">
        <v>146</v>
      </c>
      <c r="H102" s="38">
        <f>IF(CARGA_DIARIA!A102="","",C102-D102-E102)</f>
        <v>7431117.7272655815</v>
      </c>
    </row>
    <row r="103" spans="1:8" ht="15.75" customHeight="1" x14ac:dyDescent="0.25">
      <c r="A103" s="33">
        <f>IF(CARGA_DIARIA!A103="","",CARGA_DIARIA!A103)</f>
        <v>46181</v>
      </c>
      <c r="B103" s="34">
        <f>IF(CARGA_DIARIA!A103="","",CARGA_DIARIA!B103)</f>
        <v>1440</v>
      </c>
      <c r="C103" s="35">
        <f>IF(CARGA_DIARIA!A103="","",IF(CARGA_DIARIA!B103=0,0,(CARGA_DIARIA!C103+CARGA_DIARIA!D103+CARGA_DIARIA!E103+CARGA_DIARIA!F103+CARGA_DIARIA!G103+CARGA_DIARIA!H103+CARGA_DIARIA!I103+CARGA_DIARIA!AG103+CARGA_DIARIA!AH103+CARGA_DIARIA!AI103+CARGA_DIARIA!AJ103)/CARGA_DIARIA!B103+CARGA_DIARIA!AF103))</f>
        <v>26632312.782361113</v>
      </c>
      <c r="D103" s="36">
        <f>IF(CARGA_DIARIA!A103="","",IF(CARGA_DIARIA!B103=0,0,(CARGA_DIARIA!J103+CARGA_DIARIA!K103+CARGA_DIARIA!L103+CARGA_DIARIA!M103+CARGA_DIARIA!N103+CARGA_DIARIA!O103+CARGA_DIARIA!P103+CARGA_DIARIA!Q103+CARGA_DIARIA!R103+CARGA_DIARIA!S103+CARGA_DIARIA!T103+CARGA_DIARIA!U103+CARGA_DIARIA!V103+CARGA_DIARIA!W103)/CARGA_DIARIA!B103))</f>
        <v>485796.67083333334</v>
      </c>
      <c r="E103" s="36">
        <f>IF(CARGA_DIARIA!A103="","",IF(CARGA_DIARIA!B103=0,0,(CARGA_DIARIA!X103+CARGA_DIARIA!Y103+CARGA_DIARIA!Z103+CARGA_DIARIA!AA103)/CARGA_DIARIA!B103+CARGA_DIARIA!AB103+CARGA_DIARIA!AC103+CARGA_DIARIA!AD103+CARGA_DIARIA!AE103))</f>
        <v>18327831.59380566</v>
      </c>
      <c r="F103" s="39" t="s">
        <v>146</v>
      </c>
      <c r="G103" s="39" t="s">
        <v>146</v>
      </c>
      <c r="H103" s="38">
        <f>IF(CARGA_DIARIA!A103="","",C103-D103-E103)</f>
        <v>7818684.5177221186</v>
      </c>
    </row>
    <row r="104" spans="1:8" ht="15.75" customHeight="1" x14ac:dyDescent="0.25">
      <c r="A104" s="33">
        <f>IF(CARGA_DIARIA!A104="","",CARGA_DIARIA!A104)</f>
        <v>46182</v>
      </c>
      <c r="B104" s="34">
        <f>IF(CARGA_DIARIA!A104="","",CARGA_DIARIA!B104)</f>
        <v>1442</v>
      </c>
      <c r="C104" s="35">
        <f>IF(CARGA_DIARIA!A104="","",IF(CARGA_DIARIA!B104=0,0,(CARGA_DIARIA!C104+CARGA_DIARIA!D104+CARGA_DIARIA!E104+CARGA_DIARIA!F104+CARGA_DIARIA!G104+CARGA_DIARIA!H104+CARGA_DIARIA!I104+CARGA_DIARIA!AG104+CARGA_DIARIA!AH104+CARGA_DIARIA!AI104+CARGA_DIARIA!AJ104)/CARGA_DIARIA!B104+CARGA_DIARIA!AF104))</f>
        <v>26132055.720748961</v>
      </c>
      <c r="D104" s="36">
        <f>IF(CARGA_DIARIA!A104="","",IF(CARGA_DIARIA!B104=0,0,(CARGA_DIARIA!J104+CARGA_DIARIA!K104+CARGA_DIARIA!L104+CARGA_DIARIA!M104+CARGA_DIARIA!N104+CARGA_DIARIA!O104+CARGA_DIARIA!P104+CARGA_DIARIA!Q104+CARGA_DIARIA!R104+CARGA_DIARIA!S104+CARGA_DIARIA!T104+CARGA_DIARIA!U104+CARGA_DIARIA!V104+CARGA_DIARIA!W104)/CARGA_DIARIA!B104))</f>
        <v>870996.49167822464</v>
      </c>
      <c r="E104" s="36">
        <f>IF(CARGA_DIARIA!A104="","",IF(CARGA_DIARIA!B104=0,0,(CARGA_DIARIA!X104+CARGA_DIARIA!Y104+CARGA_DIARIA!Z104+CARGA_DIARIA!AA104)/CARGA_DIARIA!B104+CARGA_DIARIA!AB104+CARGA_DIARIA!AC104+CARGA_DIARIA!AD104+CARGA_DIARIA!AE104))</f>
        <v>18162094.379719332</v>
      </c>
      <c r="F104" s="39" t="s">
        <v>146</v>
      </c>
      <c r="G104" s="39" t="s">
        <v>146</v>
      </c>
      <c r="H104" s="38">
        <f>IF(CARGA_DIARIA!A104="","",C104-D104-E104)</f>
        <v>7098964.8493514061</v>
      </c>
    </row>
    <row r="105" spans="1:8" ht="15.75" customHeight="1" x14ac:dyDescent="0.25">
      <c r="A105" s="33">
        <f>IF(CARGA_DIARIA!A105="","",CARGA_DIARIA!A105)</f>
        <v>46183</v>
      </c>
      <c r="B105" s="34">
        <f>IF(CARGA_DIARIA!A105="","",CARGA_DIARIA!B105)</f>
        <v>1444</v>
      </c>
      <c r="C105" s="35">
        <f>IF(CARGA_DIARIA!A105="","",IF(CARGA_DIARIA!B105=0,0,(CARGA_DIARIA!C105+CARGA_DIARIA!D105+CARGA_DIARIA!E105+CARGA_DIARIA!F105+CARGA_DIARIA!G105+CARGA_DIARIA!H105+CARGA_DIARIA!I105+CARGA_DIARIA!AG105+CARGA_DIARIA!AH105+CARGA_DIARIA!AI105+CARGA_DIARIA!AJ105)/CARGA_DIARIA!B105+CARGA_DIARIA!AF105))</f>
        <v>24691250.118483379</v>
      </c>
      <c r="D105" s="36">
        <f>IF(CARGA_DIARIA!A105="","",IF(CARGA_DIARIA!B105=0,0,(CARGA_DIARIA!J105+CARGA_DIARIA!K105+CARGA_DIARIA!L105+CARGA_DIARIA!M105+CARGA_DIARIA!N105+CARGA_DIARIA!O105+CARGA_DIARIA!P105+CARGA_DIARIA!Q105+CARGA_DIARIA!R105+CARGA_DIARIA!S105+CARGA_DIARIA!T105+CARGA_DIARIA!U105+CARGA_DIARIA!V105+CARGA_DIARIA!W105)/CARGA_DIARIA!B105))</f>
        <v>569982.05886426591</v>
      </c>
      <c r="E105" s="36">
        <f>IF(CARGA_DIARIA!A105="","",IF(CARGA_DIARIA!B105=0,0,(CARGA_DIARIA!X105+CARGA_DIARIA!Y105+CARGA_DIARIA!Z105+CARGA_DIARIA!AA105)/CARGA_DIARIA!B105+CARGA_DIARIA!AB105+CARGA_DIARIA!AC105+CARGA_DIARIA!AD105+CARGA_DIARIA!AE105))</f>
        <v>18460623.854591697</v>
      </c>
      <c r="F105" s="39" t="s">
        <v>146</v>
      </c>
      <c r="G105" s="39" t="s">
        <v>146</v>
      </c>
      <c r="H105" s="38">
        <f>IF(CARGA_DIARIA!A105="","",C105-D105-E105)</f>
        <v>5660644.2050274163</v>
      </c>
    </row>
    <row r="106" spans="1:8" ht="15.75" customHeight="1" x14ac:dyDescent="0.25">
      <c r="A106" s="33">
        <f>IF(CARGA_DIARIA!A106="","",CARGA_DIARIA!A106)</f>
        <v>46185</v>
      </c>
      <c r="B106" s="34">
        <f>IF(CARGA_DIARIA!A106="","",CARGA_DIARIA!B106)</f>
        <v>1444</v>
      </c>
      <c r="C106" s="35">
        <f>IF(CARGA_DIARIA!A106="","",IF(CARGA_DIARIA!B106=0,0,(CARGA_DIARIA!C106+CARGA_DIARIA!D106+CARGA_DIARIA!E106+CARGA_DIARIA!F106+CARGA_DIARIA!G106+CARGA_DIARIA!H106+CARGA_DIARIA!I106+CARGA_DIARIA!AG106+CARGA_DIARIA!AH106+CARGA_DIARIA!AI106+CARGA_DIARIA!AJ106)/CARGA_DIARIA!B106+CARGA_DIARIA!AF106))</f>
        <v>26540046.781904429</v>
      </c>
      <c r="D106" s="36">
        <f>IF(CARGA_DIARIA!A106="","",IF(CARGA_DIARIA!B106=0,0,(CARGA_DIARIA!J106+CARGA_DIARIA!K106+CARGA_DIARIA!L106+CARGA_DIARIA!M106+CARGA_DIARIA!N106+CARGA_DIARIA!O106+CARGA_DIARIA!P106+CARGA_DIARIA!Q106+CARGA_DIARIA!R106+CARGA_DIARIA!S106+CARGA_DIARIA!T106+CARGA_DIARIA!U106+CARGA_DIARIA!V106+CARGA_DIARIA!W106)/CARGA_DIARIA!B106))</f>
        <v>702675.04432132968</v>
      </c>
      <c r="E106" s="36">
        <f>IF(CARGA_DIARIA!A106="","",IF(CARGA_DIARIA!B106=0,0,(CARGA_DIARIA!X106+CARGA_DIARIA!Y106+CARGA_DIARIA!Z106+CARGA_DIARIA!AA106)/CARGA_DIARIA!B106+CARGA_DIARIA!AB106+CARGA_DIARIA!AC106+CARGA_DIARIA!AD106+CARGA_DIARIA!AE106))</f>
        <v>18085417.164148483</v>
      </c>
      <c r="F106" s="39" t="s">
        <v>146</v>
      </c>
      <c r="G106" s="39" t="s">
        <v>146</v>
      </c>
      <c r="H106" s="38">
        <f>IF(CARGA_DIARIA!A106="","",C106-D106-E106)</f>
        <v>7751954.5734346174</v>
      </c>
    </row>
    <row r="107" spans="1:8" ht="15.75" customHeight="1" x14ac:dyDescent="0.25">
      <c r="A107" s="33">
        <f>IF(CARGA_DIARIA!A107="","",CARGA_DIARIA!A107)</f>
        <v>46189</v>
      </c>
      <c r="B107" s="34">
        <f>IF(CARGA_DIARIA!A107="","",CARGA_DIARIA!B107)</f>
        <v>1427</v>
      </c>
      <c r="C107" s="35">
        <f>IF(CARGA_DIARIA!A107="","",IF(CARGA_DIARIA!B107=0,0,(CARGA_DIARIA!C107+CARGA_DIARIA!D107+CARGA_DIARIA!E107+CARGA_DIARIA!F107+CARGA_DIARIA!G107+CARGA_DIARIA!H107+CARGA_DIARIA!I107+CARGA_DIARIA!AG107+CARGA_DIARIA!AH107+CARGA_DIARIA!AI107+CARGA_DIARIA!AJ107)/CARGA_DIARIA!B107+CARGA_DIARIA!AF107))</f>
        <v>29549306.576587245</v>
      </c>
      <c r="D107" s="36">
        <f>IF(CARGA_DIARIA!A107="","",IF(CARGA_DIARIA!B107=0,0,(CARGA_DIARIA!J107+CARGA_DIARIA!K107+CARGA_DIARIA!L107+CARGA_DIARIA!M107+CARGA_DIARIA!N107+CARGA_DIARIA!O107+CARGA_DIARIA!P107+CARGA_DIARIA!Q107+CARGA_DIARIA!R107+CARGA_DIARIA!S107+CARGA_DIARIA!T107+CARGA_DIARIA!U107+CARGA_DIARIA!V107+CARGA_DIARIA!W107)/CARGA_DIARIA!B107))</f>
        <v>397357.15206727403</v>
      </c>
      <c r="E107" s="36">
        <f>IF(CARGA_DIARIA!A107="","",IF(CARGA_DIARIA!B107=0,0,(CARGA_DIARIA!X107+CARGA_DIARIA!Y107+CARGA_DIARIA!Z107+CARGA_DIARIA!AA107)/CARGA_DIARIA!B107+CARGA_DIARIA!AB107+CARGA_DIARIA!AC107+CARGA_DIARIA!AD107+CARGA_DIARIA!AE107))</f>
        <v>18251064.777324319</v>
      </c>
      <c r="F107" s="39" t="s">
        <v>146</v>
      </c>
      <c r="G107" s="39" t="s">
        <v>146</v>
      </c>
      <c r="H107" s="38">
        <f>IF(CARGA_DIARIA!A107="","",C107-D107-E107)</f>
        <v>10900884.647195652</v>
      </c>
    </row>
    <row r="108" spans="1:8" ht="15.75" customHeight="1" x14ac:dyDescent="0.25">
      <c r="A108" s="33">
        <f>IF(CARGA_DIARIA!A108="","",CARGA_DIARIA!A108)</f>
        <v>46190</v>
      </c>
      <c r="B108" s="34">
        <f>IF(CARGA_DIARIA!A108="","",CARGA_DIARIA!B108)</f>
        <v>1427</v>
      </c>
      <c r="C108" s="35">
        <f>IF(CARGA_DIARIA!A108="","",IF(CARGA_DIARIA!B108=0,0,(CARGA_DIARIA!C108+CARGA_DIARIA!D108+CARGA_DIARIA!E108+CARGA_DIARIA!F108+CARGA_DIARIA!G108+CARGA_DIARIA!H108+CARGA_DIARIA!I108+CARGA_DIARIA!AG108+CARGA_DIARIA!AH108+CARGA_DIARIA!AI108+CARGA_DIARIA!AJ108)/CARGA_DIARIA!B108+CARGA_DIARIA!AF108))</f>
        <v>30318536.978241064</v>
      </c>
      <c r="D108" s="36">
        <f>IF(CARGA_DIARIA!A108="","",IF(CARGA_DIARIA!B108=0,0,(CARGA_DIARIA!J108+CARGA_DIARIA!K108+CARGA_DIARIA!L108+CARGA_DIARIA!M108+CARGA_DIARIA!N108+CARGA_DIARIA!O108+CARGA_DIARIA!P108+CARGA_DIARIA!Q108+CARGA_DIARIA!R108+CARGA_DIARIA!S108+CARGA_DIARIA!T108+CARGA_DIARIA!U108+CARGA_DIARIA!V108+CARGA_DIARIA!W108)/CARGA_DIARIA!B108))</f>
        <v>469850.92081289418</v>
      </c>
      <c r="E108" s="36">
        <f>IF(CARGA_DIARIA!A108="","",IF(CARGA_DIARIA!B108=0,0,(CARGA_DIARIA!X108+CARGA_DIARIA!Y108+CARGA_DIARIA!Z108+CARGA_DIARIA!AA108)/CARGA_DIARIA!B108+CARGA_DIARIA!AB108+CARGA_DIARIA!AC108+CARGA_DIARIA!AD108+CARGA_DIARIA!AE108))</f>
        <v>18303987.647681713</v>
      </c>
      <c r="F108" s="39" t="s">
        <v>146</v>
      </c>
      <c r="G108" s="39" t="s">
        <v>146</v>
      </c>
      <c r="H108" s="38">
        <f>IF(CARGA_DIARIA!A108="","",C108-D108-E108)</f>
        <v>11544698.409746457</v>
      </c>
    </row>
    <row r="109" spans="1:8" ht="15.75" customHeight="1" x14ac:dyDescent="0.25">
      <c r="A109" s="33">
        <f>IF(CARGA_DIARIA!A109="","",CARGA_DIARIA!A109)</f>
        <v>46191</v>
      </c>
      <c r="B109" s="34">
        <f>IF(CARGA_DIARIA!A109="","",CARGA_DIARIA!B109)</f>
        <v>1437</v>
      </c>
      <c r="C109" s="35">
        <f>IF(CARGA_DIARIA!A109="","",IF(CARGA_DIARIA!B109=0,0,(CARGA_DIARIA!C109+CARGA_DIARIA!D109+CARGA_DIARIA!E109+CARGA_DIARIA!F109+CARGA_DIARIA!G109+CARGA_DIARIA!H109+CARGA_DIARIA!I109+CARGA_DIARIA!AG109+CARGA_DIARIA!AH109+CARGA_DIARIA!AI109+CARGA_DIARIA!AJ109)/CARGA_DIARIA!B109+CARGA_DIARIA!AF109))</f>
        <v>28369804.369986083</v>
      </c>
      <c r="D109" s="36">
        <f>IF(CARGA_DIARIA!A109="","",IF(CARGA_DIARIA!B109=0,0,(CARGA_DIARIA!J109+CARGA_DIARIA!K109+CARGA_DIARIA!L109+CARGA_DIARIA!M109+CARGA_DIARIA!N109+CARGA_DIARIA!O109+CARGA_DIARIA!P109+CARGA_DIARIA!Q109+CARGA_DIARIA!R109+CARGA_DIARIA!S109+CARGA_DIARIA!T109+CARGA_DIARIA!U109+CARGA_DIARIA!V109+CARGA_DIARIA!W109)/CARGA_DIARIA!B109))</f>
        <v>561280.64787752263</v>
      </c>
      <c r="E109" s="36">
        <f>IF(CARGA_DIARIA!A109="","",IF(CARGA_DIARIA!B109=0,0,(CARGA_DIARIA!X109+CARGA_DIARIA!Y109+CARGA_DIARIA!Z109+CARGA_DIARIA!AA109)/CARGA_DIARIA!B109+CARGA_DIARIA!AB109+CARGA_DIARIA!AC109+CARGA_DIARIA!AD109+CARGA_DIARIA!AE109))</f>
        <v>18200662.457980134</v>
      </c>
      <c r="F109" s="39" t="s">
        <v>146</v>
      </c>
      <c r="G109" s="39" t="s">
        <v>146</v>
      </c>
      <c r="H109" s="38">
        <f>IF(CARGA_DIARIA!A109="","",C109-D109-E109)</f>
        <v>9607861.264128428</v>
      </c>
    </row>
    <row r="110" spans="1:8" ht="15.75" customHeight="1" x14ac:dyDescent="0.25">
      <c r="A110" s="33">
        <f>IF(CARGA_DIARIA!A110="","",CARGA_DIARIA!A110)</f>
        <v>46192</v>
      </c>
      <c r="B110" s="34">
        <f>IF(CARGA_DIARIA!A110="","",CARGA_DIARIA!B110)</f>
        <v>1445.5</v>
      </c>
      <c r="C110" s="35">
        <f>IF(CARGA_DIARIA!A110="","",IF(CARGA_DIARIA!B110=0,0,(CARGA_DIARIA!C110+CARGA_DIARIA!D110+CARGA_DIARIA!E110+CARGA_DIARIA!F110+CARGA_DIARIA!G110+CARGA_DIARIA!H110+CARGA_DIARIA!I110+CARGA_DIARIA!AG110+CARGA_DIARIA!AH110+CARGA_DIARIA!AI110+CARGA_DIARIA!AJ110)/CARGA_DIARIA!B110+CARGA_DIARIA!AF110))</f>
        <v>30441755.698197857</v>
      </c>
      <c r="D110" s="36">
        <f>IF(CARGA_DIARIA!A110="","",IF(CARGA_DIARIA!B110=0,0,(CARGA_DIARIA!J110+CARGA_DIARIA!K110+CARGA_DIARIA!L110+CARGA_DIARIA!M110+CARGA_DIARIA!N110+CARGA_DIARIA!O110+CARGA_DIARIA!P110+CARGA_DIARIA!Q110+CARGA_DIARIA!R110+CARGA_DIARIA!S110+CARGA_DIARIA!T110+CARGA_DIARIA!U110+CARGA_DIARIA!V110+CARGA_DIARIA!W110)/CARGA_DIARIA!B110))</f>
        <v>440890.71809062606</v>
      </c>
      <c r="E110" s="36">
        <f>IF(CARGA_DIARIA!A110="","",IF(CARGA_DIARIA!B110=0,0,(CARGA_DIARIA!X110+CARGA_DIARIA!Y110+CARGA_DIARIA!Z110+CARGA_DIARIA!AA110)/CARGA_DIARIA!B110+CARGA_DIARIA!AB110+CARGA_DIARIA!AC110+CARGA_DIARIA!AD110+CARGA_DIARIA!AE110))</f>
        <v>17993829.993090112</v>
      </c>
      <c r="F110" s="39" t="s">
        <v>146</v>
      </c>
      <c r="G110" s="39" t="s">
        <v>146</v>
      </c>
      <c r="H110" s="38">
        <f>IF(CARGA_DIARIA!A110="","",C110-D110-E110)</f>
        <v>12007034.987017117</v>
      </c>
    </row>
    <row r="111" spans="1:8" ht="15.75" customHeight="1" x14ac:dyDescent="0.25">
      <c r="A111" s="33">
        <f>IF(CARGA_DIARIA!A111="","",CARGA_DIARIA!A111)</f>
        <v>46195</v>
      </c>
      <c r="B111" s="34">
        <f>IF(CARGA_DIARIA!A111="","",CARGA_DIARIA!B111)</f>
        <v>1460</v>
      </c>
      <c r="C111" s="35">
        <f>IF(CARGA_DIARIA!A111="","",IF(CARGA_DIARIA!B111=0,0,(CARGA_DIARIA!C111+CARGA_DIARIA!D111+CARGA_DIARIA!E111+CARGA_DIARIA!F111+CARGA_DIARIA!G111+CARGA_DIARIA!H111+CARGA_DIARIA!I111+CARGA_DIARIA!AG111+CARGA_DIARIA!AH111+CARGA_DIARIA!AI111+CARGA_DIARIA!AJ111)/CARGA_DIARIA!B111+CARGA_DIARIA!AF111))</f>
        <v>29002227.654506851</v>
      </c>
      <c r="D111" s="36">
        <f>IF(CARGA_DIARIA!A111="","",IF(CARGA_DIARIA!B111=0,0,(CARGA_DIARIA!J111+CARGA_DIARIA!K111+CARGA_DIARIA!L111+CARGA_DIARIA!M111+CARGA_DIARIA!N111+CARGA_DIARIA!O111+CARGA_DIARIA!P111+CARGA_DIARIA!Q111+CARGA_DIARIA!R111+CARGA_DIARIA!S111+CARGA_DIARIA!T111+CARGA_DIARIA!U111+CARGA_DIARIA!V111+CARGA_DIARIA!W111)/CARGA_DIARIA!B111))</f>
        <v>401530.45342465752</v>
      </c>
      <c r="E111" s="36">
        <f>IF(CARGA_DIARIA!A111="","",IF(CARGA_DIARIA!B111=0,0,(CARGA_DIARIA!X111+CARGA_DIARIA!Y111+CARGA_DIARIA!Z111+CARGA_DIARIA!AA111)/CARGA_DIARIA!B111+CARGA_DIARIA!AB111+CARGA_DIARIA!AC111+CARGA_DIARIA!AD111+CARGA_DIARIA!AE111))</f>
        <v>18162455.268377706</v>
      </c>
      <c r="F111" s="39" t="s">
        <v>146</v>
      </c>
      <c r="G111" s="39" t="s">
        <v>146</v>
      </c>
      <c r="H111" s="38">
        <f>IF(CARGA_DIARIA!A111="","",C111-D111-E111)</f>
        <v>10438241.932704486</v>
      </c>
    </row>
    <row r="112" spans="1:8" ht="15.75" customHeight="1" x14ac:dyDescent="0.25">
      <c r="A112" s="33">
        <f>IF(CARGA_DIARIA!A112="","",CARGA_DIARIA!A112)</f>
        <v>46196</v>
      </c>
      <c r="B112" s="34">
        <f>IF(CARGA_DIARIA!A112="","",CARGA_DIARIA!B112)</f>
        <v>1455</v>
      </c>
      <c r="C112" s="35">
        <f>IF(CARGA_DIARIA!A112="","",IF(CARGA_DIARIA!B112=0,0,(CARGA_DIARIA!C112+CARGA_DIARIA!D112+CARGA_DIARIA!E112+CARGA_DIARIA!F112+CARGA_DIARIA!G112+CARGA_DIARIA!H112+CARGA_DIARIA!I112+CARGA_DIARIA!AG112+CARGA_DIARIA!AH112+CARGA_DIARIA!AI112+CARGA_DIARIA!AJ112)/CARGA_DIARIA!B112+CARGA_DIARIA!AF112))</f>
        <v>29923055.651058417</v>
      </c>
      <c r="D112" s="36">
        <f>IF(CARGA_DIARIA!A112="","",IF(CARGA_DIARIA!B112=0,0,(CARGA_DIARIA!J112+CARGA_DIARIA!K112+CARGA_DIARIA!L112+CARGA_DIARIA!M112+CARGA_DIARIA!N112+CARGA_DIARIA!O112+CARGA_DIARIA!P112+CARGA_DIARIA!Q112+CARGA_DIARIA!R112+CARGA_DIARIA!S112+CARGA_DIARIA!T112+CARGA_DIARIA!U112+CARGA_DIARIA!V112+CARGA_DIARIA!W112)/CARGA_DIARIA!B112))</f>
        <v>387586.14639175258</v>
      </c>
      <c r="E112" s="36">
        <f>IF(CARGA_DIARIA!A112="","",IF(CARGA_DIARIA!B112=0,0,(CARGA_DIARIA!X112+CARGA_DIARIA!Y112+CARGA_DIARIA!Z112+CARGA_DIARIA!AA112)/CARGA_DIARIA!B112+CARGA_DIARIA!AB112+CARGA_DIARIA!AC112+CARGA_DIARIA!AD112+CARGA_DIARIA!AE112))</f>
        <v>17990561.040229294</v>
      </c>
      <c r="F112" s="39" t="s">
        <v>146</v>
      </c>
      <c r="G112" s="39" t="s">
        <v>146</v>
      </c>
      <c r="H112" s="38">
        <f>IF(CARGA_DIARIA!A112="","",C112-D112-E112)</f>
        <v>11544908.464437369</v>
      </c>
    </row>
    <row r="113" spans="1:8" ht="15.75" customHeight="1" x14ac:dyDescent="0.25">
      <c r="A113" s="33">
        <f>IF(CARGA_DIARIA!A113="","",CARGA_DIARIA!A113)</f>
        <v>46197</v>
      </c>
      <c r="B113" s="34">
        <f>IF(CARGA_DIARIA!A113="","",CARGA_DIARIA!B113)</f>
        <v>1467</v>
      </c>
      <c r="C113" s="35">
        <f>IF(CARGA_DIARIA!A113="","",IF(CARGA_DIARIA!B113=0,0,(CARGA_DIARIA!C113+CARGA_DIARIA!D113+CARGA_DIARIA!E113+CARGA_DIARIA!F113+CARGA_DIARIA!G113+CARGA_DIARIA!H113+CARGA_DIARIA!I113+CARGA_DIARIA!AG113+CARGA_DIARIA!AH113+CARGA_DIARIA!AI113+CARGA_DIARIA!AJ113)/CARGA_DIARIA!B113+CARGA_DIARIA!AF113))</f>
        <v>30153187.190006815</v>
      </c>
      <c r="D113" s="36">
        <f>IF(CARGA_DIARIA!A113="","",IF(CARGA_DIARIA!B113=0,0,(CARGA_DIARIA!J113+CARGA_DIARIA!K113+CARGA_DIARIA!L113+CARGA_DIARIA!M113+CARGA_DIARIA!N113+CARGA_DIARIA!O113+CARGA_DIARIA!P113+CARGA_DIARIA!Q113+CARGA_DIARIA!R113+CARGA_DIARIA!S113+CARGA_DIARIA!T113+CARGA_DIARIA!U113+CARGA_DIARIA!V113+CARGA_DIARIA!W113)/CARGA_DIARIA!B113))</f>
        <v>382671.94819359237</v>
      </c>
      <c r="E113" s="36">
        <f>IF(CARGA_DIARIA!A113="","",IF(CARGA_DIARIA!B113=0,0,(CARGA_DIARIA!X113+CARGA_DIARIA!Y113+CARGA_DIARIA!Z113+CARGA_DIARIA!AA113)/CARGA_DIARIA!B113+CARGA_DIARIA!AB113+CARGA_DIARIA!AC113+CARGA_DIARIA!AD113+CARGA_DIARIA!AE113))</f>
        <v>17699665.575831223</v>
      </c>
      <c r="F113" s="39" t="s">
        <v>146</v>
      </c>
      <c r="G113" s="39" t="s">
        <v>146</v>
      </c>
      <c r="H113" s="38">
        <f>IF(CARGA_DIARIA!A113="","",C113-D113-E113)</f>
        <v>12070849.665982001</v>
      </c>
    </row>
    <row r="114" spans="1:8" ht="15.75" customHeight="1" x14ac:dyDescent="0.25">
      <c r="A114" s="33">
        <f>IF(CARGA_DIARIA!A114="","",CARGA_DIARIA!A114)</f>
        <v>46198</v>
      </c>
      <c r="B114" s="34">
        <f>IF(CARGA_DIARIA!A114="","",CARGA_DIARIA!B114)</f>
        <v>1474</v>
      </c>
      <c r="C114" s="35">
        <f>IF(CARGA_DIARIA!A114="","",IF(CARGA_DIARIA!B114=0,0,(CARGA_DIARIA!C114+CARGA_DIARIA!D114+CARGA_DIARIA!E114+CARGA_DIARIA!F114+CARGA_DIARIA!G114+CARGA_DIARIA!H114+CARGA_DIARIA!I114+CARGA_DIARIA!AG114+CARGA_DIARIA!AH114+CARGA_DIARIA!AI114+CARGA_DIARIA!AJ114)/CARGA_DIARIA!B114+CARGA_DIARIA!AF114))</f>
        <v>34894414.894428089</v>
      </c>
      <c r="D114" s="36">
        <f>IF(CARGA_DIARIA!A114="","",IF(CARGA_DIARIA!B114=0,0,(CARGA_DIARIA!J114+CARGA_DIARIA!K114+CARGA_DIARIA!L114+CARGA_DIARIA!M114+CARGA_DIARIA!N114+CARGA_DIARIA!O114+CARGA_DIARIA!P114+CARGA_DIARIA!Q114+CARGA_DIARIA!R114+CARGA_DIARIA!S114+CARGA_DIARIA!T114+CARGA_DIARIA!U114+CARGA_DIARIA!V114+CARGA_DIARIA!W114)/CARGA_DIARIA!B114))</f>
        <v>277500.21302578016</v>
      </c>
      <c r="E114" s="36">
        <f>IF(CARGA_DIARIA!A114="","",IF(CARGA_DIARIA!B114=0,0,(CARGA_DIARIA!X114+CARGA_DIARIA!Y114+CARGA_DIARIA!Z114+CARGA_DIARIA!AA114)/CARGA_DIARIA!B114+CARGA_DIARIA!AB114+CARGA_DIARIA!AC114+CARGA_DIARIA!AD114+CARGA_DIARIA!AE114))</f>
        <v>18449552.433960214</v>
      </c>
      <c r="F114" s="39" t="s">
        <v>146</v>
      </c>
      <c r="G114" s="39" t="s">
        <v>146</v>
      </c>
      <c r="H114" s="38">
        <f>IF(CARGA_DIARIA!A114="","",C114-D114-E114)</f>
        <v>16167362.247442096</v>
      </c>
    </row>
    <row r="115" spans="1:8" ht="15.75" customHeight="1" x14ac:dyDescent="0.25">
      <c r="A115" s="33">
        <f>IF(CARGA_DIARIA!A115="","",CARGA_DIARIA!A115)</f>
        <v>46199</v>
      </c>
      <c r="B115" s="34">
        <f>IF(CARGA_DIARIA!A115="","",CARGA_DIARIA!B115)</f>
        <v>1475</v>
      </c>
      <c r="C115" s="35">
        <f>IF(CARGA_DIARIA!A115="","",IF(CARGA_DIARIA!B115=0,0,(CARGA_DIARIA!C115+CARGA_DIARIA!D115+CARGA_DIARIA!E115+CARGA_DIARIA!F115+CARGA_DIARIA!G115+CARGA_DIARIA!H115+CARGA_DIARIA!I115+CARGA_DIARIA!AG115+CARGA_DIARIA!AH115+CARGA_DIARIA!AI115+CARGA_DIARIA!AJ115)/CARGA_DIARIA!B115+CARGA_DIARIA!AF115))</f>
        <v>35193453.842384748</v>
      </c>
      <c r="D115" s="36">
        <f>IF(CARGA_DIARIA!A115="","",IF(CARGA_DIARIA!B115=0,0,(CARGA_DIARIA!J115+CARGA_DIARIA!K115+CARGA_DIARIA!L115+CARGA_DIARIA!M115+CARGA_DIARIA!N115+CARGA_DIARIA!O115+CARGA_DIARIA!P115+CARGA_DIARIA!Q115+CARGA_DIARIA!R115+CARGA_DIARIA!S115+CARGA_DIARIA!T115+CARGA_DIARIA!U115+CARGA_DIARIA!V115+CARGA_DIARIA!W115)/CARGA_DIARIA!B115))</f>
        <v>421515.19322033896</v>
      </c>
      <c r="E115" s="36">
        <f>IF(CARGA_DIARIA!A115="","",IF(CARGA_DIARIA!B115=0,0,(CARGA_DIARIA!X115+CARGA_DIARIA!Y115+CARGA_DIARIA!Z115+CARGA_DIARIA!AA115)/CARGA_DIARIA!B115+CARGA_DIARIA!AB115+CARGA_DIARIA!AC115+CARGA_DIARIA!AD115+CARGA_DIARIA!AE115))</f>
        <v>17966233.595013507</v>
      </c>
      <c r="F115" s="39" t="s">
        <v>146</v>
      </c>
      <c r="G115" s="39" t="s">
        <v>146</v>
      </c>
      <c r="H115" s="38">
        <f>IF(CARGA_DIARIA!A115="","",C115-D115-E115)</f>
        <v>16805705.054150902</v>
      </c>
    </row>
    <row r="116" spans="1:8" ht="15.75" customHeight="1" x14ac:dyDescent="0.25">
      <c r="A116" s="33">
        <f>IF(CARGA_DIARIA!A116="","",CARGA_DIARIA!A116)</f>
        <v>46202</v>
      </c>
      <c r="B116" s="34">
        <f>IF(CARGA_DIARIA!A116="","",CARGA_DIARIA!B116)</f>
        <v>1470</v>
      </c>
      <c r="C116" s="35">
        <f>IF(CARGA_DIARIA!A116="","",IF(CARGA_DIARIA!B116=0,0,(CARGA_DIARIA!C116+CARGA_DIARIA!D116+CARGA_DIARIA!E116+CARGA_DIARIA!F116+CARGA_DIARIA!G116+CARGA_DIARIA!H116+CARGA_DIARIA!I116+CARGA_DIARIA!AG116+CARGA_DIARIA!AH116+CARGA_DIARIA!AI116+CARGA_DIARIA!AJ116)/CARGA_DIARIA!B116+CARGA_DIARIA!AF116))</f>
        <v>34883176.973112248</v>
      </c>
      <c r="D116" s="36">
        <f>IF(CARGA_DIARIA!A116="","",IF(CARGA_DIARIA!B116=0,0,(CARGA_DIARIA!J116+CARGA_DIARIA!K116+CARGA_DIARIA!L116+CARGA_DIARIA!M116+CARGA_DIARIA!N116+CARGA_DIARIA!O116+CARGA_DIARIA!P116+CARGA_DIARIA!Q116+CARGA_DIARIA!R116+CARGA_DIARIA!S116+CARGA_DIARIA!T116+CARGA_DIARIA!U116+CARGA_DIARIA!V116+CARGA_DIARIA!W116)/CARGA_DIARIA!B116))</f>
        <v>356315.34965986392</v>
      </c>
      <c r="E116" s="36">
        <f>IF(CARGA_DIARIA!A116="","",IF(CARGA_DIARIA!B116=0,0,(CARGA_DIARIA!X116+CARGA_DIARIA!Y116+CARGA_DIARIA!Z116+CARGA_DIARIA!AA116)/CARGA_DIARIA!B116+CARGA_DIARIA!AB116+CARGA_DIARIA!AC116+CARGA_DIARIA!AD116+CARGA_DIARIA!AE116))</f>
        <v>17595270.396399386</v>
      </c>
      <c r="F116" s="39" t="s">
        <v>146</v>
      </c>
      <c r="G116" s="39" t="s">
        <v>146</v>
      </c>
      <c r="H116" s="38">
        <f>IF(CARGA_DIARIA!A116="","",C116-D116-E116)</f>
        <v>16931591.227052994</v>
      </c>
    </row>
    <row r="117" spans="1:8" ht="15.75" customHeight="1" x14ac:dyDescent="0.25">
      <c r="A117" s="33">
        <f>IF(CARGA_DIARIA!A117="","",CARGA_DIARIA!A117)</f>
        <v>46203</v>
      </c>
      <c r="B117" s="34">
        <f>IF(CARGA_DIARIA!A117="","",CARGA_DIARIA!B117)</f>
        <v>1472.5</v>
      </c>
      <c r="C117" s="35">
        <f>IF(CARGA_DIARIA!A117="","",IF(CARGA_DIARIA!B117=0,0,(CARGA_DIARIA!C117+CARGA_DIARIA!D117+CARGA_DIARIA!E117+CARGA_DIARIA!F117+CARGA_DIARIA!G117+CARGA_DIARIA!H117+CARGA_DIARIA!I117+CARGA_DIARIA!AG117+CARGA_DIARIA!AH117+CARGA_DIARIA!AI117+CARGA_DIARIA!AJ117)/CARGA_DIARIA!B117+CARGA_DIARIA!AF117))</f>
        <v>30886657.558458403</v>
      </c>
      <c r="D117" s="36">
        <f>IF(CARGA_DIARIA!A117="","",IF(CARGA_DIARIA!B117=0,0,(CARGA_DIARIA!J117+CARGA_DIARIA!K117+CARGA_DIARIA!L117+CARGA_DIARIA!M117+CARGA_DIARIA!N117+CARGA_DIARIA!O117+CARGA_DIARIA!P117+CARGA_DIARIA!Q117+CARGA_DIARIA!R117+CARGA_DIARIA!S117+CARGA_DIARIA!T117+CARGA_DIARIA!U117+CARGA_DIARIA!V117+CARGA_DIARIA!W117)/CARGA_DIARIA!B117))</f>
        <v>468105.49405772495</v>
      </c>
      <c r="E117" s="36">
        <f>IF(CARGA_DIARIA!A117="","",IF(CARGA_DIARIA!B117=0,0,(CARGA_DIARIA!X117+CARGA_DIARIA!Y117+CARGA_DIARIA!Z117+CARGA_DIARIA!AA117)/CARGA_DIARIA!B117+CARGA_DIARIA!AB117+CARGA_DIARIA!AC117+CARGA_DIARIA!AD117+CARGA_DIARIA!AE117))</f>
        <v>17984960.527453996</v>
      </c>
      <c r="F117" s="39" t="s">
        <v>146</v>
      </c>
      <c r="G117" s="39" t="s">
        <v>146</v>
      </c>
      <c r="H117" s="38">
        <f>IF(CARGA_DIARIA!A117="","",C117-D117-E117)</f>
        <v>12433591.53694668</v>
      </c>
    </row>
    <row r="118" spans="1:8" ht="15.75" customHeight="1" x14ac:dyDescent="0.25">
      <c r="A118" s="33">
        <f>IF(CARGA_DIARIA!B118="","",CARGA_DIARIA!B118)</f>
        <v>1478</v>
      </c>
      <c r="B118" s="34" t="e">
        <f>IF(CARGA_DIARIA!B118="","",CARGA_DIARIA!#REF!)</f>
        <v>#REF!</v>
      </c>
      <c r="C118" s="35" t="e">
        <f>IF(CARGA_DIARIA!B118="","",IF(CARGA_DIARIA!#REF!=0,0,(CARGA_DIARIA!C118+CARGA_DIARIA!D118+CARGA_DIARIA!E118+CARGA_DIARIA!F118+CARGA_DIARIA!G118+CARGA_DIARIA!H118+CARGA_DIARIA!I118+CARGA_DIARIA!AG118+CARGA_DIARIA!AH118+CARGA_DIARIA!AI118+CARGA_DIARIA!AJ118)/CARGA_DIARIA!#REF!+CARGA_DIARIA!AF118))</f>
        <v>#REF!</v>
      </c>
      <c r="D118" s="36" t="e">
        <f>IF(CARGA_DIARIA!B118="","",IF(CARGA_DIARIA!#REF!=0,0,(CARGA_DIARIA!J118+CARGA_DIARIA!K118+CARGA_DIARIA!L118+CARGA_DIARIA!M118+CARGA_DIARIA!N118+CARGA_DIARIA!O118+CARGA_DIARIA!P118+CARGA_DIARIA!Q118+CARGA_DIARIA!R118+CARGA_DIARIA!S118+CARGA_DIARIA!T118+CARGA_DIARIA!U118+CARGA_DIARIA!V118+CARGA_DIARIA!W118)/CARGA_DIARIA!#REF!))</f>
        <v>#REF!</v>
      </c>
      <c r="E118" s="36" t="e">
        <f>IF(CARGA_DIARIA!B118="","",IF(CARGA_DIARIA!#REF!=0,0,(CARGA_DIARIA!X118+CARGA_DIARIA!Y118+CARGA_DIARIA!Z118+CARGA_DIARIA!AA118)/CARGA_DIARIA!#REF!+CARGA_DIARIA!AB118+CARGA_DIARIA!AC118+CARGA_DIARIA!AD118+CARGA_DIARIA!AE118))</f>
        <v>#REF!</v>
      </c>
      <c r="F118" s="39" t="s">
        <v>146</v>
      </c>
      <c r="G118" s="39" t="s">
        <v>146</v>
      </c>
      <c r="H118" s="38" t="e">
        <f>IF(CARGA_DIARIA!B118="","",C118-D118-E118)</f>
        <v>#REF!</v>
      </c>
    </row>
    <row r="119" spans="1:8" ht="15.75" customHeight="1" x14ac:dyDescent="0.25">
      <c r="A119" s="33">
        <f>IF(CARGA_DIARIA!B119="","",CARGA_DIARIA!B119)</f>
        <v>1485</v>
      </c>
      <c r="B119" s="34" t="e">
        <f>IF(CARGA_DIARIA!B119="","",CARGA_DIARIA!#REF!)</f>
        <v>#REF!</v>
      </c>
      <c r="C119" s="35" t="e">
        <f>IF(CARGA_DIARIA!B119="","",IF(CARGA_DIARIA!#REF!=0,0,(CARGA_DIARIA!C119+CARGA_DIARIA!D119+CARGA_DIARIA!E119+CARGA_DIARIA!F119+CARGA_DIARIA!G119+CARGA_DIARIA!H119+CARGA_DIARIA!I119+CARGA_DIARIA!AG119+CARGA_DIARIA!AH119+CARGA_DIARIA!AI119+CARGA_DIARIA!AJ119)/CARGA_DIARIA!#REF!+CARGA_DIARIA!AF119))</f>
        <v>#REF!</v>
      </c>
      <c r="D119" s="36" t="e">
        <f>IF(CARGA_DIARIA!B119="","",IF(CARGA_DIARIA!#REF!=0,0,(CARGA_DIARIA!J119+CARGA_DIARIA!K119+CARGA_DIARIA!L119+CARGA_DIARIA!M119+CARGA_DIARIA!N119+CARGA_DIARIA!O119+CARGA_DIARIA!P119+CARGA_DIARIA!Q119+CARGA_DIARIA!R119+CARGA_DIARIA!S119+CARGA_DIARIA!T119+CARGA_DIARIA!U119+CARGA_DIARIA!V119+CARGA_DIARIA!W119)/CARGA_DIARIA!#REF!))</f>
        <v>#REF!</v>
      </c>
      <c r="E119" s="36" t="e">
        <f>IF(CARGA_DIARIA!B119="","",IF(CARGA_DIARIA!#REF!=0,0,(CARGA_DIARIA!X119+CARGA_DIARIA!Y119+CARGA_DIARIA!Z119+CARGA_DIARIA!AA119)/CARGA_DIARIA!#REF!+CARGA_DIARIA!AB119+CARGA_DIARIA!AC119+CARGA_DIARIA!AD119+CARGA_DIARIA!AE119))</f>
        <v>#REF!</v>
      </c>
      <c r="F119" s="39" t="s">
        <v>146</v>
      </c>
      <c r="G119" s="39" t="s">
        <v>146</v>
      </c>
      <c r="H119" s="38" t="e">
        <f>IF(CARGA_DIARIA!B119="","",C119-D119-E119)</f>
        <v>#REF!</v>
      </c>
    </row>
    <row r="120" spans="1:8" ht="15.75" customHeight="1" x14ac:dyDescent="0.25">
      <c r="A120" s="33">
        <f>IF(CARGA_DIARIA!B120="","",CARGA_DIARIA!B120)</f>
        <v>1488</v>
      </c>
      <c r="B120" s="34" t="e">
        <f>IF(CARGA_DIARIA!B120="","",CARGA_DIARIA!#REF!)</f>
        <v>#REF!</v>
      </c>
      <c r="C120" s="35" t="e">
        <f>IF(CARGA_DIARIA!B120="","",IF(CARGA_DIARIA!#REF!=0,0,(CARGA_DIARIA!C120+CARGA_DIARIA!D120+CARGA_DIARIA!E120+CARGA_DIARIA!F120+CARGA_DIARIA!G120+CARGA_DIARIA!H120+CARGA_DIARIA!I120+CARGA_DIARIA!AG120+CARGA_DIARIA!AH120+CARGA_DIARIA!AI120+CARGA_DIARIA!AJ120)/CARGA_DIARIA!#REF!+CARGA_DIARIA!AF120))</f>
        <v>#REF!</v>
      </c>
      <c r="D120" s="36" t="e">
        <f>IF(CARGA_DIARIA!B120="","",IF(CARGA_DIARIA!#REF!=0,0,(CARGA_DIARIA!J120+CARGA_DIARIA!K120+CARGA_DIARIA!L120+CARGA_DIARIA!M120+CARGA_DIARIA!N120+CARGA_DIARIA!O120+CARGA_DIARIA!P120+CARGA_DIARIA!Q120+CARGA_DIARIA!R120+CARGA_DIARIA!S120+CARGA_DIARIA!T120+CARGA_DIARIA!U120+CARGA_DIARIA!V120+CARGA_DIARIA!W120)/CARGA_DIARIA!#REF!))</f>
        <v>#REF!</v>
      </c>
      <c r="E120" s="36" t="e">
        <f>IF(CARGA_DIARIA!B120="","",IF(CARGA_DIARIA!#REF!=0,0,(CARGA_DIARIA!X120+CARGA_DIARIA!Y120+CARGA_DIARIA!Z120+CARGA_DIARIA!AA120)/CARGA_DIARIA!#REF!+CARGA_DIARIA!AB120+CARGA_DIARIA!AC120+CARGA_DIARIA!AD120+CARGA_DIARIA!AE120))</f>
        <v>#REF!</v>
      </c>
      <c r="F120" s="39" t="s">
        <v>146</v>
      </c>
      <c r="G120" s="39" t="s">
        <v>146</v>
      </c>
      <c r="H120" s="38" t="e">
        <f>IF(CARGA_DIARIA!B120="","",C120-D120-E120)</f>
        <v>#REF!</v>
      </c>
    </row>
    <row r="121" spans="1:8" ht="15.75" customHeight="1" x14ac:dyDescent="0.25">
      <c r="A121" s="33">
        <f>IF(CARGA_DIARIA!B121="","",CARGA_DIARIA!B121)</f>
        <v>1488</v>
      </c>
      <c r="B121" s="34" t="e">
        <f>IF(CARGA_DIARIA!B121="","",CARGA_DIARIA!#REF!)</f>
        <v>#REF!</v>
      </c>
      <c r="C121" s="35" t="e">
        <f>IF(CARGA_DIARIA!B121="","",IF(CARGA_DIARIA!#REF!=0,0,(CARGA_DIARIA!C121+CARGA_DIARIA!D121+CARGA_DIARIA!E121+CARGA_DIARIA!F121+CARGA_DIARIA!G121+CARGA_DIARIA!H121+CARGA_DIARIA!I121+CARGA_DIARIA!AG121+CARGA_DIARIA!AH121+CARGA_DIARIA!AI121+CARGA_DIARIA!AJ121)/CARGA_DIARIA!#REF!+CARGA_DIARIA!AF121))</f>
        <v>#REF!</v>
      </c>
      <c r="D121" s="36" t="e">
        <f>IF(CARGA_DIARIA!B121="","",IF(CARGA_DIARIA!#REF!=0,0,(CARGA_DIARIA!J121+CARGA_DIARIA!K121+CARGA_DIARIA!L121+CARGA_DIARIA!M121+CARGA_DIARIA!N121+CARGA_DIARIA!O121+CARGA_DIARIA!P121+CARGA_DIARIA!Q121+CARGA_DIARIA!R121+CARGA_DIARIA!S121+CARGA_DIARIA!T121+CARGA_DIARIA!U121+CARGA_DIARIA!V121+CARGA_DIARIA!W121)/CARGA_DIARIA!#REF!))</f>
        <v>#REF!</v>
      </c>
      <c r="E121" s="36" t="e">
        <f>IF(CARGA_DIARIA!B121="","",IF(CARGA_DIARIA!#REF!=0,0,(CARGA_DIARIA!X121+CARGA_DIARIA!Y121+CARGA_DIARIA!Z121+CARGA_DIARIA!AA121)/CARGA_DIARIA!#REF!+CARGA_DIARIA!AB121+CARGA_DIARIA!AC121+CARGA_DIARIA!AD121+CARGA_DIARIA!AE121))</f>
        <v>#REF!</v>
      </c>
      <c r="F121" s="39" t="s">
        <v>146</v>
      </c>
      <c r="G121" s="39" t="s">
        <v>146</v>
      </c>
      <c r="H121" s="38" t="e">
        <f>IF(CARGA_DIARIA!B121="","",C121-D121-E121)</f>
        <v>#REF!</v>
      </c>
    </row>
    <row r="122" spans="1:8" ht="15.75" customHeight="1" x14ac:dyDescent="0.25">
      <c r="A122" s="33">
        <f>IF(CARGA_DIARIA!B122="","",CARGA_DIARIA!B122)</f>
        <v>1487.5</v>
      </c>
      <c r="B122" s="34" t="e">
        <f>IF(CARGA_DIARIA!B122="","",CARGA_DIARIA!#REF!)</f>
        <v>#REF!</v>
      </c>
      <c r="C122" s="35" t="e">
        <f>IF(CARGA_DIARIA!B122="","",IF(CARGA_DIARIA!#REF!=0,0,(CARGA_DIARIA!C122+CARGA_DIARIA!D122+CARGA_DIARIA!E122+CARGA_DIARIA!F122+CARGA_DIARIA!G122+CARGA_DIARIA!H122+CARGA_DIARIA!I122+CARGA_DIARIA!AG122+CARGA_DIARIA!AH122+CARGA_DIARIA!AI122+CARGA_DIARIA!AJ122)/CARGA_DIARIA!#REF!+CARGA_DIARIA!AF122))</f>
        <v>#REF!</v>
      </c>
      <c r="D122" s="36" t="e">
        <f>IF(CARGA_DIARIA!B122="","",IF(CARGA_DIARIA!#REF!=0,0,(CARGA_DIARIA!J122+CARGA_DIARIA!K122+CARGA_DIARIA!L122+CARGA_DIARIA!M122+CARGA_DIARIA!N122+CARGA_DIARIA!O122+CARGA_DIARIA!P122+CARGA_DIARIA!Q122+CARGA_DIARIA!R122+CARGA_DIARIA!S122+CARGA_DIARIA!T122+CARGA_DIARIA!U122+CARGA_DIARIA!V122+CARGA_DIARIA!W122)/CARGA_DIARIA!#REF!))</f>
        <v>#REF!</v>
      </c>
      <c r="E122" s="36" t="e">
        <f>IF(CARGA_DIARIA!B122="","",IF(CARGA_DIARIA!#REF!=0,0,(CARGA_DIARIA!X122+CARGA_DIARIA!Y122+CARGA_DIARIA!Z122+CARGA_DIARIA!AA122)/CARGA_DIARIA!#REF!+CARGA_DIARIA!AB122+CARGA_DIARIA!AC122+CARGA_DIARIA!AD122+CARGA_DIARIA!AE122))</f>
        <v>#REF!</v>
      </c>
      <c r="F122" s="39" t="s">
        <v>146</v>
      </c>
      <c r="G122" s="39" t="s">
        <v>146</v>
      </c>
      <c r="H122" s="38" t="e">
        <f>IF(CARGA_DIARIA!B122="","",C122-D122-E122)</f>
        <v>#REF!</v>
      </c>
    </row>
    <row r="123" spans="1:8" ht="15.75" customHeight="1" x14ac:dyDescent="0.25">
      <c r="A123" s="33">
        <f>IF(CARGA_DIARIA!B123="","",CARGA_DIARIA!B123)</f>
        <v>1487</v>
      </c>
      <c r="B123" s="34" t="e">
        <f>IF(CARGA_DIARIA!B123="","",CARGA_DIARIA!#REF!)</f>
        <v>#REF!</v>
      </c>
      <c r="C123" s="35" t="e">
        <f>IF(CARGA_DIARIA!B123="","",IF(CARGA_DIARIA!#REF!=0,0,(CARGA_DIARIA!C123+CARGA_DIARIA!D123+CARGA_DIARIA!E123+CARGA_DIARIA!F123+CARGA_DIARIA!G123+CARGA_DIARIA!H123+CARGA_DIARIA!I123+CARGA_DIARIA!AG123+CARGA_DIARIA!AH123+CARGA_DIARIA!AI123+CARGA_DIARIA!AJ123)/CARGA_DIARIA!#REF!+CARGA_DIARIA!AF123))</f>
        <v>#REF!</v>
      </c>
      <c r="D123" s="36" t="e">
        <f>IF(CARGA_DIARIA!B123="","",IF(CARGA_DIARIA!#REF!=0,0,(CARGA_DIARIA!J123+CARGA_DIARIA!K123+CARGA_DIARIA!L123+CARGA_DIARIA!M123+CARGA_DIARIA!N123+CARGA_DIARIA!O123+CARGA_DIARIA!P123+CARGA_DIARIA!Q123+CARGA_DIARIA!R123+CARGA_DIARIA!S123+CARGA_DIARIA!T123+CARGA_DIARIA!U123+CARGA_DIARIA!V123+CARGA_DIARIA!W123)/CARGA_DIARIA!#REF!))</f>
        <v>#REF!</v>
      </c>
      <c r="E123" s="36" t="e">
        <f>IF(CARGA_DIARIA!B123="","",IF(CARGA_DIARIA!#REF!=0,0,(CARGA_DIARIA!X123+CARGA_DIARIA!Y123+CARGA_DIARIA!Z123+CARGA_DIARIA!AA123)/CARGA_DIARIA!#REF!+CARGA_DIARIA!AB123+CARGA_DIARIA!AC123+CARGA_DIARIA!AD123+CARGA_DIARIA!AE123))</f>
        <v>#REF!</v>
      </c>
      <c r="F123" s="39" t="s">
        <v>146</v>
      </c>
      <c r="G123" s="39" t="s">
        <v>146</v>
      </c>
      <c r="H123" s="38" t="e">
        <f>IF(CARGA_DIARIA!B123="","",C123-D123-E123)</f>
        <v>#REF!</v>
      </c>
    </row>
    <row r="124" spans="1:8" ht="15.75" customHeight="1" x14ac:dyDescent="0.25">
      <c r="A124" s="33">
        <f>IF(CARGA_DIARIA!B124="","",CARGA_DIARIA!B124)</f>
        <v>1482.5</v>
      </c>
      <c r="B124" s="34" t="e">
        <f>IF(CARGA_DIARIA!B124="","",CARGA_DIARIA!#REF!)</f>
        <v>#REF!</v>
      </c>
      <c r="C124" s="35" t="e">
        <f>IF(CARGA_DIARIA!B124="","",IF(CARGA_DIARIA!#REF!=0,0,(CARGA_DIARIA!C124+CARGA_DIARIA!D124+CARGA_DIARIA!E124+CARGA_DIARIA!F124+CARGA_DIARIA!G124+CARGA_DIARIA!H124+CARGA_DIARIA!I124+CARGA_DIARIA!AG124+CARGA_DIARIA!AH124+CARGA_DIARIA!AI124+CARGA_DIARIA!AJ124)/CARGA_DIARIA!#REF!+CARGA_DIARIA!AF124))</f>
        <v>#REF!</v>
      </c>
      <c r="D124" s="36" t="e">
        <f>IF(CARGA_DIARIA!B124="","",IF(CARGA_DIARIA!#REF!=0,0,(CARGA_DIARIA!J124+CARGA_DIARIA!K124+CARGA_DIARIA!L124+CARGA_DIARIA!M124+CARGA_DIARIA!N124+CARGA_DIARIA!O124+CARGA_DIARIA!P124+CARGA_DIARIA!Q124+CARGA_DIARIA!R124+CARGA_DIARIA!S124+CARGA_DIARIA!T124+CARGA_DIARIA!U124+CARGA_DIARIA!V124+CARGA_DIARIA!W124)/CARGA_DIARIA!#REF!))</f>
        <v>#REF!</v>
      </c>
      <c r="E124" s="36" t="e">
        <f>IF(CARGA_DIARIA!B124="","",IF(CARGA_DIARIA!#REF!=0,0,(CARGA_DIARIA!X124+CARGA_DIARIA!Y124+CARGA_DIARIA!Z124+CARGA_DIARIA!AA124)/CARGA_DIARIA!#REF!+CARGA_DIARIA!AB124+CARGA_DIARIA!AC124+CARGA_DIARIA!AD124+CARGA_DIARIA!AE124))</f>
        <v>#REF!</v>
      </c>
      <c r="F124" s="39" t="s">
        <v>146</v>
      </c>
      <c r="G124" s="39" t="s">
        <v>146</v>
      </c>
      <c r="H124" s="38" t="e">
        <f>IF(CARGA_DIARIA!B124="","",C124-D124-E124)</f>
        <v>#REF!</v>
      </c>
    </row>
    <row r="125" spans="1:8" ht="15.75" customHeight="1" x14ac:dyDescent="0.25">
      <c r="A125" s="33">
        <f>IF(CARGA_DIARIA!A125="","",CARGA_DIARIA!A125)</f>
        <v>46218</v>
      </c>
      <c r="B125" s="34">
        <f>IF(CARGA_DIARIA!A125="","",CARGA_DIARIA!B125)</f>
        <v>1473</v>
      </c>
      <c r="C125" s="35">
        <f>IF(CARGA_DIARIA!A125="","",IF(CARGA_DIARIA!B125=0,0,(CARGA_DIARIA!C125+CARGA_DIARIA!D125+CARGA_DIARIA!E125+CARGA_DIARIA!F125+CARGA_DIARIA!G125+CARGA_DIARIA!H125+CARGA_DIARIA!I125+CARGA_DIARIA!AG125+CARGA_DIARIA!AH125+CARGA_DIARIA!AI125+CARGA_DIARIA!AJ125)/CARGA_DIARIA!B125+CARGA_DIARIA!AF125))</f>
        <v>35175810.07147488</v>
      </c>
      <c r="D125" s="36">
        <f>IF(CARGA_DIARIA!A125="","",IF(CARGA_DIARIA!B125=0,0,(CARGA_DIARIA!J125+CARGA_DIARIA!K125+CARGA_DIARIA!L125+CARGA_DIARIA!M125+CARGA_DIARIA!N125+CARGA_DIARIA!O125+CARGA_DIARIA!P125+CARGA_DIARIA!Q125+CARGA_DIARIA!R125+CARGA_DIARIA!S125+CARGA_DIARIA!T125+CARGA_DIARIA!U125+CARGA_DIARIA!V125+CARGA_DIARIA!W125)/CARGA_DIARIA!B125))</f>
        <v>787762.66191446024</v>
      </c>
      <c r="E125" s="36">
        <f>IF(CARGA_DIARIA!A125="","",IF(CARGA_DIARIA!B125=0,0,(CARGA_DIARIA!X125+CARGA_DIARIA!Y125+CARGA_DIARIA!Z125+CARGA_DIARIA!AA125)/CARGA_DIARIA!B125+CARGA_DIARIA!AB125+CARGA_DIARIA!AC125+CARGA_DIARIA!AD125+CARGA_DIARIA!AE125))</f>
        <v>25430698.341934688</v>
      </c>
      <c r="F125" s="39" t="s">
        <v>146</v>
      </c>
      <c r="G125" s="39" t="s">
        <v>146</v>
      </c>
      <c r="H125" s="38">
        <f>IF(CARGA_DIARIA!A125="","",C125-D125-E125)</f>
        <v>8957349.0676257312</v>
      </c>
    </row>
    <row r="126" spans="1:8" ht="15.75" customHeight="1" x14ac:dyDescent="0.25">
      <c r="A126" s="33">
        <f>IF(CARGA_DIARIA!A126="","",CARGA_DIARIA!A126)</f>
        <v>46219</v>
      </c>
      <c r="B126" s="34">
        <f>IF(CARGA_DIARIA!A126="","",CARGA_DIARIA!B126)</f>
        <v>1466</v>
      </c>
      <c r="C126" s="35">
        <f>IF(CARGA_DIARIA!A126="","",IF(CARGA_DIARIA!B126=0,0,(CARGA_DIARIA!C126+CARGA_DIARIA!D126+CARGA_DIARIA!E126+CARGA_DIARIA!F126+CARGA_DIARIA!G126+CARGA_DIARIA!H126+CARGA_DIARIA!I126+CARGA_DIARIA!AG126+CARGA_DIARIA!AH126+CARGA_DIARIA!AI126+CARGA_DIARIA!AJ126)/CARGA_DIARIA!B126+CARGA_DIARIA!AF126))</f>
        <v>49177894.242371075</v>
      </c>
      <c r="D126" s="36">
        <f>IF(CARGA_DIARIA!A126="","",IF(CARGA_DIARIA!B126=0,0,(CARGA_DIARIA!J126+CARGA_DIARIA!K126+CARGA_DIARIA!L126+CARGA_DIARIA!M126+CARGA_DIARIA!N126+CARGA_DIARIA!O126+CARGA_DIARIA!P126+CARGA_DIARIA!Q126+CARGA_DIARIA!R126+CARGA_DIARIA!S126+CARGA_DIARIA!T126+CARGA_DIARIA!U126+CARGA_DIARIA!V126+CARGA_DIARIA!W126)/CARGA_DIARIA!B126))</f>
        <v>511705.62346521148</v>
      </c>
      <c r="E126" s="36">
        <f>IF(CARGA_DIARIA!A126="","",IF(CARGA_DIARIA!B126=0,0,(CARGA_DIARIA!X126+CARGA_DIARIA!Y126+CARGA_DIARIA!Z126+CARGA_DIARIA!AA126)/CARGA_DIARIA!B126+CARGA_DIARIA!AB126+CARGA_DIARIA!AC126+CARGA_DIARIA!AD126+CARGA_DIARIA!AE126))</f>
        <v>25637323.119888701</v>
      </c>
      <c r="F126" s="39" t="s">
        <v>146</v>
      </c>
      <c r="G126" s="39" t="s">
        <v>146</v>
      </c>
      <c r="H126" s="38">
        <f>IF(CARGA_DIARIA!A126="","",C126-D126-E126)</f>
        <v>23028865.499017164</v>
      </c>
    </row>
    <row r="127" spans="1:8" ht="15.75" customHeight="1" x14ac:dyDescent="0.25">
      <c r="A127" s="33">
        <f>IF(CARGA_DIARIA!A127="","",CARGA_DIARIA!A127)</f>
        <v>46220</v>
      </c>
      <c r="B127" s="34">
        <f>IF(CARGA_DIARIA!A127="","",CARGA_DIARIA!B127)</f>
        <v>1471</v>
      </c>
      <c r="C127" s="35">
        <f>IF(CARGA_DIARIA!A127="","",IF(CARGA_DIARIA!B127=0,0,(CARGA_DIARIA!C127+CARGA_DIARIA!D127+CARGA_DIARIA!E127+CARGA_DIARIA!F127+CARGA_DIARIA!G127+CARGA_DIARIA!H127+CARGA_DIARIA!I127+CARGA_DIARIA!AG127+CARGA_DIARIA!AH127+CARGA_DIARIA!AI127+CARGA_DIARIA!AJ127)/CARGA_DIARIA!B127+CARGA_DIARIA!AF127))</f>
        <v>50241448.402478583</v>
      </c>
      <c r="D127" s="36">
        <f>IF(CARGA_DIARIA!A127="","",IF(CARGA_DIARIA!B127=0,0,(CARGA_DIARIA!J127+CARGA_DIARIA!K127+CARGA_DIARIA!L127+CARGA_DIARIA!M127+CARGA_DIARIA!N127+CARGA_DIARIA!O127+CARGA_DIARIA!P127+CARGA_DIARIA!Q127+CARGA_DIARIA!R127+CARGA_DIARIA!S127+CARGA_DIARIA!T127+CARGA_DIARIA!U127+CARGA_DIARIA!V127+CARGA_DIARIA!W127)/CARGA_DIARIA!B127))</f>
        <v>542846.4377974167</v>
      </c>
      <c r="E127" s="36">
        <f>IF(CARGA_DIARIA!A127="","",IF(CARGA_DIARIA!B127=0,0,(CARGA_DIARIA!X127+CARGA_DIARIA!Y127+CARGA_DIARIA!Z127+CARGA_DIARIA!AA127)/CARGA_DIARIA!B127+CARGA_DIARIA!AB127+CARGA_DIARIA!AC127+CARGA_DIARIA!AD127+CARGA_DIARIA!AE127))</f>
        <v>25964777.063014727</v>
      </c>
      <c r="F127" s="39" t="s">
        <v>146</v>
      </c>
      <c r="G127" s="39" t="s">
        <v>146</v>
      </c>
      <c r="H127" s="38">
        <f>IF(CARGA_DIARIA!A127="","",C127-D127-E127)</f>
        <v>23733824.901666436</v>
      </c>
    </row>
    <row r="128" spans="1:8" ht="15.75" customHeight="1" x14ac:dyDescent="0.25">
      <c r="A128" s="33">
        <f>IF(CARGA_DIARIA!A128="","",CARGA_DIARIA!A128)</f>
        <v>46223</v>
      </c>
      <c r="B128" s="34">
        <f>IF(CARGA_DIARIA!A128="","",CARGA_DIARIA!B128)</f>
        <v>1476</v>
      </c>
      <c r="C128" s="35">
        <f>IF(CARGA_DIARIA!A128="","",IF(CARGA_DIARIA!B128=0,0,(CARGA_DIARIA!C128+CARGA_DIARIA!D128+CARGA_DIARIA!E128+CARGA_DIARIA!F128+CARGA_DIARIA!G128+CARGA_DIARIA!H128+CARGA_DIARIA!I128+CARGA_DIARIA!AG128+CARGA_DIARIA!AH128+CARGA_DIARIA!AI128+CARGA_DIARIA!AJ128)/CARGA_DIARIA!B128+CARGA_DIARIA!AF128))</f>
        <v>49188148.888859071</v>
      </c>
      <c r="D128" s="36">
        <f>IF(CARGA_DIARIA!A128="","",IF(CARGA_DIARIA!B128=0,0,(CARGA_DIARIA!J128+CARGA_DIARIA!K128+CARGA_DIARIA!L128+CARGA_DIARIA!M128+CARGA_DIARIA!N128+CARGA_DIARIA!O128+CARGA_DIARIA!P128+CARGA_DIARIA!Q128+CARGA_DIARIA!R128+CARGA_DIARIA!S128+CARGA_DIARIA!T128+CARGA_DIARIA!U128+CARGA_DIARIA!V128+CARGA_DIARIA!W128)/CARGA_DIARIA!B128))</f>
        <v>640506.90921409219</v>
      </c>
      <c r="E128" s="36">
        <f>IF(CARGA_DIARIA!A128="","",IF(CARGA_DIARIA!B128=0,0,(CARGA_DIARIA!X128+CARGA_DIARIA!Y128+CARGA_DIARIA!Z128+CARGA_DIARIA!AA128)/CARGA_DIARIA!B128+CARGA_DIARIA!AB128+CARGA_DIARIA!AC128+CARGA_DIARIA!AD128+CARGA_DIARIA!AE128))</f>
        <v>24515467.673450194</v>
      </c>
      <c r="F128" s="39" t="s">
        <v>146</v>
      </c>
      <c r="G128" s="39" t="s">
        <v>146</v>
      </c>
      <c r="H128" s="38">
        <f>IF(CARGA_DIARIA!A128="","",C128-D128-E128)</f>
        <v>24032174.306194782</v>
      </c>
    </row>
    <row r="129" spans="1:8" ht="15.75" customHeight="1" x14ac:dyDescent="0.25">
      <c r="A129" s="33">
        <f>IF(CARGA_DIARIA!A129="","",CARGA_DIARIA!A129)</f>
        <v>46224</v>
      </c>
      <c r="B129" s="34">
        <f>IF(CARGA_DIARIA!A129="","",CARGA_DIARIA!B129)</f>
        <v>1476</v>
      </c>
      <c r="C129" s="35">
        <f>IF(CARGA_DIARIA!A129="","",IF(CARGA_DIARIA!B129=0,0,(CARGA_DIARIA!C129+CARGA_DIARIA!D129+CARGA_DIARIA!E129+CARGA_DIARIA!F129+CARGA_DIARIA!G129+CARGA_DIARIA!H129+CARGA_DIARIA!I129+CARGA_DIARIA!AG129+CARGA_DIARIA!AH129+CARGA_DIARIA!AI129+CARGA_DIARIA!AJ129)/CARGA_DIARIA!B129+CARGA_DIARIA!AF129))</f>
        <v>49647489.746398374</v>
      </c>
      <c r="D129" s="36">
        <f>IF(CARGA_DIARIA!A129="","",IF(CARGA_DIARIA!B129=0,0,(CARGA_DIARIA!J129+CARGA_DIARIA!K129+CARGA_DIARIA!L129+CARGA_DIARIA!M129+CARGA_DIARIA!N129+CARGA_DIARIA!O129+CARGA_DIARIA!P129+CARGA_DIARIA!Q129+CARGA_DIARIA!R129+CARGA_DIARIA!S129+CARGA_DIARIA!T129+CARGA_DIARIA!U129+CARGA_DIARIA!V129+CARGA_DIARIA!W129)/CARGA_DIARIA!B129))</f>
        <v>826834.28929539293</v>
      </c>
      <c r="E129" s="36">
        <f>IF(CARGA_DIARIA!A129="","",IF(CARGA_DIARIA!B129=0,0,(CARGA_DIARIA!X129+CARGA_DIARIA!Y129+CARGA_DIARIA!Z129+CARGA_DIARIA!AA129)/CARGA_DIARIA!B129+CARGA_DIARIA!AB129+CARGA_DIARIA!AC129+CARGA_DIARIA!AD129+CARGA_DIARIA!AE129))</f>
        <v>24705984.294290304</v>
      </c>
      <c r="F129" s="39" t="s">
        <v>146</v>
      </c>
      <c r="G129" s="39" t="s">
        <v>146</v>
      </c>
      <c r="H129" s="38">
        <f>IF(CARGA_DIARIA!A129="","",C129-D129-E129)</f>
        <v>24114671.16281268</v>
      </c>
    </row>
    <row r="130" spans="1:8" ht="15.75" customHeight="1" x14ac:dyDescent="0.25">
      <c r="A130" s="33">
        <f>IF(CARGA_DIARIA!A130="","",CARGA_DIARIA!A130)</f>
        <v>46225</v>
      </c>
      <c r="B130" s="34">
        <f>IF(CARGA_DIARIA!A130="","",CARGA_DIARIA!B130)</f>
        <v>1476</v>
      </c>
      <c r="C130" s="35">
        <f>IF(CARGA_DIARIA!A130="","",IF(CARGA_DIARIA!B130=0,0,(CARGA_DIARIA!C130+CARGA_DIARIA!D130+CARGA_DIARIA!E130+CARGA_DIARIA!F130+CARGA_DIARIA!G130+CARGA_DIARIA!H130+CARGA_DIARIA!I130+CARGA_DIARIA!AG130+CARGA_DIARIA!AH130+CARGA_DIARIA!AI130+CARGA_DIARIA!AJ130)/CARGA_DIARIA!B130+CARGA_DIARIA!AF130))</f>
        <v>48281088.365970187</v>
      </c>
      <c r="D130" s="36">
        <f>IF(CARGA_DIARIA!A130="","",IF(CARGA_DIARIA!B130=0,0,(CARGA_DIARIA!J130+CARGA_DIARIA!K130+CARGA_DIARIA!L130+CARGA_DIARIA!M130+CARGA_DIARIA!N130+CARGA_DIARIA!O130+CARGA_DIARIA!P130+CARGA_DIARIA!Q130+CARGA_DIARIA!R130+CARGA_DIARIA!S130+CARGA_DIARIA!T130+CARGA_DIARIA!U130+CARGA_DIARIA!V130+CARGA_DIARIA!W130)/CARGA_DIARIA!B130))</f>
        <v>329439.04471544718</v>
      </c>
      <c r="E130" s="36">
        <f>IF(CARGA_DIARIA!A130="","",IF(CARGA_DIARIA!B130=0,0,(CARGA_DIARIA!X130+CARGA_DIARIA!Y130+CARGA_DIARIA!Z130+CARGA_DIARIA!AA130)/CARGA_DIARIA!B130+CARGA_DIARIA!AB130+CARGA_DIARIA!AC130+CARGA_DIARIA!AD130+CARGA_DIARIA!AE130))</f>
        <v>24494831.342054531</v>
      </c>
      <c r="F130" s="39" t="s">
        <v>146</v>
      </c>
      <c r="G130" s="39" t="s">
        <v>146</v>
      </c>
      <c r="H130" s="38">
        <f>IF(CARGA_DIARIA!A130="","",C130-D130-E130)</f>
        <v>23456817.979200207</v>
      </c>
    </row>
    <row r="131" spans="1:8" ht="15.75" customHeight="1" x14ac:dyDescent="0.25">
      <c r="A131" s="33">
        <f>IF(CARGA_DIARIA!A131="","",CARGA_DIARIA!A131)</f>
        <v>46226</v>
      </c>
      <c r="B131" s="34">
        <f>IF(CARGA_DIARIA!A131="","",CARGA_DIARIA!B131)</f>
        <v>1477</v>
      </c>
      <c r="C131" s="35">
        <f>IF(CARGA_DIARIA!A131="","",IF(CARGA_DIARIA!B131=0,0,(CARGA_DIARIA!C131+CARGA_DIARIA!D131+CARGA_DIARIA!E131+CARGA_DIARIA!F131+CARGA_DIARIA!G131+CARGA_DIARIA!H131+CARGA_DIARIA!I131+CARGA_DIARIA!AG131+CARGA_DIARIA!AH131+CARGA_DIARIA!AI131+CARGA_DIARIA!AJ131)/CARGA_DIARIA!B131+CARGA_DIARIA!AF131))</f>
        <v>48067681.921983071</v>
      </c>
      <c r="D131" s="36">
        <f>IF(CARGA_DIARIA!A131="","",IF(CARGA_DIARIA!B131=0,0,(CARGA_DIARIA!J131+CARGA_DIARIA!K131+CARGA_DIARIA!L131+CARGA_DIARIA!M131+CARGA_DIARIA!N131+CARGA_DIARIA!O131+CARGA_DIARIA!P131+CARGA_DIARIA!Q131+CARGA_DIARIA!R131+CARGA_DIARIA!S131+CARGA_DIARIA!T131+CARGA_DIARIA!U131+CARGA_DIARIA!V131+CARGA_DIARIA!W131)/CARGA_DIARIA!B131))</f>
        <v>418047.60392687883</v>
      </c>
      <c r="E131" s="36">
        <f>IF(CARGA_DIARIA!A131="","",IF(CARGA_DIARIA!B131=0,0,(CARGA_DIARIA!X131+CARGA_DIARIA!Y131+CARGA_DIARIA!Z131+CARGA_DIARIA!AA131)/CARGA_DIARIA!B131+CARGA_DIARIA!AB131+CARGA_DIARIA!AC131+CARGA_DIARIA!AD131+CARGA_DIARIA!AE131))</f>
        <v>28482246.840636462</v>
      </c>
      <c r="F131" s="39" t="s">
        <v>146</v>
      </c>
      <c r="G131" s="39" t="s">
        <v>146</v>
      </c>
      <c r="H131" s="38">
        <f>IF(CARGA_DIARIA!A131="","",C131-D131-E131)</f>
        <v>19167387.477419727</v>
      </c>
    </row>
    <row r="132" spans="1:8" ht="15.75" customHeight="1" x14ac:dyDescent="0.25">
      <c r="A132" s="33">
        <f>IF(CARGA_DIARIA!A132="","",CARGA_DIARIA!A132)</f>
        <v>46227</v>
      </c>
      <c r="B132" s="34">
        <f>IF(CARGA_DIARIA!A132="","",CARGA_DIARIA!B132)</f>
        <v>1487.5</v>
      </c>
      <c r="C132" s="35">
        <f>IF(CARGA_DIARIA!A132="","",IF(CARGA_DIARIA!B132=0,0,(CARGA_DIARIA!C132+CARGA_DIARIA!D132+CARGA_DIARIA!E132+CARGA_DIARIA!F132+CARGA_DIARIA!G132+CARGA_DIARIA!H132+CARGA_DIARIA!I132+CARGA_DIARIA!AG132+CARGA_DIARIA!AH132+CARGA_DIARIA!AI132+CARGA_DIARIA!AJ132)/CARGA_DIARIA!B132+CARGA_DIARIA!AF132))</f>
        <v>47301610.048428565</v>
      </c>
      <c r="D132" s="36">
        <f>IF(CARGA_DIARIA!A132="","",IF(CARGA_DIARIA!B132=0,0,(CARGA_DIARIA!J132+CARGA_DIARIA!K132+CARGA_DIARIA!L132+CARGA_DIARIA!M132+CARGA_DIARIA!N132+CARGA_DIARIA!O132+CARGA_DIARIA!P132+CARGA_DIARIA!Q132+CARGA_DIARIA!R132+CARGA_DIARIA!S132+CARGA_DIARIA!T132+CARGA_DIARIA!U132+CARGA_DIARIA!V132+CARGA_DIARIA!W132)/CARGA_DIARIA!B132))</f>
        <v>523403.13344537816</v>
      </c>
      <c r="E132" s="36">
        <f>IF(CARGA_DIARIA!A132="","",IF(CARGA_DIARIA!B132=0,0,(CARGA_DIARIA!X132+CARGA_DIARIA!Y132+CARGA_DIARIA!Z132+CARGA_DIARIA!AA132)/CARGA_DIARIA!B132+CARGA_DIARIA!AB132+CARGA_DIARIA!AC132+CARGA_DIARIA!AD132+CARGA_DIARIA!AE132))</f>
        <v>24369581.767051756</v>
      </c>
      <c r="F132" s="39" t="s">
        <v>146</v>
      </c>
      <c r="G132" s="39" t="s">
        <v>146</v>
      </c>
      <c r="H132" s="38">
        <f>IF(CARGA_DIARIA!A132="","",C132-D132-E132)</f>
        <v>22408625.147931434</v>
      </c>
    </row>
    <row r="133" spans="1:8" ht="15.75" customHeight="1" x14ac:dyDescent="0.25">
      <c r="A133" s="33">
        <f>IF(CARGA_DIARIA!A133="","",CARGA_DIARIA!A133)</f>
        <v>46230</v>
      </c>
      <c r="B133" s="34">
        <f>IF(CARGA_DIARIA!A133="","",CARGA_DIARIA!B133)</f>
        <v>1491.5</v>
      </c>
      <c r="C133" s="35">
        <f>IF(CARGA_DIARIA!A133="","",IF(CARGA_DIARIA!B133=0,0,(CARGA_DIARIA!C133+CARGA_DIARIA!D133+CARGA_DIARIA!E133+CARGA_DIARIA!F133+CARGA_DIARIA!G133+CARGA_DIARIA!H133+CARGA_DIARIA!I133+CARGA_DIARIA!AG133+CARGA_DIARIA!AH133+CARGA_DIARIA!AI133+CARGA_DIARIA!AJ133)/CARGA_DIARIA!B133+CARGA_DIARIA!AF133))</f>
        <v>47296377.541199461</v>
      </c>
      <c r="D133" s="36">
        <f>IF(CARGA_DIARIA!A133="","",IF(CARGA_DIARIA!B133=0,0,(CARGA_DIARIA!J133+CARGA_DIARIA!K133+CARGA_DIARIA!L133+CARGA_DIARIA!M133+CARGA_DIARIA!N133+CARGA_DIARIA!O133+CARGA_DIARIA!P133+CARGA_DIARIA!Q133+CARGA_DIARIA!R133+CARGA_DIARIA!S133+CARGA_DIARIA!T133+CARGA_DIARIA!U133+CARGA_DIARIA!V133+CARGA_DIARIA!W133)/CARGA_DIARIA!B133))</f>
        <v>485589.91418035532</v>
      </c>
      <c r="E133" s="36">
        <f>IF(CARGA_DIARIA!A133="","",IF(CARGA_DIARIA!B133=0,0,(CARGA_DIARIA!X133+CARGA_DIARIA!Y133+CARGA_DIARIA!Z133+CARGA_DIARIA!AA133)/CARGA_DIARIA!B133+CARGA_DIARIA!AB133+CARGA_DIARIA!AC133+CARGA_DIARIA!AD133+CARGA_DIARIA!AE133))</f>
        <v>27225768.054602578</v>
      </c>
      <c r="F133" s="39" t="s">
        <v>146</v>
      </c>
      <c r="G133" s="39" t="s">
        <v>146</v>
      </c>
      <c r="H133" s="38">
        <f>IF(CARGA_DIARIA!A133="","",C133-D133-E133)</f>
        <v>19585019.572416529</v>
      </c>
    </row>
    <row r="134" spans="1:8" ht="15.75" customHeight="1" x14ac:dyDescent="0.25">
      <c r="A134" s="33">
        <f>IF(CARGA_DIARIA!A134="","",CARGA_DIARIA!A134)</f>
        <v>46231</v>
      </c>
      <c r="B134" s="34">
        <f>IF(CARGA_DIARIA!A134="","",CARGA_DIARIA!B134)</f>
        <v>1493.5</v>
      </c>
      <c r="C134" s="35">
        <f>IF(CARGA_DIARIA!A134="","",IF(CARGA_DIARIA!B134=0,0,(CARGA_DIARIA!C134+CARGA_DIARIA!D134+CARGA_DIARIA!E134+CARGA_DIARIA!F134+CARGA_DIARIA!G134+CARGA_DIARIA!H134+CARGA_DIARIA!I134+CARGA_DIARIA!AG134+CARGA_DIARIA!AH134+CARGA_DIARIA!AI134+CARGA_DIARIA!AJ134)/CARGA_DIARIA!B134+CARGA_DIARIA!AF134))</f>
        <v>48986127.673720457</v>
      </c>
      <c r="D134" s="36">
        <f>IF(CARGA_DIARIA!A134="","",IF(CARGA_DIARIA!B134=0,0,(CARGA_DIARIA!J134+CARGA_DIARIA!K134+CARGA_DIARIA!L134+CARGA_DIARIA!M134+CARGA_DIARIA!N134+CARGA_DIARIA!O134+CARGA_DIARIA!P134+CARGA_DIARIA!Q134+CARGA_DIARIA!R134+CARGA_DIARIA!S134+CARGA_DIARIA!T134+CARGA_DIARIA!U134+CARGA_DIARIA!V134+CARGA_DIARIA!W134)/CARGA_DIARIA!B134))</f>
        <v>306002.74389019085</v>
      </c>
      <c r="E134" s="36">
        <f>IF(CARGA_DIARIA!A134="","",IF(CARGA_DIARIA!B134=0,0,(CARGA_DIARIA!X134+CARGA_DIARIA!Y134+CARGA_DIARIA!Z134+CARGA_DIARIA!AA134)/CARGA_DIARIA!B134+CARGA_DIARIA!AB134+CARGA_DIARIA!AC134+CARGA_DIARIA!AD134+CARGA_DIARIA!AE134))</f>
        <v>27943196.719393957</v>
      </c>
      <c r="F134" s="39" t="s">
        <v>146</v>
      </c>
      <c r="G134" s="39" t="s">
        <v>146</v>
      </c>
      <c r="H134" s="38">
        <f>IF(CARGA_DIARIA!A134="","",C134-D134-E134)</f>
        <v>20736928.210436311</v>
      </c>
    </row>
    <row r="135" spans="1:8" ht="15.75" customHeight="1" x14ac:dyDescent="0.25">
      <c r="A135" s="33">
        <f>IF(CARGA_DIARIA!A135="","",CARGA_DIARIA!A135)</f>
        <v>46232</v>
      </c>
      <c r="B135" s="34">
        <f>IF(CARGA_DIARIA!A135="","",CARGA_DIARIA!B135)</f>
        <v>1493.5</v>
      </c>
      <c r="C135" s="35">
        <f>IF(CARGA_DIARIA!A135="","",IF(CARGA_DIARIA!B135=0,0,(CARGA_DIARIA!C135+CARGA_DIARIA!D135+CARGA_DIARIA!E135+CARGA_DIARIA!F135+CARGA_DIARIA!G135+CARGA_DIARIA!H135+CARGA_DIARIA!I135+CARGA_DIARIA!AG135+CARGA_DIARIA!AH135+CARGA_DIARIA!AI135+CARGA_DIARIA!AJ135)/CARGA_DIARIA!B135+CARGA_DIARIA!AF135))</f>
        <v>49999042.988233678</v>
      </c>
      <c r="D135" s="36">
        <f>IF(CARGA_DIARIA!A135="","",IF(CARGA_DIARIA!B135=0,0,(CARGA_DIARIA!J135+CARGA_DIARIA!K135+CARGA_DIARIA!L135+CARGA_DIARIA!M135+CARGA_DIARIA!N135+CARGA_DIARIA!O135+CARGA_DIARIA!P135+CARGA_DIARIA!Q135+CARGA_DIARIA!R135+CARGA_DIARIA!S135+CARGA_DIARIA!T135+CARGA_DIARIA!U135+CARGA_DIARIA!V135+CARGA_DIARIA!W135)/CARGA_DIARIA!B135))</f>
        <v>346231.29695346503</v>
      </c>
      <c r="E135" s="36">
        <f>IF(CARGA_DIARIA!A135="","",IF(CARGA_DIARIA!B135=0,0,(CARGA_DIARIA!X135+CARGA_DIARIA!Y135+CARGA_DIARIA!Z135+CARGA_DIARIA!AA135)/CARGA_DIARIA!B135+CARGA_DIARIA!AB135+CARGA_DIARIA!AC135+CARGA_DIARIA!AD135+CARGA_DIARIA!AE135))</f>
        <v>27900274.969812438</v>
      </c>
      <c r="F135" s="39" t="s">
        <v>146</v>
      </c>
      <c r="G135" s="39" t="s">
        <v>146</v>
      </c>
      <c r="H135" s="38">
        <f>IF(CARGA_DIARIA!A135="","",C135-D135-E135)</f>
        <v>21752536.721467778</v>
      </c>
    </row>
    <row r="136" spans="1:8" ht="15.75" customHeight="1" x14ac:dyDescent="0.25">
      <c r="A136" s="33">
        <f>IF(CARGA_DIARIA!A136="","",CARGA_DIARIA!A136)</f>
        <v>46233</v>
      </c>
      <c r="B136" s="34">
        <f>IF(CARGA_DIARIA!A136="","",CARGA_DIARIA!B136)</f>
        <v>1496</v>
      </c>
      <c r="C136" s="35">
        <f>IF(CARGA_DIARIA!A136="","",IF(CARGA_DIARIA!B136=0,0,(CARGA_DIARIA!C136+CARGA_DIARIA!D136+CARGA_DIARIA!E136+CARGA_DIARIA!F136+CARGA_DIARIA!G136+CARGA_DIARIA!H136+CARGA_DIARIA!I136+CARGA_DIARIA!AG136+CARGA_DIARIA!AH136+CARGA_DIARIA!AI136+CARGA_DIARIA!AJ136)/CARGA_DIARIA!B136+CARGA_DIARIA!AF136))</f>
        <v>50098470.936427802</v>
      </c>
      <c r="D136" s="36">
        <f>IF(CARGA_DIARIA!A136="","",IF(CARGA_DIARIA!B136=0,0,(CARGA_DIARIA!J136+CARGA_DIARIA!K136+CARGA_DIARIA!L136+CARGA_DIARIA!M136+CARGA_DIARIA!N136+CARGA_DIARIA!O136+CARGA_DIARIA!P136+CARGA_DIARIA!Q136+CARGA_DIARIA!R136+CARGA_DIARIA!S136+CARGA_DIARIA!T136+CARGA_DIARIA!U136+CARGA_DIARIA!V136+CARGA_DIARIA!W136)/CARGA_DIARIA!B136))</f>
        <v>598295.93917112297</v>
      </c>
      <c r="E136" s="36">
        <f>IF(CARGA_DIARIA!A136="","",IF(CARGA_DIARIA!B136=0,0,(CARGA_DIARIA!X136+CARGA_DIARIA!Y136+CARGA_DIARIA!Z136+CARGA_DIARIA!AA136)/CARGA_DIARIA!B136+CARGA_DIARIA!AB136+CARGA_DIARIA!AC136+CARGA_DIARIA!AD136+CARGA_DIARIA!AE136))</f>
        <v>29287088.341165632</v>
      </c>
      <c r="F136" s="39" t="s">
        <v>146</v>
      </c>
      <c r="G136" s="39" t="s">
        <v>146</v>
      </c>
      <c r="H136" s="38">
        <f>IF(CARGA_DIARIA!A136="","",C136-D136-E136)</f>
        <v>20213086.656091049</v>
      </c>
    </row>
    <row r="137" spans="1:8" ht="15.75" customHeight="1" x14ac:dyDescent="0.25">
      <c r="A137" s="33">
        <f>IF(CARGA_DIARIA!A137="","",CARGA_DIARIA!A137)</f>
        <v>46234</v>
      </c>
      <c r="B137" s="34">
        <f>IF(CARGA_DIARIA!A137="","",CARGA_DIARIA!B137)</f>
        <v>1487</v>
      </c>
      <c r="C137" s="35">
        <f>IF(CARGA_DIARIA!A137="","",IF(CARGA_DIARIA!B137=0,0,(CARGA_DIARIA!C137+CARGA_DIARIA!D137+CARGA_DIARIA!E137+CARGA_DIARIA!F137+CARGA_DIARIA!G137+CARGA_DIARIA!H137+CARGA_DIARIA!I137+CARGA_DIARIA!AG137+CARGA_DIARIA!AH137+CARGA_DIARIA!AI137+CARGA_DIARIA!AJ137)/CARGA_DIARIA!B137+CARGA_DIARIA!AF137))</f>
        <v>50545955.938431747</v>
      </c>
      <c r="D137" s="36">
        <f>IF(CARGA_DIARIA!A137="","",IF(CARGA_DIARIA!B137=0,0,(CARGA_DIARIA!J137+CARGA_DIARIA!K137+CARGA_DIARIA!L137+CARGA_DIARIA!M137+CARGA_DIARIA!N137+CARGA_DIARIA!O137+CARGA_DIARIA!P137+CARGA_DIARIA!Q137+CARGA_DIARIA!R137+CARGA_DIARIA!S137+CARGA_DIARIA!T137+CARGA_DIARIA!U137+CARGA_DIARIA!V137+CARGA_DIARIA!W137)/CARGA_DIARIA!B137))</f>
        <v>499291.80833893747</v>
      </c>
      <c r="E137" s="36">
        <f>IF(CARGA_DIARIA!A137="","",IF(CARGA_DIARIA!B137=0,0,(CARGA_DIARIA!X137+CARGA_DIARIA!Y137+CARGA_DIARIA!Z137+CARGA_DIARIA!AA137)/CARGA_DIARIA!B137+CARGA_DIARIA!AB137+CARGA_DIARIA!AC137+CARGA_DIARIA!AD137+CARGA_DIARIA!AE137))</f>
        <v>28776616.682243243</v>
      </c>
      <c r="F137" s="39" t="s">
        <v>146</v>
      </c>
      <c r="G137" s="39" t="s">
        <v>146</v>
      </c>
      <c r="H137" s="38">
        <f>IF(CARGA_DIARIA!A137="","",C137-D137-E137)</f>
        <v>21270047.447849564</v>
      </c>
    </row>
    <row r="138" spans="1:8" ht="15.75" customHeight="1" x14ac:dyDescent="0.25">
      <c r="A138" s="33">
        <f>IF(CARGA_DIARIA!A138="","",CARGA_DIARIA!A138)</f>
        <v>46237</v>
      </c>
      <c r="B138" s="34">
        <f>IF(CARGA_DIARIA!A138="","",CARGA_DIARIA!B138)</f>
        <v>1486.5</v>
      </c>
      <c r="C138" s="35">
        <f>IF(CARGA_DIARIA!A138="","",IF(CARGA_DIARIA!B138=0,0,(CARGA_DIARIA!C138+CARGA_DIARIA!D138+CARGA_DIARIA!E138+CARGA_DIARIA!F138+CARGA_DIARIA!G138+CARGA_DIARIA!H138+CARGA_DIARIA!I138+CARGA_DIARIA!AG138+CARGA_DIARIA!AH138+CARGA_DIARIA!AI138+CARGA_DIARIA!AJ138)/CARGA_DIARIA!B138+CARGA_DIARIA!AF138))</f>
        <v>51741898.471029937</v>
      </c>
      <c r="D138" s="36">
        <f>IF(CARGA_DIARIA!A138="","",IF(CARGA_DIARIA!B138=0,0,(CARGA_DIARIA!J138+CARGA_DIARIA!K138+CARGA_DIARIA!L138+CARGA_DIARIA!M138+CARGA_DIARIA!N138+CARGA_DIARIA!O138+CARGA_DIARIA!P138+CARGA_DIARIA!Q138+CARGA_DIARIA!R138+CARGA_DIARIA!S138+CARGA_DIARIA!T138+CARGA_DIARIA!U138+CARGA_DIARIA!V138+CARGA_DIARIA!W138)/CARGA_DIARIA!B138))</f>
        <v>222727.84998318198</v>
      </c>
      <c r="E138" s="36">
        <f>IF(CARGA_DIARIA!A138="","",IF(CARGA_DIARIA!B138=0,0,(CARGA_DIARIA!X138+CARGA_DIARIA!Y138+CARGA_DIARIA!Z138+CARGA_DIARIA!AA138)/CARGA_DIARIA!B138+CARGA_DIARIA!AB138+CARGA_DIARIA!AC138+CARGA_DIARIA!AD138+CARGA_DIARIA!AE138))</f>
        <v>28897652.585479576</v>
      </c>
      <c r="F138" s="39" t="s">
        <v>146</v>
      </c>
      <c r="G138" s="39" t="s">
        <v>146</v>
      </c>
      <c r="H138" s="38">
        <f>IF(CARGA_DIARIA!A138="","",C138-D138-E138)</f>
        <v>22621518.035567176</v>
      </c>
    </row>
    <row r="139" spans="1:8" ht="15.75" customHeight="1" x14ac:dyDescent="0.25">
      <c r="A139" s="33">
        <f>IF(CARGA_DIARIA!A139="","",CARGA_DIARIA!A139)</f>
        <v>46238</v>
      </c>
      <c r="B139" s="34">
        <f>IF(CARGA_DIARIA!A139="","",CARGA_DIARIA!B139)</f>
        <v>1490</v>
      </c>
      <c r="C139" s="35">
        <f>IF(CARGA_DIARIA!A139="","",IF(CARGA_DIARIA!B139=0,0,(CARGA_DIARIA!C139+CARGA_DIARIA!D139+CARGA_DIARIA!E139+CARGA_DIARIA!F139+CARGA_DIARIA!G139+CARGA_DIARIA!H139+CARGA_DIARIA!I139+CARGA_DIARIA!AG139+CARGA_DIARIA!AH139+CARGA_DIARIA!AI139+CARGA_DIARIA!AJ139)/CARGA_DIARIA!B139+CARGA_DIARIA!AF139))</f>
        <v>45891196.162315436</v>
      </c>
      <c r="D139" s="36">
        <f>IF(CARGA_DIARIA!A139="","",IF(CARGA_DIARIA!B139=0,0,(CARGA_DIARIA!J139+CARGA_DIARIA!K139+CARGA_DIARIA!L139+CARGA_DIARIA!M139+CARGA_DIARIA!N139+CARGA_DIARIA!O139+CARGA_DIARIA!P139+CARGA_DIARIA!Q139+CARGA_DIARIA!R139+CARGA_DIARIA!S139+CARGA_DIARIA!T139+CARGA_DIARIA!U139+CARGA_DIARIA!V139+CARGA_DIARIA!W139)/CARGA_DIARIA!B139))</f>
        <v>423345.53489932884</v>
      </c>
      <c r="E139" s="36">
        <f>IF(CARGA_DIARIA!A139="","",IF(CARGA_DIARIA!B139=0,0,(CARGA_DIARIA!X139+CARGA_DIARIA!Y139+CARGA_DIARIA!Z139+CARGA_DIARIA!AA139)/CARGA_DIARIA!B139+CARGA_DIARIA!AB139+CARGA_DIARIA!AC139+CARGA_DIARIA!AD139+CARGA_DIARIA!AE139))</f>
        <v>29811759.706991144</v>
      </c>
      <c r="F139" s="39" t="s">
        <v>146</v>
      </c>
      <c r="G139" s="39" t="s">
        <v>146</v>
      </c>
      <c r="H139" s="38">
        <f>IF(CARGA_DIARIA!A139="","",C139-D139-E139)</f>
        <v>15656090.920424961</v>
      </c>
    </row>
    <row r="140" spans="1:8" ht="15.75" customHeight="1" x14ac:dyDescent="0.25">
      <c r="A140" s="33">
        <f>IF(CARGA_DIARIA!A140="","",CARGA_DIARIA!A140)</f>
        <v>46239</v>
      </c>
      <c r="B140" s="34">
        <f>IF(CARGA_DIARIA!A140="","",CARGA_DIARIA!B140)</f>
        <v>1494</v>
      </c>
      <c r="C140" s="35">
        <f>IF(CARGA_DIARIA!A140="","",IF(CARGA_DIARIA!B140=0,0,(CARGA_DIARIA!C140+CARGA_DIARIA!D140+CARGA_DIARIA!E140+CARGA_DIARIA!F140+CARGA_DIARIA!G140+CARGA_DIARIA!H140+CARGA_DIARIA!I140+CARGA_DIARIA!AG140+CARGA_DIARIA!AH140+CARGA_DIARIA!AI140+CARGA_DIARIA!AJ140)/CARGA_DIARIA!B140+CARGA_DIARIA!AF140))</f>
        <v>49613981.954918347</v>
      </c>
      <c r="D140" s="36">
        <f>IF(CARGA_DIARIA!A140="","",IF(CARGA_DIARIA!B140=0,0,(CARGA_DIARIA!J140+CARGA_DIARIA!K140+CARGA_DIARIA!L140+CARGA_DIARIA!M140+CARGA_DIARIA!N140+CARGA_DIARIA!O140+CARGA_DIARIA!P140+CARGA_DIARIA!Q140+CARGA_DIARIA!R140+CARGA_DIARIA!S140+CARGA_DIARIA!T140+CARGA_DIARIA!U140+CARGA_DIARIA!V140+CARGA_DIARIA!W140)/CARGA_DIARIA!B140))</f>
        <v>512408.98929049529</v>
      </c>
      <c r="E140" s="36">
        <f>IF(CARGA_DIARIA!A140="","",IF(CARGA_DIARIA!B140=0,0,(CARGA_DIARIA!X140+CARGA_DIARIA!Y140+CARGA_DIARIA!Z140+CARGA_DIARIA!AA140)/CARGA_DIARIA!B140+CARGA_DIARIA!AB140+CARGA_DIARIA!AC140+CARGA_DIARIA!AD140+CARGA_DIARIA!AE140))</f>
        <v>30732531.485565968</v>
      </c>
      <c r="F140" s="39" t="s">
        <v>146</v>
      </c>
      <c r="G140" s="39" t="s">
        <v>146</v>
      </c>
      <c r="H140" s="38">
        <f>IF(CARGA_DIARIA!A140="","",C140-D140-E140)</f>
        <v>18369041.480061881</v>
      </c>
    </row>
    <row r="141" spans="1:8" ht="15.75" customHeight="1" x14ac:dyDescent="0.25">
      <c r="A141" s="33">
        <f>IF(CARGA_DIARIA!A141="","",CARGA_DIARIA!A141)</f>
        <v>46240</v>
      </c>
      <c r="B141" s="34">
        <f>IF(CARGA_DIARIA!A141="","",CARGA_DIARIA!B141)</f>
        <v>1493.5</v>
      </c>
      <c r="C141" s="35">
        <f>IF(CARGA_DIARIA!A141="","",IF(CARGA_DIARIA!B141=0,0,(CARGA_DIARIA!C141+CARGA_DIARIA!D141+CARGA_DIARIA!E141+CARGA_DIARIA!F141+CARGA_DIARIA!G141+CARGA_DIARIA!H141+CARGA_DIARIA!I141+CARGA_DIARIA!AG141+CARGA_DIARIA!AH141+CARGA_DIARIA!AI141+CARGA_DIARIA!AJ141)/CARGA_DIARIA!B141+CARGA_DIARIA!AF141))</f>
        <v>48508863.286739208</v>
      </c>
      <c r="D141" s="36">
        <f>IF(CARGA_DIARIA!A141="","",IF(CARGA_DIARIA!B141=0,0,(CARGA_DIARIA!J141+CARGA_DIARIA!K141+CARGA_DIARIA!L141+CARGA_DIARIA!M141+CARGA_DIARIA!N141+CARGA_DIARIA!O141+CARGA_DIARIA!P141+CARGA_DIARIA!Q141+CARGA_DIARIA!R141+CARGA_DIARIA!S141+CARGA_DIARIA!T141+CARGA_DIARIA!U141+CARGA_DIARIA!V141+CARGA_DIARIA!W141)/CARGA_DIARIA!B141))</f>
        <v>760623.40743220621</v>
      </c>
      <c r="E141" s="36">
        <f>IF(CARGA_DIARIA!A141="","",IF(CARGA_DIARIA!B141=0,0,(CARGA_DIARIA!X141+CARGA_DIARIA!Y141+CARGA_DIARIA!Z141+CARGA_DIARIA!AA141)/CARGA_DIARIA!B141+CARGA_DIARIA!AB141+CARGA_DIARIA!AC141+CARGA_DIARIA!AD141+CARGA_DIARIA!AE141))</f>
        <v>31285960.976269308</v>
      </c>
      <c r="F141" s="39" t="s">
        <v>146</v>
      </c>
      <c r="G141" s="39" t="s">
        <v>146</v>
      </c>
      <c r="H141" s="38">
        <f>IF(CARGA_DIARIA!A141="","",C141-D141-E141)</f>
        <v>16462278.903037693</v>
      </c>
    </row>
    <row r="142" spans="1:8" ht="15.75" customHeight="1" x14ac:dyDescent="0.25">
      <c r="A142" s="33">
        <f>IF(CARGA_DIARIA!A142="","",CARGA_DIARIA!A142)</f>
        <v>46241</v>
      </c>
      <c r="B142" s="34">
        <f>IF(CARGA_DIARIA!A142="","",CARGA_DIARIA!B142)</f>
        <v>1493.5</v>
      </c>
      <c r="C142" s="35">
        <f>IF(CARGA_DIARIA!A142="","",IF(CARGA_DIARIA!B142=0,0,(CARGA_DIARIA!C142+CARGA_DIARIA!D142+CARGA_DIARIA!E142+CARGA_DIARIA!F142+CARGA_DIARIA!G142+CARGA_DIARIA!H142+CARGA_DIARIA!I142+CARGA_DIARIA!AG142+CARGA_DIARIA!AH142+CARGA_DIARIA!AI142+CARGA_DIARIA!AJ142)/CARGA_DIARIA!B142+CARGA_DIARIA!AF142))</f>
        <v>44617504.21730499</v>
      </c>
      <c r="D142" s="36">
        <f>IF(CARGA_DIARIA!A142="","",IF(CARGA_DIARIA!B142=0,0,(CARGA_DIARIA!J142+CARGA_DIARIA!K142+CARGA_DIARIA!L142+CARGA_DIARIA!M142+CARGA_DIARIA!N142+CARGA_DIARIA!O142+CARGA_DIARIA!P142+CARGA_DIARIA!Q142+CARGA_DIARIA!R142+CARGA_DIARIA!S142+CARGA_DIARIA!T142+CARGA_DIARIA!U142+CARGA_DIARIA!V142+CARGA_DIARIA!W142)/CARGA_DIARIA!B142))</f>
        <v>266442.98962169403</v>
      </c>
      <c r="E142" s="36">
        <f>IF(CARGA_DIARIA!A142="","",IF(CARGA_DIARIA!B142=0,0,(CARGA_DIARIA!X142+CARGA_DIARIA!Y142+CARGA_DIARIA!Z142+CARGA_DIARIA!AA142)/CARGA_DIARIA!B142+CARGA_DIARIA!AB142+CARGA_DIARIA!AC142+CARGA_DIARIA!AD142+CARGA_DIARIA!AE142))</f>
        <v>31089396.263848819</v>
      </c>
      <c r="F142" s="39" t="s">
        <v>146</v>
      </c>
      <c r="G142" s="39" t="s">
        <v>146</v>
      </c>
      <c r="H142" s="38">
        <f>IF(CARGA_DIARIA!A142="","",C142-D142-E142)</f>
        <v>13261664.963834479</v>
      </c>
    </row>
    <row r="143" spans="1:8" ht="15.75" customHeight="1" x14ac:dyDescent="0.25">
      <c r="A143" s="33">
        <f>IF(CARGA_DIARIA!A143="","",CARGA_DIARIA!A143)</f>
        <v>46244</v>
      </c>
      <c r="B143" s="34">
        <f>IF(CARGA_DIARIA!A143="","",CARGA_DIARIA!B143)</f>
        <v>1495.5</v>
      </c>
      <c r="C143" s="35">
        <f>IF(CARGA_DIARIA!A143="","",IF(CARGA_DIARIA!B143=0,0,(CARGA_DIARIA!C143+CARGA_DIARIA!D143+CARGA_DIARIA!E143+CARGA_DIARIA!F143+CARGA_DIARIA!G143+CARGA_DIARIA!H143+CARGA_DIARIA!I143+CARGA_DIARIA!AG143+CARGA_DIARIA!AH143+CARGA_DIARIA!AI143+CARGA_DIARIA!AJ143)/CARGA_DIARIA!B143+CARGA_DIARIA!AF143))</f>
        <v>46537728.552436307</v>
      </c>
      <c r="D143" s="36">
        <f>IF(CARGA_DIARIA!A143="","",IF(CARGA_DIARIA!B143=0,0,(CARGA_DIARIA!J143+CARGA_DIARIA!K143+CARGA_DIARIA!L143+CARGA_DIARIA!M143+CARGA_DIARIA!N143+CARGA_DIARIA!O143+CARGA_DIARIA!P143+CARGA_DIARIA!Q143+CARGA_DIARIA!R143+CARGA_DIARIA!S143+CARGA_DIARIA!T143+CARGA_DIARIA!U143+CARGA_DIARIA!V143+CARGA_DIARIA!W143)/CARGA_DIARIA!B143))</f>
        <v>1303476.318288198</v>
      </c>
      <c r="E143" s="36">
        <f>IF(CARGA_DIARIA!A143="","",IF(CARGA_DIARIA!B143=0,0,(CARGA_DIARIA!X143+CARGA_DIARIA!Y143+CARGA_DIARIA!Z143+CARGA_DIARIA!AA143)/CARGA_DIARIA!B143+CARGA_DIARIA!AB143+CARGA_DIARIA!AC143+CARGA_DIARIA!AD143+CARGA_DIARIA!AE143))</f>
        <v>29416138.953238107</v>
      </c>
      <c r="F143" s="39" t="s">
        <v>146</v>
      </c>
      <c r="G143" s="39" t="s">
        <v>146</v>
      </c>
      <c r="H143" s="38">
        <f>IF(CARGA_DIARIA!A143="","",C143-D143-E143)</f>
        <v>15818113.28091</v>
      </c>
    </row>
    <row r="144" spans="1:8" ht="15.75" customHeight="1" x14ac:dyDescent="0.25">
      <c r="A144" s="33">
        <f>IF(CARGA_DIARIA!A144="","",CARGA_DIARIA!A144)</f>
        <v>46245</v>
      </c>
      <c r="B144" s="34">
        <f>IF(CARGA_DIARIA!A144="","",CARGA_DIARIA!B144)</f>
        <v>1495</v>
      </c>
      <c r="C144" s="35">
        <f>IF(CARGA_DIARIA!A144="","",IF(CARGA_DIARIA!B144=0,0,(CARGA_DIARIA!C144+CARGA_DIARIA!D144+CARGA_DIARIA!E144+CARGA_DIARIA!F144+CARGA_DIARIA!G144+CARGA_DIARIA!H144+CARGA_DIARIA!I144+CARGA_DIARIA!AG144+CARGA_DIARIA!AH144+CARGA_DIARIA!AI144+CARGA_DIARIA!AJ144)/CARGA_DIARIA!B144+CARGA_DIARIA!AF144))</f>
        <v>45259442.202719063</v>
      </c>
      <c r="D144" s="36">
        <f>IF(CARGA_DIARIA!A144="","",IF(CARGA_DIARIA!B144=0,0,(CARGA_DIARIA!J144+CARGA_DIARIA!K144+CARGA_DIARIA!L144+CARGA_DIARIA!M144+CARGA_DIARIA!N144+CARGA_DIARIA!O144+CARGA_DIARIA!P144+CARGA_DIARIA!Q144+CARGA_DIARIA!R144+CARGA_DIARIA!S144+CARGA_DIARIA!T144+CARGA_DIARIA!U144+CARGA_DIARIA!V144+CARGA_DIARIA!W144)/CARGA_DIARIA!B144))</f>
        <v>300857.50033444818</v>
      </c>
      <c r="E144" s="36">
        <f>IF(CARGA_DIARIA!A144="","",IF(CARGA_DIARIA!B144=0,0,(CARGA_DIARIA!X144+CARGA_DIARIA!Y144+CARGA_DIARIA!Z144+CARGA_DIARIA!AA144)/CARGA_DIARIA!B144+CARGA_DIARIA!AB144+CARGA_DIARIA!AC144+CARGA_DIARIA!AD144+CARGA_DIARIA!AE144))</f>
        <v>29595312.231565379</v>
      </c>
      <c r="F144" s="39" t="s">
        <v>146</v>
      </c>
      <c r="G144" s="39" t="s">
        <v>146</v>
      </c>
      <c r="H144" s="38">
        <f>IF(CARGA_DIARIA!A144="","",C144-D144-E144)</f>
        <v>15363272.470819235</v>
      </c>
    </row>
    <row r="145" spans="1:8" ht="15.75" customHeight="1" x14ac:dyDescent="0.25">
      <c r="A145" s="33">
        <f>IF(CARGA_DIARIA!A145="","",CARGA_DIARIA!A145)</f>
        <v>46247</v>
      </c>
      <c r="B145" s="34">
        <f>IF(CARGA_DIARIA!A145="","",CARGA_DIARIA!B145)</f>
        <v>1490.5</v>
      </c>
      <c r="C145" s="35">
        <f>IF(CARGA_DIARIA!A145="","",IF(CARGA_DIARIA!B145=0,0,(CARGA_DIARIA!C145+CARGA_DIARIA!D145+CARGA_DIARIA!E145+CARGA_DIARIA!F145+CARGA_DIARIA!G145+CARGA_DIARIA!H145+CARGA_DIARIA!I145+CARGA_DIARIA!AG145+CARGA_DIARIA!AH145+CARGA_DIARIA!AI145+CARGA_DIARIA!AJ145)/CARGA_DIARIA!B145+CARGA_DIARIA!AF145))</f>
        <v>44076325.605535053</v>
      </c>
      <c r="D145" s="36">
        <f>IF(CARGA_DIARIA!A145="","",IF(CARGA_DIARIA!B145=0,0,(CARGA_DIARIA!J145+CARGA_DIARIA!K145+CARGA_DIARIA!L145+CARGA_DIARIA!M145+CARGA_DIARIA!N145+CARGA_DIARIA!O145+CARGA_DIARIA!P145+CARGA_DIARIA!Q145+CARGA_DIARIA!R145+CARGA_DIARIA!S145+CARGA_DIARIA!T145+CARGA_DIARIA!U145+CARGA_DIARIA!V145+CARGA_DIARIA!W145)/CARGA_DIARIA!B145))</f>
        <v>332209.77859778597</v>
      </c>
      <c r="E145" s="36">
        <f>IF(CARGA_DIARIA!A145="","",IF(CARGA_DIARIA!B145=0,0,(CARGA_DIARIA!X145+CARGA_DIARIA!Y145+CARGA_DIARIA!Z145+CARGA_DIARIA!AA145)/CARGA_DIARIA!B145+CARGA_DIARIA!AB145+CARGA_DIARIA!AC145+CARGA_DIARIA!AD145+CARGA_DIARIA!AE145))</f>
        <v>30747457.932099395</v>
      </c>
      <c r="F145" s="39" t="s">
        <v>146</v>
      </c>
      <c r="G145" s="39" t="s">
        <v>146</v>
      </c>
      <c r="H145" s="38">
        <f>IF(CARGA_DIARIA!A145="","",C145-D145-E145)</f>
        <v>12996657.894837871</v>
      </c>
    </row>
    <row r="146" spans="1:8" ht="15.75" customHeight="1" x14ac:dyDescent="0.25">
      <c r="A146" s="33">
        <f>IF(CARGA_DIARIA!A146="","",CARGA_DIARIA!A146)</f>
        <v>46248</v>
      </c>
      <c r="B146" s="34">
        <f>IF(CARGA_DIARIA!A146="","",CARGA_DIARIA!B146)</f>
        <v>1488.5</v>
      </c>
      <c r="C146" s="35">
        <f>IF(CARGA_DIARIA!A146="","",IF(CARGA_DIARIA!B146=0,0,(CARGA_DIARIA!C146+CARGA_DIARIA!D146+CARGA_DIARIA!E146+CARGA_DIARIA!F146+CARGA_DIARIA!G146+CARGA_DIARIA!H146+CARGA_DIARIA!I146+CARGA_DIARIA!AG146+CARGA_DIARIA!AH146+CARGA_DIARIA!AI146+CARGA_DIARIA!AJ146)/CARGA_DIARIA!B146+CARGA_DIARIA!AF146))</f>
        <v>44228936.891165599</v>
      </c>
      <c r="D146" s="36">
        <f>IF(CARGA_DIARIA!A146="","",IF(CARGA_DIARIA!B146=0,0,(CARGA_DIARIA!J146+CARGA_DIARIA!K146+CARGA_DIARIA!L146+CARGA_DIARIA!M146+CARGA_DIARIA!N146+CARGA_DIARIA!O146+CARGA_DIARIA!P146+CARGA_DIARIA!Q146+CARGA_DIARIA!R146+CARGA_DIARIA!S146+CARGA_DIARIA!T146+CARGA_DIARIA!U146+CARGA_DIARIA!V146+CARGA_DIARIA!W146)/CARGA_DIARIA!B146))</f>
        <v>807266.77594894194</v>
      </c>
      <c r="E146" s="36">
        <f>IF(CARGA_DIARIA!A146="","",IF(CARGA_DIARIA!B146=0,0,(CARGA_DIARIA!X146+CARGA_DIARIA!Y146+CARGA_DIARIA!Z146+CARGA_DIARIA!AA146)/CARGA_DIARIA!B146+CARGA_DIARIA!AB146+CARGA_DIARIA!AC146+CARGA_DIARIA!AD146+CARGA_DIARIA!AE146))</f>
        <v>29166512.743893027</v>
      </c>
      <c r="F146" s="39" t="s">
        <v>146</v>
      </c>
      <c r="G146" s="39" t="s">
        <v>146</v>
      </c>
      <c r="H146" s="38">
        <f>IF(CARGA_DIARIA!A146="","",C146-D146-E146)</f>
        <v>14255157.37132363</v>
      </c>
    </row>
    <row r="147" spans="1:8" ht="15.75" customHeight="1" x14ac:dyDescent="0.25">
      <c r="A147" s="33">
        <f>IF(CARGA_DIARIA!A147="","",CARGA_DIARIA!A147)</f>
        <v>46252</v>
      </c>
      <c r="B147" s="34">
        <f>IF(CARGA_DIARIA!A147="","",CARGA_DIARIA!B147)</f>
        <v>1485</v>
      </c>
      <c r="C147" s="35">
        <f>IF(CARGA_DIARIA!A147="","",IF(CARGA_DIARIA!B147=0,0,(CARGA_DIARIA!C147+CARGA_DIARIA!D147+CARGA_DIARIA!E147+CARGA_DIARIA!F147+CARGA_DIARIA!G147+CARGA_DIARIA!H147+CARGA_DIARIA!I147+CARGA_DIARIA!AG147+CARGA_DIARIA!AH147+CARGA_DIARIA!AI147+CARGA_DIARIA!AJ147)/CARGA_DIARIA!B147+CARGA_DIARIA!AF147))</f>
        <v>45975007.680784509</v>
      </c>
      <c r="D147" s="36">
        <f>IF(CARGA_DIARIA!A147="","",IF(CARGA_DIARIA!B147=0,0,(CARGA_DIARIA!J147+CARGA_DIARIA!K147+CARGA_DIARIA!L147+CARGA_DIARIA!M147+CARGA_DIARIA!N147+CARGA_DIARIA!O147+CARGA_DIARIA!P147+CARGA_DIARIA!Q147+CARGA_DIARIA!R147+CARGA_DIARIA!S147+CARGA_DIARIA!T147+CARGA_DIARIA!U147+CARGA_DIARIA!V147+CARGA_DIARIA!W147)/CARGA_DIARIA!B147))</f>
        <v>297844.09966329968</v>
      </c>
      <c r="E147" s="36">
        <f>IF(CARGA_DIARIA!A147="","",IF(CARGA_DIARIA!B147=0,0,(CARGA_DIARIA!X147+CARGA_DIARIA!Y147+CARGA_DIARIA!Z147+CARGA_DIARIA!AA147)/CARGA_DIARIA!B147+CARGA_DIARIA!AB147+CARGA_DIARIA!AC147+CARGA_DIARIA!AD147+CARGA_DIARIA!AE147))</f>
        <v>28960495.461353086</v>
      </c>
      <c r="F147" s="39" t="s">
        <v>146</v>
      </c>
      <c r="G147" s="39" t="s">
        <v>146</v>
      </c>
      <c r="H147" s="38">
        <f>IF(CARGA_DIARIA!A147="","",C147-D147-E147)</f>
        <v>16716668.11976812</v>
      </c>
    </row>
    <row r="148" spans="1:8" ht="15.75" customHeight="1" x14ac:dyDescent="0.25">
      <c r="A148" s="33">
        <f>IF(CARGA_DIARIA!A148="","",CARGA_DIARIA!A148)</f>
        <v>46253</v>
      </c>
      <c r="B148" s="34">
        <f>IF(CARGA_DIARIA!A148="","",CARGA_DIARIA!B148)</f>
        <v>1490</v>
      </c>
      <c r="C148" s="35">
        <f>IF(CARGA_DIARIA!A148="","",IF(CARGA_DIARIA!B148=0,0,(CARGA_DIARIA!C148+CARGA_DIARIA!D148+CARGA_DIARIA!E148+CARGA_DIARIA!F148+CARGA_DIARIA!G148+CARGA_DIARIA!H148+CARGA_DIARIA!I148+CARGA_DIARIA!AG148+CARGA_DIARIA!AH148+CARGA_DIARIA!AI148+CARGA_DIARIA!AJ148)/CARGA_DIARIA!B148+CARGA_DIARIA!AF148))</f>
        <v>44704198.686919458</v>
      </c>
      <c r="D148" s="36">
        <f>IF(CARGA_DIARIA!A148="","",IF(CARGA_DIARIA!B148=0,0,(CARGA_DIARIA!J148+CARGA_DIARIA!K148+CARGA_DIARIA!L148+CARGA_DIARIA!M148+CARGA_DIARIA!N148+CARGA_DIARIA!O148+CARGA_DIARIA!P148+CARGA_DIARIA!Q148+CARGA_DIARIA!R148+CARGA_DIARIA!S148+CARGA_DIARIA!T148+CARGA_DIARIA!U148+CARGA_DIARIA!V148+CARGA_DIARIA!W148)/CARGA_DIARIA!B148))</f>
        <v>675086.21275167784</v>
      </c>
      <c r="E148" s="36">
        <f>IF(CARGA_DIARIA!A148="","",IF(CARGA_DIARIA!B148=0,0,(CARGA_DIARIA!X148+CARGA_DIARIA!Y148+CARGA_DIARIA!Z148+CARGA_DIARIA!AA148)/CARGA_DIARIA!B148+CARGA_DIARIA!AB148+CARGA_DIARIA!AC148+CARGA_DIARIA!AD148+CARGA_DIARIA!AE148))</f>
        <v>28713555.957010034</v>
      </c>
      <c r="F148" s="39" t="s">
        <v>146</v>
      </c>
      <c r="G148" s="39" t="s">
        <v>146</v>
      </c>
      <c r="H148" s="38">
        <f>IF(CARGA_DIARIA!A148="","",C148-D148-E148)</f>
        <v>15315556.517157745</v>
      </c>
    </row>
    <row r="149" spans="1:8" ht="15.75" customHeight="1" x14ac:dyDescent="0.25">
      <c r="A149" s="33">
        <f>IF(CARGA_DIARIA!A149="","",CARGA_DIARIA!A149)</f>
        <v>46254</v>
      </c>
      <c r="B149" s="34">
        <f>IF(CARGA_DIARIA!A149="","",CARGA_DIARIA!B149)</f>
        <v>1494</v>
      </c>
      <c r="C149" s="35">
        <f>IF(CARGA_DIARIA!A149="","",IF(CARGA_DIARIA!B149=0,0,(CARGA_DIARIA!C149+CARGA_DIARIA!D149+CARGA_DIARIA!E149+CARGA_DIARIA!F149+CARGA_DIARIA!G149+CARGA_DIARIA!H149+CARGA_DIARIA!I149+CARGA_DIARIA!AG149+CARGA_DIARIA!AH149+CARGA_DIARIA!AI149+CARGA_DIARIA!AJ149)/CARGA_DIARIA!B149+CARGA_DIARIA!AF149))</f>
        <v>48537587.949077636</v>
      </c>
      <c r="D149" s="36">
        <f>IF(CARGA_DIARIA!A149="","",IF(CARGA_DIARIA!B149=0,0,(CARGA_DIARIA!J149+CARGA_DIARIA!K149+CARGA_DIARIA!L149+CARGA_DIARIA!M149+CARGA_DIARIA!N149+CARGA_DIARIA!O149+CARGA_DIARIA!P149+CARGA_DIARIA!Q149+CARGA_DIARIA!R149+CARGA_DIARIA!S149+CARGA_DIARIA!T149+CARGA_DIARIA!U149+CARGA_DIARIA!V149+CARGA_DIARIA!W149)/CARGA_DIARIA!B149))</f>
        <v>366892.53413654619</v>
      </c>
      <c r="E149" s="36">
        <f>IF(CARGA_DIARIA!A149="","",IF(CARGA_DIARIA!B149=0,0,(CARGA_DIARIA!X149+CARGA_DIARIA!Y149+CARGA_DIARIA!Z149+CARGA_DIARIA!AA149)/CARGA_DIARIA!B149+CARGA_DIARIA!AB149+CARGA_DIARIA!AC149+CARGA_DIARIA!AD149+CARGA_DIARIA!AE149))</f>
        <v>28865061.931066565</v>
      </c>
      <c r="F149" s="39" t="s">
        <v>146</v>
      </c>
      <c r="G149" s="39" t="s">
        <v>146</v>
      </c>
      <c r="H149" s="38">
        <f>IF(CARGA_DIARIA!A149="","",C149-D149-E149)</f>
        <v>19305633.483874522</v>
      </c>
    </row>
    <row r="150" spans="1:8" ht="15.75" customHeight="1" x14ac:dyDescent="0.25">
      <c r="A150" s="33">
        <f>IF(CARGA_DIARIA!A150="","",CARGA_DIARIA!A150)</f>
        <v>46255</v>
      </c>
      <c r="B150" s="34">
        <f>IF(CARGA_DIARIA!A150="","",CARGA_DIARIA!B150)</f>
        <v>1494</v>
      </c>
      <c r="C150" s="35">
        <f>IF(CARGA_DIARIA!A150="","",IF(CARGA_DIARIA!B150=0,0,(CARGA_DIARIA!C150+CARGA_DIARIA!D150+CARGA_DIARIA!E150+CARGA_DIARIA!F150+CARGA_DIARIA!G150+CARGA_DIARIA!H150+CARGA_DIARIA!I150+CARGA_DIARIA!AG150+CARGA_DIARIA!AH150+CARGA_DIARIA!AI150+CARGA_DIARIA!AJ150)/CARGA_DIARIA!B150+CARGA_DIARIA!AF150))</f>
        <v>46625309.78109505</v>
      </c>
      <c r="D150" s="36">
        <f>IF(CARGA_DIARIA!A150="","",IF(CARGA_DIARIA!B150=0,0,(CARGA_DIARIA!J150+CARGA_DIARIA!K150+CARGA_DIARIA!L150+CARGA_DIARIA!M150+CARGA_DIARIA!N150+CARGA_DIARIA!O150+CARGA_DIARIA!P150+CARGA_DIARIA!Q150+CARGA_DIARIA!R150+CARGA_DIARIA!S150+CARGA_DIARIA!T150+CARGA_DIARIA!U150+CARGA_DIARIA!V150+CARGA_DIARIA!W150)/CARGA_DIARIA!B150))</f>
        <v>885341.38621151273</v>
      </c>
      <c r="E150" s="36">
        <f>IF(CARGA_DIARIA!A150="","",IF(CARGA_DIARIA!B150=0,0,(CARGA_DIARIA!X150+CARGA_DIARIA!Y150+CARGA_DIARIA!Z150+CARGA_DIARIA!AA150)/CARGA_DIARIA!B150+CARGA_DIARIA!AB150+CARGA_DIARIA!AC150+CARGA_DIARIA!AD150+CARGA_DIARIA!AE150))</f>
        <v>28291522.191441394</v>
      </c>
      <c r="F150" s="39" t="s">
        <v>146</v>
      </c>
      <c r="G150" s="39" t="s">
        <v>146</v>
      </c>
      <c r="H150" s="38">
        <f>IF(CARGA_DIARIA!A150="","",C150-D150-E150)</f>
        <v>17448446.203442141</v>
      </c>
    </row>
    <row r="151" spans="1:8" ht="15.75" customHeight="1" x14ac:dyDescent="0.25">
      <c r="A151" s="33">
        <f>IF(CARGA_DIARIA!A151="","",CARGA_DIARIA!A151)</f>
        <v>46258</v>
      </c>
      <c r="B151" s="34">
        <f>IF(CARGA_DIARIA!A151="","",CARGA_DIARIA!B151)</f>
        <v>1494</v>
      </c>
      <c r="C151" s="35">
        <f>IF(CARGA_DIARIA!A151="","",IF(CARGA_DIARIA!B151=0,0,(CARGA_DIARIA!C151+CARGA_DIARIA!D151+CARGA_DIARIA!E151+CARGA_DIARIA!F151+CARGA_DIARIA!G151+CARGA_DIARIA!H151+CARGA_DIARIA!I151+CARGA_DIARIA!AG151+CARGA_DIARIA!AH151+CARGA_DIARIA!AI151+CARGA_DIARIA!AJ151)/CARGA_DIARIA!B151+CARGA_DIARIA!AF151))</f>
        <v>46772814.841081657</v>
      </c>
      <c r="D151" s="36">
        <f>IF(CARGA_DIARIA!A151="","",IF(CARGA_DIARIA!B151=0,0,(CARGA_DIARIA!J151+CARGA_DIARIA!K151+CARGA_DIARIA!L151+CARGA_DIARIA!M151+CARGA_DIARIA!N151+CARGA_DIARIA!O151+CARGA_DIARIA!P151+CARGA_DIARIA!Q151+CARGA_DIARIA!R151+CARGA_DIARIA!S151+CARGA_DIARIA!T151+CARGA_DIARIA!U151+CARGA_DIARIA!V151+CARGA_DIARIA!W151)/CARGA_DIARIA!B151))</f>
        <v>322197.34738955821</v>
      </c>
      <c r="E151" s="36">
        <f>IF(CARGA_DIARIA!A151="","",IF(CARGA_DIARIA!B151=0,0,(CARGA_DIARIA!X151+CARGA_DIARIA!Y151+CARGA_DIARIA!Z151+CARGA_DIARIA!AA151)/CARGA_DIARIA!B151+CARGA_DIARIA!AB151+CARGA_DIARIA!AC151+CARGA_DIARIA!AD151+CARGA_DIARIA!AE151))</f>
        <v>30249805.546300836</v>
      </c>
      <c r="F151" s="39" t="s">
        <v>146</v>
      </c>
      <c r="G151" s="39" t="s">
        <v>146</v>
      </c>
      <c r="H151" s="38">
        <f>IF(CARGA_DIARIA!A151="","",C151-D151-E151)</f>
        <v>16200811.947391264</v>
      </c>
    </row>
    <row r="152" spans="1:8" ht="15.75" customHeight="1" x14ac:dyDescent="0.25">
      <c r="A152" s="33">
        <f>IF(CARGA_DIARIA!A152="","",CARGA_DIARIA!A152)</f>
        <v>46259</v>
      </c>
      <c r="B152" s="34">
        <f>IF(CARGA_DIARIA!A152="","",CARGA_DIARIA!B152)</f>
        <v>1505</v>
      </c>
      <c r="C152" s="35">
        <f>IF(CARGA_DIARIA!A152="","",IF(CARGA_DIARIA!B152=0,0,(CARGA_DIARIA!C152+CARGA_DIARIA!D152+CARGA_DIARIA!E152+CARGA_DIARIA!F152+CARGA_DIARIA!G152+CARGA_DIARIA!H152+CARGA_DIARIA!I152+CARGA_DIARIA!AG152+CARGA_DIARIA!AH152+CARGA_DIARIA!AI152+CARGA_DIARIA!AJ152)/CARGA_DIARIA!B152+CARGA_DIARIA!AF152))</f>
        <v>47187236.84902326</v>
      </c>
      <c r="D152" s="36">
        <f>IF(CARGA_DIARIA!A152="","",IF(CARGA_DIARIA!B152=0,0,(CARGA_DIARIA!J152+CARGA_DIARIA!K152+CARGA_DIARIA!L152+CARGA_DIARIA!M152+CARGA_DIARIA!N152+CARGA_DIARIA!O152+CARGA_DIARIA!P152+CARGA_DIARIA!Q152+CARGA_DIARIA!R152+CARGA_DIARIA!S152+CARGA_DIARIA!T152+CARGA_DIARIA!U152+CARGA_DIARIA!V152+CARGA_DIARIA!W152)/CARGA_DIARIA!B152))</f>
        <v>162370.46976744186</v>
      </c>
      <c r="E152" s="36">
        <f>IF(CARGA_DIARIA!A152="","",IF(CARGA_DIARIA!B152=0,0,(CARGA_DIARIA!X152+CARGA_DIARIA!Y152+CARGA_DIARIA!Z152+CARGA_DIARIA!AA152)/CARGA_DIARIA!B152+CARGA_DIARIA!AB152+CARGA_DIARIA!AC152+CARGA_DIARIA!AD152+CARGA_DIARIA!AE152))</f>
        <v>30205389.438173957</v>
      </c>
      <c r="F152" s="39" t="s">
        <v>146</v>
      </c>
      <c r="G152" s="39" t="s">
        <v>146</v>
      </c>
      <c r="H152" s="38">
        <f>IF(CARGA_DIARIA!A152="","",C152-D152-E152)</f>
        <v>16819476.941081859</v>
      </c>
    </row>
    <row r="153" spans="1:8" ht="15.75" customHeight="1" x14ac:dyDescent="0.25">
      <c r="A153" s="33">
        <f>IF(CARGA_DIARIA!A153="","",CARGA_DIARIA!A153)</f>
        <v>46260</v>
      </c>
      <c r="B153" s="34">
        <f>IF(CARGA_DIARIA!A153="","",CARGA_DIARIA!B153)</f>
        <v>1508</v>
      </c>
      <c r="C153" s="35">
        <f>IF(CARGA_DIARIA!A153="","",IF(CARGA_DIARIA!B153=0,0,(CARGA_DIARIA!C153+CARGA_DIARIA!D153+CARGA_DIARIA!E153+CARGA_DIARIA!F153+CARGA_DIARIA!G153+CARGA_DIARIA!H153+CARGA_DIARIA!I153+CARGA_DIARIA!AG153+CARGA_DIARIA!AH153+CARGA_DIARIA!AI153+CARGA_DIARIA!AJ153)/CARGA_DIARIA!B153+CARGA_DIARIA!AF153))</f>
        <v>44995681.481615387</v>
      </c>
      <c r="D153" s="36">
        <f>IF(CARGA_DIARIA!A153="","",IF(CARGA_DIARIA!B153=0,0,(CARGA_DIARIA!J153+CARGA_DIARIA!K153+CARGA_DIARIA!L153+CARGA_DIARIA!M153+CARGA_DIARIA!N153+CARGA_DIARIA!O153+CARGA_DIARIA!P153+CARGA_DIARIA!Q153+CARGA_DIARIA!R153+CARGA_DIARIA!S153+CARGA_DIARIA!T153+CARGA_DIARIA!U153+CARGA_DIARIA!V153+CARGA_DIARIA!W153)/CARGA_DIARIA!B153))</f>
        <v>472203.0802387268</v>
      </c>
      <c r="E153" s="36">
        <f>IF(CARGA_DIARIA!A153="","",IF(CARGA_DIARIA!B153=0,0,(CARGA_DIARIA!X153+CARGA_DIARIA!Y153+CARGA_DIARIA!Z153+CARGA_DIARIA!AA153)/CARGA_DIARIA!B153+CARGA_DIARIA!AB153+CARGA_DIARIA!AC153+CARGA_DIARIA!AD153+CARGA_DIARIA!AE153))</f>
        <v>30222682.610884063</v>
      </c>
      <c r="F153" s="39" t="s">
        <v>146</v>
      </c>
      <c r="G153" s="39" t="s">
        <v>146</v>
      </c>
      <c r="H153" s="38">
        <f>IF(CARGA_DIARIA!A153="","",C153-D153-E153)</f>
        <v>14300795.790492594</v>
      </c>
    </row>
    <row r="154" spans="1:8" ht="15.75" customHeight="1" x14ac:dyDescent="0.25">
      <c r="A154" s="33">
        <f>IF(CARGA_DIARIA!A154="","",CARGA_DIARIA!A154)</f>
        <v>46261</v>
      </c>
      <c r="B154" s="34">
        <f>IF(CARGA_DIARIA!A154="","",CARGA_DIARIA!B154)</f>
        <v>1510</v>
      </c>
      <c r="C154" s="35">
        <f>IF(CARGA_DIARIA!A154="","",IF(CARGA_DIARIA!B154=0,0,(CARGA_DIARIA!C154+CARGA_DIARIA!D154+CARGA_DIARIA!E154+CARGA_DIARIA!F154+CARGA_DIARIA!G154+CARGA_DIARIA!H154+CARGA_DIARIA!I154+CARGA_DIARIA!AG154+CARGA_DIARIA!AH154+CARGA_DIARIA!AI154+CARGA_DIARIA!AJ154)/CARGA_DIARIA!B154+CARGA_DIARIA!AF154))</f>
        <v>45634646.344735101</v>
      </c>
      <c r="D154" s="36">
        <f>IF(CARGA_DIARIA!A154="","",IF(CARGA_DIARIA!B154=0,0,(CARGA_DIARIA!J154+CARGA_DIARIA!K154+CARGA_DIARIA!L154+CARGA_DIARIA!M154+CARGA_DIARIA!N154+CARGA_DIARIA!O154+CARGA_DIARIA!P154+CARGA_DIARIA!Q154+CARGA_DIARIA!R154+CARGA_DIARIA!S154+CARGA_DIARIA!T154+CARGA_DIARIA!U154+CARGA_DIARIA!V154+CARGA_DIARIA!W154)/CARGA_DIARIA!B154))</f>
        <v>233015.15695364238</v>
      </c>
      <c r="E154" s="36">
        <f>IF(CARGA_DIARIA!A154="","",IF(CARGA_DIARIA!B154=0,0,(CARGA_DIARIA!X154+CARGA_DIARIA!Y154+CARGA_DIARIA!Z154+CARGA_DIARIA!AA154)/CARGA_DIARIA!B154+CARGA_DIARIA!AB154+CARGA_DIARIA!AC154+CARGA_DIARIA!AD154+CARGA_DIARIA!AE154))</f>
        <v>30144659.48230955</v>
      </c>
      <c r="F154" s="39" t="s">
        <v>146</v>
      </c>
      <c r="G154" s="39" t="s">
        <v>146</v>
      </c>
      <c r="H154" s="38">
        <f>IF(CARGA_DIARIA!A154="","",C154-D154-E154)</f>
        <v>15256971.705471911</v>
      </c>
    </row>
    <row r="155" spans="1:8" ht="15.75" customHeight="1" x14ac:dyDescent="0.25">
      <c r="A155" s="33">
        <f>IF(CARGA_DIARIA!A155="","",CARGA_DIARIA!A155)</f>
        <v>46262</v>
      </c>
      <c r="B155" s="34">
        <f>IF(CARGA_DIARIA!A155="","",CARGA_DIARIA!B155)</f>
        <v>1510</v>
      </c>
      <c r="C155" s="35">
        <f>IF(CARGA_DIARIA!A155="","",IF(CARGA_DIARIA!B155=0,0,(CARGA_DIARIA!C155+CARGA_DIARIA!D155+CARGA_DIARIA!E155+CARGA_DIARIA!F155+CARGA_DIARIA!G155+CARGA_DIARIA!H155+CARGA_DIARIA!I155+CARGA_DIARIA!AG155+CARGA_DIARIA!AH155+CARGA_DIARIA!AI155+CARGA_DIARIA!AJ155)/CARGA_DIARIA!B155+CARGA_DIARIA!AF155))</f>
        <v>45578251.216920532</v>
      </c>
      <c r="D155" s="36">
        <f>IF(CARGA_DIARIA!A155="","",IF(CARGA_DIARIA!B155=0,0,(CARGA_DIARIA!J155+CARGA_DIARIA!K155+CARGA_DIARIA!L155+CARGA_DIARIA!M155+CARGA_DIARIA!N155+CARGA_DIARIA!O155+CARGA_DIARIA!P155+CARGA_DIARIA!Q155+CARGA_DIARIA!R155+CARGA_DIARIA!S155+CARGA_DIARIA!T155+CARGA_DIARIA!U155+CARGA_DIARIA!V155+CARGA_DIARIA!W155)/CARGA_DIARIA!B155))</f>
        <v>420696.32781456952</v>
      </c>
      <c r="E155" s="36">
        <f>IF(CARGA_DIARIA!A155="","",IF(CARGA_DIARIA!B155=0,0,(CARGA_DIARIA!X155+CARGA_DIARIA!Y155+CARGA_DIARIA!Z155+CARGA_DIARIA!AA155)/CARGA_DIARIA!B155+CARGA_DIARIA!AB155+CARGA_DIARIA!AC155+CARGA_DIARIA!AD155+CARGA_DIARIA!AE155))</f>
        <v>30364941.370389018</v>
      </c>
      <c r="F155" s="39" t="s">
        <v>146</v>
      </c>
      <c r="G155" s="39" t="s">
        <v>146</v>
      </c>
      <c r="H155" s="38">
        <f>IF(CARGA_DIARIA!A155="","",C155-D155-E155)</f>
        <v>14792613.518716943</v>
      </c>
    </row>
    <row r="156" spans="1:8" ht="15.75" customHeight="1" x14ac:dyDescent="0.25">
      <c r="A156" s="33">
        <f>IF(CARGA_DIARIA!A156="","",CARGA_DIARIA!A156)</f>
        <v>46265</v>
      </c>
      <c r="B156" s="34">
        <f>IF(CARGA_DIARIA!A156="","",CARGA_DIARIA!B156)</f>
        <v>1510.5</v>
      </c>
      <c r="C156" s="35">
        <f>IF(CARGA_DIARIA!A156="","",IF(CARGA_DIARIA!B156=0,0,(CARGA_DIARIA!C156+CARGA_DIARIA!D156+CARGA_DIARIA!E156+CARGA_DIARIA!F156+CARGA_DIARIA!G156+CARGA_DIARIA!H156+CARGA_DIARIA!I156+CARGA_DIARIA!AG156+CARGA_DIARIA!AH156+CARGA_DIARIA!AI156+CARGA_DIARIA!AJ156)/CARGA_DIARIA!B156+CARGA_DIARIA!AF156))</f>
        <v>45673831.186523005</v>
      </c>
      <c r="D156" s="36">
        <f>IF(CARGA_DIARIA!A156="","",IF(CARGA_DIARIA!B156=0,0,(CARGA_DIARIA!J156+CARGA_DIARIA!K156+CARGA_DIARIA!L156+CARGA_DIARIA!M156+CARGA_DIARIA!N156+CARGA_DIARIA!O156+CARGA_DIARIA!P156+CARGA_DIARIA!Q156+CARGA_DIARIA!R156+CARGA_DIARIA!S156+CARGA_DIARIA!T156+CARGA_DIARIA!U156+CARGA_DIARIA!V156+CARGA_DIARIA!W156)/CARGA_DIARIA!B156))</f>
        <v>369179.81396888447</v>
      </c>
      <c r="E156" s="36">
        <f>IF(CARGA_DIARIA!A156="","",IF(CARGA_DIARIA!B156=0,0,(CARGA_DIARIA!X156+CARGA_DIARIA!Y156+CARGA_DIARIA!Z156+CARGA_DIARIA!AA156)/CARGA_DIARIA!B156+CARGA_DIARIA!AB156+CARGA_DIARIA!AC156+CARGA_DIARIA!AD156+CARGA_DIARIA!AE156))</f>
        <v>34559559.025270425</v>
      </c>
      <c r="F156" s="39" t="s">
        <v>146</v>
      </c>
      <c r="G156" s="39" t="s">
        <v>146</v>
      </c>
      <c r="H156" s="38">
        <f>IF(CARGA_DIARIA!A156="","",C156-D156-E156)</f>
        <v>10745092.347283699</v>
      </c>
    </row>
    <row r="157" spans="1:8" ht="15.75" customHeight="1" x14ac:dyDescent="0.25">
      <c r="A157" s="33">
        <f>IF(CARGA_DIARIA!A157="","",CARGA_DIARIA!A157)</f>
        <v>46266</v>
      </c>
      <c r="B157" s="34">
        <f>IF(CARGA_DIARIA!A157="","",CARGA_DIARIA!B157)</f>
        <v>1506</v>
      </c>
      <c r="C157" s="35">
        <f>IF(CARGA_DIARIA!A157="","",IF(CARGA_DIARIA!B157=0,0,(CARGA_DIARIA!C157+CARGA_DIARIA!D157+CARGA_DIARIA!E157+CARGA_DIARIA!F157+CARGA_DIARIA!G157+CARGA_DIARIA!H157+CARGA_DIARIA!I157+CARGA_DIARIA!AG157+CARGA_DIARIA!AH157+CARGA_DIARIA!AI157+CARGA_DIARIA!AJ157)/CARGA_DIARIA!B157+CARGA_DIARIA!AF157))</f>
        <v>46902234.522333339</v>
      </c>
      <c r="D157" s="36">
        <f>IF(CARGA_DIARIA!A157="","",IF(CARGA_DIARIA!B157=0,0,(CARGA_DIARIA!J157+CARGA_DIARIA!K157+CARGA_DIARIA!L157+CARGA_DIARIA!M157+CARGA_DIARIA!N157+CARGA_DIARIA!O157+CARGA_DIARIA!P157+CARGA_DIARIA!Q157+CARGA_DIARIA!R157+CARGA_DIARIA!S157+CARGA_DIARIA!T157+CARGA_DIARIA!U157+CARGA_DIARIA!V157+CARGA_DIARIA!W157)/CARGA_DIARIA!B157))</f>
        <v>386458.9887118194</v>
      </c>
      <c r="E157" s="36">
        <f>IF(CARGA_DIARIA!A157="","",IF(CARGA_DIARIA!B157=0,0,(CARGA_DIARIA!X157+CARGA_DIARIA!Y157+CARGA_DIARIA!Z157+CARGA_DIARIA!AA157)/CARGA_DIARIA!B157+CARGA_DIARIA!AB157+CARGA_DIARIA!AC157+CARGA_DIARIA!AD157+CARGA_DIARIA!AE157))</f>
        <v>34340363.933080293</v>
      </c>
      <c r="F157" s="39" t="s">
        <v>146</v>
      </c>
      <c r="G157" s="39" t="s">
        <v>146</v>
      </c>
      <c r="H157" s="38">
        <f>IF(CARGA_DIARIA!A157="","",C157-D157-E157)</f>
        <v>12175411.600541227</v>
      </c>
    </row>
    <row r="158" spans="1:8" ht="15.75" customHeight="1" x14ac:dyDescent="0.25">
      <c r="A158" s="33">
        <f>IF(CARGA_DIARIA!A158="","",CARGA_DIARIA!A158)</f>
        <v>46267</v>
      </c>
      <c r="B158" s="34">
        <f>IF(CARGA_DIARIA!A158="","",CARGA_DIARIA!B158)</f>
        <v>1509</v>
      </c>
      <c r="C158" s="35">
        <f>IF(CARGA_DIARIA!A158="","",IF(CARGA_DIARIA!B158=0,0,(CARGA_DIARIA!C158+CARGA_DIARIA!D158+CARGA_DIARIA!E158+CARGA_DIARIA!F158+CARGA_DIARIA!G158+CARGA_DIARIA!H158+CARGA_DIARIA!I158+CARGA_DIARIA!AG158+CARGA_DIARIA!AH158+CARGA_DIARIA!AI158+CARGA_DIARIA!AJ158)/CARGA_DIARIA!B158+CARGA_DIARIA!AF158))</f>
        <v>48445898.781292908</v>
      </c>
      <c r="D158" s="36">
        <f>IF(CARGA_DIARIA!A158="","",IF(CARGA_DIARIA!B158=0,0,(CARGA_DIARIA!J158+CARGA_DIARIA!K158+CARGA_DIARIA!L158+CARGA_DIARIA!M158+CARGA_DIARIA!N158+CARGA_DIARIA!O158+CARGA_DIARIA!P158+CARGA_DIARIA!Q158+CARGA_DIARIA!R158+CARGA_DIARIA!S158+CARGA_DIARIA!T158+CARGA_DIARIA!U158+CARGA_DIARIA!V158+CARGA_DIARIA!W158)/CARGA_DIARIA!B158))</f>
        <v>383434.04903909873</v>
      </c>
      <c r="E158" s="36">
        <f>IF(CARGA_DIARIA!A158="","",IF(CARGA_DIARIA!B158=0,0,(CARGA_DIARIA!X158+CARGA_DIARIA!Y158+CARGA_DIARIA!Z158+CARGA_DIARIA!AA158)/CARGA_DIARIA!B158+CARGA_DIARIA!AB158+CARGA_DIARIA!AC158+CARGA_DIARIA!AD158+CARGA_DIARIA!AE158))</f>
        <v>34864748.074413709</v>
      </c>
      <c r="F158" s="39" t="s">
        <v>146</v>
      </c>
      <c r="G158" s="39" t="s">
        <v>146</v>
      </c>
      <c r="H158" s="38">
        <f>IF(CARGA_DIARIA!A158="","",C158-D158-E158)</f>
        <v>13197716.657840103</v>
      </c>
    </row>
    <row r="159" spans="1:8" ht="15.75" customHeight="1" x14ac:dyDescent="0.25">
      <c r="A159" s="33">
        <f>IF(CARGA_DIARIA!A159="","",CARGA_DIARIA!A159)</f>
        <v>46268</v>
      </c>
      <c r="B159" s="34">
        <f>IF(CARGA_DIARIA!A159="","",CARGA_DIARIA!B159)</f>
        <v>1509</v>
      </c>
      <c r="C159" s="35">
        <f>IF(CARGA_DIARIA!A159="","",IF(CARGA_DIARIA!B159=0,0,(CARGA_DIARIA!C159+CARGA_DIARIA!D159+CARGA_DIARIA!E159+CARGA_DIARIA!F159+CARGA_DIARIA!G159+CARGA_DIARIA!H159+CARGA_DIARIA!I159+CARGA_DIARIA!AG159+CARGA_DIARIA!AH159+CARGA_DIARIA!AI159+CARGA_DIARIA!AJ159)/CARGA_DIARIA!B159+CARGA_DIARIA!AF159))</f>
        <v>45216884.901597746</v>
      </c>
      <c r="D159" s="36">
        <f>IF(CARGA_DIARIA!A159="","",IF(CARGA_DIARIA!B159=0,0,(CARGA_DIARIA!J159+CARGA_DIARIA!K159+CARGA_DIARIA!L159+CARGA_DIARIA!M159+CARGA_DIARIA!N159+CARGA_DIARIA!O159+CARGA_DIARIA!P159+CARGA_DIARIA!Q159+CARGA_DIARIA!R159+CARGA_DIARIA!S159+CARGA_DIARIA!T159+CARGA_DIARIA!U159+CARGA_DIARIA!V159+CARGA_DIARIA!W159)/CARGA_DIARIA!B159))</f>
        <v>249681.14777998676</v>
      </c>
      <c r="E159" s="36">
        <f>IF(CARGA_DIARIA!A159="","",IF(CARGA_DIARIA!B159=0,0,(CARGA_DIARIA!X159+CARGA_DIARIA!Y159+CARGA_DIARIA!Z159+CARGA_DIARIA!AA159)/CARGA_DIARIA!B159+CARGA_DIARIA!AB159+CARGA_DIARIA!AC159+CARGA_DIARIA!AD159+CARGA_DIARIA!AE159))</f>
        <v>34349787.141630411</v>
      </c>
      <c r="F159" s="39" t="s">
        <v>146</v>
      </c>
      <c r="G159" s="39" t="s">
        <v>146</v>
      </c>
      <c r="H159" s="38">
        <f>IF(CARGA_DIARIA!A159="","",C159-D159-E159)</f>
        <v>10617416.612187348</v>
      </c>
    </row>
    <row r="160" spans="1:8" ht="15.75" customHeight="1" x14ac:dyDescent="0.25">
      <c r="A160" s="33">
        <f>IF(CARGA_DIARIA!A160="","",CARGA_DIARIA!A160)</f>
        <v>46269</v>
      </c>
      <c r="B160" s="34">
        <f>IF(CARGA_DIARIA!A160="","",CARGA_DIARIA!B160)</f>
        <v>1505.5</v>
      </c>
      <c r="C160" s="35">
        <f>IF(CARGA_DIARIA!A160="","",IF(CARGA_DIARIA!B160=0,0,(CARGA_DIARIA!C160+CARGA_DIARIA!D160+CARGA_DIARIA!E160+CARGA_DIARIA!F160+CARGA_DIARIA!G160+CARGA_DIARIA!H160+CARGA_DIARIA!I160+CARGA_DIARIA!AG160+CARGA_DIARIA!AH160+CARGA_DIARIA!AI160+CARGA_DIARIA!AJ160)/CARGA_DIARIA!B160+CARGA_DIARIA!AF160))</f>
        <v>44097571.128850885</v>
      </c>
      <c r="D160" s="36">
        <f>IF(CARGA_DIARIA!A160="","",IF(CARGA_DIARIA!B160=0,0,(CARGA_DIARIA!J160+CARGA_DIARIA!K160+CARGA_DIARIA!L160+CARGA_DIARIA!M160+CARGA_DIARIA!N160+CARGA_DIARIA!O160+CARGA_DIARIA!P160+CARGA_DIARIA!Q160+CARGA_DIARIA!R160+CARGA_DIARIA!S160+CARGA_DIARIA!T160+CARGA_DIARIA!U160+CARGA_DIARIA!V160+CARGA_DIARIA!W160)/CARGA_DIARIA!B160))</f>
        <v>574273.21355031547</v>
      </c>
      <c r="E160" s="36">
        <f>IF(CARGA_DIARIA!A160="","",IF(CARGA_DIARIA!B160=0,0,(CARGA_DIARIA!X160+CARGA_DIARIA!Y160+CARGA_DIARIA!Z160+CARGA_DIARIA!AA160)/CARGA_DIARIA!B160+CARGA_DIARIA!AB160+CARGA_DIARIA!AC160+CARGA_DIARIA!AD160+CARGA_DIARIA!AE160))</f>
        <v>33946009.419352613</v>
      </c>
      <c r="F160" s="39" t="s">
        <v>146</v>
      </c>
      <c r="G160" s="39" t="s">
        <v>146</v>
      </c>
      <c r="H160" s="38">
        <f>IF(CARGA_DIARIA!A160="","",C160-D160-E160)</f>
        <v>9577288.495947957</v>
      </c>
    </row>
    <row r="161" spans="1:8" ht="15.75" customHeight="1" x14ac:dyDescent="0.25">
      <c r="A161" s="33">
        <f>IF(CARGA_DIARIA!A161="","",CARGA_DIARIA!A161)</f>
        <v>46272</v>
      </c>
      <c r="B161" s="34">
        <f>IF(CARGA_DIARIA!A161="","",CARGA_DIARIA!B161)</f>
        <v>1504</v>
      </c>
      <c r="C161" s="35">
        <f>IF(CARGA_DIARIA!A161="","",IF(CARGA_DIARIA!B161=0,0,(CARGA_DIARIA!C161+CARGA_DIARIA!D161+CARGA_DIARIA!E161+CARGA_DIARIA!F161+CARGA_DIARIA!G161+CARGA_DIARIA!H161+CARGA_DIARIA!I161+CARGA_DIARIA!AG161+CARGA_DIARIA!AH161+CARGA_DIARIA!AI161+CARGA_DIARIA!AJ161)/CARGA_DIARIA!B161+CARGA_DIARIA!AF161))</f>
        <v>44451811.534893617</v>
      </c>
      <c r="D161" s="36">
        <f>IF(CARGA_DIARIA!A161="","",IF(CARGA_DIARIA!B161=0,0,(CARGA_DIARIA!J161+CARGA_DIARIA!K161+CARGA_DIARIA!L161+CARGA_DIARIA!M161+CARGA_DIARIA!N161+CARGA_DIARIA!O161+CARGA_DIARIA!P161+CARGA_DIARIA!Q161+CARGA_DIARIA!R161+CARGA_DIARIA!S161+CARGA_DIARIA!T161+CARGA_DIARIA!U161+CARGA_DIARIA!V161+CARGA_DIARIA!W161)/CARGA_DIARIA!B161))</f>
        <v>599179.6589095745</v>
      </c>
      <c r="E161" s="36">
        <f>IF(CARGA_DIARIA!A161="","",IF(CARGA_DIARIA!B161=0,0,(CARGA_DIARIA!X161+CARGA_DIARIA!Y161+CARGA_DIARIA!Z161+CARGA_DIARIA!AA161)/CARGA_DIARIA!B161+CARGA_DIARIA!AB161+CARGA_DIARIA!AC161+CARGA_DIARIA!AD161+CARGA_DIARIA!AE161))</f>
        <v>33492008.468933355</v>
      </c>
      <c r="F161" s="39" t="s">
        <v>146</v>
      </c>
      <c r="G161" s="39" t="s">
        <v>146</v>
      </c>
      <c r="H161" s="38">
        <f>IF(CARGA_DIARIA!A161="","",C161-D161-E161)</f>
        <v>10360623.407050688</v>
      </c>
    </row>
    <row r="162" spans="1:8" ht="15.75" customHeight="1" x14ac:dyDescent="0.25">
      <c r="A162" s="33">
        <f>IF(CARGA_DIARIA!A162="","",CARGA_DIARIA!A162)</f>
        <v>46273</v>
      </c>
      <c r="B162" s="34">
        <f>IF(CARGA_DIARIA!A162="","",CARGA_DIARIA!B162)</f>
        <v>1509</v>
      </c>
      <c r="C162" s="35">
        <f>IF(CARGA_DIARIA!A162="","",IF(CARGA_DIARIA!B162=0,0,(CARGA_DIARIA!C162+CARGA_DIARIA!D162+CARGA_DIARIA!E162+CARGA_DIARIA!F162+CARGA_DIARIA!G162+CARGA_DIARIA!H162+CARGA_DIARIA!I162+CARGA_DIARIA!AG162+CARGA_DIARIA!AH162+CARGA_DIARIA!AI162+CARGA_DIARIA!AJ162)/CARGA_DIARIA!B162+CARGA_DIARIA!AF162))</f>
        <v>44636526.422746189</v>
      </c>
      <c r="D162" s="36">
        <f>IF(CARGA_DIARIA!A162="","",IF(CARGA_DIARIA!B162=0,0,(CARGA_DIARIA!J162+CARGA_DIARIA!K162+CARGA_DIARIA!L162+CARGA_DIARIA!M162+CARGA_DIARIA!N162+CARGA_DIARIA!O162+CARGA_DIARIA!P162+CARGA_DIARIA!Q162+CARGA_DIARIA!R162+CARGA_DIARIA!S162+CARGA_DIARIA!T162+CARGA_DIARIA!U162+CARGA_DIARIA!V162+CARGA_DIARIA!W162)/CARGA_DIARIA!B162))</f>
        <v>524817.2021206097</v>
      </c>
      <c r="E162" s="36">
        <f>IF(CARGA_DIARIA!A162="","",IF(CARGA_DIARIA!B162=0,0,(CARGA_DIARIA!X162+CARGA_DIARIA!Y162+CARGA_DIARIA!Z162+CARGA_DIARIA!AA162)/CARGA_DIARIA!B162+CARGA_DIARIA!AB162+CARGA_DIARIA!AC162+CARGA_DIARIA!AD162+CARGA_DIARIA!AE162))</f>
        <v>32967888.412152942</v>
      </c>
      <c r="F162" s="39" t="s">
        <v>146</v>
      </c>
      <c r="G162" s="39" t="s">
        <v>146</v>
      </c>
      <c r="H162" s="38">
        <f>IF(CARGA_DIARIA!A162="","",C162-D162-E162)</f>
        <v>11143820.808472637</v>
      </c>
    </row>
    <row r="163" spans="1:8" ht="15.75" customHeight="1" x14ac:dyDescent="0.25">
      <c r="A163" s="33">
        <f>IF(CARGA_DIARIA!A163="","",CARGA_DIARIA!A163)</f>
        <v>46274</v>
      </c>
      <c r="B163" s="34">
        <f>IF(CARGA_DIARIA!A163="","",CARGA_DIARIA!B163)</f>
        <v>1505.5</v>
      </c>
      <c r="C163" s="35">
        <f>IF(CARGA_DIARIA!A163="","",IF(CARGA_DIARIA!B163=0,0,(CARGA_DIARIA!C163+CARGA_DIARIA!D163+CARGA_DIARIA!E163+CARGA_DIARIA!F163+CARGA_DIARIA!G163+CARGA_DIARIA!H163+CARGA_DIARIA!I163+CARGA_DIARIA!AG163+CARGA_DIARIA!AH163+CARGA_DIARIA!AI163+CARGA_DIARIA!AJ163)/CARGA_DIARIA!B163+CARGA_DIARIA!AF163))</f>
        <v>47968839.814338259</v>
      </c>
      <c r="D163" s="36">
        <f>IF(CARGA_DIARIA!A163="","",IF(CARGA_DIARIA!B163=0,0,(CARGA_DIARIA!J163+CARGA_DIARIA!K163+CARGA_DIARIA!L163+CARGA_DIARIA!M163+CARGA_DIARIA!N163+CARGA_DIARIA!O163+CARGA_DIARIA!P163+CARGA_DIARIA!Q163+CARGA_DIARIA!R163+CARGA_DIARIA!S163+CARGA_DIARIA!T163+CARGA_DIARIA!U163+CARGA_DIARIA!V163+CARGA_DIARIA!W163)/CARGA_DIARIA!B163))</f>
        <v>1652148.1560943208</v>
      </c>
      <c r="E163" s="36">
        <f>IF(CARGA_DIARIA!A163="","",IF(CARGA_DIARIA!B163=0,0,(CARGA_DIARIA!X163+CARGA_DIARIA!Y163+CARGA_DIARIA!Z163+CARGA_DIARIA!AA163)/CARGA_DIARIA!B163+CARGA_DIARIA!AB163+CARGA_DIARIA!AC163+CARGA_DIARIA!AD163+CARGA_DIARIA!AE163))</f>
        <v>31235790.869152889</v>
      </c>
      <c r="F163" s="39" t="s">
        <v>146</v>
      </c>
      <c r="G163" s="39" t="s">
        <v>146</v>
      </c>
      <c r="H163" s="38">
        <f>IF(CARGA_DIARIA!A163="","",C163-D163-E163)</f>
        <v>15080900.789091051</v>
      </c>
    </row>
    <row r="164" spans="1:8" ht="15.75" customHeight="1" x14ac:dyDescent="0.25">
      <c r="A164" s="33">
        <f>IF(CARGA_DIARIA!A164="","",CARGA_DIARIA!A164)</f>
        <v>46275</v>
      </c>
      <c r="B164" s="34">
        <f>IF(CARGA_DIARIA!A164="","",CARGA_DIARIA!B164)</f>
        <v>1513</v>
      </c>
      <c r="C164" s="35">
        <f>IF(CARGA_DIARIA!A164="","",IF(CARGA_DIARIA!B164=0,0,(CARGA_DIARIA!C164+CARGA_DIARIA!D164+CARGA_DIARIA!E164+CARGA_DIARIA!F164+CARGA_DIARIA!G164+CARGA_DIARIA!H164+CARGA_DIARIA!I164+CARGA_DIARIA!AG164+CARGA_DIARIA!AH164+CARGA_DIARIA!AI164+CARGA_DIARIA!AJ164)/CARGA_DIARIA!B164+CARGA_DIARIA!AF164))</f>
        <v>44131532.943422675</v>
      </c>
      <c r="D164" s="36">
        <f>IF(CARGA_DIARIA!A164="","",IF(CARGA_DIARIA!B164=0,0,(CARGA_DIARIA!J164+CARGA_DIARIA!K164+CARGA_DIARIA!L164+CARGA_DIARIA!M164+CARGA_DIARIA!N164+CARGA_DIARIA!O164+CARGA_DIARIA!P164+CARGA_DIARIA!Q164+CARGA_DIARIA!R164+CARGA_DIARIA!S164+CARGA_DIARIA!T164+CARGA_DIARIA!U164+CARGA_DIARIA!V164+CARGA_DIARIA!W164)/CARGA_DIARIA!B164))</f>
        <v>520070.05155320553</v>
      </c>
      <c r="E164" s="36">
        <f>IF(CARGA_DIARIA!A164="","",IF(CARGA_DIARIA!B164=0,0,(CARGA_DIARIA!X164+CARGA_DIARIA!Y164+CARGA_DIARIA!Z164+CARGA_DIARIA!AA164)/CARGA_DIARIA!B164+CARGA_DIARIA!AB164+CARGA_DIARIA!AC164+CARGA_DIARIA!AD164+CARGA_DIARIA!AE164))</f>
        <v>31413346.980310109</v>
      </c>
      <c r="F164" s="39" t="s">
        <v>146</v>
      </c>
      <c r="G164" s="39" t="s">
        <v>146</v>
      </c>
      <c r="H164" s="38">
        <f>IF(CARGA_DIARIA!A164="","",C164-D164-E164)</f>
        <v>12198115.911559362</v>
      </c>
    </row>
    <row r="165" spans="1:8" ht="15.75" customHeight="1" x14ac:dyDescent="0.25">
      <c r="A165" s="33">
        <f>IF(CARGA_DIARIA!A165="","",CARGA_DIARIA!A165)</f>
        <v>46276</v>
      </c>
      <c r="B165" s="34">
        <f>IF(CARGA_DIARIA!A165="","",CARGA_DIARIA!B165)</f>
        <v>1509</v>
      </c>
      <c r="C165" s="35">
        <f>IF(CARGA_DIARIA!A165="","",IF(CARGA_DIARIA!B165=0,0,(CARGA_DIARIA!C165+CARGA_DIARIA!D165+CARGA_DIARIA!E165+CARGA_DIARIA!F165+CARGA_DIARIA!G165+CARGA_DIARIA!H165+CARGA_DIARIA!I165+CARGA_DIARIA!AG165+CARGA_DIARIA!AH165+CARGA_DIARIA!AI165+CARGA_DIARIA!AJ165)/CARGA_DIARIA!B165+CARGA_DIARIA!AF165))</f>
        <v>44577413.268119618</v>
      </c>
      <c r="D165" s="36">
        <f>IF(CARGA_DIARIA!A165="","",IF(CARGA_DIARIA!B165=0,0,(CARGA_DIARIA!J165+CARGA_DIARIA!K165+CARGA_DIARIA!L165+CARGA_DIARIA!M165+CARGA_DIARIA!N165+CARGA_DIARIA!O165+CARGA_DIARIA!P165+CARGA_DIARIA!Q165+CARGA_DIARIA!R165+CARGA_DIARIA!S165+CARGA_DIARIA!T165+CARGA_DIARIA!U165+CARGA_DIARIA!V165+CARGA_DIARIA!W165)/CARGA_DIARIA!B165))</f>
        <v>428638.79191517562</v>
      </c>
      <c r="E165" s="36">
        <f>IF(CARGA_DIARIA!A165="","",IF(CARGA_DIARIA!B165=0,0,(CARGA_DIARIA!X165+CARGA_DIARIA!Y165+CARGA_DIARIA!Z165+CARGA_DIARIA!AA165)/CARGA_DIARIA!B165+CARGA_DIARIA!AB165+CARGA_DIARIA!AC165+CARGA_DIARIA!AD165+CARGA_DIARIA!AE165))</f>
        <v>31252558.589091308</v>
      </c>
      <c r="F165" s="39" t="s">
        <v>146</v>
      </c>
      <c r="G165" s="39" t="s">
        <v>146</v>
      </c>
      <c r="H165" s="38">
        <f>IF(CARGA_DIARIA!A165="","",C165-D165-E165)</f>
        <v>12896215.887113132</v>
      </c>
    </row>
    <row r="166" spans="1:8" ht="15.75" customHeight="1" x14ac:dyDescent="0.25">
      <c r="A166" s="33">
        <f>IF(CARGA_DIARIA!A166="","",CARGA_DIARIA!A166)</f>
        <v>46279</v>
      </c>
      <c r="B166" s="34">
        <f>IF(CARGA_DIARIA!A166="","",CARGA_DIARIA!B166)</f>
        <v>1505</v>
      </c>
      <c r="C166" s="35">
        <f>IF(CARGA_DIARIA!A166="","",IF(CARGA_DIARIA!B166=0,0,(CARGA_DIARIA!C166+CARGA_DIARIA!D166+CARGA_DIARIA!E166+CARGA_DIARIA!F166+CARGA_DIARIA!G166+CARGA_DIARIA!H166+CARGA_DIARIA!I166+CARGA_DIARIA!AG166+CARGA_DIARIA!AH166+CARGA_DIARIA!AI166+CARGA_DIARIA!AJ166)/CARGA_DIARIA!B166+CARGA_DIARIA!AF166))</f>
        <v>44874233.380506642</v>
      </c>
      <c r="D166" s="36">
        <f>IF(CARGA_DIARIA!A166="","",IF(CARGA_DIARIA!B166=0,0,(CARGA_DIARIA!J166+CARGA_DIARIA!K166+CARGA_DIARIA!L166+CARGA_DIARIA!M166+CARGA_DIARIA!N166+CARGA_DIARIA!O166+CARGA_DIARIA!P166+CARGA_DIARIA!Q166+CARGA_DIARIA!R166+CARGA_DIARIA!S166+CARGA_DIARIA!T166+CARGA_DIARIA!U166+CARGA_DIARIA!V166+CARGA_DIARIA!W166)/CARGA_DIARIA!B166))</f>
        <v>447764.1169435216</v>
      </c>
      <c r="E166" s="36">
        <f>IF(CARGA_DIARIA!A166="","",IF(CARGA_DIARIA!B166=0,0,(CARGA_DIARIA!X166+CARGA_DIARIA!Y166+CARGA_DIARIA!Z166+CARGA_DIARIA!AA166)/CARGA_DIARIA!B166+CARGA_DIARIA!AB166+CARGA_DIARIA!AC166+CARGA_DIARIA!AD166+CARGA_DIARIA!AE166))</f>
        <v>30689261.767739784</v>
      </c>
      <c r="F166" s="39" t="s">
        <v>146</v>
      </c>
      <c r="G166" s="39" t="s">
        <v>146</v>
      </c>
      <c r="H166" s="38">
        <f>IF(CARGA_DIARIA!A166="","",C166-D166-E166)</f>
        <v>13737207.495823335</v>
      </c>
    </row>
    <row r="167" spans="1:8" ht="15.75" customHeight="1" x14ac:dyDescent="0.25">
      <c r="A167" s="33">
        <f>IF(CARGA_DIARIA!A167="","",CARGA_DIARIA!A167)</f>
        <v>46296</v>
      </c>
      <c r="B167" s="34">
        <f>IF(CARGA_DIARIA!A167="","",CARGA_DIARIA!B167)</f>
        <v>1514</v>
      </c>
      <c r="C167" s="35">
        <f>IF(CARGA_DIARIA!A167="","",IF(CARGA_DIARIA!B167=0,0,(CARGA_DIARIA!C167+CARGA_DIARIA!D167+CARGA_DIARIA!E167+CARGA_DIARIA!F167+CARGA_DIARIA!G167+CARGA_DIARIA!H167+CARGA_DIARIA!I167+CARGA_DIARIA!AG167+CARGA_DIARIA!AH167+CARGA_DIARIA!AI167+CARGA_DIARIA!AJ167)/CARGA_DIARIA!B167+CARGA_DIARIA!AF167))</f>
        <v>36847041.977323644</v>
      </c>
      <c r="D167" s="36">
        <f>IF(CARGA_DIARIA!A167="","",IF(CARGA_DIARIA!B167=0,0,(CARGA_DIARIA!J167+CARGA_DIARIA!K167+CARGA_DIARIA!L167+CARGA_DIARIA!M167+CARGA_DIARIA!N167+CARGA_DIARIA!O167+CARGA_DIARIA!P167+CARGA_DIARIA!Q167+CARGA_DIARIA!R167+CARGA_DIARIA!S167+CARGA_DIARIA!T167+CARGA_DIARIA!U167+CARGA_DIARIA!V167+CARGA_DIARIA!W167)/CARGA_DIARIA!B167))</f>
        <v>407536.3276089828</v>
      </c>
      <c r="E167" s="36">
        <f>IF(CARGA_DIARIA!A167="","",IF(CARGA_DIARIA!B167=0,0,(CARGA_DIARIA!X167+CARGA_DIARIA!Y167+CARGA_DIARIA!Z167+CARGA_DIARIA!AA167)/CARGA_DIARIA!B167+CARGA_DIARIA!AB167+CARGA_DIARIA!AC167+CARGA_DIARIA!AD167+CARGA_DIARIA!AE167))</f>
        <v>29700735.863640554</v>
      </c>
      <c r="F167" s="39" t="s">
        <v>146</v>
      </c>
      <c r="G167" s="39" t="s">
        <v>146</v>
      </c>
      <c r="H167" s="38">
        <f>IF(CARGA_DIARIA!A167="","",C167-D167-E167)</f>
        <v>6738769.7860741094</v>
      </c>
    </row>
    <row r="168" spans="1:8" ht="15.75" customHeight="1" x14ac:dyDescent="0.25">
      <c r="A168" s="33">
        <f>IF(CARGA_DIARIA!A168="","",CARGA_DIARIA!A168)</f>
        <v>46297</v>
      </c>
      <c r="B168" s="34">
        <f>IF(CARGA_DIARIA!A168="","",CARGA_DIARIA!B168)</f>
        <v>1521</v>
      </c>
      <c r="C168" s="35">
        <f>IF(CARGA_DIARIA!A168="","",IF(CARGA_DIARIA!B168=0,0,(CARGA_DIARIA!C168+CARGA_DIARIA!D168+CARGA_DIARIA!E168+CARGA_DIARIA!F168+CARGA_DIARIA!G168+CARGA_DIARIA!H168+CARGA_DIARIA!I168+CARGA_DIARIA!AG168+CARGA_DIARIA!AH168+CARGA_DIARIA!AI168+CARGA_DIARIA!AJ168)/CARGA_DIARIA!B168+CARGA_DIARIA!AF168))</f>
        <v>36823969.62532413</v>
      </c>
      <c r="D168" s="36">
        <f>IF(CARGA_DIARIA!A168="","",IF(CARGA_DIARIA!B168=0,0,(CARGA_DIARIA!J168+CARGA_DIARIA!K168+CARGA_DIARIA!L168+CARGA_DIARIA!M168+CARGA_DIARIA!N168+CARGA_DIARIA!O168+CARGA_DIARIA!P168+CARGA_DIARIA!Q168+CARGA_DIARIA!R168+CARGA_DIARIA!S168+CARGA_DIARIA!T168+CARGA_DIARIA!U168+CARGA_DIARIA!V168+CARGA_DIARIA!W168)/CARGA_DIARIA!B168))</f>
        <v>322139.01577909268</v>
      </c>
      <c r="E168" s="36">
        <f>IF(CARGA_DIARIA!A168="","",IF(CARGA_DIARIA!B168=0,0,(CARGA_DIARIA!X168+CARGA_DIARIA!Y168+CARGA_DIARIA!Z168+CARGA_DIARIA!AA168)/CARGA_DIARIA!B168+CARGA_DIARIA!AB168+CARGA_DIARIA!AC168+CARGA_DIARIA!AD168+CARGA_DIARIA!AE168))</f>
        <v>29349001.44865879</v>
      </c>
      <c r="F168" s="39" t="s">
        <v>146</v>
      </c>
      <c r="G168" s="39" t="s">
        <v>146</v>
      </c>
      <c r="H168" s="38">
        <f>IF(CARGA_DIARIA!A168="","",C168-D168-E168)</f>
        <v>7152829.1608862467</v>
      </c>
    </row>
    <row r="169" spans="1:8" ht="15.75" customHeight="1" x14ac:dyDescent="0.25">
      <c r="A169" s="33">
        <f>IF(CARGA_DIARIA!A169="","",CARGA_DIARIA!A169)</f>
        <v>46300</v>
      </c>
      <c r="B169" s="34">
        <f>IF(CARGA_DIARIA!A169="","",CARGA_DIARIA!B169)</f>
        <v>1520</v>
      </c>
      <c r="C169" s="35">
        <f>IF(CARGA_DIARIA!A169="","",IF(CARGA_DIARIA!B169=0,0,(CARGA_DIARIA!C169+CARGA_DIARIA!D169+CARGA_DIARIA!E169+CARGA_DIARIA!F169+CARGA_DIARIA!G169+CARGA_DIARIA!H169+CARGA_DIARIA!I169+CARGA_DIARIA!AG169+CARGA_DIARIA!AH169+CARGA_DIARIA!AI169+CARGA_DIARIA!AJ169)/CARGA_DIARIA!B169+CARGA_DIARIA!AF169))</f>
        <v>35780274.251421049</v>
      </c>
      <c r="D169" s="36">
        <f>IF(CARGA_DIARIA!A169="","",IF(CARGA_DIARIA!B169=0,0,(CARGA_DIARIA!J169+CARGA_DIARIA!K169+CARGA_DIARIA!L169+CARGA_DIARIA!M169+CARGA_DIARIA!N169+CARGA_DIARIA!O169+CARGA_DIARIA!P169+CARGA_DIARIA!Q169+CARGA_DIARIA!R169+CARGA_DIARIA!S169+CARGA_DIARIA!T169+CARGA_DIARIA!U169+CARGA_DIARIA!V169+CARGA_DIARIA!W169)/CARGA_DIARIA!B169))</f>
        <v>512199.48421052634</v>
      </c>
      <c r="E169" s="36">
        <f>IF(CARGA_DIARIA!A169="","",IF(CARGA_DIARIA!B169=0,0,(CARGA_DIARIA!X169+CARGA_DIARIA!Y169+CARGA_DIARIA!Z169+CARGA_DIARIA!AA169)/CARGA_DIARIA!B169+CARGA_DIARIA!AB169+CARGA_DIARIA!AC169+CARGA_DIARIA!AD169+CARGA_DIARIA!AE169))</f>
        <v>29146762.372636456</v>
      </c>
      <c r="F169" s="39" t="s">
        <v>146</v>
      </c>
      <c r="G169" s="39" t="s">
        <v>146</v>
      </c>
      <c r="H169" s="38">
        <f>IF(CARGA_DIARIA!A169="","",C169-D169-E169)</f>
        <v>6121312.3945740648</v>
      </c>
    </row>
    <row r="170" spans="1:8" ht="15.75" customHeight="1" x14ac:dyDescent="0.25">
      <c r="A170" s="33">
        <f>IF(CARGA_DIARIA!A170="","",CARGA_DIARIA!A170)</f>
        <v>46301</v>
      </c>
      <c r="B170" s="34">
        <f>IF(CARGA_DIARIA!A170="","",CARGA_DIARIA!B170)</f>
        <v>1515.5</v>
      </c>
      <c r="C170" s="35">
        <f>IF(CARGA_DIARIA!A170="","",IF(CARGA_DIARIA!B170=0,0,(CARGA_DIARIA!C170+CARGA_DIARIA!D170+CARGA_DIARIA!E170+CARGA_DIARIA!F170+CARGA_DIARIA!G170+CARGA_DIARIA!H170+CARGA_DIARIA!I170+CARGA_DIARIA!AG170+CARGA_DIARIA!AH170+CARGA_DIARIA!AI170+CARGA_DIARIA!AJ170)/CARGA_DIARIA!B170+CARGA_DIARIA!AF170))</f>
        <v>36016246.963078521</v>
      </c>
      <c r="D170" s="36">
        <f>IF(CARGA_DIARIA!A170="","",IF(CARGA_DIARIA!B170=0,0,(CARGA_DIARIA!J170+CARGA_DIARIA!K170+CARGA_DIARIA!L170+CARGA_DIARIA!M170+CARGA_DIARIA!N170+CARGA_DIARIA!O170+CARGA_DIARIA!P170+CARGA_DIARIA!Q170+CARGA_DIARIA!R170+CARGA_DIARIA!S170+CARGA_DIARIA!T170+CARGA_DIARIA!U170+CARGA_DIARIA!V170+CARGA_DIARIA!W170)/CARGA_DIARIA!B170))</f>
        <v>381617.02210491587</v>
      </c>
      <c r="E170" s="36">
        <f>IF(CARGA_DIARIA!A170="","",IF(CARGA_DIARIA!B170=0,0,(CARGA_DIARIA!X170+CARGA_DIARIA!Y170+CARGA_DIARIA!Z170+CARGA_DIARIA!AA170)/CARGA_DIARIA!B170+CARGA_DIARIA!AB170+CARGA_DIARIA!AC170+CARGA_DIARIA!AD170+CARGA_DIARIA!AE170))</f>
        <v>28932365.864556719</v>
      </c>
      <c r="F170" s="39" t="s">
        <v>146</v>
      </c>
      <c r="G170" s="39" t="s">
        <v>146</v>
      </c>
      <c r="H170" s="38">
        <f>IF(CARGA_DIARIA!A170="","",C170-D170-E170)</f>
        <v>6702264.0764168836</v>
      </c>
    </row>
    <row r="171" spans="1:8" ht="15.75" customHeight="1" x14ac:dyDescent="0.25">
      <c r="A171" s="33">
        <f>IF(CARGA_DIARIA!A171="","",CARGA_DIARIA!A171)</f>
        <v>46302</v>
      </c>
      <c r="B171" s="34">
        <f>IF(CARGA_DIARIA!A171="","",CARGA_DIARIA!B171)</f>
        <v>1518</v>
      </c>
      <c r="C171" s="35">
        <f>IF(CARGA_DIARIA!A171="","",IF(CARGA_DIARIA!B171=0,0,(CARGA_DIARIA!C171+CARGA_DIARIA!D171+CARGA_DIARIA!E171+CARGA_DIARIA!F171+CARGA_DIARIA!G171+CARGA_DIARIA!H171+CARGA_DIARIA!I171+CARGA_DIARIA!AG171+CARGA_DIARIA!AH171+CARGA_DIARIA!AI171+CARGA_DIARIA!AJ171)/CARGA_DIARIA!B171+CARGA_DIARIA!AF171))</f>
        <v>35605790.034786567</v>
      </c>
      <c r="D171" s="36">
        <f>IF(CARGA_DIARIA!A171="","",IF(CARGA_DIARIA!B171=0,0,(CARGA_DIARIA!J171+CARGA_DIARIA!K171+CARGA_DIARIA!L171+CARGA_DIARIA!M171+CARGA_DIARIA!N171+CARGA_DIARIA!O171+CARGA_DIARIA!P171+CARGA_DIARIA!Q171+CARGA_DIARIA!R171+CARGA_DIARIA!S171+CARGA_DIARIA!T171+CARGA_DIARIA!U171+CARGA_DIARIA!V171+CARGA_DIARIA!W171)/CARGA_DIARIA!B171))</f>
        <v>296470.21475625824</v>
      </c>
      <c r="E171" s="36">
        <f>IF(CARGA_DIARIA!A171="","",IF(CARGA_DIARIA!B171=0,0,(CARGA_DIARIA!X171+CARGA_DIARIA!Y171+CARGA_DIARIA!Z171+CARGA_DIARIA!AA171)/CARGA_DIARIA!B171+CARGA_DIARIA!AB171+CARGA_DIARIA!AC171+CARGA_DIARIA!AD171+CARGA_DIARIA!AE171))</f>
        <v>28979482.473018583</v>
      </c>
      <c r="F171" s="39" t="s">
        <v>146</v>
      </c>
      <c r="G171" s="39" t="s">
        <v>146</v>
      </c>
      <c r="H171" s="38">
        <f>IF(CARGA_DIARIA!A171="","",C171-D171-E171)</f>
        <v>6329837.3470117263</v>
      </c>
    </row>
    <row r="172" spans="1:8" ht="15.75" customHeight="1" x14ac:dyDescent="0.25">
      <c r="A172" s="33">
        <f>IF(CARGA_DIARIA!A172="","",CARGA_DIARIA!A172)</f>
        <v>46303</v>
      </c>
      <c r="B172" s="34">
        <f>IF(CARGA_DIARIA!A172="","",CARGA_DIARIA!B172)</f>
        <v>1518.5</v>
      </c>
      <c r="C172" s="35">
        <f>IF(CARGA_DIARIA!A172="","",IF(CARGA_DIARIA!B172=0,0,(CARGA_DIARIA!C172+CARGA_DIARIA!D172+CARGA_DIARIA!E172+CARGA_DIARIA!F172+CARGA_DIARIA!G172+CARGA_DIARIA!H172+CARGA_DIARIA!I172+CARGA_DIARIA!AG172+CARGA_DIARIA!AH172+CARGA_DIARIA!AI172+CARGA_DIARIA!AJ172)/CARGA_DIARIA!B172+CARGA_DIARIA!AF172))</f>
        <v>35745484.357039511</v>
      </c>
      <c r="D172" s="36">
        <f>IF(CARGA_DIARIA!A172="","",IF(CARGA_DIARIA!B172=0,0,(CARGA_DIARIA!J172+CARGA_DIARIA!K172+CARGA_DIARIA!L172+CARGA_DIARIA!M172+CARGA_DIARIA!N172+CARGA_DIARIA!O172+CARGA_DIARIA!P172+CARGA_DIARIA!Q172+CARGA_DIARIA!R172+CARGA_DIARIA!S172+CARGA_DIARIA!T172+CARGA_DIARIA!U172+CARGA_DIARIA!V172+CARGA_DIARIA!W172)/CARGA_DIARIA!B172))</f>
        <v>442367.87158379977</v>
      </c>
      <c r="E172" s="36">
        <f>IF(CARGA_DIARIA!A172="","",IF(CARGA_DIARIA!B172=0,0,(CARGA_DIARIA!X172+CARGA_DIARIA!Y172+CARGA_DIARIA!Z172+CARGA_DIARIA!AA172)/CARGA_DIARIA!B172+CARGA_DIARIA!AB172+CARGA_DIARIA!AC172+CARGA_DIARIA!AD172+CARGA_DIARIA!AE172))</f>
        <v>28982519.591111962</v>
      </c>
      <c r="F172" s="39" t="s">
        <v>146</v>
      </c>
      <c r="G172" s="39" t="s">
        <v>146</v>
      </c>
      <c r="H172" s="38">
        <f>IF(CARGA_DIARIA!A172="","",C172-D172-E172)</f>
        <v>6320596.8943437524</v>
      </c>
    </row>
    <row r="173" spans="1:8" ht="15.75" customHeight="1" x14ac:dyDescent="0.25">
      <c r="A173" s="33">
        <f>IF(CARGA_DIARIA!A173="","",CARGA_DIARIA!A173)</f>
        <v>46304</v>
      </c>
      <c r="B173" s="34">
        <f>IF(CARGA_DIARIA!A173="","",CARGA_DIARIA!B173)</f>
        <v>1515</v>
      </c>
      <c r="C173" s="35">
        <f>IF(CARGA_DIARIA!A173="","",IF(CARGA_DIARIA!B173=0,0,(CARGA_DIARIA!C173+CARGA_DIARIA!D173+CARGA_DIARIA!E173+CARGA_DIARIA!F173+CARGA_DIARIA!G173+CARGA_DIARIA!H173+CARGA_DIARIA!I173+CARGA_DIARIA!AG173+CARGA_DIARIA!AH173+CARGA_DIARIA!AI173+CARGA_DIARIA!AJ173)/CARGA_DIARIA!B173+CARGA_DIARIA!AF173))</f>
        <v>35694800.381026402</v>
      </c>
      <c r="D173" s="36">
        <f>IF(CARGA_DIARIA!A173="","",IF(CARGA_DIARIA!B173=0,0,(CARGA_DIARIA!J173+CARGA_DIARIA!K173+CARGA_DIARIA!L173+CARGA_DIARIA!M173+CARGA_DIARIA!N173+CARGA_DIARIA!O173+CARGA_DIARIA!P173+CARGA_DIARIA!Q173+CARGA_DIARIA!R173+CARGA_DIARIA!S173+CARGA_DIARIA!T173+CARGA_DIARIA!U173+CARGA_DIARIA!V173+CARGA_DIARIA!W173)/CARGA_DIARIA!B173))</f>
        <v>863139.90561056102</v>
      </c>
      <c r="E173" s="36">
        <f>IF(CARGA_DIARIA!A173="","",IF(CARGA_DIARIA!B173=0,0,(CARGA_DIARIA!X173+CARGA_DIARIA!Y173+CARGA_DIARIA!Z173+CARGA_DIARIA!AA173)/CARGA_DIARIA!B173+CARGA_DIARIA!AB173+CARGA_DIARIA!AC173+CARGA_DIARIA!AD173+CARGA_DIARIA!AE173))</f>
        <v>28259134.620907199</v>
      </c>
      <c r="F173" s="39" t="s">
        <v>146</v>
      </c>
      <c r="G173" s="39" t="s">
        <v>146</v>
      </c>
      <c r="H173" s="38">
        <f>IF(CARGA_DIARIA!A173="","",C173-D173-E173)</f>
        <v>6572525.8545086421</v>
      </c>
    </row>
    <row r="174" spans="1:8" ht="15.75" customHeight="1" x14ac:dyDescent="0.25">
      <c r="A174" s="33">
        <f>IF(CARGA_DIARIA!A174="","",CARGA_DIARIA!A174)</f>
        <v>46308</v>
      </c>
      <c r="B174" s="34">
        <f>IF(CARGA_DIARIA!A174="","",CARGA_DIARIA!B174)</f>
        <v>1512.5</v>
      </c>
      <c r="C174" s="35">
        <f>IF(CARGA_DIARIA!A174="","",IF(CARGA_DIARIA!B174=0,0,(CARGA_DIARIA!C174+CARGA_DIARIA!D174+CARGA_DIARIA!E174+CARGA_DIARIA!F174+CARGA_DIARIA!G174+CARGA_DIARIA!H174+CARGA_DIARIA!I174+CARGA_DIARIA!AG174+CARGA_DIARIA!AH174+CARGA_DIARIA!AI174+CARGA_DIARIA!AJ174)/CARGA_DIARIA!B174+CARGA_DIARIA!AF174))</f>
        <v>34755494.344619833</v>
      </c>
      <c r="D174" s="36">
        <f>IF(CARGA_DIARIA!A174="","",IF(CARGA_DIARIA!B174=0,0,(CARGA_DIARIA!J174+CARGA_DIARIA!K174+CARGA_DIARIA!L174+CARGA_DIARIA!M174+CARGA_DIARIA!N174+CARGA_DIARIA!O174+CARGA_DIARIA!P174+CARGA_DIARIA!Q174+CARGA_DIARIA!R174+CARGA_DIARIA!S174+CARGA_DIARIA!T174+CARGA_DIARIA!U174+CARGA_DIARIA!V174+CARGA_DIARIA!W174)/CARGA_DIARIA!B174))</f>
        <v>415135.1180165289</v>
      </c>
      <c r="E174" s="36">
        <f>IF(CARGA_DIARIA!A174="","",IF(CARGA_DIARIA!B174=0,0,(CARGA_DIARIA!X174+CARGA_DIARIA!Y174+CARGA_DIARIA!Z174+CARGA_DIARIA!AA174)/CARGA_DIARIA!B174+CARGA_DIARIA!AB174+CARGA_DIARIA!AC174+CARGA_DIARIA!AD174+CARGA_DIARIA!AE174))</f>
        <v>28054354.211813483</v>
      </c>
      <c r="F174" s="39" t="s">
        <v>146</v>
      </c>
      <c r="G174" s="39" t="s">
        <v>146</v>
      </c>
      <c r="H174" s="38">
        <f>IF(CARGA_DIARIA!A174="","",C174-D174-E174)</f>
        <v>6286005.0147898234</v>
      </c>
    </row>
    <row r="175" spans="1:8" ht="15.75" customHeight="1" x14ac:dyDescent="0.25">
      <c r="A175" s="33">
        <f>IF(CARGA_DIARIA!B175="","",CARGA_DIARIA!B175)</f>
        <v>1512.5</v>
      </c>
      <c r="B175" s="34" t="e">
        <f>IF(CARGA_DIARIA!B175="","",CARGA_DIARIA!#REF!)</f>
        <v>#REF!</v>
      </c>
      <c r="C175" s="35" t="e">
        <f>IF(CARGA_DIARIA!B175="","",IF(CARGA_DIARIA!#REF!=0,0,(CARGA_DIARIA!C175+CARGA_DIARIA!D175+CARGA_DIARIA!E175+CARGA_DIARIA!F175+CARGA_DIARIA!G175+CARGA_DIARIA!H175+CARGA_DIARIA!I175+CARGA_DIARIA!AG175+CARGA_DIARIA!AH175+CARGA_DIARIA!AI175+CARGA_DIARIA!AJ175)/CARGA_DIARIA!#REF!+CARGA_DIARIA!AF175))</f>
        <v>#REF!</v>
      </c>
      <c r="D175" s="36" t="e">
        <f>IF(CARGA_DIARIA!B175="","",IF(CARGA_DIARIA!#REF!=0,0,(CARGA_DIARIA!J175+CARGA_DIARIA!K175+CARGA_DIARIA!L175+CARGA_DIARIA!M175+CARGA_DIARIA!N175+CARGA_DIARIA!O175+CARGA_DIARIA!P175+CARGA_DIARIA!Q175+CARGA_DIARIA!R175+CARGA_DIARIA!S175+CARGA_DIARIA!T175+CARGA_DIARIA!U175+CARGA_DIARIA!V175+CARGA_DIARIA!W175)/CARGA_DIARIA!#REF!))</f>
        <v>#REF!</v>
      </c>
      <c r="E175" s="36" t="e">
        <f>IF(CARGA_DIARIA!B175="","",IF(CARGA_DIARIA!#REF!=0,0,(CARGA_DIARIA!X175+CARGA_DIARIA!Y175+CARGA_DIARIA!Z175+CARGA_DIARIA!AA175)/CARGA_DIARIA!#REF!+CARGA_DIARIA!AB175+CARGA_DIARIA!AC175+CARGA_DIARIA!AD175+CARGA_DIARIA!AE175))</f>
        <v>#REF!</v>
      </c>
      <c r="F175" s="39" t="s">
        <v>146</v>
      </c>
      <c r="G175" s="39" t="s">
        <v>146</v>
      </c>
      <c r="H175" s="38" t="e">
        <f>IF(CARGA_DIARIA!B175="","",C175-D175-E175)</f>
        <v>#REF!</v>
      </c>
    </row>
    <row r="176" spans="1:8" ht="15.75" customHeight="1" x14ac:dyDescent="0.25">
      <c r="A176" s="33">
        <f>IF(CARGA_DIARIA!B176="","",CARGA_DIARIA!B176)</f>
        <v>1512</v>
      </c>
      <c r="B176" s="34" t="e">
        <f>IF(CARGA_DIARIA!B176="","",CARGA_DIARIA!#REF!)</f>
        <v>#REF!</v>
      </c>
      <c r="C176" s="35" t="e">
        <f>IF(CARGA_DIARIA!B176="","",IF(CARGA_DIARIA!#REF!=0,0,(CARGA_DIARIA!C176+CARGA_DIARIA!D176+CARGA_DIARIA!E176+CARGA_DIARIA!F176+CARGA_DIARIA!G176+CARGA_DIARIA!H176+CARGA_DIARIA!I176+CARGA_DIARIA!AG176+CARGA_DIARIA!AH176+CARGA_DIARIA!AI176+CARGA_DIARIA!AJ176)/CARGA_DIARIA!#REF!+CARGA_DIARIA!AF176))</f>
        <v>#REF!</v>
      </c>
      <c r="D176" s="36" t="e">
        <f>IF(CARGA_DIARIA!B176="","",IF(CARGA_DIARIA!#REF!=0,0,(CARGA_DIARIA!J176+CARGA_DIARIA!K176+CARGA_DIARIA!L176+CARGA_DIARIA!M176+CARGA_DIARIA!N176+CARGA_DIARIA!O176+CARGA_DIARIA!P176+CARGA_DIARIA!Q176+CARGA_DIARIA!R176+CARGA_DIARIA!S176+CARGA_DIARIA!T176+CARGA_DIARIA!U176+CARGA_DIARIA!V176+CARGA_DIARIA!W176)/CARGA_DIARIA!#REF!))</f>
        <v>#REF!</v>
      </c>
      <c r="E176" s="36" t="e">
        <f>IF(CARGA_DIARIA!B176="","",IF(CARGA_DIARIA!#REF!=0,0,(CARGA_DIARIA!X176+CARGA_DIARIA!Y176+CARGA_DIARIA!Z176+CARGA_DIARIA!AA176)/CARGA_DIARIA!#REF!+CARGA_DIARIA!AB176+CARGA_DIARIA!AC176+CARGA_DIARIA!AD176+CARGA_DIARIA!AE176))</f>
        <v>#REF!</v>
      </c>
      <c r="F176" s="39" t="s">
        <v>146</v>
      </c>
      <c r="G176" s="39" t="s">
        <v>146</v>
      </c>
      <c r="H176" s="38" t="e">
        <f>IF(CARGA_DIARIA!B176="","",C176-D176-E176)</f>
        <v>#REF!</v>
      </c>
    </row>
    <row r="177" spans="1:8" ht="15.75" customHeight="1" x14ac:dyDescent="0.25">
      <c r="A177" s="33">
        <f>IF(CARGA_DIARIA!B177="","",CARGA_DIARIA!B177)</f>
        <v>1510.5</v>
      </c>
      <c r="B177" s="34" t="e">
        <f>IF(CARGA_DIARIA!B177="","",CARGA_DIARIA!#REF!)</f>
        <v>#REF!</v>
      </c>
      <c r="C177" s="35" t="e">
        <f>IF(CARGA_DIARIA!B177="","",IF(CARGA_DIARIA!#REF!=0,0,(CARGA_DIARIA!C177+CARGA_DIARIA!D177+CARGA_DIARIA!E177+CARGA_DIARIA!F177+CARGA_DIARIA!G177+CARGA_DIARIA!H177+CARGA_DIARIA!I177+CARGA_DIARIA!AG177+CARGA_DIARIA!AH177+CARGA_DIARIA!AI177+CARGA_DIARIA!AJ177)/CARGA_DIARIA!#REF!+CARGA_DIARIA!AF177))</f>
        <v>#REF!</v>
      </c>
      <c r="D177" s="36" t="e">
        <f>IF(CARGA_DIARIA!B177="","",IF(CARGA_DIARIA!#REF!=0,0,(CARGA_DIARIA!J177+CARGA_DIARIA!K177+CARGA_DIARIA!L177+CARGA_DIARIA!M177+CARGA_DIARIA!N177+CARGA_DIARIA!O177+CARGA_DIARIA!P177+CARGA_DIARIA!Q177+CARGA_DIARIA!R177+CARGA_DIARIA!S177+CARGA_DIARIA!T177+CARGA_DIARIA!U177+CARGA_DIARIA!V177+CARGA_DIARIA!W177)/CARGA_DIARIA!#REF!))</f>
        <v>#REF!</v>
      </c>
      <c r="E177" s="36" t="e">
        <f>IF(CARGA_DIARIA!B177="","",IF(CARGA_DIARIA!#REF!=0,0,(CARGA_DIARIA!X177+CARGA_DIARIA!Y177+CARGA_DIARIA!Z177+CARGA_DIARIA!AA177)/CARGA_DIARIA!#REF!+CARGA_DIARIA!AB177+CARGA_DIARIA!AC177+CARGA_DIARIA!AD177+CARGA_DIARIA!AE177))</f>
        <v>#REF!</v>
      </c>
      <c r="F177" s="39" t="s">
        <v>146</v>
      </c>
      <c r="G177" s="39" t="s">
        <v>146</v>
      </c>
      <c r="H177" s="38" t="e">
        <f>IF(CARGA_DIARIA!B177="","",C177-D177-E177)</f>
        <v>#REF!</v>
      </c>
    </row>
    <row r="178" spans="1:8" ht="15.75" customHeight="1" x14ac:dyDescent="0.25">
      <c r="A178" s="33">
        <f>IF(CARGA_DIARIA!B178="","",CARGA_DIARIA!B178)</f>
        <v>1510</v>
      </c>
      <c r="B178" s="34" t="e">
        <f>IF(CARGA_DIARIA!B178="","",CARGA_DIARIA!#REF!)</f>
        <v>#REF!</v>
      </c>
      <c r="C178" s="35" t="e">
        <f>IF(CARGA_DIARIA!B178="","",IF(CARGA_DIARIA!#REF!=0,0,(CARGA_DIARIA!C178+CARGA_DIARIA!D178+CARGA_DIARIA!E178+CARGA_DIARIA!F178+CARGA_DIARIA!G178+CARGA_DIARIA!H178+CARGA_DIARIA!I178+CARGA_DIARIA!AG178+CARGA_DIARIA!AH178+CARGA_DIARIA!AI178+CARGA_DIARIA!AJ178)/CARGA_DIARIA!#REF!+CARGA_DIARIA!AF178))</f>
        <v>#REF!</v>
      </c>
      <c r="D178" s="36" t="e">
        <f>IF(CARGA_DIARIA!B178="","",IF(CARGA_DIARIA!#REF!=0,0,(CARGA_DIARIA!J178+CARGA_DIARIA!K178+CARGA_DIARIA!L178+CARGA_DIARIA!M178+CARGA_DIARIA!N178+CARGA_DIARIA!O178+CARGA_DIARIA!P178+CARGA_DIARIA!Q178+CARGA_DIARIA!R178+CARGA_DIARIA!S178+CARGA_DIARIA!T178+CARGA_DIARIA!U178+CARGA_DIARIA!V178+CARGA_DIARIA!W178)/CARGA_DIARIA!#REF!))</f>
        <v>#REF!</v>
      </c>
      <c r="E178" s="36" t="e">
        <f>IF(CARGA_DIARIA!B178="","",IF(CARGA_DIARIA!#REF!=0,0,(CARGA_DIARIA!X178+CARGA_DIARIA!Y178+CARGA_DIARIA!Z178+CARGA_DIARIA!AA178)/CARGA_DIARIA!#REF!+CARGA_DIARIA!AB178+CARGA_DIARIA!AC178+CARGA_DIARIA!AD178+CARGA_DIARIA!AE178))</f>
        <v>#REF!</v>
      </c>
      <c r="F178" s="39" t="s">
        <v>146</v>
      </c>
      <c r="G178" s="39" t="s">
        <v>146</v>
      </c>
      <c r="H178" s="38" t="e">
        <f>IF(CARGA_DIARIA!B178="","",C178-D178-E178)</f>
        <v>#REF!</v>
      </c>
    </row>
    <row r="179" spans="1:8" ht="15.75" customHeight="1" x14ac:dyDescent="0.25">
      <c r="A179" s="33">
        <f>IF(CARGA_DIARIA!A179="","",CARGA_DIARIA!A179)</f>
        <v>46315</v>
      </c>
      <c r="B179" s="34">
        <f>IF(CARGA_DIARIA!A179="","",CARGA_DIARIA!B179)</f>
        <v>1520</v>
      </c>
      <c r="C179" s="35">
        <f>IF(CARGA_DIARIA!A179="","",IF(CARGA_DIARIA!B179=0,0,(CARGA_DIARIA!C179+CARGA_DIARIA!D179+CARGA_DIARIA!E179+CARGA_DIARIA!F179+CARGA_DIARIA!G179+CARGA_DIARIA!H179+CARGA_DIARIA!I179+CARGA_DIARIA!AG179+CARGA_DIARIA!AH179+CARGA_DIARIA!AI179+CARGA_DIARIA!AJ179)/CARGA_DIARIA!B179+CARGA_DIARIA!AF179))</f>
        <v>33429198.194131579</v>
      </c>
      <c r="D179" s="36">
        <f>IF(CARGA_DIARIA!A179="","",IF(CARGA_DIARIA!B179=0,0,(CARGA_DIARIA!J179+CARGA_DIARIA!K179+CARGA_DIARIA!L179+CARGA_DIARIA!M179+CARGA_DIARIA!N179+CARGA_DIARIA!O179+CARGA_DIARIA!P179+CARGA_DIARIA!Q179+CARGA_DIARIA!R179+CARGA_DIARIA!S179+CARGA_DIARIA!T179+CARGA_DIARIA!U179+CARGA_DIARIA!V179+CARGA_DIARIA!W179)/CARGA_DIARIA!B179))</f>
        <v>440749.4105263158</v>
      </c>
      <c r="E179" s="36">
        <f>IF(CARGA_DIARIA!A179="","",IF(CARGA_DIARIA!B179=0,0,(CARGA_DIARIA!X179+CARGA_DIARIA!Y179+CARGA_DIARIA!Z179+CARGA_DIARIA!AA179)/CARGA_DIARIA!B179+CARGA_DIARIA!AB179+CARGA_DIARIA!AC179+CARGA_DIARIA!AD179+CARGA_DIARIA!AE179))</f>
        <v>26717611.611373302</v>
      </c>
      <c r="F179" s="39" t="s">
        <v>146</v>
      </c>
      <c r="G179" s="39" t="s">
        <v>146</v>
      </c>
      <c r="H179" s="38">
        <f>IF(CARGA_DIARIA!A179="","",C179-D179-E179)</f>
        <v>6270837.172231961</v>
      </c>
    </row>
    <row r="180" spans="1:8" ht="15.75" customHeight="1" x14ac:dyDescent="0.25">
      <c r="A180" s="33">
        <f>IF(CARGA_DIARIA!A180="","",CARGA_DIARIA!A180)</f>
        <v>46316</v>
      </c>
      <c r="B180" s="34">
        <f>IF(CARGA_DIARIA!A180="","",CARGA_DIARIA!B180)</f>
        <v>1520.5</v>
      </c>
      <c r="C180" s="35">
        <f>IF(CARGA_DIARIA!A180="","",IF(CARGA_DIARIA!B180=0,0,(CARGA_DIARIA!C180+CARGA_DIARIA!D180+CARGA_DIARIA!E180+CARGA_DIARIA!F180+CARGA_DIARIA!G180+CARGA_DIARIA!H180+CARGA_DIARIA!I180+CARGA_DIARIA!AG180+CARGA_DIARIA!AH180+CARGA_DIARIA!AI180+CARGA_DIARIA!AJ180)/CARGA_DIARIA!B180+CARGA_DIARIA!AF180))</f>
        <v>33585200.081252553</v>
      </c>
      <c r="D180" s="36">
        <f>IF(CARGA_DIARIA!A180="","",IF(CARGA_DIARIA!B180=0,0,(CARGA_DIARIA!J180+CARGA_DIARIA!K180+CARGA_DIARIA!L180+CARGA_DIARIA!M180+CARGA_DIARIA!N180+CARGA_DIARIA!O180+CARGA_DIARIA!P180+CARGA_DIARIA!Q180+CARGA_DIARIA!R180+CARGA_DIARIA!S180+CARGA_DIARIA!T180+CARGA_DIARIA!U180+CARGA_DIARIA!V180+CARGA_DIARIA!W180)/CARGA_DIARIA!B180))</f>
        <v>496164.96612956264</v>
      </c>
      <c r="E180" s="36">
        <f>IF(CARGA_DIARIA!A180="","",IF(CARGA_DIARIA!B180=0,0,(CARGA_DIARIA!X180+CARGA_DIARIA!Y180+CARGA_DIARIA!Z180+CARGA_DIARIA!AA180)/CARGA_DIARIA!B180+CARGA_DIARIA!AB180+CARGA_DIARIA!AC180+CARGA_DIARIA!AD180+CARGA_DIARIA!AE180))</f>
        <v>26850592.153715041</v>
      </c>
      <c r="F180" s="39" t="s">
        <v>146</v>
      </c>
      <c r="G180" s="39" t="s">
        <v>146</v>
      </c>
      <c r="H180" s="38">
        <f>IF(CARGA_DIARIA!A180="","",C180-D180-E180)</f>
        <v>6238442.9614079483</v>
      </c>
    </row>
    <row r="181" spans="1:8" ht="15.75" customHeight="1" x14ac:dyDescent="0.25">
      <c r="A181" s="33">
        <f>IF(CARGA_DIARIA!A181="","",CARGA_DIARIA!A181)</f>
        <v>46317</v>
      </c>
      <c r="B181" s="34">
        <f>IF(CARGA_DIARIA!A181="","",CARGA_DIARIA!B181)</f>
        <v>1520.5</v>
      </c>
      <c r="C181" s="35">
        <f>IF(CARGA_DIARIA!A181="","",IF(CARGA_DIARIA!B181=0,0,(CARGA_DIARIA!C181+CARGA_DIARIA!D181+CARGA_DIARIA!E181+CARGA_DIARIA!F181+CARGA_DIARIA!G181+CARGA_DIARIA!H181+CARGA_DIARIA!I181+CARGA_DIARIA!AG181+CARGA_DIARIA!AH181+CARGA_DIARIA!AI181+CARGA_DIARIA!AJ181)/CARGA_DIARIA!B181+CARGA_DIARIA!AF181))</f>
        <v>34138058.186780661</v>
      </c>
      <c r="D181" s="36">
        <f>IF(CARGA_DIARIA!A181="","",IF(CARGA_DIARIA!B181=0,0,(CARGA_DIARIA!J181+CARGA_DIARIA!K181+CARGA_DIARIA!L181+CARGA_DIARIA!M181+CARGA_DIARIA!N181+CARGA_DIARIA!O181+CARGA_DIARIA!P181+CARGA_DIARIA!Q181+CARGA_DIARIA!R181+CARGA_DIARIA!S181+CARGA_DIARIA!T181+CARGA_DIARIA!U181+CARGA_DIARIA!V181+CARGA_DIARIA!W181)/CARGA_DIARIA!B181))</f>
        <v>160614.46300559025</v>
      </c>
      <c r="E181" s="36">
        <f>IF(CARGA_DIARIA!A181="","",IF(CARGA_DIARIA!B181=0,0,(CARGA_DIARIA!X181+CARGA_DIARIA!Y181+CARGA_DIARIA!Z181+CARGA_DIARIA!AA181)/CARGA_DIARIA!B181+CARGA_DIARIA!AB181+CARGA_DIARIA!AC181+CARGA_DIARIA!AD181+CARGA_DIARIA!AE181))</f>
        <v>26500151.893932074</v>
      </c>
      <c r="F181" s="39" t="s">
        <v>146</v>
      </c>
      <c r="G181" s="39" t="s">
        <v>146</v>
      </c>
      <c r="H181" s="38">
        <f>IF(CARGA_DIARIA!A181="","",C181-D181-E181)</f>
        <v>7477291.8298429996</v>
      </c>
    </row>
    <row r="182" spans="1:8" ht="15.75" customHeight="1" x14ac:dyDescent="0.25">
      <c r="A182" s="33">
        <f>IF(CARGA_DIARIA!A182="","",CARGA_DIARIA!A182)</f>
        <v>46318</v>
      </c>
      <c r="B182" s="34">
        <f>IF(CARGA_DIARIA!A182="","",CARGA_DIARIA!B182)</f>
        <v>1524.5</v>
      </c>
      <c r="C182" s="35">
        <f>IF(CARGA_DIARIA!A182="","",IF(CARGA_DIARIA!B182=0,0,(CARGA_DIARIA!C182+CARGA_DIARIA!D182+CARGA_DIARIA!E182+CARGA_DIARIA!F182+CARGA_DIARIA!G182+CARGA_DIARIA!H182+CARGA_DIARIA!I182+CARGA_DIARIA!AG182+CARGA_DIARIA!AH182+CARGA_DIARIA!AI182+CARGA_DIARIA!AJ182)/CARGA_DIARIA!B182+CARGA_DIARIA!AF182))</f>
        <v>34143046.553952113</v>
      </c>
      <c r="D182" s="36">
        <f>IF(CARGA_DIARIA!A182="","",IF(CARGA_DIARIA!B182=0,0,(CARGA_DIARIA!J182+CARGA_DIARIA!K182+CARGA_DIARIA!L182+CARGA_DIARIA!M182+CARGA_DIARIA!N182+CARGA_DIARIA!O182+CARGA_DIARIA!P182+CARGA_DIARIA!Q182+CARGA_DIARIA!R182+CARGA_DIARIA!S182+CARGA_DIARIA!T182+CARGA_DIARIA!U182+CARGA_DIARIA!V182+CARGA_DIARIA!W182)/CARGA_DIARIA!B182))</f>
        <v>165735.12430305019</v>
      </c>
      <c r="E182" s="36">
        <f>IF(CARGA_DIARIA!A182="","",IF(CARGA_DIARIA!B182=0,0,(CARGA_DIARIA!X182+CARGA_DIARIA!Y182+CARGA_DIARIA!Z182+CARGA_DIARIA!AA182)/CARGA_DIARIA!B182+CARGA_DIARIA!AB182+CARGA_DIARIA!AC182+CARGA_DIARIA!AD182+CARGA_DIARIA!AE182))</f>
        <v>26425932.926877093</v>
      </c>
      <c r="F182" s="39" t="s">
        <v>146</v>
      </c>
      <c r="G182" s="39" t="s">
        <v>146</v>
      </c>
      <c r="H182" s="38">
        <f>IF(CARGA_DIARIA!A182="","",C182-D182-E182)</f>
        <v>7551378.5027719699</v>
      </c>
    </row>
    <row r="183" spans="1:8" ht="15.75" customHeight="1" x14ac:dyDescent="0.25">
      <c r="A183" s="33">
        <f>IF(CARGA_DIARIA!A183="","",CARGA_DIARIA!A183)</f>
        <v>46321</v>
      </c>
      <c r="B183" s="34">
        <f>IF(CARGA_DIARIA!A183="","",CARGA_DIARIA!B183)</f>
        <v>1524.5</v>
      </c>
      <c r="C183" s="35">
        <f>IF(CARGA_DIARIA!A183="","",IF(CARGA_DIARIA!B183=0,0,(CARGA_DIARIA!C183+CARGA_DIARIA!D183+CARGA_DIARIA!E183+CARGA_DIARIA!F183+CARGA_DIARIA!G183+CARGA_DIARIA!H183+CARGA_DIARIA!I183+CARGA_DIARIA!AG183+CARGA_DIARIA!AH183+CARGA_DIARIA!AI183+CARGA_DIARIA!AJ183)/CARGA_DIARIA!B183+CARGA_DIARIA!AF183))</f>
        <v>34498565.129153818</v>
      </c>
      <c r="D183" s="36">
        <f>IF(CARGA_DIARIA!A183="","",IF(CARGA_DIARIA!B183=0,0,(CARGA_DIARIA!J183+CARGA_DIARIA!K183+CARGA_DIARIA!L183+CARGA_DIARIA!M183+CARGA_DIARIA!N183+CARGA_DIARIA!O183+CARGA_DIARIA!P183+CARGA_DIARIA!Q183+CARGA_DIARIA!R183+CARGA_DIARIA!S183+CARGA_DIARIA!T183+CARGA_DIARIA!U183+CARGA_DIARIA!V183+CARGA_DIARIA!W183)/CARGA_DIARIA!B183))</f>
        <v>317153.73696293868</v>
      </c>
      <c r="E183" s="36">
        <f>IF(CARGA_DIARIA!A183="","",IF(CARGA_DIARIA!B183=0,0,(CARGA_DIARIA!X183+CARGA_DIARIA!Y183+CARGA_DIARIA!Z183+CARGA_DIARIA!AA183)/CARGA_DIARIA!B183+CARGA_DIARIA!AB183+CARGA_DIARIA!AC183+CARGA_DIARIA!AD183+CARGA_DIARIA!AE183))</f>
        <v>26336054.030314285</v>
      </c>
      <c r="F183" s="39" t="s">
        <v>146</v>
      </c>
      <c r="G183" s="39" t="s">
        <v>146</v>
      </c>
      <c r="H183" s="38">
        <f>IF(CARGA_DIARIA!A183="","",C183-D183-E183)</f>
        <v>7845357.3618765958</v>
      </c>
    </row>
    <row r="184" spans="1:8" ht="15.75" customHeight="1" x14ac:dyDescent="0.25">
      <c r="A184" s="33" t="str">
        <f>IF(CARGA_DIARIA!A184="","",CARGA_DIARIA!A184)</f>
        <v/>
      </c>
      <c r="B184" s="34" t="str">
        <f>IF(CARGA_DIARIA!A184="","",CARGA_DIARIA!B184)</f>
        <v/>
      </c>
      <c r="C184" s="35" t="str">
        <f>IF(CARGA_DIARIA!A184="","",IF(CARGA_DIARIA!B184=0,0,(CARGA_DIARIA!C184+CARGA_DIARIA!D184+CARGA_DIARIA!E184+CARGA_DIARIA!F184+CARGA_DIARIA!G184+CARGA_DIARIA!H184+CARGA_DIARIA!I184+CARGA_DIARIA!AG184+CARGA_DIARIA!AH184+CARGA_DIARIA!AI184+CARGA_DIARIA!AJ184)/CARGA_DIARIA!B184+CARGA_DIARIA!AF184))</f>
        <v/>
      </c>
      <c r="D184" s="36" t="str">
        <f>IF(CARGA_DIARIA!A184="","",IF(CARGA_DIARIA!B184=0,0,(CARGA_DIARIA!J184+CARGA_DIARIA!K184+CARGA_DIARIA!L184+CARGA_DIARIA!M184+CARGA_DIARIA!N184+CARGA_DIARIA!O184+CARGA_DIARIA!P184+CARGA_DIARIA!Q184+CARGA_DIARIA!R184+CARGA_DIARIA!S184+CARGA_DIARIA!T184+CARGA_DIARIA!U184+CARGA_DIARIA!V184+CARGA_DIARIA!W184)/CARGA_DIARIA!B184))</f>
        <v/>
      </c>
      <c r="E184" s="36" t="str">
        <f>IF(CARGA_DIARIA!A184="","",IF(CARGA_DIARIA!B184=0,0,(CARGA_DIARIA!X184+CARGA_DIARIA!Y184+CARGA_DIARIA!Z184+CARGA_DIARIA!AA184)/CARGA_DIARIA!B184+CARGA_DIARIA!AB184+CARGA_DIARIA!AC184+CARGA_DIARIA!AD184+CARGA_DIARIA!AE184))</f>
        <v/>
      </c>
      <c r="F184" s="39" t="s">
        <v>146</v>
      </c>
      <c r="G184" s="39" t="s">
        <v>146</v>
      </c>
      <c r="H184" s="38" t="str">
        <f>IF(CARGA_DIARIA!A184="","",C184-D184-E184)</f>
        <v/>
      </c>
    </row>
    <row r="185" spans="1:8" ht="15.75" customHeight="1" x14ac:dyDescent="0.25">
      <c r="A185" s="33" t="str">
        <f>IF(CARGA_DIARIA!A185="","",CARGA_DIARIA!A185)</f>
        <v/>
      </c>
      <c r="B185" s="34" t="str">
        <f>IF(CARGA_DIARIA!A185="","",CARGA_DIARIA!B185)</f>
        <v/>
      </c>
      <c r="C185" s="35" t="str">
        <f>IF(CARGA_DIARIA!A185="","",IF(CARGA_DIARIA!B185=0,0,(CARGA_DIARIA!C185+CARGA_DIARIA!D185+CARGA_DIARIA!E185+CARGA_DIARIA!F185+CARGA_DIARIA!G185+CARGA_DIARIA!H185+CARGA_DIARIA!I185+CARGA_DIARIA!AG185+CARGA_DIARIA!AH185+CARGA_DIARIA!AI185+CARGA_DIARIA!AJ185)/CARGA_DIARIA!B185+CARGA_DIARIA!AF185))</f>
        <v/>
      </c>
      <c r="D185" s="36" t="str">
        <f>IF(CARGA_DIARIA!A185="","",IF(CARGA_DIARIA!B185=0,0,(CARGA_DIARIA!J185+CARGA_DIARIA!K185+CARGA_DIARIA!L185+CARGA_DIARIA!M185+CARGA_DIARIA!N185+CARGA_DIARIA!O185+CARGA_DIARIA!P185+CARGA_DIARIA!Q185+CARGA_DIARIA!R185+CARGA_DIARIA!S185+CARGA_DIARIA!T185+CARGA_DIARIA!U185+CARGA_DIARIA!V185+CARGA_DIARIA!W185)/CARGA_DIARIA!B185))</f>
        <v/>
      </c>
      <c r="E185" s="36" t="str">
        <f>IF(CARGA_DIARIA!A185="","",IF(CARGA_DIARIA!B185=0,0,(CARGA_DIARIA!X185+CARGA_DIARIA!Y185+CARGA_DIARIA!Z185+CARGA_DIARIA!AA185)/CARGA_DIARIA!B185+CARGA_DIARIA!AB185+CARGA_DIARIA!AC185+CARGA_DIARIA!AD185+CARGA_DIARIA!AE185))</f>
        <v/>
      </c>
      <c r="F185" s="39" t="s">
        <v>146</v>
      </c>
      <c r="G185" s="39" t="s">
        <v>146</v>
      </c>
      <c r="H185" s="38" t="str">
        <f>IF(CARGA_DIARIA!A185="","",C185-D185-E185)</f>
        <v/>
      </c>
    </row>
    <row r="186" spans="1:8" ht="15.75" customHeight="1" x14ac:dyDescent="0.25">
      <c r="A186" s="33" t="str">
        <f>IF(CARGA_DIARIA!A186="","",CARGA_DIARIA!A186)</f>
        <v/>
      </c>
      <c r="B186" s="34" t="str">
        <f>IF(CARGA_DIARIA!A186="","",CARGA_DIARIA!B186)</f>
        <v/>
      </c>
      <c r="C186" s="35" t="str">
        <f>IF(CARGA_DIARIA!A186="","",IF(CARGA_DIARIA!B186=0,0,(CARGA_DIARIA!C186+CARGA_DIARIA!D186+CARGA_DIARIA!E186+CARGA_DIARIA!F186+CARGA_DIARIA!G186+CARGA_DIARIA!H186+CARGA_DIARIA!I186+CARGA_DIARIA!AG186+CARGA_DIARIA!AH186+CARGA_DIARIA!AI186+CARGA_DIARIA!AJ186)/CARGA_DIARIA!B186+CARGA_DIARIA!AF186))</f>
        <v/>
      </c>
      <c r="D186" s="36" t="str">
        <f>IF(CARGA_DIARIA!A186="","",IF(CARGA_DIARIA!B186=0,0,(CARGA_DIARIA!J186+CARGA_DIARIA!K186+CARGA_DIARIA!L186+CARGA_DIARIA!M186+CARGA_DIARIA!N186+CARGA_DIARIA!O186+CARGA_DIARIA!P186+CARGA_DIARIA!Q186+CARGA_DIARIA!R186+CARGA_DIARIA!S186+CARGA_DIARIA!T186+CARGA_DIARIA!U186+CARGA_DIARIA!V186+CARGA_DIARIA!W186)/CARGA_DIARIA!B186))</f>
        <v/>
      </c>
      <c r="E186" s="36" t="str">
        <f>IF(CARGA_DIARIA!A186="","",IF(CARGA_DIARIA!B186=0,0,(CARGA_DIARIA!X186+CARGA_DIARIA!Y186+CARGA_DIARIA!Z186+CARGA_DIARIA!AA186)/CARGA_DIARIA!B186+CARGA_DIARIA!AB186+CARGA_DIARIA!AC186+CARGA_DIARIA!AD186+CARGA_DIARIA!AE186))</f>
        <v/>
      </c>
      <c r="F186" s="39" t="s">
        <v>146</v>
      </c>
      <c r="G186" s="39" t="s">
        <v>146</v>
      </c>
      <c r="H186" s="38" t="str">
        <f>IF(CARGA_DIARIA!A186="","",C186-D186-E186)</f>
        <v/>
      </c>
    </row>
    <row r="187" spans="1:8" ht="15.75" customHeight="1" x14ac:dyDescent="0.25">
      <c r="A187" s="33" t="str">
        <f>IF(CARGA_DIARIA!A187="","",CARGA_DIARIA!A187)</f>
        <v/>
      </c>
      <c r="B187" s="34" t="str">
        <f>IF(CARGA_DIARIA!A187="","",CARGA_DIARIA!B187)</f>
        <v/>
      </c>
      <c r="C187" s="35" t="str">
        <f>IF(CARGA_DIARIA!A187="","",IF(CARGA_DIARIA!B187=0,0,(CARGA_DIARIA!C187+CARGA_DIARIA!D187+CARGA_DIARIA!E187+CARGA_DIARIA!F187+CARGA_DIARIA!G187+CARGA_DIARIA!H187+CARGA_DIARIA!I187+CARGA_DIARIA!AG187+CARGA_DIARIA!AH187+CARGA_DIARIA!AI187+CARGA_DIARIA!AJ187)/CARGA_DIARIA!B187+CARGA_DIARIA!AF187))</f>
        <v/>
      </c>
      <c r="D187" s="36" t="str">
        <f>IF(CARGA_DIARIA!A187="","",IF(CARGA_DIARIA!B187=0,0,(CARGA_DIARIA!J187+CARGA_DIARIA!K187+CARGA_DIARIA!L187+CARGA_DIARIA!M187+CARGA_DIARIA!N187+CARGA_DIARIA!O187+CARGA_DIARIA!P187+CARGA_DIARIA!Q187+CARGA_DIARIA!R187+CARGA_DIARIA!S187+CARGA_DIARIA!T187+CARGA_DIARIA!U187+CARGA_DIARIA!V187+CARGA_DIARIA!W187)/CARGA_DIARIA!B187))</f>
        <v/>
      </c>
      <c r="E187" s="36" t="str">
        <f>IF(CARGA_DIARIA!A187="","",IF(CARGA_DIARIA!B187=0,0,(CARGA_DIARIA!X187+CARGA_DIARIA!Y187+CARGA_DIARIA!Z187+CARGA_DIARIA!AA187)/CARGA_DIARIA!B187+CARGA_DIARIA!AB187+CARGA_DIARIA!AC187+CARGA_DIARIA!AD187+CARGA_DIARIA!AE187))</f>
        <v/>
      </c>
      <c r="F187" s="39" t="s">
        <v>146</v>
      </c>
      <c r="G187" s="39" t="s">
        <v>146</v>
      </c>
      <c r="H187" s="38" t="str">
        <f>IF(CARGA_DIARIA!A187="","",C187-D187-E187)</f>
        <v/>
      </c>
    </row>
    <row r="188" spans="1:8" ht="15.75" customHeight="1" x14ac:dyDescent="0.25">
      <c r="A188" s="33" t="str">
        <f>IF(CARGA_DIARIA!A188="","",CARGA_DIARIA!A188)</f>
        <v/>
      </c>
      <c r="B188" s="34" t="str">
        <f>IF(CARGA_DIARIA!A188="","",CARGA_DIARIA!B188)</f>
        <v/>
      </c>
      <c r="C188" s="35" t="str">
        <f>IF(CARGA_DIARIA!A188="","",IF(CARGA_DIARIA!B188=0,0,(CARGA_DIARIA!C188+CARGA_DIARIA!D188+CARGA_DIARIA!E188+CARGA_DIARIA!F188+CARGA_DIARIA!G188+CARGA_DIARIA!H188+CARGA_DIARIA!I188+CARGA_DIARIA!AG188+CARGA_DIARIA!AH188+CARGA_DIARIA!AI188+CARGA_DIARIA!AJ188)/CARGA_DIARIA!B188+CARGA_DIARIA!AF188))</f>
        <v/>
      </c>
      <c r="D188" s="36" t="str">
        <f>IF(CARGA_DIARIA!A188="","",IF(CARGA_DIARIA!B188=0,0,(CARGA_DIARIA!J188+CARGA_DIARIA!K188+CARGA_DIARIA!L188+CARGA_DIARIA!M188+CARGA_DIARIA!N188+CARGA_DIARIA!O188+CARGA_DIARIA!P188+CARGA_DIARIA!Q188+CARGA_DIARIA!R188+CARGA_DIARIA!S188+CARGA_DIARIA!T188+CARGA_DIARIA!U188+CARGA_DIARIA!V188+CARGA_DIARIA!W188)/CARGA_DIARIA!B188))</f>
        <v/>
      </c>
      <c r="E188" s="36" t="str">
        <f>IF(CARGA_DIARIA!A188="","",IF(CARGA_DIARIA!B188=0,0,(CARGA_DIARIA!X188+CARGA_DIARIA!Y188+CARGA_DIARIA!Z188+CARGA_DIARIA!AA188)/CARGA_DIARIA!B188+CARGA_DIARIA!AB188+CARGA_DIARIA!AC188+CARGA_DIARIA!AD188+CARGA_DIARIA!AE188))</f>
        <v/>
      </c>
      <c r="F188" s="39" t="s">
        <v>146</v>
      </c>
      <c r="G188" s="39" t="s">
        <v>146</v>
      </c>
      <c r="H188" s="38" t="str">
        <f>IF(CARGA_DIARIA!A188="","",C188-D188-E188)</f>
        <v/>
      </c>
    </row>
    <row r="189" spans="1:8" ht="15.75" customHeight="1" x14ac:dyDescent="0.25">
      <c r="A189" s="33" t="str">
        <f>IF(CARGA_DIARIA!A189="","",CARGA_DIARIA!A189)</f>
        <v/>
      </c>
      <c r="B189" s="34" t="str">
        <f>IF(CARGA_DIARIA!A189="","",CARGA_DIARIA!B189)</f>
        <v/>
      </c>
      <c r="C189" s="35" t="str">
        <f>IF(CARGA_DIARIA!A189="","",IF(CARGA_DIARIA!B189=0,0,(CARGA_DIARIA!C189+CARGA_DIARIA!D189+CARGA_DIARIA!E189+CARGA_DIARIA!F189+CARGA_DIARIA!G189+CARGA_DIARIA!H189+CARGA_DIARIA!I189+CARGA_DIARIA!AG189+CARGA_DIARIA!AH189+CARGA_DIARIA!AI189+CARGA_DIARIA!AJ189)/CARGA_DIARIA!B189+CARGA_DIARIA!AF189))</f>
        <v/>
      </c>
      <c r="D189" s="36" t="str">
        <f>IF(CARGA_DIARIA!A189="","",IF(CARGA_DIARIA!B189=0,0,(CARGA_DIARIA!J189+CARGA_DIARIA!K189+CARGA_DIARIA!L189+CARGA_DIARIA!M189+CARGA_DIARIA!N189+CARGA_DIARIA!O189+CARGA_DIARIA!P189+CARGA_DIARIA!Q189+CARGA_DIARIA!R189+CARGA_DIARIA!S189+CARGA_DIARIA!T189+CARGA_DIARIA!U189+CARGA_DIARIA!V189+CARGA_DIARIA!W189)/CARGA_DIARIA!B189))</f>
        <v/>
      </c>
      <c r="E189" s="36" t="str">
        <f>IF(CARGA_DIARIA!A189="","",IF(CARGA_DIARIA!B189=0,0,(CARGA_DIARIA!X189+CARGA_DIARIA!Y189+CARGA_DIARIA!Z189+CARGA_DIARIA!AA189)/CARGA_DIARIA!B189+CARGA_DIARIA!AB189+CARGA_DIARIA!AC189+CARGA_DIARIA!AD189+CARGA_DIARIA!AE189))</f>
        <v/>
      </c>
      <c r="F189" s="39" t="s">
        <v>146</v>
      </c>
      <c r="G189" s="39" t="s">
        <v>146</v>
      </c>
      <c r="H189" s="38" t="str">
        <f>IF(CARGA_DIARIA!A189="","",C189-D189-E189)</f>
        <v/>
      </c>
    </row>
    <row r="190" spans="1:8" ht="15.75" customHeight="1" x14ac:dyDescent="0.25">
      <c r="A190" s="33" t="str">
        <f>IF(CARGA_DIARIA!A190="","",CARGA_DIARIA!A190)</f>
        <v/>
      </c>
      <c r="B190" s="34" t="str">
        <f>IF(CARGA_DIARIA!A190="","",CARGA_DIARIA!B190)</f>
        <v/>
      </c>
      <c r="C190" s="35" t="str">
        <f>IF(CARGA_DIARIA!A190="","",IF(CARGA_DIARIA!B190=0,0,(CARGA_DIARIA!C190+CARGA_DIARIA!D190+CARGA_DIARIA!E190+CARGA_DIARIA!F190+CARGA_DIARIA!G190+CARGA_DIARIA!H190+CARGA_DIARIA!I190+CARGA_DIARIA!AG190+CARGA_DIARIA!AH190+CARGA_DIARIA!AI190+CARGA_DIARIA!AJ190)/CARGA_DIARIA!B190+CARGA_DIARIA!AF190))</f>
        <v/>
      </c>
      <c r="D190" s="36" t="str">
        <f>IF(CARGA_DIARIA!A190="","",IF(CARGA_DIARIA!B190=0,0,(CARGA_DIARIA!J190+CARGA_DIARIA!K190+CARGA_DIARIA!L190+CARGA_DIARIA!M190+CARGA_DIARIA!N190+CARGA_DIARIA!O190+CARGA_DIARIA!P190+CARGA_DIARIA!Q190+CARGA_DIARIA!R190+CARGA_DIARIA!S190+CARGA_DIARIA!T190+CARGA_DIARIA!U190+CARGA_DIARIA!V190+CARGA_DIARIA!W190)/CARGA_DIARIA!B190))</f>
        <v/>
      </c>
      <c r="E190" s="36" t="str">
        <f>IF(CARGA_DIARIA!A190="","",IF(CARGA_DIARIA!B190=0,0,(CARGA_DIARIA!X190+CARGA_DIARIA!Y190+CARGA_DIARIA!Z190+CARGA_DIARIA!AA190)/CARGA_DIARIA!B190+CARGA_DIARIA!AB190+CARGA_DIARIA!AC190+CARGA_DIARIA!AD190+CARGA_DIARIA!AE190))</f>
        <v/>
      </c>
      <c r="F190" s="39" t="s">
        <v>146</v>
      </c>
      <c r="G190" s="39" t="s">
        <v>146</v>
      </c>
      <c r="H190" s="38" t="str">
        <f>IF(CARGA_DIARIA!A190="","",C190-D190-E190)</f>
        <v/>
      </c>
    </row>
    <row r="191" spans="1:8" ht="15.75" customHeight="1" x14ac:dyDescent="0.25">
      <c r="A191" s="33" t="str">
        <f>IF(CARGA_DIARIA!A191="","",CARGA_DIARIA!A191)</f>
        <v/>
      </c>
      <c r="B191" s="34" t="str">
        <f>IF(CARGA_DIARIA!A191="","",CARGA_DIARIA!B191)</f>
        <v/>
      </c>
      <c r="C191" s="35" t="str">
        <f>IF(CARGA_DIARIA!A191="","",IF(CARGA_DIARIA!B191=0,0,(CARGA_DIARIA!C191+CARGA_DIARIA!D191+CARGA_DIARIA!E191+CARGA_DIARIA!F191+CARGA_DIARIA!G191+CARGA_DIARIA!H191+CARGA_DIARIA!I191+CARGA_DIARIA!AG191+CARGA_DIARIA!AH191+CARGA_DIARIA!AI191+CARGA_DIARIA!AJ191)/CARGA_DIARIA!B191+CARGA_DIARIA!AF191))</f>
        <v/>
      </c>
      <c r="D191" s="36" t="str">
        <f>IF(CARGA_DIARIA!A191="","",IF(CARGA_DIARIA!B191=0,0,(CARGA_DIARIA!J191+CARGA_DIARIA!K191+CARGA_DIARIA!L191+CARGA_DIARIA!M191+CARGA_DIARIA!N191+CARGA_DIARIA!O191+CARGA_DIARIA!P191+CARGA_DIARIA!Q191+CARGA_DIARIA!R191+CARGA_DIARIA!S191+CARGA_DIARIA!T191+CARGA_DIARIA!U191+CARGA_DIARIA!V191+CARGA_DIARIA!W191)/CARGA_DIARIA!B191))</f>
        <v/>
      </c>
      <c r="E191" s="36" t="str">
        <f>IF(CARGA_DIARIA!A191="","",IF(CARGA_DIARIA!B191=0,0,(CARGA_DIARIA!X191+CARGA_DIARIA!Y191+CARGA_DIARIA!Z191+CARGA_DIARIA!AA191)/CARGA_DIARIA!B191+CARGA_DIARIA!AB191+CARGA_DIARIA!AC191+CARGA_DIARIA!AD191+CARGA_DIARIA!AE191))</f>
        <v/>
      </c>
      <c r="F191" s="39" t="s">
        <v>146</v>
      </c>
      <c r="G191" s="39" t="s">
        <v>146</v>
      </c>
      <c r="H191" s="38" t="str">
        <f>IF(CARGA_DIARIA!A191="","",C191-D191-E191)</f>
        <v/>
      </c>
    </row>
    <row r="192" spans="1:8" ht="15.75" customHeight="1" x14ac:dyDescent="0.25">
      <c r="A192" s="33" t="str">
        <f>IF(CARGA_DIARIA!A192="","",CARGA_DIARIA!A192)</f>
        <v/>
      </c>
      <c r="B192" s="34" t="str">
        <f>IF(CARGA_DIARIA!A192="","",CARGA_DIARIA!B192)</f>
        <v/>
      </c>
      <c r="C192" s="35" t="str">
        <f>IF(CARGA_DIARIA!A192="","",IF(CARGA_DIARIA!B192=0,0,(CARGA_DIARIA!C192+CARGA_DIARIA!D192+CARGA_DIARIA!E192+CARGA_DIARIA!F192+CARGA_DIARIA!G192+CARGA_DIARIA!H192+CARGA_DIARIA!I192+CARGA_DIARIA!AG192+CARGA_DIARIA!AH192+CARGA_DIARIA!AI192+CARGA_DIARIA!AJ192)/CARGA_DIARIA!B192+CARGA_DIARIA!AF192))</f>
        <v/>
      </c>
      <c r="D192" s="36" t="str">
        <f>IF(CARGA_DIARIA!A192="","",IF(CARGA_DIARIA!B192=0,0,(CARGA_DIARIA!J192+CARGA_DIARIA!K192+CARGA_DIARIA!L192+CARGA_DIARIA!M192+CARGA_DIARIA!N192+CARGA_DIARIA!O192+CARGA_DIARIA!P192+CARGA_DIARIA!Q192+CARGA_DIARIA!R192+CARGA_DIARIA!S192+CARGA_DIARIA!T192+CARGA_DIARIA!U192+CARGA_DIARIA!V192+CARGA_DIARIA!W192)/CARGA_DIARIA!B192))</f>
        <v/>
      </c>
      <c r="E192" s="36" t="str">
        <f>IF(CARGA_DIARIA!A192="","",IF(CARGA_DIARIA!B192=0,0,(CARGA_DIARIA!X192+CARGA_DIARIA!Y192+CARGA_DIARIA!Z192+CARGA_DIARIA!AA192)/CARGA_DIARIA!B192+CARGA_DIARIA!AB192+CARGA_DIARIA!AC192+CARGA_DIARIA!AD192+CARGA_DIARIA!AE192))</f>
        <v/>
      </c>
      <c r="F192" s="39" t="s">
        <v>146</v>
      </c>
      <c r="G192" s="39" t="s">
        <v>146</v>
      </c>
      <c r="H192" s="38" t="str">
        <f>IF(CARGA_DIARIA!A192="","",C192-D192-E192)</f>
        <v/>
      </c>
    </row>
    <row r="193" spans="1:8" ht="15.75" customHeight="1" x14ac:dyDescent="0.25">
      <c r="A193" s="33" t="str">
        <f>IF(CARGA_DIARIA!A193="","",CARGA_DIARIA!A193)</f>
        <v/>
      </c>
      <c r="B193" s="34" t="str">
        <f>IF(CARGA_DIARIA!A193="","",CARGA_DIARIA!B193)</f>
        <v/>
      </c>
      <c r="C193" s="35" t="str">
        <f>IF(CARGA_DIARIA!A193="","",IF(CARGA_DIARIA!B193=0,0,(CARGA_DIARIA!C193+CARGA_DIARIA!D193+CARGA_DIARIA!E193+CARGA_DIARIA!F193+CARGA_DIARIA!G193+CARGA_DIARIA!H193+CARGA_DIARIA!I193+CARGA_DIARIA!AG193+CARGA_DIARIA!AH193+CARGA_DIARIA!AI193+CARGA_DIARIA!AJ193)/CARGA_DIARIA!B193+CARGA_DIARIA!AF193))</f>
        <v/>
      </c>
      <c r="D193" s="36" t="str">
        <f>IF(CARGA_DIARIA!A193="","",IF(CARGA_DIARIA!B193=0,0,(CARGA_DIARIA!J193+CARGA_DIARIA!K193+CARGA_DIARIA!L193+CARGA_DIARIA!M193+CARGA_DIARIA!N193+CARGA_DIARIA!O193+CARGA_DIARIA!P193+CARGA_DIARIA!Q193+CARGA_DIARIA!R193+CARGA_DIARIA!S193+CARGA_DIARIA!T193+CARGA_DIARIA!U193+CARGA_DIARIA!V193+CARGA_DIARIA!W193)/CARGA_DIARIA!B193))</f>
        <v/>
      </c>
      <c r="E193" s="36" t="str">
        <f>IF(CARGA_DIARIA!A193="","",IF(CARGA_DIARIA!B193=0,0,(CARGA_DIARIA!X193+CARGA_DIARIA!Y193+CARGA_DIARIA!Z193+CARGA_DIARIA!AA193)/CARGA_DIARIA!B193+CARGA_DIARIA!AB193+CARGA_DIARIA!AC193+CARGA_DIARIA!AD193+CARGA_DIARIA!AE193))</f>
        <v/>
      </c>
      <c r="F193" s="39" t="s">
        <v>146</v>
      </c>
      <c r="G193" s="39" t="s">
        <v>146</v>
      </c>
      <c r="H193" s="38" t="str">
        <f>IF(CARGA_DIARIA!A193="","",C193-D193-E193)</f>
        <v/>
      </c>
    </row>
    <row r="194" spans="1:8" ht="15.75" customHeight="1" x14ac:dyDescent="0.25">
      <c r="A194" s="33" t="str">
        <f>IF(CARGA_DIARIA!A194="","",CARGA_DIARIA!A194)</f>
        <v/>
      </c>
      <c r="B194" s="34" t="str">
        <f>IF(CARGA_DIARIA!A194="","",CARGA_DIARIA!B194)</f>
        <v/>
      </c>
      <c r="C194" s="35" t="str">
        <f>IF(CARGA_DIARIA!A194="","",IF(CARGA_DIARIA!B194=0,0,(CARGA_DIARIA!C194+CARGA_DIARIA!D194+CARGA_DIARIA!E194+CARGA_DIARIA!F194+CARGA_DIARIA!G194+CARGA_DIARIA!H194+CARGA_DIARIA!I194+CARGA_DIARIA!AG194+CARGA_DIARIA!AH194+CARGA_DIARIA!AI194+CARGA_DIARIA!AJ194)/CARGA_DIARIA!B194+CARGA_DIARIA!AF194))</f>
        <v/>
      </c>
      <c r="D194" s="36" t="str">
        <f>IF(CARGA_DIARIA!A194="","",IF(CARGA_DIARIA!B194=0,0,(CARGA_DIARIA!J194+CARGA_DIARIA!K194+CARGA_DIARIA!L194+CARGA_DIARIA!M194+CARGA_DIARIA!N194+CARGA_DIARIA!O194+CARGA_DIARIA!P194+CARGA_DIARIA!Q194+CARGA_DIARIA!R194+CARGA_DIARIA!S194+CARGA_DIARIA!T194+CARGA_DIARIA!U194+CARGA_DIARIA!V194+CARGA_DIARIA!W194)/CARGA_DIARIA!B194))</f>
        <v/>
      </c>
      <c r="E194" s="36" t="str">
        <f>IF(CARGA_DIARIA!A194="","",IF(CARGA_DIARIA!B194=0,0,(CARGA_DIARIA!X194+CARGA_DIARIA!Y194+CARGA_DIARIA!Z194+CARGA_DIARIA!AA194)/CARGA_DIARIA!B194+CARGA_DIARIA!AB194+CARGA_DIARIA!AC194+CARGA_DIARIA!AD194+CARGA_DIARIA!AE194))</f>
        <v/>
      </c>
      <c r="F194" s="39" t="s">
        <v>146</v>
      </c>
      <c r="G194" s="39" t="s">
        <v>146</v>
      </c>
      <c r="H194" s="38" t="str">
        <f>IF(CARGA_DIARIA!A194="","",C194-D194-E194)</f>
        <v/>
      </c>
    </row>
    <row r="195" spans="1:8" ht="15.75" customHeight="1" x14ac:dyDescent="0.25">
      <c r="A195" s="33" t="str">
        <f>IF(CARGA_DIARIA!A195="","",CARGA_DIARIA!A195)</f>
        <v/>
      </c>
      <c r="B195" s="34" t="str">
        <f>IF(CARGA_DIARIA!A195="","",CARGA_DIARIA!B195)</f>
        <v/>
      </c>
      <c r="C195" s="35" t="str">
        <f>IF(CARGA_DIARIA!A195="","",IF(CARGA_DIARIA!B195=0,0,(CARGA_DIARIA!C195+CARGA_DIARIA!D195+CARGA_DIARIA!E195+CARGA_DIARIA!F195+CARGA_DIARIA!G195+CARGA_DIARIA!H195+CARGA_DIARIA!I195+CARGA_DIARIA!AG195+CARGA_DIARIA!AH195+CARGA_DIARIA!AI195+CARGA_DIARIA!AJ195)/CARGA_DIARIA!B195+CARGA_DIARIA!AF195))</f>
        <v/>
      </c>
      <c r="D195" s="36" t="str">
        <f>IF(CARGA_DIARIA!A195="","",IF(CARGA_DIARIA!B195=0,0,(CARGA_DIARIA!J195+CARGA_DIARIA!K195+CARGA_DIARIA!L195+CARGA_DIARIA!M195+CARGA_DIARIA!N195+CARGA_DIARIA!O195+CARGA_DIARIA!P195+CARGA_DIARIA!Q195+CARGA_DIARIA!R195+CARGA_DIARIA!S195+CARGA_DIARIA!T195+CARGA_DIARIA!U195+CARGA_DIARIA!V195+CARGA_DIARIA!W195)/CARGA_DIARIA!B195))</f>
        <v/>
      </c>
      <c r="E195" s="36" t="str">
        <f>IF(CARGA_DIARIA!A195="","",IF(CARGA_DIARIA!B195=0,0,(CARGA_DIARIA!X195+CARGA_DIARIA!Y195+CARGA_DIARIA!Z195+CARGA_DIARIA!AA195)/CARGA_DIARIA!B195+CARGA_DIARIA!AB195+CARGA_DIARIA!AC195+CARGA_DIARIA!AD195+CARGA_DIARIA!AE195))</f>
        <v/>
      </c>
      <c r="F195" s="39" t="s">
        <v>146</v>
      </c>
      <c r="G195" s="39" t="s">
        <v>146</v>
      </c>
      <c r="H195" s="38" t="str">
        <f>IF(CARGA_DIARIA!A195="","",C195-D195-E195)</f>
        <v/>
      </c>
    </row>
    <row r="196" spans="1:8" ht="15.75" customHeight="1" x14ac:dyDescent="0.25">
      <c r="A196" s="33" t="str">
        <f>IF(CARGA_DIARIA!A196="","",CARGA_DIARIA!A196)</f>
        <v/>
      </c>
      <c r="B196" s="34" t="str">
        <f>IF(CARGA_DIARIA!A196="","",CARGA_DIARIA!B196)</f>
        <v/>
      </c>
      <c r="C196" s="35" t="str">
        <f>IF(CARGA_DIARIA!A196="","",IF(CARGA_DIARIA!B196=0,0,(CARGA_DIARIA!C196+CARGA_DIARIA!D196+CARGA_DIARIA!E196+CARGA_DIARIA!F196+CARGA_DIARIA!G196+CARGA_DIARIA!H196+CARGA_DIARIA!I196+CARGA_DIARIA!AG196+CARGA_DIARIA!AH196+CARGA_DIARIA!AI196+CARGA_DIARIA!AJ196)/CARGA_DIARIA!B196+CARGA_DIARIA!AF196))</f>
        <v/>
      </c>
      <c r="D196" s="36" t="str">
        <f>IF(CARGA_DIARIA!A196="","",IF(CARGA_DIARIA!B196=0,0,(CARGA_DIARIA!J196+CARGA_DIARIA!K196+CARGA_DIARIA!L196+CARGA_DIARIA!M196+CARGA_DIARIA!N196+CARGA_DIARIA!O196+CARGA_DIARIA!P196+CARGA_DIARIA!Q196+CARGA_DIARIA!R196+CARGA_DIARIA!S196+CARGA_DIARIA!T196+CARGA_DIARIA!U196+CARGA_DIARIA!V196+CARGA_DIARIA!W196)/CARGA_DIARIA!B196))</f>
        <v/>
      </c>
      <c r="E196" s="36" t="str">
        <f>IF(CARGA_DIARIA!A196="","",IF(CARGA_DIARIA!B196=0,0,(CARGA_DIARIA!X196+CARGA_DIARIA!Y196+CARGA_DIARIA!Z196+CARGA_DIARIA!AA196)/CARGA_DIARIA!B196+CARGA_DIARIA!AB196+CARGA_DIARIA!AC196+CARGA_DIARIA!AD196+CARGA_DIARIA!AE196))</f>
        <v/>
      </c>
      <c r="F196" s="39" t="s">
        <v>146</v>
      </c>
      <c r="G196" s="39" t="s">
        <v>146</v>
      </c>
      <c r="H196" s="38" t="str">
        <f>IF(CARGA_DIARIA!A196="","",C196-D196-E196)</f>
        <v/>
      </c>
    </row>
    <row r="197" spans="1:8" ht="15.75" customHeight="1" x14ac:dyDescent="0.25">
      <c r="A197" s="33" t="str">
        <f>IF(CARGA_DIARIA!A197="","",CARGA_DIARIA!A197)</f>
        <v/>
      </c>
      <c r="B197" s="34" t="str">
        <f>IF(CARGA_DIARIA!A197="","",CARGA_DIARIA!B197)</f>
        <v/>
      </c>
      <c r="C197" s="35" t="str">
        <f>IF(CARGA_DIARIA!A197="","",IF(CARGA_DIARIA!B197=0,0,(CARGA_DIARIA!C197+CARGA_DIARIA!D197+CARGA_DIARIA!E197+CARGA_DIARIA!F197+CARGA_DIARIA!G197+CARGA_DIARIA!H197+CARGA_DIARIA!I197+CARGA_DIARIA!AG197+CARGA_DIARIA!AH197+CARGA_DIARIA!AI197+CARGA_DIARIA!AJ197)/CARGA_DIARIA!B197+CARGA_DIARIA!AF197))</f>
        <v/>
      </c>
      <c r="D197" s="36" t="str">
        <f>IF(CARGA_DIARIA!A197="","",IF(CARGA_DIARIA!B197=0,0,(CARGA_DIARIA!J197+CARGA_DIARIA!K197+CARGA_DIARIA!L197+CARGA_DIARIA!M197+CARGA_DIARIA!N197+CARGA_DIARIA!O197+CARGA_DIARIA!P197+CARGA_DIARIA!Q197+CARGA_DIARIA!R197+CARGA_DIARIA!S197+CARGA_DIARIA!T197+CARGA_DIARIA!U197+CARGA_DIARIA!V197+CARGA_DIARIA!W197)/CARGA_DIARIA!B197))</f>
        <v/>
      </c>
      <c r="E197" s="36" t="str">
        <f>IF(CARGA_DIARIA!A197="","",IF(CARGA_DIARIA!B197=0,0,(CARGA_DIARIA!X197+CARGA_DIARIA!Y197+CARGA_DIARIA!Z197+CARGA_DIARIA!AA197)/CARGA_DIARIA!B197+CARGA_DIARIA!AB197+CARGA_DIARIA!AC197+CARGA_DIARIA!AD197+CARGA_DIARIA!AE197))</f>
        <v/>
      </c>
      <c r="F197" s="39" t="s">
        <v>146</v>
      </c>
      <c r="G197" s="39" t="s">
        <v>146</v>
      </c>
      <c r="H197" s="38" t="str">
        <f>IF(CARGA_DIARIA!A197="","",C197-D197-E197)</f>
        <v/>
      </c>
    </row>
    <row r="198" spans="1:8" ht="15.75" customHeight="1" x14ac:dyDescent="0.25">
      <c r="A198" s="33" t="str">
        <f>IF(CARGA_DIARIA!A198="","",CARGA_DIARIA!A198)</f>
        <v/>
      </c>
      <c r="B198" s="34" t="str">
        <f>IF(CARGA_DIARIA!A198="","",CARGA_DIARIA!B198)</f>
        <v/>
      </c>
      <c r="C198" s="35" t="str">
        <f>IF(CARGA_DIARIA!A198="","",IF(CARGA_DIARIA!B198=0,0,(CARGA_DIARIA!C198+CARGA_DIARIA!D198+CARGA_DIARIA!E198+CARGA_DIARIA!F198+CARGA_DIARIA!G198+CARGA_DIARIA!H198+CARGA_DIARIA!I198+CARGA_DIARIA!AG198+CARGA_DIARIA!AH198+CARGA_DIARIA!AI198+CARGA_DIARIA!AJ198)/CARGA_DIARIA!B198+CARGA_DIARIA!AF198))</f>
        <v/>
      </c>
      <c r="D198" s="36" t="str">
        <f>IF(CARGA_DIARIA!A198="","",IF(CARGA_DIARIA!B198=0,0,(CARGA_DIARIA!J198+CARGA_DIARIA!K198+CARGA_DIARIA!L198+CARGA_DIARIA!M198+CARGA_DIARIA!N198+CARGA_DIARIA!O198+CARGA_DIARIA!P198+CARGA_DIARIA!Q198+CARGA_DIARIA!R198+CARGA_DIARIA!S198+CARGA_DIARIA!T198+CARGA_DIARIA!U198+CARGA_DIARIA!V198+CARGA_DIARIA!W198)/CARGA_DIARIA!B198))</f>
        <v/>
      </c>
      <c r="E198" s="36" t="str">
        <f>IF(CARGA_DIARIA!A198="","",IF(CARGA_DIARIA!B198=0,0,(CARGA_DIARIA!X198+CARGA_DIARIA!Y198+CARGA_DIARIA!Z198+CARGA_DIARIA!AA198)/CARGA_DIARIA!B198+CARGA_DIARIA!AB198+CARGA_DIARIA!AC198+CARGA_DIARIA!AD198+CARGA_DIARIA!AE198))</f>
        <v/>
      </c>
      <c r="F198" s="39" t="s">
        <v>146</v>
      </c>
      <c r="G198" s="39" t="s">
        <v>146</v>
      </c>
      <c r="H198" s="38" t="str">
        <f>IF(CARGA_DIARIA!A198="","",C198-D198-E198)</f>
        <v/>
      </c>
    </row>
    <row r="199" spans="1:8" ht="15.75" customHeight="1" x14ac:dyDescent="0.25">
      <c r="A199" s="33" t="str">
        <f>IF(CARGA_DIARIA!A199="","",CARGA_DIARIA!A199)</f>
        <v/>
      </c>
      <c r="B199" s="34" t="str">
        <f>IF(CARGA_DIARIA!A199="","",CARGA_DIARIA!B199)</f>
        <v/>
      </c>
      <c r="C199" s="35" t="str">
        <f>IF(CARGA_DIARIA!A199="","",IF(CARGA_DIARIA!B199=0,0,(CARGA_DIARIA!C199+CARGA_DIARIA!D199+CARGA_DIARIA!E199+CARGA_DIARIA!F199+CARGA_DIARIA!G199+CARGA_DIARIA!H199+CARGA_DIARIA!I199+CARGA_DIARIA!AG199+CARGA_DIARIA!AH199+CARGA_DIARIA!AI199+CARGA_DIARIA!AJ199)/CARGA_DIARIA!B199+CARGA_DIARIA!AF199))</f>
        <v/>
      </c>
      <c r="D199" s="36" t="str">
        <f>IF(CARGA_DIARIA!A199="","",IF(CARGA_DIARIA!B199=0,0,(CARGA_DIARIA!J199+CARGA_DIARIA!K199+CARGA_DIARIA!L199+CARGA_DIARIA!M199+CARGA_DIARIA!N199+CARGA_DIARIA!O199+CARGA_DIARIA!P199+CARGA_DIARIA!Q199+CARGA_DIARIA!R199+CARGA_DIARIA!S199+CARGA_DIARIA!T199+CARGA_DIARIA!U199+CARGA_DIARIA!V199+CARGA_DIARIA!W199)/CARGA_DIARIA!B199))</f>
        <v/>
      </c>
      <c r="E199" s="36" t="str">
        <f>IF(CARGA_DIARIA!A199="","",IF(CARGA_DIARIA!B199=0,0,(CARGA_DIARIA!X199+CARGA_DIARIA!Y199+CARGA_DIARIA!Z199+CARGA_DIARIA!AA199)/CARGA_DIARIA!B199+CARGA_DIARIA!AB199+CARGA_DIARIA!AC199+CARGA_DIARIA!AD199+CARGA_DIARIA!AE199))</f>
        <v/>
      </c>
      <c r="F199" s="39" t="s">
        <v>146</v>
      </c>
      <c r="G199" s="39" t="s">
        <v>146</v>
      </c>
      <c r="H199" s="38" t="str">
        <f>IF(CARGA_DIARIA!A199="","",C199-D199-E199)</f>
        <v/>
      </c>
    </row>
    <row r="200" spans="1:8" ht="15.75" customHeight="1" x14ac:dyDescent="0.25">
      <c r="A200" s="33" t="str">
        <f>IF(CARGA_DIARIA!A200="","",CARGA_DIARIA!A200)</f>
        <v/>
      </c>
      <c r="B200" s="34" t="str">
        <f>IF(CARGA_DIARIA!A200="","",CARGA_DIARIA!B200)</f>
        <v/>
      </c>
      <c r="C200" s="35" t="str">
        <f>IF(CARGA_DIARIA!A200="","",IF(CARGA_DIARIA!B200=0,0,(CARGA_DIARIA!C200+CARGA_DIARIA!D200+CARGA_DIARIA!E200+CARGA_DIARIA!F200+CARGA_DIARIA!G200+CARGA_DIARIA!H200+CARGA_DIARIA!I200+CARGA_DIARIA!AG200+CARGA_DIARIA!AH200+CARGA_DIARIA!AI200+CARGA_DIARIA!AJ200)/CARGA_DIARIA!B200+CARGA_DIARIA!AF200))</f>
        <v/>
      </c>
      <c r="D200" s="36" t="str">
        <f>IF(CARGA_DIARIA!A200="","",IF(CARGA_DIARIA!B200=0,0,(CARGA_DIARIA!J200+CARGA_DIARIA!K200+CARGA_DIARIA!L200+CARGA_DIARIA!M200+CARGA_DIARIA!N200+CARGA_DIARIA!O200+CARGA_DIARIA!P200+CARGA_DIARIA!Q200+CARGA_DIARIA!R200+CARGA_DIARIA!S200+CARGA_DIARIA!T200+CARGA_DIARIA!U200+CARGA_DIARIA!V200+CARGA_DIARIA!W200)/CARGA_DIARIA!B200))</f>
        <v/>
      </c>
      <c r="E200" s="36" t="str">
        <f>IF(CARGA_DIARIA!A200="","",IF(CARGA_DIARIA!B200=0,0,(CARGA_DIARIA!X200+CARGA_DIARIA!Y200+CARGA_DIARIA!Z200+CARGA_DIARIA!AA200)/CARGA_DIARIA!B200+CARGA_DIARIA!AB200+CARGA_DIARIA!AC200+CARGA_DIARIA!AD200+CARGA_DIARIA!AE200))</f>
        <v/>
      </c>
      <c r="F200" s="39" t="s">
        <v>146</v>
      </c>
      <c r="G200" s="39" t="s">
        <v>146</v>
      </c>
      <c r="H200" s="38" t="str">
        <f>IF(CARGA_DIARIA!A200="","",C200-D200-E200)</f>
        <v/>
      </c>
    </row>
    <row r="201" spans="1:8" ht="15.75" customHeight="1" x14ac:dyDescent="0.25">
      <c r="A201" s="33" t="str">
        <f>IF(CARGA_DIARIA!A201="","",CARGA_DIARIA!A201)</f>
        <v/>
      </c>
      <c r="B201" s="34" t="str">
        <f>IF(CARGA_DIARIA!A201="","",CARGA_DIARIA!B201)</f>
        <v/>
      </c>
      <c r="C201" s="35" t="str">
        <f>IF(CARGA_DIARIA!A201="","",IF(CARGA_DIARIA!B201=0,0,(CARGA_DIARIA!C201+CARGA_DIARIA!D201+CARGA_DIARIA!E201+CARGA_DIARIA!F201+CARGA_DIARIA!G201+CARGA_DIARIA!H201+CARGA_DIARIA!I201+CARGA_DIARIA!AG201+CARGA_DIARIA!AH201+CARGA_DIARIA!AI201+CARGA_DIARIA!AJ201)/CARGA_DIARIA!B201+CARGA_DIARIA!AF201))</f>
        <v/>
      </c>
      <c r="D201" s="36" t="str">
        <f>IF(CARGA_DIARIA!A201="","",IF(CARGA_DIARIA!B201=0,0,(CARGA_DIARIA!J201+CARGA_DIARIA!K201+CARGA_DIARIA!L201+CARGA_DIARIA!M201+CARGA_DIARIA!N201+CARGA_DIARIA!O201+CARGA_DIARIA!P201+CARGA_DIARIA!Q201+CARGA_DIARIA!R201+CARGA_DIARIA!S201+CARGA_DIARIA!T201+CARGA_DIARIA!U201+CARGA_DIARIA!V201+CARGA_DIARIA!W201)/CARGA_DIARIA!B201))</f>
        <v/>
      </c>
      <c r="E201" s="36" t="str">
        <f>IF(CARGA_DIARIA!A201="","",IF(CARGA_DIARIA!B201=0,0,(CARGA_DIARIA!X201+CARGA_DIARIA!Y201+CARGA_DIARIA!Z201+CARGA_DIARIA!AA201)/CARGA_DIARIA!B201+CARGA_DIARIA!AB201+CARGA_DIARIA!AC201+CARGA_DIARIA!AD201+CARGA_DIARIA!AE201))</f>
        <v/>
      </c>
      <c r="F201" s="39" t="s">
        <v>146</v>
      </c>
      <c r="G201" s="39" t="s">
        <v>146</v>
      </c>
      <c r="H201" s="38" t="str">
        <f>IF(CARGA_DIARIA!A201="","",C201-D201-E201)</f>
        <v/>
      </c>
    </row>
    <row r="202" spans="1:8" ht="15.75" customHeight="1" x14ac:dyDescent="0.25">
      <c r="A202" s="33" t="str">
        <f>IF(CARGA_DIARIA!A202="","",CARGA_DIARIA!A202)</f>
        <v/>
      </c>
      <c r="B202" s="34" t="str">
        <f>IF(CARGA_DIARIA!A202="","",CARGA_DIARIA!B202)</f>
        <v/>
      </c>
      <c r="C202" s="35" t="str">
        <f>IF(CARGA_DIARIA!A202="","",IF(CARGA_DIARIA!B202=0,0,(CARGA_DIARIA!C202+CARGA_DIARIA!D202+CARGA_DIARIA!E202+CARGA_DIARIA!F202+CARGA_DIARIA!G202+CARGA_DIARIA!H202+CARGA_DIARIA!I202+CARGA_DIARIA!AG202+CARGA_DIARIA!AH202+CARGA_DIARIA!AI202+CARGA_DIARIA!AJ202)/CARGA_DIARIA!B202+CARGA_DIARIA!AF202))</f>
        <v/>
      </c>
      <c r="D202" s="36" t="str">
        <f>IF(CARGA_DIARIA!A202="","",IF(CARGA_DIARIA!B202=0,0,(CARGA_DIARIA!J202+CARGA_DIARIA!K202+CARGA_DIARIA!L202+CARGA_DIARIA!M202+CARGA_DIARIA!N202+CARGA_DIARIA!O202+CARGA_DIARIA!P202+CARGA_DIARIA!Q202+CARGA_DIARIA!R202+CARGA_DIARIA!S202+CARGA_DIARIA!T202+CARGA_DIARIA!U202+CARGA_DIARIA!V202+CARGA_DIARIA!W202)/CARGA_DIARIA!B202))</f>
        <v/>
      </c>
      <c r="E202" s="36" t="str">
        <f>IF(CARGA_DIARIA!A202="","",IF(CARGA_DIARIA!B202=0,0,(CARGA_DIARIA!X202+CARGA_DIARIA!Y202+CARGA_DIARIA!Z202+CARGA_DIARIA!AA202)/CARGA_DIARIA!B202+CARGA_DIARIA!AB202+CARGA_DIARIA!AC202+CARGA_DIARIA!AD202+CARGA_DIARIA!AE202))</f>
        <v/>
      </c>
      <c r="F202" s="39" t="s">
        <v>146</v>
      </c>
      <c r="G202" s="39" t="s">
        <v>146</v>
      </c>
      <c r="H202" s="38" t="str">
        <f>IF(CARGA_DIARIA!A202="","",C202-D202-E202)</f>
        <v/>
      </c>
    </row>
    <row r="203" spans="1:8" ht="15.75" customHeight="1" x14ac:dyDescent="0.25">
      <c r="A203" s="33" t="str">
        <f>IF(CARGA_DIARIA!A203="","",CARGA_DIARIA!A203)</f>
        <v/>
      </c>
      <c r="B203" s="34" t="str">
        <f>IF(CARGA_DIARIA!A203="","",CARGA_DIARIA!B203)</f>
        <v/>
      </c>
      <c r="C203" s="35" t="str">
        <f>IF(CARGA_DIARIA!A203="","",IF(CARGA_DIARIA!B203=0,0,(CARGA_DIARIA!C203+CARGA_DIARIA!D203+CARGA_DIARIA!E203+CARGA_DIARIA!F203+CARGA_DIARIA!G203+CARGA_DIARIA!H203+CARGA_DIARIA!I203+CARGA_DIARIA!AG203+CARGA_DIARIA!AH203+CARGA_DIARIA!AI203+CARGA_DIARIA!AJ203)/CARGA_DIARIA!B203+CARGA_DIARIA!AF203))</f>
        <v/>
      </c>
      <c r="D203" s="36" t="str">
        <f>IF(CARGA_DIARIA!A203="","",IF(CARGA_DIARIA!B203=0,0,(CARGA_DIARIA!J203+CARGA_DIARIA!K203+CARGA_DIARIA!L203+CARGA_DIARIA!M203+CARGA_DIARIA!N203+CARGA_DIARIA!O203+CARGA_DIARIA!P203+CARGA_DIARIA!Q203+CARGA_DIARIA!R203+CARGA_DIARIA!S203+CARGA_DIARIA!T203+CARGA_DIARIA!U203+CARGA_DIARIA!V203+CARGA_DIARIA!W203)/CARGA_DIARIA!B203))</f>
        <v/>
      </c>
      <c r="E203" s="36" t="str">
        <f>IF(CARGA_DIARIA!A203="","",IF(CARGA_DIARIA!B203=0,0,(CARGA_DIARIA!X203+CARGA_DIARIA!Y203+CARGA_DIARIA!Z203+CARGA_DIARIA!AA203)/CARGA_DIARIA!B203+CARGA_DIARIA!AB203+CARGA_DIARIA!AC203+CARGA_DIARIA!AD203+CARGA_DIARIA!AE203))</f>
        <v/>
      </c>
      <c r="F203" s="39" t="s">
        <v>146</v>
      </c>
      <c r="G203" s="39" t="s">
        <v>146</v>
      </c>
      <c r="H203" s="38" t="str">
        <f>IF(CARGA_DIARIA!A203="","",C203-D203-E203)</f>
        <v/>
      </c>
    </row>
    <row r="204" spans="1:8" ht="15.75" customHeight="1" x14ac:dyDescent="0.25">
      <c r="A204" s="33" t="str">
        <f>IF(CARGA_DIARIA!A204="","",CARGA_DIARIA!A204)</f>
        <v/>
      </c>
      <c r="B204" s="34" t="str">
        <f>IF(CARGA_DIARIA!A204="","",CARGA_DIARIA!B204)</f>
        <v/>
      </c>
      <c r="C204" s="35" t="str">
        <f>IF(CARGA_DIARIA!A204="","",IF(CARGA_DIARIA!B204=0,0,(CARGA_DIARIA!C204+CARGA_DIARIA!D204+CARGA_DIARIA!E204+CARGA_DIARIA!F204+CARGA_DIARIA!G204+CARGA_DIARIA!H204+CARGA_DIARIA!I204+CARGA_DIARIA!AG204+CARGA_DIARIA!AH204+CARGA_DIARIA!AI204+CARGA_DIARIA!AJ204)/CARGA_DIARIA!B204+CARGA_DIARIA!AF204))</f>
        <v/>
      </c>
      <c r="D204" s="36" t="str">
        <f>IF(CARGA_DIARIA!A204="","",IF(CARGA_DIARIA!B204=0,0,(CARGA_DIARIA!J204+CARGA_DIARIA!K204+CARGA_DIARIA!L204+CARGA_DIARIA!M204+CARGA_DIARIA!N204+CARGA_DIARIA!O204+CARGA_DIARIA!P204+CARGA_DIARIA!Q204+CARGA_DIARIA!R204+CARGA_DIARIA!S204+CARGA_DIARIA!T204+CARGA_DIARIA!U204+CARGA_DIARIA!V204+CARGA_DIARIA!W204)/CARGA_DIARIA!B204))</f>
        <v/>
      </c>
      <c r="E204" s="36" t="str">
        <f>IF(CARGA_DIARIA!A204="","",IF(CARGA_DIARIA!B204=0,0,(CARGA_DIARIA!X204+CARGA_DIARIA!Y204+CARGA_DIARIA!Z204+CARGA_DIARIA!AA204)/CARGA_DIARIA!B204+CARGA_DIARIA!AB204+CARGA_DIARIA!AC204+CARGA_DIARIA!AD204+CARGA_DIARIA!AE204))</f>
        <v/>
      </c>
      <c r="F204" s="39" t="s">
        <v>146</v>
      </c>
      <c r="G204" s="39" t="s">
        <v>146</v>
      </c>
      <c r="H204" s="38" t="str">
        <f>IF(CARGA_DIARIA!A204="","",C204-D204-E204)</f>
        <v/>
      </c>
    </row>
    <row r="205" spans="1:8" ht="15.75" customHeight="1" x14ac:dyDescent="0.25">
      <c r="A205" s="33" t="str">
        <f>IF(CARGA_DIARIA!A205="","",CARGA_DIARIA!A205)</f>
        <v/>
      </c>
      <c r="B205" s="34" t="str">
        <f>IF(CARGA_DIARIA!A205="","",CARGA_DIARIA!B205)</f>
        <v/>
      </c>
      <c r="C205" s="35" t="str">
        <f>IF(CARGA_DIARIA!A205="","",IF(CARGA_DIARIA!B205=0,0,(CARGA_DIARIA!C205+CARGA_DIARIA!D205+CARGA_DIARIA!E205+CARGA_DIARIA!F205+CARGA_DIARIA!G205+CARGA_DIARIA!H205+CARGA_DIARIA!I205+CARGA_DIARIA!AG205+CARGA_DIARIA!AH205+CARGA_DIARIA!AI205+CARGA_DIARIA!AJ205)/CARGA_DIARIA!B205+CARGA_DIARIA!AF205))</f>
        <v/>
      </c>
      <c r="D205" s="36" t="str">
        <f>IF(CARGA_DIARIA!A205="","",IF(CARGA_DIARIA!B205=0,0,(CARGA_DIARIA!J205+CARGA_DIARIA!K205+CARGA_DIARIA!L205+CARGA_DIARIA!M205+CARGA_DIARIA!N205+CARGA_DIARIA!O205+CARGA_DIARIA!P205+CARGA_DIARIA!Q205+CARGA_DIARIA!R205+CARGA_DIARIA!S205+CARGA_DIARIA!T205+CARGA_DIARIA!U205+CARGA_DIARIA!V205+CARGA_DIARIA!W205)/CARGA_DIARIA!B205))</f>
        <v/>
      </c>
      <c r="E205" s="36" t="str">
        <f>IF(CARGA_DIARIA!A205="","",IF(CARGA_DIARIA!B205=0,0,(CARGA_DIARIA!X205+CARGA_DIARIA!Y205+CARGA_DIARIA!Z205+CARGA_DIARIA!AA205)/CARGA_DIARIA!B205+CARGA_DIARIA!AB205+CARGA_DIARIA!AC205+CARGA_DIARIA!AD205+CARGA_DIARIA!AE205))</f>
        <v/>
      </c>
      <c r="F205" s="39" t="s">
        <v>146</v>
      </c>
      <c r="G205" s="39" t="s">
        <v>146</v>
      </c>
      <c r="H205" s="38" t="str">
        <f>IF(CARGA_DIARIA!A205="","",C205-D205-E205)</f>
        <v/>
      </c>
    </row>
    <row r="206" spans="1:8" ht="15.75" customHeight="1" x14ac:dyDescent="0.25">
      <c r="A206" s="33" t="str">
        <f>IF(CARGA_DIARIA!A206="","",CARGA_DIARIA!A206)</f>
        <v/>
      </c>
      <c r="B206" s="34" t="str">
        <f>IF(CARGA_DIARIA!A206="","",CARGA_DIARIA!B206)</f>
        <v/>
      </c>
      <c r="C206" s="35" t="str">
        <f>IF(CARGA_DIARIA!A206="","",IF(CARGA_DIARIA!B206=0,0,(CARGA_DIARIA!C206+CARGA_DIARIA!D206+CARGA_DIARIA!E206+CARGA_DIARIA!F206+CARGA_DIARIA!G206+CARGA_DIARIA!H206+CARGA_DIARIA!I206+CARGA_DIARIA!AG206+CARGA_DIARIA!AH206+CARGA_DIARIA!AI206+CARGA_DIARIA!AJ206)/CARGA_DIARIA!B206+CARGA_DIARIA!AF206))</f>
        <v/>
      </c>
      <c r="D206" s="36" t="str">
        <f>IF(CARGA_DIARIA!A206="","",IF(CARGA_DIARIA!B206=0,0,(CARGA_DIARIA!J206+CARGA_DIARIA!K206+CARGA_DIARIA!L206+CARGA_DIARIA!M206+CARGA_DIARIA!N206+CARGA_DIARIA!O206+CARGA_DIARIA!P206+CARGA_DIARIA!Q206+CARGA_DIARIA!R206+CARGA_DIARIA!S206+CARGA_DIARIA!T206+CARGA_DIARIA!U206+CARGA_DIARIA!V206+CARGA_DIARIA!W206)/CARGA_DIARIA!B206))</f>
        <v/>
      </c>
      <c r="E206" s="36" t="str">
        <f>IF(CARGA_DIARIA!A206="","",IF(CARGA_DIARIA!B206=0,0,(CARGA_DIARIA!X206+CARGA_DIARIA!Y206+CARGA_DIARIA!Z206+CARGA_DIARIA!AA206)/CARGA_DIARIA!B206+CARGA_DIARIA!AB206+CARGA_DIARIA!AC206+CARGA_DIARIA!AD206+CARGA_DIARIA!AE206))</f>
        <v/>
      </c>
      <c r="F206" s="39" t="s">
        <v>146</v>
      </c>
      <c r="G206" s="39" t="s">
        <v>146</v>
      </c>
      <c r="H206" s="38" t="str">
        <f>IF(CARGA_DIARIA!A206="","",C206-D206-E206)</f>
        <v/>
      </c>
    </row>
    <row r="207" spans="1:8" ht="15.75" customHeight="1" x14ac:dyDescent="0.25">
      <c r="A207" s="33" t="str">
        <f>IF(CARGA_DIARIA!A207="","",CARGA_DIARIA!A207)</f>
        <v/>
      </c>
      <c r="B207" s="34" t="str">
        <f>IF(CARGA_DIARIA!A207="","",CARGA_DIARIA!B207)</f>
        <v/>
      </c>
      <c r="C207" s="35" t="str">
        <f>IF(CARGA_DIARIA!A207="","",IF(CARGA_DIARIA!B207=0,0,(CARGA_DIARIA!C207+CARGA_DIARIA!D207+CARGA_DIARIA!E207+CARGA_DIARIA!F207+CARGA_DIARIA!G207+CARGA_DIARIA!H207+CARGA_DIARIA!I207+CARGA_DIARIA!AG207+CARGA_DIARIA!AH207+CARGA_DIARIA!AI207+CARGA_DIARIA!AJ207)/CARGA_DIARIA!B207+CARGA_DIARIA!AF207))</f>
        <v/>
      </c>
      <c r="D207" s="36" t="str">
        <f>IF(CARGA_DIARIA!A207="","",IF(CARGA_DIARIA!B207=0,0,(CARGA_DIARIA!J207+CARGA_DIARIA!K207+CARGA_DIARIA!L207+CARGA_DIARIA!M207+CARGA_DIARIA!N207+CARGA_DIARIA!O207+CARGA_DIARIA!P207+CARGA_DIARIA!Q207+CARGA_DIARIA!R207+CARGA_DIARIA!S207+CARGA_DIARIA!T207+CARGA_DIARIA!U207+CARGA_DIARIA!V207+CARGA_DIARIA!W207)/CARGA_DIARIA!B207))</f>
        <v/>
      </c>
      <c r="E207" s="36" t="str">
        <f>IF(CARGA_DIARIA!A207="","",IF(CARGA_DIARIA!B207=0,0,(CARGA_DIARIA!X207+CARGA_DIARIA!Y207+CARGA_DIARIA!Z207+CARGA_DIARIA!AA207)/CARGA_DIARIA!B207+CARGA_DIARIA!AB207+CARGA_DIARIA!AC207+CARGA_DIARIA!AD207+CARGA_DIARIA!AE207))</f>
        <v/>
      </c>
      <c r="F207" s="39" t="s">
        <v>146</v>
      </c>
      <c r="G207" s="39" t="s">
        <v>146</v>
      </c>
      <c r="H207" s="38" t="str">
        <f>IF(CARGA_DIARIA!A207="","",C207-D207-E207)</f>
        <v/>
      </c>
    </row>
    <row r="208" spans="1:8" ht="15.75" customHeight="1" x14ac:dyDescent="0.25">
      <c r="A208" s="33" t="str">
        <f>IF(CARGA_DIARIA!A208="","",CARGA_DIARIA!A208)</f>
        <v/>
      </c>
      <c r="B208" s="34" t="str">
        <f>IF(CARGA_DIARIA!A208="","",CARGA_DIARIA!B208)</f>
        <v/>
      </c>
      <c r="C208" s="35" t="str">
        <f>IF(CARGA_DIARIA!A208="","",IF(CARGA_DIARIA!B208=0,0,(CARGA_DIARIA!C208+CARGA_DIARIA!D208+CARGA_DIARIA!E208+CARGA_DIARIA!F208+CARGA_DIARIA!G208+CARGA_DIARIA!H208+CARGA_DIARIA!I208+CARGA_DIARIA!AG208+CARGA_DIARIA!AH208+CARGA_DIARIA!AI208+CARGA_DIARIA!AJ208)/CARGA_DIARIA!B208+CARGA_DIARIA!AF208))</f>
        <v/>
      </c>
      <c r="D208" s="36" t="str">
        <f>IF(CARGA_DIARIA!A208="","",IF(CARGA_DIARIA!B208=0,0,(CARGA_DIARIA!J208+CARGA_DIARIA!K208+CARGA_DIARIA!L208+CARGA_DIARIA!M208+CARGA_DIARIA!N208+CARGA_DIARIA!O208+CARGA_DIARIA!P208+CARGA_DIARIA!Q208+CARGA_DIARIA!R208+CARGA_DIARIA!S208+CARGA_DIARIA!T208+CARGA_DIARIA!U208+CARGA_DIARIA!V208+CARGA_DIARIA!W208)/CARGA_DIARIA!B208))</f>
        <v/>
      </c>
      <c r="E208" s="36" t="str">
        <f>IF(CARGA_DIARIA!A208="","",IF(CARGA_DIARIA!B208=0,0,(CARGA_DIARIA!X208+CARGA_DIARIA!Y208+CARGA_DIARIA!Z208+CARGA_DIARIA!AA208)/CARGA_DIARIA!B208+CARGA_DIARIA!AB208+CARGA_DIARIA!AC208+CARGA_DIARIA!AD208+CARGA_DIARIA!AE208))</f>
        <v/>
      </c>
      <c r="F208" s="39" t="s">
        <v>146</v>
      </c>
      <c r="G208" s="39" t="s">
        <v>146</v>
      </c>
      <c r="H208" s="38" t="str">
        <f>IF(CARGA_DIARIA!A208="","",C208-D208-E208)</f>
        <v/>
      </c>
    </row>
    <row r="209" spans="1:8" ht="15.75" customHeight="1" x14ac:dyDescent="0.25">
      <c r="A209" s="33" t="str">
        <f>IF(CARGA_DIARIA!A209="","",CARGA_DIARIA!A209)</f>
        <v/>
      </c>
      <c r="B209" s="34" t="str">
        <f>IF(CARGA_DIARIA!A209="","",CARGA_DIARIA!B209)</f>
        <v/>
      </c>
      <c r="C209" s="35" t="str">
        <f>IF(CARGA_DIARIA!A209="","",IF(CARGA_DIARIA!B209=0,0,(CARGA_DIARIA!C209+CARGA_DIARIA!D209+CARGA_DIARIA!E209+CARGA_DIARIA!F209+CARGA_DIARIA!G209+CARGA_DIARIA!H209+CARGA_DIARIA!I209+CARGA_DIARIA!AG209+CARGA_DIARIA!AH209+CARGA_DIARIA!AI209+CARGA_DIARIA!AJ209)/CARGA_DIARIA!B209+CARGA_DIARIA!AF209))</f>
        <v/>
      </c>
      <c r="D209" s="36" t="str">
        <f>IF(CARGA_DIARIA!A209="","",IF(CARGA_DIARIA!B209=0,0,(CARGA_DIARIA!J209+CARGA_DIARIA!K209+CARGA_DIARIA!L209+CARGA_DIARIA!M209+CARGA_DIARIA!N209+CARGA_DIARIA!O209+CARGA_DIARIA!P209+CARGA_DIARIA!Q209+CARGA_DIARIA!R209+CARGA_DIARIA!S209+CARGA_DIARIA!T209+CARGA_DIARIA!U209+CARGA_DIARIA!V209+CARGA_DIARIA!W209)/CARGA_DIARIA!B209))</f>
        <v/>
      </c>
      <c r="E209" s="36" t="str">
        <f>IF(CARGA_DIARIA!A209="","",IF(CARGA_DIARIA!B209=0,0,(CARGA_DIARIA!X209+CARGA_DIARIA!Y209+CARGA_DIARIA!Z209+CARGA_DIARIA!AA209)/CARGA_DIARIA!B209+CARGA_DIARIA!AB209+CARGA_DIARIA!AC209+CARGA_DIARIA!AD209+CARGA_DIARIA!AE209))</f>
        <v/>
      </c>
      <c r="F209" s="39" t="s">
        <v>146</v>
      </c>
      <c r="G209" s="39" t="s">
        <v>146</v>
      </c>
      <c r="H209" s="38" t="str">
        <f>IF(CARGA_DIARIA!A209="","",C209-D209-E209)</f>
        <v/>
      </c>
    </row>
    <row r="210" spans="1:8" ht="15.75" customHeight="1" x14ac:dyDescent="0.25">
      <c r="A210" s="33" t="str">
        <f>IF(CARGA_DIARIA!A210="","",CARGA_DIARIA!A210)</f>
        <v/>
      </c>
      <c r="B210" s="34" t="str">
        <f>IF(CARGA_DIARIA!A210="","",CARGA_DIARIA!B210)</f>
        <v/>
      </c>
      <c r="C210" s="35" t="str">
        <f>IF(CARGA_DIARIA!A210="","",IF(CARGA_DIARIA!B210=0,0,(CARGA_DIARIA!C210+CARGA_DIARIA!D210+CARGA_DIARIA!E210+CARGA_DIARIA!F210+CARGA_DIARIA!G210+CARGA_DIARIA!H210+CARGA_DIARIA!I210+CARGA_DIARIA!AG210+CARGA_DIARIA!AH210+CARGA_DIARIA!AI210+CARGA_DIARIA!AJ210)/CARGA_DIARIA!B210+CARGA_DIARIA!AF210))</f>
        <v/>
      </c>
      <c r="D210" s="36" t="str">
        <f>IF(CARGA_DIARIA!A210="","",IF(CARGA_DIARIA!B210=0,0,(CARGA_DIARIA!J210+CARGA_DIARIA!K210+CARGA_DIARIA!L210+CARGA_DIARIA!M210+CARGA_DIARIA!N210+CARGA_DIARIA!O210+CARGA_DIARIA!P210+CARGA_DIARIA!Q210+CARGA_DIARIA!R210+CARGA_DIARIA!S210+CARGA_DIARIA!T210+CARGA_DIARIA!U210+CARGA_DIARIA!V210+CARGA_DIARIA!W210)/CARGA_DIARIA!B210))</f>
        <v/>
      </c>
      <c r="E210" s="36" t="str">
        <f>IF(CARGA_DIARIA!A210="","",IF(CARGA_DIARIA!B210=0,0,(CARGA_DIARIA!X210+CARGA_DIARIA!Y210+CARGA_DIARIA!Z210+CARGA_DIARIA!AA210)/CARGA_DIARIA!B210+CARGA_DIARIA!AB210+CARGA_DIARIA!AC210+CARGA_DIARIA!AD210+CARGA_DIARIA!AE210))</f>
        <v/>
      </c>
      <c r="F210" s="39" t="s">
        <v>146</v>
      </c>
      <c r="G210" s="39" t="s">
        <v>146</v>
      </c>
      <c r="H210" s="38" t="str">
        <f>IF(CARGA_DIARIA!A210="","",C210-D210-E210)</f>
        <v/>
      </c>
    </row>
    <row r="211" spans="1:8" ht="15.75" customHeight="1" x14ac:dyDescent="0.25">
      <c r="A211" s="33" t="str">
        <f>IF(CARGA_DIARIA!A211="","",CARGA_DIARIA!A211)</f>
        <v/>
      </c>
      <c r="B211" s="34" t="str">
        <f>IF(CARGA_DIARIA!A211="","",CARGA_DIARIA!B211)</f>
        <v/>
      </c>
      <c r="C211" s="35" t="str">
        <f>IF(CARGA_DIARIA!A211="","",IF(CARGA_DIARIA!B211=0,0,(CARGA_DIARIA!C211+CARGA_DIARIA!D211+CARGA_DIARIA!E211+CARGA_DIARIA!F211+CARGA_DIARIA!G211+CARGA_DIARIA!H211+CARGA_DIARIA!I211+CARGA_DIARIA!AG211+CARGA_DIARIA!AH211+CARGA_DIARIA!AI211+CARGA_DIARIA!AJ211)/CARGA_DIARIA!B211+CARGA_DIARIA!AF211))</f>
        <v/>
      </c>
      <c r="D211" s="36" t="str">
        <f>IF(CARGA_DIARIA!A211="","",IF(CARGA_DIARIA!B211=0,0,(CARGA_DIARIA!J211+CARGA_DIARIA!K211+CARGA_DIARIA!L211+CARGA_DIARIA!M211+CARGA_DIARIA!N211+CARGA_DIARIA!O211+CARGA_DIARIA!P211+CARGA_DIARIA!Q211+CARGA_DIARIA!R211+CARGA_DIARIA!S211+CARGA_DIARIA!T211+CARGA_DIARIA!U211+CARGA_DIARIA!V211+CARGA_DIARIA!W211)/CARGA_DIARIA!B211))</f>
        <v/>
      </c>
      <c r="E211" s="36" t="str">
        <f>IF(CARGA_DIARIA!A211="","",IF(CARGA_DIARIA!B211=0,0,(CARGA_DIARIA!X211+CARGA_DIARIA!Y211+CARGA_DIARIA!Z211+CARGA_DIARIA!AA211)/CARGA_DIARIA!B211+CARGA_DIARIA!AB211+CARGA_DIARIA!AC211+CARGA_DIARIA!AD211+CARGA_DIARIA!AE211))</f>
        <v/>
      </c>
      <c r="F211" s="39" t="s">
        <v>146</v>
      </c>
      <c r="G211" s="39" t="s">
        <v>146</v>
      </c>
      <c r="H211" s="38" t="str">
        <f>IF(CARGA_DIARIA!A211="","",C211-D211-E211)</f>
        <v/>
      </c>
    </row>
    <row r="212" spans="1:8" ht="15.75" customHeight="1" x14ac:dyDescent="0.25">
      <c r="A212" s="33" t="str">
        <f>IF(CARGA_DIARIA!A212="","",CARGA_DIARIA!A212)</f>
        <v/>
      </c>
      <c r="B212" s="34" t="str">
        <f>IF(CARGA_DIARIA!A212="","",CARGA_DIARIA!B212)</f>
        <v/>
      </c>
      <c r="C212" s="35" t="str">
        <f>IF(CARGA_DIARIA!A212="","",IF(CARGA_DIARIA!B212=0,0,(CARGA_DIARIA!C212+CARGA_DIARIA!D212+CARGA_DIARIA!E212+CARGA_DIARIA!F212+CARGA_DIARIA!G212+CARGA_DIARIA!H212+CARGA_DIARIA!I212+CARGA_DIARIA!AG212+CARGA_DIARIA!AH212+CARGA_DIARIA!AI212+CARGA_DIARIA!AJ212)/CARGA_DIARIA!B212+CARGA_DIARIA!AF212))</f>
        <v/>
      </c>
      <c r="D212" s="36" t="str">
        <f>IF(CARGA_DIARIA!A212="","",IF(CARGA_DIARIA!B212=0,0,(CARGA_DIARIA!J212+CARGA_DIARIA!K212+CARGA_DIARIA!L212+CARGA_DIARIA!M212+CARGA_DIARIA!N212+CARGA_DIARIA!O212+CARGA_DIARIA!P212+CARGA_DIARIA!Q212+CARGA_DIARIA!R212+CARGA_DIARIA!S212+CARGA_DIARIA!T212+CARGA_DIARIA!U212+CARGA_DIARIA!V212+CARGA_DIARIA!W212)/CARGA_DIARIA!B212))</f>
        <v/>
      </c>
      <c r="E212" s="36" t="str">
        <f>IF(CARGA_DIARIA!A212="","",IF(CARGA_DIARIA!B212=0,0,(CARGA_DIARIA!X212+CARGA_DIARIA!Y212+CARGA_DIARIA!Z212+CARGA_DIARIA!AA212)/CARGA_DIARIA!B212+CARGA_DIARIA!AB212+CARGA_DIARIA!AC212+CARGA_DIARIA!AD212+CARGA_DIARIA!AE212))</f>
        <v/>
      </c>
      <c r="F212" s="39" t="s">
        <v>146</v>
      </c>
      <c r="G212" s="39" t="s">
        <v>146</v>
      </c>
      <c r="H212" s="38" t="str">
        <f>IF(CARGA_DIARIA!A212="","",C212-D212-E212)</f>
        <v/>
      </c>
    </row>
    <row r="213" spans="1:8" ht="15.75" customHeight="1" x14ac:dyDescent="0.25">
      <c r="A213" s="33" t="str">
        <f>IF(CARGA_DIARIA!A213="","",CARGA_DIARIA!A213)</f>
        <v/>
      </c>
      <c r="B213" s="34" t="str">
        <f>IF(CARGA_DIARIA!A213="","",CARGA_DIARIA!B213)</f>
        <v/>
      </c>
      <c r="C213" s="35" t="str">
        <f>IF(CARGA_DIARIA!A213="","",IF(CARGA_DIARIA!B213=0,0,(CARGA_DIARIA!C213+CARGA_DIARIA!D213+CARGA_DIARIA!E213+CARGA_DIARIA!F213+CARGA_DIARIA!G213+CARGA_DIARIA!H213+CARGA_DIARIA!I213+CARGA_DIARIA!AG213+CARGA_DIARIA!AH213+CARGA_DIARIA!AI213+CARGA_DIARIA!AJ213)/CARGA_DIARIA!B213+CARGA_DIARIA!AF213))</f>
        <v/>
      </c>
      <c r="D213" s="36" t="str">
        <f>IF(CARGA_DIARIA!A213="","",IF(CARGA_DIARIA!B213=0,0,(CARGA_DIARIA!J213+CARGA_DIARIA!K213+CARGA_DIARIA!L213+CARGA_DIARIA!M213+CARGA_DIARIA!N213+CARGA_DIARIA!O213+CARGA_DIARIA!P213+CARGA_DIARIA!Q213+CARGA_DIARIA!R213+CARGA_DIARIA!S213+CARGA_DIARIA!T213+CARGA_DIARIA!U213+CARGA_DIARIA!V213+CARGA_DIARIA!W213)/CARGA_DIARIA!B213))</f>
        <v/>
      </c>
      <c r="E213" s="36" t="str">
        <f>IF(CARGA_DIARIA!A213="","",IF(CARGA_DIARIA!B213=0,0,(CARGA_DIARIA!X213+CARGA_DIARIA!Y213+CARGA_DIARIA!Z213+CARGA_DIARIA!AA213)/CARGA_DIARIA!B213+CARGA_DIARIA!AB213+CARGA_DIARIA!AC213+CARGA_DIARIA!AD213+CARGA_DIARIA!AE213))</f>
        <v/>
      </c>
      <c r="F213" s="39" t="s">
        <v>146</v>
      </c>
      <c r="G213" s="39" t="s">
        <v>146</v>
      </c>
      <c r="H213" s="38" t="str">
        <f>IF(CARGA_DIARIA!A213="","",C213-D213-E213)</f>
        <v/>
      </c>
    </row>
    <row r="214" spans="1:8" ht="15.75" customHeight="1" x14ac:dyDescent="0.25">
      <c r="A214" s="33" t="str">
        <f>IF(CARGA_DIARIA!A214="","",CARGA_DIARIA!A214)</f>
        <v/>
      </c>
      <c r="B214" s="34" t="str">
        <f>IF(CARGA_DIARIA!A214="","",CARGA_DIARIA!B214)</f>
        <v/>
      </c>
      <c r="C214" s="35" t="str">
        <f>IF(CARGA_DIARIA!A214="","",IF(CARGA_DIARIA!B214=0,0,(CARGA_DIARIA!C214+CARGA_DIARIA!D214+CARGA_DIARIA!E214+CARGA_DIARIA!F214+CARGA_DIARIA!G214+CARGA_DIARIA!H214+CARGA_DIARIA!I214+CARGA_DIARIA!AG214+CARGA_DIARIA!AH214+CARGA_DIARIA!AI214+CARGA_DIARIA!AJ214)/CARGA_DIARIA!B214+CARGA_DIARIA!AF214))</f>
        <v/>
      </c>
      <c r="D214" s="36" t="str">
        <f>IF(CARGA_DIARIA!A214="","",IF(CARGA_DIARIA!B214=0,0,(CARGA_DIARIA!J214+CARGA_DIARIA!K214+CARGA_DIARIA!L214+CARGA_DIARIA!M214+CARGA_DIARIA!N214+CARGA_DIARIA!O214+CARGA_DIARIA!P214+CARGA_DIARIA!Q214+CARGA_DIARIA!R214+CARGA_DIARIA!S214+CARGA_DIARIA!T214+CARGA_DIARIA!U214+CARGA_DIARIA!V214+CARGA_DIARIA!W214)/CARGA_DIARIA!B214))</f>
        <v/>
      </c>
      <c r="E214" s="36" t="str">
        <f>IF(CARGA_DIARIA!A214="","",IF(CARGA_DIARIA!B214=0,0,(CARGA_DIARIA!X214+CARGA_DIARIA!Y214+CARGA_DIARIA!Z214+CARGA_DIARIA!AA214)/CARGA_DIARIA!B214+CARGA_DIARIA!AB214+CARGA_DIARIA!AC214+CARGA_DIARIA!AD214+CARGA_DIARIA!AE214))</f>
        <v/>
      </c>
      <c r="F214" s="39" t="s">
        <v>146</v>
      </c>
      <c r="G214" s="39" t="s">
        <v>146</v>
      </c>
      <c r="H214" s="38" t="str">
        <f>IF(CARGA_DIARIA!A214="","",C214-D214-E214)</f>
        <v/>
      </c>
    </row>
    <row r="215" spans="1:8" ht="15.75" customHeight="1" x14ac:dyDescent="0.25">
      <c r="A215" s="33" t="str">
        <f>IF(CARGA_DIARIA!A215="","",CARGA_DIARIA!A215)</f>
        <v/>
      </c>
      <c r="B215" s="34" t="str">
        <f>IF(CARGA_DIARIA!A215="","",CARGA_DIARIA!B215)</f>
        <v/>
      </c>
      <c r="C215" s="35" t="str">
        <f>IF(CARGA_DIARIA!A215="","",IF(CARGA_DIARIA!B215=0,0,(CARGA_DIARIA!C215+CARGA_DIARIA!D215+CARGA_DIARIA!E215+CARGA_DIARIA!F215+CARGA_DIARIA!G215+CARGA_DIARIA!H215+CARGA_DIARIA!I215+CARGA_DIARIA!AG215+CARGA_DIARIA!AH215+CARGA_DIARIA!AI215+CARGA_DIARIA!AJ215)/CARGA_DIARIA!B215+CARGA_DIARIA!AF215))</f>
        <v/>
      </c>
      <c r="D215" s="36" t="str">
        <f>IF(CARGA_DIARIA!A215="","",IF(CARGA_DIARIA!B215=0,0,(CARGA_DIARIA!J215+CARGA_DIARIA!K215+CARGA_DIARIA!L215+CARGA_DIARIA!M215+CARGA_DIARIA!N215+CARGA_DIARIA!O215+CARGA_DIARIA!P215+CARGA_DIARIA!Q215+CARGA_DIARIA!R215+CARGA_DIARIA!S215+CARGA_DIARIA!T215+CARGA_DIARIA!U215+CARGA_DIARIA!V215+CARGA_DIARIA!W215)/CARGA_DIARIA!B215))</f>
        <v/>
      </c>
      <c r="E215" s="36" t="str">
        <f>IF(CARGA_DIARIA!A215="","",IF(CARGA_DIARIA!B215=0,0,(CARGA_DIARIA!X215+CARGA_DIARIA!Y215+CARGA_DIARIA!Z215+CARGA_DIARIA!AA215)/CARGA_DIARIA!B215+CARGA_DIARIA!AB215+CARGA_DIARIA!AC215+CARGA_DIARIA!AD215+CARGA_DIARIA!AE215))</f>
        <v/>
      </c>
      <c r="F215" s="39" t="s">
        <v>146</v>
      </c>
      <c r="G215" s="39" t="s">
        <v>146</v>
      </c>
      <c r="H215" s="38" t="str">
        <f>IF(CARGA_DIARIA!A215="","",C215-D215-E215)</f>
        <v/>
      </c>
    </row>
    <row r="216" spans="1:8" ht="15.75" customHeight="1" x14ac:dyDescent="0.25">
      <c r="A216" s="33" t="str">
        <f>IF(CARGA_DIARIA!A216="","",CARGA_DIARIA!A216)</f>
        <v/>
      </c>
      <c r="B216" s="34" t="str">
        <f>IF(CARGA_DIARIA!A216="","",CARGA_DIARIA!B216)</f>
        <v/>
      </c>
      <c r="C216" s="35" t="str">
        <f>IF(CARGA_DIARIA!A216="","",IF(CARGA_DIARIA!B216=0,0,(CARGA_DIARIA!C216+CARGA_DIARIA!D216+CARGA_DIARIA!E216+CARGA_DIARIA!F216+CARGA_DIARIA!G216+CARGA_DIARIA!H216+CARGA_DIARIA!I216+CARGA_DIARIA!AG216+CARGA_DIARIA!AH216+CARGA_DIARIA!AI216+CARGA_DIARIA!AJ216)/CARGA_DIARIA!B216+CARGA_DIARIA!AF216))</f>
        <v/>
      </c>
      <c r="D216" s="36" t="str">
        <f>IF(CARGA_DIARIA!A216="","",IF(CARGA_DIARIA!B216=0,0,(CARGA_DIARIA!J216+CARGA_DIARIA!K216+CARGA_DIARIA!L216+CARGA_DIARIA!M216+CARGA_DIARIA!N216+CARGA_DIARIA!O216+CARGA_DIARIA!P216+CARGA_DIARIA!Q216+CARGA_DIARIA!R216+CARGA_DIARIA!S216+CARGA_DIARIA!T216+CARGA_DIARIA!U216+CARGA_DIARIA!V216+CARGA_DIARIA!W216)/CARGA_DIARIA!B216))</f>
        <v/>
      </c>
      <c r="E216" s="36" t="str">
        <f>IF(CARGA_DIARIA!A216="","",IF(CARGA_DIARIA!B216=0,0,(CARGA_DIARIA!X216+CARGA_DIARIA!Y216+CARGA_DIARIA!Z216+CARGA_DIARIA!AA216)/CARGA_DIARIA!B216+CARGA_DIARIA!AB216+CARGA_DIARIA!AC216+CARGA_DIARIA!AD216+CARGA_DIARIA!AE216))</f>
        <v/>
      </c>
      <c r="F216" s="39" t="s">
        <v>146</v>
      </c>
      <c r="G216" s="39" t="s">
        <v>146</v>
      </c>
      <c r="H216" s="38" t="str">
        <f>IF(CARGA_DIARIA!A216="","",C216-D216-E216)</f>
        <v/>
      </c>
    </row>
    <row r="217" spans="1:8" ht="15.75" customHeight="1" x14ac:dyDescent="0.25">
      <c r="A217" s="33" t="str">
        <f>IF(CARGA_DIARIA!A217="","",CARGA_DIARIA!A217)</f>
        <v/>
      </c>
      <c r="B217" s="34" t="str">
        <f>IF(CARGA_DIARIA!A217="","",CARGA_DIARIA!B217)</f>
        <v/>
      </c>
      <c r="C217" s="35" t="str">
        <f>IF(CARGA_DIARIA!A217="","",IF(CARGA_DIARIA!B217=0,0,(CARGA_DIARIA!C217+CARGA_DIARIA!D217+CARGA_DIARIA!E217+CARGA_DIARIA!F217+CARGA_DIARIA!G217+CARGA_DIARIA!H217+CARGA_DIARIA!I217+CARGA_DIARIA!AG217+CARGA_DIARIA!AH217+CARGA_DIARIA!AI217+CARGA_DIARIA!AJ217)/CARGA_DIARIA!B217+CARGA_DIARIA!AF217))</f>
        <v/>
      </c>
      <c r="D217" s="36" t="str">
        <f>IF(CARGA_DIARIA!A217="","",IF(CARGA_DIARIA!B217=0,0,(CARGA_DIARIA!J217+CARGA_DIARIA!K217+CARGA_DIARIA!L217+CARGA_DIARIA!M217+CARGA_DIARIA!N217+CARGA_DIARIA!O217+CARGA_DIARIA!P217+CARGA_DIARIA!Q217+CARGA_DIARIA!R217+CARGA_DIARIA!S217+CARGA_DIARIA!T217+CARGA_DIARIA!U217+CARGA_DIARIA!V217+CARGA_DIARIA!W217)/CARGA_DIARIA!B217))</f>
        <v/>
      </c>
      <c r="E217" s="36" t="str">
        <f>IF(CARGA_DIARIA!A217="","",IF(CARGA_DIARIA!B217=0,0,(CARGA_DIARIA!X217+CARGA_DIARIA!Y217+CARGA_DIARIA!Z217+CARGA_DIARIA!AA217)/CARGA_DIARIA!B217+CARGA_DIARIA!AB217+CARGA_DIARIA!AC217+CARGA_DIARIA!AD217+CARGA_DIARIA!AE217))</f>
        <v/>
      </c>
      <c r="F217" s="39" t="s">
        <v>146</v>
      </c>
      <c r="G217" s="39" t="s">
        <v>146</v>
      </c>
      <c r="H217" s="38" t="str">
        <f>IF(CARGA_DIARIA!A217="","",C217-D217-E217)</f>
        <v/>
      </c>
    </row>
    <row r="218" spans="1:8" ht="15.75" customHeight="1" x14ac:dyDescent="0.25">
      <c r="A218" s="33" t="str">
        <f>IF(CARGA_DIARIA!A218="","",CARGA_DIARIA!A218)</f>
        <v/>
      </c>
      <c r="B218" s="34" t="str">
        <f>IF(CARGA_DIARIA!A218="","",CARGA_DIARIA!B218)</f>
        <v/>
      </c>
      <c r="C218" s="35" t="str">
        <f>IF(CARGA_DIARIA!A218="","",IF(CARGA_DIARIA!B218=0,0,(CARGA_DIARIA!C218+CARGA_DIARIA!D218+CARGA_DIARIA!E218+CARGA_DIARIA!F218+CARGA_DIARIA!G218+CARGA_DIARIA!H218+CARGA_DIARIA!I218+CARGA_DIARIA!AG218+CARGA_DIARIA!AH218+CARGA_DIARIA!AI218+CARGA_DIARIA!AJ218)/CARGA_DIARIA!B218+CARGA_DIARIA!AF218))</f>
        <v/>
      </c>
      <c r="D218" s="36" t="str">
        <f>IF(CARGA_DIARIA!A218="","",IF(CARGA_DIARIA!B218=0,0,(CARGA_DIARIA!J218+CARGA_DIARIA!K218+CARGA_DIARIA!L218+CARGA_DIARIA!M218+CARGA_DIARIA!N218+CARGA_DIARIA!O218+CARGA_DIARIA!P218+CARGA_DIARIA!Q218+CARGA_DIARIA!R218+CARGA_DIARIA!S218+CARGA_DIARIA!T218+CARGA_DIARIA!U218+CARGA_DIARIA!V218+CARGA_DIARIA!W218)/CARGA_DIARIA!B218))</f>
        <v/>
      </c>
      <c r="E218" s="36" t="str">
        <f>IF(CARGA_DIARIA!A218="","",IF(CARGA_DIARIA!B218=0,0,(CARGA_DIARIA!X218+CARGA_DIARIA!Y218+CARGA_DIARIA!Z218+CARGA_DIARIA!AA218)/CARGA_DIARIA!B218+CARGA_DIARIA!AB218+CARGA_DIARIA!AC218+CARGA_DIARIA!AD218+CARGA_DIARIA!AE218))</f>
        <v/>
      </c>
      <c r="F218" s="39" t="s">
        <v>146</v>
      </c>
      <c r="G218" s="39" t="s">
        <v>146</v>
      </c>
      <c r="H218" s="38" t="str">
        <f>IF(CARGA_DIARIA!A218="","",C218-D218-E218)</f>
        <v/>
      </c>
    </row>
    <row r="219" spans="1:8" ht="15.75" customHeight="1" x14ac:dyDescent="0.25">
      <c r="A219" s="33" t="str">
        <f>IF(CARGA_DIARIA!A219="","",CARGA_DIARIA!A219)</f>
        <v/>
      </c>
      <c r="B219" s="34" t="str">
        <f>IF(CARGA_DIARIA!A219="","",CARGA_DIARIA!B219)</f>
        <v/>
      </c>
      <c r="C219" s="35" t="str">
        <f>IF(CARGA_DIARIA!A219="","",IF(CARGA_DIARIA!B219=0,0,(CARGA_DIARIA!C219+CARGA_DIARIA!D219+CARGA_DIARIA!E219+CARGA_DIARIA!F219+CARGA_DIARIA!G219+CARGA_DIARIA!H219+CARGA_DIARIA!I219+CARGA_DIARIA!AG219+CARGA_DIARIA!AH219+CARGA_DIARIA!AI219+CARGA_DIARIA!AJ219)/CARGA_DIARIA!B219+CARGA_DIARIA!AF219))</f>
        <v/>
      </c>
      <c r="D219" s="36" t="str">
        <f>IF(CARGA_DIARIA!A219="","",IF(CARGA_DIARIA!B219=0,0,(CARGA_DIARIA!J219+CARGA_DIARIA!K219+CARGA_DIARIA!L219+CARGA_DIARIA!M219+CARGA_DIARIA!N219+CARGA_DIARIA!O219+CARGA_DIARIA!P219+CARGA_DIARIA!Q219+CARGA_DIARIA!R219+CARGA_DIARIA!S219+CARGA_DIARIA!T219+CARGA_DIARIA!U219+CARGA_DIARIA!V219+CARGA_DIARIA!W219)/CARGA_DIARIA!B219))</f>
        <v/>
      </c>
      <c r="E219" s="36" t="str">
        <f>IF(CARGA_DIARIA!A219="","",IF(CARGA_DIARIA!B219=0,0,(CARGA_DIARIA!X219+CARGA_DIARIA!Y219+CARGA_DIARIA!Z219+CARGA_DIARIA!AA219)/CARGA_DIARIA!B219+CARGA_DIARIA!AB219+CARGA_DIARIA!AC219+CARGA_DIARIA!AD219+CARGA_DIARIA!AE219))</f>
        <v/>
      </c>
      <c r="F219" s="39" t="s">
        <v>146</v>
      </c>
      <c r="G219" s="39" t="s">
        <v>146</v>
      </c>
      <c r="H219" s="38" t="str">
        <f>IF(CARGA_DIARIA!A219="","",C219-D219-E219)</f>
        <v/>
      </c>
    </row>
    <row r="220" spans="1:8" ht="15.75" customHeight="1" x14ac:dyDescent="0.25">
      <c r="A220" s="33" t="str">
        <f>IF(CARGA_DIARIA!A220="","",CARGA_DIARIA!A220)</f>
        <v/>
      </c>
      <c r="B220" s="34" t="str">
        <f>IF(CARGA_DIARIA!A220="","",CARGA_DIARIA!B220)</f>
        <v/>
      </c>
      <c r="C220" s="35" t="str">
        <f>IF(CARGA_DIARIA!A220="","",IF(CARGA_DIARIA!B220=0,0,(CARGA_DIARIA!C220+CARGA_DIARIA!D220+CARGA_DIARIA!E220+CARGA_DIARIA!F220+CARGA_DIARIA!G220+CARGA_DIARIA!H220+CARGA_DIARIA!I220+CARGA_DIARIA!AG220+CARGA_DIARIA!AH220+CARGA_DIARIA!AI220+CARGA_DIARIA!AJ220)/CARGA_DIARIA!B220+CARGA_DIARIA!AF220))</f>
        <v/>
      </c>
      <c r="D220" s="36" t="str">
        <f>IF(CARGA_DIARIA!A220="","",IF(CARGA_DIARIA!B220=0,0,(CARGA_DIARIA!J220+CARGA_DIARIA!K220+CARGA_DIARIA!L220+CARGA_DIARIA!M220+CARGA_DIARIA!N220+CARGA_DIARIA!O220+CARGA_DIARIA!P220+CARGA_DIARIA!Q220+CARGA_DIARIA!R220+CARGA_DIARIA!S220+CARGA_DIARIA!T220+CARGA_DIARIA!U220+CARGA_DIARIA!V220+CARGA_DIARIA!W220)/CARGA_DIARIA!B220))</f>
        <v/>
      </c>
      <c r="E220" s="36" t="str">
        <f>IF(CARGA_DIARIA!A220="","",IF(CARGA_DIARIA!B220=0,0,(CARGA_DIARIA!X220+CARGA_DIARIA!Y220+CARGA_DIARIA!Z220+CARGA_DIARIA!AA220)/CARGA_DIARIA!B220+CARGA_DIARIA!AB220+CARGA_DIARIA!AC220+CARGA_DIARIA!AD220+CARGA_DIARIA!AE220))</f>
        <v/>
      </c>
      <c r="F220" s="39" t="s">
        <v>146</v>
      </c>
      <c r="G220" s="39" t="s">
        <v>146</v>
      </c>
      <c r="H220" s="38" t="str">
        <f>IF(CARGA_DIARIA!A220="","",C220-D220-E220)</f>
        <v/>
      </c>
    </row>
    <row r="221" spans="1:8" ht="15.75" customHeight="1" x14ac:dyDescent="0.25">
      <c r="A221" s="33" t="str">
        <f>IF(CARGA_DIARIA!A221="","",CARGA_DIARIA!A221)</f>
        <v/>
      </c>
      <c r="B221" s="34" t="str">
        <f>IF(CARGA_DIARIA!A221="","",CARGA_DIARIA!B221)</f>
        <v/>
      </c>
      <c r="C221" s="35" t="str">
        <f>IF(CARGA_DIARIA!A221="","",IF(CARGA_DIARIA!B221=0,0,(CARGA_DIARIA!C221+CARGA_DIARIA!D221+CARGA_DIARIA!E221+CARGA_DIARIA!F221+CARGA_DIARIA!G221+CARGA_DIARIA!H221+CARGA_DIARIA!I221+CARGA_DIARIA!AG221+CARGA_DIARIA!AH221+CARGA_DIARIA!AI221+CARGA_DIARIA!AJ221)/CARGA_DIARIA!B221+CARGA_DIARIA!AF221))</f>
        <v/>
      </c>
      <c r="D221" s="36" t="str">
        <f>IF(CARGA_DIARIA!A221="","",IF(CARGA_DIARIA!B221=0,0,(CARGA_DIARIA!J221+CARGA_DIARIA!K221+CARGA_DIARIA!L221+CARGA_DIARIA!M221+CARGA_DIARIA!N221+CARGA_DIARIA!O221+CARGA_DIARIA!P221+CARGA_DIARIA!Q221+CARGA_DIARIA!R221+CARGA_DIARIA!S221+CARGA_DIARIA!T221+CARGA_DIARIA!U221+CARGA_DIARIA!V221+CARGA_DIARIA!W221)/CARGA_DIARIA!B221))</f>
        <v/>
      </c>
      <c r="E221" s="36" t="str">
        <f>IF(CARGA_DIARIA!A221="","",IF(CARGA_DIARIA!B221=0,0,(CARGA_DIARIA!X221+CARGA_DIARIA!Y221+CARGA_DIARIA!Z221+CARGA_DIARIA!AA221)/CARGA_DIARIA!B221+CARGA_DIARIA!AB221+CARGA_DIARIA!AC221+CARGA_DIARIA!AD221+CARGA_DIARIA!AE221))</f>
        <v/>
      </c>
      <c r="F221" s="39" t="s">
        <v>146</v>
      </c>
      <c r="G221" s="39" t="s">
        <v>146</v>
      </c>
      <c r="H221" s="38" t="str">
        <f>IF(CARGA_DIARIA!A221="","",C221-D221-E221)</f>
        <v/>
      </c>
    </row>
    <row r="222" spans="1:8" ht="15.75" customHeight="1" x14ac:dyDescent="0.25">
      <c r="A222" s="33" t="str">
        <f>IF(CARGA_DIARIA!A222="","",CARGA_DIARIA!A222)</f>
        <v/>
      </c>
      <c r="B222" s="34" t="str">
        <f>IF(CARGA_DIARIA!A222="","",CARGA_DIARIA!B222)</f>
        <v/>
      </c>
      <c r="C222" s="35" t="str">
        <f>IF(CARGA_DIARIA!A222="","",IF(CARGA_DIARIA!B222=0,0,(CARGA_DIARIA!C222+CARGA_DIARIA!D222+CARGA_DIARIA!E222+CARGA_DIARIA!F222+CARGA_DIARIA!G222+CARGA_DIARIA!H222+CARGA_DIARIA!I222+CARGA_DIARIA!AG222+CARGA_DIARIA!AH222+CARGA_DIARIA!AI222+CARGA_DIARIA!AJ222)/CARGA_DIARIA!B222+CARGA_DIARIA!AF222))</f>
        <v/>
      </c>
      <c r="D222" s="36" t="str">
        <f>IF(CARGA_DIARIA!A222="","",IF(CARGA_DIARIA!B222=0,0,(CARGA_DIARIA!J222+CARGA_DIARIA!K222+CARGA_DIARIA!L222+CARGA_DIARIA!M222+CARGA_DIARIA!N222+CARGA_DIARIA!O222+CARGA_DIARIA!P222+CARGA_DIARIA!Q222+CARGA_DIARIA!R222+CARGA_DIARIA!S222+CARGA_DIARIA!T222+CARGA_DIARIA!U222+CARGA_DIARIA!V222+CARGA_DIARIA!W222)/CARGA_DIARIA!B222))</f>
        <v/>
      </c>
      <c r="E222" s="36" t="str">
        <f>IF(CARGA_DIARIA!A222="","",IF(CARGA_DIARIA!B222=0,0,(CARGA_DIARIA!X222+CARGA_DIARIA!Y222+CARGA_DIARIA!Z222+CARGA_DIARIA!AA222)/CARGA_DIARIA!B222+CARGA_DIARIA!AB222+CARGA_DIARIA!AC222+CARGA_DIARIA!AD222+CARGA_DIARIA!AE222))</f>
        <v/>
      </c>
      <c r="F222" s="39" t="s">
        <v>146</v>
      </c>
      <c r="G222" s="39" t="s">
        <v>146</v>
      </c>
      <c r="H222" s="38" t="str">
        <f>IF(CARGA_DIARIA!A222="","",C222-D222-E222)</f>
        <v/>
      </c>
    </row>
    <row r="223" spans="1:8" ht="15.75" customHeight="1" x14ac:dyDescent="0.25">
      <c r="A223" s="33" t="str">
        <f>IF(CARGA_DIARIA!A223="","",CARGA_DIARIA!A223)</f>
        <v/>
      </c>
      <c r="B223" s="34" t="str">
        <f>IF(CARGA_DIARIA!A223="","",CARGA_DIARIA!B223)</f>
        <v/>
      </c>
      <c r="C223" s="35" t="str">
        <f>IF(CARGA_DIARIA!A223="","",IF(CARGA_DIARIA!B223=0,0,(CARGA_DIARIA!C223+CARGA_DIARIA!D223+CARGA_DIARIA!E223+CARGA_DIARIA!F223+CARGA_DIARIA!G223+CARGA_DIARIA!H223+CARGA_DIARIA!I223+CARGA_DIARIA!AG223+CARGA_DIARIA!AH223+CARGA_DIARIA!AI223+CARGA_DIARIA!AJ223)/CARGA_DIARIA!B223+CARGA_DIARIA!AF223))</f>
        <v/>
      </c>
      <c r="D223" s="36" t="str">
        <f>IF(CARGA_DIARIA!A223="","",IF(CARGA_DIARIA!B223=0,0,(CARGA_DIARIA!J223+CARGA_DIARIA!K223+CARGA_DIARIA!L223+CARGA_DIARIA!M223+CARGA_DIARIA!N223+CARGA_DIARIA!O223+CARGA_DIARIA!P223+CARGA_DIARIA!Q223+CARGA_DIARIA!R223+CARGA_DIARIA!S223+CARGA_DIARIA!T223+CARGA_DIARIA!U223+CARGA_DIARIA!V223+CARGA_DIARIA!W223)/CARGA_DIARIA!B223))</f>
        <v/>
      </c>
      <c r="E223" s="36" t="str">
        <f>IF(CARGA_DIARIA!A223="","",IF(CARGA_DIARIA!B223=0,0,(CARGA_DIARIA!X223+CARGA_DIARIA!Y223+CARGA_DIARIA!Z223+CARGA_DIARIA!AA223)/CARGA_DIARIA!B223+CARGA_DIARIA!AB223+CARGA_DIARIA!AC223+CARGA_DIARIA!AD223+CARGA_DIARIA!AE223))</f>
        <v/>
      </c>
      <c r="F223" s="39" t="s">
        <v>146</v>
      </c>
      <c r="G223" s="39" t="s">
        <v>146</v>
      </c>
      <c r="H223" s="38" t="str">
        <f>IF(CARGA_DIARIA!A223="","",C223-D223-E223)</f>
        <v/>
      </c>
    </row>
    <row r="224" spans="1:8" ht="15.75" customHeight="1" x14ac:dyDescent="0.25">
      <c r="A224" s="33" t="str">
        <f>IF(CARGA_DIARIA!A224="","",CARGA_DIARIA!A224)</f>
        <v/>
      </c>
      <c r="B224" s="34" t="str">
        <f>IF(CARGA_DIARIA!A224="","",CARGA_DIARIA!B224)</f>
        <v/>
      </c>
      <c r="C224" s="35" t="str">
        <f>IF(CARGA_DIARIA!A224="","",IF(CARGA_DIARIA!B224=0,0,(CARGA_DIARIA!C224+CARGA_DIARIA!D224+CARGA_DIARIA!E224+CARGA_DIARIA!F224+CARGA_DIARIA!G224+CARGA_DIARIA!H224+CARGA_DIARIA!I224+CARGA_DIARIA!AG224+CARGA_DIARIA!AH224+CARGA_DIARIA!AI224+CARGA_DIARIA!AJ224)/CARGA_DIARIA!B224+CARGA_DIARIA!AF224))</f>
        <v/>
      </c>
      <c r="D224" s="36" t="str">
        <f>IF(CARGA_DIARIA!A224="","",IF(CARGA_DIARIA!B224=0,0,(CARGA_DIARIA!J224+CARGA_DIARIA!K224+CARGA_DIARIA!L224+CARGA_DIARIA!M224+CARGA_DIARIA!N224+CARGA_DIARIA!O224+CARGA_DIARIA!P224+CARGA_DIARIA!Q224+CARGA_DIARIA!R224+CARGA_DIARIA!S224+CARGA_DIARIA!T224+CARGA_DIARIA!U224+CARGA_DIARIA!V224+CARGA_DIARIA!W224)/CARGA_DIARIA!B224))</f>
        <v/>
      </c>
      <c r="E224" s="36" t="str">
        <f>IF(CARGA_DIARIA!A224="","",IF(CARGA_DIARIA!B224=0,0,(CARGA_DIARIA!X224+CARGA_DIARIA!Y224+CARGA_DIARIA!Z224+CARGA_DIARIA!AA224)/CARGA_DIARIA!B224+CARGA_DIARIA!AB224+CARGA_DIARIA!AC224+CARGA_DIARIA!AD224+CARGA_DIARIA!AE224))</f>
        <v/>
      </c>
      <c r="F224" s="39" t="s">
        <v>146</v>
      </c>
      <c r="G224" s="39" t="s">
        <v>146</v>
      </c>
      <c r="H224" s="38" t="str">
        <f>IF(CARGA_DIARIA!A224="","",C224-D224-E224)</f>
        <v/>
      </c>
    </row>
    <row r="225" spans="1:8" ht="15.75" customHeight="1" x14ac:dyDescent="0.25">
      <c r="A225" s="33" t="str">
        <f>IF(CARGA_DIARIA!A225="","",CARGA_DIARIA!A225)</f>
        <v/>
      </c>
      <c r="B225" s="34" t="str">
        <f>IF(CARGA_DIARIA!A225="","",CARGA_DIARIA!B225)</f>
        <v/>
      </c>
      <c r="C225" s="35" t="str">
        <f>IF(CARGA_DIARIA!A225="","",IF(CARGA_DIARIA!B225=0,0,(CARGA_DIARIA!C225+CARGA_DIARIA!D225+CARGA_DIARIA!E225+CARGA_DIARIA!F225+CARGA_DIARIA!G225+CARGA_DIARIA!H225+CARGA_DIARIA!I225+CARGA_DIARIA!AG225+CARGA_DIARIA!AH225+CARGA_DIARIA!AI225+CARGA_DIARIA!AJ225)/CARGA_DIARIA!B225+CARGA_DIARIA!AF225))</f>
        <v/>
      </c>
      <c r="D225" s="36" t="str">
        <f>IF(CARGA_DIARIA!A225="","",IF(CARGA_DIARIA!B225=0,0,(CARGA_DIARIA!J225+CARGA_DIARIA!K225+CARGA_DIARIA!L225+CARGA_DIARIA!M225+CARGA_DIARIA!N225+CARGA_DIARIA!O225+CARGA_DIARIA!P225+CARGA_DIARIA!Q225+CARGA_DIARIA!R225+CARGA_DIARIA!S225+CARGA_DIARIA!T225+CARGA_DIARIA!U225+CARGA_DIARIA!V225+CARGA_DIARIA!W225)/CARGA_DIARIA!B225))</f>
        <v/>
      </c>
      <c r="E225" s="36" t="str">
        <f>IF(CARGA_DIARIA!A225="","",IF(CARGA_DIARIA!B225=0,0,(CARGA_DIARIA!X225+CARGA_DIARIA!Y225+CARGA_DIARIA!Z225+CARGA_DIARIA!AA225)/CARGA_DIARIA!B225+CARGA_DIARIA!AB225+CARGA_DIARIA!AC225+CARGA_DIARIA!AD225+CARGA_DIARIA!AE225))</f>
        <v/>
      </c>
      <c r="F225" s="39" t="s">
        <v>146</v>
      </c>
      <c r="G225" s="39" t="s">
        <v>146</v>
      </c>
      <c r="H225" s="38" t="str">
        <f>IF(CARGA_DIARIA!A225="","",C225-D225-E225)</f>
        <v/>
      </c>
    </row>
    <row r="226" spans="1:8" ht="15.75" customHeight="1" x14ac:dyDescent="0.25">
      <c r="A226" s="33" t="str">
        <f>IF(CARGA_DIARIA!A226="","",CARGA_DIARIA!A226)</f>
        <v/>
      </c>
      <c r="B226" s="34" t="str">
        <f>IF(CARGA_DIARIA!A226="","",CARGA_DIARIA!B226)</f>
        <v/>
      </c>
      <c r="C226" s="35" t="str">
        <f>IF(CARGA_DIARIA!A226="","",IF(CARGA_DIARIA!B226=0,0,(CARGA_DIARIA!C226+CARGA_DIARIA!D226+CARGA_DIARIA!E226+CARGA_DIARIA!F226+CARGA_DIARIA!G226+CARGA_DIARIA!H226+CARGA_DIARIA!I226+CARGA_DIARIA!AG226+CARGA_DIARIA!AH226+CARGA_DIARIA!AI226+CARGA_DIARIA!AJ226)/CARGA_DIARIA!B226+CARGA_DIARIA!AF226))</f>
        <v/>
      </c>
      <c r="D226" s="36" t="str">
        <f>IF(CARGA_DIARIA!A226="","",IF(CARGA_DIARIA!B226=0,0,(CARGA_DIARIA!J226+CARGA_DIARIA!K226+CARGA_DIARIA!L226+CARGA_DIARIA!M226+CARGA_DIARIA!N226+CARGA_DIARIA!O226+CARGA_DIARIA!P226+CARGA_DIARIA!Q226+CARGA_DIARIA!R226+CARGA_DIARIA!S226+CARGA_DIARIA!T226+CARGA_DIARIA!U226+CARGA_DIARIA!V226+CARGA_DIARIA!W226)/CARGA_DIARIA!B226))</f>
        <v/>
      </c>
      <c r="E226" s="36" t="str">
        <f>IF(CARGA_DIARIA!A226="","",IF(CARGA_DIARIA!B226=0,0,(CARGA_DIARIA!X226+CARGA_DIARIA!Y226+CARGA_DIARIA!Z226+CARGA_DIARIA!AA226)/CARGA_DIARIA!B226+CARGA_DIARIA!AB226+CARGA_DIARIA!AC226+CARGA_DIARIA!AD226+CARGA_DIARIA!AE226))</f>
        <v/>
      </c>
      <c r="F226" s="39" t="s">
        <v>146</v>
      </c>
      <c r="G226" s="39" t="s">
        <v>146</v>
      </c>
      <c r="H226" s="38" t="str">
        <f>IF(CARGA_DIARIA!A226="","",C226-D226-E226)</f>
        <v/>
      </c>
    </row>
    <row r="227" spans="1:8" ht="15.75" customHeight="1" x14ac:dyDescent="0.25">
      <c r="A227" s="33" t="str">
        <f>IF(CARGA_DIARIA!A227="","",CARGA_DIARIA!A227)</f>
        <v/>
      </c>
      <c r="B227" s="34" t="str">
        <f>IF(CARGA_DIARIA!A227="","",CARGA_DIARIA!B227)</f>
        <v/>
      </c>
      <c r="C227" s="35" t="str">
        <f>IF(CARGA_DIARIA!A227="","",IF(CARGA_DIARIA!B227=0,0,(CARGA_DIARIA!C227+CARGA_DIARIA!D227+CARGA_DIARIA!E227+CARGA_DIARIA!F227+CARGA_DIARIA!G227+CARGA_DIARIA!H227+CARGA_DIARIA!I227+CARGA_DIARIA!AG227+CARGA_DIARIA!AH227+CARGA_DIARIA!AI227+CARGA_DIARIA!AJ227)/CARGA_DIARIA!B227+CARGA_DIARIA!AF227))</f>
        <v/>
      </c>
      <c r="D227" s="36" t="str">
        <f>IF(CARGA_DIARIA!A227="","",IF(CARGA_DIARIA!B227=0,0,(CARGA_DIARIA!J227+CARGA_DIARIA!K227+CARGA_DIARIA!L227+CARGA_DIARIA!M227+CARGA_DIARIA!N227+CARGA_DIARIA!O227+CARGA_DIARIA!P227+CARGA_DIARIA!Q227+CARGA_DIARIA!R227+CARGA_DIARIA!S227+CARGA_DIARIA!T227+CARGA_DIARIA!U227+CARGA_DIARIA!V227+CARGA_DIARIA!W227)/CARGA_DIARIA!B227))</f>
        <v/>
      </c>
      <c r="E227" s="36" t="str">
        <f>IF(CARGA_DIARIA!A227="","",IF(CARGA_DIARIA!B227=0,0,(CARGA_DIARIA!X227+CARGA_DIARIA!Y227+CARGA_DIARIA!Z227+CARGA_DIARIA!AA227)/CARGA_DIARIA!B227+CARGA_DIARIA!AB227+CARGA_DIARIA!AC227+CARGA_DIARIA!AD227+CARGA_DIARIA!AE227))</f>
        <v/>
      </c>
      <c r="F227" s="39" t="s">
        <v>146</v>
      </c>
      <c r="G227" s="39" t="s">
        <v>146</v>
      </c>
      <c r="H227" s="38" t="str">
        <f>IF(CARGA_DIARIA!A227="","",C227-D227-E227)</f>
        <v/>
      </c>
    </row>
    <row r="228" spans="1:8" ht="15.75" customHeight="1" x14ac:dyDescent="0.25">
      <c r="A228" s="33" t="str">
        <f>IF(CARGA_DIARIA!A228="","",CARGA_DIARIA!A228)</f>
        <v/>
      </c>
      <c r="B228" s="34" t="str">
        <f>IF(CARGA_DIARIA!A228="","",CARGA_DIARIA!B228)</f>
        <v/>
      </c>
      <c r="C228" s="35" t="str">
        <f>IF(CARGA_DIARIA!A228="","",IF(CARGA_DIARIA!B228=0,0,(CARGA_DIARIA!C228+CARGA_DIARIA!D228+CARGA_DIARIA!E228+CARGA_DIARIA!F228+CARGA_DIARIA!G228+CARGA_DIARIA!H228+CARGA_DIARIA!I228+CARGA_DIARIA!AG228+CARGA_DIARIA!AH228+CARGA_DIARIA!AI228+CARGA_DIARIA!AJ228)/CARGA_DIARIA!B228+CARGA_DIARIA!AF228))</f>
        <v/>
      </c>
      <c r="D228" s="36" t="str">
        <f>IF(CARGA_DIARIA!A228="","",IF(CARGA_DIARIA!B228=0,0,(CARGA_DIARIA!J228+CARGA_DIARIA!K228+CARGA_DIARIA!L228+CARGA_DIARIA!M228+CARGA_DIARIA!N228+CARGA_DIARIA!O228+CARGA_DIARIA!P228+CARGA_DIARIA!Q228+CARGA_DIARIA!R228+CARGA_DIARIA!S228+CARGA_DIARIA!T228+CARGA_DIARIA!U228+CARGA_DIARIA!V228+CARGA_DIARIA!W228)/CARGA_DIARIA!B228))</f>
        <v/>
      </c>
      <c r="E228" s="36" t="str">
        <f>IF(CARGA_DIARIA!A228="","",IF(CARGA_DIARIA!B228=0,0,(CARGA_DIARIA!X228+CARGA_DIARIA!Y228+CARGA_DIARIA!Z228+CARGA_DIARIA!AA228)/CARGA_DIARIA!B228+CARGA_DIARIA!AB228+CARGA_DIARIA!AC228+CARGA_DIARIA!AD228+CARGA_DIARIA!AE228))</f>
        <v/>
      </c>
      <c r="F228" s="39" t="s">
        <v>146</v>
      </c>
      <c r="G228" s="39" t="s">
        <v>146</v>
      </c>
      <c r="H228" s="38" t="str">
        <f>IF(CARGA_DIARIA!A228="","",C228-D228-E228)</f>
        <v/>
      </c>
    </row>
    <row r="229" spans="1:8" ht="15.75" customHeight="1" x14ac:dyDescent="0.25">
      <c r="A229" s="33" t="str">
        <f>IF(CARGA_DIARIA!A229="","",CARGA_DIARIA!A229)</f>
        <v/>
      </c>
      <c r="B229" s="34" t="str">
        <f>IF(CARGA_DIARIA!A229="","",CARGA_DIARIA!B229)</f>
        <v/>
      </c>
      <c r="C229" s="35" t="str">
        <f>IF(CARGA_DIARIA!A229="","",IF(CARGA_DIARIA!B229=0,0,(CARGA_DIARIA!C229+CARGA_DIARIA!D229+CARGA_DIARIA!E229+CARGA_DIARIA!F229+CARGA_DIARIA!G229+CARGA_DIARIA!H229+CARGA_DIARIA!I229+CARGA_DIARIA!AG229+CARGA_DIARIA!AH229+CARGA_DIARIA!AI229+CARGA_DIARIA!AJ229)/CARGA_DIARIA!B229+CARGA_DIARIA!AF229))</f>
        <v/>
      </c>
      <c r="D229" s="36" t="str">
        <f>IF(CARGA_DIARIA!A229="","",IF(CARGA_DIARIA!B229=0,0,(CARGA_DIARIA!J229+CARGA_DIARIA!K229+CARGA_DIARIA!L229+CARGA_DIARIA!M229+CARGA_DIARIA!N229+CARGA_DIARIA!O229+CARGA_DIARIA!P229+CARGA_DIARIA!Q229+CARGA_DIARIA!R229+CARGA_DIARIA!S229+CARGA_DIARIA!T229+CARGA_DIARIA!U229+CARGA_DIARIA!V229+CARGA_DIARIA!W229)/CARGA_DIARIA!B229))</f>
        <v/>
      </c>
      <c r="E229" s="36" t="str">
        <f>IF(CARGA_DIARIA!A229="","",IF(CARGA_DIARIA!B229=0,0,(CARGA_DIARIA!X229+CARGA_DIARIA!Y229+CARGA_DIARIA!Z229+CARGA_DIARIA!AA229)/CARGA_DIARIA!B229+CARGA_DIARIA!AB229+CARGA_DIARIA!AC229+CARGA_DIARIA!AD229+CARGA_DIARIA!AE229))</f>
        <v/>
      </c>
      <c r="F229" s="39" t="s">
        <v>146</v>
      </c>
      <c r="G229" s="39" t="s">
        <v>146</v>
      </c>
      <c r="H229" s="38" t="str">
        <f>IF(CARGA_DIARIA!A229="","",C229-D229-E229)</f>
        <v/>
      </c>
    </row>
    <row r="230" spans="1:8" ht="15.75" customHeight="1" x14ac:dyDescent="0.25">
      <c r="A230" s="33" t="str">
        <f>IF(CARGA_DIARIA!A230="","",CARGA_DIARIA!A230)</f>
        <v/>
      </c>
      <c r="B230" s="34" t="str">
        <f>IF(CARGA_DIARIA!A230="","",CARGA_DIARIA!B230)</f>
        <v/>
      </c>
      <c r="C230" s="35" t="str">
        <f>IF(CARGA_DIARIA!A230="","",IF(CARGA_DIARIA!B230=0,0,(CARGA_DIARIA!C230+CARGA_DIARIA!D230+CARGA_DIARIA!E230+CARGA_DIARIA!F230+CARGA_DIARIA!G230+CARGA_DIARIA!H230+CARGA_DIARIA!I230+CARGA_DIARIA!AG230+CARGA_DIARIA!AH230+CARGA_DIARIA!AI230+CARGA_DIARIA!AJ230)/CARGA_DIARIA!B230+CARGA_DIARIA!AF230))</f>
        <v/>
      </c>
      <c r="D230" s="36" t="str">
        <f>IF(CARGA_DIARIA!A230="","",IF(CARGA_DIARIA!B230=0,0,(CARGA_DIARIA!J230+CARGA_DIARIA!K230+CARGA_DIARIA!L230+CARGA_DIARIA!M230+CARGA_DIARIA!N230+CARGA_DIARIA!O230+CARGA_DIARIA!P230+CARGA_DIARIA!Q230+CARGA_DIARIA!R230+CARGA_DIARIA!S230+CARGA_DIARIA!T230+CARGA_DIARIA!U230+CARGA_DIARIA!V230+CARGA_DIARIA!W230)/CARGA_DIARIA!B230))</f>
        <v/>
      </c>
      <c r="E230" s="36" t="str">
        <f>IF(CARGA_DIARIA!A230="","",IF(CARGA_DIARIA!B230=0,0,(CARGA_DIARIA!X230+CARGA_DIARIA!Y230+CARGA_DIARIA!Z230+CARGA_DIARIA!AA230)/CARGA_DIARIA!B230+CARGA_DIARIA!AB230+CARGA_DIARIA!AC230+CARGA_DIARIA!AD230+CARGA_DIARIA!AE230))</f>
        <v/>
      </c>
      <c r="F230" s="39" t="s">
        <v>146</v>
      </c>
      <c r="G230" s="39" t="s">
        <v>146</v>
      </c>
      <c r="H230" s="38" t="str">
        <f>IF(CARGA_DIARIA!A230="","",C230-D230-E230)</f>
        <v/>
      </c>
    </row>
    <row r="231" spans="1:8" ht="15.75" customHeight="1" x14ac:dyDescent="0.25">
      <c r="A231" s="33" t="str">
        <f>IF(CARGA_DIARIA!A231="","",CARGA_DIARIA!A231)</f>
        <v/>
      </c>
      <c r="B231" s="34" t="str">
        <f>IF(CARGA_DIARIA!A231="","",CARGA_DIARIA!B231)</f>
        <v/>
      </c>
      <c r="C231" s="35" t="str">
        <f>IF(CARGA_DIARIA!A231="","",IF(CARGA_DIARIA!B231=0,0,(CARGA_DIARIA!C231+CARGA_DIARIA!D231+CARGA_DIARIA!E231+CARGA_DIARIA!F231+CARGA_DIARIA!G231+CARGA_DIARIA!H231+CARGA_DIARIA!I231+CARGA_DIARIA!AG231+CARGA_DIARIA!AH231+CARGA_DIARIA!AI231+CARGA_DIARIA!AJ231)/CARGA_DIARIA!B231+CARGA_DIARIA!AF231))</f>
        <v/>
      </c>
      <c r="D231" s="36" t="str">
        <f>IF(CARGA_DIARIA!A231="","",IF(CARGA_DIARIA!B231=0,0,(CARGA_DIARIA!J231+CARGA_DIARIA!K231+CARGA_DIARIA!L231+CARGA_DIARIA!M231+CARGA_DIARIA!N231+CARGA_DIARIA!O231+CARGA_DIARIA!P231+CARGA_DIARIA!Q231+CARGA_DIARIA!R231+CARGA_DIARIA!S231+CARGA_DIARIA!T231+CARGA_DIARIA!U231+CARGA_DIARIA!V231+CARGA_DIARIA!W231)/CARGA_DIARIA!B231))</f>
        <v/>
      </c>
      <c r="E231" s="36" t="str">
        <f>IF(CARGA_DIARIA!A231="","",IF(CARGA_DIARIA!B231=0,0,(CARGA_DIARIA!X231+CARGA_DIARIA!Y231+CARGA_DIARIA!Z231+CARGA_DIARIA!AA231)/CARGA_DIARIA!B231+CARGA_DIARIA!AB231+CARGA_DIARIA!AC231+CARGA_DIARIA!AD231+CARGA_DIARIA!AE231))</f>
        <v/>
      </c>
      <c r="F231" s="39" t="s">
        <v>146</v>
      </c>
      <c r="G231" s="39" t="s">
        <v>146</v>
      </c>
      <c r="H231" s="38" t="str">
        <f>IF(CARGA_DIARIA!A231="","",C231-D231-E231)</f>
        <v/>
      </c>
    </row>
    <row r="232" spans="1:8" ht="15.75" customHeight="1" x14ac:dyDescent="0.25">
      <c r="A232" s="33" t="str">
        <f>IF(CARGA_DIARIA!A232="","",CARGA_DIARIA!A232)</f>
        <v/>
      </c>
      <c r="B232" s="34" t="str">
        <f>IF(CARGA_DIARIA!A232="","",CARGA_DIARIA!B232)</f>
        <v/>
      </c>
      <c r="C232" s="35" t="str">
        <f>IF(CARGA_DIARIA!A232="","",IF(CARGA_DIARIA!B232=0,0,(CARGA_DIARIA!C232+CARGA_DIARIA!D232+CARGA_DIARIA!E232+CARGA_DIARIA!F232+CARGA_DIARIA!G232+CARGA_DIARIA!H232+CARGA_DIARIA!I232+CARGA_DIARIA!AG232+CARGA_DIARIA!AH232+CARGA_DIARIA!AI232+CARGA_DIARIA!AJ232)/CARGA_DIARIA!B232+CARGA_DIARIA!AF232))</f>
        <v/>
      </c>
      <c r="D232" s="36" t="str">
        <f>IF(CARGA_DIARIA!A232="","",IF(CARGA_DIARIA!B232=0,0,(CARGA_DIARIA!J232+CARGA_DIARIA!K232+CARGA_DIARIA!L232+CARGA_DIARIA!M232+CARGA_DIARIA!N232+CARGA_DIARIA!O232+CARGA_DIARIA!P232+CARGA_DIARIA!Q232+CARGA_DIARIA!R232+CARGA_DIARIA!S232+CARGA_DIARIA!T232+CARGA_DIARIA!U232+CARGA_DIARIA!V232+CARGA_DIARIA!W232)/CARGA_DIARIA!B232))</f>
        <v/>
      </c>
      <c r="E232" s="36" t="str">
        <f>IF(CARGA_DIARIA!A232="","",IF(CARGA_DIARIA!B232=0,0,(CARGA_DIARIA!X232+CARGA_DIARIA!Y232+CARGA_DIARIA!Z232+CARGA_DIARIA!AA232)/CARGA_DIARIA!B232+CARGA_DIARIA!AB232+CARGA_DIARIA!AC232+CARGA_DIARIA!AD232+CARGA_DIARIA!AE232))</f>
        <v/>
      </c>
      <c r="F232" s="39" t="s">
        <v>146</v>
      </c>
      <c r="G232" s="39" t="s">
        <v>146</v>
      </c>
      <c r="H232" s="38" t="str">
        <f>IF(CARGA_DIARIA!A232="","",C232-D232-E232)</f>
        <v/>
      </c>
    </row>
    <row r="233" spans="1:8" ht="15.75" customHeight="1" x14ac:dyDescent="0.25">
      <c r="A233" s="33" t="str">
        <f>IF(CARGA_DIARIA!A233="","",CARGA_DIARIA!A233)</f>
        <v/>
      </c>
      <c r="B233" s="34" t="str">
        <f>IF(CARGA_DIARIA!A233="","",CARGA_DIARIA!B233)</f>
        <v/>
      </c>
      <c r="C233" s="35" t="str">
        <f>IF(CARGA_DIARIA!A233="","",IF(CARGA_DIARIA!B233=0,0,(CARGA_DIARIA!C233+CARGA_DIARIA!D233+CARGA_DIARIA!E233+CARGA_DIARIA!F233+CARGA_DIARIA!G233+CARGA_DIARIA!H233+CARGA_DIARIA!I233+CARGA_DIARIA!AG233+CARGA_DIARIA!AH233+CARGA_DIARIA!AI233+CARGA_DIARIA!AJ233)/CARGA_DIARIA!B233+CARGA_DIARIA!AF233))</f>
        <v/>
      </c>
      <c r="D233" s="36" t="str">
        <f>IF(CARGA_DIARIA!A233="","",IF(CARGA_DIARIA!B233=0,0,(CARGA_DIARIA!J233+CARGA_DIARIA!K233+CARGA_DIARIA!L233+CARGA_DIARIA!M233+CARGA_DIARIA!N233+CARGA_DIARIA!O233+CARGA_DIARIA!P233+CARGA_DIARIA!Q233+CARGA_DIARIA!R233+CARGA_DIARIA!S233+CARGA_DIARIA!T233+CARGA_DIARIA!U233+CARGA_DIARIA!V233+CARGA_DIARIA!W233)/CARGA_DIARIA!B233))</f>
        <v/>
      </c>
      <c r="E233" s="36" t="str">
        <f>IF(CARGA_DIARIA!A233="","",IF(CARGA_DIARIA!B233=0,0,(CARGA_DIARIA!X233+CARGA_DIARIA!Y233+CARGA_DIARIA!Z233+CARGA_DIARIA!AA233)/CARGA_DIARIA!B233+CARGA_DIARIA!AB233+CARGA_DIARIA!AC233+CARGA_DIARIA!AD233+CARGA_DIARIA!AE233))</f>
        <v/>
      </c>
      <c r="F233" s="39" t="s">
        <v>146</v>
      </c>
      <c r="G233" s="39" t="s">
        <v>146</v>
      </c>
      <c r="H233" s="38" t="str">
        <f>IF(CARGA_DIARIA!A233="","",C233-D233-E233)</f>
        <v/>
      </c>
    </row>
    <row r="234" spans="1:8" ht="15.75" customHeight="1" x14ac:dyDescent="0.25">
      <c r="A234" s="33" t="str">
        <f>IF(CARGA_DIARIA!A234="","",CARGA_DIARIA!A234)</f>
        <v/>
      </c>
      <c r="B234" s="34" t="str">
        <f>IF(CARGA_DIARIA!A234="","",CARGA_DIARIA!B234)</f>
        <v/>
      </c>
      <c r="C234" s="35" t="str">
        <f>IF(CARGA_DIARIA!A234="","",IF(CARGA_DIARIA!B234=0,0,(CARGA_DIARIA!C234+CARGA_DIARIA!D234+CARGA_DIARIA!E234+CARGA_DIARIA!F234+CARGA_DIARIA!G234+CARGA_DIARIA!H234+CARGA_DIARIA!I234+CARGA_DIARIA!AG234+CARGA_DIARIA!AH234+CARGA_DIARIA!AI234+CARGA_DIARIA!AJ234)/CARGA_DIARIA!B234+CARGA_DIARIA!AF234))</f>
        <v/>
      </c>
      <c r="D234" s="36" t="str">
        <f>IF(CARGA_DIARIA!A234="","",IF(CARGA_DIARIA!B234=0,0,(CARGA_DIARIA!J234+CARGA_DIARIA!K234+CARGA_DIARIA!L234+CARGA_DIARIA!M234+CARGA_DIARIA!N234+CARGA_DIARIA!O234+CARGA_DIARIA!P234+CARGA_DIARIA!Q234+CARGA_DIARIA!R234+CARGA_DIARIA!S234+CARGA_DIARIA!T234+CARGA_DIARIA!U234+CARGA_DIARIA!V234+CARGA_DIARIA!W234)/CARGA_DIARIA!B234))</f>
        <v/>
      </c>
      <c r="E234" s="36" t="str">
        <f>IF(CARGA_DIARIA!A234="","",IF(CARGA_DIARIA!B234=0,0,(CARGA_DIARIA!X234+CARGA_DIARIA!Y234+CARGA_DIARIA!Z234+CARGA_DIARIA!AA234)/CARGA_DIARIA!B234+CARGA_DIARIA!AB234+CARGA_DIARIA!AC234+CARGA_DIARIA!AD234+CARGA_DIARIA!AE234))</f>
        <v/>
      </c>
      <c r="F234" s="39" t="s">
        <v>146</v>
      </c>
      <c r="G234" s="39" t="s">
        <v>146</v>
      </c>
      <c r="H234" s="38" t="str">
        <f>IF(CARGA_DIARIA!A234="","",C234-D234-E234)</f>
        <v/>
      </c>
    </row>
    <row r="235" spans="1:8" ht="15.75" customHeight="1" x14ac:dyDescent="0.25">
      <c r="A235" s="33" t="str">
        <f>IF(CARGA_DIARIA!A235="","",CARGA_DIARIA!A235)</f>
        <v/>
      </c>
      <c r="B235" s="34" t="str">
        <f>IF(CARGA_DIARIA!A235="","",CARGA_DIARIA!B235)</f>
        <v/>
      </c>
      <c r="C235" s="35" t="str">
        <f>IF(CARGA_DIARIA!A235="","",IF(CARGA_DIARIA!B235=0,0,(CARGA_DIARIA!C235+CARGA_DIARIA!D235+CARGA_DIARIA!E235+CARGA_DIARIA!F235+CARGA_DIARIA!G235+CARGA_DIARIA!H235+CARGA_DIARIA!I235+CARGA_DIARIA!AG235+CARGA_DIARIA!AH235+CARGA_DIARIA!AI235+CARGA_DIARIA!AJ235)/CARGA_DIARIA!B235+CARGA_DIARIA!AF235))</f>
        <v/>
      </c>
      <c r="D235" s="36" t="str">
        <f>IF(CARGA_DIARIA!A235="","",IF(CARGA_DIARIA!B235=0,0,(CARGA_DIARIA!J235+CARGA_DIARIA!K235+CARGA_DIARIA!L235+CARGA_DIARIA!M235+CARGA_DIARIA!N235+CARGA_DIARIA!O235+CARGA_DIARIA!P235+CARGA_DIARIA!Q235+CARGA_DIARIA!R235+CARGA_DIARIA!S235+CARGA_DIARIA!T235+CARGA_DIARIA!U235+CARGA_DIARIA!V235+CARGA_DIARIA!W235)/CARGA_DIARIA!B235))</f>
        <v/>
      </c>
      <c r="E235" s="36" t="str">
        <f>IF(CARGA_DIARIA!A235="","",IF(CARGA_DIARIA!B235=0,0,(CARGA_DIARIA!X235+CARGA_DIARIA!Y235+CARGA_DIARIA!Z235+CARGA_DIARIA!AA235)/CARGA_DIARIA!B235+CARGA_DIARIA!AB235+CARGA_DIARIA!AC235+CARGA_DIARIA!AD235+CARGA_DIARIA!AE235))</f>
        <v/>
      </c>
      <c r="F235" s="39" t="s">
        <v>146</v>
      </c>
      <c r="G235" s="39" t="s">
        <v>146</v>
      </c>
      <c r="H235" s="38" t="str">
        <f>IF(CARGA_DIARIA!A235="","",C235-D235-E235)</f>
        <v/>
      </c>
    </row>
    <row r="236" spans="1:8" ht="15.75" customHeight="1" x14ac:dyDescent="0.25">
      <c r="A236" s="33" t="str">
        <f>IF(CARGA_DIARIA!A236="","",CARGA_DIARIA!A236)</f>
        <v/>
      </c>
      <c r="B236" s="34" t="str">
        <f>IF(CARGA_DIARIA!A236="","",CARGA_DIARIA!B236)</f>
        <v/>
      </c>
      <c r="C236" s="35" t="str">
        <f>IF(CARGA_DIARIA!A236="","",IF(CARGA_DIARIA!B236=0,0,(CARGA_DIARIA!C236+CARGA_DIARIA!D236+CARGA_DIARIA!E236+CARGA_DIARIA!F236+CARGA_DIARIA!G236+CARGA_DIARIA!H236+CARGA_DIARIA!I236+CARGA_DIARIA!AG236+CARGA_DIARIA!AH236+CARGA_DIARIA!AI236+CARGA_DIARIA!AJ236)/CARGA_DIARIA!B236+CARGA_DIARIA!AF236))</f>
        <v/>
      </c>
      <c r="D236" s="36" t="str">
        <f>IF(CARGA_DIARIA!A236="","",IF(CARGA_DIARIA!B236=0,0,(CARGA_DIARIA!J236+CARGA_DIARIA!K236+CARGA_DIARIA!L236+CARGA_DIARIA!M236+CARGA_DIARIA!N236+CARGA_DIARIA!O236+CARGA_DIARIA!P236+CARGA_DIARIA!Q236+CARGA_DIARIA!R236+CARGA_DIARIA!S236+CARGA_DIARIA!T236+CARGA_DIARIA!U236+CARGA_DIARIA!V236+CARGA_DIARIA!W236)/CARGA_DIARIA!B236))</f>
        <v/>
      </c>
      <c r="E236" s="36" t="str">
        <f>IF(CARGA_DIARIA!A236="","",IF(CARGA_DIARIA!B236=0,0,(CARGA_DIARIA!X236+CARGA_DIARIA!Y236+CARGA_DIARIA!Z236+CARGA_DIARIA!AA236)/CARGA_DIARIA!B236+CARGA_DIARIA!AB236+CARGA_DIARIA!AC236+CARGA_DIARIA!AD236+CARGA_DIARIA!AE236))</f>
        <v/>
      </c>
      <c r="F236" s="39" t="s">
        <v>146</v>
      </c>
      <c r="G236" s="39" t="s">
        <v>146</v>
      </c>
      <c r="H236" s="38" t="str">
        <f>IF(CARGA_DIARIA!A236="","",C236-D236-E236)</f>
        <v/>
      </c>
    </row>
    <row r="237" spans="1:8" ht="15.75" customHeight="1" x14ac:dyDescent="0.25">
      <c r="A237" s="33" t="str">
        <f>IF(CARGA_DIARIA!A237="","",CARGA_DIARIA!A237)</f>
        <v/>
      </c>
      <c r="B237" s="34" t="str">
        <f>IF(CARGA_DIARIA!A237="","",CARGA_DIARIA!B237)</f>
        <v/>
      </c>
      <c r="C237" s="35" t="str">
        <f>IF(CARGA_DIARIA!A237="","",IF(CARGA_DIARIA!B237=0,0,(CARGA_DIARIA!C237+CARGA_DIARIA!D237+CARGA_DIARIA!E237+CARGA_DIARIA!F237+CARGA_DIARIA!G237+CARGA_DIARIA!H237+CARGA_DIARIA!I237+CARGA_DIARIA!AG237+CARGA_DIARIA!AH237+CARGA_DIARIA!AI237+CARGA_DIARIA!AJ237)/CARGA_DIARIA!B237+CARGA_DIARIA!AF237))</f>
        <v/>
      </c>
      <c r="D237" s="36" t="str">
        <f>IF(CARGA_DIARIA!A237="","",IF(CARGA_DIARIA!B237=0,0,(CARGA_DIARIA!J237+CARGA_DIARIA!K237+CARGA_DIARIA!L237+CARGA_DIARIA!M237+CARGA_DIARIA!N237+CARGA_DIARIA!O237+CARGA_DIARIA!P237+CARGA_DIARIA!Q237+CARGA_DIARIA!R237+CARGA_DIARIA!S237+CARGA_DIARIA!T237+CARGA_DIARIA!U237+CARGA_DIARIA!V237+CARGA_DIARIA!W237)/CARGA_DIARIA!B237))</f>
        <v/>
      </c>
      <c r="E237" s="36" t="str">
        <f>IF(CARGA_DIARIA!A237="","",IF(CARGA_DIARIA!B237=0,0,(CARGA_DIARIA!X237+CARGA_DIARIA!Y237+CARGA_DIARIA!Z237+CARGA_DIARIA!AA237)/CARGA_DIARIA!B237+CARGA_DIARIA!AB237+CARGA_DIARIA!AC237+CARGA_DIARIA!AD237+CARGA_DIARIA!AE237))</f>
        <v/>
      </c>
      <c r="F237" s="39" t="s">
        <v>146</v>
      </c>
      <c r="G237" s="39" t="s">
        <v>146</v>
      </c>
      <c r="H237" s="38" t="str">
        <f>IF(CARGA_DIARIA!A237="","",C237-D237-E237)</f>
        <v/>
      </c>
    </row>
    <row r="238" spans="1:8" ht="15.75" customHeight="1" x14ac:dyDescent="0.25">
      <c r="A238" s="33" t="str">
        <f>IF(CARGA_DIARIA!A238="","",CARGA_DIARIA!A238)</f>
        <v/>
      </c>
      <c r="B238" s="34" t="str">
        <f>IF(CARGA_DIARIA!A238="","",CARGA_DIARIA!B238)</f>
        <v/>
      </c>
      <c r="C238" s="35" t="str">
        <f>IF(CARGA_DIARIA!A238="","",IF(CARGA_DIARIA!B238=0,0,(CARGA_DIARIA!C238+CARGA_DIARIA!D238+CARGA_DIARIA!E238+CARGA_DIARIA!F238+CARGA_DIARIA!G238+CARGA_DIARIA!H238+CARGA_DIARIA!I238+CARGA_DIARIA!AG238+CARGA_DIARIA!AH238+CARGA_DIARIA!AI238+CARGA_DIARIA!AJ238)/CARGA_DIARIA!B238+CARGA_DIARIA!AF238))</f>
        <v/>
      </c>
      <c r="D238" s="36" t="str">
        <f>IF(CARGA_DIARIA!A238="","",IF(CARGA_DIARIA!B238=0,0,(CARGA_DIARIA!J238+CARGA_DIARIA!K238+CARGA_DIARIA!L238+CARGA_DIARIA!M238+CARGA_DIARIA!N238+CARGA_DIARIA!O238+CARGA_DIARIA!P238+CARGA_DIARIA!Q238+CARGA_DIARIA!R238+CARGA_DIARIA!S238+CARGA_DIARIA!T238+CARGA_DIARIA!U238+CARGA_DIARIA!V238+CARGA_DIARIA!W238)/CARGA_DIARIA!B238))</f>
        <v/>
      </c>
      <c r="E238" s="36" t="str">
        <f>IF(CARGA_DIARIA!A238="","",IF(CARGA_DIARIA!B238=0,0,(CARGA_DIARIA!X238+CARGA_DIARIA!Y238+CARGA_DIARIA!Z238+CARGA_DIARIA!AA238)/CARGA_DIARIA!B238+CARGA_DIARIA!AB238+CARGA_DIARIA!AC238+CARGA_DIARIA!AD238+CARGA_DIARIA!AE238))</f>
        <v/>
      </c>
      <c r="F238" s="39" t="s">
        <v>146</v>
      </c>
      <c r="G238" s="39" t="s">
        <v>146</v>
      </c>
      <c r="H238" s="38" t="str">
        <f>IF(CARGA_DIARIA!A238="","",C238-D238-E238)</f>
        <v/>
      </c>
    </row>
    <row r="239" spans="1:8" ht="15.75" customHeight="1" x14ac:dyDescent="0.25">
      <c r="A239" s="33" t="str">
        <f>IF(CARGA_DIARIA!A239="","",CARGA_DIARIA!A239)</f>
        <v/>
      </c>
      <c r="B239" s="34" t="str">
        <f>IF(CARGA_DIARIA!A239="","",CARGA_DIARIA!B239)</f>
        <v/>
      </c>
      <c r="C239" s="35" t="str">
        <f>IF(CARGA_DIARIA!A239="","",IF(CARGA_DIARIA!B239=0,0,(CARGA_DIARIA!C239+CARGA_DIARIA!D239+CARGA_DIARIA!E239+CARGA_DIARIA!F239+CARGA_DIARIA!G239+CARGA_DIARIA!H239+CARGA_DIARIA!I239+CARGA_DIARIA!AG239+CARGA_DIARIA!AH239+CARGA_DIARIA!AI239+CARGA_DIARIA!AJ239)/CARGA_DIARIA!B239+CARGA_DIARIA!AF239))</f>
        <v/>
      </c>
      <c r="D239" s="36" t="str">
        <f>IF(CARGA_DIARIA!A239="","",IF(CARGA_DIARIA!B239=0,0,(CARGA_DIARIA!J239+CARGA_DIARIA!K239+CARGA_DIARIA!L239+CARGA_DIARIA!M239+CARGA_DIARIA!N239+CARGA_DIARIA!O239+CARGA_DIARIA!P239+CARGA_DIARIA!Q239+CARGA_DIARIA!R239+CARGA_DIARIA!S239+CARGA_DIARIA!T239+CARGA_DIARIA!U239+CARGA_DIARIA!V239+CARGA_DIARIA!W239)/CARGA_DIARIA!B239))</f>
        <v/>
      </c>
      <c r="E239" s="36" t="str">
        <f>IF(CARGA_DIARIA!A239="","",IF(CARGA_DIARIA!B239=0,0,(CARGA_DIARIA!X239+CARGA_DIARIA!Y239+CARGA_DIARIA!Z239+CARGA_DIARIA!AA239)/CARGA_DIARIA!B239+CARGA_DIARIA!AB239+CARGA_DIARIA!AC239+CARGA_DIARIA!AD239+CARGA_DIARIA!AE239))</f>
        <v/>
      </c>
      <c r="F239" s="39" t="s">
        <v>146</v>
      </c>
      <c r="G239" s="39" t="s">
        <v>146</v>
      </c>
      <c r="H239" s="38" t="str">
        <f>IF(CARGA_DIARIA!A239="","",C239-D239-E239)</f>
        <v/>
      </c>
    </row>
    <row r="240" spans="1:8" ht="15.75" customHeight="1" x14ac:dyDescent="0.25">
      <c r="A240" s="33" t="str">
        <f>IF(CARGA_DIARIA!A240="","",CARGA_DIARIA!A240)</f>
        <v/>
      </c>
      <c r="B240" s="34" t="str">
        <f>IF(CARGA_DIARIA!A240="","",CARGA_DIARIA!B240)</f>
        <v/>
      </c>
      <c r="C240" s="35" t="str">
        <f>IF(CARGA_DIARIA!A240="","",IF(CARGA_DIARIA!B240=0,0,(CARGA_DIARIA!C240+CARGA_DIARIA!D240+CARGA_DIARIA!E240+CARGA_DIARIA!F240+CARGA_DIARIA!G240+CARGA_DIARIA!H240+CARGA_DIARIA!I240+CARGA_DIARIA!AG240+CARGA_DIARIA!AH240+CARGA_DIARIA!AI240+CARGA_DIARIA!AJ240)/CARGA_DIARIA!B240+CARGA_DIARIA!AF240))</f>
        <v/>
      </c>
      <c r="D240" s="36" t="str">
        <f>IF(CARGA_DIARIA!A240="","",IF(CARGA_DIARIA!B240=0,0,(CARGA_DIARIA!J240+CARGA_DIARIA!K240+CARGA_DIARIA!L240+CARGA_DIARIA!M240+CARGA_DIARIA!N240+CARGA_DIARIA!O240+CARGA_DIARIA!P240+CARGA_DIARIA!Q240+CARGA_DIARIA!R240+CARGA_DIARIA!S240+CARGA_DIARIA!T240+CARGA_DIARIA!U240+CARGA_DIARIA!V240+CARGA_DIARIA!W240)/CARGA_DIARIA!B240))</f>
        <v/>
      </c>
      <c r="E240" s="36" t="str">
        <f>IF(CARGA_DIARIA!A240="","",IF(CARGA_DIARIA!B240=0,0,(CARGA_DIARIA!X240+CARGA_DIARIA!Y240+CARGA_DIARIA!Z240+CARGA_DIARIA!AA240)/CARGA_DIARIA!B240+CARGA_DIARIA!AB240+CARGA_DIARIA!AC240+CARGA_DIARIA!AD240+CARGA_DIARIA!AE240))</f>
        <v/>
      </c>
      <c r="F240" s="39" t="s">
        <v>146</v>
      </c>
      <c r="G240" s="39" t="s">
        <v>146</v>
      </c>
      <c r="H240" s="38" t="str">
        <f>IF(CARGA_DIARIA!A240="","",C240-D240-E240)</f>
        <v/>
      </c>
    </row>
    <row r="241" spans="1:8" ht="15.75" customHeight="1" x14ac:dyDescent="0.25">
      <c r="A241" s="33" t="str">
        <f>IF(CARGA_DIARIA!A241="","",CARGA_DIARIA!A241)</f>
        <v/>
      </c>
      <c r="B241" s="34" t="str">
        <f>IF(CARGA_DIARIA!A241="","",CARGA_DIARIA!B241)</f>
        <v/>
      </c>
      <c r="C241" s="35" t="str">
        <f>IF(CARGA_DIARIA!A241="","",IF(CARGA_DIARIA!B241=0,0,(CARGA_DIARIA!C241+CARGA_DIARIA!D241+CARGA_DIARIA!E241+CARGA_DIARIA!F241+CARGA_DIARIA!G241+CARGA_DIARIA!H241+CARGA_DIARIA!I241+CARGA_DIARIA!AG241+CARGA_DIARIA!AH241+CARGA_DIARIA!AI241+CARGA_DIARIA!AJ241)/CARGA_DIARIA!B241+CARGA_DIARIA!AF241))</f>
        <v/>
      </c>
      <c r="D241" s="36" t="str">
        <f>IF(CARGA_DIARIA!A241="","",IF(CARGA_DIARIA!B241=0,0,(CARGA_DIARIA!J241+CARGA_DIARIA!K241+CARGA_DIARIA!L241+CARGA_DIARIA!M241+CARGA_DIARIA!N241+CARGA_DIARIA!O241+CARGA_DIARIA!P241+CARGA_DIARIA!Q241+CARGA_DIARIA!R241+CARGA_DIARIA!S241+CARGA_DIARIA!T241+CARGA_DIARIA!U241+CARGA_DIARIA!V241+CARGA_DIARIA!W241)/CARGA_DIARIA!B241))</f>
        <v/>
      </c>
      <c r="E241" s="36" t="str">
        <f>IF(CARGA_DIARIA!A241="","",IF(CARGA_DIARIA!B241=0,0,(CARGA_DIARIA!X241+CARGA_DIARIA!Y241+CARGA_DIARIA!Z241+CARGA_DIARIA!AA241)/CARGA_DIARIA!B241+CARGA_DIARIA!AB241+CARGA_DIARIA!AC241+CARGA_DIARIA!AD241+CARGA_DIARIA!AE241))</f>
        <v/>
      </c>
      <c r="F241" s="39" t="s">
        <v>146</v>
      </c>
      <c r="G241" s="39" t="s">
        <v>146</v>
      </c>
      <c r="H241" s="38" t="str">
        <f>IF(CARGA_DIARIA!A241="","",C241-D241-E241)</f>
        <v/>
      </c>
    </row>
    <row r="242" spans="1:8" ht="15.75" customHeight="1" x14ac:dyDescent="0.25">
      <c r="A242" s="33" t="str">
        <f>IF(CARGA_DIARIA!A242="","",CARGA_DIARIA!A242)</f>
        <v/>
      </c>
      <c r="B242" s="34" t="str">
        <f>IF(CARGA_DIARIA!A242="","",CARGA_DIARIA!B242)</f>
        <v/>
      </c>
      <c r="C242" s="35" t="str">
        <f>IF(CARGA_DIARIA!A242="","",IF(CARGA_DIARIA!B242=0,0,(CARGA_DIARIA!C242+CARGA_DIARIA!D242+CARGA_DIARIA!E242+CARGA_DIARIA!F242+CARGA_DIARIA!G242+CARGA_DIARIA!H242+CARGA_DIARIA!I242+CARGA_DIARIA!AG242+CARGA_DIARIA!AH242+CARGA_DIARIA!AI242+CARGA_DIARIA!AJ242)/CARGA_DIARIA!B242+CARGA_DIARIA!AF242))</f>
        <v/>
      </c>
      <c r="D242" s="36" t="str">
        <f>IF(CARGA_DIARIA!A242="","",IF(CARGA_DIARIA!B242=0,0,(CARGA_DIARIA!J242+CARGA_DIARIA!K242+CARGA_DIARIA!L242+CARGA_DIARIA!M242+CARGA_DIARIA!N242+CARGA_DIARIA!O242+CARGA_DIARIA!P242+CARGA_DIARIA!Q242+CARGA_DIARIA!R242+CARGA_DIARIA!S242+CARGA_DIARIA!T242+CARGA_DIARIA!U242+CARGA_DIARIA!V242+CARGA_DIARIA!W242)/CARGA_DIARIA!B242))</f>
        <v/>
      </c>
      <c r="E242" s="36" t="str">
        <f>IF(CARGA_DIARIA!A242="","",IF(CARGA_DIARIA!B242=0,0,(CARGA_DIARIA!X242+CARGA_DIARIA!Y242+CARGA_DIARIA!Z242+CARGA_DIARIA!AA242)/CARGA_DIARIA!B242+CARGA_DIARIA!AB242+CARGA_DIARIA!AC242+CARGA_DIARIA!AD242+CARGA_DIARIA!AE242))</f>
        <v/>
      </c>
      <c r="F242" s="39" t="s">
        <v>146</v>
      </c>
      <c r="G242" s="39" t="s">
        <v>146</v>
      </c>
      <c r="H242" s="38" t="str">
        <f>IF(CARGA_DIARIA!A242="","",C242-D242-E242)</f>
        <v/>
      </c>
    </row>
    <row r="243" spans="1:8" ht="15.75" customHeight="1" x14ac:dyDescent="0.25">
      <c r="A243" s="33" t="str">
        <f>IF(CARGA_DIARIA!A243="","",CARGA_DIARIA!A243)</f>
        <v/>
      </c>
      <c r="B243" s="34" t="str">
        <f>IF(CARGA_DIARIA!A243="","",CARGA_DIARIA!B243)</f>
        <v/>
      </c>
      <c r="C243" s="35" t="str">
        <f>IF(CARGA_DIARIA!A243="","",IF(CARGA_DIARIA!B243=0,0,(CARGA_DIARIA!C243+CARGA_DIARIA!D243+CARGA_DIARIA!E243+CARGA_DIARIA!F243+CARGA_DIARIA!G243+CARGA_DIARIA!H243+CARGA_DIARIA!I243+CARGA_DIARIA!AG243+CARGA_DIARIA!AH243+CARGA_DIARIA!AI243+CARGA_DIARIA!AJ243)/CARGA_DIARIA!B243+CARGA_DIARIA!AF243))</f>
        <v/>
      </c>
      <c r="D243" s="36" t="str">
        <f>IF(CARGA_DIARIA!A243="","",IF(CARGA_DIARIA!B243=0,0,(CARGA_DIARIA!J243+CARGA_DIARIA!K243+CARGA_DIARIA!L243+CARGA_DIARIA!M243+CARGA_DIARIA!N243+CARGA_DIARIA!O243+CARGA_DIARIA!P243+CARGA_DIARIA!Q243+CARGA_DIARIA!R243+CARGA_DIARIA!S243+CARGA_DIARIA!T243+CARGA_DIARIA!U243+CARGA_DIARIA!V243+CARGA_DIARIA!W243)/CARGA_DIARIA!B243))</f>
        <v/>
      </c>
      <c r="E243" s="36" t="str">
        <f>IF(CARGA_DIARIA!A243="","",IF(CARGA_DIARIA!B243=0,0,(CARGA_DIARIA!X243+CARGA_DIARIA!Y243+CARGA_DIARIA!Z243+CARGA_DIARIA!AA243)/CARGA_DIARIA!B243+CARGA_DIARIA!AB243+CARGA_DIARIA!AC243+CARGA_DIARIA!AD243+CARGA_DIARIA!AE243))</f>
        <v/>
      </c>
      <c r="F243" s="39" t="s">
        <v>146</v>
      </c>
      <c r="G243" s="39" t="s">
        <v>146</v>
      </c>
      <c r="H243" s="38" t="str">
        <f>IF(CARGA_DIARIA!A243="","",C243-D243-E243)</f>
        <v/>
      </c>
    </row>
    <row r="244" spans="1:8" ht="15.75" customHeight="1" x14ac:dyDescent="0.25">
      <c r="A244" s="33" t="str">
        <f>IF(CARGA_DIARIA!A244="","",CARGA_DIARIA!A244)</f>
        <v/>
      </c>
      <c r="B244" s="34" t="str">
        <f>IF(CARGA_DIARIA!A244="","",CARGA_DIARIA!B244)</f>
        <v/>
      </c>
      <c r="C244" s="35" t="str">
        <f>IF(CARGA_DIARIA!A244="","",IF(CARGA_DIARIA!B244=0,0,(CARGA_DIARIA!C244+CARGA_DIARIA!D244+CARGA_DIARIA!E244+CARGA_DIARIA!F244+CARGA_DIARIA!G244+CARGA_DIARIA!H244+CARGA_DIARIA!I244+CARGA_DIARIA!AG244+CARGA_DIARIA!AH244+CARGA_DIARIA!AI244+CARGA_DIARIA!AJ244)/CARGA_DIARIA!B244+CARGA_DIARIA!AF244))</f>
        <v/>
      </c>
      <c r="D244" s="36" t="str">
        <f>IF(CARGA_DIARIA!A244="","",IF(CARGA_DIARIA!B244=0,0,(CARGA_DIARIA!J244+CARGA_DIARIA!K244+CARGA_DIARIA!L244+CARGA_DIARIA!M244+CARGA_DIARIA!N244+CARGA_DIARIA!O244+CARGA_DIARIA!P244+CARGA_DIARIA!Q244+CARGA_DIARIA!R244+CARGA_DIARIA!S244+CARGA_DIARIA!T244+CARGA_DIARIA!U244+CARGA_DIARIA!V244+CARGA_DIARIA!W244)/CARGA_DIARIA!B244))</f>
        <v/>
      </c>
      <c r="E244" s="36" t="str">
        <f>IF(CARGA_DIARIA!A244="","",IF(CARGA_DIARIA!B244=0,0,(CARGA_DIARIA!X244+CARGA_DIARIA!Y244+CARGA_DIARIA!Z244+CARGA_DIARIA!AA244)/CARGA_DIARIA!B244+CARGA_DIARIA!AB244+CARGA_DIARIA!AC244+CARGA_DIARIA!AD244+CARGA_DIARIA!AE244))</f>
        <v/>
      </c>
      <c r="F244" s="39" t="s">
        <v>146</v>
      </c>
      <c r="G244" s="39" t="s">
        <v>146</v>
      </c>
      <c r="H244" s="38" t="str">
        <f>IF(CARGA_DIARIA!A244="","",C244-D244-E244)</f>
        <v/>
      </c>
    </row>
    <row r="245" spans="1:8" ht="15.75" customHeight="1" x14ac:dyDescent="0.25">
      <c r="A245" s="33" t="str">
        <f>IF(CARGA_DIARIA!A245="","",CARGA_DIARIA!A245)</f>
        <v/>
      </c>
      <c r="B245" s="34" t="str">
        <f>IF(CARGA_DIARIA!A245="","",CARGA_DIARIA!B245)</f>
        <v/>
      </c>
      <c r="C245" s="35" t="str">
        <f>IF(CARGA_DIARIA!A245="","",IF(CARGA_DIARIA!B245=0,0,(CARGA_DIARIA!C245+CARGA_DIARIA!D245+CARGA_DIARIA!E245+CARGA_DIARIA!F245+CARGA_DIARIA!G245+CARGA_DIARIA!H245+CARGA_DIARIA!I245+CARGA_DIARIA!AG245+CARGA_DIARIA!AH245+CARGA_DIARIA!AI245+CARGA_DIARIA!AJ245)/CARGA_DIARIA!B245+CARGA_DIARIA!AF245))</f>
        <v/>
      </c>
      <c r="D245" s="36" t="str">
        <f>IF(CARGA_DIARIA!A245="","",IF(CARGA_DIARIA!B245=0,0,(CARGA_DIARIA!J245+CARGA_DIARIA!K245+CARGA_DIARIA!L245+CARGA_DIARIA!M245+CARGA_DIARIA!N245+CARGA_DIARIA!O245+CARGA_DIARIA!P245+CARGA_DIARIA!Q245+CARGA_DIARIA!R245+CARGA_DIARIA!S245+CARGA_DIARIA!T245+CARGA_DIARIA!U245+CARGA_DIARIA!V245+CARGA_DIARIA!W245)/CARGA_DIARIA!B245))</f>
        <v/>
      </c>
      <c r="E245" s="36" t="str">
        <f>IF(CARGA_DIARIA!A245="","",IF(CARGA_DIARIA!B245=0,0,(CARGA_DIARIA!X245+CARGA_DIARIA!Y245+CARGA_DIARIA!Z245+CARGA_DIARIA!AA245)/CARGA_DIARIA!B245+CARGA_DIARIA!AB245+CARGA_DIARIA!AC245+CARGA_DIARIA!AD245+CARGA_DIARIA!AE245))</f>
        <v/>
      </c>
      <c r="F245" s="39" t="s">
        <v>146</v>
      </c>
      <c r="G245" s="39" t="s">
        <v>146</v>
      </c>
      <c r="H245" s="38" t="str">
        <f>IF(CARGA_DIARIA!A245="","",C245-D245-E245)</f>
        <v/>
      </c>
    </row>
    <row r="246" spans="1:8" ht="15.75" customHeight="1" x14ac:dyDescent="0.25">
      <c r="A246" s="33" t="str">
        <f>IF(CARGA_DIARIA!A246="","",CARGA_DIARIA!A246)</f>
        <v/>
      </c>
      <c r="B246" s="34" t="str">
        <f>IF(CARGA_DIARIA!A246="","",CARGA_DIARIA!B246)</f>
        <v/>
      </c>
      <c r="C246" s="35" t="str">
        <f>IF(CARGA_DIARIA!A246="","",IF(CARGA_DIARIA!B246=0,0,(CARGA_DIARIA!C246+CARGA_DIARIA!D246+CARGA_DIARIA!E246+CARGA_DIARIA!F246+CARGA_DIARIA!G246+CARGA_DIARIA!H246+CARGA_DIARIA!I246+CARGA_DIARIA!AG246+CARGA_DIARIA!AH246+CARGA_DIARIA!AI246+CARGA_DIARIA!AJ246)/CARGA_DIARIA!B246+CARGA_DIARIA!AF246))</f>
        <v/>
      </c>
      <c r="D246" s="36" t="str">
        <f>IF(CARGA_DIARIA!A246="","",IF(CARGA_DIARIA!B246=0,0,(CARGA_DIARIA!J246+CARGA_DIARIA!K246+CARGA_DIARIA!L246+CARGA_DIARIA!M246+CARGA_DIARIA!N246+CARGA_DIARIA!O246+CARGA_DIARIA!P246+CARGA_DIARIA!Q246+CARGA_DIARIA!R246+CARGA_DIARIA!S246+CARGA_DIARIA!T246+CARGA_DIARIA!U246+CARGA_DIARIA!V246+CARGA_DIARIA!W246)/CARGA_DIARIA!B246))</f>
        <v/>
      </c>
      <c r="E246" s="36" t="str">
        <f>IF(CARGA_DIARIA!A246="","",IF(CARGA_DIARIA!B246=0,0,(CARGA_DIARIA!X246+CARGA_DIARIA!Y246+CARGA_DIARIA!Z246+CARGA_DIARIA!AA246)/CARGA_DIARIA!B246+CARGA_DIARIA!AB246+CARGA_DIARIA!AC246+CARGA_DIARIA!AD246+CARGA_DIARIA!AE246))</f>
        <v/>
      </c>
      <c r="F246" s="39" t="s">
        <v>146</v>
      </c>
      <c r="G246" s="39" t="s">
        <v>146</v>
      </c>
      <c r="H246" s="38" t="str">
        <f>IF(CARGA_DIARIA!A246="","",C246-D246-E246)</f>
        <v/>
      </c>
    </row>
    <row r="247" spans="1:8" ht="15.75" customHeight="1" x14ac:dyDescent="0.25">
      <c r="A247" s="33" t="str">
        <f>IF(CARGA_DIARIA!A247="","",CARGA_DIARIA!A247)</f>
        <v/>
      </c>
      <c r="B247" s="34" t="str">
        <f>IF(CARGA_DIARIA!A247="","",CARGA_DIARIA!B247)</f>
        <v/>
      </c>
      <c r="C247" s="35" t="str">
        <f>IF(CARGA_DIARIA!A247="","",IF(CARGA_DIARIA!B247=0,0,(CARGA_DIARIA!C247+CARGA_DIARIA!D247+CARGA_DIARIA!E247+CARGA_DIARIA!F247+CARGA_DIARIA!G247+CARGA_DIARIA!H247+CARGA_DIARIA!I247+CARGA_DIARIA!AG247+CARGA_DIARIA!AH247+CARGA_DIARIA!AI247+CARGA_DIARIA!AJ247)/CARGA_DIARIA!B247+CARGA_DIARIA!AF247))</f>
        <v/>
      </c>
      <c r="D247" s="36" t="str">
        <f>IF(CARGA_DIARIA!A247="","",IF(CARGA_DIARIA!B247=0,0,(CARGA_DIARIA!J247+CARGA_DIARIA!K247+CARGA_DIARIA!L247+CARGA_DIARIA!M247+CARGA_DIARIA!N247+CARGA_DIARIA!O247+CARGA_DIARIA!P247+CARGA_DIARIA!Q247+CARGA_DIARIA!R247+CARGA_DIARIA!S247+CARGA_DIARIA!T247+CARGA_DIARIA!U247+CARGA_DIARIA!V247+CARGA_DIARIA!W247)/CARGA_DIARIA!B247))</f>
        <v/>
      </c>
      <c r="E247" s="36" t="str">
        <f>IF(CARGA_DIARIA!A247="","",IF(CARGA_DIARIA!B247=0,0,(CARGA_DIARIA!X247+CARGA_DIARIA!Y247+CARGA_DIARIA!Z247+CARGA_DIARIA!AA247)/CARGA_DIARIA!B247+CARGA_DIARIA!AB247+CARGA_DIARIA!AC247+CARGA_DIARIA!AD247+CARGA_DIARIA!AE247))</f>
        <v/>
      </c>
      <c r="F247" s="39" t="s">
        <v>146</v>
      </c>
      <c r="G247" s="39" t="s">
        <v>146</v>
      </c>
      <c r="H247" s="38" t="str">
        <f>IF(CARGA_DIARIA!A247="","",C247-D247-E247)</f>
        <v/>
      </c>
    </row>
    <row r="248" spans="1:8" ht="15.75" customHeight="1" x14ac:dyDescent="0.25">
      <c r="A248" s="33" t="str">
        <f>IF(CARGA_DIARIA!A248="","",CARGA_DIARIA!A248)</f>
        <v/>
      </c>
      <c r="B248" s="34" t="str">
        <f>IF(CARGA_DIARIA!A248="","",CARGA_DIARIA!B248)</f>
        <v/>
      </c>
      <c r="C248" s="35" t="str">
        <f>IF(CARGA_DIARIA!A248="","",IF(CARGA_DIARIA!B248=0,0,(CARGA_DIARIA!C248+CARGA_DIARIA!D248+CARGA_DIARIA!E248+CARGA_DIARIA!F248+CARGA_DIARIA!G248+CARGA_DIARIA!H248+CARGA_DIARIA!I248+CARGA_DIARIA!AG248+CARGA_DIARIA!AH248+CARGA_DIARIA!AI248+CARGA_DIARIA!AJ248)/CARGA_DIARIA!B248+CARGA_DIARIA!AF248))</f>
        <v/>
      </c>
      <c r="D248" s="36" t="str">
        <f>IF(CARGA_DIARIA!A248="","",IF(CARGA_DIARIA!B248=0,0,(CARGA_DIARIA!J248+CARGA_DIARIA!K248+CARGA_DIARIA!L248+CARGA_DIARIA!M248+CARGA_DIARIA!N248+CARGA_DIARIA!O248+CARGA_DIARIA!P248+CARGA_DIARIA!Q248+CARGA_DIARIA!R248+CARGA_DIARIA!S248+CARGA_DIARIA!T248+CARGA_DIARIA!U248+CARGA_DIARIA!V248+CARGA_DIARIA!W248)/CARGA_DIARIA!B248))</f>
        <v/>
      </c>
      <c r="E248" s="36" t="str">
        <f>IF(CARGA_DIARIA!A248="","",IF(CARGA_DIARIA!B248=0,0,(CARGA_DIARIA!X248+CARGA_DIARIA!Y248+CARGA_DIARIA!Z248+CARGA_DIARIA!AA248)/CARGA_DIARIA!B248+CARGA_DIARIA!AB248+CARGA_DIARIA!AC248+CARGA_DIARIA!AD248+CARGA_DIARIA!AE248))</f>
        <v/>
      </c>
      <c r="F248" s="39" t="s">
        <v>146</v>
      </c>
      <c r="G248" s="39" t="s">
        <v>146</v>
      </c>
      <c r="H248" s="38" t="str">
        <f>IF(CARGA_DIARIA!A248="","",C248-D248-E248)</f>
        <v/>
      </c>
    </row>
    <row r="249" spans="1:8" ht="15.75" customHeight="1" x14ac:dyDescent="0.25">
      <c r="A249" s="33" t="str">
        <f>IF(CARGA_DIARIA!A249="","",CARGA_DIARIA!A249)</f>
        <v/>
      </c>
      <c r="B249" s="34" t="str">
        <f>IF(CARGA_DIARIA!A249="","",CARGA_DIARIA!B249)</f>
        <v/>
      </c>
      <c r="C249" s="35" t="str">
        <f>IF(CARGA_DIARIA!A249="","",IF(CARGA_DIARIA!B249=0,0,(CARGA_DIARIA!C249+CARGA_DIARIA!D249+CARGA_DIARIA!E249+CARGA_DIARIA!F249+CARGA_DIARIA!G249+CARGA_DIARIA!H249+CARGA_DIARIA!I249+CARGA_DIARIA!AG249+CARGA_DIARIA!AH249+CARGA_DIARIA!AI249+CARGA_DIARIA!AJ249)/CARGA_DIARIA!B249+CARGA_DIARIA!AF249))</f>
        <v/>
      </c>
      <c r="D249" s="36" t="str">
        <f>IF(CARGA_DIARIA!A249="","",IF(CARGA_DIARIA!B249=0,0,(CARGA_DIARIA!J249+CARGA_DIARIA!K249+CARGA_DIARIA!L249+CARGA_DIARIA!M249+CARGA_DIARIA!N249+CARGA_DIARIA!O249+CARGA_DIARIA!P249+CARGA_DIARIA!Q249+CARGA_DIARIA!R249+CARGA_DIARIA!S249+CARGA_DIARIA!T249+CARGA_DIARIA!U249+CARGA_DIARIA!V249+CARGA_DIARIA!W249)/CARGA_DIARIA!B249))</f>
        <v/>
      </c>
      <c r="E249" s="36" t="str">
        <f>IF(CARGA_DIARIA!A249="","",IF(CARGA_DIARIA!B249=0,0,(CARGA_DIARIA!X249+CARGA_DIARIA!Y249+CARGA_DIARIA!Z249+CARGA_DIARIA!AA249)/CARGA_DIARIA!B249+CARGA_DIARIA!AB249+CARGA_DIARIA!AC249+CARGA_DIARIA!AD249+CARGA_DIARIA!AE249))</f>
        <v/>
      </c>
      <c r="F249" s="39" t="s">
        <v>146</v>
      </c>
      <c r="G249" s="39" t="s">
        <v>146</v>
      </c>
      <c r="H249" s="38" t="str">
        <f>IF(CARGA_DIARIA!A249="","",C249-D249-E249)</f>
        <v/>
      </c>
    </row>
    <row r="250" spans="1:8" ht="15.75" customHeight="1" x14ac:dyDescent="0.25">
      <c r="A250" s="33" t="str">
        <f>IF(CARGA_DIARIA!A250="","",CARGA_DIARIA!A250)</f>
        <v/>
      </c>
      <c r="B250" s="34" t="str">
        <f>IF(CARGA_DIARIA!A250="","",CARGA_DIARIA!B250)</f>
        <v/>
      </c>
      <c r="C250" s="35" t="str">
        <f>IF(CARGA_DIARIA!A250="","",IF(CARGA_DIARIA!B250=0,0,(CARGA_DIARIA!C250+CARGA_DIARIA!D250+CARGA_DIARIA!E250+CARGA_DIARIA!F250+CARGA_DIARIA!G250+CARGA_DIARIA!H250+CARGA_DIARIA!I250+CARGA_DIARIA!AG250+CARGA_DIARIA!AH250+CARGA_DIARIA!AI250+CARGA_DIARIA!AJ250)/CARGA_DIARIA!B250+CARGA_DIARIA!AF250))</f>
        <v/>
      </c>
      <c r="D250" s="36" t="str">
        <f>IF(CARGA_DIARIA!A250="","",IF(CARGA_DIARIA!B250=0,0,(CARGA_DIARIA!J250+CARGA_DIARIA!K250+CARGA_DIARIA!L250+CARGA_DIARIA!M250+CARGA_DIARIA!N250+CARGA_DIARIA!O250+CARGA_DIARIA!P250+CARGA_DIARIA!Q250+CARGA_DIARIA!R250+CARGA_DIARIA!S250+CARGA_DIARIA!T250+CARGA_DIARIA!U250+CARGA_DIARIA!V250+CARGA_DIARIA!W250)/CARGA_DIARIA!B250))</f>
        <v/>
      </c>
      <c r="E250" s="36" t="str">
        <f>IF(CARGA_DIARIA!A250="","",IF(CARGA_DIARIA!B250=0,0,(CARGA_DIARIA!X250+CARGA_DIARIA!Y250+CARGA_DIARIA!Z250+CARGA_DIARIA!AA250)/CARGA_DIARIA!B250+CARGA_DIARIA!AB250+CARGA_DIARIA!AC250+CARGA_DIARIA!AD250+CARGA_DIARIA!AE250))</f>
        <v/>
      </c>
      <c r="F250" s="39" t="s">
        <v>146</v>
      </c>
      <c r="G250" s="39" t="s">
        <v>146</v>
      </c>
      <c r="H250" s="38" t="str">
        <f>IF(CARGA_DIARIA!A250="","",C250-D250-E250)</f>
        <v/>
      </c>
    </row>
    <row r="251" spans="1:8" ht="15.75" customHeight="1" x14ac:dyDescent="0.25">
      <c r="A251" s="33" t="str">
        <f>IF(CARGA_DIARIA!A251="","",CARGA_DIARIA!A251)</f>
        <v/>
      </c>
      <c r="B251" s="34" t="str">
        <f>IF(CARGA_DIARIA!A251="","",CARGA_DIARIA!B251)</f>
        <v/>
      </c>
      <c r="C251" s="35" t="str">
        <f>IF(CARGA_DIARIA!A251="","",IF(CARGA_DIARIA!B251=0,0,(CARGA_DIARIA!C251+CARGA_DIARIA!D251+CARGA_DIARIA!E251+CARGA_DIARIA!F251+CARGA_DIARIA!G251+CARGA_DIARIA!H251+CARGA_DIARIA!I251+CARGA_DIARIA!AG251+CARGA_DIARIA!AH251+CARGA_DIARIA!AI251+CARGA_DIARIA!AJ251)/CARGA_DIARIA!B251+CARGA_DIARIA!AF251))</f>
        <v/>
      </c>
      <c r="D251" s="36" t="str">
        <f>IF(CARGA_DIARIA!A251="","",IF(CARGA_DIARIA!B251=0,0,(CARGA_DIARIA!J251+CARGA_DIARIA!K251+CARGA_DIARIA!L251+CARGA_DIARIA!M251+CARGA_DIARIA!N251+CARGA_DIARIA!O251+CARGA_DIARIA!P251+CARGA_DIARIA!Q251+CARGA_DIARIA!R251+CARGA_DIARIA!S251+CARGA_DIARIA!T251+CARGA_DIARIA!U251+CARGA_DIARIA!V251+CARGA_DIARIA!W251)/CARGA_DIARIA!B251))</f>
        <v/>
      </c>
      <c r="E251" s="36" t="str">
        <f>IF(CARGA_DIARIA!A251="","",IF(CARGA_DIARIA!B251=0,0,(CARGA_DIARIA!X251+CARGA_DIARIA!Y251+CARGA_DIARIA!Z251+CARGA_DIARIA!AA251)/CARGA_DIARIA!B251+CARGA_DIARIA!AB251+CARGA_DIARIA!AC251+CARGA_DIARIA!AD251+CARGA_DIARIA!AE251))</f>
        <v/>
      </c>
      <c r="F251" s="39" t="s">
        <v>146</v>
      </c>
      <c r="G251" s="39" t="s">
        <v>146</v>
      </c>
      <c r="H251" s="38" t="str">
        <f>IF(CARGA_DIARIA!A251="","",C251-D251-E251)</f>
        <v/>
      </c>
    </row>
    <row r="252" spans="1:8" ht="15.75" customHeight="1" x14ac:dyDescent="0.25">
      <c r="A252" s="33" t="str">
        <f>IF(CARGA_DIARIA!A252="","",CARGA_DIARIA!A252)</f>
        <v/>
      </c>
      <c r="B252" s="34" t="str">
        <f>IF(CARGA_DIARIA!A252="","",CARGA_DIARIA!B252)</f>
        <v/>
      </c>
      <c r="C252" s="35" t="str">
        <f>IF(CARGA_DIARIA!A252="","",IF(CARGA_DIARIA!B252=0,0,(CARGA_DIARIA!C252+CARGA_DIARIA!D252+CARGA_DIARIA!E252+CARGA_DIARIA!F252+CARGA_DIARIA!G252+CARGA_DIARIA!H252+CARGA_DIARIA!I252+CARGA_DIARIA!AG252+CARGA_DIARIA!AH252+CARGA_DIARIA!AI252+CARGA_DIARIA!AJ252)/CARGA_DIARIA!B252+CARGA_DIARIA!AF252))</f>
        <v/>
      </c>
      <c r="D252" s="36" t="str">
        <f>IF(CARGA_DIARIA!A252="","",IF(CARGA_DIARIA!B252=0,0,(CARGA_DIARIA!J252+CARGA_DIARIA!K252+CARGA_DIARIA!L252+CARGA_DIARIA!M252+CARGA_DIARIA!N252+CARGA_DIARIA!O252+CARGA_DIARIA!P252+CARGA_DIARIA!Q252+CARGA_DIARIA!R252+CARGA_DIARIA!S252+CARGA_DIARIA!T252+CARGA_DIARIA!U252+CARGA_DIARIA!V252+CARGA_DIARIA!W252)/CARGA_DIARIA!B252))</f>
        <v/>
      </c>
      <c r="E252" s="36" t="str">
        <f>IF(CARGA_DIARIA!A252="","",IF(CARGA_DIARIA!B252=0,0,(CARGA_DIARIA!X252+CARGA_DIARIA!Y252+CARGA_DIARIA!Z252+CARGA_DIARIA!AA252)/CARGA_DIARIA!B252+CARGA_DIARIA!AB252+CARGA_DIARIA!AC252+CARGA_DIARIA!AD252+CARGA_DIARIA!AE252))</f>
        <v/>
      </c>
      <c r="F252" s="39" t="s">
        <v>146</v>
      </c>
      <c r="G252" s="39" t="s">
        <v>146</v>
      </c>
      <c r="H252" s="38" t="str">
        <f>IF(CARGA_DIARIA!A252="","",C252-D252-E252)</f>
        <v/>
      </c>
    </row>
    <row r="253" spans="1:8" ht="15.75" customHeight="1" x14ac:dyDescent="0.25">
      <c r="A253" s="33" t="str">
        <f>IF(CARGA_DIARIA!A253="","",CARGA_DIARIA!A253)</f>
        <v/>
      </c>
      <c r="B253" s="34" t="str">
        <f>IF(CARGA_DIARIA!A253="","",CARGA_DIARIA!B253)</f>
        <v/>
      </c>
      <c r="C253" s="35" t="str">
        <f>IF(CARGA_DIARIA!A253="","",IF(CARGA_DIARIA!B253=0,0,(CARGA_DIARIA!C253+CARGA_DIARIA!D253+CARGA_DIARIA!E253+CARGA_DIARIA!F253+CARGA_DIARIA!G253+CARGA_DIARIA!H253+CARGA_DIARIA!I253+CARGA_DIARIA!AG253+CARGA_DIARIA!AH253+CARGA_DIARIA!AI253+CARGA_DIARIA!AJ253)/CARGA_DIARIA!B253+CARGA_DIARIA!AF253))</f>
        <v/>
      </c>
      <c r="D253" s="36" t="str">
        <f>IF(CARGA_DIARIA!A253="","",IF(CARGA_DIARIA!B253=0,0,(CARGA_DIARIA!J253+CARGA_DIARIA!K253+CARGA_DIARIA!L253+CARGA_DIARIA!M253+CARGA_DIARIA!N253+CARGA_DIARIA!O253+CARGA_DIARIA!P253+CARGA_DIARIA!Q253+CARGA_DIARIA!R253+CARGA_DIARIA!S253+CARGA_DIARIA!T253+CARGA_DIARIA!U253+CARGA_DIARIA!V253+CARGA_DIARIA!W253)/CARGA_DIARIA!B253))</f>
        <v/>
      </c>
      <c r="E253" s="36" t="str">
        <f>IF(CARGA_DIARIA!A253="","",IF(CARGA_DIARIA!B253=0,0,(CARGA_DIARIA!X253+CARGA_DIARIA!Y253+CARGA_DIARIA!Z253+CARGA_DIARIA!AA253)/CARGA_DIARIA!B253+CARGA_DIARIA!AB253+CARGA_DIARIA!AC253+CARGA_DIARIA!AD253+CARGA_DIARIA!AE253))</f>
        <v/>
      </c>
      <c r="F253" s="39" t="s">
        <v>146</v>
      </c>
      <c r="G253" s="39" t="s">
        <v>146</v>
      </c>
      <c r="H253" s="38" t="str">
        <f>IF(CARGA_DIARIA!A253="","",C253-D253-E253)</f>
        <v/>
      </c>
    </row>
    <row r="254" spans="1:8" ht="15.75" customHeight="1" x14ac:dyDescent="0.25">
      <c r="A254" s="33" t="str">
        <f>IF(CARGA_DIARIA!A254="","",CARGA_DIARIA!A254)</f>
        <v/>
      </c>
      <c r="B254" s="34" t="str">
        <f>IF(CARGA_DIARIA!A254="","",CARGA_DIARIA!B254)</f>
        <v/>
      </c>
      <c r="C254" s="35" t="str">
        <f>IF(CARGA_DIARIA!A254="","",IF(CARGA_DIARIA!B254=0,0,(CARGA_DIARIA!C254+CARGA_DIARIA!D254+CARGA_DIARIA!E254+CARGA_DIARIA!F254+CARGA_DIARIA!G254+CARGA_DIARIA!H254+CARGA_DIARIA!I254+CARGA_DIARIA!AG254+CARGA_DIARIA!AH254+CARGA_DIARIA!AI254+CARGA_DIARIA!AJ254)/CARGA_DIARIA!B254+CARGA_DIARIA!AF254))</f>
        <v/>
      </c>
      <c r="D254" s="36" t="str">
        <f>IF(CARGA_DIARIA!A254="","",IF(CARGA_DIARIA!B254=0,0,(CARGA_DIARIA!J254+CARGA_DIARIA!K254+CARGA_DIARIA!L254+CARGA_DIARIA!M254+CARGA_DIARIA!N254+CARGA_DIARIA!O254+CARGA_DIARIA!P254+CARGA_DIARIA!Q254+CARGA_DIARIA!R254+CARGA_DIARIA!S254+CARGA_DIARIA!T254+CARGA_DIARIA!U254+CARGA_DIARIA!V254+CARGA_DIARIA!W254)/CARGA_DIARIA!B254))</f>
        <v/>
      </c>
      <c r="E254" s="36" t="str">
        <f>IF(CARGA_DIARIA!A254="","",IF(CARGA_DIARIA!B254=0,0,(CARGA_DIARIA!X254+CARGA_DIARIA!Y254+CARGA_DIARIA!Z254+CARGA_DIARIA!AA254)/CARGA_DIARIA!B254+CARGA_DIARIA!AB254+CARGA_DIARIA!AC254+CARGA_DIARIA!AD254+CARGA_DIARIA!AE254))</f>
        <v/>
      </c>
      <c r="F254" s="39" t="s">
        <v>146</v>
      </c>
      <c r="G254" s="39" t="s">
        <v>146</v>
      </c>
      <c r="H254" s="38" t="str">
        <f>IF(CARGA_DIARIA!A254="","",C254-D254-E254)</f>
        <v/>
      </c>
    </row>
    <row r="255" spans="1:8" ht="15.75" customHeight="1" x14ac:dyDescent="0.25">
      <c r="A255" s="33" t="str">
        <f>IF(CARGA_DIARIA!A255="","",CARGA_DIARIA!A255)</f>
        <v/>
      </c>
      <c r="B255" s="34" t="str">
        <f>IF(CARGA_DIARIA!A255="","",CARGA_DIARIA!B255)</f>
        <v/>
      </c>
      <c r="C255" s="35" t="str">
        <f>IF(CARGA_DIARIA!A255="","",IF(CARGA_DIARIA!B255=0,0,(CARGA_DIARIA!C255+CARGA_DIARIA!D255+CARGA_DIARIA!E255+CARGA_DIARIA!F255+CARGA_DIARIA!G255+CARGA_DIARIA!H255+CARGA_DIARIA!I255+CARGA_DIARIA!AG255+CARGA_DIARIA!AH255+CARGA_DIARIA!AI255+CARGA_DIARIA!AJ255)/CARGA_DIARIA!B255+CARGA_DIARIA!AF255))</f>
        <v/>
      </c>
      <c r="D255" s="36" t="str">
        <f>IF(CARGA_DIARIA!A255="","",IF(CARGA_DIARIA!B255=0,0,(CARGA_DIARIA!J255+CARGA_DIARIA!K255+CARGA_DIARIA!L255+CARGA_DIARIA!M255+CARGA_DIARIA!N255+CARGA_DIARIA!O255+CARGA_DIARIA!P255+CARGA_DIARIA!Q255+CARGA_DIARIA!R255+CARGA_DIARIA!S255+CARGA_DIARIA!T255+CARGA_DIARIA!U255+CARGA_DIARIA!V255+CARGA_DIARIA!W255)/CARGA_DIARIA!B255))</f>
        <v/>
      </c>
      <c r="E255" s="36" t="str">
        <f>IF(CARGA_DIARIA!A255="","",IF(CARGA_DIARIA!B255=0,0,(CARGA_DIARIA!X255+CARGA_DIARIA!Y255+CARGA_DIARIA!Z255+CARGA_DIARIA!AA255)/CARGA_DIARIA!B255+CARGA_DIARIA!AB255+CARGA_DIARIA!AC255+CARGA_DIARIA!AD255+CARGA_DIARIA!AE255))</f>
        <v/>
      </c>
      <c r="F255" s="39" t="s">
        <v>146</v>
      </c>
      <c r="G255" s="39" t="s">
        <v>146</v>
      </c>
      <c r="H255" s="38" t="str">
        <f>IF(CARGA_DIARIA!A255="","",C255-D255-E255)</f>
        <v/>
      </c>
    </row>
    <row r="256" spans="1:8" ht="15.75" customHeight="1" x14ac:dyDescent="0.25">
      <c r="A256" s="33" t="str">
        <f>IF(CARGA_DIARIA!A256="","",CARGA_DIARIA!A256)</f>
        <v/>
      </c>
      <c r="B256" s="34" t="str">
        <f>IF(CARGA_DIARIA!A256="","",CARGA_DIARIA!B256)</f>
        <v/>
      </c>
      <c r="C256" s="35" t="str">
        <f>IF(CARGA_DIARIA!A256="","",IF(CARGA_DIARIA!B256=0,0,(CARGA_DIARIA!C256+CARGA_DIARIA!D256+CARGA_DIARIA!E256+CARGA_DIARIA!F256+CARGA_DIARIA!G256+CARGA_DIARIA!H256+CARGA_DIARIA!I256+CARGA_DIARIA!AG256+CARGA_DIARIA!AH256+CARGA_DIARIA!AI256+CARGA_DIARIA!AJ256)/CARGA_DIARIA!B256+CARGA_DIARIA!AF256))</f>
        <v/>
      </c>
      <c r="D256" s="36" t="str">
        <f>IF(CARGA_DIARIA!A256="","",IF(CARGA_DIARIA!B256=0,0,(CARGA_DIARIA!J256+CARGA_DIARIA!K256+CARGA_DIARIA!L256+CARGA_DIARIA!M256+CARGA_DIARIA!N256+CARGA_DIARIA!O256+CARGA_DIARIA!P256+CARGA_DIARIA!Q256+CARGA_DIARIA!R256+CARGA_DIARIA!S256+CARGA_DIARIA!T256+CARGA_DIARIA!U256+CARGA_DIARIA!V256+CARGA_DIARIA!W256)/CARGA_DIARIA!B256))</f>
        <v/>
      </c>
      <c r="E256" s="36" t="str">
        <f>IF(CARGA_DIARIA!A256="","",IF(CARGA_DIARIA!B256=0,0,(CARGA_DIARIA!X256+CARGA_DIARIA!Y256+CARGA_DIARIA!Z256+CARGA_DIARIA!AA256)/CARGA_DIARIA!B256+CARGA_DIARIA!AB256+CARGA_DIARIA!AC256+CARGA_DIARIA!AD256+CARGA_DIARIA!AE256))</f>
        <v/>
      </c>
      <c r="F256" s="39" t="s">
        <v>146</v>
      </c>
      <c r="G256" s="39" t="s">
        <v>146</v>
      </c>
      <c r="H256" s="38" t="str">
        <f>IF(CARGA_DIARIA!A256="","",C256-D256-E256)</f>
        <v/>
      </c>
    </row>
    <row r="257" spans="1:8" ht="15.75" customHeight="1" x14ac:dyDescent="0.25">
      <c r="A257" s="33" t="str">
        <f>IF(CARGA_DIARIA!A257="","",CARGA_DIARIA!A257)</f>
        <v/>
      </c>
      <c r="B257" s="34" t="str">
        <f>IF(CARGA_DIARIA!A257="","",CARGA_DIARIA!B257)</f>
        <v/>
      </c>
      <c r="C257" s="35" t="str">
        <f>IF(CARGA_DIARIA!A257="","",IF(CARGA_DIARIA!B257=0,0,(CARGA_DIARIA!C257+CARGA_DIARIA!D257+CARGA_DIARIA!E257+CARGA_DIARIA!F257+CARGA_DIARIA!G257+CARGA_DIARIA!H257+CARGA_DIARIA!I257+CARGA_DIARIA!AG257+CARGA_DIARIA!AH257+CARGA_DIARIA!AI257+CARGA_DIARIA!AJ257)/CARGA_DIARIA!B257+CARGA_DIARIA!AF257))</f>
        <v/>
      </c>
      <c r="D257" s="36" t="str">
        <f>IF(CARGA_DIARIA!A257="","",IF(CARGA_DIARIA!B257=0,0,(CARGA_DIARIA!J257+CARGA_DIARIA!K257+CARGA_DIARIA!L257+CARGA_DIARIA!M257+CARGA_DIARIA!N257+CARGA_DIARIA!O257+CARGA_DIARIA!P257+CARGA_DIARIA!Q257+CARGA_DIARIA!R257+CARGA_DIARIA!S257+CARGA_DIARIA!T257+CARGA_DIARIA!U257+CARGA_DIARIA!V257+CARGA_DIARIA!W257)/CARGA_DIARIA!B257))</f>
        <v/>
      </c>
      <c r="E257" s="36" t="str">
        <f>IF(CARGA_DIARIA!A257="","",IF(CARGA_DIARIA!B257=0,0,(CARGA_DIARIA!X257+CARGA_DIARIA!Y257+CARGA_DIARIA!Z257+CARGA_DIARIA!AA257)/CARGA_DIARIA!B257+CARGA_DIARIA!AB257+CARGA_DIARIA!AC257+CARGA_DIARIA!AD257+CARGA_DIARIA!AE257))</f>
        <v/>
      </c>
      <c r="F257" s="39" t="s">
        <v>146</v>
      </c>
      <c r="G257" s="39" t="s">
        <v>146</v>
      </c>
      <c r="H257" s="38" t="str">
        <f>IF(CARGA_DIARIA!A257="","",C257-D257-E257)</f>
        <v/>
      </c>
    </row>
    <row r="258" spans="1:8" ht="15.75" customHeight="1" x14ac:dyDescent="0.25">
      <c r="A258" s="33" t="str">
        <f>IF(CARGA_DIARIA!A258="","",CARGA_DIARIA!A258)</f>
        <v/>
      </c>
      <c r="B258" s="34" t="str">
        <f>IF(CARGA_DIARIA!A258="","",CARGA_DIARIA!B258)</f>
        <v/>
      </c>
      <c r="C258" s="35" t="str">
        <f>IF(CARGA_DIARIA!A258="","",IF(CARGA_DIARIA!B258=0,0,(CARGA_DIARIA!C258+CARGA_DIARIA!D258+CARGA_DIARIA!E258+CARGA_DIARIA!F258+CARGA_DIARIA!G258+CARGA_DIARIA!H258+CARGA_DIARIA!I258+CARGA_DIARIA!AG258+CARGA_DIARIA!AH258+CARGA_DIARIA!AI258+CARGA_DIARIA!AJ258)/CARGA_DIARIA!B258+CARGA_DIARIA!AF258))</f>
        <v/>
      </c>
      <c r="D258" s="36" t="str">
        <f>IF(CARGA_DIARIA!A258="","",IF(CARGA_DIARIA!B258=0,0,(CARGA_DIARIA!J258+CARGA_DIARIA!K258+CARGA_DIARIA!L258+CARGA_DIARIA!M258+CARGA_DIARIA!N258+CARGA_DIARIA!O258+CARGA_DIARIA!P258+CARGA_DIARIA!Q258+CARGA_DIARIA!R258+CARGA_DIARIA!S258+CARGA_DIARIA!T258+CARGA_DIARIA!U258+CARGA_DIARIA!V258+CARGA_DIARIA!W258)/CARGA_DIARIA!B258))</f>
        <v/>
      </c>
      <c r="E258" s="36" t="str">
        <f>IF(CARGA_DIARIA!A258="","",IF(CARGA_DIARIA!B258=0,0,(CARGA_DIARIA!X258+CARGA_DIARIA!Y258+CARGA_DIARIA!Z258+CARGA_DIARIA!AA258)/CARGA_DIARIA!B258+CARGA_DIARIA!AB258+CARGA_DIARIA!AC258+CARGA_DIARIA!AD258+CARGA_DIARIA!AE258))</f>
        <v/>
      </c>
      <c r="F258" s="39" t="s">
        <v>146</v>
      </c>
      <c r="G258" s="39" t="s">
        <v>146</v>
      </c>
      <c r="H258" s="38" t="str">
        <f>IF(CARGA_DIARIA!A258="","",C258-D258-E258)</f>
        <v/>
      </c>
    </row>
    <row r="259" spans="1:8" ht="15.75" customHeight="1" x14ac:dyDescent="0.25">
      <c r="A259" s="33" t="str">
        <f>IF(CARGA_DIARIA!A259="","",CARGA_DIARIA!A259)</f>
        <v/>
      </c>
      <c r="B259" s="34" t="str">
        <f>IF(CARGA_DIARIA!A259="","",CARGA_DIARIA!B259)</f>
        <v/>
      </c>
      <c r="C259" s="35" t="str">
        <f>IF(CARGA_DIARIA!A259="","",IF(CARGA_DIARIA!B259=0,0,(CARGA_DIARIA!C259+CARGA_DIARIA!D259+CARGA_DIARIA!E259+CARGA_DIARIA!F259+CARGA_DIARIA!G259+CARGA_DIARIA!H259+CARGA_DIARIA!I259+CARGA_DIARIA!AG259+CARGA_DIARIA!AH259+CARGA_DIARIA!AI259+CARGA_DIARIA!AJ259)/CARGA_DIARIA!B259+CARGA_DIARIA!AF259))</f>
        <v/>
      </c>
      <c r="D259" s="36" t="str">
        <f>IF(CARGA_DIARIA!A259="","",IF(CARGA_DIARIA!B259=0,0,(CARGA_DIARIA!J259+CARGA_DIARIA!K259+CARGA_DIARIA!L259+CARGA_DIARIA!M259+CARGA_DIARIA!N259+CARGA_DIARIA!O259+CARGA_DIARIA!P259+CARGA_DIARIA!Q259+CARGA_DIARIA!R259+CARGA_DIARIA!S259+CARGA_DIARIA!T259+CARGA_DIARIA!U259+CARGA_DIARIA!V259+CARGA_DIARIA!W259)/CARGA_DIARIA!B259))</f>
        <v/>
      </c>
      <c r="E259" s="36" t="str">
        <f>IF(CARGA_DIARIA!A259="","",IF(CARGA_DIARIA!B259=0,0,(CARGA_DIARIA!X259+CARGA_DIARIA!Y259+CARGA_DIARIA!Z259+CARGA_DIARIA!AA259)/CARGA_DIARIA!B259+CARGA_DIARIA!AB259+CARGA_DIARIA!AC259+CARGA_DIARIA!AD259+CARGA_DIARIA!AE259))</f>
        <v/>
      </c>
      <c r="F259" s="39" t="s">
        <v>146</v>
      </c>
      <c r="G259" s="39" t="s">
        <v>146</v>
      </c>
      <c r="H259" s="38" t="str">
        <f>IF(CARGA_DIARIA!A259="","",C259-D259-E259)</f>
        <v/>
      </c>
    </row>
    <row r="260" spans="1:8" ht="15.75" customHeight="1" x14ac:dyDescent="0.25">
      <c r="A260" s="33" t="str">
        <f>IF(CARGA_DIARIA!A260="","",CARGA_DIARIA!A260)</f>
        <v/>
      </c>
      <c r="B260" s="34" t="str">
        <f>IF(CARGA_DIARIA!A260="","",CARGA_DIARIA!B260)</f>
        <v/>
      </c>
      <c r="C260" s="35" t="str">
        <f>IF(CARGA_DIARIA!A260="","",IF(CARGA_DIARIA!B260=0,0,(CARGA_DIARIA!C260+CARGA_DIARIA!D260+CARGA_DIARIA!E260+CARGA_DIARIA!F260+CARGA_DIARIA!G260+CARGA_DIARIA!H260+CARGA_DIARIA!I260+CARGA_DIARIA!AG260+CARGA_DIARIA!AH260+CARGA_DIARIA!AI260+CARGA_DIARIA!AJ260)/CARGA_DIARIA!B260+CARGA_DIARIA!AF260))</f>
        <v/>
      </c>
      <c r="D260" s="36" t="str">
        <f>IF(CARGA_DIARIA!A260="","",IF(CARGA_DIARIA!B260=0,0,(CARGA_DIARIA!J260+CARGA_DIARIA!K260+CARGA_DIARIA!L260+CARGA_DIARIA!M260+CARGA_DIARIA!N260+CARGA_DIARIA!O260+CARGA_DIARIA!P260+CARGA_DIARIA!Q260+CARGA_DIARIA!R260+CARGA_DIARIA!S260+CARGA_DIARIA!T260+CARGA_DIARIA!U260+CARGA_DIARIA!V260+CARGA_DIARIA!W260)/CARGA_DIARIA!B260))</f>
        <v/>
      </c>
      <c r="E260" s="36" t="str">
        <f>IF(CARGA_DIARIA!A260="","",IF(CARGA_DIARIA!B260=0,0,(CARGA_DIARIA!X260+CARGA_DIARIA!Y260+CARGA_DIARIA!Z260+CARGA_DIARIA!AA260)/CARGA_DIARIA!B260+CARGA_DIARIA!AB260+CARGA_DIARIA!AC260+CARGA_DIARIA!AD260+CARGA_DIARIA!AE260))</f>
        <v/>
      </c>
      <c r="F260" s="39" t="s">
        <v>146</v>
      </c>
      <c r="G260" s="39" t="s">
        <v>146</v>
      </c>
      <c r="H260" s="38" t="str">
        <f>IF(CARGA_DIARIA!A260="","",C260-D260-E260)</f>
        <v/>
      </c>
    </row>
    <row r="261" spans="1:8" ht="15.75" customHeight="1" x14ac:dyDescent="0.25">
      <c r="A261" s="33" t="str">
        <f>IF(CARGA_DIARIA!A261="","",CARGA_DIARIA!A261)</f>
        <v/>
      </c>
      <c r="B261" s="34" t="str">
        <f>IF(CARGA_DIARIA!A261="","",CARGA_DIARIA!B261)</f>
        <v/>
      </c>
      <c r="C261" s="35" t="str">
        <f>IF(CARGA_DIARIA!A261="","",IF(CARGA_DIARIA!B261=0,0,(CARGA_DIARIA!C261+CARGA_DIARIA!D261+CARGA_DIARIA!E261+CARGA_DIARIA!F261+CARGA_DIARIA!G261+CARGA_DIARIA!H261+CARGA_DIARIA!I261+CARGA_DIARIA!AG261+CARGA_DIARIA!AH261+CARGA_DIARIA!AI261+CARGA_DIARIA!AJ261)/CARGA_DIARIA!B261+CARGA_DIARIA!AF261))</f>
        <v/>
      </c>
      <c r="D261" s="36" t="str">
        <f>IF(CARGA_DIARIA!A261="","",IF(CARGA_DIARIA!B261=0,0,(CARGA_DIARIA!J261+CARGA_DIARIA!K261+CARGA_DIARIA!L261+CARGA_DIARIA!M261+CARGA_DIARIA!N261+CARGA_DIARIA!O261+CARGA_DIARIA!P261+CARGA_DIARIA!Q261+CARGA_DIARIA!R261+CARGA_DIARIA!S261+CARGA_DIARIA!T261+CARGA_DIARIA!U261+CARGA_DIARIA!V261+CARGA_DIARIA!W261)/CARGA_DIARIA!B261))</f>
        <v/>
      </c>
      <c r="E261" s="36" t="str">
        <f>IF(CARGA_DIARIA!A261="","",IF(CARGA_DIARIA!B261=0,0,(CARGA_DIARIA!X261+CARGA_DIARIA!Y261+CARGA_DIARIA!Z261+CARGA_DIARIA!AA261)/CARGA_DIARIA!B261+CARGA_DIARIA!AB261+CARGA_DIARIA!AC261+CARGA_DIARIA!AD261+CARGA_DIARIA!AE261))</f>
        <v/>
      </c>
      <c r="F261" s="39" t="s">
        <v>146</v>
      </c>
      <c r="G261" s="39" t="s">
        <v>146</v>
      </c>
      <c r="H261" s="38" t="str">
        <f>IF(CARGA_DIARIA!A261="","",C261-D261-E261)</f>
        <v/>
      </c>
    </row>
    <row r="262" spans="1:8" ht="15.75" customHeight="1" x14ac:dyDescent="0.25">
      <c r="A262" s="33" t="str">
        <f>IF(CARGA_DIARIA!A262="","",CARGA_DIARIA!A262)</f>
        <v/>
      </c>
      <c r="B262" s="34" t="str">
        <f>IF(CARGA_DIARIA!A262="","",CARGA_DIARIA!B262)</f>
        <v/>
      </c>
      <c r="C262" s="35" t="str">
        <f>IF(CARGA_DIARIA!A262="","",IF(CARGA_DIARIA!B262=0,0,(CARGA_DIARIA!C262+CARGA_DIARIA!D262+CARGA_DIARIA!E262+CARGA_DIARIA!F262+CARGA_DIARIA!G262+CARGA_DIARIA!H262+CARGA_DIARIA!I262+CARGA_DIARIA!AG262+CARGA_DIARIA!AH262+CARGA_DIARIA!AI262+CARGA_DIARIA!AJ262)/CARGA_DIARIA!B262+CARGA_DIARIA!AF262))</f>
        <v/>
      </c>
      <c r="D262" s="36" t="str">
        <f>IF(CARGA_DIARIA!A262="","",IF(CARGA_DIARIA!B262=0,0,(CARGA_DIARIA!J262+CARGA_DIARIA!K262+CARGA_DIARIA!L262+CARGA_DIARIA!M262+CARGA_DIARIA!N262+CARGA_DIARIA!O262+CARGA_DIARIA!P262+CARGA_DIARIA!Q262+CARGA_DIARIA!R262+CARGA_DIARIA!S262+CARGA_DIARIA!T262+CARGA_DIARIA!U262+CARGA_DIARIA!V262+CARGA_DIARIA!W262)/CARGA_DIARIA!B262))</f>
        <v/>
      </c>
      <c r="E262" s="36" t="str">
        <f>IF(CARGA_DIARIA!A262="","",IF(CARGA_DIARIA!B262=0,0,(CARGA_DIARIA!X262+CARGA_DIARIA!Y262+CARGA_DIARIA!Z262+CARGA_DIARIA!AA262)/CARGA_DIARIA!B262+CARGA_DIARIA!AB262+CARGA_DIARIA!AC262+CARGA_DIARIA!AD262+CARGA_DIARIA!AE262))</f>
        <v/>
      </c>
      <c r="F262" s="39" t="s">
        <v>146</v>
      </c>
      <c r="G262" s="39" t="s">
        <v>146</v>
      </c>
      <c r="H262" s="38" t="str">
        <f>IF(CARGA_DIARIA!A262="","",C262-D262-E262)</f>
        <v/>
      </c>
    </row>
    <row r="263" spans="1:8" ht="15.75" customHeight="1" x14ac:dyDescent="0.25">
      <c r="A263" s="33" t="str">
        <f>IF(CARGA_DIARIA!A263="","",CARGA_DIARIA!A263)</f>
        <v/>
      </c>
      <c r="B263" s="34" t="str">
        <f>IF(CARGA_DIARIA!A263="","",CARGA_DIARIA!B263)</f>
        <v/>
      </c>
      <c r="C263" s="35" t="str">
        <f>IF(CARGA_DIARIA!A263="","",IF(CARGA_DIARIA!B263=0,0,(CARGA_DIARIA!C263+CARGA_DIARIA!D263+CARGA_DIARIA!E263+CARGA_DIARIA!F263+CARGA_DIARIA!G263+CARGA_DIARIA!H263+CARGA_DIARIA!I263+CARGA_DIARIA!AG263+CARGA_DIARIA!AH263+CARGA_DIARIA!AI263+CARGA_DIARIA!AJ263)/CARGA_DIARIA!B263+CARGA_DIARIA!AF263))</f>
        <v/>
      </c>
      <c r="D263" s="36" t="str">
        <f>IF(CARGA_DIARIA!A263="","",IF(CARGA_DIARIA!B263=0,0,(CARGA_DIARIA!J263+CARGA_DIARIA!K263+CARGA_DIARIA!L263+CARGA_DIARIA!M263+CARGA_DIARIA!N263+CARGA_DIARIA!O263+CARGA_DIARIA!P263+CARGA_DIARIA!Q263+CARGA_DIARIA!R263+CARGA_DIARIA!S263+CARGA_DIARIA!T263+CARGA_DIARIA!U263+CARGA_DIARIA!V263+CARGA_DIARIA!W263)/CARGA_DIARIA!B263))</f>
        <v/>
      </c>
      <c r="E263" s="36" t="str">
        <f>IF(CARGA_DIARIA!A263="","",IF(CARGA_DIARIA!B263=0,0,(CARGA_DIARIA!X263+CARGA_DIARIA!Y263+CARGA_DIARIA!Z263+CARGA_DIARIA!AA263)/CARGA_DIARIA!B263+CARGA_DIARIA!AB263+CARGA_DIARIA!AC263+CARGA_DIARIA!AD263+CARGA_DIARIA!AE263))</f>
        <v/>
      </c>
      <c r="F263" s="39" t="s">
        <v>146</v>
      </c>
      <c r="G263" s="39" t="s">
        <v>146</v>
      </c>
      <c r="H263" s="38" t="str">
        <f>IF(CARGA_DIARIA!A263="","",C263-D263-E263)</f>
        <v/>
      </c>
    </row>
    <row r="264" spans="1:8" ht="15.75" customHeight="1" x14ac:dyDescent="0.25">
      <c r="A264" s="33" t="str">
        <f>IF(CARGA_DIARIA!A264="","",CARGA_DIARIA!A264)</f>
        <v/>
      </c>
      <c r="B264" s="34" t="str">
        <f>IF(CARGA_DIARIA!A264="","",CARGA_DIARIA!B264)</f>
        <v/>
      </c>
      <c r="C264" s="35" t="str">
        <f>IF(CARGA_DIARIA!A264="","",IF(CARGA_DIARIA!B264=0,0,(CARGA_DIARIA!C264+CARGA_DIARIA!D264+CARGA_DIARIA!E264+CARGA_DIARIA!F264+CARGA_DIARIA!G264+CARGA_DIARIA!H264+CARGA_DIARIA!I264+CARGA_DIARIA!AG264+CARGA_DIARIA!AH264+CARGA_DIARIA!AI264+CARGA_DIARIA!AJ264)/CARGA_DIARIA!B264+CARGA_DIARIA!AF264))</f>
        <v/>
      </c>
      <c r="D264" s="36" t="str">
        <f>IF(CARGA_DIARIA!A264="","",IF(CARGA_DIARIA!B264=0,0,(CARGA_DIARIA!J264+CARGA_DIARIA!K264+CARGA_DIARIA!L264+CARGA_DIARIA!M264+CARGA_DIARIA!N264+CARGA_DIARIA!O264+CARGA_DIARIA!P264+CARGA_DIARIA!Q264+CARGA_DIARIA!R264+CARGA_DIARIA!S264+CARGA_DIARIA!T264+CARGA_DIARIA!U264+CARGA_DIARIA!V264+CARGA_DIARIA!W264)/CARGA_DIARIA!B264))</f>
        <v/>
      </c>
      <c r="E264" s="36" t="str">
        <f>IF(CARGA_DIARIA!A264="","",IF(CARGA_DIARIA!B264=0,0,(CARGA_DIARIA!X264+CARGA_DIARIA!Y264+CARGA_DIARIA!Z264+CARGA_DIARIA!AA264)/CARGA_DIARIA!B264+CARGA_DIARIA!AB264+CARGA_DIARIA!AC264+CARGA_DIARIA!AD264+CARGA_DIARIA!AE264))</f>
        <v/>
      </c>
      <c r="F264" s="39" t="s">
        <v>146</v>
      </c>
      <c r="G264" s="39" t="s">
        <v>146</v>
      </c>
      <c r="H264" s="38" t="str">
        <f>IF(CARGA_DIARIA!A264="","",C264-D264-E264)</f>
        <v/>
      </c>
    </row>
    <row r="265" spans="1:8" ht="15.75" customHeight="1" x14ac:dyDescent="0.25">
      <c r="A265" s="33" t="str">
        <f>IF(CARGA_DIARIA!A265="","",CARGA_DIARIA!A265)</f>
        <v/>
      </c>
      <c r="B265" s="34" t="str">
        <f>IF(CARGA_DIARIA!A265="","",CARGA_DIARIA!B265)</f>
        <v/>
      </c>
      <c r="C265" s="35" t="str">
        <f>IF(CARGA_DIARIA!A265="","",IF(CARGA_DIARIA!B265=0,0,(CARGA_DIARIA!C265+CARGA_DIARIA!D265+CARGA_DIARIA!E265+CARGA_DIARIA!F265+CARGA_DIARIA!G265+CARGA_DIARIA!H265+CARGA_DIARIA!I265+CARGA_DIARIA!AG265+CARGA_DIARIA!AH265+CARGA_DIARIA!AI265+CARGA_DIARIA!AJ265)/CARGA_DIARIA!B265+CARGA_DIARIA!AF265))</f>
        <v/>
      </c>
      <c r="D265" s="36" t="str">
        <f>IF(CARGA_DIARIA!A265="","",IF(CARGA_DIARIA!B265=0,0,(CARGA_DIARIA!J265+CARGA_DIARIA!K265+CARGA_DIARIA!L265+CARGA_DIARIA!M265+CARGA_DIARIA!N265+CARGA_DIARIA!O265+CARGA_DIARIA!P265+CARGA_DIARIA!Q265+CARGA_DIARIA!R265+CARGA_DIARIA!S265+CARGA_DIARIA!T265+CARGA_DIARIA!U265+CARGA_DIARIA!V265+CARGA_DIARIA!W265)/CARGA_DIARIA!B265))</f>
        <v/>
      </c>
      <c r="E265" s="36" t="str">
        <f>IF(CARGA_DIARIA!A265="","",IF(CARGA_DIARIA!B265=0,0,(CARGA_DIARIA!X265+CARGA_DIARIA!Y265+CARGA_DIARIA!Z265+CARGA_DIARIA!AA265)/CARGA_DIARIA!B265+CARGA_DIARIA!AB265+CARGA_DIARIA!AC265+CARGA_DIARIA!AD265+CARGA_DIARIA!AE265))</f>
        <v/>
      </c>
      <c r="F265" s="39" t="s">
        <v>146</v>
      </c>
      <c r="G265" s="39" t="s">
        <v>146</v>
      </c>
      <c r="H265" s="38" t="str">
        <f>IF(CARGA_DIARIA!A265="","",C265-D265-E265)</f>
        <v/>
      </c>
    </row>
    <row r="266" spans="1:8" ht="15.75" customHeight="1" x14ac:dyDescent="0.25">
      <c r="A266" s="33" t="str">
        <f>IF(CARGA_DIARIA!A266="","",CARGA_DIARIA!A266)</f>
        <v/>
      </c>
      <c r="B266" s="34" t="str">
        <f>IF(CARGA_DIARIA!A266="","",CARGA_DIARIA!B266)</f>
        <v/>
      </c>
      <c r="C266" s="35" t="str">
        <f>IF(CARGA_DIARIA!A266="","",IF(CARGA_DIARIA!B266=0,0,(CARGA_DIARIA!C266+CARGA_DIARIA!D266+CARGA_DIARIA!E266+CARGA_DIARIA!F266+CARGA_DIARIA!G266+CARGA_DIARIA!H266+CARGA_DIARIA!I266+CARGA_DIARIA!AG266+CARGA_DIARIA!AH266+CARGA_DIARIA!AI266+CARGA_DIARIA!AJ266)/CARGA_DIARIA!B266+CARGA_DIARIA!AF266))</f>
        <v/>
      </c>
      <c r="D266" s="36" t="str">
        <f>IF(CARGA_DIARIA!A266="","",IF(CARGA_DIARIA!B266=0,0,(CARGA_DIARIA!J266+CARGA_DIARIA!K266+CARGA_DIARIA!L266+CARGA_DIARIA!M266+CARGA_DIARIA!N266+CARGA_DIARIA!O266+CARGA_DIARIA!P266+CARGA_DIARIA!Q266+CARGA_DIARIA!R266+CARGA_DIARIA!S266+CARGA_DIARIA!T266+CARGA_DIARIA!U266+CARGA_DIARIA!V266+CARGA_DIARIA!W266)/CARGA_DIARIA!B266))</f>
        <v/>
      </c>
      <c r="E266" s="36" t="str">
        <f>IF(CARGA_DIARIA!A266="","",IF(CARGA_DIARIA!B266=0,0,(CARGA_DIARIA!X266+CARGA_DIARIA!Y266+CARGA_DIARIA!Z266+CARGA_DIARIA!AA266)/CARGA_DIARIA!B266+CARGA_DIARIA!AB266+CARGA_DIARIA!AC266+CARGA_DIARIA!AD266+CARGA_DIARIA!AE266))</f>
        <v/>
      </c>
      <c r="F266" s="39" t="s">
        <v>146</v>
      </c>
      <c r="G266" s="39" t="s">
        <v>146</v>
      </c>
      <c r="H266" s="38" t="str">
        <f>IF(CARGA_DIARIA!A266="","",C266-D266-E266)</f>
        <v/>
      </c>
    </row>
    <row r="267" spans="1:8" ht="15.75" customHeight="1" x14ac:dyDescent="0.25">
      <c r="A267" s="33" t="str">
        <f>IF(CARGA_DIARIA!A267="","",CARGA_DIARIA!A267)</f>
        <v/>
      </c>
      <c r="B267" s="34" t="str">
        <f>IF(CARGA_DIARIA!A267="","",CARGA_DIARIA!B267)</f>
        <v/>
      </c>
      <c r="C267" s="35" t="str">
        <f>IF(CARGA_DIARIA!A267="","",IF(CARGA_DIARIA!B267=0,0,(CARGA_DIARIA!C267+CARGA_DIARIA!D267+CARGA_DIARIA!E267+CARGA_DIARIA!F267+CARGA_DIARIA!G267+CARGA_DIARIA!H267+CARGA_DIARIA!I267+CARGA_DIARIA!AG267+CARGA_DIARIA!AH267+CARGA_DIARIA!AI267+CARGA_DIARIA!AJ267)/CARGA_DIARIA!B267+CARGA_DIARIA!AF267))</f>
        <v/>
      </c>
      <c r="D267" s="36" t="str">
        <f>IF(CARGA_DIARIA!A267="","",IF(CARGA_DIARIA!B267=0,0,(CARGA_DIARIA!J267+CARGA_DIARIA!K267+CARGA_DIARIA!L267+CARGA_DIARIA!M267+CARGA_DIARIA!N267+CARGA_DIARIA!O267+CARGA_DIARIA!P267+CARGA_DIARIA!Q267+CARGA_DIARIA!R267+CARGA_DIARIA!S267+CARGA_DIARIA!T267+CARGA_DIARIA!U267+CARGA_DIARIA!V267+CARGA_DIARIA!W267)/CARGA_DIARIA!B267))</f>
        <v/>
      </c>
      <c r="E267" s="36" t="str">
        <f>IF(CARGA_DIARIA!A267="","",IF(CARGA_DIARIA!B267=0,0,(CARGA_DIARIA!X267+CARGA_DIARIA!Y267+CARGA_DIARIA!Z267+CARGA_DIARIA!AA267)/CARGA_DIARIA!B267+CARGA_DIARIA!AB267+CARGA_DIARIA!AC267+CARGA_DIARIA!AD267+CARGA_DIARIA!AE267))</f>
        <v/>
      </c>
      <c r="F267" s="39" t="s">
        <v>146</v>
      </c>
      <c r="G267" s="39" t="s">
        <v>146</v>
      </c>
      <c r="H267" s="38" t="str">
        <f>IF(CARGA_DIARIA!A267="","",C267-D267-E267)</f>
        <v/>
      </c>
    </row>
    <row r="268" spans="1:8" ht="15.75" customHeight="1" x14ac:dyDescent="0.25">
      <c r="A268" s="33" t="str">
        <f>IF(CARGA_DIARIA!A268="","",CARGA_DIARIA!A268)</f>
        <v/>
      </c>
      <c r="B268" s="34" t="str">
        <f>IF(CARGA_DIARIA!A268="","",CARGA_DIARIA!B268)</f>
        <v/>
      </c>
      <c r="C268" s="35" t="str">
        <f>IF(CARGA_DIARIA!A268="","",IF(CARGA_DIARIA!B268=0,0,(CARGA_DIARIA!C268+CARGA_DIARIA!D268+CARGA_DIARIA!E268+CARGA_DIARIA!F268+CARGA_DIARIA!G268+CARGA_DIARIA!H268+CARGA_DIARIA!I268+CARGA_DIARIA!AG268+CARGA_DIARIA!AH268+CARGA_DIARIA!AI268+CARGA_DIARIA!AJ268)/CARGA_DIARIA!B268+CARGA_DIARIA!AF268))</f>
        <v/>
      </c>
      <c r="D268" s="36" t="str">
        <f>IF(CARGA_DIARIA!A268="","",IF(CARGA_DIARIA!B268=0,0,(CARGA_DIARIA!J268+CARGA_DIARIA!K268+CARGA_DIARIA!L268+CARGA_DIARIA!M268+CARGA_DIARIA!N268+CARGA_DIARIA!O268+CARGA_DIARIA!P268+CARGA_DIARIA!Q268+CARGA_DIARIA!R268+CARGA_DIARIA!S268+CARGA_DIARIA!T268+CARGA_DIARIA!U268+CARGA_DIARIA!V268+CARGA_DIARIA!W268)/CARGA_DIARIA!B268))</f>
        <v/>
      </c>
      <c r="E268" s="36" t="str">
        <f>IF(CARGA_DIARIA!A268="","",IF(CARGA_DIARIA!B268=0,0,(CARGA_DIARIA!X268+CARGA_DIARIA!Y268+CARGA_DIARIA!Z268+CARGA_DIARIA!AA268)/CARGA_DIARIA!B268+CARGA_DIARIA!AB268+CARGA_DIARIA!AC268+CARGA_DIARIA!AD268+CARGA_DIARIA!AE268))</f>
        <v/>
      </c>
      <c r="F268" s="39" t="s">
        <v>146</v>
      </c>
      <c r="G268" s="39" t="s">
        <v>146</v>
      </c>
      <c r="H268" s="38" t="str">
        <f>IF(CARGA_DIARIA!A268="","",C268-D268-E268)</f>
        <v/>
      </c>
    </row>
    <row r="269" spans="1:8" ht="15.75" customHeight="1" x14ac:dyDescent="0.25">
      <c r="A269" s="33" t="str">
        <f>IF(CARGA_DIARIA!A269="","",CARGA_DIARIA!A269)</f>
        <v/>
      </c>
      <c r="B269" s="34" t="str">
        <f>IF(CARGA_DIARIA!A269="","",CARGA_DIARIA!B269)</f>
        <v/>
      </c>
      <c r="C269" s="35" t="str">
        <f>IF(CARGA_DIARIA!A269="","",IF(CARGA_DIARIA!B269=0,0,(CARGA_DIARIA!C269+CARGA_DIARIA!D269+CARGA_DIARIA!E269+CARGA_DIARIA!F269+CARGA_DIARIA!G269+CARGA_DIARIA!H269+CARGA_DIARIA!I269+CARGA_DIARIA!AG269+CARGA_DIARIA!AH269+CARGA_DIARIA!AI269+CARGA_DIARIA!AJ269)/CARGA_DIARIA!B269+CARGA_DIARIA!AF269))</f>
        <v/>
      </c>
      <c r="D269" s="36" t="str">
        <f>IF(CARGA_DIARIA!A269="","",IF(CARGA_DIARIA!B269=0,0,(CARGA_DIARIA!J269+CARGA_DIARIA!K269+CARGA_DIARIA!L269+CARGA_DIARIA!M269+CARGA_DIARIA!N269+CARGA_DIARIA!O269+CARGA_DIARIA!P269+CARGA_DIARIA!Q269+CARGA_DIARIA!R269+CARGA_DIARIA!S269+CARGA_DIARIA!T269+CARGA_DIARIA!U269+CARGA_DIARIA!V269+CARGA_DIARIA!W269)/CARGA_DIARIA!B269))</f>
        <v/>
      </c>
      <c r="E269" s="36" t="str">
        <f>IF(CARGA_DIARIA!A269="","",IF(CARGA_DIARIA!B269=0,0,(CARGA_DIARIA!X269+CARGA_DIARIA!Y269+CARGA_DIARIA!Z269+CARGA_DIARIA!AA269)/CARGA_DIARIA!B269+CARGA_DIARIA!AB269+CARGA_DIARIA!AC269+CARGA_DIARIA!AD269+CARGA_DIARIA!AE269))</f>
        <v/>
      </c>
      <c r="F269" s="39" t="s">
        <v>146</v>
      </c>
      <c r="G269" s="39" t="s">
        <v>146</v>
      </c>
      <c r="H269" s="38" t="str">
        <f>IF(CARGA_DIARIA!A269="","",C269-D269-E269)</f>
        <v/>
      </c>
    </row>
    <row r="270" spans="1:8" ht="15.75" customHeight="1" x14ac:dyDescent="0.25">
      <c r="A270" s="33" t="str">
        <f>IF(CARGA_DIARIA!A270="","",CARGA_DIARIA!A270)</f>
        <v/>
      </c>
      <c r="B270" s="34" t="str">
        <f>IF(CARGA_DIARIA!A270="","",CARGA_DIARIA!B270)</f>
        <v/>
      </c>
      <c r="C270" s="35" t="str">
        <f>IF(CARGA_DIARIA!A270="","",IF(CARGA_DIARIA!B270=0,0,(CARGA_DIARIA!C270+CARGA_DIARIA!D270+CARGA_DIARIA!E270+CARGA_DIARIA!F270+CARGA_DIARIA!G270+CARGA_DIARIA!H270+CARGA_DIARIA!I270+CARGA_DIARIA!AG270+CARGA_DIARIA!AH270+CARGA_DIARIA!AI270+CARGA_DIARIA!AJ270)/CARGA_DIARIA!B270+CARGA_DIARIA!AF270))</f>
        <v/>
      </c>
      <c r="D270" s="36" t="str">
        <f>IF(CARGA_DIARIA!A270="","",IF(CARGA_DIARIA!B270=0,0,(CARGA_DIARIA!J270+CARGA_DIARIA!K270+CARGA_DIARIA!L270+CARGA_DIARIA!M270+CARGA_DIARIA!N270+CARGA_DIARIA!O270+CARGA_DIARIA!P270+CARGA_DIARIA!Q270+CARGA_DIARIA!R270+CARGA_DIARIA!S270+CARGA_DIARIA!T270+CARGA_DIARIA!U270+CARGA_DIARIA!V270+CARGA_DIARIA!W270)/CARGA_DIARIA!B270))</f>
        <v/>
      </c>
      <c r="E270" s="36" t="str">
        <f>IF(CARGA_DIARIA!A270="","",IF(CARGA_DIARIA!B270=0,0,(CARGA_DIARIA!X270+CARGA_DIARIA!Y270+CARGA_DIARIA!Z270+CARGA_DIARIA!AA270)/CARGA_DIARIA!B270+CARGA_DIARIA!AB270+CARGA_DIARIA!AC270+CARGA_DIARIA!AD270+CARGA_DIARIA!AE270))</f>
        <v/>
      </c>
      <c r="F270" s="39" t="s">
        <v>146</v>
      </c>
      <c r="G270" s="39" t="s">
        <v>146</v>
      </c>
      <c r="H270" s="38" t="str">
        <f>IF(CARGA_DIARIA!A270="","",C270-D270-E270)</f>
        <v/>
      </c>
    </row>
    <row r="271" spans="1:8" ht="15.75" customHeight="1" x14ac:dyDescent="0.25">
      <c r="A271" s="33" t="str">
        <f>IF(CARGA_DIARIA!A271="","",CARGA_DIARIA!A271)</f>
        <v/>
      </c>
      <c r="B271" s="34" t="str">
        <f>IF(CARGA_DIARIA!A271="","",CARGA_DIARIA!B271)</f>
        <v/>
      </c>
      <c r="C271" s="35" t="str">
        <f>IF(CARGA_DIARIA!A271="","",IF(CARGA_DIARIA!B271=0,0,(CARGA_DIARIA!C271+CARGA_DIARIA!D271+CARGA_DIARIA!E271+CARGA_DIARIA!F271+CARGA_DIARIA!G271+CARGA_DIARIA!H271+CARGA_DIARIA!I271+CARGA_DIARIA!AG271+CARGA_DIARIA!AH271+CARGA_DIARIA!AI271+CARGA_DIARIA!AJ271)/CARGA_DIARIA!B271+CARGA_DIARIA!AF271))</f>
        <v/>
      </c>
      <c r="D271" s="36" t="str">
        <f>IF(CARGA_DIARIA!A271="","",IF(CARGA_DIARIA!B271=0,0,(CARGA_DIARIA!J271+CARGA_DIARIA!K271+CARGA_DIARIA!L271+CARGA_DIARIA!M271+CARGA_DIARIA!N271+CARGA_DIARIA!O271+CARGA_DIARIA!P271+CARGA_DIARIA!Q271+CARGA_DIARIA!R271+CARGA_DIARIA!S271+CARGA_DIARIA!T271+CARGA_DIARIA!U271+CARGA_DIARIA!V271+CARGA_DIARIA!W271)/CARGA_DIARIA!B271))</f>
        <v/>
      </c>
      <c r="E271" s="36" t="str">
        <f>IF(CARGA_DIARIA!A271="","",IF(CARGA_DIARIA!B271=0,0,(CARGA_DIARIA!X271+CARGA_DIARIA!Y271+CARGA_DIARIA!Z271+CARGA_DIARIA!AA271)/CARGA_DIARIA!B271+CARGA_DIARIA!AB271+CARGA_DIARIA!AC271+CARGA_DIARIA!AD271+CARGA_DIARIA!AE271))</f>
        <v/>
      </c>
      <c r="F271" s="39" t="s">
        <v>146</v>
      </c>
      <c r="G271" s="39" t="s">
        <v>146</v>
      </c>
      <c r="H271" s="38" t="str">
        <f>IF(CARGA_DIARIA!A271="","",C271-D271-E271)</f>
        <v/>
      </c>
    </row>
    <row r="272" spans="1:8" ht="15.75" customHeight="1" x14ac:dyDescent="0.25">
      <c r="A272" s="33" t="str">
        <f>IF(CARGA_DIARIA!A272="","",CARGA_DIARIA!A272)</f>
        <v/>
      </c>
      <c r="B272" s="34" t="str">
        <f>IF(CARGA_DIARIA!A272="","",CARGA_DIARIA!B272)</f>
        <v/>
      </c>
      <c r="C272" s="35" t="str">
        <f>IF(CARGA_DIARIA!A272="","",IF(CARGA_DIARIA!B272=0,0,(CARGA_DIARIA!C272+CARGA_DIARIA!D272+CARGA_DIARIA!E272+CARGA_DIARIA!F272+CARGA_DIARIA!G272+CARGA_DIARIA!H272+CARGA_DIARIA!I272+CARGA_DIARIA!AG272+CARGA_DIARIA!AH272+CARGA_DIARIA!AI272+CARGA_DIARIA!AJ272)/CARGA_DIARIA!B272+CARGA_DIARIA!AF272))</f>
        <v/>
      </c>
      <c r="D272" s="36" t="str">
        <f>IF(CARGA_DIARIA!A272="","",IF(CARGA_DIARIA!B272=0,0,(CARGA_DIARIA!J272+CARGA_DIARIA!K272+CARGA_DIARIA!L272+CARGA_DIARIA!M272+CARGA_DIARIA!N272+CARGA_DIARIA!O272+CARGA_DIARIA!P272+CARGA_DIARIA!Q272+CARGA_DIARIA!R272+CARGA_DIARIA!S272+CARGA_DIARIA!T272+CARGA_DIARIA!U272+CARGA_DIARIA!V272+CARGA_DIARIA!W272)/CARGA_DIARIA!B272))</f>
        <v/>
      </c>
      <c r="E272" s="36" t="str">
        <f>IF(CARGA_DIARIA!A272="","",IF(CARGA_DIARIA!B272=0,0,(CARGA_DIARIA!X272+CARGA_DIARIA!Y272+CARGA_DIARIA!Z272+CARGA_DIARIA!AA272)/CARGA_DIARIA!B272+CARGA_DIARIA!AB272+CARGA_DIARIA!AC272+CARGA_DIARIA!AD272+CARGA_DIARIA!AE272))</f>
        <v/>
      </c>
      <c r="F272" s="39" t="s">
        <v>146</v>
      </c>
      <c r="G272" s="39" t="s">
        <v>146</v>
      </c>
      <c r="H272" s="38" t="str">
        <f>IF(CARGA_DIARIA!A272="","",C272-D272-E272)</f>
        <v/>
      </c>
    </row>
    <row r="273" spans="1:8" ht="15.75" customHeight="1" x14ac:dyDescent="0.25">
      <c r="A273" s="33" t="str">
        <f>IF(CARGA_DIARIA!A273="","",CARGA_DIARIA!A273)</f>
        <v/>
      </c>
      <c r="B273" s="34" t="str">
        <f>IF(CARGA_DIARIA!A273="","",CARGA_DIARIA!B273)</f>
        <v/>
      </c>
      <c r="C273" s="35" t="str">
        <f>IF(CARGA_DIARIA!A273="","",IF(CARGA_DIARIA!B273=0,0,(CARGA_DIARIA!C273+CARGA_DIARIA!D273+CARGA_DIARIA!E273+CARGA_DIARIA!F273+CARGA_DIARIA!G273+CARGA_DIARIA!H273+CARGA_DIARIA!I273+CARGA_DIARIA!AG273+CARGA_DIARIA!AH273+CARGA_DIARIA!AI273+CARGA_DIARIA!AJ273)/CARGA_DIARIA!B273+CARGA_DIARIA!AF273))</f>
        <v/>
      </c>
      <c r="D273" s="36" t="str">
        <f>IF(CARGA_DIARIA!A273="","",IF(CARGA_DIARIA!B273=0,0,(CARGA_DIARIA!J273+CARGA_DIARIA!K273+CARGA_DIARIA!L273+CARGA_DIARIA!M273+CARGA_DIARIA!N273+CARGA_DIARIA!O273+CARGA_DIARIA!P273+CARGA_DIARIA!Q273+CARGA_DIARIA!R273+CARGA_DIARIA!S273+CARGA_DIARIA!T273+CARGA_DIARIA!U273+CARGA_DIARIA!V273+CARGA_DIARIA!W273)/CARGA_DIARIA!B273))</f>
        <v/>
      </c>
      <c r="E273" s="36" t="str">
        <f>IF(CARGA_DIARIA!A273="","",IF(CARGA_DIARIA!B273=0,0,(CARGA_DIARIA!X273+CARGA_DIARIA!Y273+CARGA_DIARIA!Z273+CARGA_DIARIA!AA273)/CARGA_DIARIA!B273+CARGA_DIARIA!AB273+CARGA_DIARIA!AC273+CARGA_DIARIA!AD273+CARGA_DIARIA!AE273))</f>
        <v/>
      </c>
      <c r="F273" s="39" t="s">
        <v>146</v>
      </c>
      <c r="G273" s="39" t="s">
        <v>146</v>
      </c>
      <c r="H273" s="38" t="str">
        <f>IF(CARGA_DIARIA!A273="","",C273-D273-E273)</f>
        <v/>
      </c>
    </row>
    <row r="274" spans="1:8" ht="15.75" customHeight="1" x14ac:dyDescent="0.25">
      <c r="A274" s="33" t="str">
        <f>IF(CARGA_DIARIA!A274="","",CARGA_DIARIA!A274)</f>
        <v/>
      </c>
      <c r="B274" s="34" t="str">
        <f>IF(CARGA_DIARIA!A274="","",CARGA_DIARIA!B274)</f>
        <v/>
      </c>
      <c r="C274" s="35" t="str">
        <f>IF(CARGA_DIARIA!A274="","",IF(CARGA_DIARIA!B274=0,0,(CARGA_DIARIA!C274+CARGA_DIARIA!D274+CARGA_DIARIA!E274+CARGA_DIARIA!F274+CARGA_DIARIA!G274+CARGA_DIARIA!H274+CARGA_DIARIA!I274+CARGA_DIARIA!AG274+CARGA_DIARIA!AH274+CARGA_DIARIA!AI274+CARGA_DIARIA!AJ274)/CARGA_DIARIA!B274+CARGA_DIARIA!AF274))</f>
        <v/>
      </c>
      <c r="D274" s="36" t="str">
        <f>IF(CARGA_DIARIA!A274="","",IF(CARGA_DIARIA!B274=0,0,(CARGA_DIARIA!J274+CARGA_DIARIA!K274+CARGA_DIARIA!L274+CARGA_DIARIA!M274+CARGA_DIARIA!N274+CARGA_DIARIA!O274+CARGA_DIARIA!P274+CARGA_DIARIA!Q274+CARGA_DIARIA!R274+CARGA_DIARIA!S274+CARGA_DIARIA!T274+CARGA_DIARIA!U274+CARGA_DIARIA!V274+CARGA_DIARIA!W274)/CARGA_DIARIA!B274))</f>
        <v/>
      </c>
      <c r="E274" s="36" t="str">
        <f>IF(CARGA_DIARIA!A274="","",IF(CARGA_DIARIA!B274=0,0,(CARGA_DIARIA!X274+CARGA_DIARIA!Y274+CARGA_DIARIA!Z274+CARGA_DIARIA!AA274)/CARGA_DIARIA!B274+CARGA_DIARIA!AB274+CARGA_DIARIA!AC274+CARGA_DIARIA!AD274+CARGA_DIARIA!AE274))</f>
        <v/>
      </c>
      <c r="F274" s="39" t="s">
        <v>146</v>
      </c>
      <c r="G274" s="39" t="s">
        <v>146</v>
      </c>
      <c r="H274" s="38" t="str">
        <f>IF(CARGA_DIARIA!A274="","",C274-D274-E274)</f>
        <v/>
      </c>
    </row>
    <row r="275" spans="1:8" ht="15.75" customHeight="1" x14ac:dyDescent="0.25">
      <c r="A275" s="33" t="str">
        <f>IF(CARGA_DIARIA!A275="","",CARGA_DIARIA!A275)</f>
        <v/>
      </c>
      <c r="B275" s="34" t="str">
        <f>IF(CARGA_DIARIA!A275="","",CARGA_DIARIA!B275)</f>
        <v/>
      </c>
      <c r="C275" s="35" t="str">
        <f>IF(CARGA_DIARIA!A275="","",IF(CARGA_DIARIA!B275=0,0,(CARGA_DIARIA!C275+CARGA_DIARIA!D275+CARGA_DIARIA!E275+CARGA_DIARIA!F275+CARGA_DIARIA!G275+CARGA_DIARIA!H275+CARGA_DIARIA!I275+CARGA_DIARIA!AG275+CARGA_DIARIA!AH275+CARGA_DIARIA!AI275+CARGA_DIARIA!AJ275)/CARGA_DIARIA!B275+CARGA_DIARIA!AF275))</f>
        <v/>
      </c>
      <c r="D275" s="36" t="str">
        <f>IF(CARGA_DIARIA!A275="","",IF(CARGA_DIARIA!B275=0,0,(CARGA_DIARIA!J275+CARGA_DIARIA!K275+CARGA_DIARIA!L275+CARGA_DIARIA!M275+CARGA_DIARIA!N275+CARGA_DIARIA!O275+CARGA_DIARIA!P275+CARGA_DIARIA!Q275+CARGA_DIARIA!R275+CARGA_DIARIA!S275+CARGA_DIARIA!T275+CARGA_DIARIA!U275+CARGA_DIARIA!V275+CARGA_DIARIA!W275)/CARGA_DIARIA!B275))</f>
        <v/>
      </c>
      <c r="E275" s="36" t="str">
        <f>IF(CARGA_DIARIA!A275="","",IF(CARGA_DIARIA!B275=0,0,(CARGA_DIARIA!X275+CARGA_DIARIA!Y275+CARGA_DIARIA!Z275+CARGA_DIARIA!AA275)/CARGA_DIARIA!B275+CARGA_DIARIA!AB275+CARGA_DIARIA!AC275+CARGA_DIARIA!AD275+CARGA_DIARIA!AE275))</f>
        <v/>
      </c>
      <c r="F275" s="39" t="s">
        <v>146</v>
      </c>
      <c r="G275" s="39" t="s">
        <v>146</v>
      </c>
      <c r="H275" s="38" t="str">
        <f>IF(CARGA_DIARIA!A275="","",C275-D275-E275)</f>
        <v/>
      </c>
    </row>
    <row r="276" spans="1:8" ht="15.75" customHeight="1" x14ac:dyDescent="0.25">
      <c r="A276" s="33" t="str">
        <f>IF(CARGA_DIARIA!A276="","",CARGA_DIARIA!A276)</f>
        <v/>
      </c>
      <c r="B276" s="34" t="str">
        <f>IF(CARGA_DIARIA!A276="","",CARGA_DIARIA!B276)</f>
        <v/>
      </c>
      <c r="C276" s="35" t="str">
        <f>IF(CARGA_DIARIA!A276="","",IF(CARGA_DIARIA!B276=0,0,(CARGA_DIARIA!C276+CARGA_DIARIA!D276+CARGA_DIARIA!E276+CARGA_DIARIA!F276+CARGA_DIARIA!G276+CARGA_DIARIA!H276+CARGA_DIARIA!I276+CARGA_DIARIA!AG276+CARGA_DIARIA!AH276+CARGA_DIARIA!AI276+CARGA_DIARIA!AJ276)/CARGA_DIARIA!B276+CARGA_DIARIA!AF276))</f>
        <v/>
      </c>
      <c r="D276" s="36" t="str">
        <f>IF(CARGA_DIARIA!A276="","",IF(CARGA_DIARIA!B276=0,0,(CARGA_DIARIA!J276+CARGA_DIARIA!K276+CARGA_DIARIA!L276+CARGA_DIARIA!M276+CARGA_DIARIA!N276+CARGA_DIARIA!O276+CARGA_DIARIA!P276+CARGA_DIARIA!Q276+CARGA_DIARIA!R276+CARGA_DIARIA!S276+CARGA_DIARIA!T276+CARGA_DIARIA!U276+CARGA_DIARIA!V276+CARGA_DIARIA!W276)/CARGA_DIARIA!B276))</f>
        <v/>
      </c>
      <c r="E276" s="36" t="str">
        <f>IF(CARGA_DIARIA!A276="","",IF(CARGA_DIARIA!B276=0,0,(CARGA_DIARIA!X276+CARGA_DIARIA!Y276+CARGA_DIARIA!Z276+CARGA_DIARIA!AA276)/CARGA_DIARIA!B276+CARGA_DIARIA!AB276+CARGA_DIARIA!AC276+CARGA_DIARIA!AD276+CARGA_DIARIA!AE276))</f>
        <v/>
      </c>
      <c r="F276" s="39" t="s">
        <v>146</v>
      </c>
      <c r="G276" s="39" t="s">
        <v>146</v>
      </c>
      <c r="H276" s="38" t="str">
        <f>IF(CARGA_DIARIA!A276="","",C276-D276-E276)</f>
        <v/>
      </c>
    </row>
    <row r="277" spans="1:8" ht="15.75" customHeight="1" x14ac:dyDescent="0.25">
      <c r="A277" s="33" t="str">
        <f>IF(CARGA_DIARIA!A277="","",CARGA_DIARIA!A277)</f>
        <v/>
      </c>
      <c r="B277" s="34" t="str">
        <f>IF(CARGA_DIARIA!A277="","",CARGA_DIARIA!B277)</f>
        <v/>
      </c>
      <c r="C277" s="35" t="str">
        <f>IF(CARGA_DIARIA!A277="","",IF(CARGA_DIARIA!B277=0,0,(CARGA_DIARIA!C277+CARGA_DIARIA!D277+CARGA_DIARIA!E277+CARGA_DIARIA!F277+CARGA_DIARIA!G277+CARGA_DIARIA!H277+CARGA_DIARIA!I277+CARGA_DIARIA!AG277+CARGA_DIARIA!AH277+CARGA_DIARIA!AI277+CARGA_DIARIA!AJ277)/CARGA_DIARIA!B277+CARGA_DIARIA!AF277))</f>
        <v/>
      </c>
      <c r="D277" s="36" t="str">
        <f>IF(CARGA_DIARIA!A277="","",IF(CARGA_DIARIA!B277=0,0,(CARGA_DIARIA!J277+CARGA_DIARIA!K277+CARGA_DIARIA!L277+CARGA_DIARIA!M277+CARGA_DIARIA!N277+CARGA_DIARIA!O277+CARGA_DIARIA!P277+CARGA_DIARIA!Q277+CARGA_DIARIA!R277+CARGA_DIARIA!S277+CARGA_DIARIA!T277+CARGA_DIARIA!U277+CARGA_DIARIA!V277+CARGA_DIARIA!W277)/CARGA_DIARIA!B277))</f>
        <v/>
      </c>
      <c r="E277" s="36" t="str">
        <f>IF(CARGA_DIARIA!A277="","",IF(CARGA_DIARIA!B277=0,0,(CARGA_DIARIA!X277+CARGA_DIARIA!Y277+CARGA_DIARIA!Z277+CARGA_DIARIA!AA277)/CARGA_DIARIA!B277+CARGA_DIARIA!AB277+CARGA_DIARIA!AC277+CARGA_DIARIA!AD277+CARGA_DIARIA!AE277))</f>
        <v/>
      </c>
      <c r="F277" s="39" t="s">
        <v>146</v>
      </c>
      <c r="G277" s="39" t="s">
        <v>146</v>
      </c>
      <c r="H277" s="38" t="str">
        <f>IF(CARGA_DIARIA!A277="","",C277-D277-E277)</f>
        <v/>
      </c>
    </row>
    <row r="278" spans="1:8" ht="15.75" customHeight="1" x14ac:dyDescent="0.25">
      <c r="A278" s="33" t="str">
        <f>IF(CARGA_DIARIA!A278="","",CARGA_DIARIA!A278)</f>
        <v/>
      </c>
      <c r="B278" s="34" t="str">
        <f>IF(CARGA_DIARIA!A278="","",CARGA_DIARIA!B278)</f>
        <v/>
      </c>
      <c r="C278" s="35" t="str">
        <f>IF(CARGA_DIARIA!A278="","",IF(CARGA_DIARIA!B278=0,0,(CARGA_DIARIA!C278+CARGA_DIARIA!D278+CARGA_DIARIA!E278+CARGA_DIARIA!F278+CARGA_DIARIA!G278+CARGA_DIARIA!H278+CARGA_DIARIA!I278+CARGA_DIARIA!AG278+CARGA_DIARIA!AH278+CARGA_DIARIA!AI278+CARGA_DIARIA!AJ278)/CARGA_DIARIA!B278+CARGA_DIARIA!AF278))</f>
        <v/>
      </c>
      <c r="D278" s="36" t="str">
        <f>IF(CARGA_DIARIA!A278="","",IF(CARGA_DIARIA!B278=0,0,(CARGA_DIARIA!J278+CARGA_DIARIA!K278+CARGA_DIARIA!L278+CARGA_DIARIA!M278+CARGA_DIARIA!N278+CARGA_DIARIA!O278+CARGA_DIARIA!P278+CARGA_DIARIA!Q278+CARGA_DIARIA!R278+CARGA_DIARIA!S278+CARGA_DIARIA!T278+CARGA_DIARIA!U278+CARGA_DIARIA!V278+CARGA_DIARIA!W278)/CARGA_DIARIA!B278))</f>
        <v/>
      </c>
      <c r="E278" s="36" t="str">
        <f>IF(CARGA_DIARIA!A278="","",IF(CARGA_DIARIA!B278=0,0,(CARGA_DIARIA!X278+CARGA_DIARIA!Y278+CARGA_DIARIA!Z278+CARGA_DIARIA!AA278)/CARGA_DIARIA!B278+CARGA_DIARIA!AB278+CARGA_DIARIA!AC278+CARGA_DIARIA!AD278+CARGA_DIARIA!AE278))</f>
        <v/>
      </c>
      <c r="F278" s="39" t="s">
        <v>146</v>
      </c>
      <c r="G278" s="39" t="s">
        <v>146</v>
      </c>
      <c r="H278" s="38" t="str">
        <f>IF(CARGA_DIARIA!A278="","",C278-D278-E278)</f>
        <v/>
      </c>
    </row>
    <row r="279" spans="1:8" ht="15.75" customHeight="1" x14ac:dyDescent="0.25">
      <c r="A279" s="33" t="str">
        <f>IF(CARGA_DIARIA!A279="","",CARGA_DIARIA!A279)</f>
        <v/>
      </c>
      <c r="B279" s="34" t="str">
        <f>IF(CARGA_DIARIA!A279="","",CARGA_DIARIA!B279)</f>
        <v/>
      </c>
      <c r="C279" s="35" t="str">
        <f>IF(CARGA_DIARIA!A279="","",IF(CARGA_DIARIA!B279=0,0,(CARGA_DIARIA!C279+CARGA_DIARIA!D279+CARGA_DIARIA!E279+CARGA_DIARIA!F279+CARGA_DIARIA!G279+CARGA_DIARIA!H279+CARGA_DIARIA!I279+CARGA_DIARIA!AG279+CARGA_DIARIA!AH279+CARGA_DIARIA!AI279+CARGA_DIARIA!AJ279)/CARGA_DIARIA!B279+CARGA_DIARIA!AF279))</f>
        <v/>
      </c>
      <c r="D279" s="36" t="str">
        <f>IF(CARGA_DIARIA!A279="","",IF(CARGA_DIARIA!B279=0,0,(CARGA_DIARIA!J279+CARGA_DIARIA!K279+CARGA_DIARIA!L279+CARGA_DIARIA!M279+CARGA_DIARIA!N279+CARGA_DIARIA!O279+CARGA_DIARIA!P279+CARGA_DIARIA!Q279+CARGA_DIARIA!R279+CARGA_DIARIA!S279+CARGA_DIARIA!T279+CARGA_DIARIA!U279+CARGA_DIARIA!V279+CARGA_DIARIA!W279)/CARGA_DIARIA!B279))</f>
        <v/>
      </c>
      <c r="E279" s="36" t="str">
        <f>IF(CARGA_DIARIA!A279="","",IF(CARGA_DIARIA!B279=0,0,(CARGA_DIARIA!X279+CARGA_DIARIA!Y279+CARGA_DIARIA!Z279+CARGA_DIARIA!AA279)/CARGA_DIARIA!B279+CARGA_DIARIA!AB279+CARGA_DIARIA!AC279+CARGA_DIARIA!AD279+CARGA_DIARIA!AE279))</f>
        <v/>
      </c>
      <c r="F279" s="39" t="s">
        <v>146</v>
      </c>
      <c r="G279" s="39" t="s">
        <v>146</v>
      </c>
      <c r="H279" s="38" t="str">
        <f>IF(CARGA_DIARIA!A279="","",C279-D279-E279)</f>
        <v/>
      </c>
    </row>
    <row r="280" spans="1:8" ht="15.75" customHeight="1" x14ac:dyDescent="0.25">
      <c r="A280" s="33" t="str">
        <f>IF(CARGA_DIARIA!A280="","",CARGA_DIARIA!A280)</f>
        <v/>
      </c>
      <c r="B280" s="34" t="str">
        <f>IF(CARGA_DIARIA!A280="","",CARGA_DIARIA!B280)</f>
        <v/>
      </c>
      <c r="C280" s="35" t="str">
        <f>IF(CARGA_DIARIA!A280="","",IF(CARGA_DIARIA!B280=0,0,(CARGA_DIARIA!C280+CARGA_DIARIA!D280+CARGA_DIARIA!E280+CARGA_DIARIA!F280+CARGA_DIARIA!G280+CARGA_DIARIA!H280+CARGA_DIARIA!I280+CARGA_DIARIA!AG280+CARGA_DIARIA!AH280+CARGA_DIARIA!AI280+CARGA_DIARIA!AJ280)/CARGA_DIARIA!B280+CARGA_DIARIA!AF280))</f>
        <v/>
      </c>
      <c r="D280" s="36" t="str">
        <f>IF(CARGA_DIARIA!A280="","",IF(CARGA_DIARIA!B280=0,0,(CARGA_DIARIA!J280+CARGA_DIARIA!K280+CARGA_DIARIA!L280+CARGA_DIARIA!M280+CARGA_DIARIA!N280+CARGA_DIARIA!O280+CARGA_DIARIA!P280+CARGA_DIARIA!Q280+CARGA_DIARIA!R280+CARGA_DIARIA!S280+CARGA_DIARIA!T280+CARGA_DIARIA!U280+CARGA_DIARIA!V280+CARGA_DIARIA!W280)/CARGA_DIARIA!B280))</f>
        <v/>
      </c>
      <c r="E280" s="36" t="str">
        <f>IF(CARGA_DIARIA!A280="","",IF(CARGA_DIARIA!B280=0,0,(CARGA_DIARIA!X280+CARGA_DIARIA!Y280+CARGA_DIARIA!Z280+CARGA_DIARIA!AA280)/CARGA_DIARIA!B280+CARGA_DIARIA!AB280+CARGA_DIARIA!AC280+CARGA_DIARIA!AD280+CARGA_DIARIA!AE280))</f>
        <v/>
      </c>
      <c r="F280" s="39" t="s">
        <v>146</v>
      </c>
      <c r="G280" s="39" t="s">
        <v>146</v>
      </c>
      <c r="H280" s="38" t="str">
        <f>IF(CARGA_DIARIA!A280="","",C280-D280-E280)</f>
        <v/>
      </c>
    </row>
    <row r="281" spans="1:8" ht="15.75" customHeight="1" x14ac:dyDescent="0.25">
      <c r="A281" s="33" t="str">
        <f>IF(CARGA_DIARIA!A281="","",CARGA_DIARIA!A281)</f>
        <v/>
      </c>
      <c r="B281" s="34" t="str">
        <f>IF(CARGA_DIARIA!A281="","",CARGA_DIARIA!B281)</f>
        <v/>
      </c>
      <c r="C281" s="35" t="str">
        <f>IF(CARGA_DIARIA!A281="","",IF(CARGA_DIARIA!B281=0,0,(CARGA_DIARIA!C281+CARGA_DIARIA!D281+CARGA_DIARIA!E281+CARGA_DIARIA!F281+CARGA_DIARIA!G281+CARGA_DIARIA!H281+CARGA_DIARIA!I281+CARGA_DIARIA!AG281+CARGA_DIARIA!AH281+CARGA_DIARIA!AI281+CARGA_DIARIA!AJ281)/CARGA_DIARIA!B281+CARGA_DIARIA!AF281))</f>
        <v/>
      </c>
      <c r="D281" s="36" t="str">
        <f>IF(CARGA_DIARIA!A281="","",IF(CARGA_DIARIA!B281=0,0,(CARGA_DIARIA!J281+CARGA_DIARIA!K281+CARGA_DIARIA!L281+CARGA_DIARIA!M281+CARGA_DIARIA!N281+CARGA_DIARIA!O281+CARGA_DIARIA!P281+CARGA_DIARIA!Q281+CARGA_DIARIA!R281+CARGA_DIARIA!S281+CARGA_DIARIA!T281+CARGA_DIARIA!U281+CARGA_DIARIA!V281+CARGA_DIARIA!W281)/CARGA_DIARIA!B281))</f>
        <v/>
      </c>
      <c r="E281" s="36" t="str">
        <f>IF(CARGA_DIARIA!A281="","",IF(CARGA_DIARIA!B281=0,0,(CARGA_DIARIA!X281+CARGA_DIARIA!Y281+CARGA_DIARIA!Z281+CARGA_DIARIA!AA281)/CARGA_DIARIA!B281+CARGA_DIARIA!AB281+CARGA_DIARIA!AC281+CARGA_DIARIA!AD281+CARGA_DIARIA!AE281))</f>
        <v/>
      </c>
      <c r="F281" s="39" t="s">
        <v>146</v>
      </c>
      <c r="G281" s="39" t="s">
        <v>146</v>
      </c>
      <c r="H281" s="38" t="str">
        <f>IF(CARGA_DIARIA!A281="","",C281-D281-E281)</f>
        <v/>
      </c>
    </row>
    <row r="282" spans="1:8" ht="15.75" customHeight="1" x14ac:dyDescent="0.25">
      <c r="A282" s="33" t="str">
        <f>IF(CARGA_DIARIA!A282="","",CARGA_DIARIA!A282)</f>
        <v/>
      </c>
      <c r="B282" s="34" t="str">
        <f>IF(CARGA_DIARIA!A282="","",CARGA_DIARIA!B282)</f>
        <v/>
      </c>
      <c r="C282" s="35" t="str">
        <f>IF(CARGA_DIARIA!A282="","",IF(CARGA_DIARIA!B282=0,0,(CARGA_DIARIA!C282+CARGA_DIARIA!D282+CARGA_DIARIA!E282+CARGA_DIARIA!F282+CARGA_DIARIA!G282+CARGA_DIARIA!H282+CARGA_DIARIA!I282+CARGA_DIARIA!AG282+CARGA_DIARIA!AH282+CARGA_DIARIA!AI282+CARGA_DIARIA!AJ282)/CARGA_DIARIA!B282+CARGA_DIARIA!AF282))</f>
        <v/>
      </c>
      <c r="D282" s="36" t="str">
        <f>IF(CARGA_DIARIA!A282="","",IF(CARGA_DIARIA!B282=0,0,(CARGA_DIARIA!J282+CARGA_DIARIA!K282+CARGA_DIARIA!L282+CARGA_DIARIA!M282+CARGA_DIARIA!N282+CARGA_DIARIA!O282+CARGA_DIARIA!P282+CARGA_DIARIA!Q282+CARGA_DIARIA!R282+CARGA_DIARIA!S282+CARGA_DIARIA!T282+CARGA_DIARIA!U282+CARGA_DIARIA!V282+CARGA_DIARIA!W282)/CARGA_DIARIA!B282))</f>
        <v/>
      </c>
      <c r="E282" s="36" t="str">
        <f>IF(CARGA_DIARIA!A282="","",IF(CARGA_DIARIA!B282=0,0,(CARGA_DIARIA!X282+CARGA_DIARIA!Y282+CARGA_DIARIA!Z282+CARGA_DIARIA!AA282)/CARGA_DIARIA!B282+CARGA_DIARIA!AB282+CARGA_DIARIA!AC282+CARGA_DIARIA!AD282+CARGA_DIARIA!AE282))</f>
        <v/>
      </c>
      <c r="F282" s="39" t="s">
        <v>146</v>
      </c>
      <c r="G282" s="39" t="s">
        <v>146</v>
      </c>
      <c r="H282" s="38" t="str">
        <f>IF(CARGA_DIARIA!A282="","",C282-D282-E282)</f>
        <v/>
      </c>
    </row>
    <row r="283" spans="1:8" ht="15.75" customHeight="1" x14ac:dyDescent="0.25">
      <c r="A283" s="33" t="str">
        <f>IF(CARGA_DIARIA!A283="","",CARGA_DIARIA!A283)</f>
        <v/>
      </c>
      <c r="B283" s="34" t="str">
        <f>IF(CARGA_DIARIA!A283="","",CARGA_DIARIA!B283)</f>
        <v/>
      </c>
      <c r="C283" s="35" t="str">
        <f>IF(CARGA_DIARIA!A283="","",IF(CARGA_DIARIA!B283=0,0,(CARGA_DIARIA!C283+CARGA_DIARIA!D283+CARGA_DIARIA!E283+CARGA_DIARIA!F283+CARGA_DIARIA!G283+CARGA_DIARIA!H283+CARGA_DIARIA!I283+CARGA_DIARIA!AG283+CARGA_DIARIA!AH283+CARGA_DIARIA!AI283+CARGA_DIARIA!AJ283)/CARGA_DIARIA!B283+CARGA_DIARIA!AF283))</f>
        <v/>
      </c>
      <c r="D283" s="36" t="str">
        <f>IF(CARGA_DIARIA!A283="","",IF(CARGA_DIARIA!B283=0,0,(CARGA_DIARIA!J283+CARGA_DIARIA!K283+CARGA_DIARIA!L283+CARGA_DIARIA!M283+CARGA_DIARIA!N283+CARGA_DIARIA!O283+CARGA_DIARIA!P283+CARGA_DIARIA!Q283+CARGA_DIARIA!R283+CARGA_DIARIA!S283+CARGA_DIARIA!T283+CARGA_DIARIA!U283+CARGA_DIARIA!V283+CARGA_DIARIA!W283)/CARGA_DIARIA!B283))</f>
        <v/>
      </c>
      <c r="E283" s="36" t="str">
        <f>IF(CARGA_DIARIA!A283="","",IF(CARGA_DIARIA!B283=0,0,(CARGA_DIARIA!X283+CARGA_DIARIA!Y283+CARGA_DIARIA!Z283+CARGA_DIARIA!AA283)/CARGA_DIARIA!B283+CARGA_DIARIA!AB283+CARGA_DIARIA!AC283+CARGA_DIARIA!AD283+CARGA_DIARIA!AE283))</f>
        <v/>
      </c>
      <c r="F283" s="39" t="s">
        <v>146</v>
      </c>
      <c r="G283" s="39" t="s">
        <v>146</v>
      </c>
      <c r="H283" s="38" t="str">
        <f>IF(CARGA_DIARIA!A283="","",C283-D283-E283)</f>
        <v/>
      </c>
    </row>
    <row r="284" spans="1:8" ht="15.75" customHeight="1" x14ac:dyDescent="0.25">
      <c r="A284" s="33" t="str">
        <f>IF(CARGA_DIARIA!A284="","",CARGA_DIARIA!A284)</f>
        <v/>
      </c>
      <c r="B284" s="34" t="str">
        <f>IF(CARGA_DIARIA!A284="","",CARGA_DIARIA!B284)</f>
        <v/>
      </c>
      <c r="C284" s="35" t="str">
        <f>IF(CARGA_DIARIA!A284="","",IF(CARGA_DIARIA!B284=0,0,(CARGA_DIARIA!C284+CARGA_DIARIA!D284+CARGA_DIARIA!E284+CARGA_DIARIA!F284+CARGA_DIARIA!G284+CARGA_DIARIA!H284+CARGA_DIARIA!I284+CARGA_DIARIA!AG284+CARGA_DIARIA!AH284+CARGA_DIARIA!AI284+CARGA_DIARIA!AJ284)/CARGA_DIARIA!B284+CARGA_DIARIA!AF284))</f>
        <v/>
      </c>
      <c r="D284" s="36" t="str">
        <f>IF(CARGA_DIARIA!A284="","",IF(CARGA_DIARIA!B284=0,0,(CARGA_DIARIA!J284+CARGA_DIARIA!K284+CARGA_DIARIA!L284+CARGA_DIARIA!M284+CARGA_DIARIA!N284+CARGA_DIARIA!O284+CARGA_DIARIA!P284+CARGA_DIARIA!Q284+CARGA_DIARIA!R284+CARGA_DIARIA!S284+CARGA_DIARIA!T284+CARGA_DIARIA!U284+CARGA_DIARIA!V284+CARGA_DIARIA!W284)/CARGA_DIARIA!B284))</f>
        <v/>
      </c>
      <c r="E284" s="36" t="str">
        <f>IF(CARGA_DIARIA!A284="","",IF(CARGA_DIARIA!B284=0,0,(CARGA_DIARIA!X284+CARGA_DIARIA!Y284+CARGA_DIARIA!Z284+CARGA_DIARIA!AA284)/CARGA_DIARIA!B284+CARGA_DIARIA!AB284+CARGA_DIARIA!AC284+CARGA_DIARIA!AD284+CARGA_DIARIA!AE284))</f>
        <v/>
      </c>
      <c r="F284" s="39" t="s">
        <v>146</v>
      </c>
      <c r="G284" s="39" t="s">
        <v>146</v>
      </c>
      <c r="H284" s="38" t="str">
        <f>IF(CARGA_DIARIA!A284="","",C284-D284-E284)</f>
        <v/>
      </c>
    </row>
    <row r="285" spans="1:8" ht="15.75" customHeight="1" x14ac:dyDescent="0.25">
      <c r="A285" s="33" t="str">
        <f>IF(CARGA_DIARIA!A285="","",CARGA_DIARIA!A285)</f>
        <v/>
      </c>
      <c r="B285" s="34" t="str">
        <f>IF(CARGA_DIARIA!A285="","",CARGA_DIARIA!B285)</f>
        <v/>
      </c>
      <c r="C285" s="35" t="str">
        <f>IF(CARGA_DIARIA!A285="","",IF(CARGA_DIARIA!B285=0,0,(CARGA_DIARIA!C285+CARGA_DIARIA!D285+CARGA_DIARIA!E285+CARGA_DIARIA!F285+CARGA_DIARIA!G285+CARGA_DIARIA!H285+CARGA_DIARIA!I285+CARGA_DIARIA!AG285+CARGA_DIARIA!AH285+CARGA_DIARIA!AI285+CARGA_DIARIA!AJ285)/CARGA_DIARIA!B285+CARGA_DIARIA!AF285))</f>
        <v/>
      </c>
      <c r="D285" s="36" t="str">
        <f>IF(CARGA_DIARIA!A285="","",IF(CARGA_DIARIA!B285=0,0,(CARGA_DIARIA!J285+CARGA_DIARIA!K285+CARGA_DIARIA!L285+CARGA_DIARIA!M285+CARGA_DIARIA!N285+CARGA_DIARIA!O285+CARGA_DIARIA!P285+CARGA_DIARIA!Q285+CARGA_DIARIA!R285+CARGA_DIARIA!S285+CARGA_DIARIA!T285+CARGA_DIARIA!U285+CARGA_DIARIA!V285+CARGA_DIARIA!W285)/CARGA_DIARIA!B285))</f>
        <v/>
      </c>
      <c r="E285" s="36" t="str">
        <f>IF(CARGA_DIARIA!A285="","",IF(CARGA_DIARIA!B285=0,0,(CARGA_DIARIA!X285+CARGA_DIARIA!Y285+CARGA_DIARIA!Z285+CARGA_DIARIA!AA285)/CARGA_DIARIA!B285+CARGA_DIARIA!AB285+CARGA_DIARIA!AC285+CARGA_DIARIA!AD285+CARGA_DIARIA!AE285))</f>
        <v/>
      </c>
      <c r="F285" s="39" t="s">
        <v>146</v>
      </c>
      <c r="G285" s="39" t="s">
        <v>146</v>
      </c>
      <c r="H285" s="38" t="str">
        <f>IF(CARGA_DIARIA!A285="","",C285-D285-E285)</f>
        <v/>
      </c>
    </row>
    <row r="286" spans="1:8" ht="15.75" customHeight="1" x14ac:dyDescent="0.25">
      <c r="A286" s="33" t="str">
        <f>IF(CARGA_DIARIA!A286="","",CARGA_DIARIA!A286)</f>
        <v/>
      </c>
      <c r="B286" s="34" t="str">
        <f>IF(CARGA_DIARIA!A286="","",CARGA_DIARIA!B286)</f>
        <v/>
      </c>
      <c r="C286" s="35" t="str">
        <f>IF(CARGA_DIARIA!A286="","",IF(CARGA_DIARIA!B286=0,0,(CARGA_DIARIA!C286+CARGA_DIARIA!D286+CARGA_DIARIA!E286+CARGA_DIARIA!F286+CARGA_DIARIA!G286+CARGA_DIARIA!H286+CARGA_DIARIA!I286+CARGA_DIARIA!AG286+CARGA_DIARIA!AH286+CARGA_DIARIA!AI286+CARGA_DIARIA!AJ286)/CARGA_DIARIA!B286+CARGA_DIARIA!AF286))</f>
        <v/>
      </c>
      <c r="D286" s="36" t="str">
        <f>IF(CARGA_DIARIA!A286="","",IF(CARGA_DIARIA!B286=0,0,(CARGA_DIARIA!J286+CARGA_DIARIA!K286+CARGA_DIARIA!L286+CARGA_DIARIA!M286+CARGA_DIARIA!N286+CARGA_DIARIA!O286+CARGA_DIARIA!P286+CARGA_DIARIA!Q286+CARGA_DIARIA!R286+CARGA_DIARIA!S286+CARGA_DIARIA!T286+CARGA_DIARIA!U286+CARGA_DIARIA!V286+CARGA_DIARIA!W286)/CARGA_DIARIA!B286))</f>
        <v/>
      </c>
      <c r="E286" s="36" t="str">
        <f>IF(CARGA_DIARIA!A286="","",IF(CARGA_DIARIA!B286=0,0,(CARGA_DIARIA!X286+CARGA_DIARIA!Y286+CARGA_DIARIA!Z286+CARGA_DIARIA!AA286)/CARGA_DIARIA!B286+CARGA_DIARIA!AB286+CARGA_DIARIA!AC286+CARGA_DIARIA!AD286+CARGA_DIARIA!AE286))</f>
        <v/>
      </c>
      <c r="F286" s="39" t="s">
        <v>146</v>
      </c>
      <c r="G286" s="39" t="s">
        <v>146</v>
      </c>
      <c r="H286" s="38" t="str">
        <f>IF(CARGA_DIARIA!A286="","",C286-D286-E286)</f>
        <v/>
      </c>
    </row>
    <row r="287" spans="1:8" ht="15.75" customHeight="1" x14ac:dyDescent="0.25">
      <c r="A287" s="33" t="str">
        <f>IF(CARGA_DIARIA!A287="","",CARGA_DIARIA!A287)</f>
        <v/>
      </c>
      <c r="B287" s="34" t="str">
        <f>IF(CARGA_DIARIA!A287="","",CARGA_DIARIA!B287)</f>
        <v/>
      </c>
      <c r="C287" s="35" t="str">
        <f>IF(CARGA_DIARIA!A287="","",IF(CARGA_DIARIA!B287=0,0,(CARGA_DIARIA!C287+CARGA_DIARIA!D287+CARGA_DIARIA!E287+CARGA_DIARIA!F287+CARGA_DIARIA!G287+CARGA_DIARIA!H287+CARGA_DIARIA!I287+CARGA_DIARIA!AG287+CARGA_DIARIA!AH287+CARGA_DIARIA!AI287+CARGA_DIARIA!AJ287)/CARGA_DIARIA!B287+CARGA_DIARIA!AF287))</f>
        <v/>
      </c>
      <c r="D287" s="36" t="str">
        <f>IF(CARGA_DIARIA!A287="","",IF(CARGA_DIARIA!B287=0,0,(CARGA_DIARIA!J287+CARGA_DIARIA!K287+CARGA_DIARIA!L287+CARGA_DIARIA!M287+CARGA_DIARIA!N287+CARGA_DIARIA!O287+CARGA_DIARIA!P287+CARGA_DIARIA!Q287+CARGA_DIARIA!R287+CARGA_DIARIA!S287+CARGA_DIARIA!T287+CARGA_DIARIA!U287+CARGA_DIARIA!V287+CARGA_DIARIA!W287)/CARGA_DIARIA!B287))</f>
        <v/>
      </c>
      <c r="E287" s="36" t="str">
        <f>IF(CARGA_DIARIA!A287="","",IF(CARGA_DIARIA!B287=0,0,(CARGA_DIARIA!X287+CARGA_DIARIA!Y287+CARGA_DIARIA!Z287+CARGA_DIARIA!AA287)/CARGA_DIARIA!B287+CARGA_DIARIA!AB287+CARGA_DIARIA!AC287+CARGA_DIARIA!AD287+CARGA_DIARIA!AE287))</f>
        <v/>
      </c>
      <c r="F287" s="39" t="s">
        <v>146</v>
      </c>
      <c r="G287" s="39" t="s">
        <v>146</v>
      </c>
      <c r="H287" s="38" t="str">
        <f>IF(CARGA_DIARIA!A287="","",C287-D287-E287)</f>
        <v/>
      </c>
    </row>
    <row r="288" spans="1:8" ht="15.75" customHeight="1" x14ac:dyDescent="0.25">
      <c r="A288" s="33" t="str">
        <f>IF(CARGA_DIARIA!A288="","",CARGA_DIARIA!A288)</f>
        <v/>
      </c>
      <c r="B288" s="34" t="str">
        <f>IF(CARGA_DIARIA!A288="","",CARGA_DIARIA!B288)</f>
        <v/>
      </c>
      <c r="C288" s="35" t="str">
        <f>IF(CARGA_DIARIA!A288="","",IF(CARGA_DIARIA!B288=0,0,(CARGA_DIARIA!C288+CARGA_DIARIA!D288+CARGA_DIARIA!E288+CARGA_DIARIA!F288+CARGA_DIARIA!G288+CARGA_DIARIA!H288+CARGA_DIARIA!I288+CARGA_DIARIA!AG288+CARGA_DIARIA!AH288+CARGA_DIARIA!AI288+CARGA_DIARIA!AJ288)/CARGA_DIARIA!B288+CARGA_DIARIA!AF288))</f>
        <v/>
      </c>
      <c r="D288" s="36" t="str">
        <f>IF(CARGA_DIARIA!A288="","",IF(CARGA_DIARIA!B288=0,0,(CARGA_DIARIA!J288+CARGA_DIARIA!K288+CARGA_DIARIA!L288+CARGA_DIARIA!M288+CARGA_DIARIA!N288+CARGA_DIARIA!O288+CARGA_DIARIA!P288+CARGA_DIARIA!Q288+CARGA_DIARIA!R288+CARGA_DIARIA!S288+CARGA_DIARIA!T288+CARGA_DIARIA!U288+CARGA_DIARIA!V288+CARGA_DIARIA!W288)/CARGA_DIARIA!B288))</f>
        <v/>
      </c>
      <c r="E288" s="36" t="str">
        <f>IF(CARGA_DIARIA!A288="","",IF(CARGA_DIARIA!B288=0,0,(CARGA_DIARIA!X288+CARGA_DIARIA!Y288+CARGA_DIARIA!Z288+CARGA_DIARIA!AA288)/CARGA_DIARIA!B288+CARGA_DIARIA!AB288+CARGA_DIARIA!AC288+CARGA_DIARIA!AD288+CARGA_DIARIA!AE288))</f>
        <v/>
      </c>
      <c r="F288" s="39" t="s">
        <v>146</v>
      </c>
      <c r="G288" s="39" t="s">
        <v>146</v>
      </c>
      <c r="H288" s="38" t="str">
        <f>IF(CARGA_DIARIA!A288="","",C288-D288-E288)</f>
        <v/>
      </c>
    </row>
    <row r="289" spans="1:8" ht="15.75" customHeight="1" x14ac:dyDescent="0.25">
      <c r="A289" s="33" t="str">
        <f>IF(CARGA_DIARIA!A289="","",CARGA_DIARIA!A289)</f>
        <v/>
      </c>
      <c r="B289" s="34" t="str">
        <f>IF(CARGA_DIARIA!A289="","",CARGA_DIARIA!B289)</f>
        <v/>
      </c>
      <c r="C289" s="35" t="str">
        <f>IF(CARGA_DIARIA!A289="","",IF(CARGA_DIARIA!B289=0,0,(CARGA_DIARIA!C289+CARGA_DIARIA!D289+CARGA_DIARIA!E289+CARGA_DIARIA!F289+CARGA_DIARIA!G289+CARGA_DIARIA!H289+CARGA_DIARIA!I289+CARGA_DIARIA!AG289+CARGA_DIARIA!AH289+CARGA_DIARIA!AI289+CARGA_DIARIA!AJ289)/CARGA_DIARIA!B289+CARGA_DIARIA!AF289))</f>
        <v/>
      </c>
      <c r="D289" s="36" t="str">
        <f>IF(CARGA_DIARIA!A289="","",IF(CARGA_DIARIA!B289=0,0,(CARGA_DIARIA!J289+CARGA_DIARIA!K289+CARGA_DIARIA!L289+CARGA_DIARIA!M289+CARGA_DIARIA!N289+CARGA_DIARIA!O289+CARGA_DIARIA!P289+CARGA_DIARIA!Q289+CARGA_DIARIA!R289+CARGA_DIARIA!S289+CARGA_DIARIA!T289+CARGA_DIARIA!U289+CARGA_DIARIA!V289+CARGA_DIARIA!W289)/CARGA_DIARIA!B289))</f>
        <v/>
      </c>
      <c r="E289" s="36" t="str">
        <f>IF(CARGA_DIARIA!A289="","",IF(CARGA_DIARIA!B289=0,0,(CARGA_DIARIA!X289+CARGA_DIARIA!Y289+CARGA_DIARIA!Z289+CARGA_DIARIA!AA289)/CARGA_DIARIA!B289+CARGA_DIARIA!AB289+CARGA_DIARIA!AC289+CARGA_DIARIA!AD289+CARGA_DIARIA!AE289))</f>
        <v/>
      </c>
      <c r="F289" s="39" t="s">
        <v>146</v>
      </c>
      <c r="G289" s="39" t="s">
        <v>146</v>
      </c>
      <c r="H289" s="38" t="str">
        <f>IF(CARGA_DIARIA!A289="","",C289-D289-E289)</f>
        <v/>
      </c>
    </row>
    <row r="290" spans="1:8" ht="15.75" customHeight="1" x14ac:dyDescent="0.25">
      <c r="A290" s="33" t="str">
        <f>IF(CARGA_DIARIA!A290="","",CARGA_DIARIA!A290)</f>
        <v/>
      </c>
      <c r="B290" s="34" t="str">
        <f>IF(CARGA_DIARIA!A290="","",CARGA_DIARIA!B290)</f>
        <v/>
      </c>
      <c r="C290" s="35" t="str">
        <f>IF(CARGA_DIARIA!A290="","",IF(CARGA_DIARIA!B290=0,0,(CARGA_DIARIA!C290+CARGA_DIARIA!D290+CARGA_DIARIA!E290+CARGA_DIARIA!F290+CARGA_DIARIA!G290+CARGA_DIARIA!H290+CARGA_DIARIA!I290+CARGA_DIARIA!AG290+CARGA_DIARIA!AH290+CARGA_DIARIA!AI290+CARGA_DIARIA!AJ290)/CARGA_DIARIA!B290+CARGA_DIARIA!AF290))</f>
        <v/>
      </c>
      <c r="D290" s="36" t="str">
        <f>IF(CARGA_DIARIA!A290="","",IF(CARGA_DIARIA!B290=0,0,(CARGA_DIARIA!J290+CARGA_DIARIA!K290+CARGA_DIARIA!L290+CARGA_DIARIA!M290+CARGA_DIARIA!N290+CARGA_DIARIA!O290+CARGA_DIARIA!P290+CARGA_DIARIA!Q290+CARGA_DIARIA!R290+CARGA_DIARIA!S290+CARGA_DIARIA!T290+CARGA_DIARIA!U290+CARGA_DIARIA!V290+CARGA_DIARIA!W290)/CARGA_DIARIA!B290))</f>
        <v/>
      </c>
      <c r="E290" s="36" t="str">
        <f>IF(CARGA_DIARIA!A290="","",IF(CARGA_DIARIA!B290=0,0,(CARGA_DIARIA!X290+CARGA_DIARIA!Y290+CARGA_DIARIA!Z290+CARGA_DIARIA!AA290)/CARGA_DIARIA!B290+CARGA_DIARIA!AB290+CARGA_DIARIA!AC290+CARGA_DIARIA!AD290+CARGA_DIARIA!AE290))</f>
        <v/>
      </c>
      <c r="F290" s="39" t="s">
        <v>146</v>
      </c>
      <c r="G290" s="39" t="s">
        <v>146</v>
      </c>
      <c r="H290" s="38" t="str">
        <f>IF(CARGA_DIARIA!A290="","",C290-D290-E290)</f>
        <v/>
      </c>
    </row>
    <row r="291" spans="1:8" ht="15.75" customHeight="1" x14ac:dyDescent="0.25">
      <c r="A291" s="33" t="str">
        <f>IF(CARGA_DIARIA!A291="","",CARGA_DIARIA!A291)</f>
        <v/>
      </c>
      <c r="B291" s="34" t="str">
        <f>IF(CARGA_DIARIA!A291="","",CARGA_DIARIA!B291)</f>
        <v/>
      </c>
      <c r="C291" s="35" t="str">
        <f>IF(CARGA_DIARIA!A291="","",IF(CARGA_DIARIA!B291=0,0,(CARGA_DIARIA!C291+CARGA_DIARIA!D291+CARGA_DIARIA!E291+CARGA_DIARIA!F291+CARGA_DIARIA!G291+CARGA_DIARIA!H291+CARGA_DIARIA!I291+CARGA_DIARIA!AG291+CARGA_DIARIA!AH291+CARGA_DIARIA!AI291+CARGA_DIARIA!AJ291)/CARGA_DIARIA!B291+CARGA_DIARIA!AF291))</f>
        <v/>
      </c>
      <c r="D291" s="36" t="str">
        <f>IF(CARGA_DIARIA!A291="","",IF(CARGA_DIARIA!B291=0,0,(CARGA_DIARIA!J291+CARGA_DIARIA!K291+CARGA_DIARIA!L291+CARGA_DIARIA!M291+CARGA_DIARIA!N291+CARGA_DIARIA!O291+CARGA_DIARIA!P291+CARGA_DIARIA!Q291+CARGA_DIARIA!R291+CARGA_DIARIA!S291+CARGA_DIARIA!T291+CARGA_DIARIA!U291+CARGA_DIARIA!V291+CARGA_DIARIA!W291)/CARGA_DIARIA!B291))</f>
        <v/>
      </c>
      <c r="E291" s="36" t="str">
        <f>IF(CARGA_DIARIA!A291="","",IF(CARGA_DIARIA!B291=0,0,(CARGA_DIARIA!X291+CARGA_DIARIA!Y291+CARGA_DIARIA!Z291+CARGA_DIARIA!AA291)/CARGA_DIARIA!B291+CARGA_DIARIA!AB291+CARGA_DIARIA!AC291+CARGA_DIARIA!AD291+CARGA_DIARIA!AE291))</f>
        <v/>
      </c>
      <c r="F291" s="39" t="s">
        <v>146</v>
      </c>
      <c r="G291" s="39" t="s">
        <v>146</v>
      </c>
      <c r="H291" s="38" t="str">
        <f>IF(CARGA_DIARIA!A291="","",C291-D291-E291)</f>
        <v/>
      </c>
    </row>
    <row r="292" spans="1:8" ht="15.75" customHeight="1" x14ac:dyDescent="0.25">
      <c r="A292" s="33" t="str">
        <f>IF(CARGA_DIARIA!A292="","",CARGA_DIARIA!A292)</f>
        <v/>
      </c>
      <c r="B292" s="34" t="str">
        <f>IF(CARGA_DIARIA!A292="","",CARGA_DIARIA!B292)</f>
        <v/>
      </c>
      <c r="C292" s="35" t="str">
        <f>IF(CARGA_DIARIA!A292="","",IF(CARGA_DIARIA!B292=0,0,(CARGA_DIARIA!C292+CARGA_DIARIA!D292+CARGA_DIARIA!E292+CARGA_DIARIA!F292+CARGA_DIARIA!G292+CARGA_DIARIA!H292+CARGA_DIARIA!I292+CARGA_DIARIA!AG292+CARGA_DIARIA!AH292+CARGA_DIARIA!AI292+CARGA_DIARIA!AJ292)/CARGA_DIARIA!B292+CARGA_DIARIA!AF292))</f>
        <v/>
      </c>
      <c r="D292" s="36" t="str">
        <f>IF(CARGA_DIARIA!A292="","",IF(CARGA_DIARIA!B292=0,0,(CARGA_DIARIA!J292+CARGA_DIARIA!K292+CARGA_DIARIA!L292+CARGA_DIARIA!M292+CARGA_DIARIA!N292+CARGA_DIARIA!O292+CARGA_DIARIA!P292+CARGA_DIARIA!Q292+CARGA_DIARIA!R292+CARGA_DIARIA!S292+CARGA_DIARIA!T292+CARGA_DIARIA!U292+CARGA_DIARIA!V292+CARGA_DIARIA!W292)/CARGA_DIARIA!B292))</f>
        <v/>
      </c>
      <c r="E292" s="36" t="str">
        <f>IF(CARGA_DIARIA!A292="","",IF(CARGA_DIARIA!B292=0,0,(CARGA_DIARIA!X292+CARGA_DIARIA!Y292+CARGA_DIARIA!Z292+CARGA_DIARIA!AA292)/CARGA_DIARIA!B292+CARGA_DIARIA!AB292+CARGA_DIARIA!AC292+CARGA_DIARIA!AD292+CARGA_DIARIA!AE292))</f>
        <v/>
      </c>
      <c r="F292" s="39" t="s">
        <v>146</v>
      </c>
      <c r="G292" s="39" t="s">
        <v>146</v>
      </c>
      <c r="H292" s="38" t="str">
        <f>IF(CARGA_DIARIA!A292="","",C292-D292-E292)</f>
        <v/>
      </c>
    </row>
    <row r="293" spans="1:8" ht="15.75" customHeight="1" x14ac:dyDescent="0.25">
      <c r="A293" s="33" t="str">
        <f>IF(CARGA_DIARIA!A293="","",CARGA_DIARIA!A293)</f>
        <v/>
      </c>
      <c r="B293" s="34" t="str">
        <f>IF(CARGA_DIARIA!A293="","",CARGA_DIARIA!B293)</f>
        <v/>
      </c>
      <c r="C293" s="35" t="str">
        <f>IF(CARGA_DIARIA!A293="","",IF(CARGA_DIARIA!B293=0,0,(CARGA_DIARIA!C293+CARGA_DIARIA!D293+CARGA_DIARIA!E293+CARGA_DIARIA!F293+CARGA_DIARIA!G293+CARGA_DIARIA!H293+CARGA_DIARIA!I293+CARGA_DIARIA!AG293+CARGA_DIARIA!AH293+CARGA_DIARIA!AI293+CARGA_DIARIA!AJ293)/CARGA_DIARIA!B293+CARGA_DIARIA!AF293))</f>
        <v/>
      </c>
      <c r="D293" s="36" t="str">
        <f>IF(CARGA_DIARIA!A293="","",IF(CARGA_DIARIA!B293=0,0,(CARGA_DIARIA!J293+CARGA_DIARIA!K293+CARGA_DIARIA!L293+CARGA_DIARIA!M293+CARGA_DIARIA!N293+CARGA_DIARIA!O293+CARGA_DIARIA!P293+CARGA_DIARIA!Q293+CARGA_DIARIA!R293+CARGA_DIARIA!S293+CARGA_DIARIA!T293+CARGA_DIARIA!U293+CARGA_DIARIA!V293+CARGA_DIARIA!W293)/CARGA_DIARIA!B293))</f>
        <v/>
      </c>
      <c r="E293" s="36" t="str">
        <f>IF(CARGA_DIARIA!A293="","",IF(CARGA_DIARIA!B293=0,0,(CARGA_DIARIA!X293+CARGA_DIARIA!Y293+CARGA_DIARIA!Z293+CARGA_DIARIA!AA293)/CARGA_DIARIA!B293+CARGA_DIARIA!AB293+CARGA_DIARIA!AC293+CARGA_DIARIA!AD293+CARGA_DIARIA!AE293))</f>
        <v/>
      </c>
      <c r="F293" s="39" t="s">
        <v>146</v>
      </c>
      <c r="G293" s="39" t="s">
        <v>146</v>
      </c>
      <c r="H293" s="38" t="str">
        <f>IF(CARGA_DIARIA!A293="","",C293-D293-E293)</f>
        <v/>
      </c>
    </row>
    <row r="294" spans="1:8" ht="15.75" customHeight="1" x14ac:dyDescent="0.25">
      <c r="A294" s="33" t="str">
        <f>IF(CARGA_DIARIA!A294="","",CARGA_DIARIA!A294)</f>
        <v/>
      </c>
      <c r="B294" s="34" t="str">
        <f>IF(CARGA_DIARIA!A294="","",CARGA_DIARIA!B294)</f>
        <v/>
      </c>
      <c r="C294" s="35" t="str">
        <f>IF(CARGA_DIARIA!A294="","",IF(CARGA_DIARIA!B294=0,0,(CARGA_DIARIA!C294+CARGA_DIARIA!D294+CARGA_DIARIA!E294+CARGA_DIARIA!F294+CARGA_DIARIA!G294+CARGA_DIARIA!H294+CARGA_DIARIA!I294+CARGA_DIARIA!AG294+CARGA_DIARIA!AH294+CARGA_DIARIA!AI294+CARGA_DIARIA!AJ294)/CARGA_DIARIA!B294+CARGA_DIARIA!AF294))</f>
        <v/>
      </c>
      <c r="D294" s="36" t="str">
        <f>IF(CARGA_DIARIA!A294="","",IF(CARGA_DIARIA!B294=0,0,(CARGA_DIARIA!J294+CARGA_DIARIA!K294+CARGA_DIARIA!L294+CARGA_DIARIA!M294+CARGA_DIARIA!N294+CARGA_DIARIA!O294+CARGA_DIARIA!P294+CARGA_DIARIA!Q294+CARGA_DIARIA!R294+CARGA_DIARIA!S294+CARGA_DIARIA!T294+CARGA_DIARIA!U294+CARGA_DIARIA!V294+CARGA_DIARIA!W294)/CARGA_DIARIA!B294))</f>
        <v/>
      </c>
      <c r="E294" s="36" t="str">
        <f>IF(CARGA_DIARIA!A294="","",IF(CARGA_DIARIA!B294=0,0,(CARGA_DIARIA!X294+CARGA_DIARIA!Y294+CARGA_DIARIA!Z294+CARGA_DIARIA!AA294)/CARGA_DIARIA!B294+CARGA_DIARIA!AB294+CARGA_DIARIA!AC294+CARGA_DIARIA!AD294+CARGA_DIARIA!AE294))</f>
        <v/>
      </c>
      <c r="F294" s="39" t="s">
        <v>146</v>
      </c>
      <c r="G294" s="39" t="s">
        <v>146</v>
      </c>
      <c r="H294" s="38" t="str">
        <f>IF(CARGA_DIARIA!A294="","",C294-D294-E294)</f>
        <v/>
      </c>
    </row>
    <row r="295" spans="1:8" ht="15.75" customHeight="1" x14ac:dyDescent="0.25">
      <c r="A295" s="33" t="str">
        <f>IF(CARGA_DIARIA!A295="","",CARGA_DIARIA!A295)</f>
        <v/>
      </c>
      <c r="B295" s="34" t="str">
        <f>IF(CARGA_DIARIA!A295="","",CARGA_DIARIA!B295)</f>
        <v/>
      </c>
      <c r="C295" s="35" t="str">
        <f>IF(CARGA_DIARIA!A295="","",IF(CARGA_DIARIA!B295=0,0,(CARGA_DIARIA!C295+CARGA_DIARIA!D295+CARGA_DIARIA!E295+CARGA_DIARIA!F295+CARGA_DIARIA!G295+CARGA_DIARIA!H295+CARGA_DIARIA!I295+CARGA_DIARIA!AG295+CARGA_DIARIA!AH295+CARGA_DIARIA!AI295+CARGA_DIARIA!AJ295)/CARGA_DIARIA!B295+CARGA_DIARIA!AF295))</f>
        <v/>
      </c>
      <c r="D295" s="36" t="str">
        <f>IF(CARGA_DIARIA!A295="","",IF(CARGA_DIARIA!B295=0,0,(CARGA_DIARIA!J295+CARGA_DIARIA!K295+CARGA_DIARIA!L295+CARGA_DIARIA!M295+CARGA_DIARIA!N295+CARGA_DIARIA!O295+CARGA_DIARIA!P295+CARGA_DIARIA!Q295+CARGA_DIARIA!R295+CARGA_DIARIA!S295+CARGA_DIARIA!T295+CARGA_DIARIA!U295+CARGA_DIARIA!V295+CARGA_DIARIA!W295)/CARGA_DIARIA!B295))</f>
        <v/>
      </c>
      <c r="E295" s="36" t="str">
        <f>IF(CARGA_DIARIA!A295="","",IF(CARGA_DIARIA!B295=0,0,(CARGA_DIARIA!X295+CARGA_DIARIA!Y295+CARGA_DIARIA!Z295+CARGA_DIARIA!AA295)/CARGA_DIARIA!B295+CARGA_DIARIA!AB295+CARGA_DIARIA!AC295+CARGA_DIARIA!AD295+CARGA_DIARIA!AE295))</f>
        <v/>
      </c>
      <c r="F295" s="39" t="s">
        <v>146</v>
      </c>
      <c r="G295" s="39" t="s">
        <v>146</v>
      </c>
      <c r="H295" s="38" t="str">
        <f>IF(CARGA_DIARIA!A295="","",C295-D295-E295)</f>
        <v/>
      </c>
    </row>
    <row r="296" spans="1:8" ht="15.75" customHeight="1" x14ac:dyDescent="0.25">
      <c r="A296" s="33" t="str">
        <f>IF(CARGA_DIARIA!A296="","",CARGA_DIARIA!A296)</f>
        <v/>
      </c>
      <c r="B296" s="34" t="str">
        <f>IF(CARGA_DIARIA!A296="","",CARGA_DIARIA!B296)</f>
        <v/>
      </c>
      <c r="C296" s="35" t="str">
        <f>IF(CARGA_DIARIA!A296="","",IF(CARGA_DIARIA!B296=0,0,(CARGA_DIARIA!C296+CARGA_DIARIA!D296+CARGA_DIARIA!E296+CARGA_DIARIA!F296+CARGA_DIARIA!G296+CARGA_DIARIA!H296+CARGA_DIARIA!I296+CARGA_DIARIA!AG296+CARGA_DIARIA!AH296+CARGA_DIARIA!AI296+CARGA_DIARIA!AJ296)/CARGA_DIARIA!B296+CARGA_DIARIA!AF296))</f>
        <v/>
      </c>
      <c r="D296" s="36" t="str">
        <f>IF(CARGA_DIARIA!A296="","",IF(CARGA_DIARIA!B296=0,0,(CARGA_DIARIA!J296+CARGA_DIARIA!K296+CARGA_DIARIA!L296+CARGA_DIARIA!M296+CARGA_DIARIA!N296+CARGA_DIARIA!O296+CARGA_DIARIA!P296+CARGA_DIARIA!Q296+CARGA_DIARIA!R296+CARGA_DIARIA!S296+CARGA_DIARIA!T296+CARGA_DIARIA!U296+CARGA_DIARIA!V296+CARGA_DIARIA!W296)/CARGA_DIARIA!B296))</f>
        <v/>
      </c>
      <c r="E296" s="36" t="str">
        <f>IF(CARGA_DIARIA!A296="","",IF(CARGA_DIARIA!B296=0,0,(CARGA_DIARIA!X296+CARGA_DIARIA!Y296+CARGA_DIARIA!Z296+CARGA_DIARIA!AA296)/CARGA_DIARIA!B296+CARGA_DIARIA!AB296+CARGA_DIARIA!AC296+CARGA_DIARIA!AD296+CARGA_DIARIA!AE296))</f>
        <v/>
      </c>
      <c r="F296" s="39" t="s">
        <v>146</v>
      </c>
      <c r="G296" s="39" t="s">
        <v>146</v>
      </c>
      <c r="H296" s="38" t="str">
        <f>IF(CARGA_DIARIA!A296="","",C296-D296-E296)</f>
        <v/>
      </c>
    </row>
    <row r="297" spans="1:8" ht="15.75" customHeight="1" x14ac:dyDescent="0.25">
      <c r="A297" s="33" t="str">
        <f>IF(CARGA_DIARIA!A297="","",CARGA_DIARIA!A297)</f>
        <v/>
      </c>
      <c r="B297" s="34" t="str">
        <f>IF(CARGA_DIARIA!A297="","",CARGA_DIARIA!B297)</f>
        <v/>
      </c>
      <c r="C297" s="35" t="str">
        <f>IF(CARGA_DIARIA!A297="","",IF(CARGA_DIARIA!B297=0,0,(CARGA_DIARIA!C297+CARGA_DIARIA!D297+CARGA_DIARIA!E297+CARGA_DIARIA!F297+CARGA_DIARIA!G297+CARGA_DIARIA!H297+CARGA_DIARIA!I297+CARGA_DIARIA!AG297+CARGA_DIARIA!AH297+CARGA_DIARIA!AI297+CARGA_DIARIA!AJ297)/CARGA_DIARIA!B297+CARGA_DIARIA!AF297))</f>
        <v/>
      </c>
      <c r="D297" s="36" t="str">
        <f>IF(CARGA_DIARIA!A297="","",IF(CARGA_DIARIA!B297=0,0,(CARGA_DIARIA!J297+CARGA_DIARIA!K297+CARGA_DIARIA!L297+CARGA_DIARIA!M297+CARGA_DIARIA!N297+CARGA_DIARIA!O297+CARGA_DIARIA!P297+CARGA_DIARIA!Q297+CARGA_DIARIA!R297+CARGA_DIARIA!S297+CARGA_DIARIA!T297+CARGA_DIARIA!U297+CARGA_DIARIA!V297+CARGA_DIARIA!W297)/CARGA_DIARIA!B297))</f>
        <v/>
      </c>
      <c r="E297" s="36" t="str">
        <f>IF(CARGA_DIARIA!A297="","",IF(CARGA_DIARIA!B297=0,0,(CARGA_DIARIA!X297+CARGA_DIARIA!Y297+CARGA_DIARIA!Z297+CARGA_DIARIA!AA297)/CARGA_DIARIA!B297+CARGA_DIARIA!AB297+CARGA_DIARIA!AC297+CARGA_DIARIA!AD297+CARGA_DIARIA!AE297))</f>
        <v/>
      </c>
      <c r="F297" s="39" t="s">
        <v>146</v>
      </c>
      <c r="G297" s="39" t="s">
        <v>146</v>
      </c>
      <c r="H297" s="38" t="str">
        <f>IF(CARGA_DIARIA!A297="","",C297-D297-E297)</f>
        <v/>
      </c>
    </row>
    <row r="298" spans="1:8" ht="15.75" customHeight="1" x14ac:dyDescent="0.25">
      <c r="A298" s="33" t="str">
        <f>IF(CARGA_DIARIA!A298="","",CARGA_DIARIA!A298)</f>
        <v/>
      </c>
      <c r="B298" s="34" t="str">
        <f>IF(CARGA_DIARIA!A298="","",CARGA_DIARIA!B298)</f>
        <v/>
      </c>
      <c r="C298" s="35" t="str">
        <f>IF(CARGA_DIARIA!A298="","",IF(CARGA_DIARIA!B298=0,0,(CARGA_DIARIA!C298+CARGA_DIARIA!D298+CARGA_DIARIA!E298+CARGA_DIARIA!F298+CARGA_DIARIA!G298+CARGA_DIARIA!H298+CARGA_DIARIA!I298+CARGA_DIARIA!AG298+CARGA_DIARIA!AH298+CARGA_DIARIA!AI298+CARGA_DIARIA!AJ298)/CARGA_DIARIA!B298+CARGA_DIARIA!AF298))</f>
        <v/>
      </c>
      <c r="D298" s="36" t="str">
        <f>IF(CARGA_DIARIA!A298="","",IF(CARGA_DIARIA!B298=0,0,(CARGA_DIARIA!J298+CARGA_DIARIA!K298+CARGA_DIARIA!L298+CARGA_DIARIA!M298+CARGA_DIARIA!N298+CARGA_DIARIA!O298+CARGA_DIARIA!P298+CARGA_DIARIA!Q298+CARGA_DIARIA!R298+CARGA_DIARIA!S298+CARGA_DIARIA!T298+CARGA_DIARIA!U298+CARGA_DIARIA!V298+CARGA_DIARIA!W298)/CARGA_DIARIA!B298))</f>
        <v/>
      </c>
      <c r="E298" s="36" t="str">
        <f>IF(CARGA_DIARIA!A298="","",IF(CARGA_DIARIA!B298=0,0,(CARGA_DIARIA!X298+CARGA_DIARIA!Y298+CARGA_DIARIA!Z298+CARGA_DIARIA!AA298)/CARGA_DIARIA!B298+CARGA_DIARIA!AB298+CARGA_DIARIA!AC298+CARGA_DIARIA!AD298+CARGA_DIARIA!AE298))</f>
        <v/>
      </c>
      <c r="F298" s="39" t="s">
        <v>146</v>
      </c>
      <c r="G298" s="39" t="s">
        <v>146</v>
      </c>
      <c r="H298" s="38" t="str">
        <f>IF(CARGA_DIARIA!A298="","",C298-D298-E298)</f>
        <v/>
      </c>
    </row>
    <row r="299" spans="1:8" ht="15.75" customHeight="1" x14ac:dyDescent="0.25">
      <c r="A299" s="33" t="str">
        <f>IF(CARGA_DIARIA!A299="","",CARGA_DIARIA!A299)</f>
        <v/>
      </c>
      <c r="B299" s="34" t="str">
        <f>IF(CARGA_DIARIA!A299="","",CARGA_DIARIA!B299)</f>
        <v/>
      </c>
      <c r="C299" s="35" t="str">
        <f>IF(CARGA_DIARIA!A299="","",IF(CARGA_DIARIA!B299=0,0,(CARGA_DIARIA!C299+CARGA_DIARIA!D299+CARGA_DIARIA!E299+CARGA_DIARIA!F299+CARGA_DIARIA!G299+CARGA_DIARIA!H299+CARGA_DIARIA!I299+CARGA_DIARIA!AG299+CARGA_DIARIA!AH299+CARGA_DIARIA!AI299+CARGA_DIARIA!AJ299)/CARGA_DIARIA!B299+CARGA_DIARIA!AF299))</f>
        <v/>
      </c>
      <c r="D299" s="36" t="str">
        <f>IF(CARGA_DIARIA!A299="","",IF(CARGA_DIARIA!B299=0,0,(CARGA_DIARIA!J299+CARGA_DIARIA!K299+CARGA_DIARIA!L299+CARGA_DIARIA!M299+CARGA_DIARIA!N299+CARGA_DIARIA!O299+CARGA_DIARIA!P299+CARGA_DIARIA!Q299+CARGA_DIARIA!R299+CARGA_DIARIA!S299+CARGA_DIARIA!T299+CARGA_DIARIA!U299+CARGA_DIARIA!V299+CARGA_DIARIA!W299)/CARGA_DIARIA!B299))</f>
        <v/>
      </c>
      <c r="E299" s="36" t="str">
        <f>IF(CARGA_DIARIA!A299="","",IF(CARGA_DIARIA!B299=0,0,(CARGA_DIARIA!X299+CARGA_DIARIA!Y299+CARGA_DIARIA!Z299+CARGA_DIARIA!AA299)/CARGA_DIARIA!B299+CARGA_DIARIA!AB299+CARGA_DIARIA!AC299+CARGA_DIARIA!AD299+CARGA_DIARIA!AE299))</f>
        <v/>
      </c>
      <c r="F299" s="39" t="s">
        <v>146</v>
      </c>
      <c r="G299" s="39" t="s">
        <v>146</v>
      </c>
      <c r="H299" s="38" t="str">
        <f>IF(CARGA_DIARIA!A299="","",C299-D299-E299)</f>
        <v/>
      </c>
    </row>
    <row r="300" spans="1:8" ht="15.75" customHeight="1" x14ac:dyDescent="0.25">
      <c r="A300" s="33" t="str">
        <f>IF(CARGA_DIARIA!A300="","",CARGA_DIARIA!A300)</f>
        <v/>
      </c>
      <c r="B300" s="34" t="str">
        <f>IF(CARGA_DIARIA!A300="","",CARGA_DIARIA!B300)</f>
        <v/>
      </c>
      <c r="C300" s="35" t="str">
        <f>IF(CARGA_DIARIA!A300="","",IF(CARGA_DIARIA!B300=0,0,(CARGA_DIARIA!C300+CARGA_DIARIA!D300+CARGA_DIARIA!E300+CARGA_DIARIA!F300+CARGA_DIARIA!G300+CARGA_DIARIA!H300+CARGA_DIARIA!I300+CARGA_DIARIA!AG300+CARGA_DIARIA!AH300+CARGA_DIARIA!AI300+CARGA_DIARIA!AJ300)/CARGA_DIARIA!B300+CARGA_DIARIA!AF300))</f>
        <v/>
      </c>
      <c r="D300" s="36" t="str">
        <f>IF(CARGA_DIARIA!A300="","",IF(CARGA_DIARIA!B300=0,0,(CARGA_DIARIA!J300+CARGA_DIARIA!K300+CARGA_DIARIA!L300+CARGA_DIARIA!M300+CARGA_DIARIA!N300+CARGA_DIARIA!O300+CARGA_DIARIA!P300+CARGA_DIARIA!Q300+CARGA_DIARIA!R300+CARGA_DIARIA!S300+CARGA_DIARIA!T300+CARGA_DIARIA!U300+CARGA_DIARIA!V300+CARGA_DIARIA!W300)/CARGA_DIARIA!B300))</f>
        <v/>
      </c>
      <c r="E300" s="36" t="str">
        <f>IF(CARGA_DIARIA!A300="","",IF(CARGA_DIARIA!B300=0,0,(CARGA_DIARIA!X300+CARGA_DIARIA!Y300+CARGA_DIARIA!Z300+CARGA_DIARIA!AA300)/CARGA_DIARIA!B300+CARGA_DIARIA!AB300+CARGA_DIARIA!AC300+CARGA_DIARIA!AD300+CARGA_DIARIA!AE300))</f>
        <v/>
      </c>
      <c r="F300" s="39" t="s">
        <v>146</v>
      </c>
      <c r="G300" s="39" t="s">
        <v>146</v>
      </c>
      <c r="H300" s="38" t="str">
        <f>IF(CARGA_DIARIA!A300="","",C300-D300-E300)</f>
        <v/>
      </c>
    </row>
    <row r="301" spans="1:8" ht="15.75" customHeight="1" x14ac:dyDescent="0.25">
      <c r="A301" s="33" t="str">
        <f>IF(CARGA_DIARIA!A301="","",CARGA_DIARIA!A301)</f>
        <v/>
      </c>
      <c r="B301" s="34" t="str">
        <f>IF(CARGA_DIARIA!A301="","",CARGA_DIARIA!B301)</f>
        <v/>
      </c>
      <c r="C301" s="35" t="str">
        <f>IF(CARGA_DIARIA!A301="","",IF(CARGA_DIARIA!B301=0,0,(CARGA_DIARIA!C301+CARGA_DIARIA!D301+CARGA_DIARIA!E301+CARGA_DIARIA!F301+CARGA_DIARIA!G301+CARGA_DIARIA!H301+CARGA_DIARIA!I301+CARGA_DIARIA!AG301+CARGA_DIARIA!AH301+CARGA_DIARIA!AI301+CARGA_DIARIA!AJ301)/CARGA_DIARIA!B301+CARGA_DIARIA!AF301))</f>
        <v/>
      </c>
      <c r="D301" s="36" t="str">
        <f>IF(CARGA_DIARIA!A301="","",IF(CARGA_DIARIA!B301=0,0,(CARGA_DIARIA!J301+CARGA_DIARIA!K301+CARGA_DIARIA!L301+CARGA_DIARIA!M301+CARGA_DIARIA!N301+CARGA_DIARIA!O301+CARGA_DIARIA!P301+CARGA_DIARIA!Q301+CARGA_DIARIA!R301+CARGA_DIARIA!S301+CARGA_DIARIA!T301+CARGA_DIARIA!U301+CARGA_DIARIA!V301+CARGA_DIARIA!W301)/CARGA_DIARIA!B301))</f>
        <v/>
      </c>
      <c r="E301" s="36" t="str">
        <f>IF(CARGA_DIARIA!A301="","",IF(CARGA_DIARIA!B301=0,0,(CARGA_DIARIA!X301+CARGA_DIARIA!Y301+CARGA_DIARIA!Z301+CARGA_DIARIA!AA301)/CARGA_DIARIA!B301+CARGA_DIARIA!AB301+CARGA_DIARIA!AC301+CARGA_DIARIA!AD301+CARGA_DIARIA!AE301))</f>
        <v/>
      </c>
      <c r="F301" s="39" t="s">
        <v>146</v>
      </c>
      <c r="G301" s="39" t="s">
        <v>146</v>
      </c>
      <c r="H301" s="38" t="str">
        <f>IF(CARGA_DIARIA!A301="","",C301-D301-E301)</f>
        <v/>
      </c>
    </row>
    <row r="302" spans="1:8" ht="15.75" customHeight="1" x14ac:dyDescent="0.25">
      <c r="A302" s="33" t="str">
        <f>IF(CARGA_DIARIA!A302="","",CARGA_DIARIA!A302)</f>
        <v/>
      </c>
      <c r="B302" s="34" t="str">
        <f>IF(CARGA_DIARIA!A302="","",CARGA_DIARIA!B302)</f>
        <v/>
      </c>
      <c r="C302" s="35" t="str">
        <f>IF(CARGA_DIARIA!A302="","",IF(CARGA_DIARIA!B302=0,0,(CARGA_DIARIA!C302+CARGA_DIARIA!D302+CARGA_DIARIA!E302+CARGA_DIARIA!F302+CARGA_DIARIA!G302+CARGA_DIARIA!H302+CARGA_DIARIA!I302+CARGA_DIARIA!AG302+CARGA_DIARIA!AH302+CARGA_DIARIA!AI302+CARGA_DIARIA!AJ302)/CARGA_DIARIA!B302+CARGA_DIARIA!AF302))</f>
        <v/>
      </c>
      <c r="D302" s="36" t="str">
        <f>IF(CARGA_DIARIA!A302="","",IF(CARGA_DIARIA!B302=0,0,(CARGA_DIARIA!J302+CARGA_DIARIA!K302+CARGA_DIARIA!L302+CARGA_DIARIA!M302+CARGA_DIARIA!N302+CARGA_DIARIA!O302+CARGA_DIARIA!P302+CARGA_DIARIA!Q302+CARGA_DIARIA!R302+CARGA_DIARIA!S302+CARGA_DIARIA!T302+CARGA_DIARIA!U302+CARGA_DIARIA!V302+CARGA_DIARIA!W302)/CARGA_DIARIA!B302))</f>
        <v/>
      </c>
      <c r="E302" s="36" t="str">
        <f>IF(CARGA_DIARIA!A302="","",IF(CARGA_DIARIA!B302=0,0,(CARGA_DIARIA!X302+CARGA_DIARIA!Y302+CARGA_DIARIA!Z302+CARGA_DIARIA!AA302)/CARGA_DIARIA!B302+CARGA_DIARIA!AB302+CARGA_DIARIA!AC302+CARGA_DIARIA!AD302+CARGA_DIARIA!AE302))</f>
        <v/>
      </c>
      <c r="F302" s="39" t="s">
        <v>146</v>
      </c>
      <c r="G302" s="39" t="s">
        <v>146</v>
      </c>
      <c r="H302" s="38" t="str">
        <f>IF(CARGA_DIARIA!A302="","",C302-D302-E302)</f>
        <v/>
      </c>
    </row>
    <row r="303" spans="1:8" ht="15.75" customHeight="1" x14ac:dyDescent="0.25">
      <c r="A303" s="33" t="str">
        <f>IF(CARGA_DIARIA!A303="","",CARGA_DIARIA!A303)</f>
        <v/>
      </c>
      <c r="B303" s="34" t="str">
        <f>IF(CARGA_DIARIA!A303="","",CARGA_DIARIA!B303)</f>
        <v/>
      </c>
      <c r="C303" s="35" t="str">
        <f>IF(CARGA_DIARIA!A303="","",IF(CARGA_DIARIA!B303=0,0,(CARGA_DIARIA!C303+CARGA_DIARIA!D303+CARGA_DIARIA!E303+CARGA_DIARIA!F303+CARGA_DIARIA!G303+CARGA_DIARIA!H303+CARGA_DIARIA!I303+CARGA_DIARIA!AG303+CARGA_DIARIA!AH303+CARGA_DIARIA!AI303+CARGA_DIARIA!AJ303)/CARGA_DIARIA!B303+CARGA_DIARIA!AF303))</f>
        <v/>
      </c>
      <c r="D303" s="36" t="str">
        <f>IF(CARGA_DIARIA!A303="","",IF(CARGA_DIARIA!B303=0,0,(CARGA_DIARIA!J303+CARGA_DIARIA!K303+CARGA_DIARIA!L303+CARGA_DIARIA!M303+CARGA_DIARIA!N303+CARGA_DIARIA!O303+CARGA_DIARIA!P303+CARGA_DIARIA!Q303+CARGA_DIARIA!R303+CARGA_DIARIA!S303+CARGA_DIARIA!T303+CARGA_DIARIA!U303+CARGA_DIARIA!V303+CARGA_DIARIA!W303)/CARGA_DIARIA!B303))</f>
        <v/>
      </c>
      <c r="E303" s="36" t="str">
        <f>IF(CARGA_DIARIA!A303="","",IF(CARGA_DIARIA!B303=0,0,(CARGA_DIARIA!X303+CARGA_DIARIA!Y303+CARGA_DIARIA!Z303+CARGA_DIARIA!AA303)/CARGA_DIARIA!B303+CARGA_DIARIA!AB303+CARGA_DIARIA!AC303+CARGA_DIARIA!AD303+CARGA_DIARIA!AE303))</f>
        <v/>
      </c>
      <c r="F303" s="39" t="s">
        <v>146</v>
      </c>
      <c r="G303" s="39" t="s">
        <v>146</v>
      </c>
      <c r="H303" s="38" t="str">
        <f>IF(CARGA_DIARIA!A303="","",C303-D303-E303)</f>
        <v/>
      </c>
    </row>
    <row r="304" spans="1:8" ht="15.75" customHeight="1" x14ac:dyDescent="0.25">
      <c r="A304" s="33" t="str">
        <f>IF(CARGA_DIARIA!A304="","",CARGA_DIARIA!A304)</f>
        <v/>
      </c>
      <c r="B304" s="34" t="str">
        <f>IF(CARGA_DIARIA!A304="","",CARGA_DIARIA!B304)</f>
        <v/>
      </c>
      <c r="C304" s="35" t="str">
        <f>IF(CARGA_DIARIA!A304="","",IF(CARGA_DIARIA!B304=0,0,(CARGA_DIARIA!C304+CARGA_DIARIA!D304+CARGA_DIARIA!E304+CARGA_DIARIA!F304+CARGA_DIARIA!G304+CARGA_DIARIA!H304+CARGA_DIARIA!I304+CARGA_DIARIA!AG304+CARGA_DIARIA!AH304+CARGA_DIARIA!AI304+CARGA_DIARIA!AJ304)/CARGA_DIARIA!B304+CARGA_DIARIA!AF304))</f>
        <v/>
      </c>
      <c r="D304" s="36" t="str">
        <f>IF(CARGA_DIARIA!A304="","",IF(CARGA_DIARIA!B304=0,0,(CARGA_DIARIA!J304+CARGA_DIARIA!K304+CARGA_DIARIA!L304+CARGA_DIARIA!M304+CARGA_DIARIA!N304+CARGA_DIARIA!O304+CARGA_DIARIA!P304+CARGA_DIARIA!Q304+CARGA_DIARIA!R304+CARGA_DIARIA!S304+CARGA_DIARIA!T304+CARGA_DIARIA!U304+CARGA_DIARIA!V304+CARGA_DIARIA!W304)/CARGA_DIARIA!B304))</f>
        <v/>
      </c>
      <c r="E304" s="36" t="str">
        <f>IF(CARGA_DIARIA!A304="","",IF(CARGA_DIARIA!B304=0,0,(CARGA_DIARIA!X304+CARGA_DIARIA!Y304+CARGA_DIARIA!Z304+CARGA_DIARIA!AA304)/CARGA_DIARIA!B304+CARGA_DIARIA!AB304+CARGA_DIARIA!AC304+CARGA_DIARIA!AD304+CARGA_DIARIA!AE304))</f>
        <v/>
      </c>
      <c r="F304" s="39" t="s">
        <v>146</v>
      </c>
      <c r="G304" s="39" t="s">
        <v>146</v>
      </c>
      <c r="H304" s="38" t="str">
        <f>IF(CARGA_DIARIA!A304="","",C304-D304-E304)</f>
        <v/>
      </c>
    </row>
    <row r="305" spans="1:8" ht="15.75" customHeight="1" x14ac:dyDescent="0.25">
      <c r="A305" s="33" t="str">
        <f>IF(CARGA_DIARIA!A305="","",CARGA_DIARIA!A305)</f>
        <v/>
      </c>
      <c r="B305" s="34" t="str">
        <f>IF(CARGA_DIARIA!A305="","",CARGA_DIARIA!B305)</f>
        <v/>
      </c>
      <c r="C305" s="35" t="str">
        <f>IF(CARGA_DIARIA!A305="","",IF(CARGA_DIARIA!B305=0,0,(CARGA_DIARIA!C305+CARGA_DIARIA!D305+CARGA_DIARIA!E305+CARGA_DIARIA!F305+CARGA_DIARIA!G305+CARGA_DIARIA!H305+CARGA_DIARIA!I305+CARGA_DIARIA!AG305+CARGA_DIARIA!AH305+CARGA_DIARIA!AI305+CARGA_DIARIA!AJ305)/CARGA_DIARIA!B305+CARGA_DIARIA!AF305))</f>
        <v/>
      </c>
      <c r="D305" s="36" t="str">
        <f>IF(CARGA_DIARIA!A305="","",IF(CARGA_DIARIA!B305=0,0,(CARGA_DIARIA!J305+CARGA_DIARIA!K305+CARGA_DIARIA!L305+CARGA_DIARIA!M305+CARGA_DIARIA!N305+CARGA_DIARIA!O305+CARGA_DIARIA!P305+CARGA_DIARIA!Q305+CARGA_DIARIA!R305+CARGA_DIARIA!S305+CARGA_DIARIA!T305+CARGA_DIARIA!U305+CARGA_DIARIA!V305+CARGA_DIARIA!W305)/CARGA_DIARIA!B305))</f>
        <v/>
      </c>
      <c r="E305" s="36" t="str">
        <f>IF(CARGA_DIARIA!A305="","",IF(CARGA_DIARIA!B305=0,0,(CARGA_DIARIA!X305+CARGA_DIARIA!Y305+CARGA_DIARIA!Z305+CARGA_DIARIA!AA305)/CARGA_DIARIA!B305+CARGA_DIARIA!AB305+CARGA_DIARIA!AC305+CARGA_DIARIA!AD305+CARGA_DIARIA!AE305))</f>
        <v/>
      </c>
      <c r="F305" s="39" t="s">
        <v>146</v>
      </c>
      <c r="G305" s="39" t="s">
        <v>146</v>
      </c>
      <c r="H305" s="38" t="str">
        <f>IF(CARGA_DIARIA!A305="","",C305-D305-E305)</f>
        <v/>
      </c>
    </row>
    <row r="306" spans="1:8" ht="15.75" customHeight="1" x14ac:dyDescent="0.25">
      <c r="A306" s="33" t="str">
        <f>IF(CARGA_DIARIA!A306="","",CARGA_DIARIA!A306)</f>
        <v/>
      </c>
      <c r="B306" s="34" t="str">
        <f>IF(CARGA_DIARIA!A306="","",CARGA_DIARIA!B306)</f>
        <v/>
      </c>
      <c r="C306" s="35" t="str">
        <f>IF(CARGA_DIARIA!A306="","",IF(CARGA_DIARIA!B306=0,0,(CARGA_DIARIA!C306+CARGA_DIARIA!D306+CARGA_DIARIA!E306+CARGA_DIARIA!F306+CARGA_DIARIA!G306+CARGA_DIARIA!H306+CARGA_DIARIA!I306+CARGA_DIARIA!AG306+CARGA_DIARIA!AH306+CARGA_DIARIA!AI306+CARGA_DIARIA!AJ306)/CARGA_DIARIA!B306+CARGA_DIARIA!AF306))</f>
        <v/>
      </c>
      <c r="D306" s="36" t="str">
        <f>IF(CARGA_DIARIA!A306="","",IF(CARGA_DIARIA!B306=0,0,(CARGA_DIARIA!J306+CARGA_DIARIA!K306+CARGA_DIARIA!L306+CARGA_DIARIA!M306+CARGA_DIARIA!N306+CARGA_DIARIA!O306+CARGA_DIARIA!P306+CARGA_DIARIA!Q306+CARGA_DIARIA!R306+CARGA_DIARIA!S306+CARGA_DIARIA!T306+CARGA_DIARIA!U306+CARGA_DIARIA!V306+CARGA_DIARIA!W306)/CARGA_DIARIA!B306))</f>
        <v/>
      </c>
      <c r="E306" s="36" t="str">
        <f>IF(CARGA_DIARIA!A306="","",IF(CARGA_DIARIA!B306=0,0,(CARGA_DIARIA!X306+CARGA_DIARIA!Y306+CARGA_DIARIA!Z306+CARGA_DIARIA!AA306)/CARGA_DIARIA!B306+CARGA_DIARIA!AB306+CARGA_DIARIA!AC306+CARGA_DIARIA!AD306+CARGA_DIARIA!AE306))</f>
        <v/>
      </c>
      <c r="F306" s="39" t="s">
        <v>146</v>
      </c>
      <c r="G306" s="39" t="s">
        <v>146</v>
      </c>
      <c r="H306" s="38" t="str">
        <f>IF(CARGA_DIARIA!A306="","",C306-D306-E306)</f>
        <v/>
      </c>
    </row>
    <row r="307" spans="1:8" ht="15.75" customHeight="1" x14ac:dyDescent="0.25">
      <c r="A307" s="33" t="str">
        <f>IF(CARGA_DIARIA!A307="","",CARGA_DIARIA!A307)</f>
        <v/>
      </c>
      <c r="B307" s="34" t="str">
        <f>IF(CARGA_DIARIA!A307="","",CARGA_DIARIA!B307)</f>
        <v/>
      </c>
      <c r="C307" s="35" t="str">
        <f>IF(CARGA_DIARIA!A307="","",IF(CARGA_DIARIA!B307=0,0,(CARGA_DIARIA!C307+CARGA_DIARIA!D307+CARGA_DIARIA!E307+CARGA_DIARIA!F307+CARGA_DIARIA!G307+CARGA_DIARIA!H307+CARGA_DIARIA!I307+CARGA_DIARIA!AG307+CARGA_DIARIA!AH307+CARGA_DIARIA!AI307+CARGA_DIARIA!AJ307)/CARGA_DIARIA!B307+CARGA_DIARIA!AF307))</f>
        <v/>
      </c>
      <c r="D307" s="36" t="str">
        <f>IF(CARGA_DIARIA!A307="","",IF(CARGA_DIARIA!B307=0,0,(CARGA_DIARIA!J307+CARGA_DIARIA!K307+CARGA_DIARIA!L307+CARGA_DIARIA!M307+CARGA_DIARIA!N307+CARGA_DIARIA!O307+CARGA_DIARIA!P307+CARGA_DIARIA!Q307+CARGA_DIARIA!R307+CARGA_DIARIA!S307+CARGA_DIARIA!T307+CARGA_DIARIA!U307+CARGA_DIARIA!V307+CARGA_DIARIA!W307)/CARGA_DIARIA!B307))</f>
        <v/>
      </c>
      <c r="E307" s="36" t="str">
        <f>IF(CARGA_DIARIA!A307="","",IF(CARGA_DIARIA!B307=0,0,(CARGA_DIARIA!X307+CARGA_DIARIA!Y307+CARGA_DIARIA!Z307+CARGA_DIARIA!AA307)/CARGA_DIARIA!B307+CARGA_DIARIA!AB307+CARGA_DIARIA!AC307+CARGA_DIARIA!AD307+CARGA_DIARIA!AE307))</f>
        <v/>
      </c>
      <c r="F307" s="39" t="s">
        <v>146</v>
      </c>
      <c r="G307" s="39" t="s">
        <v>146</v>
      </c>
      <c r="H307" s="38" t="str">
        <f>IF(CARGA_DIARIA!A307="","",C307-D307-E307)</f>
        <v/>
      </c>
    </row>
    <row r="308" spans="1:8" ht="15.75" customHeight="1" x14ac:dyDescent="0.25">
      <c r="A308" s="33" t="str">
        <f>IF(CARGA_DIARIA!A308="","",CARGA_DIARIA!A308)</f>
        <v/>
      </c>
      <c r="B308" s="34" t="str">
        <f>IF(CARGA_DIARIA!A308="","",CARGA_DIARIA!B308)</f>
        <v/>
      </c>
      <c r="C308" s="35" t="str">
        <f>IF(CARGA_DIARIA!A308="","",IF(CARGA_DIARIA!B308=0,0,(CARGA_DIARIA!C308+CARGA_DIARIA!D308+CARGA_DIARIA!E308+CARGA_DIARIA!F308+CARGA_DIARIA!G308+CARGA_DIARIA!H308+CARGA_DIARIA!I308+CARGA_DIARIA!AG308+CARGA_DIARIA!AH308+CARGA_DIARIA!AI308+CARGA_DIARIA!AJ308)/CARGA_DIARIA!B308+CARGA_DIARIA!AF308))</f>
        <v/>
      </c>
      <c r="D308" s="36" t="str">
        <f>IF(CARGA_DIARIA!A308="","",IF(CARGA_DIARIA!B308=0,0,(CARGA_DIARIA!J308+CARGA_DIARIA!K308+CARGA_DIARIA!L308+CARGA_DIARIA!M308+CARGA_DIARIA!N308+CARGA_DIARIA!O308+CARGA_DIARIA!P308+CARGA_DIARIA!Q308+CARGA_DIARIA!R308+CARGA_DIARIA!S308+CARGA_DIARIA!T308+CARGA_DIARIA!U308+CARGA_DIARIA!V308+CARGA_DIARIA!W308)/CARGA_DIARIA!B308))</f>
        <v/>
      </c>
      <c r="E308" s="36" t="str">
        <f>IF(CARGA_DIARIA!A308="","",IF(CARGA_DIARIA!B308=0,0,(CARGA_DIARIA!X308+CARGA_DIARIA!Y308+CARGA_DIARIA!Z308+CARGA_DIARIA!AA308)/CARGA_DIARIA!B308+CARGA_DIARIA!AB308+CARGA_DIARIA!AC308+CARGA_DIARIA!AD308+CARGA_DIARIA!AE308))</f>
        <v/>
      </c>
      <c r="F308" s="39" t="s">
        <v>146</v>
      </c>
      <c r="G308" s="39" t="s">
        <v>146</v>
      </c>
      <c r="H308" s="38" t="str">
        <f>IF(CARGA_DIARIA!A308="","",C308-D308-E308)</f>
        <v/>
      </c>
    </row>
    <row r="309" spans="1:8" ht="15.75" customHeight="1" x14ac:dyDescent="0.25">
      <c r="A309" s="33" t="str">
        <f>IF(CARGA_DIARIA!A309="","",CARGA_DIARIA!A309)</f>
        <v/>
      </c>
      <c r="B309" s="34" t="str">
        <f>IF(CARGA_DIARIA!A309="","",CARGA_DIARIA!B309)</f>
        <v/>
      </c>
      <c r="C309" s="35" t="str">
        <f>IF(CARGA_DIARIA!A309="","",IF(CARGA_DIARIA!B309=0,0,(CARGA_DIARIA!C309+CARGA_DIARIA!D309+CARGA_DIARIA!E309+CARGA_DIARIA!F309+CARGA_DIARIA!G309+CARGA_DIARIA!H309+CARGA_DIARIA!I309+CARGA_DIARIA!AG309+CARGA_DIARIA!AH309+CARGA_DIARIA!AI309+CARGA_DIARIA!AJ309)/CARGA_DIARIA!B309+CARGA_DIARIA!AF309))</f>
        <v/>
      </c>
      <c r="D309" s="36" t="str">
        <f>IF(CARGA_DIARIA!A309="","",IF(CARGA_DIARIA!B309=0,0,(CARGA_DIARIA!J309+CARGA_DIARIA!K309+CARGA_DIARIA!L309+CARGA_DIARIA!M309+CARGA_DIARIA!N309+CARGA_DIARIA!O309+CARGA_DIARIA!P309+CARGA_DIARIA!Q309+CARGA_DIARIA!R309+CARGA_DIARIA!S309+CARGA_DIARIA!T309+CARGA_DIARIA!U309+CARGA_DIARIA!V309+CARGA_DIARIA!W309)/CARGA_DIARIA!B309))</f>
        <v/>
      </c>
      <c r="E309" s="36" t="str">
        <f>IF(CARGA_DIARIA!A309="","",IF(CARGA_DIARIA!B309=0,0,(CARGA_DIARIA!X309+CARGA_DIARIA!Y309+CARGA_DIARIA!Z309+CARGA_DIARIA!AA309)/CARGA_DIARIA!B309+CARGA_DIARIA!AB309+CARGA_DIARIA!AC309+CARGA_DIARIA!AD309+CARGA_DIARIA!AE309))</f>
        <v/>
      </c>
      <c r="F309" s="39" t="s">
        <v>146</v>
      </c>
      <c r="G309" s="39" t="s">
        <v>146</v>
      </c>
      <c r="H309" s="38" t="str">
        <f>IF(CARGA_DIARIA!A309="","",C309-D309-E309)</f>
        <v/>
      </c>
    </row>
    <row r="310" spans="1:8" ht="15.75" customHeight="1" x14ac:dyDescent="0.25">
      <c r="A310" s="33" t="str">
        <f>IF(CARGA_DIARIA!A310="","",CARGA_DIARIA!A310)</f>
        <v/>
      </c>
      <c r="B310" s="34" t="str">
        <f>IF(CARGA_DIARIA!A310="","",CARGA_DIARIA!B310)</f>
        <v/>
      </c>
      <c r="C310" s="35" t="str">
        <f>IF(CARGA_DIARIA!A310="","",IF(CARGA_DIARIA!B310=0,0,(CARGA_DIARIA!C310+CARGA_DIARIA!D310+CARGA_DIARIA!E310+CARGA_DIARIA!F310+CARGA_DIARIA!G310+CARGA_DIARIA!H310+CARGA_DIARIA!I310+CARGA_DIARIA!AG310+CARGA_DIARIA!AH310+CARGA_DIARIA!AI310+CARGA_DIARIA!AJ310)/CARGA_DIARIA!B310+CARGA_DIARIA!AF310))</f>
        <v/>
      </c>
      <c r="D310" s="36" t="str">
        <f>IF(CARGA_DIARIA!A310="","",IF(CARGA_DIARIA!B310=0,0,(CARGA_DIARIA!J310+CARGA_DIARIA!K310+CARGA_DIARIA!L310+CARGA_DIARIA!M310+CARGA_DIARIA!N310+CARGA_DIARIA!O310+CARGA_DIARIA!P310+CARGA_DIARIA!Q310+CARGA_DIARIA!R310+CARGA_DIARIA!S310+CARGA_DIARIA!T310+CARGA_DIARIA!U310+CARGA_DIARIA!V310+CARGA_DIARIA!W310)/CARGA_DIARIA!B310))</f>
        <v/>
      </c>
      <c r="E310" s="36" t="str">
        <f>IF(CARGA_DIARIA!A310="","",IF(CARGA_DIARIA!B310=0,0,(CARGA_DIARIA!X310+CARGA_DIARIA!Y310+CARGA_DIARIA!Z310+CARGA_DIARIA!AA310)/CARGA_DIARIA!B310+CARGA_DIARIA!AB310+CARGA_DIARIA!AC310+CARGA_DIARIA!AD310+CARGA_DIARIA!AE310))</f>
        <v/>
      </c>
      <c r="F310" s="39" t="s">
        <v>146</v>
      </c>
      <c r="G310" s="39" t="s">
        <v>146</v>
      </c>
      <c r="H310" s="38" t="str">
        <f>IF(CARGA_DIARIA!A310="","",C310-D310-E310)</f>
        <v/>
      </c>
    </row>
    <row r="311" spans="1:8" ht="15.75" customHeight="1" x14ac:dyDescent="0.25">
      <c r="A311" s="33" t="str">
        <f>IF(CARGA_DIARIA!A311="","",CARGA_DIARIA!A311)</f>
        <v/>
      </c>
      <c r="B311" s="34" t="str">
        <f>IF(CARGA_DIARIA!A311="","",CARGA_DIARIA!B311)</f>
        <v/>
      </c>
      <c r="C311" s="35" t="str">
        <f>IF(CARGA_DIARIA!A311="","",IF(CARGA_DIARIA!B311=0,0,(CARGA_DIARIA!C311+CARGA_DIARIA!D311+CARGA_DIARIA!E311+CARGA_DIARIA!F311+CARGA_DIARIA!G311+CARGA_DIARIA!H311+CARGA_DIARIA!I311+CARGA_DIARIA!AG311+CARGA_DIARIA!AH311+CARGA_DIARIA!AI311+CARGA_DIARIA!AJ311)/CARGA_DIARIA!B311+CARGA_DIARIA!AF311))</f>
        <v/>
      </c>
      <c r="D311" s="36" t="str">
        <f>IF(CARGA_DIARIA!A311="","",IF(CARGA_DIARIA!B311=0,0,(CARGA_DIARIA!J311+CARGA_DIARIA!K311+CARGA_DIARIA!L311+CARGA_DIARIA!M311+CARGA_DIARIA!N311+CARGA_DIARIA!O311+CARGA_DIARIA!P311+CARGA_DIARIA!Q311+CARGA_DIARIA!R311+CARGA_DIARIA!S311+CARGA_DIARIA!T311+CARGA_DIARIA!U311+CARGA_DIARIA!V311+CARGA_DIARIA!W311)/CARGA_DIARIA!B311))</f>
        <v/>
      </c>
      <c r="E311" s="36" t="str">
        <f>IF(CARGA_DIARIA!A311="","",IF(CARGA_DIARIA!B311=0,0,(CARGA_DIARIA!X311+CARGA_DIARIA!Y311+CARGA_DIARIA!Z311+CARGA_DIARIA!AA311)/CARGA_DIARIA!B311+CARGA_DIARIA!AB311+CARGA_DIARIA!AC311+CARGA_DIARIA!AD311+CARGA_DIARIA!AE311))</f>
        <v/>
      </c>
      <c r="F311" s="39" t="s">
        <v>146</v>
      </c>
      <c r="G311" s="39" t="s">
        <v>146</v>
      </c>
      <c r="H311" s="38" t="str">
        <f>IF(CARGA_DIARIA!A311="","",C311-D311-E311)</f>
        <v/>
      </c>
    </row>
    <row r="312" spans="1:8" ht="15.75" customHeight="1" x14ac:dyDescent="0.25">
      <c r="A312" s="33" t="str">
        <f>IF(CARGA_DIARIA!A312="","",CARGA_DIARIA!A312)</f>
        <v/>
      </c>
      <c r="B312" s="34" t="str">
        <f>IF(CARGA_DIARIA!A312="","",CARGA_DIARIA!B312)</f>
        <v/>
      </c>
      <c r="C312" s="35" t="str">
        <f>IF(CARGA_DIARIA!A312="","",IF(CARGA_DIARIA!B312=0,0,(CARGA_DIARIA!C312+CARGA_DIARIA!D312+CARGA_DIARIA!E312+CARGA_DIARIA!F312+CARGA_DIARIA!G312+CARGA_DIARIA!H312+CARGA_DIARIA!I312+CARGA_DIARIA!AG312+CARGA_DIARIA!AH312+CARGA_DIARIA!AI312+CARGA_DIARIA!AJ312)/CARGA_DIARIA!B312+CARGA_DIARIA!AF312))</f>
        <v/>
      </c>
      <c r="D312" s="36" t="str">
        <f>IF(CARGA_DIARIA!A312="","",IF(CARGA_DIARIA!B312=0,0,(CARGA_DIARIA!J312+CARGA_DIARIA!K312+CARGA_DIARIA!L312+CARGA_DIARIA!M312+CARGA_DIARIA!N312+CARGA_DIARIA!O312+CARGA_DIARIA!P312+CARGA_DIARIA!Q312+CARGA_DIARIA!R312+CARGA_DIARIA!S312+CARGA_DIARIA!T312+CARGA_DIARIA!U312+CARGA_DIARIA!V312+CARGA_DIARIA!W312)/CARGA_DIARIA!B312))</f>
        <v/>
      </c>
      <c r="E312" s="36" t="str">
        <f>IF(CARGA_DIARIA!A312="","",IF(CARGA_DIARIA!B312=0,0,(CARGA_DIARIA!X312+CARGA_DIARIA!Y312+CARGA_DIARIA!Z312+CARGA_DIARIA!AA312)/CARGA_DIARIA!B312+CARGA_DIARIA!AB312+CARGA_DIARIA!AC312+CARGA_DIARIA!AD312+CARGA_DIARIA!AE312))</f>
        <v/>
      </c>
      <c r="F312" s="39" t="s">
        <v>146</v>
      </c>
      <c r="G312" s="39" t="s">
        <v>146</v>
      </c>
      <c r="H312" s="38" t="str">
        <f>IF(CARGA_DIARIA!A312="","",C312-D312-E312)</f>
        <v/>
      </c>
    </row>
    <row r="313" spans="1:8" ht="15.75" customHeight="1" x14ac:dyDescent="0.25">
      <c r="A313" s="33" t="str">
        <f>IF(CARGA_DIARIA!A313="","",CARGA_DIARIA!A313)</f>
        <v/>
      </c>
      <c r="B313" s="34" t="str">
        <f>IF(CARGA_DIARIA!A313="","",CARGA_DIARIA!B313)</f>
        <v/>
      </c>
      <c r="C313" s="35" t="str">
        <f>IF(CARGA_DIARIA!A313="","",IF(CARGA_DIARIA!B313=0,0,(CARGA_DIARIA!C313+CARGA_DIARIA!D313+CARGA_DIARIA!E313+CARGA_DIARIA!F313+CARGA_DIARIA!G313+CARGA_DIARIA!H313+CARGA_DIARIA!I313+CARGA_DIARIA!AG313+CARGA_DIARIA!AH313+CARGA_DIARIA!AI313+CARGA_DIARIA!AJ313)/CARGA_DIARIA!B313+CARGA_DIARIA!AF313))</f>
        <v/>
      </c>
      <c r="D313" s="36" t="str">
        <f>IF(CARGA_DIARIA!A313="","",IF(CARGA_DIARIA!B313=0,0,(CARGA_DIARIA!J313+CARGA_DIARIA!K313+CARGA_DIARIA!L313+CARGA_DIARIA!M313+CARGA_DIARIA!N313+CARGA_DIARIA!O313+CARGA_DIARIA!P313+CARGA_DIARIA!Q313+CARGA_DIARIA!R313+CARGA_DIARIA!S313+CARGA_DIARIA!T313+CARGA_DIARIA!U313+CARGA_DIARIA!V313+CARGA_DIARIA!W313)/CARGA_DIARIA!B313))</f>
        <v/>
      </c>
      <c r="E313" s="36" t="str">
        <f>IF(CARGA_DIARIA!A313="","",IF(CARGA_DIARIA!B313=0,0,(CARGA_DIARIA!X313+CARGA_DIARIA!Y313+CARGA_DIARIA!Z313+CARGA_DIARIA!AA313)/CARGA_DIARIA!B313+CARGA_DIARIA!AB313+CARGA_DIARIA!AC313+CARGA_DIARIA!AD313+CARGA_DIARIA!AE313))</f>
        <v/>
      </c>
      <c r="F313" s="39" t="s">
        <v>146</v>
      </c>
      <c r="G313" s="39" t="s">
        <v>146</v>
      </c>
      <c r="H313" s="38" t="str">
        <f>IF(CARGA_DIARIA!A313="","",C313-D313-E313)</f>
        <v/>
      </c>
    </row>
    <row r="314" spans="1:8" ht="15.75" customHeight="1" x14ac:dyDescent="0.25">
      <c r="A314" s="33" t="str">
        <f>IF(CARGA_DIARIA!A314="","",CARGA_DIARIA!A314)</f>
        <v/>
      </c>
      <c r="B314" s="34" t="str">
        <f>IF(CARGA_DIARIA!A314="","",CARGA_DIARIA!B314)</f>
        <v/>
      </c>
      <c r="C314" s="35" t="str">
        <f>IF(CARGA_DIARIA!A314="","",IF(CARGA_DIARIA!B314=0,0,(CARGA_DIARIA!C314+CARGA_DIARIA!D314+CARGA_DIARIA!E314+CARGA_DIARIA!F314+CARGA_DIARIA!G314+CARGA_DIARIA!H314+CARGA_DIARIA!I314+CARGA_DIARIA!AG314+CARGA_DIARIA!AH314+CARGA_DIARIA!AI314+CARGA_DIARIA!AJ314)/CARGA_DIARIA!B314+CARGA_DIARIA!AF314))</f>
        <v/>
      </c>
      <c r="D314" s="36" t="str">
        <f>IF(CARGA_DIARIA!A314="","",IF(CARGA_DIARIA!B314=0,0,(CARGA_DIARIA!J314+CARGA_DIARIA!K314+CARGA_DIARIA!L314+CARGA_DIARIA!M314+CARGA_DIARIA!N314+CARGA_DIARIA!O314+CARGA_DIARIA!P314+CARGA_DIARIA!Q314+CARGA_DIARIA!R314+CARGA_DIARIA!S314+CARGA_DIARIA!T314+CARGA_DIARIA!U314+CARGA_DIARIA!V314+CARGA_DIARIA!W314)/CARGA_DIARIA!B314))</f>
        <v/>
      </c>
      <c r="E314" s="36" t="str">
        <f>IF(CARGA_DIARIA!A314="","",IF(CARGA_DIARIA!B314=0,0,(CARGA_DIARIA!X314+CARGA_DIARIA!Y314+CARGA_DIARIA!Z314+CARGA_DIARIA!AA314)/CARGA_DIARIA!B314+CARGA_DIARIA!AB314+CARGA_DIARIA!AC314+CARGA_DIARIA!AD314+CARGA_DIARIA!AE314))</f>
        <v/>
      </c>
      <c r="F314" s="39" t="s">
        <v>146</v>
      </c>
      <c r="G314" s="39" t="s">
        <v>146</v>
      </c>
      <c r="H314" s="38" t="str">
        <f>IF(CARGA_DIARIA!A314="","",C314-D314-E314)</f>
        <v/>
      </c>
    </row>
    <row r="315" spans="1:8" ht="15.75" customHeight="1" x14ac:dyDescent="0.25">
      <c r="A315" s="33" t="str">
        <f>IF(CARGA_DIARIA!A315="","",CARGA_DIARIA!A315)</f>
        <v/>
      </c>
      <c r="B315" s="34" t="str">
        <f>IF(CARGA_DIARIA!A315="","",CARGA_DIARIA!B315)</f>
        <v/>
      </c>
      <c r="C315" s="35" t="str">
        <f>IF(CARGA_DIARIA!A315="","",IF(CARGA_DIARIA!B315=0,0,(CARGA_DIARIA!C315+CARGA_DIARIA!D315+CARGA_DIARIA!E315+CARGA_DIARIA!F315+CARGA_DIARIA!G315+CARGA_DIARIA!H315+CARGA_DIARIA!I315+CARGA_DIARIA!AG315+CARGA_DIARIA!AH315+CARGA_DIARIA!AI315+CARGA_DIARIA!AJ315)/CARGA_DIARIA!B315+CARGA_DIARIA!AF315))</f>
        <v/>
      </c>
      <c r="D315" s="36" t="str">
        <f>IF(CARGA_DIARIA!A315="","",IF(CARGA_DIARIA!B315=0,0,(CARGA_DIARIA!J315+CARGA_DIARIA!K315+CARGA_DIARIA!L315+CARGA_DIARIA!M315+CARGA_DIARIA!N315+CARGA_DIARIA!O315+CARGA_DIARIA!P315+CARGA_DIARIA!Q315+CARGA_DIARIA!R315+CARGA_DIARIA!S315+CARGA_DIARIA!T315+CARGA_DIARIA!U315+CARGA_DIARIA!V315+CARGA_DIARIA!W315)/CARGA_DIARIA!B315))</f>
        <v/>
      </c>
      <c r="E315" s="36" t="str">
        <f>IF(CARGA_DIARIA!A315="","",IF(CARGA_DIARIA!B315=0,0,(CARGA_DIARIA!X315+CARGA_DIARIA!Y315+CARGA_DIARIA!Z315+CARGA_DIARIA!AA315)/CARGA_DIARIA!B315+CARGA_DIARIA!AB315+CARGA_DIARIA!AC315+CARGA_DIARIA!AD315+CARGA_DIARIA!AE315))</f>
        <v/>
      </c>
      <c r="F315" s="39" t="s">
        <v>146</v>
      </c>
      <c r="G315" s="39" t="s">
        <v>146</v>
      </c>
      <c r="H315" s="38" t="str">
        <f>IF(CARGA_DIARIA!A315="","",C315-D315-E315)</f>
        <v/>
      </c>
    </row>
    <row r="316" spans="1:8" ht="15.75" customHeight="1" x14ac:dyDescent="0.25">
      <c r="A316" s="33" t="str">
        <f>IF(CARGA_DIARIA!A316="","",CARGA_DIARIA!A316)</f>
        <v/>
      </c>
      <c r="B316" s="34" t="str">
        <f>IF(CARGA_DIARIA!A316="","",CARGA_DIARIA!B316)</f>
        <v/>
      </c>
      <c r="C316" s="35" t="str">
        <f>IF(CARGA_DIARIA!A316="","",IF(CARGA_DIARIA!B316=0,0,(CARGA_DIARIA!C316+CARGA_DIARIA!D316+CARGA_DIARIA!E316+CARGA_DIARIA!F316+CARGA_DIARIA!G316+CARGA_DIARIA!H316+CARGA_DIARIA!I316+CARGA_DIARIA!AG316+CARGA_DIARIA!AH316+CARGA_DIARIA!AI316+CARGA_DIARIA!AJ316)/CARGA_DIARIA!B316+CARGA_DIARIA!AF316))</f>
        <v/>
      </c>
      <c r="D316" s="36" t="str">
        <f>IF(CARGA_DIARIA!A316="","",IF(CARGA_DIARIA!B316=0,0,(CARGA_DIARIA!J316+CARGA_DIARIA!K316+CARGA_DIARIA!L316+CARGA_DIARIA!M316+CARGA_DIARIA!N316+CARGA_DIARIA!O316+CARGA_DIARIA!P316+CARGA_DIARIA!Q316+CARGA_DIARIA!R316+CARGA_DIARIA!S316+CARGA_DIARIA!T316+CARGA_DIARIA!U316+CARGA_DIARIA!V316+CARGA_DIARIA!W316)/CARGA_DIARIA!B316))</f>
        <v/>
      </c>
      <c r="E316" s="36" t="str">
        <f>IF(CARGA_DIARIA!A316="","",IF(CARGA_DIARIA!B316=0,0,(CARGA_DIARIA!X316+CARGA_DIARIA!Y316+CARGA_DIARIA!Z316+CARGA_DIARIA!AA316)/CARGA_DIARIA!B316+CARGA_DIARIA!AB316+CARGA_DIARIA!AC316+CARGA_DIARIA!AD316+CARGA_DIARIA!AE316))</f>
        <v/>
      </c>
      <c r="F316" s="39" t="s">
        <v>146</v>
      </c>
      <c r="G316" s="39" t="s">
        <v>146</v>
      </c>
      <c r="H316" s="38" t="str">
        <f>IF(CARGA_DIARIA!A316="","",C316-D316-E316)</f>
        <v/>
      </c>
    </row>
    <row r="317" spans="1:8" ht="15.75" customHeight="1" x14ac:dyDescent="0.25">
      <c r="A317" s="33" t="str">
        <f>IF(CARGA_DIARIA!A317="","",CARGA_DIARIA!A317)</f>
        <v/>
      </c>
      <c r="B317" s="34" t="str">
        <f>IF(CARGA_DIARIA!A317="","",CARGA_DIARIA!B317)</f>
        <v/>
      </c>
      <c r="C317" s="35" t="str">
        <f>IF(CARGA_DIARIA!A317="","",IF(CARGA_DIARIA!B317=0,0,(CARGA_DIARIA!C317+CARGA_DIARIA!D317+CARGA_DIARIA!E317+CARGA_DIARIA!F317+CARGA_DIARIA!G317+CARGA_DIARIA!H317+CARGA_DIARIA!I317+CARGA_DIARIA!AG317+CARGA_DIARIA!AH317+CARGA_DIARIA!AI317+CARGA_DIARIA!AJ317)/CARGA_DIARIA!B317+CARGA_DIARIA!AF317))</f>
        <v/>
      </c>
      <c r="D317" s="36" t="str">
        <f>IF(CARGA_DIARIA!A317="","",IF(CARGA_DIARIA!B317=0,0,(CARGA_DIARIA!J317+CARGA_DIARIA!K317+CARGA_DIARIA!L317+CARGA_DIARIA!M317+CARGA_DIARIA!N317+CARGA_DIARIA!O317+CARGA_DIARIA!P317+CARGA_DIARIA!Q317+CARGA_DIARIA!R317+CARGA_DIARIA!S317+CARGA_DIARIA!T317+CARGA_DIARIA!U317+CARGA_DIARIA!V317+CARGA_DIARIA!W317)/CARGA_DIARIA!B317))</f>
        <v/>
      </c>
      <c r="E317" s="36" t="str">
        <f>IF(CARGA_DIARIA!A317="","",IF(CARGA_DIARIA!B317=0,0,(CARGA_DIARIA!X317+CARGA_DIARIA!Y317+CARGA_DIARIA!Z317+CARGA_DIARIA!AA317)/CARGA_DIARIA!B317+CARGA_DIARIA!AB317+CARGA_DIARIA!AC317+CARGA_DIARIA!AD317+CARGA_DIARIA!AE317))</f>
        <v/>
      </c>
      <c r="F317" s="39" t="s">
        <v>146</v>
      </c>
      <c r="G317" s="39" t="s">
        <v>146</v>
      </c>
      <c r="H317" s="38" t="str">
        <f>IF(CARGA_DIARIA!A317="","",C317-D317-E317)</f>
        <v/>
      </c>
    </row>
    <row r="318" spans="1:8" ht="15.75" customHeight="1" x14ac:dyDescent="0.25">
      <c r="A318" s="33" t="str">
        <f>IF(CARGA_DIARIA!A318="","",CARGA_DIARIA!A318)</f>
        <v/>
      </c>
      <c r="B318" s="34" t="str">
        <f>IF(CARGA_DIARIA!A318="","",CARGA_DIARIA!B318)</f>
        <v/>
      </c>
      <c r="C318" s="35" t="str">
        <f>IF(CARGA_DIARIA!A318="","",IF(CARGA_DIARIA!B318=0,0,(CARGA_DIARIA!C318+CARGA_DIARIA!D318+CARGA_DIARIA!E318+CARGA_DIARIA!F318+CARGA_DIARIA!G318+CARGA_DIARIA!H318+CARGA_DIARIA!I318+CARGA_DIARIA!AG318+CARGA_DIARIA!AH318+CARGA_DIARIA!AI318+CARGA_DIARIA!AJ318)/CARGA_DIARIA!B318+CARGA_DIARIA!AF318))</f>
        <v/>
      </c>
      <c r="D318" s="36" t="str">
        <f>IF(CARGA_DIARIA!A318="","",IF(CARGA_DIARIA!B318=0,0,(CARGA_DIARIA!J318+CARGA_DIARIA!K318+CARGA_DIARIA!L318+CARGA_DIARIA!M318+CARGA_DIARIA!N318+CARGA_DIARIA!O318+CARGA_DIARIA!P318+CARGA_DIARIA!Q318+CARGA_DIARIA!R318+CARGA_DIARIA!S318+CARGA_DIARIA!T318+CARGA_DIARIA!U318+CARGA_DIARIA!V318+CARGA_DIARIA!W318)/CARGA_DIARIA!B318))</f>
        <v/>
      </c>
      <c r="E318" s="36" t="str">
        <f>IF(CARGA_DIARIA!A318="","",IF(CARGA_DIARIA!B318=0,0,(CARGA_DIARIA!X318+CARGA_DIARIA!Y318+CARGA_DIARIA!Z318+CARGA_DIARIA!AA318)/CARGA_DIARIA!B318+CARGA_DIARIA!AB318+CARGA_DIARIA!AC318+CARGA_DIARIA!AD318+CARGA_DIARIA!AE318))</f>
        <v/>
      </c>
      <c r="F318" s="39" t="s">
        <v>146</v>
      </c>
      <c r="G318" s="39" t="s">
        <v>146</v>
      </c>
      <c r="H318" s="38" t="str">
        <f>IF(CARGA_DIARIA!A318="","",C318-D318-E318)</f>
        <v/>
      </c>
    </row>
    <row r="319" spans="1:8" ht="15.75" customHeight="1" x14ac:dyDescent="0.25">
      <c r="A319" s="33" t="str">
        <f>IF(CARGA_DIARIA!A319="","",CARGA_DIARIA!A319)</f>
        <v/>
      </c>
      <c r="B319" s="34" t="str">
        <f>IF(CARGA_DIARIA!A319="","",CARGA_DIARIA!B319)</f>
        <v/>
      </c>
      <c r="C319" s="35" t="str">
        <f>IF(CARGA_DIARIA!A319="","",IF(CARGA_DIARIA!B319=0,0,(CARGA_DIARIA!C319+CARGA_DIARIA!D319+CARGA_DIARIA!E319+CARGA_DIARIA!F319+CARGA_DIARIA!G319+CARGA_DIARIA!H319+CARGA_DIARIA!I319+CARGA_DIARIA!AG319+CARGA_DIARIA!AH319+CARGA_DIARIA!AI319+CARGA_DIARIA!AJ319)/CARGA_DIARIA!B319+CARGA_DIARIA!AF319))</f>
        <v/>
      </c>
      <c r="D319" s="36" t="str">
        <f>IF(CARGA_DIARIA!A319="","",IF(CARGA_DIARIA!B319=0,0,(CARGA_DIARIA!J319+CARGA_DIARIA!K319+CARGA_DIARIA!L319+CARGA_DIARIA!M319+CARGA_DIARIA!N319+CARGA_DIARIA!O319+CARGA_DIARIA!P319+CARGA_DIARIA!Q319+CARGA_DIARIA!R319+CARGA_DIARIA!S319+CARGA_DIARIA!T319+CARGA_DIARIA!U319+CARGA_DIARIA!V319+CARGA_DIARIA!W319)/CARGA_DIARIA!B319))</f>
        <v/>
      </c>
      <c r="E319" s="36" t="str">
        <f>IF(CARGA_DIARIA!A319="","",IF(CARGA_DIARIA!B319=0,0,(CARGA_DIARIA!X319+CARGA_DIARIA!Y319+CARGA_DIARIA!Z319+CARGA_DIARIA!AA319)/CARGA_DIARIA!B319+CARGA_DIARIA!AB319+CARGA_DIARIA!AC319+CARGA_DIARIA!AD319+CARGA_DIARIA!AE319))</f>
        <v/>
      </c>
      <c r="F319" s="39" t="s">
        <v>146</v>
      </c>
      <c r="G319" s="39" t="s">
        <v>146</v>
      </c>
      <c r="H319" s="38" t="str">
        <f>IF(CARGA_DIARIA!A319="","",C319-D319-E319)</f>
        <v/>
      </c>
    </row>
    <row r="320" spans="1:8" ht="15.75" customHeight="1" x14ac:dyDescent="0.25">
      <c r="A320" s="33" t="str">
        <f>IF(CARGA_DIARIA!A320="","",CARGA_DIARIA!A320)</f>
        <v/>
      </c>
      <c r="B320" s="34" t="str">
        <f>IF(CARGA_DIARIA!A320="","",CARGA_DIARIA!B320)</f>
        <v/>
      </c>
      <c r="C320" s="35" t="str">
        <f>IF(CARGA_DIARIA!A320="","",IF(CARGA_DIARIA!B320=0,0,(CARGA_DIARIA!C320+CARGA_DIARIA!D320+CARGA_DIARIA!E320+CARGA_DIARIA!F320+CARGA_DIARIA!G320+CARGA_DIARIA!H320+CARGA_DIARIA!I320+CARGA_DIARIA!AG320+CARGA_DIARIA!AH320+CARGA_DIARIA!AI320+CARGA_DIARIA!AJ320)/CARGA_DIARIA!B320+CARGA_DIARIA!AF320))</f>
        <v/>
      </c>
      <c r="D320" s="36" t="str">
        <f>IF(CARGA_DIARIA!A320="","",IF(CARGA_DIARIA!B320=0,0,(CARGA_DIARIA!J320+CARGA_DIARIA!K320+CARGA_DIARIA!L320+CARGA_DIARIA!M320+CARGA_DIARIA!N320+CARGA_DIARIA!O320+CARGA_DIARIA!P320+CARGA_DIARIA!Q320+CARGA_DIARIA!R320+CARGA_DIARIA!S320+CARGA_DIARIA!T320+CARGA_DIARIA!U320+CARGA_DIARIA!V320+CARGA_DIARIA!W320)/CARGA_DIARIA!B320))</f>
        <v/>
      </c>
      <c r="E320" s="36" t="str">
        <f>IF(CARGA_DIARIA!A320="","",IF(CARGA_DIARIA!B320=0,0,(CARGA_DIARIA!X320+CARGA_DIARIA!Y320+CARGA_DIARIA!Z320+CARGA_DIARIA!AA320)/CARGA_DIARIA!B320+CARGA_DIARIA!AB320+CARGA_DIARIA!AC320+CARGA_DIARIA!AD320+CARGA_DIARIA!AE320))</f>
        <v/>
      </c>
      <c r="F320" s="39" t="s">
        <v>146</v>
      </c>
      <c r="G320" s="39" t="s">
        <v>146</v>
      </c>
      <c r="H320" s="38" t="str">
        <f>IF(CARGA_DIARIA!A320="","",C320-D320-E320)</f>
        <v/>
      </c>
    </row>
    <row r="321" spans="1:8" ht="15.75" customHeight="1" x14ac:dyDescent="0.25">
      <c r="A321" s="33" t="str">
        <f>IF(CARGA_DIARIA!A321="","",CARGA_DIARIA!A321)</f>
        <v/>
      </c>
      <c r="B321" s="34" t="str">
        <f>IF(CARGA_DIARIA!A321="","",CARGA_DIARIA!B321)</f>
        <v/>
      </c>
      <c r="C321" s="35" t="str">
        <f>IF(CARGA_DIARIA!A321="","",IF(CARGA_DIARIA!B321=0,0,(CARGA_DIARIA!C321+CARGA_DIARIA!D321+CARGA_DIARIA!E321+CARGA_DIARIA!F321+CARGA_DIARIA!G321+CARGA_DIARIA!H321+CARGA_DIARIA!I321+CARGA_DIARIA!AG321+CARGA_DIARIA!AH321+CARGA_DIARIA!AI321+CARGA_DIARIA!AJ321)/CARGA_DIARIA!B321+CARGA_DIARIA!AF321))</f>
        <v/>
      </c>
      <c r="D321" s="36" t="str">
        <f>IF(CARGA_DIARIA!A321="","",IF(CARGA_DIARIA!B321=0,0,(CARGA_DIARIA!J321+CARGA_DIARIA!K321+CARGA_DIARIA!L321+CARGA_DIARIA!M321+CARGA_DIARIA!N321+CARGA_DIARIA!O321+CARGA_DIARIA!P321+CARGA_DIARIA!Q321+CARGA_DIARIA!R321+CARGA_DIARIA!S321+CARGA_DIARIA!T321+CARGA_DIARIA!U321+CARGA_DIARIA!V321+CARGA_DIARIA!W321)/CARGA_DIARIA!B321))</f>
        <v/>
      </c>
      <c r="E321" s="36" t="str">
        <f>IF(CARGA_DIARIA!A321="","",IF(CARGA_DIARIA!B321=0,0,(CARGA_DIARIA!X321+CARGA_DIARIA!Y321+CARGA_DIARIA!Z321+CARGA_DIARIA!AA321)/CARGA_DIARIA!B321+CARGA_DIARIA!AB321+CARGA_DIARIA!AC321+CARGA_DIARIA!AD321+CARGA_DIARIA!AE321))</f>
        <v/>
      </c>
      <c r="F321" s="39" t="s">
        <v>146</v>
      </c>
      <c r="G321" s="39" t="s">
        <v>146</v>
      </c>
      <c r="H321" s="38" t="str">
        <f>IF(CARGA_DIARIA!A321="","",C321-D321-E321)</f>
        <v/>
      </c>
    </row>
    <row r="322" spans="1:8" ht="15.75" customHeight="1" x14ac:dyDescent="0.25">
      <c r="A322" s="33" t="str">
        <f>IF(CARGA_DIARIA!A322="","",CARGA_DIARIA!A322)</f>
        <v/>
      </c>
      <c r="B322" s="34" t="str">
        <f>IF(CARGA_DIARIA!A322="","",CARGA_DIARIA!B322)</f>
        <v/>
      </c>
      <c r="C322" s="35" t="str">
        <f>IF(CARGA_DIARIA!A322="","",IF(CARGA_DIARIA!B322=0,0,(CARGA_DIARIA!C322+CARGA_DIARIA!D322+CARGA_DIARIA!E322+CARGA_DIARIA!F322+CARGA_DIARIA!G322+CARGA_DIARIA!H322+CARGA_DIARIA!I322+CARGA_DIARIA!AG322+CARGA_DIARIA!AH322+CARGA_DIARIA!AI322+CARGA_DIARIA!AJ322)/CARGA_DIARIA!B322+CARGA_DIARIA!AF322))</f>
        <v/>
      </c>
      <c r="D322" s="36" t="str">
        <f>IF(CARGA_DIARIA!A322="","",IF(CARGA_DIARIA!B322=0,0,(CARGA_DIARIA!J322+CARGA_DIARIA!K322+CARGA_DIARIA!L322+CARGA_DIARIA!M322+CARGA_DIARIA!N322+CARGA_DIARIA!O322+CARGA_DIARIA!P322+CARGA_DIARIA!Q322+CARGA_DIARIA!R322+CARGA_DIARIA!S322+CARGA_DIARIA!T322+CARGA_DIARIA!U322+CARGA_DIARIA!V322+CARGA_DIARIA!W322)/CARGA_DIARIA!B322))</f>
        <v/>
      </c>
      <c r="E322" s="36" t="str">
        <f>IF(CARGA_DIARIA!A322="","",IF(CARGA_DIARIA!B322=0,0,(CARGA_DIARIA!X322+CARGA_DIARIA!Y322+CARGA_DIARIA!Z322+CARGA_DIARIA!AA322)/CARGA_DIARIA!B322+CARGA_DIARIA!AB322+CARGA_DIARIA!AC322+CARGA_DIARIA!AD322+CARGA_DIARIA!AE322))</f>
        <v/>
      </c>
      <c r="F322" s="39" t="s">
        <v>146</v>
      </c>
      <c r="G322" s="39" t="s">
        <v>146</v>
      </c>
      <c r="H322" s="38" t="str">
        <f>IF(CARGA_DIARIA!A322="","",C322-D322-E322)</f>
        <v/>
      </c>
    </row>
    <row r="323" spans="1:8" ht="15.75" customHeight="1" x14ac:dyDescent="0.25">
      <c r="A323" s="33" t="str">
        <f>IF(CARGA_DIARIA!A323="","",CARGA_DIARIA!A323)</f>
        <v/>
      </c>
      <c r="B323" s="34" t="str">
        <f>IF(CARGA_DIARIA!A323="","",CARGA_DIARIA!B323)</f>
        <v/>
      </c>
      <c r="C323" s="35" t="str">
        <f>IF(CARGA_DIARIA!A323="","",IF(CARGA_DIARIA!B323=0,0,(CARGA_DIARIA!C323+CARGA_DIARIA!D323+CARGA_DIARIA!E323+CARGA_DIARIA!F323+CARGA_DIARIA!G323+CARGA_DIARIA!H323+CARGA_DIARIA!I323+CARGA_DIARIA!AG323+CARGA_DIARIA!AH323+CARGA_DIARIA!AI323+CARGA_DIARIA!AJ323)/CARGA_DIARIA!B323+CARGA_DIARIA!AF323))</f>
        <v/>
      </c>
      <c r="D323" s="36" t="str">
        <f>IF(CARGA_DIARIA!A323="","",IF(CARGA_DIARIA!B323=0,0,(CARGA_DIARIA!J323+CARGA_DIARIA!K323+CARGA_DIARIA!L323+CARGA_DIARIA!M323+CARGA_DIARIA!N323+CARGA_DIARIA!O323+CARGA_DIARIA!P323+CARGA_DIARIA!Q323+CARGA_DIARIA!R323+CARGA_DIARIA!S323+CARGA_DIARIA!T323+CARGA_DIARIA!U323+CARGA_DIARIA!V323+CARGA_DIARIA!W323)/CARGA_DIARIA!B323))</f>
        <v/>
      </c>
      <c r="E323" s="36" t="str">
        <f>IF(CARGA_DIARIA!A323="","",IF(CARGA_DIARIA!B323=0,0,(CARGA_DIARIA!X323+CARGA_DIARIA!Y323+CARGA_DIARIA!Z323+CARGA_DIARIA!AA323)/CARGA_DIARIA!B323+CARGA_DIARIA!AB323+CARGA_DIARIA!AC323+CARGA_DIARIA!AD323+CARGA_DIARIA!AE323))</f>
        <v/>
      </c>
      <c r="F323" s="39" t="s">
        <v>146</v>
      </c>
      <c r="G323" s="39" t="s">
        <v>146</v>
      </c>
      <c r="H323" s="38" t="str">
        <f>IF(CARGA_DIARIA!A323="","",C323-D323-E323)</f>
        <v/>
      </c>
    </row>
    <row r="324" spans="1:8" ht="15.75" customHeight="1" x14ac:dyDescent="0.25">
      <c r="A324" s="33" t="str">
        <f>IF(CARGA_DIARIA!A324="","",CARGA_DIARIA!A324)</f>
        <v/>
      </c>
      <c r="B324" s="34" t="str">
        <f>IF(CARGA_DIARIA!A324="","",CARGA_DIARIA!B324)</f>
        <v/>
      </c>
      <c r="C324" s="35" t="str">
        <f>IF(CARGA_DIARIA!A324="","",IF(CARGA_DIARIA!B324=0,0,(CARGA_DIARIA!C324+CARGA_DIARIA!D324+CARGA_DIARIA!E324+CARGA_DIARIA!F324+CARGA_DIARIA!G324+CARGA_DIARIA!H324+CARGA_DIARIA!I324+CARGA_DIARIA!AG324+CARGA_DIARIA!AH324+CARGA_DIARIA!AI324+CARGA_DIARIA!AJ324)/CARGA_DIARIA!B324+CARGA_DIARIA!AF324))</f>
        <v/>
      </c>
      <c r="D324" s="36" t="str">
        <f>IF(CARGA_DIARIA!A324="","",IF(CARGA_DIARIA!B324=0,0,(CARGA_DIARIA!J324+CARGA_DIARIA!K324+CARGA_DIARIA!L324+CARGA_DIARIA!M324+CARGA_DIARIA!N324+CARGA_DIARIA!O324+CARGA_DIARIA!P324+CARGA_DIARIA!Q324+CARGA_DIARIA!R324+CARGA_DIARIA!S324+CARGA_DIARIA!T324+CARGA_DIARIA!U324+CARGA_DIARIA!V324+CARGA_DIARIA!W324)/CARGA_DIARIA!B324))</f>
        <v/>
      </c>
      <c r="E324" s="36" t="str">
        <f>IF(CARGA_DIARIA!A324="","",IF(CARGA_DIARIA!B324=0,0,(CARGA_DIARIA!X324+CARGA_DIARIA!Y324+CARGA_DIARIA!Z324+CARGA_DIARIA!AA324)/CARGA_DIARIA!B324+CARGA_DIARIA!AB324+CARGA_DIARIA!AC324+CARGA_DIARIA!AD324+CARGA_DIARIA!AE324))</f>
        <v/>
      </c>
      <c r="F324" s="39" t="s">
        <v>146</v>
      </c>
      <c r="G324" s="39" t="s">
        <v>146</v>
      </c>
      <c r="H324" s="38" t="str">
        <f>IF(CARGA_DIARIA!A324="","",C324-D324-E324)</f>
        <v/>
      </c>
    </row>
    <row r="325" spans="1:8" ht="15.75" customHeight="1" x14ac:dyDescent="0.25">
      <c r="A325" s="33" t="str">
        <f>IF(CARGA_DIARIA!A325="","",CARGA_DIARIA!A325)</f>
        <v/>
      </c>
      <c r="B325" s="34" t="str">
        <f>IF(CARGA_DIARIA!A325="","",CARGA_DIARIA!B325)</f>
        <v/>
      </c>
      <c r="C325" s="35" t="str">
        <f>IF(CARGA_DIARIA!A325="","",IF(CARGA_DIARIA!B325=0,0,(CARGA_DIARIA!C325+CARGA_DIARIA!D325+CARGA_DIARIA!E325+CARGA_DIARIA!F325+CARGA_DIARIA!G325+CARGA_DIARIA!H325+CARGA_DIARIA!I325+CARGA_DIARIA!AG325+CARGA_DIARIA!AH325+CARGA_DIARIA!AI325+CARGA_DIARIA!AJ325)/CARGA_DIARIA!B325+CARGA_DIARIA!AF325))</f>
        <v/>
      </c>
      <c r="D325" s="36" t="str">
        <f>IF(CARGA_DIARIA!A325="","",IF(CARGA_DIARIA!B325=0,0,(CARGA_DIARIA!J325+CARGA_DIARIA!K325+CARGA_DIARIA!L325+CARGA_DIARIA!M325+CARGA_DIARIA!N325+CARGA_DIARIA!O325+CARGA_DIARIA!P325+CARGA_DIARIA!Q325+CARGA_DIARIA!R325+CARGA_DIARIA!S325+CARGA_DIARIA!T325+CARGA_DIARIA!U325+CARGA_DIARIA!V325+CARGA_DIARIA!W325)/CARGA_DIARIA!B325))</f>
        <v/>
      </c>
      <c r="E325" s="36" t="str">
        <f>IF(CARGA_DIARIA!A325="","",IF(CARGA_DIARIA!B325=0,0,(CARGA_DIARIA!X325+CARGA_DIARIA!Y325+CARGA_DIARIA!Z325+CARGA_DIARIA!AA325)/CARGA_DIARIA!B325+CARGA_DIARIA!AB325+CARGA_DIARIA!AC325+CARGA_DIARIA!AD325+CARGA_DIARIA!AE325))</f>
        <v/>
      </c>
      <c r="F325" s="39" t="s">
        <v>146</v>
      </c>
      <c r="G325" s="39" t="s">
        <v>146</v>
      </c>
      <c r="H325" s="38" t="str">
        <f>IF(CARGA_DIARIA!A325="","",C325-D325-E325)</f>
        <v/>
      </c>
    </row>
    <row r="326" spans="1:8" ht="15.75" customHeight="1" x14ac:dyDescent="0.25">
      <c r="A326" s="33" t="str">
        <f>IF(CARGA_DIARIA!A326="","",CARGA_DIARIA!A326)</f>
        <v/>
      </c>
      <c r="B326" s="34" t="str">
        <f>IF(CARGA_DIARIA!A326="","",CARGA_DIARIA!B326)</f>
        <v/>
      </c>
      <c r="C326" s="35" t="str">
        <f>IF(CARGA_DIARIA!A326="","",IF(CARGA_DIARIA!B326=0,0,(CARGA_DIARIA!C326+CARGA_DIARIA!D326+CARGA_DIARIA!E326+CARGA_DIARIA!F326+CARGA_DIARIA!G326+CARGA_DIARIA!H326+CARGA_DIARIA!I326+CARGA_DIARIA!AG326+CARGA_DIARIA!AH326+CARGA_DIARIA!AI326+CARGA_DIARIA!AJ326)/CARGA_DIARIA!B326+CARGA_DIARIA!AF326))</f>
        <v/>
      </c>
      <c r="D326" s="36" t="str">
        <f>IF(CARGA_DIARIA!A326="","",IF(CARGA_DIARIA!B326=0,0,(CARGA_DIARIA!J326+CARGA_DIARIA!K326+CARGA_DIARIA!L326+CARGA_DIARIA!M326+CARGA_DIARIA!N326+CARGA_DIARIA!O326+CARGA_DIARIA!P326+CARGA_DIARIA!Q326+CARGA_DIARIA!R326+CARGA_DIARIA!S326+CARGA_DIARIA!T326+CARGA_DIARIA!U326+CARGA_DIARIA!V326+CARGA_DIARIA!W326)/CARGA_DIARIA!B326))</f>
        <v/>
      </c>
      <c r="E326" s="36" t="str">
        <f>IF(CARGA_DIARIA!A326="","",IF(CARGA_DIARIA!B326=0,0,(CARGA_DIARIA!X326+CARGA_DIARIA!Y326+CARGA_DIARIA!Z326+CARGA_DIARIA!AA326)/CARGA_DIARIA!B326+CARGA_DIARIA!AB326+CARGA_DIARIA!AC326+CARGA_DIARIA!AD326+CARGA_DIARIA!AE326))</f>
        <v/>
      </c>
      <c r="F326" s="39" t="s">
        <v>146</v>
      </c>
      <c r="G326" s="39" t="s">
        <v>146</v>
      </c>
      <c r="H326" s="38" t="str">
        <f>IF(CARGA_DIARIA!A326="","",C326-D326-E326)</f>
        <v/>
      </c>
    </row>
    <row r="327" spans="1:8" ht="15.75" customHeight="1" x14ac:dyDescent="0.25">
      <c r="A327" s="33" t="str">
        <f>IF(CARGA_DIARIA!A327="","",CARGA_DIARIA!A327)</f>
        <v/>
      </c>
      <c r="B327" s="34" t="str">
        <f>IF(CARGA_DIARIA!A327="","",CARGA_DIARIA!B327)</f>
        <v/>
      </c>
      <c r="C327" s="35" t="str">
        <f>IF(CARGA_DIARIA!A327="","",IF(CARGA_DIARIA!B327=0,0,(CARGA_DIARIA!C327+CARGA_DIARIA!D327+CARGA_DIARIA!E327+CARGA_DIARIA!F327+CARGA_DIARIA!G327+CARGA_DIARIA!H327+CARGA_DIARIA!I327+CARGA_DIARIA!AG327+CARGA_DIARIA!AH327+CARGA_DIARIA!AI327+CARGA_DIARIA!AJ327)/CARGA_DIARIA!B327+CARGA_DIARIA!AF327))</f>
        <v/>
      </c>
      <c r="D327" s="36" t="str">
        <f>IF(CARGA_DIARIA!A327="","",IF(CARGA_DIARIA!B327=0,0,(CARGA_DIARIA!J327+CARGA_DIARIA!K327+CARGA_DIARIA!L327+CARGA_DIARIA!M327+CARGA_DIARIA!N327+CARGA_DIARIA!O327+CARGA_DIARIA!P327+CARGA_DIARIA!Q327+CARGA_DIARIA!R327+CARGA_DIARIA!S327+CARGA_DIARIA!T327+CARGA_DIARIA!U327+CARGA_DIARIA!V327+CARGA_DIARIA!W327)/CARGA_DIARIA!B327))</f>
        <v/>
      </c>
      <c r="E327" s="36" t="str">
        <f>IF(CARGA_DIARIA!A327="","",IF(CARGA_DIARIA!B327=0,0,(CARGA_DIARIA!X327+CARGA_DIARIA!Y327+CARGA_DIARIA!Z327+CARGA_DIARIA!AA327)/CARGA_DIARIA!B327+CARGA_DIARIA!AB327+CARGA_DIARIA!AC327+CARGA_DIARIA!AD327+CARGA_DIARIA!AE327))</f>
        <v/>
      </c>
      <c r="F327" s="39" t="s">
        <v>146</v>
      </c>
      <c r="G327" s="39" t="s">
        <v>146</v>
      </c>
      <c r="H327" s="38" t="str">
        <f>IF(CARGA_DIARIA!A327="","",C327-D327-E327)</f>
        <v/>
      </c>
    </row>
    <row r="328" spans="1:8" ht="15.75" customHeight="1" x14ac:dyDescent="0.25">
      <c r="A328" s="33" t="str">
        <f>IF(CARGA_DIARIA!A328="","",CARGA_DIARIA!A328)</f>
        <v/>
      </c>
      <c r="B328" s="34" t="str">
        <f>IF(CARGA_DIARIA!A328="","",CARGA_DIARIA!B328)</f>
        <v/>
      </c>
      <c r="C328" s="35" t="str">
        <f>IF(CARGA_DIARIA!A328="","",IF(CARGA_DIARIA!B328=0,0,(CARGA_DIARIA!C328+CARGA_DIARIA!D328+CARGA_DIARIA!E328+CARGA_DIARIA!F328+CARGA_DIARIA!G328+CARGA_DIARIA!H328+CARGA_DIARIA!I328+CARGA_DIARIA!AG328+CARGA_DIARIA!AH328+CARGA_DIARIA!AI328+CARGA_DIARIA!AJ328)/CARGA_DIARIA!B328+CARGA_DIARIA!AF328))</f>
        <v/>
      </c>
      <c r="D328" s="36" t="str">
        <f>IF(CARGA_DIARIA!A328="","",IF(CARGA_DIARIA!B328=0,0,(CARGA_DIARIA!J328+CARGA_DIARIA!K328+CARGA_DIARIA!L328+CARGA_DIARIA!M328+CARGA_DIARIA!N328+CARGA_DIARIA!O328+CARGA_DIARIA!P328+CARGA_DIARIA!Q328+CARGA_DIARIA!R328+CARGA_DIARIA!S328+CARGA_DIARIA!T328+CARGA_DIARIA!U328+CARGA_DIARIA!V328+CARGA_DIARIA!W328)/CARGA_DIARIA!B328))</f>
        <v/>
      </c>
      <c r="E328" s="36" t="str">
        <f>IF(CARGA_DIARIA!A328="","",IF(CARGA_DIARIA!B328=0,0,(CARGA_DIARIA!X328+CARGA_DIARIA!Y328+CARGA_DIARIA!Z328+CARGA_DIARIA!AA328)/CARGA_DIARIA!B328+CARGA_DIARIA!AB328+CARGA_DIARIA!AC328+CARGA_DIARIA!AD328+CARGA_DIARIA!AE328))</f>
        <v/>
      </c>
      <c r="F328" s="39" t="s">
        <v>146</v>
      </c>
      <c r="G328" s="39" t="s">
        <v>146</v>
      </c>
      <c r="H328" s="38" t="str">
        <f>IF(CARGA_DIARIA!A328="","",C328-D328-E328)</f>
        <v/>
      </c>
    </row>
    <row r="329" spans="1:8" ht="15.75" customHeight="1" x14ac:dyDescent="0.25">
      <c r="A329" s="33" t="str">
        <f>IF(CARGA_DIARIA!A329="","",CARGA_DIARIA!A329)</f>
        <v/>
      </c>
      <c r="B329" s="34" t="str">
        <f>IF(CARGA_DIARIA!A329="","",CARGA_DIARIA!B329)</f>
        <v/>
      </c>
      <c r="C329" s="35" t="str">
        <f>IF(CARGA_DIARIA!A329="","",IF(CARGA_DIARIA!B329=0,0,(CARGA_DIARIA!C329+CARGA_DIARIA!D329+CARGA_DIARIA!E329+CARGA_DIARIA!F329+CARGA_DIARIA!G329+CARGA_DIARIA!H329+CARGA_DIARIA!I329+CARGA_DIARIA!AG329+CARGA_DIARIA!AH329+CARGA_DIARIA!AI329+CARGA_DIARIA!AJ329)/CARGA_DIARIA!B329+CARGA_DIARIA!AF329))</f>
        <v/>
      </c>
      <c r="D329" s="36" t="str">
        <f>IF(CARGA_DIARIA!A329="","",IF(CARGA_DIARIA!B329=0,0,(CARGA_DIARIA!J329+CARGA_DIARIA!K329+CARGA_DIARIA!L329+CARGA_DIARIA!M329+CARGA_DIARIA!N329+CARGA_DIARIA!O329+CARGA_DIARIA!P329+CARGA_DIARIA!Q329+CARGA_DIARIA!R329+CARGA_DIARIA!S329+CARGA_DIARIA!T329+CARGA_DIARIA!U329+CARGA_DIARIA!V329+CARGA_DIARIA!W329)/CARGA_DIARIA!B329))</f>
        <v/>
      </c>
      <c r="E329" s="36" t="str">
        <f>IF(CARGA_DIARIA!A329="","",IF(CARGA_DIARIA!B329=0,0,(CARGA_DIARIA!X329+CARGA_DIARIA!Y329+CARGA_DIARIA!Z329+CARGA_DIARIA!AA329)/CARGA_DIARIA!B329+CARGA_DIARIA!AB329+CARGA_DIARIA!AC329+CARGA_DIARIA!AD329+CARGA_DIARIA!AE329))</f>
        <v/>
      </c>
      <c r="F329" s="39" t="s">
        <v>146</v>
      </c>
      <c r="G329" s="39" t="s">
        <v>146</v>
      </c>
      <c r="H329" s="38" t="str">
        <f>IF(CARGA_DIARIA!A329="","",C329-D329-E329)</f>
        <v/>
      </c>
    </row>
    <row r="330" spans="1:8" ht="15.75" customHeight="1" x14ac:dyDescent="0.25">
      <c r="A330" s="33" t="str">
        <f>IF(CARGA_DIARIA!A330="","",CARGA_DIARIA!A330)</f>
        <v/>
      </c>
      <c r="B330" s="34" t="str">
        <f>IF(CARGA_DIARIA!A330="","",CARGA_DIARIA!B330)</f>
        <v/>
      </c>
      <c r="C330" s="35" t="str">
        <f>IF(CARGA_DIARIA!A330="","",IF(CARGA_DIARIA!B330=0,0,(CARGA_DIARIA!C330+CARGA_DIARIA!D330+CARGA_DIARIA!E330+CARGA_DIARIA!F330+CARGA_DIARIA!G330+CARGA_DIARIA!H330+CARGA_DIARIA!I330+CARGA_DIARIA!AG330+CARGA_DIARIA!AH330+CARGA_DIARIA!AI330+CARGA_DIARIA!AJ330)/CARGA_DIARIA!B330+CARGA_DIARIA!AF330))</f>
        <v/>
      </c>
      <c r="D330" s="36" t="str">
        <f>IF(CARGA_DIARIA!A330="","",IF(CARGA_DIARIA!B330=0,0,(CARGA_DIARIA!J330+CARGA_DIARIA!K330+CARGA_DIARIA!L330+CARGA_DIARIA!M330+CARGA_DIARIA!N330+CARGA_DIARIA!O330+CARGA_DIARIA!P330+CARGA_DIARIA!Q330+CARGA_DIARIA!R330+CARGA_DIARIA!S330+CARGA_DIARIA!T330+CARGA_DIARIA!U330+CARGA_DIARIA!V330+CARGA_DIARIA!W330)/CARGA_DIARIA!B330))</f>
        <v/>
      </c>
      <c r="E330" s="36" t="str">
        <f>IF(CARGA_DIARIA!A330="","",IF(CARGA_DIARIA!B330=0,0,(CARGA_DIARIA!X330+CARGA_DIARIA!Y330+CARGA_DIARIA!Z330+CARGA_DIARIA!AA330)/CARGA_DIARIA!B330+CARGA_DIARIA!AB330+CARGA_DIARIA!AC330+CARGA_DIARIA!AD330+CARGA_DIARIA!AE330))</f>
        <v/>
      </c>
      <c r="F330" s="39" t="s">
        <v>146</v>
      </c>
      <c r="G330" s="39" t="s">
        <v>146</v>
      </c>
      <c r="H330" s="38" t="str">
        <f>IF(CARGA_DIARIA!A330="","",C330-D330-E330)</f>
        <v/>
      </c>
    </row>
    <row r="331" spans="1:8" ht="15.75" customHeight="1" x14ac:dyDescent="0.25">
      <c r="A331" s="33" t="str">
        <f>IF(CARGA_DIARIA!A331="","",CARGA_DIARIA!A331)</f>
        <v/>
      </c>
      <c r="B331" s="34" t="str">
        <f>IF(CARGA_DIARIA!A331="","",CARGA_DIARIA!B331)</f>
        <v/>
      </c>
      <c r="C331" s="35" t="str">
        <f>IF(CARGA_DIARIA!A331="","",IF(CARGA_DIARIA!B331=0,0,(CARGA_DIARIA!C331+CARGA_DIARIA!D331+CARGA_DIARIA!E331+CARGA_DIARIA!F331+CARGA_DIARIA!G331+CARGA_DIARIA!H331+CARGA_DIARIA!I331+CARGA_DIARIA!AG331+CARGA_DIARIA!AH331+CARGA_DIARIA!AI331+CARGA_DIARIA!AJ331)/CARGA_DIARIA!B331+CARGA_DIARIA!AF331))</f>
        <v/>
      </c>
      <c r="D331" s="36" t="str">
        <f>IF(CARGA_DIARIA!A331="","",IF(CARGA_DIARIA!B331=0,0,(CARGA_DIARIA!J331+CARGA_DIARIA!K331+CARGA_DIARIA!L331+CARGA_DIARIA!M331+CARGA_DIARIA!N331+CARGA_DIARIA!O331+CARGA_DIARIA!P331+CARGA_DIARIA!Q331+CARGA_DIARIA!R331+CARGA_DIARIA!S331+CARGA_DIARIA!T331+CARGA_DIARIA!U331+CARGA_DIARIA!V331+CARGA_DIARIA!W331)/CARGA_DIARIA!B331))</f>
        <v/>
      </c>
      <c r="E331" s="36" t="str">
        <f>IF(CARGA_DIARIA!A331="","",IF(CARGA_DIARIA!B331=0,0,(CARGA_DIARIA!X331+CARGA_DIARIA!Y331+CARGA_DIARIA!Z331+CARGA_DIARIA!AA331)/CARGA_DIARIA!B331+CARGA_DIARIA!AB331+CARGA_DIARIA!AC331+CARGA_DIARIA!AD331+CARGA_DIARIA!AE331))</f>
        <v/>
      </c>
      <c r="F331" s="39" t="s">
        <v>146</v>
      </c>
      <c r="G331" s="39" t="s">
        <v>146</v>
      </c>
      <c r="H331" s="38" t="str">
        <f>IF(CARGA_DIARIA!A331="","",C331-D331-E331)</f>
        <v/>
      </c>
    </row>
    <row r="332" spans="1:8" ht="15.75" customHeight="1" x14ac:dyDescent="0.25">
      <c r="A332" s="33" t="str">
        <f>IF(CARGA_DIARIA!A332="","",CARGA_DIARIA!A332)</f>
        <v/>
      </c>
      <c r="B332" s="34" t="str">
        <f>IF(CARGA_DIARIA!A332="","",CARGA_DIARIA!B332)</f>
        <v/>
      </c>
      <c r="C332" s="35" t="str">
        <f>IF(CARGA_DIARIA!A332="","",IF(CARGA_DIARIA!B332=0,0,(CARGA_DIARIA!C332+CARGA_DIARIA!D332+CARGA_DIARIA!E332+CARGA_DIARIA!F332+CARGA_DIARIA!G332+CARGA_DIARIA!H332+CARGA_DIARIA!I332+CARGA_DIARIA!AG332+CARGA_DIARIA!AH332+CARGA_DIARIA!AI332+CARGA_DIARIA!AJ332)/CARGA_DIARIA!B332+CARGA_DIARIA!AF332))</f>
        <v/>
      </c>
      <c r="D332" s="36" t="str">
        <f>IF(CARGA_DIARIA!A332="","",IF(CARGA_DIARIA!B332=0,0,(CARGA_DIARIA!J332+CARGA_DIARIA!K332+CARGA_DIARIA!L332+CARGA_DIARIA!M332+CARGA_DIARIA!N332+CARGA_DIARIA!O332+CARGA_DIARIA!P332+CARGA_DIARIA!Q332+CARGA_DIARIA!R332+CARGA_DIARIA!S332+CARGA_DIARIA!T332+CARGA_DIARIA!U332+CARGA_DIARIA!V332+CARGA_DIARIA!W332)/CARGA_DIARIA!B332))</f>
        <v/>
      </c>
      <c r="E332" s="36" t="str">
        <f>IF(CARGA_DIARIA!A332="","",IF(CARGA_DIARIA!B332=0,0,(CARGA_DIARIA!X332+CARGA_DIARIA!Y332+CARGA_DIARIA!Z332+CARGA_DIARIA!AA332)/CARGA_DIARIA!B332+CARGA_DIARIA!AB332+CARGA_DIARIA!AC332+CARGA_DIARIA!AD332+CARGA_DIARIA!AE332))</f>
        <v/>
      </c>
      <c r="F332" s="39" t="s">
        <v>146</v>
      </c>
      <c r="G332" s="39" t="s">
        <v>146</v>
      </c>
      <c r="H332" s="38" t="str">
        <f>IF(CARGA_DIARIA!A332="","",C332-D332-E332)</f>
        <v/>
      </c>
    </row>
    <row r="333" spans="1:8" ht="15.75" customHeight="1" x14ac:dyDescent="0.25">
      <c r="A333" s="33" t="str">
        <f>IF(CARGA_DIARIA!A333="","",CARGA_DIARIA!A333)</f>
        <v/>
      </c>
      <c r="B333" s="34" t="str">
        <f>IF(CARGA_DIARIA!A333="","",CARGA_DIARIA!B333)</f>
        <v/>
      </c>
      <c r="C333" s="35" t="str">
        <f>IF(CARGA_DIARIA!A333="","",IF(CARGA_DIARIA!B333=0,0,(CARGA_DIARIA!C333+CARGA_DIARIA!D333+CARGA_DIARIA!E333+CARGA_DIARIA!F333+CARGA_DIARIA!G333+CARGA_DIARIA!H333+CARGA_DIARIA!I333+CARGA_DIARIA!AG333+CARGA_DIARIA!AH333+CARGA_DIARIA!AI333+CARGA_DIARIA!AJ333)/CARGA_DIARIA!B333+CARGA_DIARIA!AF333))</f>
        <v/>
      </c>
      <c r="D333" s="36" t="str">
        <f>IF(CARGA_DIARIA!A333="","",IF(CARGA_DIARIA!B333=0,0,(CARGA_DIARIA!J333+CARGA_DIARIA!K333+CARGA_DIARIA!L333+CARGA_DIARIA!M333+CARGA_DIARIA!N333+CARGA_DIARIA!O333+CARGA_DIARIA!P333+CARGA_DIARIA!Q333+CARGA_DIARIA!R333+CARGA_DIARIA!S333+CARGA_DIARIA!T333+CARGA_DIARIA!U333+CARGA_DIARIA!V333+CARGA_DIARIA!W333)/CARGA_DIARIA!B333))</f>
        <v/>
      </c>
      <c r="E333" s="36" t="str">
        <f>IF(CARGA_DIARIA!A333="","",IF(CARGA_DIARIA!B333=0,0,(CARGA_DIARIA!X333+CARGA_DIARIA!Y333+CARGA_DIARIA!Z333+CARGA_DIARIA!AA333)/CARGA_DIARIA!B333+CARGA_DIARIA!AB333+CARGA_DIARIA!AC333+CARGA_DIARIA!AD333+CARGA_DIARIA!AE333))</f>
        <v/>
      </c>
      <c r="F333" s="39" t="s">
        <v>146</v>
      </c>
      <c r="G333" s="39" t="s">
        <v>146</v>
      </c>
      <c r="H333" s="38" t="str">
        <f>IF(CARGA_DIARIA!A333="","",C333-D333-E333)</f>
        <v/>
      </c>
    </row>
    <row r="334" spans="1:8" ht="15.75" customHeight="1" x14ac:dyDescent="0.25">
      <c r="A334" s="33" t="str">
        <f>IF(CARGA_DIARIA!A334="","",CARGA_DIARIA!A334)</f>
        <v/>
      </c>
      <c r="B334" s="34" t="str">
        <f>IF(CARGA_DIARIA!A334="","",CARGA_DIARIA!B334)</f>
        <v/>
      </c>
      <c r="C334" s="35" t="str">
        <f>IF(CARGA_DIARIA!A334="","",IF(CARGA_DIARIA!B334=0,0,(CARGA_DIARIA!C334+CARGA_DIARIA!D334+CARGA_DIARIA!E334+CARGA_DIARIA!F334+CARGA_DIARIA!G334+CARGA_DIARIA!H334+CARGA_DIARIA!I334+CARGA_DIARIA!AG334+CARGA_DIARIA!AH334+CARGA_DIARIA!AI334+CARGA_DIARIA!AJ334)/CARGA_DIARIA!B334+CARGA_DIARIA!AF334))</f>
        <v/>
      </c>
      <c r="D334" s="36" t="str">
        <f>IF(CARGA_DIARIA!A334="","",IF(CARGA_DIARIA!B334=0,0,(CARGA_DIARIA!J334+CARGA_DIARIA!K334+CARGA_DIARIA!L334+CARGA_DIARIA!M334+CARGA_DIARIA!N334+CARGA_DIARIA!O334+CARGA_DIARIA!P334+CARGA_DIARIA!Q334+CARGA_DIARIA!R334+CARGA_DIARIA!S334+CARGA_DIARIA!T334+CARGA_DIARIA!U334+CARGA_DIARIA!V334+CARGA_DIARIA!W334)/CARGA_DIARIA!B334))</f>
        <v/>
      </c>
      <c r="E334" s="36" t="str">
        <f>IF(CARGA_DIARIA!A334="","",IF(CARGA_DIARIA!B334=0,0,(CARGA_DIARIA!X334+CARGA_DIARIA!Y334+CARGA_DIARIA!Z334+CARGA_DIARIA!AA334)/CARGA_DIARIA!B334+CARGA_DIARIA!AB334+CARGA_DIARIA!AC334+CARGA_DIARIA!AD334+CARGA_DIARIA!AE334))</f>
        <v/>
      </c>
      <c r="F334" s="39" t="s">
        <v>146</v>
      </c>
      <c r="G334" s="39" t="s">
        <v>146</v>
      </c>
      <c r="H334" s="38" t="str">
        <f>IF(CARGA_DIARIA!A334="","",C334-D334-E334)</f>
        <v/>
      </c>
    </row>
    <row r="335" spans="1:8" ht="15.75" customHeight="1" x14ac:dyDescent="0.25">
      <c r="A335" s="33" t="str">
        <f>IF(CARGA_DIARIA!A335="","",CARGA_DIARIA!A335)</f>
        <v/>
      </c>
      <c r="B335" s="34" t="str">
        <f>IF(CARGA_DIARIA!A335="","",CARGA_DIARIA!B335)</f>
        <v/>
      </c>
      <c r="C335" s="35" t="str">
        <f>IF(CARGA_DIARIA!A335="","",IF(CARGA_DIARIA!B335=0,0,(CARGA_DIARIA!C335+CARGA_DIARIA!D335+CARGA_DIARIA!E335+CARGA_DIARIA!F335+CARGA_DIARIA!G335+CARGA_DIARIA!H335+CARGA_DIARIA!I335+CARGA_DIARIA!AG335+CARGA_DIARIA!AH335+CARGA_DIARIA!AI335+CARGA_DIARIA!AJ335)/CARGA_DIARIA!B335+CARGA_DIARIA!AF335))</f>
        <v/>
      </c>
      <c r="D335" s="36" t="str">
        <f>IF(CARGA_DIARIA!A335="","",IF(CARGA_DIARIA!B335=0,0,(CARGA_DIARIA!J335+CARGA_DIARIA!K335+CARGA_DIARIA!L335+CARGA_DIARIA!M335+CARGA_DIARIA!N335+CARGA_DIARIA!O335+CARGA_DIARIA!P335+CARGA_DIARIA!Q335+CARGA_DIARIA!R335+CARGA_DIARIA!S335+CARGA_DIARIA!T335+CARGA_DIARIA!U335+CARGA_DIARIA!V335+CARGA_DIARIA!W335)/CARGA_DIARIA!B335))</f>
        <v/>
      </c>
      <c r="E335" s="36" t="str">
        <f>IF(CARGA_DIARIA!A335="","",IF(CARGA_DIARIA!B335=0,0,(CARGA_DIARIA!X335+CARGA_DIARIA!Y335+CARGA_DIARIA!Z335+CARGA_DIARIA!AA335)/CARGA_DIARIA!B335+CARGA_DIARIA!AB335+CARGA_DIARIA!AC335+CARGA_DIARIA!AD335+CARGA_DIARIA!AE335))</f>
        <v/>
      </c>
      <c r="F335" s="39" t="s">
        <v>146</v>
      </c>
      <c r="G335" s="39" t="s">
        <v>146</v>
      </c>
      <c r="H335" s="38" t="str">
        <f>IF(CARGA_DIARIA!A335="","",C335-D335-E335)</f>
        <v/>
      </c>
    </row>
    <row r="336" spans="1:8" ht="15.75" customHeight="1" x14ac:dyDescent="0.25">
      <c r="A336" s="33" t="str">
        <f>IF(CARGA_DIARIA!A336="","",CARGA_DIARIA!A336)</f>
        <v/>
      </c>
      <c r="B336" s="34" t="str">
        <f>IF(CARGA_DIARIA!A336="","",CARGA_DIARIA!B336)</f>
        <v/>
      </c>
      <c r="C336" s="35" t="str">
        <f>IF(CARGA_DIARIA!A336="","",IF(CARGA_DIARIA!B336=0,0,(CARGA_DIARIA!C336+CARGA_DIARIA!D336+CARGA_DIARIA!E336+CARGA_DIARIA!F336+CARGA_DIARIA!G336+CARGA_DIARIA!H336+CARGA_DIARIA!I336+CARGA_DIARIA!AG336+CARGA_DIARIA!AH336+CARGA_DIARIA!AI336+CARGA_DIARIA!AJ336)/CARGA_DIARIA!B336+CARGA_DIARIA!AF336))</f>
        <v/>
      </c>
      <c r="D336" s="36" t="str">
        <f>IF(CARGA_DIARIA!A336="","",IF(CARGA_DIARIA!B336=0,0,(CARGA_DIARIA!J336+CARGA_DIARIA!K336+CARGA_DIARIA!L336+CARGA_DIARIA!M336+CARGA_DIARIA!N336+CARGA_DIARIA!O336+CARGA_DIARIA!P336+CARGA_DIARIA!Q336+CARGA_DIARIA!R336+CARGA_DIARIA!S336+CARGA_DIARIA!T336+CARGA_DIARIA!U336+CARGA_DIARIA!V336+CARGA_DIARIA!W336)/CARGA_DIARIA!B336))</f>
        <v/>
      </c>
      <c r="E336" s="36" t="str">
        <f>IF(CARGA_DIARIA!A336="","",IF(CARGA_DIARIA!B336=0,0,(CARGA_DIARIA!X336+CARGA_DIARIA!Y336+CARGA_DIARIA!Z336+CARGA_DIARIA!AA336)/CARGA_DIARIA!B336+CARGA_DIARIA!AB336+CARGA_DIARIA!AC336+CARGA_DIARIA!AD336+CARGA_DIARIA!AE336))</f>
        <v/>
      </c>
      <c r="F336" s="39" t="s">
        <v>146</v>
      </c>
      <c r="G336" s="39" t="s">
        <v>146</v>
      </c>
      <c r="H336" s="38" t="str">
        <f>IF(CARGA_DIARIA!A336="","",C336-D336-E336)</f>
        <v/>
      </c>
    </row>
    <row r="337" spans="1:8" ht="15.75" customHeight="1" x14ac:dyDescent="0.25">
      <c r="A337" s="33" t="str">
        <f>IF(CARGA_DIARIA!A337="","",CARGA_DIARIA!A337)</f>
        <v/>
      </c>
      <c r="B337" s="34" t="str">
        <f>IF(CARGA_DIARIA!A337="","",CARGA_DIARIA!B337)</f>
        <v/>
      </c>
      <c r="C337" s="35" t="str">
        <f>IF(CARGA_DIARIA!A337="","",IF(CARGA_DIARIA!B337=0,0,(CARGA_DIARIA!C337+CARGA_DIARIA!D337+CARGA_DIARIA!E337+CARGA_DIARIA!F337+CARGA_DIARIA!G337+CARGA_DIARIA!H337+CARGA_DIARIA!I337+CARGA_DIARIA!AG337+CARGA_DIARIA!AH337+CARGA_DIARIA!AI337+CARGA_DIARIA!AJ337)/CARGA_DIARIA!B337+CARGA_DIARIA!AF337))</f>
        <v/>
      </c>
      <c r="D337" s="36" t="str">
        <f>IF(CARGA_DIARIA!A337="","",IF(CARGA_DIARIA!B337=0,0,(CARGA_DIARIA!J337+CARGA_DIARIA!K337+CARGA_DIARIA!L337+CARGA_DIARIA!M337+CARGA_DIARIA!N337+CARGA_DIARIA!O337+CARGA_DIARIA!P337+CARGA_DIARIA!Q337+CARGA_DIARIA!R337+CARGA_DIARIA!S337+CARGA_DIARIA!T337+CARGA_DIARIA!U337+CARGA_DIARIA!V337+CARGA_DIARIA!W337)/CARGA_DIARIA!B337))</f>
        <v/>
      </c>
      <c r="E337" s="36" t="str">
        <f>IF(CARGA_DIARIA!A337="","",IF(CARGA_DIARIA!B337=0,0,(CARGA_DIARIA!X337+CARGA_DIARIA!Y337+CARGA_DIARIA!Z337+CARGA_DIARIA!AA337)/CARGA_DIARIA!B337+CARGA_DIARIA!AB337+CARGA_DIARIA!AC337+CARGA_DIARIA!AD337+CARGA_DIARIA!AE337))</f>
        <v/>
      </c>
      <c r="F337" s="39" t="s">
        <v>146</v>
      </c>
      <c r="G337" s="39" t="s">
        <v>146</v>
      </c>
      <c r="H337" s="38" t="str">
        <f>IF(CARGA_DIARIA!A337="","",C337-D337-E337)</f>
        <v/>
      </c>
    </row>
    <row r="338" spans="1:8" ht="15.75" customHeight="1" x14ac:dyDescent="0.25">
      <c r="A338" s="33" t="str">
        <f>IF(CARGA_DIARIA!A338="","",CARGA_DIARIA!A338)</f>
        <v/>
      </c>
      <c r="B338" s="34" t="str">
        <f>IF(CARGA_DIARIA!A338="","",CARGA_DIARIA!B338)</f>
        <v/>
      </c>
      <c r="C338" s="35" t="str">
        <f>IF(CARGA_DIARIA!A338="","",IF(CARGA_DIARIA!B338=0,0,(CARGA_DIARIA!C338+CARGA_DIARIA!D338+CARGA_DIARIA!E338+CARGA_DIARIA!F338+CARGA_DIARIA!G338+CARGA_DIARIA!H338+CARGA_DIARIA!I338+CARGA_DIARIA!AG338+CARGA_DIARIA!AH338+CARGA_DIARIA!AI338+CARGA_DIARIA!AJ338)/CARGA_DIARIA!B338+CARGA_DIARIA!AF338))</f>
        <v/>
      </c>
      <c r="D338" s="36" t="str">
        <f>IF(CARGA_DIARIA!A338="","",IF(CARGA_DIARIA!B338=0,0,(CARGA_DIARIA!J338+CARGA_DIARIA!K338+CARGA_DIARIA!L338+CARGA_DIARIA!M338+CARGA_DIARIA!N338+CARGA_DIARIA!O338+CARGA_DIARIA!P338+CARGA_DIARIA!Q338+CARGA_DIARIA!R338+CARGA_DIARIA!S338+CARGA_DIARIA!T338+CARGA_DIARIA!U338+CARGA_DIARIA!V338+CARGA_DIARIA!W338)/CARGA_DIARIA!B338))</f>
        <v/>
      </c>
      <c r="E338" s="36" t="str">
        <f>IF(CARGA_DIARIA!A338="","",IF(CARGA_DIARIA!B338=0,0,(CARGA_DIARIA!X338+CARGA_DIARIA!Y338+CARGA_DIARIA!Z338+CARGA_DIARIA!AA338)/CARGA_DIARIA!B338+CARGA_DIARIA!AB338+CARGA_DIARIA!AC338+CARGA_DIARIA!AD338+CARGA_DIARIA!AE338))</f>
        <v/>
      </c>
      <c r="F338" s="39" t="s">
        <v>146</v>
      </c>
      <c r="G338" s="39" t="s">
        <v>146</v>
      </c>
      <c r="H338" s="38" t="str">
        <f>IF(CARGA_DIARIA!A338="","",C338-D338-E338)</f>
        <v/>
      </c>
    </row>
    <row r="339" spans="1:8" ht="15.75" customHeight="1" x14ac:dyDescent="0.25">
      <c r="A339" s="33" t="str">
        <f>IF(CARGA_DIARIA!A339="","",CARGA_DIARIA!A339)</f>
        <v/>
      </c>
      <c r="B339" s="34" t="str">
        <f>IF(CARGA_DIARIA!A339="","",CARGA_DIARIA!B339)</f>
        <v/>
      </c>
      <c r="C339" s="35" t="str">
        <f>IF(CARGA_DIARIA!A339="","",IF(CARGA_DIARIA!B339=0,0,(CARGA_DIARIA!C339+CARGA_DIARIA!D339+CARGA_DIARIA!E339+CARGA_DIARIA!F339+CARGA_DIARIA!G339+CARGA_DIARIA!H339+CARGA_DIARIA!I339+CARGA_DIARIA!AG339+CARGA_DIARIA!AH339+CARGA_DIARIA!AI339+CARGA_DIARIA!AJ339)/CARGA_DIARIA!B339+CARGA_DIARIA!AF339))</f>
        <v/>
      </c>
      <c r="D339" s="36" t="str">
        <f>IF(CARGA_DIARIA!A339="","",IF(CARGA_DIARIA!B339=0,0,(CARGA_DIARIA!J339+CARGA_DIARIA!K339+CARGA_DIARIA!L339+CARGA_DIARIA!M339+CARGA_DIARIA!N339+CARGA_DIARIA!O339+CARGA_DIARIA!P339+CARGA_DIARIA!Q339+CARGA_DIARIA!R339+CARGA_DIARIA!S339+CARGA_DIARIA!T339+CARGA_DIARIA!U339+CARGA_DIARIA!V339+CARGA_DIARIA!W339)/CARGA_DIARIA!B339))</f>
        <v/>
      </c>
      <c r="E339" s="36" t="str">
        <f>IF(CARGA_DIARIA!A339="","",IF(CARGA_DIARIA!B339=0,0,(CARGA_DIARIA!X339+CARGA_DIARIA!Y339+CARGA_DIARIA!Z339+CARGA_DIARIA!AA339)/CARGA_DIARIA!B339+CARGA_DIARIA!AB339+CARGA_DIARIA!AC339+CARGA_DIARIA!AD339+CARGA_DIARIA!AE339))</f>
        <v/>
      </c>
      <c r="F339" s="39" t="s">
        <v>146</v>
      </c>
      <c r="G339" s="39" t="s">
        <v>146</v>
      </c>
      <c r="H339" s="38" t="str">
        <f>IF(CARGA_DIARIA!A339="","",C339-D339-E339)</f>
        <v/>
      </c>
    </row>
    <row r="340" spans="1:8" ht="15.75" customHeight="1" x14ac:dyDescent="0.25">
      <c r="A340" s="33" t="str">
        <f>IF(CARGA_DIARIA!A340="","",CARGA_DIARIA!A340)</f>
        <v/>
      </c>
      <c r="B340" s="34" t="str">
        <f>IF(CARGA_DIARIA!A340="","",CARGA_DIARIA!B340)</f>
        <v/>
      </c>
      <c r="C340" s="35" t="str">
        <f>IF(CARGA_DIARIA!A340="","",IF(CARGA_DIARIA!B340=0,0,(CARGA_DIARIA!C340+CARGA_DIARIA!D340+CARGA_DIARIA!E340+CARGA_DIARIA!F340+CARGA_DIARIA!G340+CARGA_DIARIA!H340+CARGA_DIARIA!I340+CARGA_DIARIA!AG340+CARGA_DIARIA!AH340+CARGA_DIARIA!AI340+CARGA_DIARIA!AJ340)/CARGA_DIARIA!B340+CARGA_DIARIA!AF340))</f>
        <v/>
      </c>
      <c r="D340" s="36" t="str">
        <f>IF(CARGA_DIARIA!A340="","",IF(CARGA_DIARIA!B340=0,0,(CARGA_DIARIA!J340+CARGA_DIARIA!K340+CARGA_DIARIA!L340+CARGA_DIARIA!M340+CARGA_DIARIA!N340+CARGA_DIARIA!O340+CARGA_DIARIA!P340+CARGA_DIARIA!Q340+CARGA_DIARIA!R340+CARGA_DIARIA!S340+CARGA_DIARIA!T340+CARGA_DIARIA!U340+CARGA_DIARIA!V340+CARGA_DIARIA!W340)/CARGA_DIARIA!B340))</f>
        <v/>
      </c>
      <c r="E340" s="36" t="str">
        <f>IF(CARGA_DIARIA!A340="","",IF(CARGA_DIARIA!B340=0,0,(CARGA_DIARIA!X340+CARGA_DIARIA!Y340+CARGA_DIARIA!Z340+CARGA_DIARIA!AA340)/CARGA_DIARIA!B340+CARGA_DIARIA!AB340+CARGA_DIARIA!AC340+CARGA_DIARIA!AD340+CARGA_DIARIA!AE340))</f>
        <v/>
      </c>
      <c r="F340" s="39" t="s">
        <v>146</v>
      </c>
      <c r="G340" s="39" t="s">
        <v>146</v>
      </c>
      <c r="H340" s="38" t="str">
        <f>IF(CARGA_DIARIA!A340="","",C340-D340-E340)</f>
        <v/>
      </c>
    </row>
    <row r="341" spans="1:8" ht="15.75" customHeight="1" x14ac:dyDescent="0.25">
      <c r="A341" s="33" t="str">
        <f>IF(CARGA_DIARIA!A341="","",CARGA_DIARIA!A341)</f>
        <v/>
      </c>
      <c r="B341" s="34" t="str">
        <f>IF(CARGA_DIARIA!A341="","",CARGA_DIARIA!B341)</f>
        <v/>
      </c>
      <c r="C341" s="35" t="str">
        <f>IF(CARGA_DIARIA!A341="","",IF(CARGA_DIARIA!B341=0,0,(CARGA_DIARIA!C341+CARGA_DIARIA!D341+CARGA_DIARIA!E341+CARGA_DIARIA!F341+CARGA_DIARIA!G341+CARGA_DIARIA!H341+CARGA_DIARIA!I341+CARGA_DIARIA!AG341+CARGA_DIARIA!AH341+CARGA_DIARIA!AI341+CARGA_DIARIA!AJ341)/CARGA_DIARIA!B341+CARGA_DIARIA!AF341))</f>
        <v/>
      </c>
      <c r="D341" s="36" t="str">
        <f>IF(CARGA_DIARIA!A341="","",IF(CARGA_DIARIA!B341=0,0,(CARGA_DIARIA!J341+CARGA_DIARIA!K341+CARGA_DIARIA!L341+CARGA_DIARIA!M341+CARGA_DIARIA!N341+CARGA_DIARIA!O341+CARGA_DIARIA!P341+CARGA_DIARIA!Q341+CARGA_DIARIA!R341+CARGA_DIARIA!S341+CARGA_DIARIA!T341+CARGA_DIARIA!U341+CARGA_DIARIA!V341+CARGA_DIARIA!W341)/CARGA_DIARIA!B341))</f>
        <v/>
      </c>
      <c r="E341" s="36" t="str">
        <f>IF(CARGA_DIARIA!A341="","",IF(CARGA_DIARIA!B341=0,0,(CARGA_DIARIA!X341+CARGA_DIARIA!Y341+CARGA_DIARIA!Z341+CARGA_DIARIA!AA341)/CARGA_DIARIA!B341+CARGA_DIARIA!AB341+CARGA_DIARIA!AC341+CARGA_DIARIA!AD341+CARGA_DIARIA!AE341))</f>
        <v/>
      </c>
      <c r="F341" s="39" t="s">
        <v>146</v>
      </c>
      <c r="G341" s="39" t="s">
        <v>146</v>
      </c>
      <c r="H341" s="38" t="str">
        <f>IF(CARGA_DIARIA!A341="","",C341-D341-E341)</f>
        <v/>
      </c>
    </row>
    <row r="342" spans="1:8" ht="15.75" customHeight="1" x14ac:dyDescent="0.25">
      <c r="A342" s="33" t="str">
        <f>IF(CARGA_DIARIA!A342="","",CARGA_DIARIA!A342)</f>
        <v/>
      </c>
      <c r="B342" s="34" t="str">
        <f>IF(CARGA_DIARIA!A342="","",CARGA_DIARIA!B342)</f>
        <v/>
      </c>
      <c r="C342" s="35" t="str">
        <f>IF(CARGA_DIARIA!A342="","",IF(CARGA_DIARIA!B342=0,0,(CARGA_DIARIA!C342+CARGA_DIARIA!D342+CARGA_DIARIA!E342+CARGA_DIARIA!F342+CARGA_DIARIA!G342+CARGA_DIARIA!H342+CARGA_DIARIA!I342+CARGA_DIARIA!AG342+CARGA_DIARIA!AH342+CARGA_DIARIA!AI342+CARGA_DIARIA!AJ342)/CARGA_DIARIA!B342+CARGA_DIARIA!AF342))</f>
        <v/>
      </c>
      <c r="D342" s="36" t="str">
        <f>IF(CARGA_DIARIA!A342="","",IF(CARGA_DIARIA!B342=0,0,(CARGA_DIARIA!J342+CARGA_DIARIA!K342+CARGA_DIARIA!L342+CARGA_DIARIA!M342+CARGA_DIARIA!N342+CARGA_DIARIA!O342+CARGA_DIARIA!P342+CARGA_DIARIA!Q342+CARGA_DIARIA!R342+CARGA_DIARIA!S342+CARGA_DIARIA!T342+CARGA_DIARIA!U342+CARGA_DIARIA!V342+CARGA_DIARIA!W342)/CARGA_DIARIA!B342))</f>
        <v/>
      </c>
      <c r="E342" s="36" t="str">
        <f>IF(CARGA_DIARIA!A342="","",IF(CARGA_DIARIA!B342=0,0,(CARGA_DIARIA!X342+CARGA_DIARIA!Y342+CARGA_DIARIA!Z342+CARGA_DIARIA!AA342)/CARGA_DIARIA!B342+CARGA_DIARIA!AB342+CARGA_DIARIA!AC342+CARGA_DIARIA!AD342+CARGA_DIARIA!AE342))</f>
        <v/>
      </c>
      <c r="F342" s="39" t="s">
        <v>146</v>
      </c>
      <c r="G342" s="39" t="s">
        <v>146</v>
      </c>
      <c r="H342" s="38" t="str">
        <f>IF(CARGA_DIARIA!A342="","",C342-D342-E342)</f>
        <v/>
      </c>
    </row>
    <row r="343" spans="1:8" ht="15.75" customHeight="1" x14ac:dyDescent="0.25">
      <c r="A343" s="33" t="str">
        <f>IF(CARGA_DIARIA!A343="","",CARGA_DIARIA!A343)</f>
        <v/>
      </c>
      <c r="B343" s="34" t="str">
        <f>IF(CARGA_DIARIA!A343="","",CARGA_DIARIA!B343)</f>
        <v/>
      </c>
      <c r="C343" s="35" t="str">
        <f>IF(CARGA_DIARIA!A343="","",IF(CARGA_DIARIA!B343=0,0,(CARGA_DIARIA!C343+CARGA_DIARIA!D343+CARGA_DIARIA!E343+CARGA_DIARIA!F343+CARGA_DIARIA!G343+CARGA_DIARIA!H343+CARGA_DIARIA!I343+CARGA_DIARIA!AG343+CARGA_DIARIA!AH343+CARGA_DIARIA!AI343+CARGA_DIARIA!AJ343)/CARGA_DIARIA!B343+CARGA_DIARIA!AF343))</f>
        <v/>
      </c>
      <c r="D343" s="36" t="str">
        <f>IF(CARGA_DIARIA!A343="","",IF(CARGA_DIARIA!B343=0,0,(CARGA_DIARIA!J343+CARGA_DIARIA!K343+CARGA_DIARIA!L343+CARGA_DIARIA!M343+CARGA_DIARIA!N343+CARGA_DIARIA!O343+CARGA_DIARIA!P343+CARGA_DIARIA!Q343+CARGA_DIARIA!R343+CARGA_DIARIA!S343+CARGA_DIARIA!T343+CARGA_DIARIA!U343+CARGA_DIARIA!V343+CARGA_DIARIA!W343)/CARGA_DIARIA!B343))</f>
        <v/>
      </c>
      <c r="E343" s="36" t="str">
        <f>IF(CARGA_DIARIA!A343="","",IF(CARGA_DIARIA!B343=0,0,(CARGA_DIARIA!X343+CARGA_DIARIA!Y343+CARGA_DIARIA!Z343+CARGA_DIARIA!AA343)/CARGA_DIARIA!B343+CARGA_DIARIA!AB343+CARGA_DIARIA!AC343+CARGA_DIARIA!AD343+CARGA_DIARIA!AE343))</f>
        <v/>
      </c>
      <c r="F343" s="39" t="s">
        <v>146</v>
      </c>
      <c r="G343" s="39" t="s">
        <v>146</v>
      </c>
      <c r="H343" s="38" t="str">
        <f>IF(CARGA_DIARIA!A343="","",C343-D343-E343)</f>
        <v/>
      </c>
    </row>
    <row r="344" spans="1:8" ht="15.75" customHeight="1" x14ac:dyDescent="0.25">
      <c r="A344" s="33" t="str">
        <f>IF(CARGA_DIARIA!A344="","",CARGA_DIARIA!A344)</f>
        <v/>
      </c>
      <c r="B344" s="34" t="str">
        <f>IF(CARGA_DIARIA!A344="","",CARGA_DIARIA!B344)</f>
        <v/>
      </c>
      <c r="C344" s="35" t="str">
        <f>IF(CARGA_DIARIA!A344="","",IF(CARGA_DIARIA!B344=0,0,(CARGA_DIARIA!C344+CARGA_DIARIA!D344+CARGA_DIARIA!E344+CARGA_DIARIA!F344+CARGA_DIARIA!G344+CARGA_DIARIA!H344+CARGA_DIARIA!I344+CARGA_DIARIA!AG344+CARGA_DIARIA!AH344+CARGA_DIARIA!AI344+CARGA_DIARIA!AJ344)/CARGA_DIARIA!B344+CARGA_DIARIA!AF344))</f>
        <v/>
      </c>
      <c r="D344" s="36" t="str">
        <f>IF(CARGA_DIARIA!A344="","",IF(CARGA_DIARIA!B344=0,0,(CARGA_DIARIA!J344+CARGA_DIARIA!K344+CARGA_DIARIA!L344+CARGA_DIARIA!M344+CARGA_DIARIA!N344+CARGA_DIARIA!O344+CARGA_DIARIA!P344+CARGA_DIARIA!Q344+CARGA_DIARIA!R344+CARGA_DIARIA!S344+CARGA_DIARIA!T344+CARGA_DIARIA!U344+CARGA_DIARIA!V344+CARGA_DIARIA!W344)/CARGA_DIARIA!B344))</f>
        <v/>
      </c>
      <c r="E344" s="36" t="str">
        <f>IF(CARGA_DIARIA!A344="","",IF(CARGA_DIARIA!B344=0,0,(CARGA_DIARIA!X344+CARGA_DIARIA!Y344+CARGA_DIARIA!Z344+CARGA_DIARIA!AA344)/CARGA_DIARIA!B344+CARGA_DIARIA!AB344+CARGA_DIARIA!AC344+CARGA_DIARIA!AD344+CARGA_DIARIA!AE344))</f>
        <v/>
      </c>
      <c r="F344" s="39" t="s">
        <v>146</v>
      </c>
      <c r="G344" s="39" t="s">
        <v>146</v>
      </c>
      <c r="H344" s="38" t="str">
        <f>IF(CARGA_DIARIA!A344="","",C344-D344-E344)</f>
        <v/>
      </c>
    </row>
    <row r="345" spans="1:8" ht="15.75" customHeight="1" x14ac:dyDescent="0.25">
      <c r="A345" s="33" t="str">
        <f>IF(CARGA_DIARIA!A345="","",CARGA_DIARIA!A345)</f>
        <v/>
      </c>
      <c r="B345" s="34" t="str">
        <f>IF(CARGA_DIARIA!A345="","",CARGA_DIARIA!B345)</f>
        <v/>
      </c>
      <c r="C345" s="35" t="str">
        <f>IF(CARGA_DIARIA!A345="","",IF(CARGA_DIARIA!B345=0,0,(CARGA_DIARIA!C345+CARGA_DIARIA!D345+CARGA_DIARIA!E345+CARGA_DIARIA!F345+CARGA_DIARIA!G345+CARGA_DIARIA!H345+CARGA_DIARIA!I345+CARGA_DIARIA!AG345+CARGA_DIARIA!AH345+CARGA_DIARIA!AI345+CARGA_DIARIA!AJ345)/CARGA_DIARIA!B345+CARGA_DIARIA!AF345))</f>
        <v/>
      </c>
      <c r="D345" s="36" t="str">
        <f>IF(CARGA_DIARIA!A345="","",IF(CARGA_DIARIA!B345=0,0,(CARGA_DIARIA!J345+CARGA_DIARIA!K345+CARGA_DIARIA!L345+CARGA_DIARIA!M345+CARGA_DIARIA!N345+CARGA_DIARIA!O345+CARGA_DIARIA!P345+CARGA_DIARIA!Q345+CARGA_DIARIA!R345+CARGA_DIARIA!S345+CARGA_DIARIA!T345+CARGA_DIARIA!U345+CARGA_DIARIA!V345+CARGA_DIARIA!W345)/CARGA_DIARIA!B345))</f>
        <v/>
      </c>
      <c r="E345" s="36" t="str">
        <f>IF(CARGA_DIARIA!A345="","",IF(CARGA_DIARIA!B345=0,0,(CARGA_DIARIA!X345+CARGA_DIARIA!Y345+CARGA_DIARIA!Z345+CARGA_DIARIA!AA345)/CARGA_DIARIA!B345+CARGA_DIARIA!AB345+CARGA_DIARIA!AC345+CARGA_DIARIA!AD345+CARGA_DIARIA!AE345))</f>
        <v/>
      </c>
      <c r="F345" s="39" t="s">
        <v>146</v>
      </c>
      <c r="G345" s="39" t="s">
        <v>146</v>
      </c>
      <c r="H345" s="38" t="str">
        <f>IF(CARGA_DIARIA!A345="","",C345-D345-E345)</f>
        <v/>
      </c>
    </row>
    <row r="346" spans="1:8" ht="15.75" customHeight="1" x14ac:dyDescent="0.25">
      <c r="A346" s="33" t="str">
        <f>IF(CARGA_DIARIA!A346="","",CARGA_DIARIA!A346)</f>
        <v/>
      </c>
      <c r="B346" s="34" t="str">
        <f>IF(CARGA_DIARIA!A346="","",CARGA_DIARIA!B346)</f>
        <v/>
      </c>
      <c r="C346" s="35" t="str">
        <f>IF(CARGA_DIARIA!A346="","",IF(CARGA_DIARIA!B346=0,0,(CARGA_DIARIA!C346+CARGA_DIARIA!D346+CARGA_DIARIA!E346+CARGA_DIARIA!F346+CARGA_DIARIA!G346+CARGA_DIARIA!H346+CARGA_DIARIA!I346+CARGA_DIARIA!AG346+CARGA_DIARIA!AH346+CARGA_DIARIA!AI346+CARGA_DIARIA!AJ346)/CARGA_DIARIA!B346+CARGA_DIARIA!AF346))</f>
        <v/>
      </c>
      <c r="D346" s="36" t="str">
        <f>IF(CARGA_DIARIA!A346="","",IF(CARGA_DIARIA!B346=0,0,(CARGA_DIARIA!J346+CARGA_DIARIA!K346+CARGA_DIARIA!L346+CARGA_DIARIA!M346+CARGA_DIARIA!N346+CARGA_DIARIA!O346+CARGA_DIARIA!P346+CARGA_DIARIA!Q346+CARGA_DIARIA!R346+CARGA_DIARIA!S346+CARGA_DIARIA!T346+CARGA_DIARIA!U346+CARGA_DIARIA!V346+CARGA_DIARIA!W346)/CARGA_DIARIA!B346))</f>
        <v/>
      </c>
      <c r="E346" s="36" t="str">
        <f>IF(CARGA_DIARIA!A346="","",IF(CARGA_DIARIA!B346=0,0,(CARGA_DIARIA!X346+CARGA_DIARIA!Y346+CARGA_DIARIA!Z346+CARGA_DIARIA!AA346)/CARGA_DIARIA!B346+CARGA_DIARIA!AB346+CARGA_DIARIA!AC346+CARGA_DIARIA!AD346+CARGA_DIARIA!AE346))</f>
        <v/>
      </c>
      <c r="F346" s="39" t="s">
        <v>146</v>
      </c>
      <c r="G346" s="39" t="s">
        <v>146</v>
      </c>
      <c r="H346" s="38" t="str">
        <f>IF(CARGA_DIARIA!A346="","",C346-D346-E346)</f>
        <v/>
      </c>
    </row>
    <row r="347" spans="1:8" ht="15.75" customHeight="1" x14ac:dyDescent="0.25">
      <c r="A347" s="33" t="str">
        <f>IF(CARGA_DIARIA!A347="","",CARGA_DIARIA!A347)</f>
        <v/>
      </c>
      <c r="B347" s="34" t="str">
        <f>IF(CARGA_DIARIA!A347="","",CARGA_DIARIA!B347)</f>
        <v/>
      </c>
      <c r="C347" s="35" t="str">
        <f>IF(CARGA_DIARIA!A347="","",IF(CARGA_DIARIA!B347=0,0,(CARGA_DIARIA!C347+CARGA_DIARIA!D347+CARGA_DIARIA!E347+CARGA_DIARIA!F347+CARGA_DIARIA!G347+CARGA_DIARIA!H347+CARGA_DIARIA!I347+CARGA_DIARIA!AG347+CARGA_DIARIA!AH347+CARGA_DIARIA!AI347+CARGA_DIARIA!AJ347)/CARGA_DIARIA!B347+CARGA_DIARIA!AF347))</f>
        <v/>
      </c>
      <c r="D347" s="36" t="str">
        <f>IF(CARGA_DIARIA!A347="","",IF(CARGA_DIARIA!B347=0,0,(CARGA_DIARIA!J347+CARGA_DIARIA!K347+CARGA_DIARIA!L347+CARGA_DIARIA!M347+CARGA_DIARIA!N347+CARGA_DIARIA!O347+CARGA_DIARIA!P347+CARGA_DIARIA!Q347+CARGA_DIARIA!R347+CARGA_DIARIA!S347+CARGA_DIARIA!T347+CARGA_DIARIA!U347+CARGA_DIARIA!V347+CARGA_DIARIA!W347)/CARGA_DIARIA!B347))</f>
        <v/>
      </c>
      <c r="E347" s="36" t="str">
        <f>IF(CARGA_DIARIA!A347="","",IF(CARGA_DIARIA!B347=0,0,(CARGA_DIARIA!X347+CARGA_DIARIA!Y347+CARGA_DIARIA!Z347+CARGA_DIARIA!AA347)/CARGA_DIARIA!B347+CARGA_DIARIA!AB347+CARGA_DIARIA!AC347+CARGA_DIARIA!AD347+CARGA_DIARIA!AE347))</f>
        <v/>
      </c>
      <c r="F347" s="39" t="s">
        <v>146</v>
      </c>
      <c r="G347" s="39" t="s">
        <v>146</v>
      </c>
      <c r="H347" s="38" t="str">
        <f>IF(CARGA_DIARIA!A347="","",C347-D347-E347)</f>
        <v/>
      </c>
    </row>
    <row r="348" spans="1:8" ht="15.75" customHeight="1" x14ac:dyDescent="0.25">
      <c r="A348" s="33" t="str">
        <f>IF(CARGA_DIARIA!A348="","",CARGA_DIARIA!A348)</f>
        <v/>
      </c>
      <c r="B348" s="34" t="str">
        <f>IF(CARGA_DIARIA!A348="","",CARGA_DIARIA!B348)</f>
        <v/>
      </c>
      <c r="C348" s="35" t="str">
        <f>IF(CARGA_DIARIA!A348="","",IF(CARGA_DIARIA!B348=0,0,(CARGA_DIARIA!C348+CARGA_DIARIA!D348+CARGA_DIARIA!E348+CARGA_DIARIA!F348+CARGA_DIARIA!G348+CARGA_DIARIA!H348+CARGA_DIARIA!I348+CARGA_DIARIA!AG348+CARGA_DIARIA!AH348+CARGA_DIARIA!AI348+CARGA_DIARIA!AJ348)/CARGA_DIARIA!B348+CARGA_DIARIA!AF348))</f>
        <v/>
      </c>
      <c r="D348" s="36" t="str">
        <f>IF(CARGA_DIARIA!A348="","",IF(CARGA_DIARIA!B348=0,0,(CARGA_DIARIA!J348+CARGA_DIARIA!K348+CARGA_DIARIA!L348+CARGA_DIARIA!M348+CARGA_DIARIA!N348+CARGA_DIARIA!O348+CARGA_DIARIA!P348+CARGA_DIARIA!Q348+CARGA_DIARIA!R348+CARGA_DIARIA!S348+CARGA_DIARIA!T348+CARGA_DIARIA!U348+CARGA_DIARIA!V348+CARGA_DIARIA!W348)/CARGA_DIARIA!B348))</f>
        <v/>
      </c>
      <c r="E348" s="36" t="str">
        <f>IF(CARGA_DIARIA!A348="","",IF(CARGA_DIARIA!B348=0,0,(CARGA_DIARIA!X348+CARGA_DIARIA!Y348+CARGA_DIARIA!Z348+CARGA_DIARIA!AA348)/CARGA_DIARIA!B348+CARGA_DIARIA!AB348+CARGA_DIARIA!AC348+CARGA_DIARIA!AD348+CARGA_DIARIA!AE348))</f>
        <v/>
      </c>
      <c r="F348" s="39" t="s">
        <v>146</v>
      </c>
      <c r="G348" s="39" t="s">
        <v>146</v>
      </c>
      <c r="H348" s="38" t="str">
        <f>IF(CARGA_DIARIA!A348="","",C348-D348-E348)</f>
        <v/>
      </c>
    </row>
    <row r="349" spans="1:8" ht="15.75" customHeight="1" x14ac:dyDescent="0.25">
      <c r="A349" s="33" t="str">
        <f>IF(CARGA_DIARIA!A349="","",CARGA_DIARIA!A349)</f>
        <v/>
      </c>
      <c r="B349" s="34" t="str">
        <f>IF(CARGA_DIARIA!A349="","",CARGA_DIARIA!B349)</f>
        <v/>
      </c>
      <c r="C349" s="35" t="str">
        <f>IF(CARGA_DIARIA!A349="","",IF(CARGA_DIARIA!B349=0,0,(CARGA_DIARIA!C349+CARGA_DIARIA!D349+CARGA_DIARIA!E349+CARGA_DIARIA!F349+CARGA_DIARIA!G349+CARGA_DIARIA!H349+CARGA_DIARIA!I349+CARGA_DIARIA!AG349+CARGA_DIARIA!AH349+CARGA_DIARIA!AI349+CARGA_DIARIA!AJ349)/CARGA_DIARIA!B349+CARGA_DIARIA!AF349))</f>
        <v/>
      </c>
      <c r="D349" s="36" t="str">
        <f>IF(CARGA_DIARIA!A349="","",IF(CARGA_DIARIA!B349=0,0,(CARGA_DIARIA!J349+CARGA_DIARIA!K349+CARGA_DIARIA!L349+CARGA_DIARIA!M349+CARGA_DIARIA!N349+CARGA_DIARIA!O349+CARGA_DIARIA!P349+CARGA_DIARIA!Q349+CARGA_DIARIA!R349+CARGA_DIARIA!S349+CARGA_DIARIA!T349+CARGA_DIARIA!U349+CARGA_DIARIA!V349+CARGA_DIARIA!W349)/CARGA_DIARIA!B349))</f>
        <v/>
      </c>
      <c r="E349" s="36" t="str">
        <f>IF(CARGA_DIARIA!A349="","",IF(CARGA_DIARIA!B349=0,0,(CARGA_DIARIA!X349+CARGA_DIARIA!Y349+CARGA_DIARIA!Z349+CARGA_DIARIA!AA349)/CARGA_DIARIA!B349+CARGA_DIARIA!AB349+CARGA_DIARIA!AC349+CARGA_DIARIA!AD349+CARGA_DIARIA!AE349))</f>
        <v/>
      </c>
      <c r="F349" s="39" t="s">
        <v>146</v>
      </c>
      <c r="G349" s="39" t="s">
        <v>146</v>
      </c>
      <c r="H349" s="38" t="str">
        <f>IF(CARGA_DIARIA!A349="","",C349-D349-E349)</f>
        <v/>
      </c>
    </row>
    <row r="350" spans="1:8" ht="15.75" customHeight="1" x14ac:dyDescent="0.25">
      <c r="A350" s="33" t="str">
        <f>IF(CARGA_DIARIA!A350="","",CARGA_DIARIA!A350)</f>
        <v/>
      </c>
      <c r="B350" s="34" t="str">
        <f>IF(CARGA_DIARIA!A350="","",CARGA_DIARIA!B350)</f>
        <v/>
      </c>
      <c r="C350" s="35" t="str">
        <f>IF(CARGA_DIARIA!A350="","",IF(CARGA_DIARIA!B350=0,0,(CARGA_DIARIA!C350+CARGA_DIARIA!D350+CARGA_DIARIA!E350+CARGA_DIARIA!F350+CARGA_DIARIA!G350+CARGA_DIARIA!H350+CARGA_DIARIA!I350+CARGA_DIARIA!AG350+CARGA_DIARIA!AH350+CARGA_DIARIA!AI350+CARGA_DIARIA!AJ350)/CARGA_DIARIA!B350+CARGA_DIARIA!AF350))</f>
        <v/>
      </c>
      <c r="D350" s="36" t="str">
        <f>IF(CARGA_DIARIA!A350="","",IF(CARGA_DIARIA!B350=0,0,(CARGA_DIARIA!J350+CARGA_DIARIA!K350+CARGA_DIARIA!L350+CARGA_DIARIA!M350+CARGA_DIARIA!N350+CARGA_DIARIA!O350+CARGA_DIARIA!P350+CARGA_DIARIA!Q350+CARGA_DIARIA!R350+CARGA_DIARIA!S350+CARGA_DIARIA!T350+CARGA_DIARIA!U350+CARGA_DIARIA!V350+CARGA_DIARIA!W350)/CARGA_DIARIA!B350))</f>
        <v/>
      </c>
      <c r="E350" s="36" t="str">
        <f>IF(CARGA_DIARIA!A350="","",IF(CARGA_DIARIA!B350=0,0,(CARGA_DIARIA!X350+CARGA_DIARIA!Y350+CARGA_DIARIA!Z350+CARGA_DIARIA!AA350)/CARGA_DIARIA!B350+CARGA_DIARIA!AB350+CARGA_DIARIA!AC350+CARGA_DIARIA!AD350+CARGA_DIARIA!AE350))</f>
        <v/>
      </c>
      <c r="F350" s="39" t="s">
        <v>146</v>
      </c>
      <c r="G350" s="39" t="s">
        <v>146</v>
      </c>
      <c r="H350" s="38" t="str">
        <f>IF(CARGA_DIARIA!A350="","",C350-D350-E350)</f>
        <v/>
      </c>
    </row>
    <row r="351" spans="1:8" ht="15.75" customHeight="1" x14ac:dyDescent="0.25">
      <c r="A351" s="33" t="str">
        <f>IF(CARGA_DIARIA!A351="","",CARGA_DIARIA!A351)</f>
        <v/>
      </c>
      <c r="B351" s="34" t="str">
        <f>IF(CARGA_DIARIA!A351="","",CARGA_DIARIA!B351)</f>
        <v/>
      </c>
      <c r="C351" s="35" t="str">
        <f>IF(CARGA_DIARIA!A351="","",IF(CARGA_DIARIA!B351=0,0,(CARGA_DIARIA!C351+CARGA_DIARIA!D351+CARGA_DIARIA!E351+CARGA_DIARIA!F351+CARGA_DIARIA!G351+CARGA_DIARIA!H351+CARGA_DIARIA!I351+CARGA_DIARIA!AG351+CARGA_DIARIA!AH351+CARGA_DIARIA!AI351+CARGA_DIARIA!AJ351)/CARGA_DIARIA!B351+CARGA_DIARIA!AF351))</f>
        <v/>
      </c>
      <c r="D351" s="36" t="str">
        <f>IF(CARGA_DIARIA!A351="","",IF(CARGA_DIARIA!B351=0,0,(CARGA_DIARIA!J351+CARGA_DIARIA!K351+CARGA_DIARIA!L351+CARGA_DIARIA!M351+CARGA_DIARIA!N351+CARGA_DIARIA!O351+CARGA_DIARIA!P351+CARGA_DIARIA!Q351+CARGA_DIARIA!R351+CARGA_DIARIA!S351+CARGA_DIARIA!T351+CARGA_DIARIA!U351+CARGA_DIARIA!V351+CARGA_DIARIA!W351)/CARGA_DIARIA!B351))</f>
        <v/>
      </c>
      <c r="E351" s="36" t="str">
        <f>IF(CARGA_DIARIA!A351="","",IF(CARGA_DIARIA!B351=0,0,(CARGA_DIARIA!X351+CARGA_DIARIA!Y351+CARGA_DIARIA!Z351+CARGA_DIARIA!AA351)/CARGA_DIARIA!B351+CARGA_DIARIA!AB351+CARGA_DIARIA!AC351+CARGA_DIARIA!AD351+CARGA_DIARIA!AE351))</f>
        <v/>
      </c>
      <c r="F351" s="39" t="s">
        <v>146</v>
      </c>
      <c r="G351" s="39" t="s">
        <v>146</v>
      </c>
      <c r="H351" s="38" t="str">
        <f>IF(CARGA_DIARIA!A351="","",C351-D351-E351)</f>
        <v/>
      </c>
    </row>
    <row r="352" spans="1:8" ht="15.75" customHeight="1" x14ac:dyDescent="0.25">
      <c r="A352" s="33" t="str">
        <f>IF(CARGA_DIARIA!A352="","",CARGA_DIARIA!A352)</f>
        <v/>
      </c>
      <c r="B352" s="34" t="str">
        <f>IF(CARGA_DIARIA!A352="","",CARGA_DIARIA!B352)</f>
        <v/>
      </c>
      <c r="C352" s="35" t="str">
        <f>IF(CARGA_DIARIA!A352="","",IF(CARGA_DIARIA!B352=0,0,(CARGA_DIARIA!C352+CARGA_DIARIA!D352+CARGA_DIARIA!E352+CARGA_DIARIA!F352+CARGA_DIARIA!G352+CARGA_DIARIA!H352+CARGA_DIARIA!I352+CARGA_DIARIA!AG352+CARGA_DIARIA!AH352+CARGA_DIARIA!AI352+CARGA_DIARIA!AJ352)/CARGA_DIARIA!B352+CARGA_DIARIA!AF352))</f>
        <v/>
      </c>
      <c r="D352" s="36" t="str">
        <f>IF(CARGA_DIARIA!A352="","",IF(CARGA_DIARIA!B352=0,0,(CARGA_DIARIA!J352+CARGA_DIARIA!K352+CARGA_DIARIA!L352+CARGA_DIARIA!M352+CARGA_DIARIA!N352+CARGA_DIARIA!O352+CARGA_DIARIA!P352+CARGA_DIARIA!Q352+CARGA_DIARIA!R352+CARGA_DIARIA!S352+CARGA_DIARIA!T352+CARGA_DIARIA!U352+CARGA_DIARIA!V352+CARGA_DIARIA!W352)/CARGA_DIARIA!B352))</f>
        <v/>
      </c>
      <c r="E352" s="36" t="str">
        <f>IF(CARGA_DIARIA!A352="","",IF(CARGA_DIARIA!B352=0,0,(CARGA_DIARIA!X352+CARGA_DIARIA!Y352+CARGA_DIARIA!Z352+CARGA_DIARIA!AA352)/CARGA_DIARIA!B352+CARGA_DIARIA!AB352+CARGA_DIARIA!AC352+CARGA_DIARIA!AD352+CARGA_DIARIA!AE352))</f>
        <v/>
      </c>
      <c r="F352" s="39" t="s">
        <v>146</v>
      </c>
      <c r="G352" s="39" t="s">
        <v>146</v>
      </c>
      <c r="H352" s="38" t="str">
        <f>IF(CARGA_DIARIA!A352="","",C352-D352-E352)</f>
        <v/>
      </c>
    </row>
    <row r="353" spans="1:8" ht="15.75" customHeight="1" x14ac:dyDescent="0.25">
      <c r="A353" s="33" t="str">
        <f>IF(CARGA_DIARIA!A353="","",CARGA_DIARIA!A353)</f>
        <v/>
      </c>
      <c r="B353" s="34" t="str">
        <f>IF(CARGA_DIARIA!A353="","",CARGA_DIARIA!B353)</f>
        <v/>
      </c>
      <c r="C353" s="35" t="str">
        <f>IF(CARGA_DIARIA!A353="","",IF(CARGA_DIARIA!B353=0,0,(CARGA_DIARIA!C353+CARGA_DIARIA!D353+CARGA_DIARIA!E353+CARGA_DIARIA!F353+CARGA_DIARIA!G353+CARGA_DIARIA!H353+CARGA_DIARIA!I353+CARGA_DIARIA!AG353+CARGA_DIARIA!AH353+CARGA_DIARIA!AI353+CARGA_DIARIA!AJ353)/CARGA_DIARIA!B353+CARGA_DIARIA!AF353))</f>
        <v/>
      </c>
      <c r="D353" s="36" t="str">
        <f>IF(CARGA_DIARIA!A353="","",IF(CARGA_DIARIA!B353=0,0,(CARGA_DIARIA!J353+CARGA_DIARIA!K353+CARGA_DIARIA!L353+CARGA_DIARIA!M353+CARGA_DIARIA!N353+CARGA_DIARIA!O353+CARGA_DIARIA!P353+CARGA_DIARIA!Q353+CARGA_DIARIA!R353+CARGA_DIARIA!S353+CARGA_DIARIA!T353+CARGA_DIARIA!U353+CARGA_DIARIA!V353+CARGA_DIARIA!W353)/CARGA_DIARIA!B353))</f>
        <v/>
      </c>
      <c r="E353" s="36" t="str">
        <f>IF(CARGA_DIARIA!A353="","",IF(CARGA_DIARIA!B353=0,0,(CARGA_DIARIA!X353+CARGA_DIARIA!Y353+CARGA_DIARIA!Z353+CARGA_DIARIA!AA353)/CARGA_DIARIA!B353+CARGA_DIARIA!AB353+CARGA_DIARIA!AC353+CARGA_DIARIA!AD353+CARGA_DIARIA!AE353))</f>
        <v/>
      </c>
      <c r="F353" s="39" t="s">
        <v>146</v>
      </c>
      <c r="G353" s="39" t="s">
        <v>146</v>
      </c>
      <c r="H353" s="38" t="str">
        <f>IF(CARGA_DIARIA!A353="","",C353-D353-E353)</f>
        <v/>
      </c>
    </row>
    <row r="354" spans="1:8" ht="15.75" customHeight="1" x14ac:dyDescent="0.25">
      <c r="A354" s="33" t="str">
        <f>IF(CARGA_DIARIA!A354="","",CARGA_DIARIA!A354)</f>
        <v/>
      </c>
      <c r="B354" s="34" t="str">
        <f>IF(CARGA_DIARIA!A354="","",CARGA_DIARIA!B354)</f>
        <v/>
      </c>
      <c r="C354" s="35" t="str">
        <f>IF(CARGA_DIARIA!A354="","",IF(CARGA_DIARIA!B354=0,0,(CARGA_DIARIA!C354+CARGA_DIARIA!D354+CARGA_DIARIA!E354+CARGA_DIARIA!F354+CARGA_DIARIA!G354+CARGA_DIARIA!H354+CARGA_DIARIA!I354+CARGA_DIARIA!AG354+CARGA_DIARIA!AH354+CARGA_DIARIA!AI354+CARGA_DIARIA!AJ354)/CARGA_DIARIA!B354+CARGA_DIARIA!AF354))</f>
        <v/>
      </c>
      <c r="D354" s="36" t="str">
        <f>IF(CARGA_DIARIA!A354="","",IF(CARGA_DIARIA!B354=0,0,(CARGA_DIARIA!J354+CARGA_DIARIA!K354+CARGA_DIARIA!L354+CARGA_DIARIA!M354+CARGA_DIARIA!N354+CARGA_DIARIA!O354+CARGA_DIARIA!P354+CARGA_DIARIA!Q354+CARGA_DIARIA!R354+CARGA_DIARIA!S354+CARGA_DIARIA!T354+CARGA_DIARIA!U354+CARGA_DIARIA!V354+CARGA_DIARIA!W354)/CARGA_DIARIA!B354))</f>
        <v/>
      </c>
      <c r="E354" s="36" t="str">
        <f>IF(CARGA_DIARIA!A354="","",IF(CARGA_DIARIA!B354=0,0,(CARGA_DIARIA!X354+CARGA_DIARIA!Y354+CARGA_DIARIA!Z354+CARGA_DIARIA!AA354)/CARGA_DIARIA!B354+CARGA_DIARIA!AB354+CARGA_DIARIA!AC354+CARGA_DIARIA!AD354+CARGA_DIARIA!AE354))</f>
        <v/>
      </c>
      <c r="F354" s="39" t="s">
        <v>146</v>
      </c>
      <c r="G354" s="39" t="s">
        <v>146</v>
      </c>
      <c r="H354" s="38" t="str">
        <f>IF(CARGA_DIARIA!A354="","",C354-D354-E354)</f>
        <v/>
      </c>
    </row>
    <row r="355" spans="1:8" ht="15.75" customHeight="1" x14ac:dyDescent="0.25">
      <c r="A355" s="33" t="str">
        <f>IF(CARGA_DIARIA!A355="","",CARGA_DIARIA!A355)</f>
        <v/>
      </c>
      <c r="B355" s="34" t="str">
        <f>IF(CARGA_DIARIA!A355="","",CARGA_DIARIA!B355)</f>
        <v/>
      </c>
      <c r="C355" s="35" t="str">
        <f>IF(CARGA_DIARIA!A355="","",IF(CARGA_DIARIA!B355=0,0,(CARGA_DIARIA!C355+CARGA_DIARIA!D355+CARGA_DIARIA!E355+CARGA_DIARIA!F355+CARGA_DIARIA!G355+CARGA_DIARIA!H355+CARGA_DIARIA!I355+CARGA_DIARIA!AG355+CARGA_DIARIA!AH355+CARGA_DIARIA!AI355+CARGA_DIARIA!AJ355)/CARGA_DIARIA!B355+CARGA_DIARIA!AF355))</f>
        <v/>
      </c>
      <c r="D355" s="36" t="str">
        <f>IF(CARGA_DIARIA!A355="","",IF(CARGA_DIARIA!B355=0,0,(CARGA_DIARIA!J355+CARGA_DIARIA!K355+CARGA_DIARIA!L355+CARGA_DIARIA!M355+CARGA_DIARIA!N355+CARGA_DIARIA!O355+CARGA_DIARIA!P355+CARGA_DIARIA!Q355+CARGA_DIARIA!R355+CARGA_DIARIA!S355+CARGA_DIARIA!T355+CARGA_DIARIA!U355+CARGA_DIARIA!V355+CARGA_DIARIA!W355)/CARGA_DIARIA!B355))</f>
        <v/>
      </c>
      <c r="E355" s="36" t="str">
        <f>IF(CARGA_DIARIA!A355="","",IF(CARGA_DIARIA!B355=0,0,(CARGA_DIARIA!X355+CARGA_DIARIA!Y355+CARGA_DIARIA!Z355+CARGA_DIARIA!AA355)/CARGA_DIARIA!B355+CARGA_DIARIA!AB355+CARGA_DIARIA!AC355+CARGA_DIARIA!AD355+CARGA_DIARIA!AE355))</f>
        <v/>
      </c>
      <c r="F355" s="39" t="s">
        <v>146</v>
      </c>
      <c r="G355" s="39" t="s">
        <v>146</v>
      </c>
      <c r="H355" s="38" t="str">
        <f>IF(CARGA_DIARIA!A355="","",C355-D355-E355)</f>
        <v/>
      </c>
    </row>
    <row r="356" spans="1:8" ht="15.75" customHeight="1" x14ac:dyDescent="0.25">
      <c r="A356" s="33" t="str">
        <f>IF(CARGA_DIARIA!A356="","",CARGA_DIARIA!A356)</f>
        <v/>
      </c>
      <c r="B356" s="34" t="str">
        <f>IF(CARGA_DIARIA!A356="","",CARGA_DIARIA!B356)</f>
        <v/>
      </c>
      <c r="C356" s="35" t="str">
        <f>IF(CARGA_DIARIA!A356="","",IF(CARGA_DIARIA!B356=0,0,(CARGA_DIARIA!C356+CARGA_DIARIA!D356+CARGA_DIARIA!E356+CARGA_DIARIA!F356+CARGA_DIARIA!G356+CARGA_DIARIA!H356+CARGA_DIARIA!I356+CARGA_DIARIA!AG356+CARGA_DIARIA!AH356+CARGA_DIARIA!AI356+CARGA_DIARIA!AJ356)/CARGA_DIARIA!B356+CARGA_DIARIA!AF356))</f>
        <v/>
      </c>
      <c r="D356" s="36" t="str">
        <f>IF(CARGA_DIARIA!A356="","",IF(CARGA_DIARIA!B356=0,0,(CARGA_DIARIA!J356+CARGA_DIARIA!K356+CARGA_DIARIA!L356+CARGA_DIARIA!M356+CARGA_DIARIA!N356+CARGA_DIARIA!O356+CARGA_DIARIA!P356+CARGA_DIARIA!Q356+CARGA_DIARIA!R356+CARGA_DIARIA!S356+CARGA_DIARIA!T356+CARGA_DIARIA!U356+CARGA_DIARIA!V356+CARGA_DIARIA!W356)/CARGA_DIARIA!B356))</f>
        <v/>
      </c>
      <c r="E356" s="36" t="str">
        <f>IF(CARGA_DIARIA!A356="","",IF(CARGA_DIARIA!B356=0,0,(CARGA_DIARIA!X356+CARGA_DIARIA!Y356+CARGA_DIARIA!Z356+CARGA_DIARIA!AA356)/CARGA_DIARIA!B356+CARGA_DIARIA!AB356+CARGA_DIARIA!AC356+CARGA_DIARIA!AD356+CARGA_DIARIA!AE356))</f>
        <v/>
      </c>
      <c r="F356" s="39" t="s">
        <v>146</v>
      </c>
      <c r="G356" s="39" t="s">
        <v>146</v>
      </c>
      <c r="H356" s="38" t="str">
        <f>IF(CARGA_DIARIA!A356="","",C356-D356-E356)</f>
        <v/>
      </c>
    </row>
    <row r="357" spans="1:8" ht="15.75" customHeight="1" x14ac:dyDescent="0.25">
      <c r="A357" s="33" t="str">
        <f>IF(CARGA_DIARIA!A357="","",CARGA_DIARIA!A357)</f>
        <v/>
      </c>
      <c r="B357" s="34" t="str">
        <f>IF(CARGA_DIARIA!A357="","",CARGA_DIARIA!B357)</f>
        <v/>
      </c>
      <c r="C357" s="35" t="str">
        <f>IF(CARGA_DIARIA!A357="","",IF(CARGA_DIARIA!B357=0,0,(CARGA_DIARIA!C357+CARGA_DIARIA!D357+CARGA_DIARIA!E357+CARGA_DIARIA!F357+CARGA_DIARIA!G357+CARGA_DIARIA!H357+CARGA_DIARIA!I357+CARGA_DIARIA!AG357+CARGA_DIARIA!AH357+CARGA_DIARIA!AI357+CARGA_DIARIA!AJ357)/CARGA_DIARIA!B357+CARGA_DIARIA!AF357))</f>
        <v/>
      </c>
      <c r="D357" s="36" t="str">
        <f>IF(CARGA_DIARIA!A357="","",IF(CARGA_DIARIA!B357=0,0,(CARGA_DIARIA!J357+CARGA_DIARIA!K357+CARGA_DIARIA!L357+CARGA_DIARIA!M357+CARGA_DIARIA!N357+CARGA_DIARIA!O357+CARGA_DIARIA!P357+CARGA_DIARIA!Q357+CARGA_DIARIA!R357+CARGA_DIARIA!S357+CARGA_DIARIA!T357+CARGA_DIARIA!U357+CARGA_DIARIA!V357+CARGA_DIARIA!W357)/CARGA_DIARIA!B357))</f>
        <v/>
      </c>
      <c r="E357" s="36" t="str">
        <f>IF(CARGA_DIARIA!A357="","",IF(CARGA_DIARIA!B357=0,0,(CARGA_DIARIA!X357+CARGA_DIARIA!Y357+CARGA_DIARIA!Z357+CARGA_DIARIA!AA357)/CARGA_DIARIA!B357+CARGA_DIARIA!AB357+CARGA_DIARIA!AC357+CARGA_DIARIA!AD357+CARGA_DIARIA!AE357))</f>
        <v/>
      </c>
      <c r="F357" s="39" t="s">
        <v>146</v>
      </c>
      <c r="G357" s="39" t="s">
        <v>146</v>
      </c>
      <c r="H357" s="38" t="str">
        <f>IF(CARGA_DIARIA!A357="","",C357-D357-E357)</f>
        <v/>
      </c>
    </row>
    <row r="358" spans="1:8" ht="15.75" customHeight="1" x14ac:dyDescent="0.25">
      <c r="A358" s="33" t="str">
        <f>IF(CARGA_DIARIA!A358="","",CARGA_DIARIA!A358)</f>
        <v/>
      </c>
      <c r="B358" s="34" t="str">
        <f>IF(CARGA_DIARIA!A358="","",CARGA_DIARIA!B358)</f>
        <v/>
      </c>
      <c r="C358" s="35" t="str">
        <f>IF(CARGA_DIARIA!A358="","",IF(CARGA_DIARIA!B358=0,0,(CARGA_DIARIA!C358+CARGA_DIARIA!D358+CARGA_DIARIA!E358+CARGA_DIARIA!F358+CARGA_DIARIA!G358+CARGA_DIARIA!H358+CARGA_DIARIA!I358+CARGA_DIARIA!AG358+CARGA_DIARIA!AH358+CARGA_DIARIA!AI358+CARGA_DIARIA!AJ358)/CARGA_DIARIA!B358+CARGA_DIARIA!AF358))</f>
        <v/>
      </c>
      <c r="D358" s="36" t="str">
        <f>IF(CARGA_DIARIA!A358="","",IF(CARGA_DIARIA!B358=0,0,(CARGA_DIARIA!J358+CARGA_DIARIA!K358+CARGA_DIARIA!L358+CARGA_DIARIA!M358+CARGA_DIARIA!N358+CARGA_DIARIA!O358+CARGA_DIARIA!P358+CARGA_DIARIA!Q358+CARGA_DIARIA!R358+CARGA_DIARIA!S358+CARGA_DIARIA!T358+CARGA_DIARIA!U358+CARGA_DIARIA!V358+CARGA_DIARIA!W358)/CARGA_DIARIA!B358))</f>
        <v/>
      </c>
      <c r="E358" s="36" t="str">
        <f>IF(CARGA_DIARIA!A358="","",IF(CARGA_DIARIA!B358=0,0,(CARGA_DIARIA!X358+CARGA_DIARIA!Y358+CARGA_DIARIA!Z358+CARGA_DIARIA!AA358)/CARGA_DIARIA!B358+CARGA_DIARIA!AB358+CARGA_DIARIA!AC358+CARGA_DIARIA!AD358+CARGA_DIARIA!AE358))</f>
        <v/>
      </c>
      <c r="F358" s="39" t="s">
        <v>146</v>
      </c>
      <c r="G358" s="39" t="s">
        <v>146</v>
      </c>
      <c r="H358" s="38" t="str">
        <f>IF(CARGA_DIARIA!A358="","",C358-D358-E358)</f>
        <v/>
      </c>
    </row>
    <row r="359" spans="1:8" ht="15.75" customHeight="1" x14ac:dyDescent="0.25">
      <c r="A359" s="33" t="str">
        <f>IF(CARGA_DIARIA!A359="","",CARGA_DIARIA!A359)</f>
        <v/>
      </c>
      <c r="B359" s="34" t="str">
        <f>IF(CARGA_DIARIA!A359="","",CARGA_DIARIA!B359)</f>
        <v/>
      </c>
      <c r="C359" s="35" t="str">
        <f>IF(CARGA_DIARIA!A359="","",IF(CARGA_DIARIA!B359=0,0,(CARGA_DIARIA!C359+CARGA_DIARIA!D359+CARGA_DIARIA!E359+CARGA_DIARIA!F359+CARGA_DIARIA!G359+CARGA_DIARIA!H359+CARGA_DIARIA!I359+CARGA_DIARIA!AG359+CARGA_DIARIA!AH359+CARGA_DIARIA!AI359+CARGA_DIARIA!AJ359)/CARGA_DIARIA!B359+CARGA_DIARIA!AF359))</f>
        <v/>
      </c>
      <c r="D359" s="36" t="str">
        <f>IF(CARGA_DIARIA!A359="","",IF(CARGA_DIARIA!B359=0,0,(CARGA_DIARIA!J359+CARGA_DIARIA!K359+CARGA_DIARIA!L359+CARGA_DIARIA!M359+CARGA_DIARIA!N359+CARGA_DIARIA!O359+CARGA_DIARIA!P359+CARGA_DIARIA!Q359+CARGA_DIARIA!R359+CARGA_DIARIA!S359+CARGA_DIARIA!T359+CARGA_DIARIA!U359+CARGA_DIARIA!V359+CARGA_DIARIA!W359)/CARGA_DIARIA!B359))</f>
        <v/>
      </c>
      <c r="E359" s="36" t="str">
        <f>IF(CARGA_DIARIA!A359="","",IF(CARGA_DIARIA!B359=0,0,(CARGA_DIARIA!X359+CARGA_DIARIA!Y359+CARGA_DIARIA!Z359+CARGA_DIARIA!AA359)/CARGA_DIARIA!B359+CARGA_DIARIA!AB359+CARGA_DIARIA!AC359+CARGA_DIARIA!AD359+CARGA_DIARIA!AE359))</f>
        <v/>
      </c>
      <c r="F359" s="39" t="s">
        <v>146</v>
      </c>
      <c r="G359" s="39" t="s">
        <v>146</v>
      </c>
      <c r="H359" s="38" t="str">
        <f>IF(CARGA_DIARIA!A359="","",C359-D359-E359)</f>
        <v/>
      </c>
    </row>
    <row r="360" spans="1:8" ht="15.75" customHeight="1" x14ac:dyDescent="0.25">
      <c r="A360" s="33" t="str">
        <f>IF(CARGA_DIARIA!A360="","",CARGA_DIARIA!A360)</f>
        <v/>
      </c>
      <c r="B360" s="34" t="str">
        <f>IF(CARGA_DIARIA!A360="","",CARGA_DIARIA!B360)</f>
        <v/>
      </c>
      <c r="C360" s="35" t="str">
        <f>IF(CARGA_DIARIA!A360="","",IF(CARGA_DIARIA!B360=0,0,(CARGA_DIARIA!C360+CARGA_DIARIA!D360+CARGA_DIARIA!E360+CARGA_DIARIA!F360+CARGA_DIARIA!G360+CARGA_DIARIA!H360+CARGA_DIARIA!I360+CARGA_DIARIA!AG360+CARGA_DIARIA!AH360+CARGA_DIARIA!AI360+CARGA_DIARIA!AJ360)/CARGA_DIARIA!B360+CARGA_DIARIA!AF360))</f>
        <v/>
      </c>
      <c r="D360" s="36" t="str">
        <f>IF(CARGA_DIARIA!A360="","",IF(CARGA_DIARIA!B360=0,0,(CARGA_DIARIA!J360+CARGA_DIARIA!K360+CARGA_DIARIA!L360+CARGA_DIARIA!M360+CARGA_DIARIA!N360+CARGA_DIARIA!O360+CARGA_DIARIA!P360+CARGA_DIARIA!Q360+CARGA_DIARIA!R360+CARGA_DIARIA!S360+CARGA_DIARIA!T360+CARGA_DIARIA!U360+CARGA_DIARIA!V360+CARGA_DIARIA!W360)/CARGA_DIARIA!B360))</f>
        <v/>
      </c>
      <c r="E360" s="36" t="str">
        <f>IF(CARGA_DIARIA!A360="","",IF(CARGA_DIARIA!B360=0,0,(CARGA_DIARIA!X360+CARGA_DIARIA!Y360+CARGA_DIARIA!Z360+CARGA_DIARIA!AA360)/CARGA_DIARIA!B360+CARGA_DIARIA!AB360+CARGA_DIARIA!AC360+CARGA_DIARIA!AD360+CARGA_DIARIA!AE360))</f>
        <v/>
      </c>
      <c r="F360" s="39" t="s">
        <v>146</v>
      </c>
      <c r="G360" s="39" t="s">
        <v>146</v>
      </c>
      <c r="H360" s="38" t="str">
        <f>IF(CARGA_DIARIA!A360="","",C360-D360-E360)</f>
        <v/>
      </c>
    </row>
    <row r="361" spans="1:8" ht="15.75" customHeight="1" x14ac:dyDescent="0.25">
      <c r="A361" s="33" t="str">
        <f>IF(CARGA_DIARIA!A361="","",CARGA_DIARIA!A361)</f>
        <v/>
      </c>
      <c r="B361" s="34" t="str">
        <f>IF(CARGA_DIARIA!A361="","",CARGA_DIARIA!B361)</f>
        <v/>
      </c>
      <c r="C361" s="35" t="str">
        <f>IF(CARGA_DIARIA!A361="","",IF(CARGA_DIARIA!B361=0,0,(CARGA_DIARIA!C361+CARGA_DIARIA!D361+CARGA_DIARIA!E361+CARGA_DIARIA!F361+CARGA_DIARIA!G361+CARGA_DIARIA!H361+CARGA_DIARIA!I361+CARGA_DIARIA!AG361+CARGA_DIARIA!AH361+CARGA_DIARIA!AI361+CARGA_DIARIA!AJ361)/CARGA_DIARIA!B361+CARGA_DIARIA!AF361))</f>
        <v/>
      </c>
      <c r="D361" s="36" t="str">
        <f>IF(CARGA_DIARIA!A361="","",IF(CARGA_DIARIA!B361=0,0,(CARGA_DIARIA!J361+CARGA_DIARIA!K361+CARGA_DIARIA!L361+CARGA_DIARIA!M361+CARGA_DIARIA!N361+CARGA_DIARIA!O361+CARGA_DIARIA!P361+CARGA_DIARIA!Q361+CARGA_DIARIA!R361+CARGA_DIARIA!S361+CARGA_DIARIA!T361+CARGA_DIARIA!U361+CARGA_DIARIA!V361+CARGA_DIARIA!W361)/CARGA_DIARIA!B361))</f>
        <v/>
      </c>
      <c r="E361" s="36" t="str">
        <f>IF(CARGA_DIARIA!A361="","",IF(CARGA_DIARIA!B361=0,0,(CARGA_DIARIA!X361+CARGA_DIARIA!Y361+CARGA_DIARIA!Z361+CARGA_DIARIA!AA361)/CARGA_DIARIA!B361+CARGA_DIARIA!AB361+CARGA_DIARIA!AC361+CARGA_DIARIA!AD361+CARGA_DIARIA!AE361))</f>
        <v/>
      </c>
      <c r="F361" s="39" t="s">
        <v>146</v>
      </c>
      <c r="G361" s="39" t="s">
        <v>146</v>
      </c>
      <c r="H361" s="38" t="str">
        <f>IF(CARGA_DIARIA!A361="","",C361-D361-E361)</f>
        <v/>
      </c>
    </row>
    <row r="362" spans="1:8" ht="15.75" customHeight="1" x14ac:dyDescent="0.25">
      <c r="A362" s="33" t="str">
        <f>IF(CARGA_DIARIA!A362="","",CARGA_DIARIA!A362)</f>
        <v/>
      </c>
      <c r="B362" s="34" t="str">
        <f>IF(CARGA_DIARIA!A362="","",CARGA_DIARIA!B362)</f>
        <v/>
      </c>
      <c r="C362" s="35" t="str">
        <f>IF(CARGA_DIARIA!A362="","",IF(CARGA_DIARIA!B362=0,0,(CARGA_DIARIA!C362+CARGA_DIARIA!D362+CARGA_DIARIA!E362+CARGA_DIARIA!F362+CARGA_DIARIA!G362+CARGA_DIARIA!H362+CARGA_DIARIA!I362+CARGA_DIARIA!AG362+CARGA_DIARIA!AH362+CARGA_DIARIA!AI362+CARGA_DIARIA!AJ362)/CARGA_DIARIA!B362+CARGA_DIARIA!AF362))</f>
        <v/>
      </c>
      <c r="D362" s="36" t="str">
        <f>IF(CARGA_DIARIA!A362="","",IF(CARGA_DIARIA!B362=0,0,(CARGA_DIARIA!J362+CARGA_DIARIA!K362+CARGA_DIARIA!L362+CARGA_DIARIA!M362+CARGA_DIARIA!N362+CARGA_DIARIA!O362+CARGA_DIARIA!P362+CARGA_DIARIA!Q362+CARGA_DIARIA!R362+CARGA_DIARIA!S362+CARGA_DIARIA!T362+CARGA_DIARIA!U362+CARGA_DIARIA!V362+CARGA_DIARIA!W362)/CARGA_DIARIA!B362))</f>
        <v/>
      </c>
      <c r="E362" s="36" t="str">
        <f>IF(CARGA_DIARIA!A362="","",IF(CARGA_DIARIA!B362=0,0,(CARGA_DIARIA!X362+CARGA_DIARIA!Y362+CARGA_DIARIA!Z362+CARGA_DIARIA!AA362)/CARGA_DIARIA!B362+CARGA_DIARIA!AB362+CARGA_DIARIA!AC362+CARGA_DIARIA!AD362+CARGA_DIARIA!AE362))</f>
        <v/>
      </c>
      <c r="F362" s="39" t="s">
        <v>146</v>
      </c>
      <c r="G362" s="39" t="s">
        <v>146</v>
      </c>
      <c r="H362" s="38" t="str">
        <f>IF(CARGA_DIARIA!A362="","",C362-D362-E362)</f>
        <v/>
      </c>
    </row>
    <row r="363" spans="1:8" ht="15.75" customHeight="1" x14ac:dyDescent="0.25">
      <c r="A363" s="33" t="str">
        <f>IF(CARGA_DIARIA!A363="","",CARGA_DIARIA!A363)</f>
        <v/>
      </c>
      <c r="B363" s="34" t="str">
        <f>IF(CARGA_DIARIA!A363="","",CARGA_DIARIA!B363)</f>
        <v/>
      </c>
      <c r="C363" s="35" t="str">
        <f>IF(CARGA_DIARIA!A363="","",IF(CARGA_DIARIA!B363=0,0,(CARGA_DIARIA!C363+CARGA_DIARIA!D363+CARGA_DIARIA!E363+CARGA_DIARIA!F363+CARGA_DIARIA!G363+CARGA_DIARIA!H363+CARGA_DIARIA!I363+CARGA_DIARIA!AG363+CARGA_DIARIA!AH363+CARGA_DIARIA!AI363+CARGA_DIARIA!AJ363)/CARGA_DIARIA!B363+CARGA_DIARIA!AF363))</f>
        <v/>
      </c>
      <c r="D363" s="36" t="str">
        <f>IF(CARGA_DIARIA!A363="","",IF(CARGA_DIARIA!B363=0,0,(CARGA_DIARIA!J363+CARGA_DIARIA!K363+CARGA_DIARIA!L363+CARGA_DIARIA!M363+CARGA_DIARIA!N363+CARGA_DIARIA!O363+CARGA_DIARIA!P363+CARGA_DIARIA!Q363+CARGA_DIARIA!R363+CARGA_DIARIA!S363+CARGA_DIARIA!T363+CARGA_DIARIA!U363+CARGA_DIARIA!V363+CARGA_DIARIA!W363)/CARGA_DIARIA!B363))</f>
        <v/>
      </c>
      <c r="E363" s="36" t="str">
        <f>IF(CARGA_DIARIA!A363="","",IF(CARGA_DIARIA!B363=0,0,(CARGA_DIARIA!X363+CARGA_DIARIA!Y363+CARGA_DIARIA!Z363+CARGA_DIARIA!AA363)/CARGA_DIARIA!B363+CARGA_DIARIA!AB363+CARGA_DIARIA!AC363+CARGA_DIARIA!AD363+CARGA_DIARIA!AE363))</f>
        <v/>
      </c>
      <c r="F363" s="39" t="s">
        <v>146</v>
      </c>
      <c r="G363" s="39" t="s">
        <v>146</v>
      </c>
      <c r="H363" s="38" t="str">
        <f>IF(CARGA_DIARIA!A363="","",C363-D363-E363)</f>
        <v/>
      </c>
    </row>
    <row r="364" spans="1:8" ht="15.75" customHeight="1" x14ac:dyDescent="0.25">
      <c r="A364" s="33" t="str">
        <f>IF(CARGA_DIARIA!A364="","",CARGA_DIARIA!A364)</f>
        <v/>
      </c>
      <c r="B364" s="34" t="str">
        <f>IF(CARGA_DIARIA!A364="","",CARGA_DIARIA!B364)</f>
        <v/>
      </c>
      <c r="C364" s="35" t="str">
        <f>IF(CARGA_DIARIA!A364="","",IF(CARGA_DIARIA!B364=0,0,(CARGA_DIARIA!C364+CARGA_DIARIA!D364+CARGA_DIARIA!E364+CARGA_DIARIA!F364+CARGA_DIARIA!G364+CARGA_DIARIA!H364+CARGA_DIARIA!I364+CARGA_DIARIA!AG364+CARGA_DIARIA!AH364+CARGA_DIARIA!AI364+CARGA_DIARIA!AJ364)/CARGA_DIARIA!B364+CARGA_DIARIA!AF364))</f>
        <v/>
      </c>
      <c r="D364" s="36" t="str">
        <f>IF(CARGA_DIARIA!A364="","",IF(CARGA_DIARIA!B364=0,0,(CARGA_DIARIA!J364+CARGA_DIARIA!K364+CARGA_DIARIA!L364+CARGA_DIARIA!M364+CARGA_DIARIA!N364+CARGA_DIARIA!O364+CARGA_DIARIA!P364+CARGA_DIARIA!Q364+CARGA_DIARIA!R364+CARGA_DIARIA!S364+CARGA_DIARIA!T364+CARGA_DIARIA!U364+CARGA_DIARIA!V364+CARGA_DIARIA!W364)/CARGA_DIARIA!B364))</f>
        <v/>
      </c>
      <c r="E364" s="36" t="str">
        <f>IF(CARGA_DIARIA!A364="","",IF(CARGA_DIARIA!B364=0,0,(CARGA_DIARIA!X364+CARGA_DIARIA!Y364+CARGA_DIARIA!Z364+CARGA_DIARIA!AA364)/CARGA_DIARIA!B364+CARGA_DIARIA!AB364+CARGA_DIARIA!AC364+CARGA_DIARIA!AD364+CARGA_DIARIA!AE364))</f>
        <v/>
      </c>
      <c r="F364" s="39" t="s">
        <v>146</v>
      </c>
      <c r="G364" s="39" t="s">
        <v>146</v>
      </c>
      <c r="H364" s="38" t="str">
        <f>IF(CARGA_DIARIA!A364="","",C364-D364-E364)</f>
        <v/>
      </c>
    </row>
    <row r="365" spans="1:8" ht="15.75" customHeight="1" x14ac:dyDescent="0.25">
      <c r="A365" s="33" t="str">
        <f>IF(CARGA_DIARIA!A365="","",CARGA_DIARIA!A365)</f>
        <v/>
      </c>
      <c r="B365" s="34" t="str">
        <f>IF(CARGA_DIARIA!A365="","",CARGA_DIARIA!B365)</f>
        <v/>
      </c>
      <c r="C365" s="35" t="str">
        <f>IF(CARGA_DIARIA!A365="","",IF(CARGA_DIARIA!B365=0,0,(CARGA_DIARIA!C365+CARGA_DIARIA!D365+CARGA_DIARIA!E365+CARGA_DIARIA!F365+CARGA_DIARIA!G365+CARGA_DIARIA!H365+CARGA_DIARIA!I365+CARGA_DIARIA!AG365+CARGA_DIARIA!AH365+CARGA_DIARIA!AI365+CARGA_DIARIA!AJ365)/CARGA_DIARIA!B365+CARGA_DIARIA!AF365))</f>
        <v/>
      </c>
      <c r="D365" s="36" t="str">
        <f>IF(CARGA_DIARIA!A365="","",IF(CARGA_DIARIA!B365=0,0,(CARGA_DIARIA!J365+CARGA_DIARIA!K365+CARGA_DIARIA!L365+CARGA_DIARIA!M365+CARGA_DIARIA!N365+CARGA_DIARIA!O365+CARGA_DIARIA!P365+CARGA_DIARIA!Q365+CARGA_DIARIA!R365+CARGA_DIARIA!S365+CARGA_DIARIA!T365+CARGA_DIARIA!U365+CARGA_DIARIA!V365+CARGA_DIARIA!W365)/CARGA_DIARIA!B365))</f>
        <v/>
      </c>
      <c r="E365" s="36" t="str">
        <f>IF(CARGA_DIARIA!A365="","",IF(CARGA_DIARIA!B365=0,0,(CARGA_DIARIA!X365+CARGA_DIARIA!Y365+CARGA_DIARIA!Z365+CARGA_DIARIA!AA365)/CARGA_DIARIA!B365+CARGA_DIARIA!AB365+CARGA_DIARIA!AC365+CARGA_DIARIA!AD365+CARGA_DIARIA!AE365))</f>
        <v/>
      </c>
      <c r="F365" s="39" t="s">
        <v>146</v>
      </c>
      <c r="G365" s="39" t="s">
        <v>146</v>
      </c>
      <c r="H365" s="38" t="str">
        <f>IF(CARGA_DIARIA!A365="","",C365-D365-E365)</f>
        <v/>
      </c>
    </row>
    <row r="366" spans="1:8" ht="15.75" customHeight="1" x14ac:dyDescent="0.25">
      <c r="A366" s="33" t="str">
        <f>IF(CARGA_DIARIA!A366="","",CARGA_DIARIA!A366)</f>
        <v/>
      </c>
      <c r="B366" s="34" t="str">
        <f>IF(CARGA_DIARIA!A366="","",CARGA_DIARIA!B366)</f>
        <v/>
      </c>
      <c r="C366" s="35" t="str">
        <f>IF(CARGA_DIARIA!A366="","",IF(CARGA_DIARIA!B366=0,0,(CARGA_DIARIA!C366+CARGA_DIARIA!D366+CARGA_DIARIA!E366+CARGA_DIARIA!F366+CARGA_DIARIA!G366+CARGA_DIARIA!H366+CARGA_DIARIA!I366+CARGA_DIARIA!AG366+CARGA_DIARIA!AH366+CARGA_DIARIA!AI366+CARGA_DIARIA!AJ366)/CARGA_DIARIA!B366+CARGA_DIARIA!AF366))</f>
        <v/>
      </c>
      <c r="D366" s="36" t="str">
        <f>IF(CARGA_DIARIA!A366="","",IF(CARGA_DIARIA!B366=0,0,(CARGA_DIARIA!J366+CARGA_DIARIA!K366+CARGA_DIARIA!L366+CARGA_DIARIA!M366+CARGA_DIARIA!N366+CARGA_DIARIA!O366+CARGA_DIARIA!P366+CARGA_DIARIA!Q366+CARGA_DIARIA!R366+CARGA_DIARIA!S366+CARGA_DIARIA!T366+CARGA_DIARIA!U366+CARGA_DIARIA!V366+CARGA_DIARIA!W366)/CARGA_DIARIA!B366))</f>
        <v/>
      </c>
      <c r="E366" s="36" t="str">
        <f>IF(CARGA_DIARIA!A366="","",IF(CARGA_DIARIA!B366=0,0,(CARGA_DIARIA!X366+CARGA_DIARIA!Y366+CARGA_DIARIA!Z366+CARGA_DIARIA!AA366)/CARGA_DIARIA!B366+CARGA_DIARIA!AB366+CARGA_DIARIA!AC366+CARGA_DIARIA!AD366+CARGA_DIARIA!AE366))</f>
        <v/>
      </c>
      <c r="F366" s="39" t="s">
        <v>146</v>
      </c>
      <c r="G366" s="39" t="s">
        <v>146</v>
      </c>
      <c r="H366" s="38" t="str">
        <f>IF(CARGA_DIARIA!A366="","",C366-D366-E366)</f>
        <v/>
      </c>
    </row>
    <row r="367" spans="1:8" ht="15.75" customHeight="1" x14ac:dyDescent="0.25">
      <c r="A367" s="33" t="str">
        <f>IF(CARGA_DIARIA!A367="","",CARGA_DIARIA!A367)</f>
        <v/>
      </c>
      <c r="B367" s="34" t="str">
        <f>IF(CARGA_DIARIA!A367="","",CARGA_DIARIA!B367)</f>
        <v/>
      </c>
      <c r="C367" s="35" t="str">
        <f>IF(CARGA_DIARIA!A367="","",IF(CARGA_DIARIA!B367=0,0,(CARGA_DIARIA!C367+CARGA_DIARIA!D367+CARGA_DIARIA!E367+CARGA_DIARIA!F367+CARGA_DIARIA!G367+CARGA_DIARIA!H367+CARGA_DIARIA!I367+CARGA_DIARIA!AG367+CARGA_DIARIA!AH367+CARGA_DIARIA!AI367+CARGA_DIARIA!AJ367)/CARGA_DIARIA!B367+CARGA_DIARIA!AF367))</f>
        <v/>
      </c>
      <c r="D367" s="36" t="str">
        <f>IF(CARGA_DIARIA!A367="","",IF(CARGA_DIARIA!B367=0,0,(CARGA_DIARIA!J367+CARGA_DIARIA!K367+CARGA_DIARIA!L367+CARGA_DIARIA!M367+CARGA_DIARIA!N367+CARGA_DIARIA!O367+CARGA_DIARIA!P367+CARGA_DIARIA!Q367+CARGA_DIARIA!R367+CARGA_DIARIA!S367+CARGA_DIARIA!T367+CARGA_DIARIA!U367+CARGA_DIARIA!V367+CARGA_DIARIA!W367)/CARGA_DIARIA!B367))</f>
        <v/>
      </c>
      <c r="E367" s="36" t="str">
        <f>IF(CARGA_DIARIA!A367="","",IF(CARGA_DIARIA!B367=0,0,(CARGA_DIARIA!X367+CARGA_DIARIA!Y367+CARGA_DIARIA!Z367+CARGA_DIARIA!AA367)/CARGA_DIARIA!B367+CARGA_DIARIA!AB367+CARGA_DIARIA!AC367+CARGA_DIARIA!AD367+CARGA_DIARIA!AE367))</f>
        <v/>
      </c>
      <c r="F367" s="39" t="s">
        <v>146</v>
      </c>
      <c r="G367" s="39" t="s">
        <v>146</v>
      </c>
      <c r="H367" s="38" t="str">
        <f>IF(CARGA_DIARIA!A367="","",C367-D367-E367)</f>
        <v/>
      </c>
    </row>
    <row r="368" spans="1:8" ht="15.75" customHeight="1" x14ac:dyDescent="0.25">
      <c r="A368" s="33" t="str">
        <f>IF(CARGA_DIARIA!A368="","",CARGA_DIARIA!A368)</f>
        <v/>
      </c>
      <c r="B368" s="34" t="str">
        <f>IF(CARGA_DIARIA!A368="","",CARGA_DIARIA!B368)</f>
        <v/>
      </c>
      <c r="C368" s="35" t="str">
        <f>IF(CARGA_DIARIA!A368="","",IF(CARGA_DIARIA!B368=0,0,(CARGA_DIARIA!C368+CARGA_DIARIA!D368+CARGA_DIARIA!E368+CARGA_DIARIA!F368+CARGA_DIARIA!G368+CARGA_DIARIA!H368+CARGA_DIARIA!I368+CARGA_DIARIA!AG368+CARGA_DIARIA!AH368+CARGA_DIARIA!AI368+CARGA_DIARIA!AJ368)/CARGA_DIARIA!B368+CARGA_DIARIA!AF368))</f>
        <v/>
      </c>
      <c r="D368" s="36" t="str">
        <f>IF(CARGA_DIARIA!A368="","",IF(CARGA_DIARIA!B368=0,0,(CARGA_DIARIA!J368+CARGA_DIARIA!K368+CARGA_DIARIA!L368+CARGA_DIARIA!M368+CARGA_DIARIA!N368+CARGA_DIARIA!O368+CARGA_DIARIA!P368+CARGA_DIARIA!Q368+CARGA_DIARIA!R368+CARGA_DIARIA!S368+CARGA_DIARIA!T368+CARGA_DIARIA!U368+CARGA_DIARIA!V368+CARGA_DIARIA!W368)/CARGA_DIARIA!B368))</f>
        <v/>
      </c>
      <c r="E368" s="36" t="str">
        <f>IF(CARGA_DIARIA!A368="","",IF(CARGA_DIARIA!B368=0,0,(CARGA_DIARIA!X368+CARGA_DIARIA!Y368+CARGA_DIARIA!Z368+CARGA_DIARIA!AA368)/CARGA_DIARIA!B368+CARGA_DIARIA!AB368+CARGA_DIARIA!AC368+CARGA_DIARIA!AD368+CARGA_DIARIA!AE368))</f>
        <v/>
      </c>
      <c r="F368" s="39" t="s">
        <v>146</v>
      </c>
      <c r="G368" s="39" t="s">
        <v>146</v>
      </c>
      <c r="H368" s="38" t="str">
        <f>IF(CARGA_DIARIA!A368="","",C368-D368-E368)</f>
        <v/>
      </c>
    </row>
    <row r="369" spans="1:8" ht="15.75" customHeight="1" x14ac:dyDescent="0.25">
      <c r="A369" s="33" t="str">
        <f>IF(CARGA_DIARIA!A369="","",CARGA_DIARIA!A369)</f>
        <v/>
      </c>
      <c r="B369" s="34" t="str">
        <f>IF(CARGA_DIARIA!A369="","",CARGA_DIARIA!B369)</f>
        <v/>
      </c>
      <c r="C369" s="35" t="str">
        <f>IF(CARGA_DIARIA!A369="","",IF(CARGA_DIARIA!B369=0,0,(CARGA_DIARIA!C369+CARGA_DIARIA!D369+CARGA_DIARIA!E369+CARGA_DIARIA!F369+CARGA_DIARIA!G369+CARGA_DIARIA!H369+CARGA_DIARIA!I369+CARGA_DIARIA!AG369+CARGA_DIARIA!AH369+CARGA_DIARIA!AI369+CARGA_DIARIA!AJ369)/CARGA_DIARIA!B369+CARGA_DIARIA!AF369))</f>
        <v/>
      </c>
      <c r="D369" s="36" t="str">
        <f>IF(CARGA_DIARIA!A369="","",IF(CARGA_DIARIA!B369=0,0,(CARGA_DIARIA!J369+CARGA_DIARIA!K369+CARGA_DIARIA!L369+CARGA_DIARIA!M369+CARGA_DIARIA!N369+CARGA_DIARIA!O369+CARGA_DIARIA!P369+CARGA_DIARIA!Q369+CARGA_DIARIA!R369+CARGA_DIARIA!S369+CARGA_DIARIA!T369+CARGA_DIARIA!U369+CARGA_DIARIA!V369+CARGA_DIARIA!W369)/CARGA_DIARIA!B369))</f>
        <v/>
      </c>
      <c r="E369" s="36" t="str">
        <f>IF(CARGA_DIARIA!A369="","",IF(CARGA_DIARIA!B369=0,0,(CARGA_DIARIA!X369+CARGA_DIARIA!Y369+CARGA_DIARIA!Z369+CARGA_DIARIA!AA369)/CARGA_DIARIA!B369+CARGA_DIARIA!AB369+CARGA_DIARIA!AC369+CARGA_DIARIA!AD369+CARGA_DIARIA!AE369))</f>
        <v/>
      </c>
      <c r="F369" s="39" t="s">
        <v>146</v>
      </c>
      <c r="G369" s="39" t="s">
        <v>146</v>
      </c>
      <c r="H369" s="38" t="str">
        <f>IF(CARGA_DIARIA!A369="","",C369-D369-E369)</f>
        <v/>
      </c>
    </row>
    <row r="370" spans="1:8" ht="15.75" customHeight="1" x14ac:dyDescent="0.25">
      <c r="A370" s="33" t="str">
        <f>IF(CARGA_DIARIA!A370="","",CARGA_DIARIA!A370)</f>
        <v/>
      </c>
      <c r="B370" s="34" t="str">
        <f>IF(CARGA_DIARIA!A370="","",CARGA_DIARIA!B370)</f>
        <v/>
      </c>
      <c r="C370" s="35" t="str">
        <f>IF(CARGA_DIARIA!A370="","",IF(CARGA_DIARIA!B370=0,0,(CARGA_DIARIA!C370+CARGA_DIARIA!D370+CARGA_DIARIA!E370+CARGA_DIARIA!F370+CARGA_DIARIA!G370+CARGA_DIARIA!H370+CARGA_DIARIA!I370+CARGA_DIARIA!AG370+CARGA_DIARIA!AH370+CARGA_DIARIA!AI370+CARGA_DIARIA!AJ370)/CARGA_DIARIA!B370+CARGA_DIARIA!AF370))</f>
        <v/>
      </c>
      <c r="D370" s="36" t="str">
        <f>IF(CARGA_DIARIA!A370="","",IF(CARGA_DIARIA!B370=0,0,(CARGA_DIARIA!J370+CARGA_DIARIA!K370+CARGA_DIARIA!L370+CARGA_DIARIA!M370+CARGA_DIARIA!N370+CARGA_DIARIA!O370+CARGA_DIARIA!P370+CARGA_DIARIA!Q370+CARGA_DIARIA!R370+CARGA_DIARIA!S370+CARGA_DIARIA!T370+CARGA_DIARIA!U370+CARGA_DIARIA!V370+CARGA_DIARIA!W370)/CARGA_DIARIA!B370))</f>
        <v/>
      </c>
      <c r="E370" s="36" t="str">
        <f>IF(CARGA_DIARIA!A370="","",IF(CARGA_DIARIA!B370=0,0,(CARGA_DIARIA!X370+CARGA_DIARIA!Y370+CARGA_DIARIA!Z370+CARGA_DIARIA!AA370)/CARGA_DIARIA!B370+CARGA_DIARIA!AB370+CARGA_DIARIA!AC370+CARGA_DIARIA!AD370+CARGA_DIARIA!AE370))</f>
        <v/>
      </c>
      <c r="F370" s="39" t="s">
        <v>146</v>
      </c>
      <c r="G370" s="39" t="s">
        <v>146</v>
      </c>
      <c r="H370" s="38" t="str">
        <f>IF(CARGA_DIARIA!A370="","",C370-D370-E370)</f>
        <v/>
      </c>
    </row>
    <row r="371" spans="1:8" ht="15.75" customHeight="1" x14ac:dyDescent="0.25">
      <c r="A371" s="33" t="str">
        <f>IF(CARGA_DIARIA!A371="","",CARGA_DIARIA!A371)</f>
        <v/>
      </c>
      <c r="B371" s="34" t="str">
        <f>IF(CARGA_DIARIA!A371="","",CARGA_DIARIA!B371)</f>
        <v/>
      </c>
      <c r="C371" s="35" t="str">
        <f>IF(CARGA_DIARIA!A371="","",IF(CARGA_DIARIA!B371=0,0,(CARGA_DIARIA!C371+CARGA_DIARIA!D371+CARGA_DIARIA!E371+CARGA_DIARIA!F371+CARGA_DIARIA!G371+CARGA_DIARIA!H371+CARGA_DIARIA!I371+CARGA_DIARIA!AG371+CARGA_DIARIA!AH371+CARGA_DIARIA!AI371+CARGA_DIARIA!AJ371)/CARGA_DIARIA!B371+CARGA_DIARIA!AF371))</f>
        <v/>
      </c>
      <c r="D371" s="36" t="str">
        <f>IF(CARGA_DIARIA!A371="","",IF(CARGA_DIARIA!B371=0,0,(CARGA_DIARIA!J371+CARGA_DIARIA!K371+CARGA_DIARIA!L371+CARGA_DIARIA!M371+CARGA_DIARIA!N371+CARGA_DIARIA!O371+CARGA_DIARIA!P371+CARGA_DIARIA!Q371+CARGA_DIARIA!R371+CARGA_DIARIA!S371+CARGA_DIARIA!T371+CARGA_DIARIA!U371+CARGA_DIARIA!V371+CARGA_DIARIA!W371)/CARGA_DIARIA!B371))</f>
        <v/>
      </c>
      <c r="E371" s="36" t="str">
        <f>IF(CARGA_DIARIA!A371="","",IF(CARGA_DIARIA!B371=0,0,(CARGA_DIARIA!X371+CARGA_DIARIA!Y371+CARGA_DIARIA!Z371+CARGA_DIARIA!AA371)/CARGA_DIARIA!B371+CARGA_DIARIA!AB371+CARGA_DIARIA!AC371+CARGA_DIARIA!AD371+CARGA_DIARIA!AE371))</f>
        <v/>
      </c>
      <c r="F371" s="39" t="s">
        <v>146</v>
      </c>
      <c r="G371" s="39" t="s">
        <v>146</v>
      </c>
      <c r="H371" s="38" t="str">
        <f>IF(CARGA_DIARIA!A371="","",C371-D371-E371)</f>
        <v/>
      </c>
    </row>
    <row r="372" spans="1:8" ht="15.75" customHeight="1" x14ac:dyDescent="0.25">
      <c r="A372" s="33" t="str">
        <f>IF(CARGA_DIARIA!A372="","",CARGA_DIARIA!A372)</f>
        <v/>
      </c>
      <c r="B372" s="34" t="str">
        <f>IF(CARGA_DIARIA!A372="","",CARGA_DIARIA!B372)</f>
        <v/>
      </c>
      <c r="C372" s="35" t="str">
        <f>IF(CARGA_DIARIA!A372="","",IF(CARGA_DIARIA!B372=0,0,(CARGA_DIARIA!C372+CARGA_DIARIA!D372+CARGA_DIARIA!E372+CARGA_DIARIA!F372+CARGA_DIARIA!G372+CARGA_DIARIA!H372+CARGA_DIARIA!I372+CARGA_DIARIA!AG372+CARGA_DIARIA!AH372+CARGA_DIARIA!AI372+CARGA_DIARIA!AJ372)/CARGA_DIARIA!B372+CARGA_DIARIA!AF372))</f>
        <v/>
      </c>
      <c r="D372" s="36" t="str">
        <f>IF(CARGA_DIARIA!A372="","",IF(CARGA_DIARIA!B372=0,0,(CARGA_DIARIA!J372+CARGA_DIARIA!K372+CARGA_DIARIA!L372+CARGA_DIARIA!M372+CARGA_DIARIA!N372+CARGA_DIARIA!O372+CARGA_DIARIA!P372+CARGA_DIARIA!Q372+CARGA_DIARIA!R372+CARGA_DIARIA!S372+CARGA_DIARIA!T372+CARGA_DIARIA!U372+CARGA_DIARIA!V372+CARGA_DIARIA!W372)/CARGA_DIARIA!B372))</f>
        <v/>
      </c>
      <c r="E372" s="36" t="str">
        <f>IF(CARGA_DIARIA!A372="","",IF(CARGA_DIARIA!B372=0,0,(CARGA_DIARIA!X372+CARGA_DIARIA!Y372+CARGA_DIARIA!Z372+CARGA_DIARIA!AA372)/CARGA_DIARIA!B372+CARGA_DIARIA!AB372+CARGA_DIARIA!AC372+CARGA_DIARIA!AD372+CARGA_DIARIA!AE372))</f>
        <v/>
      </c>
      <c r="F372" s="39" t="s">
        <v>146</v>
      </c>
      <c r="G372" s="39" t="s">
        <v>146</v>
      </c>
      <c r="H372" s="38" t="str">
        <f>IF(CARGA_DIARIA!A372="","",C372-D372-E372)</f>
        <v/>
      </c>
    </row>
    <row r="373" spans="1:8" ht="15.75" customHeight="1" x14ac:dyDescent="0.25">
      <c r="A373" s="33" t="str">
        <f>IF(CARGA_DIARIA!A373="","",CARGA_DIARIA!A373)</f>
        <v/>
      </c>
      <c r="B373" s="34" t="str">
        <f>IF(CARGA_DIARIA!A373="","",CARGA_DIARIA!B373)</f>
        <v/>
      </c>
      <c r="C373" s="35" t="str">
        <f>IF(CARGA_DIARIA!A373="","",IF(CARGA_DIARIA!B373=0,0,(CARGA_DIARIA!C373+CARGA_DIARIA!D373+CARGA_DIARIA!E373+CARGA_DIARIA!F373+CARGA_DIARIA!G373+CARGA_DIARIA!H373+CARGA_DIARIA!I373+CARGA_DIARIA!AG373+CARGA_DIARIA!AH373+CARGA_DIARIA!AI373+CARGA_DIARIA!AJ373)/CARGA_DIARIA!B373+CARGA_DIARIA!AF373))</f>
        <v/>
      </c>
      <c r="D373" s="36" t="str">
        <f>IF(CARGA_DIARIA!A373="","",IF(CARGA_DIARIA!B373=0,0,(CARGA_DIARIA!J373+CARGA_DIARIA!K373+CARGA_DIARIA!L373+CARGA_DIARIA!M373+CARGA_DIARIA!N373+CARGA_DIARIA!O373+CARGA_DIARIA!P373+CARGA_DIARIA!Q373+CARGA_DIARIA!R373+CARGA_DIARIA!S373+CARGA_DIARIA!T373+CARGA_DIARIA!U373+CARGA_DIARIA!V373+CARGA_DIARIA!W373)/CARGA_DIARIA!B373))</f>
        <v/>
      </c>
      <c r="E373" s="36" t="str">
        <f>IF(CARGA_DIARIA!A373="","",IF(CARGA_DIARIA!B373=0,0,(CARGA_DIARIA!X373+CARGA_DIARIA!Y373+CARGA_DIARIA!Z373+CARGA_DIARIA!AA373)/CARGA_DIARIA!B373+CARGA_DIARIA!AB373+CARGA_DIARIA!AC373+CARGA_DIARIA!AD373+CARGA_DIARIA!AE373))</f>
        <v/>
      </c>
      <c r="F373" s="39" t="s">
        <v>146</v>
      </c>
      <c r="G373" s="39" t="s">
        <v>146</v>
      </c>
      <c r="H373" s="38" t="str">
        <f>IF(CARGA_DIARIA!A373="","",C373-D373-E373)</f>
        <v/>
      </c>
    </row>
    <row r="374" spans="1:8" ht="15.75" customHeight="1" x14ac:dyDescent="0.25">
      <c r="A374" s="33" t="str">
        <f>IF(CARGA_DIARIA!A374="","",CARGA_DIARIA!A374)</f>
        <v/>
      </c>
      <c r="B374" s="34" t="str">
        <f>IF(CARGA_DIARIA!A374="","",CARGA_DIARIA!B374)</f>
        <v/>
      </c>
      <c r="C374" s="35" t="str">
        <f>IF(CARGA_DIARIA!A374="","",IF(CARGA_DIARIA!B374=0,0,(CARGA_DIARIA!C374+CARGA_DIARIA!D374+CARGA_DIARIA!E374+CARGA_DIARIA!F374+CARGA_DIARIA!G374+CARGA_DIARIA!H374+CARGA_DIARIA!I374+CARGA_DIARIA!AG374+CARGA_DIARIA!AH374+CARGA_DIARIA!AI374+CARGA_DIARIA!AJ374)/CARGA_DIARIA!B374+CARGA_DIARIA!AF374))</f>
        <v/>
      </c>
      <c r="D374" s="36" t="str">
        <f>IF(CARGA_DIARIA!A374="","",IF(CARGA_DIARIA!B374=0,0,(CARGA_DIARIA!J374+CARGA_DIARIA!K374+CARGA_DIARIA!L374+CARGA_DIARIA!M374+CARGA_DIARIA!N374+CARGA_DIARIA!O374+CARGA_DIARIA!P374+CARGA_DIARIA!Q374+CARGA_DIARIA!R374+CARGA_DIARIA!S374+CARGA_DIARIA!T374+CARGA_DIARIA!U374+CARGA_DIARIA!V374+CARGA_DIARIA!W374)/CARGA_DIARIA!B374))</f>
        <v/>
      </c>
      <c r="E374" s="36" t="str">
        <f>IF(CARGA_DIARIA!A374="","",IF(CARGA_DIARIA!B374=0,0,(CARGA_DIARIA!X374+CARGA_DIARIA!Y374+CARGA_DIARIA!Z374+CARGA_DIARIA!AA374)/CARGA_DIARIA!B374+CARGA_DIARIA!AB374+CARGA_DIARIA!AC374+CARGA_DIARIA!AD374+CARGA_DIARIA!AE374))</f>
        <v/>
      </c>
      <c r="F374" s="39" t="s">
        <v>146</v>
      </c>
      <c r="G374" s="39" t="s">
        <v>146</v>
      </c>
      <c r="H374" s="38" t="str">
        <f>IF(CARGA_DIARIA!A374="","",C374-D374-E374)</f>
        <v/>
      </c>
    </row>
    <row r="375" spans="1:8" ht="15.75" customHeight="1" x14ac:dyDescent="0.25">
      <c r="A375" s="33" t="str">
        <f>IF(CARGA_DIARIA!A375="","",CARGA_DIARIA!A375)</f>
        <v/>
      </c>
      <c r="B375" s="34" t="str">
        <f>IF(CARGA_DIARIA!A375="","",CARGA_DIARIA!B375)</f>
        <v/>
      </c>
      <c r="C375" s="35" t="str">
        <f>IF(CARGA_DIARIA!A375="","",IF(CARGA_DIARIA!B375=0,0,(CARGA_DIARIA!C375+CARGA_DIARIA!D375+CARGA_DIARIA!E375+CARGA_DIARIA!F375+CARGA_DIARIA!G375+CARGA_DIARIA!H375+CARGA_DIARIA!I375+CARGA_DIARIA!AG375+CARGA_DIARIA!AH375+CARGA_DIARIA!AI375+CARGA_DIARIA!AJ375)/CARGA_DIARIA!B375+CARGA_DIARIA!AF375))</f>
        <v/>
      </c>
      <c r="D375" s="36" t="str">
        <f>IF(CARGA_DIARIA!A375="","",IF(CARGA_DIARIA!B375=0,0,(CARGA_DIARIA!J375+CARGA_DIARIA!K375+CARGA_DIARIA!L375+CARGA_DIARIA!M375+CARGA_DIARIA!N375+CARGA_DIARIA!O375+CARGA_DIARIA!P375+CARGA_DIARIA!Q375+CARGA_DIARIA!R375+CARGA_DIARIA!S375+CARGA_DIARIA!T375+CARGA_DIARIA!U375+CARGA_DIARIA!V375+CARGA_DIARIA!W375)/CARGA_DIARIA!B375))</f>
        <v/>
      </c>
      <c r="E375" s="36" t="str">
        <f>IF(CARGA_DIARIA!A375="","",IF(CARGA_DIARIA!B375=0,0,(CARGA_DIARIA!X375+CARGA_DIARIA!Y375+CARGA_DIARIA!Z375+CARGA_DIARIA!AA375)/CARGA_DIARIA!B375+CARGA_DIARIA!AB375+CARGA_DIARIA!AC375+CARGA_DIARIA!AD375+CARGA_DIARIA!AE375))</f>
        <v/>
      </c>
      <c r="F375" s="39" t="s">
        <v>146</v>
      </c>
      <c r="G375" s="39" t="s">
        <v>146</v>
      </c>
      <c r="H375" s="38" t="str">
        <f>IF(CARGA_DIARIA!A375="","",C375-D375-E375)</f>
        <v/>
      </c>
    </row>
    <row r="376" spans="1:8" ht="15.75" customHeight="1" x14ac:dyDescent="0.25">
      <c r="A376" s="33" t="str">
        <f>IF(CARGA_DIARIA!A376="","",CARGA_DIARIA!A376)</f>
        <v/>
      </c>
      <c r="B376" s="34" t="str">
        <f>IF(CARGA_DIARIA!A376="","",CARGA_DIARIA!B376)</f>
        <v/>
      </c>
      <c r="C376" s="35" t="str">
        <f>IF(CARGA_DIARIA!A376="","",IF(CARGA_DIARIA!B376=0,0,(CARGA_DIARIA!C376+CARGA_DIARIA!D376+CARGA_DIARIA!E376+CARGA_DIARIA!F376+CARGA_DIARIA!G376+CARGA_DIARIA!H376+CARGA_DIARIA!I376+CARGA_DIARIA!AG376+CARGA_DIARIA!AH376+CARGA_DIARIA!AI376+CARGA_DIARIA!AJ376)/CARGA_DIARIA!B376+CARGA_DIARIA!AF376))</f>
        <v/>
      </c>
      <c r="D376" s="36" t="str">
        <f>IF(CARGA_DIARIA!A376="","",IF(CARGA_DIARIA!B376=0,0,(CARGA_DIARIA!J376+CARGA_DIARIA!K376+CARGA_DIARIA!L376+CARGA_DIARIA!M376+CARGA_DIARIA!N376+CARGA_DIARIA!O376+CARGA_DIARIA!P376+CARGA_DIARIA!Q376+CARGA_DIARIA!R376+CARGA_DIARIA!S376+CARGA_DIARIA!T376+CARGA_DIARIA!U376+CARGA_DIARIA!V376+CARGA_DIARIA!W376)/CARGA_DIARIA!B376))</f>
        <v/>
      </c>
      <c r="E376" s="36" t="str">
        <f>IF(CARGA_DIARIA!A376="","",IF(CARGA_DIARIA!B376=0,0,(CARGA_DIARIA!X376+CARGA_DIARIA!Y376+CARGA_DIARIA!Z376+CARGA_DIARIA!AA376)/CARGA_DIARIA!B376+CARGA_DIARIA!AB376+CARGA_DIARIA!AC376+CARGA_DIARIA!AD376+CARGA_DIARIA!AE376))</f>
        <v/>
      </c>
      <c r="F376" s="39" t="s">
        <v>146</v>
      </c>
      <c r="G376" s="39" t="s">
        <v>146</v>
      </c>
      <c r="H376" s="38" t="str">
        <f>IF(CARGA_DIARIA!A376="","",C376-D376-E376)</f>
        <v/>
      </c>
    </row>
    <row r="377" spans="1:8" ht="15.75" customHeight="1" x14ac:dyDescent="0.25">
      <c r="A377" s="33" t="str">
        <f>IF(CARGA_DIARIA!A377="","",CARGA_DIARIA!A377)</f>
        <v/>
      </c>
      <c r="B377" s="34" t="str">
        <f>IF(CARGA_DIARIA!A377="","",CARGA_DIARIA!B377)</f>
        <v/>
      </c>
      <c r="C377" s="35" t="str">
        <f>IF(CARGA_DIARIA!A377="","",IF(CARGA_DIARIA!B377=0,0,(CARGA_DIARIA!C377+CARGA_DIARIA!D377+CARGA_DIARIA!E377+CARGA_DIARIA!F377+CARGA_DIARIA!G377+CARGA_DIARIA!H377+CARGA_DIARIA!I377+CARGA_DIARIA!AG377+CARGA_DIARIA!AH377+CARGA_DIARIA!AI377+CARGA_DIARIA!AJ377)/CARGA_DIARIA!B377+CARGA_DIARIA!AF377))</f>
        <v/>
      </c>
      <c r="D377" s="36" t="str">
        <f>IF(CARGA_DIARIA!A377="","",IF(CARGA_DIARIA!B377=0,0,(CARGA_DIARIA!J377+CARGA_DIARIA!K377+CARGA_DIARIA!L377+CARGA_DIARIA!M377+CARGA_DIARIA!N377+CARGA_DIARIA!O377+CARGA_DIARIA!P377+CARGA_DIARIA!Q377+CARGA_DIARIA!R377+CARGA_DIARIA!S377+CARGA_DIARIA!T377+CARGA_DIARIA!U377+CARGA_DIARIA!V377+CARGA_DIARIA!W377)/CARGA_DIARIA!B377))</f>
        <v/>
      </c>
      <c r="E377" s="36" t="str">
        <f>IF(CARGA_DIARIA!A377="","",IF(CARGA_DIARIA!B377=0,0,(CARGA_DIARIA!X377+CARGA_DIARIA!Y377+CARGA_DIARIA!Z377+CARGA_DIARIA!AA377)/CARGA_DIARIA!B377+CARGA_DIARIA!AB377+CARGA_DIARIA!AC377+CARGA_DIARIA!AD377+CARGA_DIARIA!AE377))</f>
        <v/>
      </c>
      <c r="F377" s="39" t="s">
        <v>146</v>
      </c>
      <c r="G377" s="39" t="s">
        <v>146</v>
      </c>
      <c r="H377" s="38" t="str">
        <f>IF(CARGA_DIARIA!A377="","",C377-D377-E377)</f>
        <v/>
      </c>
    </row>
    <row r="378" spans="1:8" ht="15.75" customHeight="1" x14ac:dyDescent="0.25">
      <c r="A378" s="33" t="str">
        <f>IF(CARGA_DIARIA!A378="","",CARGA_DIARIA!A378)</f>
        <v/>
      </c>
      <c r="B378" s="34" t="str">
        <f>IF(CARGA_DIARIA!A378="","",CARGA_DIARIA!B378)</f>
        <v/>
      </c>
      <c r="C378" s="35" t="str">
        <f>IF(CARGA_DIARIA!A378="","",IF(CARGA_DIARIA!B378=0,0,(CARGA_DIARIA!C378+CARGA_DIARIA!D378+CARGA_DIARIA!E378+CARGA_DIARIA!F378+CARGA_DIARIA!G378+CARGA_DIARIA!H378+CARGA_DIARIA!I378+CARGA_DIARIA!AG378+CARGA_DIARIA!AH378+CARGA_DIARIA!AI378+CARGA_DIARIA!AJ378)/CARGA_DIARIA!B378+CARGA_DIARIA!AF378))</f>
        <v/>
      </c>
      <c r="D378" s="36" t="str">
        <f>IF(CARGA_DIARIA!A378="","",IF(CARGA_DIARIA!B378=0,0,(CARGA_DIARIA!J378+CARGA_DIARIA!K378+CARGA_DIARIA!L378+CARGA_DIARIA!M378+CARGA_DIARIA!N378+CARGA_DIARIA!O378+CARGA_DIARIA!P378+CARGA_DIARIA!Q378+CARGA_DIARIA!R378+CARGA_DIARIA!S378+CARGA_DIARIA!T378+CARGA_DIARIA!U378+CARGA_DIARIA!V378+CARGA_DIARIA!W378)/CARGA_DIARIA!B378))</f>
        <v/>
      </c>
      <c r="E378" s="36" t="str">
        <f>IF(CARGA_DIARIA!A378="","",IF(CARGA_DIARIA!B378=0,0,(CARGA_DIARIA!X378+CARGA_DIARIA!Y378+CARGA_DIARIA!Z378+CARGA_DIARIA!AA378)/CARGA_DIARIA!B378+CARGA_DIARIA!AB378+CARGA_DIARIA!AC378+CARGA_DIARIA!AD378+CARGA_DIARIA!AE378))</f>
        <v/>
      </c>
      <c r="F378" s="39" t="s">
        <v>146</v>
      </c>
      <c r="G378" s="39" t="s">
        <v>146</v>
      </c>
      <c r="H378" s="38" t="str">
        <f>IF(CARGA_DIARIA!A378="","",C378-D378-E378)</f>
        <v/>
      </c>
    </row>
    <row r="379" spans="1:8" ht="15.75" customHeight="1" x14ac:dyDescent="0.25">
      <c r="A379" s="33" t="str">
        <f>IF(CARGA_DIARIA!A379="","",CARGA_DIARIA!A379)</f>
        <v/>
      </c>
      <c r="B379" s="34" t="str">
        <f>IF(CARGA_DIARIA!A379="","",CARGA_DIARIA!B379)</f>
        <v/>
      </c>
      <c r="C379" s="35" t="str">
        <f>IF(CARGA_DIARIA!A379="","",IF(CARGA_DIARIA!B379=0,0,(CARGA_DIARIA!C379+CARGA_DIARIA!D379+CARGA_DIARIA!E379+CARGA_DIARIA!F379+CARGA_DIARIA!G379+CARGA_DIARIA!H379+CARGA_DIARIA!I379+CARGA_DIARIA!AG379+CARGA_DIARIA!AH379+CARGA_DIARIA!AI379+CARGA_DIARIA!AJ379)/CARGA_DIARIA!B379+CARGA_DIARIA!AF379))</f>
        <v/>
      </c>
      <c r="D379" s="36" t="str">
        <f>IF(CARGA_DIARIA!A379="","",IF(CARGA_DIARIA!B379=0,0,(CARGA_DIARIA!J379+CARGA_DIARIA!K379+CARGA_DIARIA!L379+CARGA_DIARIA!M379+CARGA_DIARIA!N379+CARGA_DIARIA!O379+CARGA_DIARIA!P379+CARGA_DIARIA!Q379+CARGA_DIARIA!R379+CARGA_DIARIA!S379+CARGA_DIARIA!T379+CARGA_DIARIA!U379+CARGA_DIARIA!V379+CARGA_DIARIA!W379)/CARGA_DIARIA!B379))</f>
        <v/>
      </c>
      <c r="E379" s="36" t="str">
        <f>IF(CARGA_DIARIA!A379="","",IF(CARGA_DIARIA!B379=0,0,(CARGA_DIARIA!X379+CARGA_DIARIA!Y379+CARGA_DIARIA!Z379+CARGA_DIARIA!AA379)/CARGA_DIARIA!B379+CARGA_DIARIA!AB379+CARGA_DIARIA!AC379+CARGA_DIARIA!AD379+CARGA_DIARIA!AE379))</f>
        <v/>
      </c>
      <c r="F379" s="39" t="s">
        <v>146</v>
      </c>
      <c r="G379" s="39" t="s">
        <v>146</v>
      </c>
      <c r="H379" s="38" t="str">
        <f>IF(CARGA_DIARIA!A379="","",C379-D379-E379)</f>
        <v/>
      </c>
    </row>
    <row r="380" spans="1:8" ht="15.75" customHeight="1" x14ac:dyDescent="0.25">
      <c r="A380" s="33" t="str">
        <f>IF(CARGA_DIARIA!A380="","",CARGA_DIARIA!A380)</f>
        <v/>
      </c>
      <c r="B380" s="34" t="str">
        <f>IF(CARGA_DIARIA!A380="","",CARGA_DIARIA!B380)</f>
        <v/>
      </c>
      <c r="C380" s="35" t="str">
        <f>IF(CARGA_DIARIA!A380="","",IF(CARGA_DIARIA!B380=0,0,(CARGA_DIARIA!C380+CARGA_DIARIA!D380+CARGA_DIARIA!E380+CARGA_DIARIA!F380+CARGA_DIARIA!G380+CARGA_DIARIA!H380+CARGA_DIARIA!I380+CARGA_DIARIA!AG380+CARGA_DIARIA!AH380+CARGA_DIARIA!AI380+CARGA_DIARIA!AJ380)/CARGA_DIARIA!B380+CARGA_DIARIA!AF380))</f>
        <v/>
      </c>
      <c r="D380" s="36" t="str">
        <f>IF(CARGA_DIARIA!A380="","",IF(CARGA_DIARIA!B380=0,0,(CARGA_DIARIA!J380+CARGA_DIARIA!K380+CARGA_DIARIA!L380+CARGA_DIARIA!M380+CARGA_DIARIA!N380+CARGA_DIARIA!O380+CARGA_DIARIA!P380+CARGA_DIARIA!Q380+CARGA_DIARIA!R380+CARGA_DIARIA!S380+CARGA_DIARIA!T380+CARGA_DIARIA!U380+CARGA_DIARIA!V380+CARGA_DIARIA!W380)/CARGA_DIARIA!B380))</f>
        <v/>
      </c>
      <c r="E380" s="36" t="str">
        <f>IF(CARGA_DIARIA!A380="","",IF(CARGA_DIARIA!B380=0,0,(CARGA_DIARIA!X380+CARGA_DIARIA!Y380+CARGA_DIARIA!Z380+CARGA_DIARIA!AA380)/CARGA_DIARIA!B380+CARGA_DIARIA!AB380+CARGA_DIARIA!AC380+CARGA_DIARIA!AD380+CARGA_DIARIA!AE380))</f>
        <v/>
      </c>
      <c r="F380" s="39" t="s">
        <v>146</v>
      </c>
      <c r="G380" s="39" t="s">
        <v>146</v>
      </c>
      <c r="H380" s="38" t="str">
        <f>IF(CARGA_DIARIA!A380="","",C380-D380-E380)</f>
        <v/>
      </c>
    </row>
    <row r="381" spans="1:8" ht="15.75" customHeight="1" x14ac:dyDescent="0.25">
      <c r="A381" s="33" t="str">
        <f>IF(CARGA_DIARIA!A381="","",CARGA_DIARIA!A381)</f>
        <v/>
      </c>
      <c r="B381" s="34" t="str">
        <f>IF(CARGA_DIARIA!A381="","",CARGA_DIARIA!B381)</f>
        <v/>
      </c>
      <c r="C381" s="35" t="str">
        <f>IF(CARGA_DIARIA!A381="","",IF(CARGA_DIARIA!B381=0,0,(CARGA_DIARIA!C381+CARGA_DIARIA!D381+CARGA_DIARIA!E381+CARGA_DIARIA!F381+CARGA_DIARIA!G381+CARGA_DIARIA!H381+CARGA_DIARIA!I381+CARGA_DIARIA!AG381+CARGA_DIARIA!AH381+CARGA_DIARIA!AI381+CARGA_DIARIA!AJ381)/CARGA_DIARIA!B381+CARGA_DIARIA!AF381))</f>
        <v/>
      </c>
      <c r="D381" s="36" t="str">
        <f>IF(CARGA_DIARIA!A381="","",IF(CARGA_DIARIA!B381=0,0,(CARGA_DIARIA!J381+CARGA_DIARIA!K381+CARGA_DIARIA!L381+CARGA_DIARIA!M381+CARGA_DIARIA!N381+CARGA_DIARIA!O381+CARGA_DIARIA!P381+CARGA_DIARIA!Q381+CARGA_DIARIA!R381+CARGA_DIARIA!S381+CARGA_DIARIA!T381+CARGA_DIARIA!U381+CARGA_DIARIA!V381+CARGA_DIARIA!W381)/CARGA_DIARIA!B381))</f>
        <v/>
      </c>
      <c r="E381" s="36" t="str">
        <f>IF(CARGA_DIARIA!A381="","",IF(CARGA_DIARIA!B381=0,0,(CARGA_DIARIA!X381+CARGA_DIARIA!Y381+CARGA_DIARIA!Z381+CARGA_DIARIA!AA381)/CARGA_DIARIA!B381+CARGA_DIARIA!AB381+CARGA_DIARIA!AC381+CARGA_DIARIA!AD381+CARGA_DIARIA!AE381))</f>
        <v/>
      </c>
      <c r="F381" s="39" t="s">
        <v>146</v>
      </c>
      <c r="G381" s="39" t="s">
        <v>146</v>
      </c>
      <c r="H381" s="38" t="str">
        <f>IF(CARGA_DIARIA!A381="","",C381-D381-E381)</f>
        <v/>
      </c>
    </row>
    <row r="382" spans="1:8" ht="15.75" customHeight="1" x14ac:dyDescent="0.25">
      <c r="A382" s="33" t="str">
        <f>IF(CARGA_DIARIA!A382="","",CARGA_DIARIA!A382)</f>
        <v/>
      </c>
      <c r="B382" s="34" t="str">
        <f>IF(CARGA_DIARIA!A382="","",CARGA_DIARIA!B382)</f>
        <v/>
      </c>
      <c r="C382" s="35" t="str">
        <f>IF(CARGA_DIARIA!A382="","",IF(CARGA_DIARIA!B382=0,0,(CARGA_DIARIA!C382+CARGA_DIARIA!D382+CARGA_DIARIA!E382+CARGA_DIARIA!F382+CARGA_DIARIA!G382+CARGA_DIARIA!H382+CARGA_DIARIA!I382+CARGA_DIARIA!AG382+CARGA_DIARIA!AH382+CARGA_DIARIA!AI382+CARGA_DIARIA!AJ382)/CARGA_DIARIA!B382+CARGA_DIARIA!AF382))</f>
        <v/>
      </c>
      <c r="D382" s="36" t="str">
        <f>IF(CARGA_DIARIA!A382="","",IF(CARGA_DIARIA!B382=0,0,(CARGA_DIARIA!J382+CARGA_DIARIA!K382+CARGA_DIARIA!L382+CARGA_DIARIA!M382+CARGA_DIARIA!N382+CARGA_DIARIA!O382+CARGA_DIARIA!P382+CARGA_DIARIA!Q382+CARGA_DIARIA!R382+CARGA_DIARIA!S382+CARGA_DIARIA!T382+CARGA_DIARIA!U382+CARGA_DIARIA!V382+CARGA_DIARIA!W382)/CARGA_DIARIA!B382))</f>
        <v/>
      </c>
      <c r="E382" s="36" t="str">
        <f>IF(CARGA_DIARIA!A382="","",IF(CARGA_DIARIA!B382=0,0,(CARGA_DIARIA!X382+CARGA_DIARIA!Y382+CARGA_DIARIA!Z382+CARGA_DIARIA!AA382)/CARGA_DIARIA!B382+CARGA_DIARIA!AB382+CARGA_DIARIA!AC382+CARGA_DIARIA!AD382+CARGA_DIARIA!AE382))</f>
        <v/>
      </c>
      <c r="F382" s="39" t="s">
        <v>146</v>
      </c>
      <c r="G382" s="39" t="s">
        <v>146</v>
      </c>
      <c r="H382" s="38" t="str">
        <f>IF(CARGA_DIARIA!A382="","",C382-D382-E382)</f>
        <v/>
      </c>
    </row>
    <row r="383" spans="1:8" ht="15.75" customHeight="1" x14ac:dyDescent="0.25">
      <c r="A383" s="33" t="str">
        <f>IF(CARGA_DIARIA!A383="","",CARGA_DIARIA!A383)</f>
        <v/>
      </c>
      <c r="B383" s="34" t="str">
        <f>IF(CARGA_DIARIA!A383="","",CARGA_DIARIA!B383)</f>
        <v/>
      </c>
      <c r="C383" s="35" t="str">
        <f>IF(CARGA_DIARIA!A383="","",IF(CARGA_DIARIA!B383=0,0,(CARGA_DIARIA!C383+CARGA_DIARIA!D383+CARGA_DIARIA!E383+CARGA_DIARIA!F383+CARGA_DIARIA!G383+CARGA_DIARIA!H383+CARGA_DIARIA!I383+CARGA_DIARIA!AG383+CARGA_DIARIA!AH383+CARGA_DIARIA!AI383+CARGA_DIARIA!AJ383)/CARGA_DIARIA!B383+CARGA_DIARIA!AF383))</f>
        <v/>
      </c>
      <c r="D383" s="36" t="str">
        <f>IF(CARGA_DIARIA!A383="","",IF(CARGA_DIARIA!B383=0,0,(CARGA_DIARIA!J383+CARGA_DIARIA!K383+CARGA_DIARIA!L383+CARGA_DIARIA!M383+CARGA_DIARIA!N383+CARGA_DIARIA!O383+CARGA_DIARIA!P383+CARGA_DIARIA!Q383+CARGA_DIARIA!R383+CARGA_DIARIA!S383+CARGA_DIARIA!T383+CARGA_DIARIA!U383+CARGA_DIARIA!V383+CARGA_DIARIA!W383)/CARGA_DIARIA!B383))</f>
        <v/>
      </c>
      <c r="E383" s="36" t="str">
        <f>IF(CARGA_DIARIA!A383="","",IF(CARGA_DIARIA!B383=0,0,(CARGA_DIARIA!X383+CARGA_DIARIA!Y383+CARGA_DIARIA!Z383+CARGA_DIARIA!AA383)/CARGA_DIARIA!B383+CARGA_DIARIA!AB383+CARGA_DIARIA!AC383+CARGA_DIARIA!AD383+CARGA_DIARIA!AE383))</f>
        <v/>
      </c>
      <c r="F383" s="39" t="s">
        <v>146</v>
      </c>
      <c r="G383" s="39" t="s">
        <v>146</v>
      </c>
      <c r="H383" s="38" t="str">
        <f>IF(CARGA_DIARIA!A383="","",C383-D383-E383)</f>
        <v/>
      </c>
    </row>
    <row r="384" spans="1:8" ht="15.75" customHeight="1" x14ac:dyDescent="0.25">
      <c r="A384" s="33" t="str">
        <f>IF(CARGA_DIARIA!A384="","",CARGA_DIARIA!A384)</f>
        <v/>
      </c>
      <c r="B384" s="34" t="str">
        <f>IF(CARGA_DIARIA!A384="","",CARGA_DIARIA!B384)</f>
        <v/>
      </c>
      <c r="C384" s="35" t="str">
        <f>IF(CARGA_DIARIA!A384="","",IF(CARGA_DIARIA!B384=0,0,(CARGA_DIARIA!C384+CARGA_DIARIA!D384+CARGA_DIARIA!E384+CARGA_DIARIA!F384+CARGA_DIARIA!G384+CARGA_DIARIA!H384+CARGA_DIARIA!I384+CARGA_DIARIA!AG384+CARGA_DIARIA!AH384+CARGA_DIARIA!AI384+CARGA_DIARIA!AJ384)/CARGA_DIARIA!B384+CARGA_DIARIA!AF384))</f>
        <v/>
      </c>
      <c r="D384" s="36" t="str">
        <f>IF(CARGA_DIARIA!A384="","",IF(CARGA_DIARIA!B384=0,0,(CARGA_DIARIA!J384+CARGA_DIARIA!K384+CARGA_DIARIA!L384+CARGA_DIARIA!M384+CARGA_DIARIA!N384+CARGA_DIARIA!O384+CARGA_DIARIA!P384+CARGA_DIARIA!Q384+CARGA_DIARIA!R384+CARGA_DIARIA!S384+CARGA_DIARIA!T384+CARGA_DIARIA!U384+CARGA_DIARIA!V384+CARGA_DIARIA!W384)/CARGA_DIARIA!B384))</f>
        <v/>
      </c>
      <c r="E384" s="36" t="str">
        <f>IF(CARGA_DIARIA!A384="","",IF(CARGA_DIARIA!B384=0,0,(CARGA_DIARIA!X384+CARGA_DIARIA!Y384+CARGA_DIARIA!Z384+CARGA_DIARIA!AA384)/CARGA_DIARIA!B384+CARGA_DIARIA!AB384+CARGA_DIARIA!AC384+CARGA_DIARIA!AD384+CARGA_DIARIA!AE384))</f>
        <v/>
      </c>
      <c r="F384" s="39" t="s">
        <v>146</v>
      </c>
      <c r="G384" s="39" t="s">
        <v>146</v>
      </c>
      <c r="H384" s="38" t="str">
        <f>IF(CARGA_DIARIA!A384="","",C384-D384-E384)</f>
        <v/>
      </c>
    </row>
    <row r="385" spans="1:8" ht="15.75" customHeight="1" x14ac:dyDescent="0.25">
      <c r="A385" s="33" t="str">
        <f>IF(CARGA_DIARIA!A385="","",CARGA_DIARIA!A385)</f>
        <v/>
      </c>
      <c r="B385" s="34" t="str">
        <f>IF(CARGA_DIARIA!A385="","",CARGA_DIARIA!B385)</f>
        <v/>
      </c>
      <c r="C385" s="35" t="str">
        <f>IF(CARGA_DIARIA!A385="","",IF(CARGA_DIARIA!B385=0,0,(CARGA_DIARIA!C385+CARGA_DIARIA!D385+CARGA_DIARIA!E385+CARGA_DIARIA!F385+CARGA_DIARIA!G385+CARGA_DIARIA!H385+CARGA_DIARIA!I385+CARGA_DIARIA!AG385+CARGA_DIARIA!AH385+CARGA_DIARIA!AI385+CARGA_DIARIA!AJ385)/CARGA_DIARIA!B385+CARGA_DIARIA!AF385))</f>
        <v/>
      </c>
      <c r="D385" s="36" t="str">
        <f>IF(CARGA_DIARIA!A385="","",IF(CARGA_DIARIA!B385=0,0,(CARGA_DIARIA!J385+CARGA_DIARIA!K385+CARGA_DIARIA!L385+CARGA_DIARIA!M385+CARGA_DIARIA!N385+CARGA_DIARIA!O385+CARGA_DIARIA!P385+CARGA_DIARIA!Q385+CARGA_DIARIA!R385+CARGA_DIARIA!S385+CARGA_DIARIA!T385+CARGA_DIARIA!U385+CARGA_DIARIA!V385+CARGA_DIARIA!W385)/CARGA_DIARIA!B385))</f>
        <v/>
      </c>
      <c r="E385" s="36" t="str">
        <f>IF(CARGA_DIARIA!A385="","",IF(CARGA_DIARIA!B385=0,0,(CARGA_DIARIA!X385+CARGA_DIARIA!Y385+CARGA_DIARIA!Z385+CARGA_DIARIA!AA385)/CARGA_DIARIA!B385+CARGA_DIARIA!AB385+CARGA_DIARIA!AC385+CARGA_DIARIA!AD385+CARGA_DIARIA!AE385))</f>
        <v/>
      </c>
      <c r="F385" s="39" t="s">
        <v>146</v>
      </c>
      <c r="G385" s="39" t="s">
        <v>146</v>
      </c>
      <c r="H385" s="38" t="str">
        <f>IF(CARGA_DIARIA!A385="","",C385-D385-E385)</f>
        <v/>
      </c>
    </row>
    <row r="386" spans="1:8" ht="15.75" customHeight="1" x14ac:dyDescent="0.25">
      <c r="A386" s="33" t="str">
        <f>IF(CARGA_DIARIA!A386="","",CARGA_DIARIA!A386)</f>
        <v/>
      </c>
      <c r="B386" s="34" t="str">
        <f>IF(CARGA_DIARIA!A386="","",CARGA_DIARIA!B386)</f>
        <v/>
      </c>
      <c r="C386" s="35" t="str">
        <f>IF(CARGA_DIARIA!A386="","",IF(CARGA_DIARIA!B386=0,0,(CARGA_DIARIA!C386+CARGA_DIARIA!D386+CARGA_DIARIA!E386+CARGA_DIARIA!F386+CARGA_DIARIA!G386+CARGA_DIARIA!H386+CARGA_DIARIA!I386+CARGA_DIARIA!AG386+CARGA_DIARIA!AH386+CARGA_DIARIA!AI386+CARGA_DIARIA!AJ386)/CARGA_DIARIA!B386+CARGA_DIARIA!AF386))</f>
        <v/>
      </c>
      <c r="D386" s="36" t="str">
        <f>IF(CARGA_DIARIA!A386="","",IF(CARGA_DIARIA!B386=0,0,(CARGA_DIARIA!J386+CARGA_DIARIA!K386+CARGA_DIARIA!L386+CARGA_DIARIA!M386+CARGA_DIARIA!N386+CARGA_DIARIA!O386+CARGA_DIARIA!P386+CARGA_DIARIA!Q386+CARGA_DIARIA!R386+CARGA_DIARIA!S386+CARGA_DIARIA!T386+CARGA_DIARIA!U386+CARGA_DIARIA!V386+CARGA_DIARIA!W386)/CARGA_DIARIA!B386))</f>
        <v/>
      </c>
      <c r="E386" s="36" t="str">
        <f>IF(CARGA_DIARIA!A386="","",IF(CARGA_DIARIA!B386=0,0,(CARGA_DIARIA!X386+CARGA_DIARIA!Y386+CARGA_DIARIA!Z386+CARGA_DIARIA!AA386)/CARGA_DIARIA!B386+CARGA_DIARIA!AB386+CARGA_DIARIA!AC386+CARGA_DIARIA!AD386+CARGA_DIARIA!AE386))</f>
        <v/>
      </c>
      <c r="F386" s="39" t="s">
        <v>146</v>
      </c>
      <c r="G386" s="39" t="s">
        <v>146</v>
      </c>
      <c r="H386" s="38" t="str">
        <f>IF(CARGA_DIARIA!A386="","",C386-D386-E386)</f>
        <v/>
      </c>
    </row>
    <row r="387" spans="1:8" ht="15.75" customHeight="1" x14ac:dyDescent="0.25">
      <c r="A387" s="33" t="str">
        <f>IF(CARGA_DIARIA!A387="","",CARGA_DIARIA!A387)</f>
        <v/>
      </c>
      <c r="B387" s="34" t="str">
        <f>IF(CARGA_DIARIA!A387="","",CARGA_DIARIA!B387)</f>
        <v/>
      </c>
      <c r="C387" s="35" t="str">
        <f>IF(CARGA_DIARIA!A387="","",IF(CARGA_DIARIA!B387=0,0,(CARGA_DIARIA!C387+CARGA_DIARIA!D387+CARGA_DIARIA!E387+CARGA_DIARIA!F387+CARGA_DIARIA!G387+CARGA_DIARIA!H387+CARGA_DIARIA!I387+CARGA_DIARIA!AG387+CARGA_DIARIA!AH387+CARGA_DIARIA!AI387+CARGA_DIARIA!AJ387)/CARGA_DIARIA!B387+CARGA_DIARIA!AF387))</f>
        <v/>
      </c>
      <c r="D387" s="36" t="str">
        <f>IF(CARGA_DIARIA!A387="","",IF(CARGA_DIARIA!B387=0,0,(CARGA_DIARIA!J387+CARGA_DIARIA!K387+CARGA_DIARIA!L387+CARGA_DIARIA!M387+CARGA_DIARIA!N387+CARGA_DIARIA!O387+CARGA_DIARIA!P387+CARGA_DIARIA!Q387+CARGA_DIARIA!R387+CARGA_DIARIA!S387+CARGA_DIARIA!T387+CARGA_DIARIA!U387+CARGA_DIARIA!V387+CARGA_DIARIA!W387)/CARGA_DIARIA!B387))</f>
        <v/>
      </c>
      <c r="E387" s="36" t="str">
        <f>IF(CARGA_DIARIA!A387="","",IF(CARGA_DIARIA!B387=0,0,(CARGA_DIARIA!X387+CARGA_DIARIA!Y387+CARGA_DIARIA!Z387+CARGA_DIARIA!AA387)/CARGA_DIARIA!B387+CARGA_DIARIA!AB387+CARGA_DIARIA!AC387+CARGA_DIARIA!AD387+CARGA_DIARIA!AE387))</f>
        <v/>
      </c>
      <c r="F387" s="39" t="s">
        <v>146</v>
      </c>
      <c r="G387" s="39" t="s">
        <v>146</v>
      </c>
      <c r="H387" s="38" t="str">
        <f>IF(CARGA_DIARIA!A387="","",C387-D387-E387)</f>
        <v/>
      </c>
    </row>
    <row r="388" spans="1:8" ht="15.75" customHeight="1" x14ac:dyDescent="0.25">
      <c r="A388" s="33" t="str">
        <f>IF(CARGA_DIARIA!A388="","",CARGA_DIARIA!A388)</f>
        <v/>
      </c>
      <c r="B388" s="34" t="str">
        <f>IF(CARGA_DIARIA!A388="","",CARGA_DIARIA!B388)</f>
        <v/>
      </c>
      <c r="C388" s="35" t="str">
        <f>IF(CARGA_DIARIA!A388="","",IF(CARGA_DIARIA!B388=0,0,(CARGA_DIARIA!C388+CARGA_DIARIA!D388+CARGA_DIARIA!E388+CARGA_DIARIA!F388+CARGA_DIARIA!G388+CARGA_DIARIA!H388+CARGA_DIARIA!I388+CARGA_DIARIA!AG388+CARGA_DIARIA!AH388+CARGA_DIARIA!AI388+CARGA_DIARIA!AJ388)/CARGA_DIARIA!B388+CARGA_DIARIA!AF388))</f>
        <v/>
      </c>
      <c r="D388" s="36" t="str">
        <f>IF(CARGA_DIARIA!A388="","",IF(CARGA_DIARIA!B388=0,0,(CARGA_DIARIA!J388+CARGA_DIARIA!K388+CARGA_DIARIA!L388+CARGA_DIARIA!M388+CARGA_DIARIA!N388+CARGA_DIARIA!O388+CARGA_DIARIA!P388+CARGA_DIARIA!Q388+CARGA_DIARIA!R388+CARGA_DIARIA!S388+CARGA_DIARIA!T388+CARGA_DIARIA!U388+CARGA_DIARIA!V388+CARGA_DIARIA!W388)/CARGA_DIARIA!B388))</f>
        <v/>
      </c>
      <c r="E388" s="36" t="str">
        <f>IF(CARGA_DIARIA!A388="","",IF(CARGA_DIARIA!B388=0,0,(CARGA_DIARIA!X388+CARGA_DIARIA!Y388+CARGA_DIARIA!Z388+CARGA_DIARIA!AA388)/CARGA_DIARIA!B388+CARGA_DIARIA!AB388+CARGA_DIARIA!AC388+CARGA_DIARIA!AD388+CARGA_DIARIA!AE388))</f>
        <v/>
      </c>
      <c r="F388" s="39" t="s">
        <v>146</v>
      </c>
      <c r="G388" s="39" t="s">
        <v>146</v>
      </c>
      <c r="H388" s="38" t="str">
        <f>IF(CARGA_DIARIA!A388="","",C388-D388-E388)</f>
        <v/>
      </c>
    </row>
    <row r="389" spans="1:8" ht="15.75" customHeight="1" x14ac:dyDescent="0.25">
      <c r="A389" s="33" t="str">
        <f>IF(CARGA_DIARIA!A389="","",CARGA_DIARIA!A389)</f>
        <v/>
      </c>
      <c r="B389" s="34" t="str">
        <f>IF(CARGA_DIARIA!A389="","",CARGA_DIARIA!B389)</f>
        <v/>
      </c>
      <c r="C389" s="35" t="str">
        <f>IF(CARGA_DIARIA!A389="","",IF(CARGA_DIARIA!B389=0,0,(CARGA_DIARIA!C389+CARGA_DIARIA!D389+CARGA_DIARIA!E389+CARGA_DIARIA!F389+CARGA_DIARIA!G389+CARGA_DIARIA!H389+CARGA_DIARIA!I389+CARGA_DIARIA!AG389+CARGA_DIARIA!AH389+CARGA_DIARIA!AI389+CARGA_DIARIA!AJ389)/CARGA_DIARIA!B389+CARGA_DIARIA!AF389))</f>
        <v/>
      </c>
      <c r="D389" s="36" t="str">
        <f>IF(CARGA_DIARIA!A389="","",IF(CARGA_DIARIA!B389=0,0,(CARGA_DIARIA!J389+CARGA_DIARIA!K389+CARGA_DIARIA!L389+CARGA_DIARIA!M389+CARGA_DIARIA!N389+CARGA_DIARIA!O389+CARGA_DIARIA!P389+CARGA_DIARIA!Q389+CARGA_DIARIA!R389+CARGA_DIARIA!S389+CARGA_DIARIA!T389+CARGA_DIARIA!U389+CARGA_DIARIA!V389+CARGA_DIARIA!W389)/CARGA_DIARIA!B389))</f>
        <v/>
      </c>
      <c r="E389" s="36" t="str">
        <f>IF(CARGA_DIARIA!A389="","",IF(CARGA_DIARIA!B389=0,0,(CARGA_DIARIA!X389+CARGA_DIARIA!Y389+CARGA_DIARIA!Z389+CARGA_DIARIA!AA389)/CARGA_DIARIA!B389+CARGA_DIARIA!AB389+CARGA_DIARIA!AC389+CARGA_DIARIA!AD389+CARGA_DIARIA!AE389))</f>
        <v/>
      </c>
      <c r="F389" s="39" t="s">
        <v>146</v>
      </c>
      <c r="G389" s="39" t="s">
        <v>146</v>
      </c>
      <c r="H389" s="38" t="str">
        <f>IF(CARGA_DIARIA!A389="","",C389-D389-E389)</f>
        <v/>
      </c>
    </row>
    <row r="390" spans="1:8" ht="15.75" customHeight="1" x14ac:dyDescent="0.25">
      <c r="A390" s="33" t="str">
        <f>IF(CARGA_DIARIA!A390="","",CARGA_DIARIA!A390)</f>
        <v/>
      </c>
      <c r="B390" s="34" t="str">
        <f>IF(CARGA_DIARIA!A390="","",CARGA_DIARIA!B390)</f>
        <v/>
      </c>
      <c r="C390" s="35" t="str">
        <f>IF(CARGA_DIARIA!A390="","",IF(CARGA_DIARIA!B390=0,0,(CARGA_DIARIA!C390+CARGA_DIARIA!D390+CARGA_DIARIA!E390+CARGA_DIARIA!F390+CARGA_DIARIA!G390+CARGA_DIARIA!H390+CARGA_DIARIA!I390+CARGA_DIARIA!AG390+CARGA_DIARIA!AH390+CARGA_DIARIA!AI390+CARGA_DIARIA!AJ390)/CARGA_DIARIA!B390+CARGA_DIARIA!AF390))</f>
        <v/>
      </c>
      <c r="D390" s="36" t="str">
        <f>IF(CARGA_DIARIA!A390="","",IF(CARGA_DIARIA!B390=0,0,(CARGA_DIARIA!J390+CARGA_DIARIA!K390+CARGA_DIARIA!L390+CARGA_DIARIA!M390+CARGA_DIARIA!N390+CARGA_DIARIA!O390+CARGA_DIARIA!P390+CARGA_DIARIA!Q390+CARGA_DIARIA!R390+CARGA_DIARIA!S390+CARGA_DIARIA!T390+CARGA_DIARIA!U390+CARGA_DIARIA!V390+CARGA_DIARIA!W390)/CARGA_DIARIA!B390))</f>
        <v/>
      </c>
      <c r="E390" s="36" t="str">
        <f>IF(CARGA_DIARIA!A390="","",IF(CARGA_DIARIA!B390=0,0,(CARGA_DIARIA!X390+CARGA_DIARIA!Y390+CARGA_DIARIA!Z390+CARGA_DIARIA!AA390)/CARGA_DIARIA!B390+CARGA_DIARIA!AB390+CARGA_DIARIA!AC390+CARGA_DIARIA!AD390+CARGA_DIARIA!AE390))</f>
        <v/>
      </c>
      <c r="F390" s="39" t="s">
        <v>146</v>
      </c>
      <c r="G390" s="39" t="s">
        <v>146</v>
      </c>
      <c r="H390" s="38" t="str">
        <f>IF(CARGA_DIARIA!A390="","",C390-D390-E390)</f>
        <v/>
      </c>
    </row>
    <row r="391" spans="1:8" ht="15.75" customHeight="1" x14ac:dyDescent="0.25">
      <c r="A391" s="33" t="str">
        <f>IF(CARGA_DIARIA!A391="","",CARGA_DIARIA!A391)</f>
        <v/>
      </c>
      <c r="B391" s="34" t="str">
        <f>IF(CARGA_DIARIA!A391="","",CARGA_DIARIA!B391)</f>
        <v/>
      </c>
      <c r="C391" s="35" t="str">
        <f>IF(CARGA_DIARIA!A391="","",IF(CARGA_DIARIA!B391=0,0,(CARGA_DIARIA!C391+CARGA_DIARIA!D391+CARGA_DIARIA!E391+CARGA_DIARIA!F391+CARGA_DIARIA!G391+CARGA_DIARIA!H391+CARGA_DIARIA!I391+CARGA_DIARIA!AG391+CARGA_DIARIA!AH391+CARGA_DIARIA!AI391+CARGA_DIARIA!AJ391)/CARGA_DIARIA!B391+CARGA_DIARIA!AF391))</f>
        <v/>
      </c>
      <c r="D391" s="36" t="str">
        <f>IF(CARGA_DIARIA!A391="","",IF(CARGA_DIARIA!B391=0,0,(CARGA_DIARIA!J391+CARGA_DIARIA!K391+CARGA_DIARIA!L391+CARGA_DIARIA!M391+CARGA_DIARIA!N391+CARGA_DIARIA!O391+CARGA_DIARIA!P391+CARGA_DIARIA!Q391+CARGA_DIARIA!R391+CARGA_DIARIA!S391+CARGA_DIARIA!T391+CARGA_DIARIA!U391+CARGA_DIARIA!V391+CARGA_DIARIA!W391)/CARGA_DIARIA!B391))</f>
        <v/>
      </c>
      <c r="E391" s="36" t="str">
        <f>IF(CARGA_DIARIA!A391="","",IF(CARGA_DIARIA!B391=0,0,(CARGA_DIARIA!X391+CARGA_DIARIA!Y391+CARGA_DIARIA!Z391+CARGA_DIARIA!AA391)/CARGA_DIARIA!B391+CARGA_DIARIA!AB391+CARGA_DIARIA!AC391+CARGA_DIARIA!AD391+CARGA_DIARIA!AE391))</f>
        <v/>
      </c>
      <c r="F391" s="39" t="s">
        <v>146</v>
      </c>
      <c r="G391" s="39" t="s">
        <v>146</v>
      </c>
      <c r="H391" s="38" t="str">
        <f>IF(CARGA_DIARIA!A391="","",C391-D391-E391)</f>
        <v/>
      </c>
    </row>
    <row r="392" spans="1:8" ht="15.75" customHeight="1" x14ac:dyDescent="0.25">
      <c r="A392" s="33" t="str">
        <f>IF(CARGA_DIARIA!A392="","",CARGA_DIARIA!A392)</f>
        <v/>
      </c>
      <c r="B392" s="34" t="str">
        <f>IF(CARGA_DIARIA!A392="","",CARGA_DIARIA!B392)</f>
        <v/>
      </c>
      <c r="C392" s="35" t="str">
        <f>IF(CARGA_DIARIA!A392="","",IF(CARGA_DIARIA!B392=0,0,(CARGA_DIARIA!C392+CARGA_DIARIA!D392+CARGA_DIARIA!E392+CARGA_DIARIA!F392+CARGA_DIARIA!G392+CARGA_DIARIA!H392+CARGA_DIARIA!I392+CARGA_DIARIA!AG392+CARGA_DIARIA!AH392+CARGA_DIARIA!AI392+CARGA_DIARIA!AJ392)/CARGA_DIARIA!B392+CARGA_DIARIA!AF392))</f>
        <v/>
      </c>
      <c r="D392" s="36" t="str">
        <f>IF(CARGA_DIARIA!A392="","",IF(CARGA_DIARIA!B392=0,0,(CARGA_DIARIA!J392+CARGA_DIARIA!K392+CARGA_DIARIA!L392+CARGA_DIARIA!M392+CARGA_DIARIA!N392+CARGA_DIARIA!O392+CARGA_DIARIA!P392+CARGA_DIARIA!Q392+CARGA_DIARIA!R392+CARGA_DIARIA!S392+CARGA_DIARIA!T392+CARGA_DIARIA!U392+CARGA_DIARIA!V392+CARGA_DIARIA!W392)/CARGA_DIARIA!B392))</f>
        <v/>
      </c>
      <c r="E392" s="36" t="str">
        <f>IF(CARGA_DIARIA!A392="","",IF(CARGA_DIARIA!B392=0,0,(CARGA_DIARIA!X392+CARGA_DIARIA!Y392+CARGA_DIARIA!Z392+CARGA_DIARIA!AA392)/CARGA_DIARIA!B392+CARGA_DIARIA!AB392+CARGA_DIARIA!AC392+CARGA_DIARIA!AD392+CARGA_DIARIA!AE392))</f>
        <v/>
      </c>
      <c r="F392" s="39" t="s">
        <v>146</v>
      </c>
      <c r="G392" s="39" t="s">
        <v>146</v>
      </c>
      <c r="H392" s="38" t="str">
        <f>IF(CARGA_DIARIA!A392="","",C392-D392-E392)</f>
        <v/>
      </c>
    </row>
    <row r="393" spans="1:8" ht="15.75" customHeight="1" x14ac:dyDescent="0.25">
      <c r="A393" s="33" t="str">
        <f>IF(CARGA_DIARIA!A393="","",CARGA_DIARIA!A393)</f>
        <v/>
      </c>
      <c r="B393" s="34" t="str">
        <f>IF(CARGA_DIARIA!A393="","",CARGA_DIARIA!B393)</f>
        <v/>
      </c>
      <c r="C393" s="35" t="str">
        <f>IF(CARGA_DIARIA!A393="","",IF(CARGA_DIARIA!B393=0,0,(CARGA_DIARIA!C393+CARGA_DIARIA!D393+CARGA_DIARIA!E393+CARGA_DIARIA!F393+CARGA_DIARIA!G393+CARGA_DIARIA!H393+CARGA_DIARIA!I393+CARGA_DIARIA!AG393+CARGA_DIARIA!AH393+CARGA_DIARIA!AI393+CARGA_DIARIA!AJ393)/CARGA_DIARIA!B393+CARGA_DIARIA!AF393))</f>
        <v/>
      </c>
      <c r="D393" s="36" t="str">
        <f>IF(CARGA_DIARIA!A393="","",IF(CARGA_DIARIA!B393=0,0,(CARGA_DIARIA!J393+CARGA_DIARIA!K393+CARGA_DIARIA!L393+CARGA_DIARIA!M393+CARGA_DIARIA!N393+CARGA_DIARIA!O393+CARGA_DIARIA!P393+CARGA_DIARIA!Q393+CARGA_DIARIA!R393+CARGA_DIARIA!S393+CARGA_DIARIA!T393+CARGA_DIARIA!U393+CARGA_DIARIA!V393+CARGA_DIARIA!W393)/CARGA_DIARIA!B393))</f>
        <v/>
      </c>
      <c r="E393" s="36" t="str">
        <f>IF(CARGA_DIARIA!A393="","",IF(CARGA_DIARIA!B393=0,0,(CARGA_DIARIA!X393+CARGA_DIARIA!Y393+CARGA_DIARIA!Z393+CARGA_DIARIA!AA393)/CARGA_DIARIA!B393+CARGA_DIARIA!AB393+CARGA_DIARIA!AC393+CARGA_DIARIA!AD393+CARGA_DIARIA!AE393))</f>
        <v/>
      </c>
      <c r="F393" s="39" t="s">
        <v>146</v>
      </c>
      <c r="G393" s="39" t="s">
        <v>146</v>
      </c>
      <c r="H393" s="38" t="str">
        <f>IF(CARGA_DIARIA!A393="","",C393-D393-E393)</f>
        <v/>
      </c>
    </row>
    <row r="394" spans="1:8" ht="15.75" customHeight="1" x14ac:dyDescent="0.25">
      <c r="A394" s="33" t="str">
        <f>IF(CARGA_DIARIA!A394="","",CARGA_DIARIA!A394)</f>
        <v/>
      </c>
      <c r="B394" s="34" t="str">
        <f>IF(CARGA_DIARIA!A394="","",CARGA_DIARIA!B394)</f>
        <v/>
      </c>
      <c r="C394" s="35" t="str">
        <f>IF(CARGA_DIARIA!A394="","",IF(CARGA_DIARIA!B394=0,0,(CARGA_DIARIA!C394+CARGA_DIARIA!D394+CARGA_DIARIA!E394+CARGA_DIARIA!F394+CARGA_DIARIA!G394+CARGA_DIARIA!H394+CARGA_DIARIA!I394+CARGA_DIARIA!AG394+CARGA_DIARIA!AH394+CARGA_DIARIA!AI394+CARGA_DIARIA!AJ394)/CARGA_DIARIA!B394+CARGA_DIARIA!AF394))</f>
        <v/>
      </c>
      <c r="D394" s="36" t="str">
        <f>IF(CARGA_DIARIA!A394="","",IF(CARGA_DIARIA!B394=0,0,(CARGA_DIARIA!J394+CARGA_DIARIA!K394+CARGA_DIARIA!L394+CARGA_DIARIA!M394+CARGA_DIARIA!N394+CARGA_DIARIA!O394+CARGA_DIARIA!P394+CARGA_DIARIA!Q394+CARGA_DIARIA!R394+CARGA_DIARIA!S394+CARGA_DIARIA!T394+CARGA_DIARIA!U394+CARGA_DIARIA!V394+CARGA_DIARIA!W394)/CARGA_DIARIA!B394))</f>
        <v/>
      </c>
      <c r="E394" s="36" t="str">
        <f>IF(CARGA_DIARIA!A394="","",IF(CARGA_DIARIA!B394=0,0,(CARGA_DIARIA!X394+CARGA_DIARIA!Y394+CARGA_DIARIA!Z394+CARGA_DIARIA!AA394)/CARGA_DIARIA!B394+CARGA_DIARIA!AB394+CARGA_DIARIA!AC394+CARGA_DIARIA!AD394+CARGA_DIARIA!AE394))</f>
        <v/>
      </c>
      <c r="F394" s="39" t="s">
        <v>146</v>
      </c>
      <c r="G394" s="39" t="s">
        <v>146</v>
      </c>
      <c r="H394" s="38" t="str">
        <f>IF(CARGA_DIARIA!A394="","",C394-D394-E394)</f>
        <v/>
      </c>
    </row>
    <row r="395" spans="1:8" ht="15.75" customHeight="1" x14ac:dyDescent="0.25">
      <c r="A395" s="33" t="str">
        <f>IF(CARGA_DIARIA!A395="","",CARGA_DIARIA!A395)</f>
        <v/>
      </c>
      <c r="B395" s="34" t="str">
        <f>IF(CARGA_DIARIA!A395="","",CARGA_DIARIA!B395)</f>
        <v/>
      </c>
      <c r="C395" s="35" t="str">
        <f>IF(CARGA_DIARIA!A395="","",IF(CARGA_DIARIA!B395=0,0,(CARGA_DIARIA!C395+CARGA_DIARIA!D395+CARGA_DIARIA!E395+CARGA_DIARIA!F395+CARGA_DIARIA!G395+CARGA_DIARIA!H395+CARGA_DIARIA!I395+CARGA_DIARIA!AG395+CARGA_DIARIA!AH395+CARGA_DIARIA!AI395+CARGA_DIARIA!AJ395)/CARGA_DIARIA!B395+CARGA_DIARIA!AF395))</f>
        <v/>
      </c>
      <c r="D395" s="36" t="str">
        <f>IF(CARGA_DIARIA!A395="","",IF(CARGA_DIARIA!B395=0,0,(CARGA_DIARIA!J395+CARGA_DIARIA!K395+CARGA_DIARIA!L395+CARGA_DIARIA!M395+CARGA_DIARIA!N395+CARGA_DIARIA!O395+CARGA_DIARIA!P395+CARGA_DIARIA!Q395+CARGA_DIARIA!R395+CARGA_DIARIA!S395+CARGA_DIARIA!T395+CARGA_DIARIA!U395+CARGA_DIARIA!V395+CARGA_DIARIA!W395)/CARGA_DIARIA!B395))</f>
        <v/>
      </c>
      <c r="E395" s="36" t="str">
        <f>IF(CARGA_DIARIA!A395="","",IF(CARGA_DIARIA!B395=0,0,(CARGA_DIARIA!X395+CARGA_DIARIA!Y395+CARGA_DIARIA!Z395+CARGA_DIARIA!AA395)/CARGA_DIARIA!B395+CARGA_DIARIA!AB395+CARGA_DIARIA!AC395+CARGA_DIARIA!AD395+CARGA_DIARIA!AE395))</f>
        <v/>
      </c>
      <c r="F395" s="39" t="s">
        <v>146</v>
      </c>
      <c r="G395" s="39" t="s">
        <v>146</v>
      </c>
      <c r="H395" s="38" t="str">
        <f>IF(CARGA_DIARIA!A395="","",C395-D395-E395)</f>
        <v/>
      </c>
    </row>
    <row r="396" spans="1:8" ht="15.75" customHeight="1" x14ac:dyDescent="0.25">
      <c r="A396" s="33" t="str">
        <f>IF(CARGA_DIARIA!A396="","",CARGA_DIARIA!A396)</f>
        <v/>
      </c>
      <c r="B396" s="34" t="str">
        <f>IF(CARGA_DIARIA!A396="","",CARGA_DIARIA!B396)</f>
        <v/>
      </c>
      <c r="C396" s="35" t="str">
        <f>IF(CARGA_DIARIA!A396="","",IF(CARGA_DIARIA!B396=0,0,(CARGA_DIARIA!C396+CARGA_DIARIA!D396+CARGA_DIARIA!E396+CARGA_DIARIA!F396+CARGA_DIARIA!G396+CARGA_DIARIA!H396+CARGA_DIARIA!I396+CARGA_DIARIA!AG396+CARGA_DIARIA!AH396+CARGA_DIARIA!AI396+CARGA_DIARIA!AJ396)/CARGA_DIARIA!B396+CARGA_DIARIA!AF396))</f>
        <v/>
      </c>
      <c r="D396" s="36" t="str">
        <f>IF(CARGA_DIARIA!A396="","",IF(CARGA_DIARIA!B396=0,0,(CARGA_DIARIA!J396+CARGA_DIARIA!K396+CARGA_DIARIA!L396+CARGA_DIARIA!M396+CARGA_DIARIA!N396+CARGA_DIARIA!O396+CARGA_DIARIA!P396+CARGA_DIARIA!Q396+CARGA_DIARIA!R396+CARGA_DIARIA!S396+CARGA_DIARIA!T396+CARGA_DIARIA!U396+CARGA_DIARIA!V396+CARGA_DIARIA!W396)/CARGA_DIARIA!B396))</f>
        <v/>
      </c>
      <c r="E396" s="36" t="str">
        <f>IF(CARGA_DIARIA!A396="","",IF(CARGA_DIARIA!B396=0,0,(CARGA_DIARIA!X396+CARGA_DIARIA!Y396+CARGA_DIARIA!Z396+CARGA_DIARIA!AA396)/CARGA_DIARIA!B396+CARGA_DIARIA!AB396+CARGA_DIARIA!AC396+CARGA_DIARIA!AD396+CARGA_DIARIA!AE396))</f>
        <v/>
      </c>
      <c r="F396" s="39" t="s">
        <v>146</v>
      </c>
      <c r="G396" s="39" t="s">
        <v>146</v>
      </c>
      <c r="H396" s="38" t="str">
        <f>IF(CARGA_DIARIA!A396="","",C396-D396-E396)</f>
        <v/>
      </c>
    </row>
    <row r="397" spans="1:8" ht="15.75" customHeight="1" x14ac:dyDescent="0.25">
      <c r="A397" s="33" t="str">
        <f>IF(CARGA_DIARIA!A397="","",CARGA_DIARIA!A397)</f>
        <v/>
      </c>
      <c r="B397" s="34" t="str">
        <f>IF(CARGA_DIARIA!A397="","",CARGA_DIARIA!B397)</f>
        <v/>
      </c>
      <c r="C397" s="35" t="str">
        <f>IF(CARGA_DIARIA!A397="","",IF(CARGA_DIARIA!B397=0,0,(CARGA_DIARIA!C397+CARGA_DIARIA!D397+CARGA_DIARIA!E397+CARGA_DIARIA!F397+CARGA_DIARIA!G397+CARGA_DIARIA!H397+CARGA_DIARIA!I397+CARGA_DIARIA!AG397+CARGA_DIARIA!AH397+CARGA_DIARIA!AI397+CARGA_DIARIA!AJ397)/CARGA_DIARIA!B397+CARGA_DIARIA!AF397))</f>
        <v/>
      </c>
      <c r="D397" s="36" t="str">
        <f>IF(CARGA_DIARIA!A397="","",IF(CARGA_DIARIA!B397=0,0,(CARGA_DIARIA!J397+CARGA_DIARIA!K397+CARGA_DIARIA!L397+CARGA_DIARIA!M397+CARGA_DIARIA!N397+CARGA_DIARIA!O397+CARGA_DIARIA!P397+CARGA_DIARIA!Q397+CARGA_DIARIA!R397+CARGA_DIARIA!S397+CARGA_DIARIA!T397+CARGA_DIARIA!U397+CARGA_DIARIA!V397+CARGA_DIARIA!W397)/CARGA_DIARIA!B397))</f>
        <v/>
      </c>
      <c r="E397" s="36" t="str">
        <f>IF(CARGA_DIARIA!A397="","",IF(CARGA_DIARIA!B397=0,0,(CARGA_DIARIA!X397+CARGA_DIARIA!Y397+CARGA_DIARIA!Z397+CARGA_DIARIA!AA397)/CARGA_DIARIA!B397+CARGA_DIARIA!AB397+CARGA_DIARIA!AC397+CARGA_DIARIA!AD397+CARGA_DIARIA!AE397))</f>
        <v/>
      </c>
      <c r="F397" s="39" t="s">
        <v>146</v>
      </c>
      <c r="G397" s="39" t="s">
        <v>146</v>
      </c>
      <c r="H397" s="38" t="str">
        <f>IF(CARGA_DIARIA!A397="","",C397-D397-E397)</f>
        <v/>
      </c>
    </row>
    <row r="398" spans="1:8" ht="15.75" customHeight="1" x14ac:dyDescent="0.25">
      <c r="A398" s="33" t="str">
        <f>IF(CARGA_DIARIA!A398="","",CARGA_DIARIA!A398)</f>
        <v/>
      </c>
      <c r="B398" s="34" t="str">
        <f>IF(CARGA_DIARIA!A398="","",CARGA_DIARIA!B398)</f>
        <v/>
      </c>
      <c r="C398" s="35" t="str">
        <f>IF(CARGA_DIARIA!A398="","",IF(CARGA_DIARIA!B398=0,0,(CARGA_DIARIA!C398+CARGA_DIARIA!D398+CARGA_DIARIA!E398+CARGA_DIARIA!F398+CARGA_DIARIA!G398+CARGA_DIARIA!H398+CARGA_DIARIA!I398+CARGA_DIARIA!AG398+CARGA_DIARIA!AH398+CARGA_DIARIA!AI398+CARGA_DIARIA!AJ398)/CARGA_DIARIA!B398+CARGA_DIARIA!AF398))</f>
        <v/>
      </c>
      <c r="D398" s="36" t="str">
        <f>IF(CARGA_DIARIA!A398="","",IF(CARGA_DIARIA!B398=0,0,(CARGA_DIARIA!J398+CARGA_DIARIA!K398+CARGA_DIARIA!L398+CARGA_DIARIA!M398+CARGA_DIARIA!N398+CARGA_DIARIA!O398+CARGA_DIARIA!P398+CARGA_DIARIA!Q398+CARGA_DIARIA!R398+CARGA_DIARIA!S398+CARGA_DIARIA!T398+CARGA_DIARIA!U398+CARGA_DIARIA!V398+CARGA_DIARIA!W398)/CARGA_DIARIA!B398))</f>
        <v/>
      </c>
      <c r="E398" s="36" t="str">
        <f>IF(CARGA_DIARIA!A398="","",IF(CARGA_DIARIA!B398=0,0,(CARGA_DIARIA!X398+CARGA_DIARIA!Y398+CARGA_DIARIA!Z398+CARGA_DIARIA!AA398)/CARGA_DIARIA!B398+CARGA_DIARIA!AB398+CARGA_DIARIA!AC398+CARGA_DIARIA!AD398+CARGA_DIARIA!AE398))</f>
        <v/>
      </c>
      <c r="F398" s="39" t="s">
        <v>146</v>
      </c>
      <c r="G398" s="39" t="s">
        <v>146</v>
      </c>
      <c r="H398" s="38" t="str">
        <f>IF(CARGA_DIARIA!A398="","",C398-D398-E398)</f>
        <v/>
      </c>
    </row>
    <row r="399" spans="1:8" ht="15.75" customHeight="1" x14ac:dyDescent="0.25">
      <c r="A399" s="33" t="str">
        <f>IF(CARGA_DIARIA!A399="","",CARGA_DIARIA!A399)</f>
        <v/>
      </c>
      <c r="B399" s="34" t="str">
        <f>IF(CARGA_DIARIA!A399="","",CARGA_DIARIA!B399)</f>
        <v/>
      </c>
      <c r="C399" s="35" t="str">
        <f>IF(CARGA_DIARIA!A399="","",IF(CARGA_DIARIA!B399=0,0,(CARGA_DIARIA!C399+CARGA_DIARIA!D399+CARGA_DIARIA!E399+CARGA_DIARIA!F399+CARGA_DIARIA!G399+CARGA_DIARIA!H399+CARGA_DIARIA!I399+CARGA_DIARIA!AG399+CARGA_DIARIA!AH399+CARGA_DIARIA!AI399+CARGA_DIARIA!AJ399)/CARGA_DIARIA!B399+CARGA_DIARIA!AF399))</f>
        <v/>
      </c>
      <c r="D399" s="36" t="str">
        <f>IF(CARGA_DIARIA!A399="","",IF(CARGA_DIARIA!B399=0,0,(CARGA_DIARIA!J399+CARGA_DIARIA!K399+CARGA_DIARIA!L399+CARGA_DIARIA!M399+CARGA_DIARIA!N399+CARGA_DIARIA!O399+CARGA_DIARIA!P399+CARGA_DIARIA!Q399+CARGA_DIARIA!R399+CARGA_DIARIA!S399+CARGA_DIARIA!T399+CARGA_DIARIA!U399+CARGA_DIARIA!V399+CARGA_DIARIA!W399)/CARGA_DIARIA!B399))</f>
        <v/>
      </c>
      <c r="E399" s="36" t="str">
        <f>IF(CARGA_DIARIA!A399="","",IF(CARGA_DIARIA!B399=0,0,(CARGA_DIARIA!X399+CARGA_DIARIA!Y399+CARGA_DIARIA!Z399+CARGA_DIARIA!AA399)/CARGA_DIARIA!B399+CARGA_DIARIA!AB399+CARGA_DIARIA!AC399+CARGA_DIARIA!AD399+CARGA_DIARIA!AE399))</f>
        <v/>
      </c>
      <c r="F399" s="39" t="s">
        <v>146</v>
      </c>
      <c r="G399" s="39" t="s">
        <v>146</v>
      </c>
      <c r="H399" s="38" t="str">
        <f>IF(CARGA_DIARIA!A399="","",C399-D399-E399)</f>
        <v/>
      </c>
    </row>
    <row r="400" spans="1:8" ht="15.75" customHeight="1" x14ac:dyDescent="0.25">
      <c r="A400" s="33" t="str">
        <f>IF(CARGA_DIARIA!A400="","",CARGA_DIARIA!A400)</f>
        <v/>
      </c>
      <c r="B400" s="34" t="str">
        <f>IF(CARGA_DIARIA!A400="","",CARGA_DIARIA!B400)</f>
        <v/>
      </c>
      <c r="C400" s="35" t="str">
        <f>IF(CARGA_DIARIA!A400="","",IF(CARGA_DIARIA!B400=0,0,(CARGA_DIARIA!C400+CARGA_DIARIA!D400+CARGA_DIARIA!E400+CARGA_DIARIA!F400+CARGA_DIARIA!G400+CARGA_DIARIA!H400+CARGA_DIARIA!I400+CARGA_DIARIA!AG400+CARGA_DIARIA!AH400+CARGA_DIARIA!AI400+CARGA_DIARIA!AJ400)/CARGA_DIARIA!B400+CARGA_DIARIA!AF400))</f>
        <v/>
      </c>
      <c r="D400" s="36" t="str">
        <f>IF(CARGA_DIARIA!A400="","",IF(CARGA_DIARIA!B400=0,0,(CARGA_DIARIA!J400+CARGA_DIARIA!K400+CARGA_DIARIA!L400+CARGA_DIARIA!M400+CARGA_DIARIA!N400+CARGA_DIARIA!O400+CARGA_DIARIA!P400+CARGA_DIARIA!Q400+CARGA_DIARIA!R400+CARGA_DIARIA!S400+CARGA_DIARIA!T400+CARGA_DIARIA!U400+CARGA_DIARIA!V400+CARGA_DIARIA!W400)/CARGA_DIARIA!B400))</f>
        <v/>
      </c>
      <c r="E400" s="36" t="str">
        <f>IF(CARGA_DIARIA!A400="","",IF(CARGA_DIARIA!B400=0,0,(CARGA_DIARIA!X400+CARGA_DIARIA!Y400+CARGA_DIARIA!Z400+CARGA_DIARIA!AA400)/CARGA_DIARIA!B400+CARGA_DIARIA!AB400+CARGA_DIARIA!AC400+CARGA_DIARIA!AD400+CARGA_DIARIA!AE400))</f>
        <v/>
      </c>
      <c r="F400" s="39" t="s">
        <v>146</v>
      </c>
      <c r="G400" s="39" t="s">
        <v>146</v>
      </c>
      <c r="H400" s="38" t="str">
        <f>IF(CARGA_DIARIA!A400="","",C400-D400-E400)</f>
        <v/>
      </c>
    </row>
    <row r="401" spans="1:8" ht="15.75" customHeight="1" x14ac:dyDescent="0.25">
      <c r="A401" s="33" t="str">
        <f>IF(CARGA_DIARIA!A401="","",CARGA_DIARIA!A401)</f>
        <v/>
      </c>
      <c r="B401" s="34" t="str">
        <f>IF(CARGA_DIARIA!A401="","",CARGA_DIARIA!B401)</f>
        <v/>
      </c>
      <c r="C401" s="35" t="str">
        <f>IF(CARGA_DIARIA!A401="","",IF(CARGA_DIARIA!B401=0,0,(CARGA_DIARIA!C401+CARGA_DIARIA!D401+CARGA_DIARIA!E401+CARGA_DIARIA!F401+CARGA_DIARIA!G401+CARGA_DIARIA!H401+CARGA_DIARIA!I401+CARGA_DIARIA!AG401+CARGA_DIARIA!AH401+CARGA_DIARIA!AI401+CARGA_DIARIA!AJ401)/CARGA_DIARIA!B401+CARGA_DIARIA!AF401))</f>
        <v/>
      </c>
      <c r="D401" s="36" t="str">
        <f>IF(CARGA_DIARIA!A401="","",IF(CARGA_DIARIA!B401=0,0,(CARGA_DIARIA!J401+CARGA_DIARIA!K401+CARGA_DIARIA!L401+CARGA_DIARIA!M401+CARGA_DIARIA!N401+CARGA_DIARIA!O401+CARGA_DIARIA!P401+CARGA_DIARIA!Q401+CARGA_DIARIA!R401+CARGA_DIARIA!S401+CARGA_DIARIA!T401+CARGA_DIARIA!U401+CARGA_DIARIA!V401+CARGA_DIARIA!W401)/CARGA_DIARIA!B401))</f>
        <v/>
      </c>
      <c r="E401" s="36" t="str">
        <f>IF(CARGA_DIARIA!A401="","",IF(CARGA_DIARIA!B401=0,0,(CARGA_DIARIA!X401+CARGA_DIARIA!Y401+CARGA_DIARIA!Z401+CARGA_DIARIA!AA401)/CARGA_DIARIA!B401+CARGA_DIARIA!AB401+CARGA_DIARIA!AC401+CARGA_DIARIA!AD401+CARGA_DIARIA!AE401))</f>
        <v/>
      </c>
      <c r="F401" s="39" t="s">
        <v>146</v>
      </c>
      <c r="G401" s="39" t="s">
        <v>146</v>
      </c>
      <c r="H401" s="38" t="str">
        <f>IF(CARGA_DIARIA!A401="","",C401-D401-E401)</f>
        <v/>
      </c>
    </row>
    <row r="402" spans="1:8" ht="15.75" customHeight="1" x14ac:dyDescent="0.25">
      <c r="A402" s="33" t="str">
        <f>IF(CARGA_DIARIA!A402="","",CARGA_DIARIA!A402)</f>
        <v/>
      </c>
      <c r="B402" s="34" t="str">
        <f>IF(CARGA_DIARIA!A402="","",CARGA_DIARIA!B402)</f>
        <v/>
      </c>
      <c r="C402" s="35" t="str">
        <f>IF(CARGA_DIARIA!A402="","",IF(CARGA_DIARIA!B402=0,0,(CARGA_DIARIA!C402+CARGA_DIARIA!D402+CARGA_DIARIA!E402+CARGA_DIARIA!F402+CARGA_DIARIA!G402+CARGA_DIARIA!H402+CARGA_DIARIA!I402+CARGA_DIARIA!AG402+CARGA_DIARIA!AH402+CARGA_DIARIA!AI402+CARGA_DIARIA!AJ402)/CARGA_DIARIA!B402+CARGA_DIARIA!AF402))</f>
        <v/>
      </c>
      <c r="D402" s="36" t="str">
        <f>IF(CARGA_DIARIA!A402="","",IF(CARGA_DIARIA!B402=0,0,(CARGA_DIARIA!J402+CARGA_DIARIA!K402+CARGA_DIARIA!L402+CARGA_DIARIA!M402+CARGA_DIARIA!N402+CARGA_DIARIA!O402+CARGA_DIARIA!P402+CARGA_DIARIA!Q402+CARGA_DIARIA!R402+CARGA_DIARIA!S402+CARGA_DIARIA!T402+CARGA_DIARIA!U402+CARGA_DIARIA!V402+CARGA_DIARIA!W402)/CARGA_DIARIA!B402))</f>
        <v/>
      </c>
      <c r="E402" s="36" t="str">
        <f>IF(CARGA_DIARIA!A402="","",IF(CARGA_DIARIA!B402=0,0,(CARGA_DIARIA!X402+CARGA_DIARIA!Y402+CARGA_DIARIA!Z402+CARGA_DIARIA!AA402)/CARGA_DIARIA!B402+CARGA_DIARIA!AB402+CARGA_DIARIA!AC402+CARGA_DIARIA!AD402+CARGA_DIARIA!AE402))</f>
        <v/>
      </c>
      <c r="F402" s="39" t="s">
        <v>146</v>
      </c>
      <c r="G402" s="39" t="s">
        <v>146</v>
      </c>
      <c r="H402" s="38" t="str">
        <f>IF(CARGA_DIARIA!A402="","",C402-D402-E402)</f>
        <v/>
      </c>
    </row>
    <row r="403" spans="1:8" ht="15.75" customHeight="1" x14ac:dyDescent="0.25">
      <c r="A403" s="33" t="str">
        <f>IF(CARGA_DIARIA!A403="","",CARGA_DIARIA!A403)</f>
        <v/>
      </c>
      <c r="B403" s="34" t="str">
        <f>IF(CARGA_DIARIA!A403="","",CARGA_DIARIA!B403)</f>
        <v/>
      </c>
      <c r="C403" s="35" t="str">
        <f>IF(CARGA_DIARIA!A403="","",IF(CARGA_DIARIA!B403=0,0,(CARGA_DIARIA!C403+CARGA_DIARIA!D403+CARGA_DIARIA!E403+CARGA_DIARIA!F403+CARGA_DIARIA!G403+CARGA_DIARIA!H403+CARGA_DIARIA!I403+CARGA_DIARIA!AG403+CARGA_DIARIA!AH403+CARGA_DIARIA!AI403+CARGA_DIARIA!AJ403)/CARGA_DIARIA!B403+CARGA_DIARIA!AF403))</f>
        <v/>
      </c>
      <c r="D403" s="36" t="str">
        <f>IF(CARGA_DIARIA!A403="","",IF(CARGA_DIARIA!B403=0,0,(CARGA_DIARIA!J403+CARGA_DIARIA!K403+CARGA_DIARIA!L403+CARGA_DIARIA!M403+CARGA_DIARIA!N403+CARGA_DIARIA!O403+CARGA_DIARIA!P403+CARGA_DIARIA!Q403+CARGA_DIARIA!R403+CARGA_DIARIA!S403+CARGA_DIARIA!T403+CARGA_DIARIA!U403+CARGA_DIARIA!V403+CARGA_DIARIA!W403)/CARGA_DIARIA!B403))</f>
        <v/>
      </c>
      <c r="E403" s="36" t="str">
        <f>IF(CARGA_DIARIA!A403="","",IF(CARGA_DIARIA!B403=0,0,(CARGA_DIARIA!X403+CARGA_DIARIA!Y403+CARGA_DIARIA!Z403+CARGA_DIARIA!AA403)/CARGA_DIARIA!B403+CARGA_DIARIA!AB403+CARGA_DIARIA!AC403+CARGA_DIARIA!AD403+CARGA_DIARIA!AE403))</f>
        <v/>
      </c>
      <c r="F403" s="39" t="s">
        <v>146</v>
      </c>
      <c r="G403" s="39" t="s">
        <v>146</v>
      </c>
      <c r="H403" s="38" t="str">
        <f>IF(CARGA_DIARIA!A403="","",C403-D403-E403)</f>
        <v/>
      </c>
    </row>
    <row r="404" spans="1:8" ht="15.75" customHeight="1" x14ac:dyDescent="0.25">
      <c r="A404" s="33" t="str">
        <f>IF(CARGA_DIARIA!A404="","",CARGA_DIARIA!A404)</f>
        <v/>
      </c>
      <c r="B404" s="34" t="str">
        <f>IF(CARGA_DIARIA!A404="","",CARGA_DIARIA!B404)</f>
        <v/>
      </c>
      <c r="C404" s="35" t="str">
        <f>IF(CARGA_DIARIA!A404="","",IF(CARGA_DIARIA!B404=0,0,(CARGA_DIARIA!C404+CARGA_DIARIA!D404+CARGA_DIARIA!E404+CARGA_DIARIA!F404+CARGA_DIARIA!G404+CARGA_DIARIA!H404+CARGA_DIARIA!I404+CARGA_DIARIA!AG404+CARGA_DIARIA!AH404+CARGA_DIARIA!AI404+CARGA_DIARIA!AJ404)/CARGA_DIARIA!B404+CARGA_DIARIA!AF404))</f>
        <v/>
      </c>
      <c r="D404" s="36" t="str">
        <f>IF(CARGA_DIARIA!A404="","",IF(CARGA_DIARIA!B404=0,0,(CARGA_DIARIA!J404+CARGA_DIARIA!K404+CARGA_DIARIA!L404+CARGA_DIARIA!M404+CARGA_DIARIA!N404+CARGA_DIARIA!O404+CARGA_DIARIA!P404+CARGA_DIARIA!Q404+CARGA_DIARIA!R404+CARGA_DIARIA!S404+CARGA_DIARIA!T404+CARGA_DIARIA!U404+CARGA_DIARIA!V404+CARGA_DIARIA!W404)/CARGA_DIARIA!B404))</f>
        <v/>
      </c>
      <c r="E404" s="36" t="str">
        <f>IF(CARGA_DIARIA!A404="","",IF(CARGA_DIARIA!B404=0,0,(CARGA_DIARIA!X404+CARGA_DIARIA!Y404+CARGA_DIARIA!Z404+CARGA_DIARIA!AA404)/CARGA_DIARIA!B404+CARGA_DIARIA!AB404+CARGA_DIARIA!AC404+CARGA_DIARIA!AD404+CARGA_DIARIA!AE404))</f>
        <v/>
      </c>
      <c r="F404" s="39" t="s">
        <v>146</v>
      </c>
      <c r="G404" s="39" t="s">
        <v>146</v>
      </c>
      <c r="H404" s="38" t="str">
        <f>IF(CARGA_DIARIA!A404="","",C404-D404-E404)</f>
        <v/>
      </c>
    </row>
    <row r="405" spans="1:8" ht="15.75" customHeight="1" x14ac:dyDescent="0.25">
      <c r="A405" s="33" t="str">
        <f>IF(CARGA_DIARIA!A405="","",CARGA_DIARIA!A405)</f>
        <v/>
      </c>
      <c r="B405" s="34" t="str">
        <f>IF(CARGA_DIARIA!A405="","",CARGA_DIARIA!B405)</f>
        <v/>
      </c>
      <c r="C405" s="35" t="str">
        <f>IF(CARGA_DIARIA!A405="","",IF(CARGA_DIARIA!B405=0,0,(CARGA_DIARIA!C405+CARGA_DIARIA!D405+CARGA_DIARIA!E405+CARGA_DIARIA!F405+CARGA_DIARIA!G405+CARGA_DIARIA!H405+CARGA_DIARIA!I405+CARGA_DIARIA!AG405+CARGA_DIARIA!AH405+CARGA_DIARIA!AI405+CARGA_DIARIA!AJ405)/CARGA_DIARIA!B405+CARGA_DIARIA!AF405))</f>
        <v/>
      </c>
      <c r="D405" s="36" t="str">
        <f>IF(CARGA_DIARIA!A405="","",IF(CARGA_DIARIA!B405=0,0,(CARGA_DIARIA!J405+CARGA_DIARIA!K405+CARGA_DIARIA!L405+CARGA_DIARIA!M405+CARGA_DIARIA!N405+CARGA_DIARIA!O405+CARGA_DIARIA!P405+CARGA_DIARIA!Q405+CARGA_DIARIA!R405+CARGA_DIARIA!S405+CARGA_DIARIA!T405+CARGA_DIARIA!U405+CARGA_DIARIA!V405+CARGA_DIARIA!W405)/CARGA_DIARIA!B405))</f>
        <v/>
      </c>
      <c r="E405" s="36" t="str">
        <f>IF(CARGA_DIARIA!A405="","",IF(CARGA_DIARIA!B405=0,0,(CARGA_DIARIA!X405+CARGA_DIARIA!Y405+CARGA_DIARIA!Z405+CARGA_DIARIA!AA405)/CARGA_DIARIA!B405+CARGA_DIARIA!AB405+CARGA_DIARIA!AC405+CARGA_DIARIA!AD405+CARGA_DIARIA!AE405))</f>
        <v/>
      </c>
      <c r="F405" s="39" t="s">
        <v>146</v>
      </c>
      <c r="G405" s="39" t="s">
        <v>146</v>
      </c>
      <c r="H405" s="38" t="str">
        <f>IF(CARGA_DIARIA!A405="","",C405-D405-E405)</f>
        <v/>
      </c>
    </row>
    <row r="406" spans="1:8" ht="15.75" customHeight="1" x14ac:dyDescent="0.25">
      <c r="A406" s="33" t="str">
        <f>IF(CARGA_DIARIA!A406="","",CARGA_DIARIA!A406)</f>
        <v/>
      </c>
      <c r="B406" s="34" t="str">
        <f>IF(CARGA_DIARIA!A406="","",CARGA_DIARIA!B406)</f>
        <v/>
      </c>
      <c r="C406" s="35" t="str">
        <f>IF(CARGA_DIARIA!A406="","",IF(CARGA_DIARIA!B406=0,0,(CARGA_DIARIA!C406+CARGA_DIARIA!D406+CARGA_DIARIA!E406+CARGA_DIARIA!F406+CARGA_DIARIA!G406+CARGA_DIARIA!H406+CARGA_DIARIA!I406+CARGA_DIARIA!AG406+CARGA_DIARIA!AH406+CARGA_DIARIA!AI406+CARGA_DIARIA!AJ406)/CARGA_DIARIA!B406+CARGA_DIARIA!AF406))</f>
        <v/>
      </c>
      <c r="D406" s="36" t="str">
        <f>IF(CARGA_DIARIA!A406="","",IF(CARGA_DIARIA!B406=0,0,(CARGA_DIARIA!J406+CARGA_DIARIA!K406+CARGA_DIARIA!L406+CARGA_DIARIA!M406+CARGA_DIARIA!N406+CARGA_DIARIA!O406+CARGA_DIARIA!P406+CARGA_DIARIA!Q406+CARGA_DIARIA!R406+CARGA_DIARIA!S406+CARGA_DIARIA!T406+CARGA_DIARIA!U406+CARGA_DIARIA!V406+CARGA_DIARIA!W406)/CARGA_DIARIA!B406))</f>
        <v/>
      </c>
      <c r="E406" s="36" t="str">
        <f>IF(CARGA_DIARIA!A406="","",IF(CARGA_DIARIA!B406=0,0,(CARGA_DIARIA!X406+CARGA_DIARIA!Y406+CARGA_DIARIA!Z406+CARGA_DIARIA!AA406)/CARGA_DIARIA!B406+CARGA_DIARIA!AB406+CARGA_DIARIA!AC406+CARGA_DIARIA!AD406+CARGA_DIARIA!AE406))</f>
        <v/>
      </c>
      <c r="F406" s="39" t="s">
        <v>146</v>
      </c>
      <c r="G406" s="39" t="s">
        <v>146</v>
      </c>
      <c r="H406" s="38" t="str">
        <f>IF(CARGA_DIARIA!A406="","",C406-D406-E406)</f>
        <v/>
      </c>
    </row>
    <row r="407" spans="1:8" ht="15.75" customHeight="1" x14ac:dyDescent="0.25">
      <c r="A407" s="33" t="str">
        <f>IF(CARGA_DIARIA!A407="","",CARGA_DIARIA!A407)</f>
        <v/>
      </c>
      <c r="B407" s="34" t="str">
        <f>IF(CARGA_DIARIA!A407="","",CARGA_DIARIA!B407)</f>
        <v/>
      </c>
      <c r="C407" s="35" t="str">
        <f>IF(CARGA_DIARIA!A407="","",IF(CARGA_DIARIA!B407=0,0,(CARGA_DIARIA!C407+CARGA_DIARIA!D407+CARGA_DIARIA!E407+CARGA_DIARIA!F407+CARGA_DIARIA!G407+CARGA_DIARIA!H407+CARGA_DIARIA!I407+CARGA_DIARIA!AG407+CARGA_DIARIA!AH407+CARGA_DIARIA!AI407+CARGA_DIARIA!AJ407)/CARGA_DIARIA!B407+CARGA_DIARIA!AF407))</f>
        <v/>
      </c>
      <c r="D407" s="36" t="str">
        <f>IF(CARGA_DIARIA!A407="","",IF(CARGA_DIARIA!B407=0,0,(CARGA_DIARIA!J407+CARGA_DIARIA!K407+CARGA_DIARIA!L407+CARGA_DIARIA!M407+CARGA_DIARIA!N407+CARGA_DIARIA!O407+CARGA_DIARIA!P407+CARGA_DIARIA!Q407+CARGA_DIARIA!R407+CARGA_DIARIA!S407+CARGA_DIARIA!T407+CARGA_DIARIA!U407+CARGA_DIARIA!V407+CARGA_DIARIA!W407)/CARGA_DIARIA!B407))</f>
        <v/>
      </c>
      <c r="E407" s="36" t="str">
        <f>IF(CARGA_DIARIA!A407="","",IF(CARGA_DIARIA!B407=0,0,(CARGA_DIARIA!X407+CARGA_DIARIA!Y407+CARGA_DIARIA!Z407+CARGA_DIARIA!AA407)/CARGA_DIARIA!B407+CARGA_DIARIA!AB407+CARGA_DIARIA!AC407+CARGA_DIARIA!AD407+CARGA_DIARIA!AE407))</f>
        <v/>
      </c>
      <c r="F407" s="39" t="s">
        <v>146</v>
      </c>
      <c r="G407" s="39" t="s">
        <v>146</v>
      </c>
      <c r="H407" s="38" t="str">
        <f>IF(CARGA_DIARIA!A407="","",C407-D407-E407)</f>
        <v/>
      </c>
    </row>
    <row r="408" spans="1:8" ht="15.75" customHeight="1" x14ac:dyDescent="0.25">
      <c r="A408" s="33" t="str">
        <f>IF(CARGA_DIARIA!A408="","",CARGA_DIARIA!A408)</f>
        <v/>
      </c>
      <c r="B408" s="34" t="str">
        <f>IF(CARGA_DIARIA!A408="","",CARGA_DIARIA!B408)</f>
        <v/>
      </c>
      <c r="C408" s="35" t="str">
        <f>IF(CARGA_DIARIA!A408="","",IF(CARGA_DIARIA!B408=0,0,(CARGA_DIARIA!C408+CARGA_DIARIA!D408+CARGA_DIARIA!E408+CARGA_DIARIA!F408+CARGA_DIARIA!G408+CARGA_DIARIA!H408+CARGA_DIARIA!I408+CARGA_DIARIA!AG408+CARGA_DIARIA!AH408+CARGA_DIARIA!AI408+CARGA_DIARIA!AJ408)/CARGA_DIARIA!B408+CARGA_DIARIA!AF408))</f>
        <v/>
      </c>
      <c r="D408" s="36" t="str">
        <f>IF(CARGA_DIARIA!A408="","",IF(CARGA_DIARIA!B408=0,0,(CARGA_DIARIA!J408+CARGA_DIARIA!K408+CARGA_DIARIA!L408+CARGA_DIARIA!M408+CARGA_DIARIA!N408+CARGA_DIARIA!O408+CARGA_DIARIA!P408+CARGA_DIARIA!Q408+CARGA_DIARIA!R408+CARGA_DIARIA!S408+CARGA_DIARIA!T408+CARGA_DIARIA!U408+CARGA_DIARIA!V408+CARGA_DIARIA!W408)/CARGA_DIARIA!B408))</f>
        <v/>
      </c>
      <c r="E408" s="36" t="str">
        <f>IF(CARGA_DIARIA!A408="","",IF(CARGA_DIARIA!B408=0,0,(CARGA_DIARIA!X408+CARGA_DIARIA!Y408+CARGA_DIARIA!Z408+CARGA_DIARIA!AA408)/CARGA_DIARIA!B408+CARGA_DIARIA!AB408+CARGA_DIARIA!AC408+CARGA_DIARIA!AD408+CARGA_DIARIA!AE408))</f>
        <v/>
      </c>
      <c r="F408" s="39" t="s">
        <v>146</v>
      </c>
      <c r="G408" s="39" t="s">
        <v>146</v>
      </c>
      <c r="H408" s="38" t="str">
        <f>IF(CARGA_DIARIA!A408="","",C408-D408-E408)</f>
        <v/>
      </c>
    </row>
    <row r="409" spans="1:8" ht="15.75" customHeight="1" x14ac:dyDescent="0.25">
      <c r="A409" s="33" t="str">
        <f>IF(CARGA_DIARIA!A409="","",CARGA_DIARIA!A409)</f>
        <v/>
      </c>
      <c r="B409" s="34" t="str">
        <f>IF(CARGA_DIARIA!A409="","",CARGA_DIARIA!B409)</f>
        <v/>
      </c>
      <c r="C409" s="35" t="str">
        <f>IF(CARGA_DIARIA!A409="","",IF(CARGA_DIARIA!B409=0,0,(CARGA_DIARIA!C409+CARGA_DIARIA!D409+CARGA_DIARIA!E409+CARGA_DIARIA!F409+CARGA_DIARIA!G409+CARGA_DIARIA!H409+CARGA_DIARIA!I409+CARGA_DIARIA!AG409+CARGA_DIARIA!AH409+CARGA_DIARIA!AI409+CARGA_DIARIA!AJ409)/CARGA_DIARIA!B409+CARGA_DIARIA!AF409))</f>
        <v/>
      </c>
      <c r="D409" s="36" t="str">
        <f>IF(CARGA_DIARIA!A409="","",IF(CARGA_DIARIA!B409=0,0,(CARGA_DIARIA!J409+CARGA_DIARIA!K409+CARGA_DIARIA!L409+CARGA_DIARIA!M409+CARGA_DIARIA!N409+CARGA_DIARIA!O409+CARGA_DIARIA!P409+CARGA_DIARIA!Q409+CARGA_DIARIA!R409+CARGA_DIARIA!S409+CARGA_DIARIA!T409+CARGA_DIARIA!U409+CARGA_DIARIA!V409+CARGA_DIARIA!W409)/CARGA_DIARIA!B409))</f>
        <v/>
      </c>
      <c r="E409" s="36" t="str">
        <f>IF(CARGA_DIARIA!A409="","",IF(CARGA_DIARIA!B409=0,0,(CARGA_DIARIA!X409+CARGA_DIARIA!Y409+CARGA_DIARIA!Z409+CARGA_DIARIA!AA409)/CARGA_DIARIA!B409+CARGA_DIARIA!AB409+CARGA_DIARIA!AC409+CARGA_DIARIA!AD409+CARGA_DIARIA!AE409))</f>
        <v/>
      </c>
      <c r="F409" s="39" t="s">
        <v>146</v>
      </c>
      <c r="G409" s="39" t="s">
        <v>146</v>
      </c>
      <c r="H409" s="38" t="str">
        <f>IF(CARGA_DIARIA!A409="","",C409-D409-E409)</f>
        <v/>
      </c>
    </row>
    <row r="410" spans="1:8" ht="15.75" customHeight="1" x14ac:dyDescent="0.25">
      <c r="A410" s="33" t="str">
        <f>IF(CARGA_DIARIA!A410="","",CARGA_DIARIA!A410)</f>
        <v/>
      </c>
      <c r="B410" s="34" t="str">
        <f>IF(CARGA_DIARIA!A410="","",CARGA_DIARIA!B410)</f>
        <v/>
      </c>
      <c r="C410" s="35" t="str">
        <f>IF(CARGA_DIARIA!A410="","",IF(CARGA_DIARIA!B410=0,0,(CARGA_DIARIA!C410+CARGA_DIARIA!D410+CARGA_DIARIA!E410+CARGA_DIARIA!F410+CARGA_DIARIA!G410+CARGA_DIARIA!H410+CARGA_DIARIA!I410+CARGA_DIARIA!AG410+CARGA_DIARIA!AH410+CARGA_DIARIA!AI410+CARGA_DIARIA!AJ410)/CARGA_DIARIA!B410+CARGA_DIARIA!AF410))</f>
        <v/>
      </c>
      <c r="D410" s="36" t="str">
        <f>IF(CARGA_DIARIA!A410="","",IF(CARGA_DIARIA!B410=0,0,(CARGA_DIARIA!J410+CARGA_DIARIA!K410+CARGA_DIARIA!L410+CARGA_DIARIA!M410+CARGA_DIARIA!N410+CARGA_DIARIA!O410+CARGA_DIARIA!P410+CARGA_DIARIA!Q410+CARGA_DIARIA!R410+CARGA_DIARIA!S410+CARGA_DIARIA!T410+CARGA_DIARIA!U410+CARGA_DIARIA!V410+CARGA_DIARIA!W410)/CARGA_DIARIA!B410))</f>
        <v/>
      </c>
      <c r="E410" s="36" t="str">
        <f>IF(CARGA_DIARIA!A410="","",IF(CARGA_DIARIA!B410=0,0,(CARGA_DIARIA!X410+CARGA_DIARIA!Y410+CARGA_DIARIA!Z410+CARGA_DIARIA!AA410)/CARGA_DIARIA!B410+CARGA_DIARIA!AB410+CARGA_DIARIA!AC410+CARGA_DIARIA!AD410+CARGA_DIARIA!AE410))</f>
        <v/>
      </c>
      <c r="F410" s="39" t="s">
        <v>146</v>
      </c>
      <c r="G410" s="39" t="s">
        <v>146</v>
      </c>
      <c r="H410" s="38" t="str">
        <f>IF(CARGA_DIARIA!A410="","",C410-D410-E410)</f>
        <v/>
      </c>
    </row>
    <row r="411" spans="1:8" ht="15.75" customHeight="1" x14ac:dyDescent="0.25">
      <c r="A411" s="33" t="str">
        <f>IF(CARGA_DIARIA!A411="","",CARGA_DIARIA!A411)</f>
        <v/>
      </c>
      <c r="B411" s="34" t="str">
        <f>IF(CARGA_DIARIA!A411="","",CARGA_DIARIA!B411)</f>
        <v/>
      </c>
      <c r="C411" s="35" t="str">
        <f>IF(CARGA_DIARIA!A411="","",IF(CARGA_DIARIA!B411=0,0,(CARGA_DIARIA!C411+CARGA_DIARIA!D411+CARGA_DIARIA!E411+CARGA_DIARIA!F411+CARGA_DIARIA!G411+CARGA_DIARIA!H411+CARGA_DIARIA!I411+CARGA_DIARIA!AG411+CARGA_DIARIA!AH411+CARGA_DIARIA!AI411+CARGA_DIARIA!AJ411)/CARGA_DIARIA!B411+CARGA_DIARIA!AF411))</f>
        <v/>
      </c>
      <c r="D411" s="36" t="str">
        <f>IF(CARGA_DIARIA!A411="","",IF(CARGA_DIARIA!B411=0,0,(CARGA_DIARIA!J411+CARGA_DIARIA!K411+CARGA_DIARIA!L411+CARGA_DIARIA!M411+CARGA_DIARIA!N411+CARGA_DIARIA!O411+CARGA_DIARIA!P411+CARGA_DIARIA!Q411+CARGA_DIARIA!R411+CARGA_DIARIA!S411+CARGA_DIARIA!T411+CARGA_DIARIA!U411+CARGA_DIARIA!V411+CARGA_DIARIA!W411)/CARGA_DIARIA!B411))</f>
        <v/>
      </c>
      <c r="E411" s="36" t="str">
        <f>IF(CARGA_DIARIA!A411="","",IF(CARGA_DIARIA!B411=0,0,(CARGA_DIARIA!X411+CARGA_DIARIA!Y411+CARGA_DIARIA!Z411+CARGA_DIARIA!AA411)/CARGA_DIARIA!B411+CARGA_DIARIA!AB411+CARGA_DIARIA!AC411+CARGA_DIARIA!AD411+CARGA_DIARIA!AE411))</f>
        <v/>
      </c>
      <c r="F411" s="39" t="s">
        <v>146</v>
      </c>
      <c r="G411" s="39" t="s">
        <v>146</v>
      </c>
      <c r="H411" s="38" t="str">
        <f>IF(CARGA_DIARIA!A411="","",C411-D411-E411)</f>
        <v/>
      </c>
    </row>
    <row r="412" spans="1:8" ht="15.75" customHeight="1" x14ac:dyDescent="0.25">
      <c r="A412" s="33" t="str">
        <f>IF(CARGA_DIARIA!A412="","",CARGA_DIARIA!A412)</f>
        <v/>
      </c>
      <c r="B412" s="34" t="str">
        <f>IF(CARGA_DIARIA!A412="","",CARGA_DIARIA!B412)</f>
        <v/>
      </c>
      <c r="C412" s="35" t="str">
        <f>IF(CARGA_DIARIA!A412="","",IF(CARGA_DIARIA!B412=0,0,(CARGA_DIARIA!C412+CARGA_DIARIA!D412+CARGA_DIARIA!E412+CARGA_DIARIA!F412+CARGA_DIARIA!G412+CARGA_DIARIA!H412+CARGA_DIARIA!I412+CARGA_DIARIA!AG412+CARGA_DIARIA!AH412+CARGA_DIARIA!AI412+CARGA_DIARIA!AJ412)/CARGA_DIARIA!B412+CARGA_DIARIA!AF412))</f>
        <v/>
      </c>
      <c r="D412" s="36" t="str">
        <f>IF(CARGA_DIARIA!A412="","",IF(CARGA_DIARIA!B412=0,0,(CARGA_DIARIA!J412+CARGA_DIARIA!K412+CARGA_DIARIA!L412+CARGA_DIARIA!M412+CARGA_DIARIA!N412+CARGA_DIARIA!O412+CARGA_DIARIA!P412+CARGA_DIARIA!Q412+CARGA_DIARIA!R412+CARGA_DIARIA!S412+CARGA_DIARIA!T412+CARGA_DIARIA!U412+CARGA_DIARIA!V412+CARGA_DIARIA!W412)/CARGA_DIARIA!B412))</f>
        <v/>
      </c>
      <c r="E412" s="36" t="str">
        <f>IF(CARGA_DIARIA!A412="","",IF(CARGA_DIARIA!B412=0,0,(CARGA_DIARIA!X412+CARGA_DIARIA!Y412+CARGA_DIARIA!Z412+CARGA_DIARIA!AA412)/CARGA_DIARIA!B412+CARGA_DIARIA!AB412+CARGA_DIARIA!AC412+CARGA_DIARIA!AD412+CARGA_DIARIA!AE412))</f>
        <v/>
      </c>
      <c r="F412" s="39" t="s">
        <v>146</v>
      </c>
      <c r="G412" s="39" t="s">
        <v>146</v>
      </c>
      <c r="H412" s="38" t="str">
        <f>IF(CARGA_DIARIA!A412="","",C412-D412-E412)</f>
        <v/>
      </c>
    </row>
    <row r="413" spans="1:8" ht="15.75" customHeight="1" x14ac:dyDescent="0.25">
      <c r="A413" s="33" t="str">
        <f>IF(CARGA_DIARIA!A413="","",CARGA_DIARIA!A413)</f>
        <v/>
      </c>
      <c r="B413" s="34" t="str">
        <f>IF(CARGA_DIARIA!A413="","",CARGA_DIARIA!B413)</f>
        <v/>
      </c>
      <c r="C413" s="35" t="str">
        <f>IF(CARGA_DIARIA!A413="","",IF(CARGA_DIARIA!B413=0,0,(CARGA_DIARIA!C413+CARGA_DIARIA!D413+CARGA_DIARIA!E413+CARGA_DIARIA!F413+CARGA_DIARIA!G413+CARGA_DIARIA!H413+CARGA_DIARIA!I413+CARGA_DIARIA!AG413+CARGA_DIARIA!AH413+CARGA_DIARIA!AI413+CARGA_DIARIA!AJ413)/CARGA_DIARIA!B413+CARGA_DIARIA!AF413))</f>
        <v/>
      </c>
      <c r="D413" s="36" t="str">
        <f>IF(CARGA_DIARIA!A413="","",IF(CARGA_DIARIA!B413=0,0,(CARGA_DIARIA!J413+CARGA_DIARIA!K413+CARGA_DIARIA!L413+CARGA_DIARIA!M413+CARGA_DIARIA!N413+CARGA_DIARIA!O413+CARGA_DIARIA!P413+CARGA_DIARIA!Q413+CARGA_DIARIA!R413+CARGA_DIARIA!S413+CARGA_DIARIA!T413+CARGA_DIARIA!U413+CARGA_DIARIA!V413+CARGA_DIARIA!W413)/CARGA_DIARIA!B413))</f>
        <v/>
      </c>
      <c r="E413" s="36" t="str">
        <f>IF(CARGA_DIARIA!A413="","",IF(CARGA_DIARIA!B413=0,0,(CARGA_DIARIA!X413+CARGA_DIARIA!Y413+CARGA_DIARIA!Z413+CARGA_DIARIA!AA413)/CARGA_DIARIA!B413+CARGA_DIARIA!AB413+CARGA_DIARIA!AC413+CARGA_DIARIA!AD413+CARGA_DIARIA!AE413))</f>
        <v/>
      </c>
      <c r="F413" s="39" t="s">
        <v>146</v>
      </c>
      <c r="G413" s="39" t="s">
        <v>146</v>
      </c>
      <c r="H413" s="38" t="str">
        <f>IF(CARGA_DIARIA!A413="","",C413-D413-E413)</f>
        <v/>
      </c>
    </row>
    <row r="414" spans="1:8" ht="15.75" customHeight="1" x14ac:dyDescent="0.25">
      <c r="A414" s="33" t="str">
        <f>IF(CARGA_DIARIA!A414="","",CARGA_DIARIA!A414)</f>
        <v/>
      </c>
      <c r="B414" s="34" t="str">
        <f>IF(CARGA_DIARIA!A414="","",CARGA_DIARIA!B414)</f>
        <v/>
      </c>
      <c r="C414" s="35" t="str">
        <f>IF(CARGA_DIARIA!A414="","",IF(CARGA_DIARIA!B414=0,0,(CARGA_DIARIA!C414+CARGA_DIARIA!D414+CARGA_DIARIA!E414+CARGA_DIARIA!F414+CARGA_DIARIA!G414+CARGA_DIARIA!H414+CARGA_DIARIA!I414+CARGA_DIARIA!AG414+CARGA_DIARIA!AH414+CARGA_DIARIA!AI414+CARGA_DIARIA!AJ414)/CARGA_DIARIA!B414+CARGA_DIARIA!AF414))</f>
        <v/>
      </c>
      <c r="D414" s="36" t="str">
        <f>IF(CARGA_DIARIA!A414="","",IF(CARGA_DIARIA!B414=0,0,(CARGA_DIARIA!J414+CARGA_DIARIA!K414+CARGA_DIARIA!L414+CARGA_DIARIA!M414+CARGA_DIARIA!N414+CARGA_DIARIA!O414+CARGA_DIARIA!P414+CARGA_DIARIA!Q414+CARGA_DIARIA!R414+CARGA_DIARIA!S414+CARGA_DIARIA!T414+CARGA_DIARIA!U414+CARGA_DIARIA!V414+CARGA_DIARIA!W414)/CARGA_DIARIA!B414))</f>
        <v/>
      </c>
      <c r="E414" s="36" t="str">
        <f>IF(CARGA_DIARIA!A414="","",IF(CARGA_DIARIA!B414=0,0,(CARGA_DIARIA!X414+CARGA_DIARIA!Y414+CARGA_DIARIA!Z414+CARGA_DIARIA!AA414)/CARGA_DIARIA!B414+CARGA_DIARIA!AB414+CARGA_DIARIA!AC414+CARGA_DIARIA!AD414+CARGA_DIARIA!AE414))</f>
        <v/>
      </c>
      <c r="F414" s="39" t="s">
        <v>146</v>
      </c>
      <c r="G414" s="39" t="s">
        <v>146</v>
      </c>
      <c r="H414" s="38" t="str">
        <f>IF(CARGA_DIARIA!A414="","",C414-D414-E414)</f>
        <v/>
      </c>
    </row>
    <row r="415" spans="1:8" ht="15.75" customHeight="1" x14ac:dyDescent="0.25">
      <c r="A415" s="33" t="str">
        <f>IF(CARGA_DIARIA!A415="","",CARGA_DIARIA!A415)</f>
        <v/>
      </c>
      <c r="B415" s="34" t="str">
        <f>IF(CARGA_DIARIA!A415="","",CARGA_DIARIA!B415)</f>
        <v/>
      </c>
      <c r="C415" s="35" t="str">
        <f>IF(CARGA_DIARIA!A415="","",IF(CARGA_DIARIA!B415=0,0,(CARGA_DIARIA!C415+CARGA_DIARIA!D415+CARGA_DIARIA!E415+CARGA_DIARIA!F415+CARGA_DIARIA!G415+CARGA_DIARIA!H415+CARGA_DIARIA!I415+CARGA_DIARIA!AG415+CARGA_DIARIA!AH415+CARGA_DIARIA!AI415+CARGA_DIARIA!AJ415)/CARGA_DIARIA!B415+CARGA_DIARIA!AF415))</f>
        <v/>
      </c>
      <c r="D415" s="36" t="str">
        <f>IF(CARGA_DIARIA!A415="","",IF(CARGA_DIARIA!B415=0,0,(CARGA_DIARIA!J415+CARGA_DIARIA!K415+CARGA_DIARIA!L415+CARGA_DIARIA!M415+CARGA_DIARIA!N415+CARGA_DIARIA!O415+CARGA_DIARIA!P415+CARGA_DIARIA!Q415+CARGA_DIARIA!R415+CARGA_DIARIA!S415+CARGA_DIARIA!T415+CARGA_DIARIA!U415+CARGA_DIARIA!V415+CARGA_DIARIA!W415)/CARGA_DIARIA!B415))</f>
        <v/>
      </c>
      <c r="E415" s="36" t="str">
        <f>IF(CARGA_DIARIA!A415="","",IF(CARGA_DIARIA!B415=0,0,(CARGA_DIARIA!X415+CARGA_DIARIA!Y415+CARGA_DIARIA!Z415+CARGA_DIARIA!AA415)/CARGA_DIARIA!B415+CARGA_DIARIA!AB415+CARGA_DIARIA!AC415+CARGA_DIARIA!AD415+CARGA_DIARIA!AE415))</f>
        <v/>
      </c>
      <c r="F415" s="39" t="s">
        <v>146</v>
      </c>
      <c r="G415" s="39" t="s">
        <v>146</v>
      </c>
      <c r="H415" s="38" t="str">
        <f>IF(CARGA_DIARIA!A415="","",C415-D415-E415)</f>
        <v/>
      </c>
    </row>
    <row r="416" spans="1:8" ht="15.75" customHeight="1" x14ac:dyDescent="0.25">
      <c r="A416" s="33" t="str">
        <f>IF(CARGA_DIARIA!A416="","",CARGA_DIARIA!A416)</f>
        <v/>
      </c>
      <c r="B416" s="34" t="str">
        <f>IF(CARGA_DIARIA!A416="","",CARGA_DIARIA!B416)</f>
        <v/>
      </c>
      <c r="C416" s="35" t="str">
        <f>IF(CARGA_DIARIA!A416="","",IF(CARGA_DIARIA!B416=0,0,(CARGA_DIARIA!C416+CARGA_DIARIA!D416+CARGA_DIARIA!E416+CARGA_DIARIA!F416+CARGA_DIARIA!G416+CARGA_DIARIA!H416+CARGA_DIARIA!I416+CARGA_DIARIA!AG416+CARGA_DIARIA!AH416+CARGA_DIARIA!AI416+CARGA_DIARIA!AJ416)/CARGA_DIARIA!B416+CARGA_DIARIA!AF416))</f>
        <v/>
      </c>
      <c r="D416" s="36" t="str">
        <f>IF(CARGA_DIARIA!A416="","",IF(CARGA_DIARIA!B416=0,0,(CARGA_DIARIA!J416+CARGA_DIARIA!K416+CARGA_DIARIA!L416+CARGA_DIARIA!M416+CARGA_DIARIA!N416+CARGA_DIARIA!O416+CARGA_DIARIA!P416+CARGA_DIARIA!Q416+CARGA_DIARIA!R416+CARGA_DIARIA!S416+CARGA_DIARIA!T416+CARGA_DIARIA!U416+CARGA_DIARIA!V416+CARGA_DIARIA!W416)/CARGA_DIARIA!B416))</f>
        <v/>
      </c>
      <c r="E416" s="36" t="str">
        <f>IF(CARGA_DIARIA!A416="","",IF(CARGA_DIARIA!B416=0,0,(CARGA_DIARIA!X416+CARGA_DIARIA!Y416+CARGA_DIARIA!Z416+CARGA_DIARIA!AA416)/CARGA_DIARIA!B416+CARGA_DIARIA!AB416+CARGA_DIARIA!AC416+CARGA_DIARIA!AD416+CARGA_DIARIA!AE416))</f>
        <v/>
      </c>
      <c r="F416" s="39" t="s">
        <v>146</v>
      </c>
      <c r="G416" s="39" t="s">
        <v>146</v>
      </c>
      <c r="H416" s="38" t="str">
        <f>IF(CARGA_DIARIA!A416="","",C416-D416-E416)</f>
        <v/>
      </c>
    </row>
    <row r="417" spans="1:8" ht="15.75" customHeight="1" x14ac:dyDescent="0.25">
      <c r="A417" s="33" t="str">
        <f>IF(CARGA_DIARIA!A417="","",CARGA_DIARIA!A417)</f>
        <v/>
      </c>
      <c r="B417" s="34" t="str">
        <f>IF(CARGA_DIARIA!A417="","",CARGA_DIARIA!B417)</f>
        <v/>
      </c>
      <c r="C417" s="35" t="str">
        <f>IF(CARGA_DIARIA!A417="","",IF(CARGA_DIARIA!B417=0,0,(CARGA_DIARIA!C417+CARGA_DIARIA!D417+CARGA_DIARIA!E417+CARGA_DIARIA!F417+CARGA_DIARIA!G417+CARGA_DIARIA!H417+CARGA_DIARIA!I417+CARGA_DIARIA!AG417+CARGA_DIARIA!AH417+CARGA_DIARIA!AI417+CARGA_DIARIA!AJ417)/CARGA_DIARIA!B417+CARGA_DIARIA!AF417))</f>
        <v/>
      </c>
      <c r="D417" s="36" t="str">
        <f>IF(CARGA_DIARIA!A417="","",IF(CARGA_DIARIA!B417=0,0,(CARGA_DIARIA!J417+CARGA_DIARIA!K417+CARGA_DIARIA!L417+CARGA_DIARIA!M417+CARGA_DIARIA!N417+CARGA_DIARIA!O417+CARGA_DIARIA!P417+CARGA_DIARIA!Q417+CARGA_DIARIA!R417+CARGA_DIARIA!S417+CARGA_DIARIA!T417+CARGA_DIARIA!U417+CARGA_DIARIA!V417+CARGA_DIARIA!W417)/CARGA_DIARIA!B417))</f>
        <v/>
      </c>
      <c r="E417" s="36" t="str">
        <f>IF(CARGA_DIARIA!A417="","",IF(CARGA_DIARIA!B417=0,0,(CARGA_DIARIA!X417+CARGA_DIARIA!Y417+CARGA_DIARIA!Z417+CARGA_DIARIA!AA417)/CARGA_DIARIA!B417+CARGA_DIARIA!AB417+CARGA_DIARIA!AC417+CARGA_DIARIA!AD417+CARGA_DIARIA!AE417))</f>
        <v/>
      </c>
      <c r="F417" s="39" t="s">
        <v>146</v>
      </c>
      <c r="G417" s="39" t="s">
        <v>146</v>
      </c>
      <c r="H417" s="38" t="str">
        <f>IF(CARGA_DIARIA!A417="","",C417-D417-E417)</f>
        <v/>
      </c>
    </row>
    <row r="418" spans="1:8" ht="15.75" customHeight="1" x14ac:dyDescent="0.25">
      <c r="A418" s="33" t="str">
        <f>IF(CARGA_DIARIA!A418="","",CARGA_DIARIA!A418)</f>
        <v/>
      </c>
      <c r="B418" s="34" t="str">
        <f>IF(CARGA_DIARIA!A418="","",CARGA_DIARIA!B418)</f>
        <v/>
      </c>
      <c r="C418" s="35" t="str">
        <f>IF(CARGA_DIARIA!A418="","",IF(CARGA_DIARIA!B418=0,0,(CARGA_DIARIA!C418+CARGA_DIARIA!D418+CARGA_DIARIA!E418+CARGA_DIARIA!F418+CARGA_DIARIA!G418+CARGA_DIARIA!H418+CARGA_DIARIA!I418+CARGA_DIARIA!AG418+CARGA_DIARIA!AH418+CARGA_DIARIA!AI418+CARGA_DIARIA!AJ418)/CARGA_DIARIA!B418+CARGA_DIARIA!AF418))</f>
        <v/>
      </c>
      <c r="D418" s="36" t="str">
        <f>IF(CARGA_DIARIA!A418="","",IF(CARGA_DIARIA!B418=0,0,(CARGA_DIARIA!J418+CARGA_DIARIA!K418+CARGA_DIARIA!L418+CARGA_DIARIA!M418+CARGA_DIARIA!N418+CARGA_DIARIA!O418+CARGA_DIARIA!P418+CARGA_DIARIA!Q418+CARGA_DIARIA!R418+CARGA_DIARIA!S418+CARGA_DIARIA!T418+CARGA_DIARIA!U418+CARGA_DIARIA!V418+CARGA_DIARIA!W418)/CARGA_DIARIA!B418))</f>
        <v/>
      </c>
      <c r="E418" s="36" t="str">
        <f>IF(CARGA_DIARIA!A418="","",IF(CARGA_DIARIA!B418=0,0,(CARGA_DIARIA!X418+CARGA_DIARIA!Y418+CARGA_DIARIA!Z418+CARGA_DIARIA!AA418)/CARGA_DIARIA!B418+CARGA_DIARIA!AB418+CARGA_DIARIA!AC418+CARGA_DIARIA!AD418+CARGA_DIARIA!AE418))</f>
        <v/>
      </c>
      <c r="F418" s="39" t="s">
        <v>146</v>
      </c>
      <c r="G418" s="39" t="s">
        <v>146</v>
      </c>
      <c r="H418" s="38" t="str">
        <f>IF(CARGA_DIARIA!A418="","",C418-D418-E418)</f>
        <v/>
      </c>
    </row>
    <row r="419" spans="1:8" ht="15.75" customHeight="1" x14ac:dyDescent="0.25">
      <c r="A419" s="33" t="str">
        <f>IF(CARGA_DIARIA!A419="","",CARGA_DIARIA!A419)</f>
        <v/>
      </c>
      <c r="B419" s="34" t="str">
        <f>IF(CARGA_DIARIA!A419="","",CARGA_DIARIA!B419)</f>
        <v/>
      </c>
      <c r="C419" s="35" t="str">
        <f>IF(CARGA_DIARIA!A419="","",IF(CARGA_DIARIA!B419=0,0,(CARGA_DIARIA!C419+CARGA_DIARIA!D419+CARGA_DIARIA!E419+CARGA_DIARIA!F419+CARGA_DIARIA!G419+CARGA_DIARIA!H419+CARGA_DIARIA!I419+CARGA_DIARIA!AG419+CARGA_DIARIA!AH419+CARGA_DIARIA!AI419+CARGA_DIARIA!AJ419)/CARGA_DIARIA!B419+CARGA_DIARIA!AF419))</f>
        <v/>
      </c>
      <c r="D419" s="36" t="str">
        <f>IF(CARGA_DIARIA!A419="","",IF(CARGA_DIARIA!B419=0,0,(CARGA_DIARIA!J419+CARGA_DIARIA!K419+CARGA_DIARIA!L419+CARGA_DIARIA!M419+CARGA_DIARIA!N419+CARGA_DIARIA!O419+CARGA_DIARIA!P419+CARGA_DIARIA!Q419+CARGA_DIARIA!R419+CARGA_DIARIA!S419+CARGA_DIARIA!T419+CARGA_DIARIA!U419+CARGA_DIARIA!V419+CARGA_DIARIA!W419)/CARGA_DIARIA!B419))</f>
        <v/>
      </c>
      <c r="E419" s="36" t="str">
        <f>IF(CARGA_DIARIA!A419="","",IF(CARGA_DIARIA!B419=0,0,(CARGA_DIARIA!X419+CARGA_DIARIA!Y419+CARGA_DIARIA!Z419+CARGA_DIARIA!AA419)/CARGA_DIARIA!B419+CARGA_DIARIA!AB419+CARGA_DIARIA!AC419+CARGA_DIARIA!AD419+CARGA_DIARIA!AE419))</f>
        <v/>
      </c>
      <c r="F419" s="39" t="s">
        <v>146</v>
      </c>
      <c r="G419" s="39" t="s">
        <v>146</v>
      </c>
      <c r="H419" s="38" t="str">
        <f>IF(CARGA_DIARIA!A419="","",C419-D419-E419)</f>
        <v/>
      </c>
    </row>
    <row r="420" spans="1:8" ht="15.75" customHeight="1" x14ac:dyDescent="0.25">
      <c r="A420" s="33" t="str">
        <f>IF(CARGA_DIARIA!A420="","",CARGA_DIARIA!A420)</f>
        <v/>
      </c>
      <c r="B420" s="34" t="str">
        <f>IF(CARGA_DIARIA!A420="","",CARGA_DIARIA!B420)</f>
        <v/>
      </c>
      <c r="C420" s="35" t="str">
        <f>IF(CARGA_DIARIA!A420="","",IF(CARGA_DIARIA!B420=0,0,(CARGA_DIARIA!C420+CARGA_DIARIA!D420+CARGA_DIARIA!E420+CARGA_DIARIA!F420+CARGA_DIARIA!G420+CARGA_DIARIA!H420+CARGA_DIARIA!I420+CARGA_DIARIA!AG420+CARGA_DIARIA!AH420+CARGA_DIARIA!AI420+CARGA_DIARIA!AJ420)/CARGA_DIARIA!B420+CARGA_DIARIA!AF420))</f>
        <v/>
      </c>
      <c r="D420" s="36" t="str">
        <f>IF(CARGA_DIARIA!A420="","",IF(CARGA_DIARIA!B420=0,0,(CARGA_DIARIA!J420+CARGA_DIARIA!K420+CARGA_DIARIA!L420+CARGA_DIARIA!M420+CARGA_DIARIA!N420+CARGA_DIARIA!O420+CARGA_DIARIA!P420+CARGA_DIARIA!Q420+CARGA_DIARIA!R420+CARGA_DIARIA!S420+CARGA_DIARIA!T420+CARGA_DIARIA!U420+CARGA_DIARIA!V420+CARGA_DIARIA!W420)/CARGA_DIARIA!B420))</f>
        <v/>
      </c>
      <c r="E420" s="36" t="str">
        <f>IF(CARGA_DIARIA!A420="","",IF(CARGA_DIARIA!B420=0,0,(CARGA_DIARIA!X420+CARGA_DIARIA!Y420+CARGA_DIARIA!Z420+CARGA_DIARIA!AA420)/CARGA_DIARIA!B420+CARGA_DIARIA!AB420+CARGA_DIARIA!AC420+CARGA_DIARIA!AD420+CARGA_DIARIA!AE420))</f>
        <v/>
      </c>
      <c r="F420" s="39" t="s">
        <v>146</v>
      </c>
      <c r="G420" s="39" t="s">
        <v>146</v>
      </c>
      <c r="H420" s="38" t="str">
        <f>IF(CARGA_DIARIA!A420="","",C420-D420-E420)</f>
        <v/>
      </c>
    </row>
    <row r="421" spans="1:8" ht="15.75" customHeight="1" x14ac:dyDescent="0.25">
      <c r="A421" s="33" t="str">
        <f>IF(CARGA_DIARIA!A421="","",CARGA_DIARIA!A421)</f>
        <v/>
      </c>
      <c r="B421" s="34" t="str">
        <f>IF(CARGA_DIARIA!A421="","",CARGA_DIARIA!B421)</f>
        <v/>
      </c>
      <c r="C421" s="35" t="str">
        <f>IF(CARGA_DIARIA!A421="","",IF(CARGA_DIARIA!B421=0,0,(CARGA_DIARIA!C421+CARGA_DIARIA!D421+CARGA_DIARIA!E421+CARGA_DIARIA!F421+CARGA_DIARIA!G421+CARGA_DIARIA!H421+CARGA_DIARIA!I421+CARGA_DIARIA!AG421+CARGA_DIARIA!AH421+CARGA_DIARIA!AI421+CARGA_DIARIA!AJ421)/CARGA_DIARIA!B421+CARGA_DIARIA!AF421))</f>
        <v/>
      </c>
      <c r="D421" s="36" t="str">
        <f>IF(CARGA_DIARIA!A421="","",IF(CARGA_DIARIA!B421=0,0,(CARGA_DIARIA!J421+CARGA_DIARIA!K421+CARGA_DIARIA!L421+CARGA_DIARIA!M421+CARGA_DIARIA!N421+CARGA_DIARIA!O421+CARGA_DIARIA!P421+CARGA_DIARIA!Q421+CARGA_DIARIA!R421+CARGA_DIARIA!S421+CARGA_DIARIA!T421+CARGA_DIARIA!U421+CARGA_DIARIA!V421+CARGA_DIARIA!W421)/CARGA_DIARIA!B421))</f>
        <v/>
      </c>
      <c r="E421" s="36" t="str">
        <f>IF(CARGA_DIARIA!A421="","",IF(CARGA_DIARIA!B421=0,0,(CARGA_DIARIA!X421+CARGA_DIARIA!Y421+CARGA_DIARIA!Z421+CARGA_DIARIA!AA421)/CARGA_DIARIA!B421+CARGA_DIARIA!AB421+CARGA_DIARIA!AC421+CARGA_DIARIA!AD421+CARGA_DIARIA!AE421))</f>
        <v/>
      </c>
      <c r="F421" s="39" t="s">
        <v>146</v>
      </c>
      <c r="G421" s="39" t="s">
        <v>146</v>
      </c>
      <c r="H421" s="38" t="str">
        <f>IF(CARGA_DIARIA!A421="","",C421-D421-E421)</f>
        <v/>
      </c>
    </row>
    <row r="422" spans="1:8" ht="15.75" customHeight="1" x14ac:dyDescent="0.25">
      <c r="A422" s="33" t="str">
        <f>IF(CARGA_DIARIA!A422="","",CARGA_DIARIA!A422)</f>
        <v/>
      </c>
      <c r="B422" s="34" t="str">
        <f>IF(CARGA_DIARIA!A422="","",CARGA_DIARIA!B422)</f>
        <v/>
      </c>
      <c r="C422" s="35" t="str">
        <f>IF(CARGA_DIARIA!A422="","",IF(CARGA_DIARIA!B422=0,0,(CARGA_DIARIA!C422+CARGA_DIARIA!D422+CARGA_DIARIA!E422+CARGA_DIARIA!F422+CARGA_DIARIA!G422+CARGA_DIARIA!H422+CARGA_DIARIA!I422+CARGA_DIARIA!AG422+CARGA_DIARIA!AH422+CARGA_DIARIA!AI422+CARGA_DIARIA!AJ422)/CARGA_DIARIA!B422+CARGA_DIARIA!AF422))</f>
        <v/>
      </c>
      <c r="D422" s="36" t="str">
        <f>IF(CARGA_DIARIA!A422="","",IF(CARGA_DIARIA!B422=0,0,(CARGA_DIARIA!J422+CARGA_DIARIA!K422+CARGA_DIARIA!L422+CARGA_DIARIA!M422+CARGA_DIARIA!N422+CARGA_DIARIA!O422+CARGA_DIARIA!P422+CARGA_DIARIA!Q422+CARGA_DIARIA!R422+CARGA_DIARIA!S422+CARGA_DIARIA!T422+CARGA_DIARIA!U422+CARGA_DIARIA!V422+CARGA_DIARIA!W422)/CARGA_DIARIA!B422))</f>
        <v/>
      </c>
      <c r="E422" s="36" t="str">
        <f>IF(CARGA_DIARIA!A422="","",IF(CARGA_DIARIA!B422=0,0,(CARGA_DIARIA!X422+CARGA_DIARIA!Y422+CARGA_DIARIA!Z422+CARGA_DIARIA!AA422)/CARGA_DIARIA!B422+CARGA_DIARIA!AB422+CARGA_DIARIA!AC422+CARGA_DIARIA!AD422+CARGA_DIARIA!AE422))</f>
        <v/>
      </c>
      <c r="F422" s="39" t="s">
        <v>146</v>
      </c>
      <c r="G422" s="39" t="s">
        <v>146</v>
      </c>
      <c r="H422" s="38" t="str">
        <f>IF(CARGA_DIARIA!A422="","",C422-D422-E422)</f>
        <v/>
      </c>
    </row>
    <row r="423" spans="1:8" ht="15.75" customHeight="1" x14ac:dyDescent="0.25">
      <c r="A423" s="33" t="str">
        <f>IF(CARGA_DIARIA!A423="","",CARGA_DIARIA!A423)</f>
        <v/>
      </c>
      <c r="B423" s="34" t="str">
        <f>IF(CARGA_DIARIA!A423="","",CARGA_DIARIA!B423)</f>
        <v/>
      </c>
      <c r="C423" s="35" t="str">
        <f>IF(CARGA_DIARIA!A423="","",IF(CARGA_DIARIA!B423=0,0,(CARGA_DIARIA!C423+CARGA_DIARIA!D423+CARGA_DIARIA!E423+CARGA_DIARIA!F423+CARGA_DIARIA!G423+CARGA_DIARIA!H423+CARGA_DIARIA!I423+CARGA_DIARIA!AG423+CARGA_DIARIA!AH423+CARGA_DIARIA!AI423+CARGA_DIARIA!AJ423)/CARGA_DIARIA!B423+CARGA_DIARIA!AF423))</f>
        <v/>
      </c>
      <c r="D423" s="36" t="str">
        <f>IF(CARGA_DIARIA!A423="","",IF(CARGA_DIARIA!B423=0,0,(CARGA_DIARIA!J423+CARGA_DIARIA!K423+CARGA_DIARIA!L423+CARGA_DIARIA!M423+CARGA_DIARIA!N423+CARGA_DIARIA!O423+CARGA_DIARIA!P423+CARGA_DIARIA!Q423+CARGA_DIARIA!R423+CARGA_DIARIA!S423+CARGA_DIARIA!T423+CARGA_DIARIA!U423+CARGA_DIARIA!V423+CARGA_DIARIA!W423)/CARGA_DIARIA!B423))</f>
        <v/>
      </c>
      <c r="E423" s="36" t="str">
        <f>IF(CARGA_DIARIA!A423="","",IF(CARGA_DIARIA!B423=0,0,(CARGA_DIARIA!X423+CARGA_DIARIA!Y423+CARGA_DIARIA!Z423+CARGA_DIARIA!AA423)/CARGA_DIARIA!B423+CARGA_DIARIA!AB423+CARGA_DIARIA!AC423+CARGA_DIARIA!AD423+CARGA_DIARIA!AE423))</f>
        <v/>
      </c>
      <c r="F423" s="39" t="s">
        <v>146</v>
      </c>
      <c r="G423" s="39" t="s">
        <v>146</v>
      </c>
      <c r="H423" s="38" t="str">
        <f>IF(CARGA_DIARIA!A423="","",C423-D423-E423)</f>
        <v/>
      </c>
    </row>
    <row r="424" spans="1:8" ht="15.75" customHeight="1" x14ac:dyDescent="0.25">
      <c r="A424" s="33" t="str">
        <f>IF(CARGA_DIARIA!A424="","",CARGA_DIARIA!A424)</f>
        <v/>
      </c>
      <c r="B424" s="34" t="str">
        <f>IF(CARGA_DIARIA!A424="","",CARGA_DIARIA!B424)</f>
        <v/>
      </c>
      <c r="C424" s="35" t="str">
        <f>IF(CARGA_DIARIA!A424="","",IF(CARGA_DIARIA!B424=0,0,(CARGA_DIARIA!C424+CARGA_DIARIA!D424+CARGA_DIARIA!E424+CARGA_DIARIA!F424+CARGA_DIARIA!G424+CARGA_DIARIA!H424+CARGA_DIARIA!I424+CARGA_DIARIA!AG424+CARGA_DIARIA!AH424+CARGA_DIARIA!AI424+CARGA_DIARIA!AJ424)/CARGA_DIARIA!B424+CARGA_DIARIA!AF424))</f>
        <v/>
      </c>
      <c r="D424" s="36" t="str">
        <f>IF(CARGA_DIARIA!A424="","",IF(CARGA_DIARIA!B424=0,0,(CARGA_DIARIA!J424+CARGA_DIARIA!K424+CARGA_DIARIA!L424+CARGA_DIARIA!M424+CARGA_DIARIA!N424+CARGA_DIARIA!O424+CARGA_DIARIA!P424+CARGA_DIARIA!Q424+CARGA_DIARIA!R424+CARGA_DIARIA!S424+CARGA_DIARIA!T424+CARGA_DIARIA!U424+CARGA_DIARIA!V424+CARGA_DIARIA!W424)/CARGA_DIARIA!B424))</f>
        <v/>
      </c>
      <c r="E424" s="36" t="str">
        <f>IF(CARGA_DIARIA!A424="","",IF(CARGA_DIARIA!B424=0,0,(CARGA_DIARIA!X424+CARGA_DIARIA!Y424+CARGA_DIARIA!Z424+CARGA_DIARIA!AA424)/CARGA_DIARIA!B424+CARGA_DIARIA!AB424+CARGA_DIARIA!AC424+CARGA_DIARIA!AD424+CARGA_DIARIA!AE424))</f>
        <v/>
      </c>
      <c r="F424" s="39" t="s">
        <v>146</v>
      </c>
      <c r="G424" s="39" t="s">
        <v>146</v>
      </c>
      <c r="H424" s="38" t="str">
        <f>IF(CARGA_DIARIA!A424="","",C424-D424-E424)</f>
        <v/>
      </c>
    </row>
    <row r="425" spans="1:8" ht="15.75" customHeight="1" x14ac:dyDescent="0.25">
      <c r="A425" s="33" t="str">
        <f>IF(CARGA_DIARIA!A425="","",CARGA_DIARIA!A425)</f>
        <v/>
      </c>
      <c r="B425" s="34" t="str">
        <f>IF(CARGA_DIARIA!A425="","",CARGA_DIARIA!B425)</f>
        <v/>
      </c>
      <c r="C425" s="35" t="str">
        <f>IF(CARGA_DIARIA!A425="","",IF(CARGA_DIARIA!B425=0,0,(CARGA_DIARIA!C425+CARGA_DIARIA!D425+CARGA_DIARIA!E425+CARGA_DIARIA!F425+CARGA_DIARIA!G425+CARGA_DIARIA!H425+CARGA_DIARIA!I425+CARGA_DIARIA!AG425+CARGA_DIARIA!AH425+CARGA_DIARIA!AI425+CARGA_DIARIA!AJ425)/CARGA_DIARIA!B425+CARGA_DIARIA!AF425))</f>
        <v/>
      </c>
      <c r="D425" s="36" t="str">
        <f>IF(CARGA_DIARIA!A425="","",IF(CARGA_DIARIA!B425=0,0,(CARGA_DIARIA!J425+CARGA_DIARIA!K425+CARGA_DIARIA!L425+CARGA_DIARIA!M425+CARGA_DIARIA!N425+CARGA_DIARIA!O425+CARGA_DIARIA!P425+CARGA_DIARIA!Q425+CARGA_DIARIA!R425+CARGA_DIARIA!S425+CARGA_DIARIA!T425+CARGA_DIARIA!U425+CARGA_DIARIA!V425+CARGA_DIARIA!W425)/CARGA_DIARIA!B425))</f>
        <v/>
      </c>
      <c r="E425" s="36" t="str">
        <f>IF(CARGA_DIARIA!A425="","",IF(CARGA_DIARIA!B425=0,0,(CARGA_DIARIA!X425+CARGA_DIARIA!Y425+CARGA_DIARIA!Z425+CARGA_DIARIA!AA425)/CARGA_DIARIA!B425+CARGA_DIARIA!AB425+CARGA_DIARIA!AC425+CARGA_DIARIA!AD425+CARGA_DIARIA!AE425))</f>
        <v/>
      </c>
      <c r="F425" s="39" t="s">
        <v>146</v>
      </c>
      <c r="G425" s="39" t="s">
        <v>146</v>
      </c>
      <c r="H425" s="38" t="str">
        <f>IF(CARGA_DIARIA!A425="","",C425-D425-E425)</f>
        <v/>
      </c>
    </row>
    <row r="426" spans="1:8" ht="15.75" customHeight="1" x14ac:dyDescent="0.25">
      <c r="A426" s="33" t="str">
        <f>IF(CARGA_DIARIA!A426="","",CARGA_DIARIA!A426)</f>
        <v/>
      </c>
      <c r="B426" s="34" t="str">
        <f>IF(CARGA_DIARIA!A426="","",CARGA_DIARIA!B426)</f>
        <v/>
      </c>
      <c r="C426" s="35" t="str">
        <f>IF(CARGA_DIARIA!A426="","",IF(CARGA_DIARIA!B426=0,0,(CARGA_DIARIA!C426+CARGA_DIARIA!D426+CARGA_DIARIA!E426+CARGA_DIARIA!F426+CARGA_DIARIA!G426+CARGA_DIARIA!H426+CARGA_DIARIA!I426+CARGA_DIARIA!AG426+CARGA_DIARIA!AH426+CARGA_DIARIA!AI426+CARGA_DIARIA!AJ426)/CARGA_DIARIA!B426+CARGA_DIARIA!AF426))</f>
        <v/>
      </c>
      <c r="D426" s="36" t="str">
        <f>IF(CARGA_DIARIA!A426="","",IF(CARGA_DIARIA!B426=0,0,(CARGA_DIARIA!J426+CARGA_DIARIA!K426+CARGA_DIARIA!L426+CARGA_DIARIA!M426+CARGA_DIARIA!N426+CARGA_DIARIA!O426+CARGA_DIARIA!P426+CARGA_DIARIA!Q426+CARGA_DIARIA!R426+CARGA_DIARIA!S426+CARGA_DIARIA!T426+CARGA_DIARIA!U426+CARGA_DIARIA!V426+CARGA_DIARIA!W426)/CARGA_DIARIA!B426))</f>
        <v/>
      </c>
      <c r="E426" s="36" t="str">
        <f>IF(CARGA_DIARIA!A426="","",IF(CARGA_DIARIA!B426=0,0,(CARGA_DIARIA!X426+CARGA_DIARIA!Y426+CARGA_DIARIA!Z426+CARGA_DIARIA!AA426)/CARGA_DIARIA!B426+CARGA_DIARIA!AB426+CARGA_DIARIA!AC426+CARGA_DIARIA!AD426+CARGA_DIARIA!AE426))</f>
        <v/>
      </c>
      <c r="F426" s="39" t="s">
        <v>146</v>
      </c>
      <c r="G426" s="39" t="s">
        <v>146</v>
      </c>
      <c r="H426" s="38" t="str">
        <f>IF(CARGA_DIARIA!A426="","",C426-D426-E426)</f>
        <v/>
      </c>
    </row>
    <row r="427" spans="1:8" ht="15.75" customHeight="1" x14ac:dyDescent="0.25">
      <c r="A427" s="33" t="str">
        <f>IF(CARGA_DIARIA!A427="","",CARGA_DIARIA!A427)</f>
        <v/>
      </c>
      <c r="B427" s="34" t="str">
        <f>IF(CARGA_DIARIA!A427="","",CARGA_DIARIA!B427)</f>
        <v/>
      </c>
      <c r="C427" s="35" t="str">
        <f>IF(CARGA_DIARIA!A427="","",IF(CARGA_DIARIA!B427=0,0,(CARGA_DIARIA!C427+CARGA_DIARIA!D427+CARGA_DIARIA!E427+CARGA_DIARIA!F427+CARGA_DIARIA!G427+CARGA_DIARIA!H427+CARGA_DIARIA!I427+CARGA_DIARIA!AG427+CARGA_DIARIA!AH427+CARGA_DIARIA!AI427+CARGA_DIARIA!AJ427)/CARGA_DIARIA!B427+CARGA_DIARIA!AF427))</f>
        <v/>
      </c>
      <c r="D427" s="36" t="str">
        <f>IF(CARGA_DIARIA!A427="","",IF(CARGA_DIARIA!B427=0,0,(CARGA_DIARIA!J427+CARGA_DIARIA!K427+CARGA_DIARIA!L427+CARGA_DIARIA!M427+CARGA_DIARIA!N427+CARGA_DIARIA!O427+CARGA_DIARIA!P427+CARGA_DIARIA!Q427+CARGA_DIARIA!R427+CARGA_DIARIA!S427+CARGA_DIARIA!T427+CARGA_DIARIA!U427+CARGA_DIARIA!V427+CARGA_DIARIA!W427)/CARGA_DIARIA!B427))</f>
        <v/>
      </c>
      <c r="E427" s="36" t="str">
        <f>IF(CARGA_DIARIA!A427="","",IF(CARGA_DIARIA!B427=0,0,(CARGA_DIARIA!X427+CARGA_DIARIA!Y427+CARGA_DIARIA!Z427+CARGA_DIARIA!AA427)/CARGA_DIARIA!B427+CARGA_DIARIA!AB427+CARGA_DIARIA!AC427+CARGA_DIARIA!AD427+CARGA_DIARIA!AE427))</f>
        <v/>
      </c>
      <c r="F427" s="39" t="s">
        <v>146</v>
      </c>
      <c r="G427" s="39" t="s">
        <v>146</v>
      </c>
      <c r="H427" s="38" t="str">
        <f>IF(CARGA_DIARIA!A427="","",C427-D427-E427)</f>
        <v/>
      </c>
    </row>
    <row r="428" spans="1:8" ht="15.75" customHeight="1" x14ac:dyDescent="0.25">
      <c r="A428" s="33" t="str">
        <f>IF(CARGA_DIARIA!A428="","",CARGA_DIARIA!A428)</f>
        <v/>
      </c>
      <c r="B428" s="34" t="str">
        <f>IF(CARGA_DIARIA!A428="","",CARGA_DIARIA!B428)</f>
        <v/>
      </c>
      <c r="C428" s="35" t="str">
        <f>IF(CARGA_DIARIA!A428="","",IF(CARGA_DIARIA!B428=0,0,(CARGA_DIARIA!C428+CARGA_DIARIA!D428+CARGA_DIARIA!E428+CARGA_DIARIA!F428+CARGA_DIARIA!G428+CARGA_DIARIA!H428+CARGA_DIARIA!I428+CARGA_DIARIA!AG428+CARGA_DIARIA!AH428+CARGA_DIARIA!AI428+CARGA_DIARIA!AJ428)/CARGA_DIARIA!B428+CARGA_DIARIA!AF428))</f>
        <v/>
      </c>
      <c r="D428" s="36" t="str">
        <f>IF(CARGA_DIARIA!A428="","",IF(CARGA_DIARIA!B428=0,0,(CARGA_DIARIA!J428+CARGA_DIARIA!K428+CARGA_DIARIA!L428+CARGA_DIARIA!M428+CARGA_DIARIA!N428+CARGA_DIARIA!O428+CARGA_DIARIA!P428+CARGA_DIARIA!Q428+CARGA_DIARIA!R428+CARGA_DIARIA!S428+CARGA_DIARIA!T428+CARGA_DIARIA!U428+CARGA_DIARIA!V428+CARGA_DIARIA!W428)/CARGA_DIARIA!B428))</f>
        <v/>
      </c>
      <c r="E428" s="36" t="str">
        <f>IF(CARGA_DIARIA!A428="","",IF(CARGA_DIARIA!B428=0,0,(CARGA_DIARIA!X428+CARGA_DIARIA!Y428+CARGA_DIARIA!Z428+CARGA_DIARIA!AA428)/CARGA_DIARIA!B428+CARGA_DIARIA!AB428+CARGA_DIARIA!AC428+CARGA_DIARIA!AD428+CARGA_DIARIA!AE428))</f>
        <v/>
      </c>
      <c r="F428" s="39" t="s">
        <v>146</v>
      </c>
      <c r="G428" s="39" t="s">
        <v>146</v>
      </c>
      <c r="H428" s="38" t="str">
        <f>IF(CARGA_DIARIA!A428="","",C428-D428-E428)</f>
        <v/>
      </c>
    </row>
    <row r="429" spans="1:8" ht="15.75" customHeight="1" x14ac:dyDescent="0.25">
      <c r="A429" s="33" t="str">
        <f>IF(CARGA_DIARIA!A429="","",CARGA_DIARIA!A429)</f>
        <v/>
      </c>
      <c r="B429" s="34" t="str">
        <f>IF(CARGA_DIARIA!A429="","",CARGA_DIARIA!B429)</f>
        <v/>
      </c>
      <c r="C429" s="35" t="str">
        <f>IF(CARGA_DIARIA!A429="","",IF(CARGA_DIARIA!B429=0,0,(CARGA_DIARIA!C429+CARGA_DIARIA!D429+CARGA_DIARIA!E429+CARGA_DIARIA!F429+CARGA_DIARIA!G429+CARGA_DIARIA!H429+CARGA_DIARIA!I429+CARGA_DIARIA!AG429+CARGA_DIARIA!AH429+CARGA_DIARIA!AI429+CARGA_DIARIA!AJ429)/CARGA_DIARIA!B429+CARGA_DIARIA!AF429))</f>
        <v/>
      </c>
      <c r="D429" s="36" t="str">
        <f>IF(CARGA_DIARIA!A429="","",IF(CARGA_DIARIA!B429=0,0,(CARGA_DIARIA!J429+CARGA_DIARIA!K429+CARGA_DIARIA!L429+CARGA_DIARIA!M429+CARGA_DIARIA!N429+CARGA_DIARIA!O429+CARGA_DIARIA!P429+CARGA_DIARIA!Q429+CARGA_DIARIA!R429+CARGA_DIARIA!S429+CARGA_DIARIA!T429+CARGA_DIARIA!U429+CARGA_DIARIA!V429+CARGA_DIARIA!W429)/CARGA_DIARIA!B429))</f>
        <v/>
      </c>
      <c r="E429" s="36" t="str">
        <f>IF(CARGA_DIARIA!A429="","",IF(CARGA_DIARIA!B429=0,0,(CARGA_DIARIA!X429+CARGA_DIARIA!Y429+CARGA_DIARIA!Z429+CARGA_DIARIA!AA429)/CARGA_DIARIA!B429+CARGA_DIARIA!AB429+CARGA_DIARIA!AC429+CARGA_DIARIA!AD429+CARGA_DIARIA!AE429))</f>
        <v/>
      </c>
      <c r="F429" s="39" t="s">
        <v>146</v>
      </c>
      <c r="G429" s="39" t="s">
        <v>146</v>
      </c>
      <c r="H429" s="38" t="str">
        <f>IF(CARGA_DIARIA!A429="","",C429-D429-E429)</f>
        <v/>
      </c>
    </row>
    <row r="430" spans="1:8" ht="15.75" customHeight="1" x14ac:dyDescent="0.25">
      <c r="A430" s="33" t="str">
        <f>IF(CARGA_DIARIA!A430="","",CARGA_DIARIA!A430)</f>
        <v/>
      </c>
      <c r="B430" s="34" t="str">
        <f>IF(CARGA_DIARIA!A430="","",CARGA_DIARIA!B430)</f>
        <v/>
      </c>
      <c r="C430" s="35" t="str">
        <f>IF(CARGA_DIARIA!A430="","",IF(CARGA_DIARIA!B430=0,0,(CARGA_DIARIA!C430+CARGA_DIARIA!D430+CARGA_DIARIA!E430+CARGA_DIARIA!F430+CARGA_DIARIA!G430+CARGA_DIARIA!H430+CARGA_DIARIA!I430+CARGA_DIARIA!AG430+CARGA_DIARIA!AH430+CARGA_DIARIA!AI430+CARGA_DIARIA!AJ430)/CARGA_DIARIA!B430+CARGA_DIARIA!AF430))</f>
        <v/>
      </c>
      <c r="D430" s="36" t="str">
        <f>IF(CARGA_DIARIA!A430="","",IF(CARGA_DIARIA!B430=0,0,(CARGA_DIARIA!J430+CARGA_DIARIA!K430+CARGA_DIARIA!L430+CARGA_DIARIA!M430+CARGA_DIARIA!N430+CARGA_DIARIA!O430+CARGA_DIARIA!P430+CARGA_DIARIA!Q430+CARGA_DIARIA!R430+CARGA_DIARIA!S430+CARGA_DIARIA!T430+CARGA_DIARIA!U430+CARGA_DIARIA!V430+CARGA_DIARIA!W430)/CARGA_DIARIA!B430))</f>
        <v/>
      </c>
      <c r="E430" s="36" t="str">
        <f>IF(CARGA_DIARIA!A430="","",IF(CARGA_DIARIA!B430=0,0,(CARGA_DIARIA!X430+CARGA_DIARIA!Y430+CARGA_DIARIA!Z430+CARGA_DIARIA!AA430)/CARGA_DIARIA!B430+CARGA_DIARIA!AB430+CARGA_DIARIA!AC430+CARGA_DIARIA!AD430+CARGA_DIARIA!AE430))</f>
        <v/>
      </c>
      <c r="F430" s="39" t="s">
        <v>146</v>
      </c>
      <c r="G430" s="39" t="s">
        <v>146</v>
      </c>
      <c r="H430" s="38" t="str">
        <f>IF(CARGA_DIARIA!A430="","",C430-D430-E430)</f>
        <v/>
      </c>
    </row>
    <row r="431" spans="1:8" ht="15.75" customHeight="1" x14ac:dyDescent="0.25">
      <c r="A431" s="33" t="str">
        <f>IF(CARGA_DIARIA!A431="","",CARGA_DIARIA!A431)</f>
        <v/>
      </c>
      <c r="B431" s="34" t="str">
        <f>IF(CARGA_DIARIA!A431="","",CARGA_DIARIA!B431)</f>
        <v/>
      </c>
      <c r="C431" s="35" t="str">
        <f>IF(CARGA_DIARIA!A431="","",IF(CARGA_DIARIA!B431=0,0,(CARGA_DIARIA!C431+CARGA_DIARIA!D431+CARGA_DIARIA!E431+CARGA_DIARIA!F431+CARGA_DIARIA!G431+CARGA_DIARIA!H431+CARGA_DIARIA!I431+CARGA_DIARIA!AG431+CARGA_DIARIA!AH431+CARGA_DIARIA!AI431+CARGA_DIARIA!AJ431)/CARGA_DIARIA!B431+CARGA_DIARIA!AF431))</f>
        <v/>
      </c>
      <c r="D431" s="36" t="str">
        <f>IF(CARGA_DIARIA!A431="","",IF(CARGA_DIARIA!B431=0,0,(CARGA_DIARIA!J431+CARGA_DIARIA!K431+CARGA_DIARIA!L431+CARGA_DIARIA!M431+CARGA_DIARIA!N431+CARGA_DIARIA!O431+CARGA_DIARIA!P431+CARGA_DIARIA!Q431+CARGA_DIARIA!R431+CARGA_DIARIA!S431+CARGA_DIARIA!T431+CARGA_DIARIA!U431+CARGA_DIARIA!V431+CARGA_DIARIA!W431)/CARGA_DIARIA!B431))</f>
        <v/>
      </c>
      <c r="E431" s="36" t="str">
        <f>IF(CARGA_DIARIA!A431="","",IF(CARGA_DIARIA!B431=0,0,(CARGA_DIARIA!X431+CARGA_DIARIA!Y431+CARGA_DIARIA!Z431+CARGA_DIARIA!AA431)/CARGA_DIARIA!B431+CARGA_DIARIA!AB431+CARGA_DIARIA!AC431+CARGA_DIARIA!AD431+CARGA_DIARIA!AE431))</f>
        <v/>
      </c>
      <c r="F431" s="39" t="s">
        <v>146</v>
      </c>
      <c r="G431" s="39" t="s">
        <v>146</v>
      </c>
      <c r="H431" s="38" t="str">
        <f>IF(CARGA_DIARIA!A431="","",C431-D431-E431)</f>
        <v/>
      </c>
    </row>
    <row r="432" spans="1:8" ht="15.75" customHeight="1" x14ac:dyDescent="0.25">
      <c r="A432" s="33" t="str">
        <f>IF(CARGA_DIARIA!A432="","",CARGA_DIARIA!A432)</f>
        <v/>
      </c>
      <c r="B432" s="34" t="str">
        <f>IF(CARGA_DIARIA!A432="","",CARGA_DIARIA!B432)</f>
        <v/>
      </c>
      <c r="C432" s="35" t="str">
        <f>IF(CARGA_DIARIA!A432="","",IF(CARGA_DIARIA!B432=0,0,(CARGA_DIARIA!C432+CARGA_DIARIA!D432+CARGA_DIARIA!E432+CARGA_DIARIA!F432+CARGA_DIARIA!G432+CARGA_DIARIA!H432+CARGA_DIARIA!I432+CARGA_DIARIA!AG432+CARGA_DIARIA!AH432+CARGA_DIARIA!AI432+CARGA_DIARIA!AJ432)/CARGA_DIARIA!B432+CARGA_DIARIA!AF432))</f>
        <v/>
      </c>
      <c r="D432" s="36" t="str">
        <f>IF(CARGA_DIARIA!A432="","",IF(CARGA_DIARIA!B432=0,0,(CARGA_DIARIA!J432+CARGA_DIARIA!K432+CARGA_DIARIA!L432+CARGA_DIARIA!M432+CARGA_DIARIA!N432+CARGA_DIARIA!O432+CARGA_DIARIA!P432+CARGA_DIARIA!Q432+CARGA_DIARIA!R432+CARGA_DIARIA!S432+CARGA_DIARIA!T432+CARGA_DIARIA!U432+CARGA_DIARIA!V432+CARGA_DIARIA!W432)/CARGA_DIARIA!B432))</f>
        <v/>
      </c>
      <c r="E432" s="36" t="str">
        <f>IF(CARGA_DIARIA!A432="","",IF(CARGA_DIARIA!B432=0,0,(CARGA_DIARIA!X432+CARGA_DIARIA!Y432+CARGA_DIARIA!Z432+CARGA_DIARIA!AA432)/CARGA_DIARIA!B432+CARGA_DIARIA!AB432+CARGA_DIARIA!AC432+CARGA_DIARIA!AD432+CARGA_DIARIA!AE432))</f>
        <v/>
      </c>
      <c r="F432" s="39" t="s">
        <v>146</v>
      </c>
      <c r="G432" s="39" t="s">
        <v>146</v>
      </c>
      <c r="H432" s="38" t="str">
        <f>IF(CARGA_DIARIA!A432="","",C432-D432-E432)</f>
        <v/>
      </c>
    </row>
    <row r="433" spans="1:8" ht="15.75" customHeight="1" x14ac:dyDescent="0.25">
      <c r="A433" s="33" t="str">
        <f>IF(CARGA_DIARIA!A433="","",CARGA_DIARIA!A433)</f>
        <v/>
      </c>
      <c r="B433" s="34" t="str">
        <f>IF(CARGA_DIARIA!A433="","",CARGA_DIARIA!B433)</f>
        <v/>
      </c>
      <c r="C433" s="35" t="str">
        <f>IF(CARGA_DIARIA!A433="","",IF(CARGA_DIARIA!B433=0,0,(CARGA_DIARIA!C433+CARGA_DIARIA!D433+CARGA_DIARIA!E433+CARGA_DIARIA!F433+CARGA_DIARIA!G433+CARGA_DIARIA!H433+CARGA_DIARIA!I433+CARGA_DIARIA!AG433+CARGA_DIARIA!AH433+CARGA_DIARIA!AI433+CARGA_DIARIA!AJ433)/CARGA_DIARIA!B433+CARGA_DIARIA!AF433))</f>
        <v/>
      </c>
      <c r="D433" s="36" t="str">
        <f>IF(CARGA_DIARIA!A433="","",IF(CARGA_DIARIA!B433=0,0,(CARGA_DIARIA!J433+CARGA_DIARIA!K433+CARGA_DIARIA!L433+CARGA_DIARIA!M433+CARGA_DIARIA!N433+CARGA_DIARIA!O433+CARGA_DIARIA!P433+CARGA_DIARIA!Q433+CARGA_DIARIA!R433+CARGA_DIARIA!S433+CARGA_DIARIA!T433+CARGA_DIARIA!U433+CARGA_DIARIA!V433+CARGA_DIARIA!W433)/CARGA_DIARIA!B433))</f>
        <v/>
      </c>
      <c r="E433" s="36" t="str">
        <f>IF(CARGA_DIARIA!A433="","",IF(CARGA_DIARIA!B433=0,0,(CARGA_DIARIA!X433+CARGA_DIARIA!Y433+CARGA_DIARIA!Z433+CARGA_DIARIA!AA433)/CARGA_DIARIA!B433+CARGA_DIARIA!AB433+CARGA_DIARIA!AC433+CARGA_DIARIA!AD433+CARGA_DIARIA!AE433))</f>
        <v/>
      </c>
      <c r="F433" s="39" t="s">
        <v>146</v>
      </c>
      <c r="G433" s="39" t="s">
        <v>146</v>
      </c>
      <c r="H433" s="38" t="str">
        <f>IF(CARGA_DIARIA!A433="","",C433-D433-E433)</f>
        <v/>
      </c>
    </row>
    <row r="434" spans="1:8" ht="15.75" customHeight="1" x14ac:dyDescent="0.25">
      <c r="A434" s="33" t="str">
        <f>IF(CARGA_DIARIA!A434="","",CARGA_DIARIA!A434)</f>
        <v/>
      </c>
      <c r="B434" s="34" t="str">
        <f>IF(CARGA_DIARIA!A434="","",CARGA_DIARIA!B434)</f>
        <v/>
      </c>
      <c r="C434" s="35" t="str">
        <f>IF(CARGA_DIARIA!A434="","",IF(CARGA_DIARIA!B434=0,0,(CARGA_DIARIA!C434+CARGA_DIARIA!D434+CARGA_DIARIA!E434+CARGA_DIARIA!F434+CARGA_DIARIA!G434+CARGA_DIARIA!H434+CARGA_DIARIA!I434+CARGA_DIARIA!AG434+CARGA_DIARIA!AH434+CARGA_DIARIA!AI434+CARGA_DIARIA!AJ434)/CARGA_DIARIA!B434+CARGA_DIARIA!AF434))</f>
        <v/>
      </c>
      <c r="D434" s="36" t="str">
        <f>IF(CARGA_DIARIA!A434="","",IF(CARGA_DIARIA!B434=0,0,(CARGA_DIARIA!J434+CARGA_DIARIA!K434+CARGA_DIARIA!L434+CARGA_DIARIA!M434+CARGA_DIARIA!N434+CARGA_DIARIA!O434+CARGA_DIARIA!P434+CARGA_DIARIA!Q434+CARGA_DIARIA!R434+CARGA_DIARIA!S434+CARGA_DIARIA!T434+CARGA_DIARIA!U434+CARGA_DIARIA!V434+CARGA_DIARIA!W434)/CARGA_DIARIA!B434))</f>
        <v/>
      </c>
      <c r="E434" s="36" t="str">
        <f>IF(CARGA_DIARIA!A434="","",IF(CARGA_DIARIA!B434=0,0,(CARGA_DIARIA!X434+CARGA_DIARIA!Y434+CARGA_DIARIA!Z434+CARGA_DIARIA!AA434)/CARGA_DIARIA!B434+CARGA_DIARIA!AB434+CARGA_DIARIA!AC434+CARGA_DIARIA!AD434+CARGA_DIARIA!AE434))</f>
        <v/>
      </c>
      <c r="F434" s="39" t="s">
        <v>146</v>
      </c>
      <c r="G434" s="39" t="s">
        <v>146</v>
      </c>
      <c r="H434" s="38" t="str">
        <f>IF(CARGA_DIARIA!A434="","",C434-D434-E434)</f>
        <v/>
      </c>
    </row>
    <row r="435" spans="1:8" ht="15.75" customHeight="1" x14ac:dyDescent="0.25">
      <c r="A435" s="33" t="str">
        <f>IF(CARGA_DIARIA!A435="","",CARGA_DIARIA!A435)</f>
        <v/>
      </c>
      <c r="B435" s="34" t="str">
        <f>IF(CARGA_DIARIA!A435="","",CARGA_DIARIA!B435)</f>
        <v/>
      </c>
      <c r="C435" s="35" t="str">
        <f>IF(CARGA_DIARIA!A435="","",IF(CARGA_DIARIA!B435=0,0,(CARGA_DIARIA!C435+CARGA_DIARIA!D435+CARGA_DIARIA!E435+CARGA_DIARIA!F435+CARGA_DIARIA!G435+CARGA_DIARIA!H435+CARGA_DIARIA!I435+CARGA_DIARIA!AG435+CARGA_DIARIA!AH435+CARGA_DIARIA!AI435+CARGA_DIARIA!AJ435)/CARGA_DIARIA!B435+CARGA_DIARIA!AF435))</f>
        <v/>
      </c>
      <c r="D435" s="36" t="str">
        <f>IF(CARGA_DIARIA!A435="","",IF(CARGA_DIARIA!B435=0,0,(CARGA_DIARIA!J435+CARGA_DIARIA!K435+CARGA_DIARIA!L435+CARGA_DIARIA!M435+CARGA_DIARIA!N435+CARGA_DIARIA!O435+CARGA_DIARIA!P435+CARGA_DIARIA!Q435+CARGA_DIARIA!R435+CARGA_DIARIA!S435+CARGA_DIARIA!T435+CARGA_DIARIA!U435+CARGA_DIARIA!V435+CARGA_DIARIA!W435)/CARGA_DIARIA!B435))</f>
        <v/>
      </c>
      <c r="E435" s="36" t="str">
        <f>IF(CARGA_DIARIA!A435="","",IF(CARGA_DIARIA!B435=0,0,(CARGA_DIARIA!X435+CARGA_DIARIA!Y435+CARGA_DIARIA!Z435+CARGA_DIARIA!AA435)/CARGA_DIARIA!B435+CARGA_DIARIA!AB435+CARGA_DIARIA!AC435+CARGA_DIARIA!AD435+CARGA_DIARIA!AE435))</f>
        <v/>
      </c>
      <c r="F435" s="39" t="s">
        <v>146</v>
      </c>
      <c r="G435" s="39" t="s">
        <v>146</v>
      </c>
      <c r="H435" s="38" t="str">
        <f>IF(CARGA_DIARIA!A435="","",C435-D435-E435)</f>
        <v/>
      </c>
    </row>
    <row r="436" spans="1:8" ht="15.75" customHeight="1" x14ac:dyDescent="0.25">
      <c r="A436" s="33" t="str">
        <f>IF(CARGA_DIARIA!A436="","",CARGA_DIARIA!A436)</f>
        <v/>
      </c>
      <c r="B436" s="34" t="str">
        <f>IF(CARGA_DIARIA!A436="","",CARGA_DIARIA!B436)</f>
        <v/>
      </c>
      <c r="C436" s="35" t="str">
        <f>IF(CARGA_DIARIA!A436="","",IF(CARGA_DIARIA!B436=0,0,(CARGA_DIARIA!C436+CARGA_DIARIA!D436+CARGA_DIARIA!E436+CARGA_DIARIA!F436+CARGA_DIARIA!G436+CARGA_DIARIA!H436+CARGA_DIARIA!I436+CARGA_DIARIA!AG436+CARGA_DIARIA!AH436+CARGA_DIARIA!AI436+CARGA_DIARIA!AJ436)/CARGA_DIARIA!B436+CARGA_DIARIA!AF436))</f>
        <v/>
      </c>
      <c r="D436" s="36" t="str">
        <f>IF(CARGA_DIARIA!A436="","",IF(CARGA_DIARIA!B436=0,0,(CARGA_DIARIA!J436+CARGA_DIARIA!K436+CARGA_DIARIA!L436+CARGA_DIARIA!M436+CARGA_DIARIA!N436+CARGA_DIARIA!O436+CARGA_DIARIA!P436+CARGA_DIARIA!Q436+CARGA_DIARIA!R436+CARGA_DIARIA!S436+CARGA_DIARIA!T436+CARGA_DIARIA!U436+CARGA_DIARIA!V436+CARGA_DIARIA!W436)/CARGA_DIARIA!B436))</f>
        <v/>
      </c>
      <c r="E436" s="36" t="str">
        <f>IF(CARGA_DIARIA!A436="","",IF(CARGA_DIARIA!B436=0,0,(CARGA_DIARIA!X436+CARGA_DIARIA!Y436+CARGA_DIARIA!Z436+CARGA_DIARIA!AA436)/CARGA_DIARIA!B436+CARGA_DIARIA!AB436+CARGA_DIARIA!AC436+CARGA_DIARIA!AD436+CARGA_DIARIA!AE436))</f>
        <v/>
      </c>
      <c r="F436" s="39" t="s">
        <v>146</v>
      </c>
      <c r="G436" s="39" t="s">
        <v>146</v>
      </c>
      <c r="H436" s="38" t="str">
        <f>IF(CARGA_DIARIA!A436="","",C436-D436-E436)</f>
        <v/>
      </c>
    </row>
    <row r="437" spans="1:8" ht="15.75" customHeight="1" x14ac:dyDescent="0.25">
      <c r="A437" s="33" t="str">
        <f>IF(CARGA_DIARIA!A437="","",CARGA_DIARIA!A437)</f>
        <v/>
      </c>
      <c r="B437" s="34" t="str">
        <f>IF(CARGA_DIARIA!A437="","",CARGA_DIARIA!B437)</f>
        <v/>
      </c>
      <c r="C437" s="35" t="str">
        <f>IF(CARGA_DIARIA!A437="","",IF(CARGA_DIARIA!B437=0,0,(CARGA_DIARIA!C437+CARGA_DIARIA!D437+CARGA_DIARIA!E437+CARGA_DIARIA!F437+CARGA_DIARIA!G437+CARGA_DIARIA!H437+CARGA_DIARIA!I437+CARGA_DIARIA!AG437+CARGA_DIARIA!AH437+CARGA_DIARIA!AI437+CARGA_DIARIA!AJ437)/CARGA_DIARIA!B437+CARGA_DIARIA!AF437))</f>
        <v/>
      </c>
      <c r="D437" s="36" t="str">
        <f>IF(CARGA_DIARIA!A437="","",IF(CARGA_DIARIA!B437=0,0,(CARGA_DIARIA!J437+CARGA_DIARIA!K437+CARGA_DIARIA!L437+CARGA_DIARIA!M437+CARGA_DIARIA!N437+CARGA_DIARIA!O437+CARGA_DIARIA!P437+CARGA_DIARIA!Q437+CARGA_DIARIA!R437+CARGA_DIARIA!S437+CARGA_DIARIA!T437+CARGA_DIARIA!U437+CARGA_DIARIA!V437+CARGA_DIARIA!W437)/CARGA_DIARIA!B437))</f>
        <v/>
      </c>
      <c r="E437" s="36" t="str">
        <f>IF(CARGA_DIARIA!A437="","",IF(CARGA_DIARIA!B437=0,0,(CARGA_DIARIA!X437+CARGA_DIARIA!Y437+CARGA_DIARIA!Z437+CARGA_DIARIA!AA437)/CARGA_DIARIA!B437+CARGA_DIARIA!AB437+CARGA_DIARIA!AC437+CARGA_DIARIA!AD437+CARGA_DIARIA!AE437))</f>
        <v/>
      </c>
      <c r="F437" s="39" t="s">
        <v>146</v>
      </c>
      <c r="G437" s="39" t="s">
        <v>146</v>
      </c>
      <c r="H437" s="38" t="str">
        <f>IF(CARGA_DIARIA!A437="","",C437-D437-E437)</f>
        <v/>
      </c>
    </row>
    <row r="438" spans="1:8" ht="15.75" customHeight="1" x14ac:dyDescent="0.25">
      <c r="A438" s="33" t="str">
        <f>IF(CARGA_DIARIA!A438="","",CARGA_DIARIA!A438)</f>
        <v/>
      </c>
      <c r="B438" s="34" t="str">
        <f>IF(CARGA_DIARIA!A438="","",CARGA_DIARIA!B438)</f>
        <v/>
      </c>
      <c r="C438" s="35" t="str">
        <f>IF(CARGA_DIARIA!A438="","",IF(CARGA_DIARIA!B438=0,0,(CARGA_DIARIA!C438+CARGA_DIARIA!D438+CARGA_DIARIA!E438+CARGA_DIARIA!F438+CARGA_DIARIA!G438+CARGA_DIARIA!H438+CARGA_DIARIA!I438+CARGA_DIARIA!AG438+CARGA_DIARIA!AH438+CARGA_DIARIA!AI438+CARGA_DIARIA!AJ438)/CARGA_DIARIA!B438+CARGA_DIARIA!AF438))</f>
        <v/>
      </c>
      <c r="D438" s="36" t="str">
        <f>IF(CARGA_DIARIA!A438="","",IF(CARGA_DIARIA!B438=0,0,(CARGA_DIARIA!J438+CARGA_DIARIA!K438+CARGA_DIARIA!L438+CARGA_DIARIA!M438+CARGA_DIARIA!N438+CARGA_DIARIA!O438+CARGA_DIARIA!P438+CARGA_DIARIA!Q438+CARGA_DIARIA!R438+CARGA_DIARIA!S438+CARGA_DIARIA!T438+CARGA_DIARIA!U438+CARGA_DIARIA!V438+CARGA_DIARIA!W438)/CARGA_DIARIA!B438))</f>
        <v/>
      </c>
      <c r="E438" s="36" t="str">
        <f>IF(CARGA_DIARIA!A438="","",IF(CARGA_DIARIA!B438=0,0,(CARGA_DIARIA!X438+CARGA_DIARIA!Y438+CARGA_DIARIA!Z438+CARGA_DIARIA!AA438)/CARGA_DIARIA!B438+CARGA_DIARIA!AB438+CARGA_DIARIA!AC438+CARGA_DIARIA!AD438+CARGA_DIARIA!AE438))</f>
        <v/>
      </c>
      <c r="F438" s="39" t="s">
        <v>146</v>
      </c>
      <c r="G438" s="39" t="s">
        <v>146</v>
      </c>
      <c r="H438" s="38" t="str">
        <f>IF(CARGA_DIARIA!A438="","",C438-D438-E438)</f>
        <v/>
      </c>
    </row>
    <row r="439" spans="1:8" ht="15.75" customHeight="1" x14ac:dyDescent="0.25">
      <c r="A439" s="33" t="str">
        <f>IF(CARGA_DIARIA!A439="","",CARGA_DIARIA!A439)</f>
        <v/>
      </c>
      <c r="B439" s="34" t="str">
        <f>IF(CARGA_DIARIA!A439="","",CARGA_DIARIA!B439)</f>
        <v/>
      </c>
      <c r="C439" s="35" t="str">
        <f>IF(CARGA_DIARIA!A439="","",IF(CARGA_DIARIA!B439=0,0,(CARGA_DIARIA!C439+CARGA_DIARIA!D439+CARGA_DIARIA!E439+CARGA_DIARIA!F439+CARGA_DIARIA!G439+CARGA_DIARIA!H439+CARGA_DIARIA!I439+CARGA_DIARIA!AG439+CARGA_DIARIA!AH439+CARGA_DIARIA!AI439+CARGA_DIARIA!AJ439)/CARGA_DIARIA!B439+CARGA_DIARIA!AF439))</f>
        <v/>
      </c>
      <c r="D439" s="36" t="str">
        <f>IF(CARGA_DIARIA!A439="","",IF(CARGA_DIARIA!B439=0,0,(CARGA_DIARIA!J439+CARGA_DIARIA!K439+CARGA_DIARIA!L439+CARGA_DIARIA!M439+CARGA_DIARIA!N439+CARGA_DIARIA!O439+CARGA_DIARIA!P439+CARGA_DIARIA!Q439+CARGA_DIARIA!R439+CARGA_DIARIA!S439+CARGA_DIARIA!T439+CARGA_DIARIA!U439+CARGA_DIARIA!V439+CARGA_DIARIA!W439)/CARGA_DIARIA!B439))</f>
        <v/>
      </c>
      <c r="E439" s="36" t="str">
        <f>IF(CARGA_DIARIA!A439="","",IF(CARGA_DIARIA!B439=0,0,(CARGA_DIARIA!X439+CARGA_DIARIA!Y439+CARGA_DIARIA!Z439+CARGA_DIARIA!AA439)/CARGA_DIARIA!B439+CARGA_DIARIA!AB439+CARGA_DIARIA!AC439+CARGA_DIARIA!AD439+CARGA_DIARIA!AE439))</f>
        <v/>
      </c>
      <c r="F439" s="39" t="s">
        <v>146</v>
      </c>
      <c r="G439" s="39" t="s">
        <v>146</v>
      </c>
      <c r="H439" s="38" t="str">
        <f>IF(CARGA_DIARIA!A439="","",C439-D439-E439)</f>
        <v/>
      </c>
    </row>
    <row r="440" spans="1:8" ht="15.75" customHeight="1" x14ac:dyDescent="0.25">
      <c r="A440" s="33" t="str">
        <f>IF(CARGA_DIARIA!A440="","",CARGA_DIARIA!A440)</f>
        <v/>
      </c>
      <c r="B440" s="34" t="str">
        <f>IF(CARGA_DIARIA!A440="","",CARGA_DIARIA!B440)</f>
        <v/>
      </c>
      <c r="C440" s="35" t="str">
        <f>IF(CARGA_DIARIA!A440="","",IF(CARGA_DIARIA!B440=0,0,(CARGA_DIARIA!C440+CARGA_DIARIA!D440+CARGA_DIARIA!E440+CARGA_DIARIA!F440+CARGA_DIARIA!G440+CARGA_DIARIA!H440+CARGA_DIARIA!I440+CARGA_DIARIA!AG440+CARGA_DIARIA!AH440+CARGA_DIARIA!AI440+CARGA_DIARIA!AJ440)/CARGA_DIARIA!B440+CARGA_DIARIA!AF440))</f>
        <v/>
      </c>
      <c r="D440" s="36" t="str">
        <f>IF(CARGA_DIARIA!A440="","",IF(CARGA_DIARIA!B440=0,0,(CARGA_DIARIA!J440+CARGA_DIARIA!K440+CARGA_DIARIA!L440+CARGA_DIARIA!M440+CARGA_DIARIA!N440+CARGA_DIARIA!O440+CARGA_DIARIA!P440+CARGA_DIARIA!Q440+CARGA_DIARIA!R440+CARGA_DIARIA!S440+CARGA_DIARIA!T440+CARGA_DIARIA!U440+CARGA_DIARIA!V440+CARGA_DIARIA!W440)/CARGA_DIARIA!B440))</f>
        <v/>
      </c>
      <c r="E440" s="36" t="str">
        <f>IF(CARGA_DIARIA!A440="","",IF(CARGA_DIARIA!B440=0,0,(CARGA_DIARIA!X440+CARGA_DIARIA!Y440+CARGA_DIARIA!Z440+CARGA_DIARIA!AA440)/CARGA_DIARIA!B440+CARGA_DIARIA!AB440+CARGA_DIARIA!AC440+CARGA_DIARIA!AD440+CARGA_DIARIA!AE440))</f>
        <v/>
      </c>
      <c r="F440" s="39" t="s">
        <v>146</v>
      </c>
      <c r="G440" s="39" t="s">
        <v>146</v>
      </c>
      <c r="H440" s="38" t="str">
        <f>IF(CARGA_DIARIA!A440="","",C440-D440-E440)</f>
        <v/>
      </c>
    </row>
    <row r="441" spans="1:8" ht="15.75" customHeight="1" x14ac:dyDescent="0.25">
      <c r="A441" s="33" t="str">
        <f>IF(CARGA_DIARIA!A441="","",CARGA_DIARIA!A441)</f>
        <v/>
      </c>
      <c r="B441" s="34" t="str">
        <f>IF(CARGA_DIARIA!A441="","",CARGA_DIARIA!B441)</f>
        <v/>
      </c>
      <c r="C441" s="35" t="str">
        <f>IF(CARGA_DIARIA!A441="","",IF(CARGA_DIARIA!B441=0,0,(CARGA_DIARIA!C441+CARGA_DIARIA!D441+CARGA_DIARIA!E441+CARGA_DIARIA!F441+CARGA_DIARIA!G441+CARGA_DIARIA!H441+CARGA_DIARIA!I441+CARGA_DIARIA!AG441+CARGA_DIARIA!AH441+CARGA_DIARIA!AI441+CARGA_DIARIA!AJ441)/CARGA_DIARIA!B441+CARGA_DIARIA!AF441))</f>
        <v/>
      </c>
      <c r="D441" s="36" t="str">
        <f>IF(CARGA_DIARIA!A441="","",IF(CARGA_DIARIA!B441=0,0,(CARGA_DIARIA!J441+CARGA_DIARIA!K441+CARGA_DIARIA!L441+CARGA_DIARIA!M441+CARGA_DIARIA!N441+CARGA_DIARIA!O441+CARGA_DIARIA!P441+CARGA_DIARIA!Q441+CARGA_DIARIA!R441+CARGA_DIARIA!S441+CARGA_DIARIA!T441+CARGA_DIARIA!U441+CARGA_DIARIA!V441+CARGA_DIARIA!W441)/CARGA_DIARIA!B441))</f>
        <v/>
      </c>
      <c r="E441" s="36" t="str">
        <f>IF(CARGA_DIARIA!A441="","",IF(CARGA_DIARIA!B441=0,0,(CARGA_DIARIA!X441+CARGA_DIARIA!Y441+CARGA_DIARIA!Z441+CARGA_DIARIA!AA441)/CARGA_DIARIA!B441+CARGA_DIARIA!AB441+CARGA_DIARIA!AC441+CARGA_DIARIA!AD441+CARGA_DIARIA!AE441))</f>
        <v/>
      </c>
      <c r="F441" s="39" t="s">
        <v>146</v>
      </c>
      <c r="G441" s="39" t="s">
        <v>146</v>
      </c>
      <c r="H441" s="38" t="str">
        <f>IF(CARGA_DIARIA!A441="","",C441-D441-E441)</f>
        <v/>
      </c>
    </row>
    <row r="442" spans="1:8" ht="15.75" customHeight="1" x14ac:dyDescent="0.25">
      <c r="A442" s="33" t="str">
        <f>IF(CARGA_DIARIA!A442="","",CARGA_DIARIA!A442)</f>
        <v/>
      </c>
      <c r="B442" s="34" t="str">
        <f>IF(CARGA_DIARIA!A442="","",CARGA_DIARIA!B442)</f>
        <v/>
      </c>
      <c r="C442" s="35" t="str">
        <f>IF(CARGA_DIARIA!A442="","",IF(CARGA_DIARIA!B442=0,0,(CARGA_DIARIA!C442+CARGA_DIARIA!D442+CARGA_DIARIA!E442+CARGA_DIARIA!F442+CARGA_DIARIA!G442+CARGA_DIARIA!H442+CARGA_DIARIA!I442+CARGA_DIARIA!AG442+CARGA_DIARIA!AH442+CARGA_DIARIA!AI442+CARGA_DIARIA!AJ442)/CARGA_DIARIA!B442+CARGA_DIARIA!AF442))</f>
        <v/>
      </c>
      <c r="D442" s="36" t="str">
        <f>IF(CARGA_DIARIA!A442="","",IF(CARGA_DIARIA!B442=0,0,(CARGA_DIARIA!J442+CARGA_DIARIA!K442+CARGA_DIARIA!L442+CARGA_DIARIA!M442+CARGA_DIARIA!N442+CARGA_DIARIA!O442+CARGA_DIARIA!P442+CARGA_DIARIA!Q442+CARGA_DIARIA!R442+CARGA_DIARIA!S442+CARGA_DIARIA!T442+CARGA_DIARIA!U442+CARGA_DIARIA!V442+CARGA_DIARIA!W442)/CARGA_DIARIA!B442))</f>
        <v/>
      </c>
      <c r="E442" s="36" t="str">
        <f>IF(CARGA_DIARIA!A442="","",IF(CARGA_DIARIA!B442=0,0,(CARGA_DIARIA!X442+CARGA_DIARIA!Y442+CARGA_DIARIA!Z442+CARGA_DIARIA!AA442)/CARGA_DIARIA!B442+CARGA_DIARIA!AB442+CARGA_DIARIA!AC442+CARGA_DIARIA!AD442+CARGA_DIARIA!AE442))</f>
        <v/>
      </c>
      <c r="F442" s="39" t="s">
        <v>146</v>
      </c>
      <c r="G442" s="39" t="s">
        <v>146</v>
      </c>
      <c r="H442" s="38" t="str">
        <f>IF(CARGA_DIARIA!A442="","",C442-D442-E442)</f>
        <v/>
      </c>
    </row>
    <row r="443" spans="1:8" ht="15.75" customHeight="1" x14ac:dyDescent="0.25">
      <c r="A443" s="33" t="str">
        <f>IF(CARGA_DIARIA!A443="","",CARGA_DIARIA!A443)</f>
        <v/>
      </c>
      <c r="B443" s="34" t="str">
        <f>IF(CARGA_DIARIA!A443="","",CARGA_DIARIA!B443)</f>
        <v/>
      </c>
      <c r="C443" s="35" t="str">
        <f>IF(CARGA_DIARIA!A443="","",IF(CARGA_DIARIA!B443=0,0,(CARGA_DIARIA!C443+CARGA_DIARIA!D443+CARGA_DIARIA!E443+CARGA_DIARIA!F443+CARGA_DIARIA!G443+CARGA_DIARIA!H443+CARGA_DIARIA!I443+CARGA_DIARIA!AG443+CARGA_DIARIA!AH443+CARGA_DIARIA!AI443+CARGA_DIARIA!AJ443)/CARGA_DIARIA!B443+CARGA_DIARIA!AF443))</f>
        <v/>
      </c>
      <c r="D443" s="36" t="str">
        <f>IF(CARGA_DIARIA!A443="","",IF(CARGA_DIARIA!B443=0,0,(CARGA_DIARIA!J443+CARGA_DIARIA!K443+CARGA_DIARIA!L443+CARGA_DIARIA!M443+CARGA_DIARIA!N443+CARGA_DIARIA!O443+CARGA_DIARIA!P443+CARGA_DIARIA!Q443+CARGA_DIARIA!R443+CARGA_DIARIA!S443+CARGA_DIARIA!T443+CARGA_DIARIA!U443+CARGA_DIARIA!V443+CARGA_DIARIA!W443)/CARGA_DIARIA!B443))</f>
        <v/>
      </c>
      <c r="E443" s="36" t="str">
        <f>IF(CARGA_DIARIA!A443="","",IF(CARGA_DIARIA!B443=0,0,(CARGA_DIARIA!X443+CARGA_DIARIA!Y443+CARGA_DIARIA!Z443+CARGA_DIARIA!AA443)/CARGA_DIARIA!B443+CARGA_DIARIA!AB443+CARGA_DIARIA!AC443+CARGA_DIARIA!AD443+CARGA_DIARIA!AE443))</f>
        <v/>
      </c>
      <c r="F443" s="39" t="s">
        <v>146</v>
      </c>
      <c r="G443" s="39" t="s">
        <v>146</v>
      </c>
      <c r="H443" s="38" t="str">
        <f>IF(CARGA_DIARIA!A443="","",C443-D443-E443)</f>
        <v/>
      </c>
    </row>
    <row r="444" spans="1:8" ht="15.75" customHeight="1" x14ac:dyDescent="0.25">
      <c r="A444" s="33" t="str">
        <f>IF(CARGA_DIARIA!A444="","",CARGA_DIARIA!A444)</f>
        <v/>
      </c>
      <c r="B444" s="34" t="str">
        <f>IF(CARGA_DIARIA!A444="","",CARGA_DIARIA!B444)</f>
        <v/>
      </c>
      <c r="C444" s="35" t="str">
        <f>IF(CARGA_DIARIA!A444="","",IF(CARGA_DIARIA!B444=0,0,(CARGA_DIARIA!C444+CARGA_DIARIA!D444+CARGA_DIARIA!E444+CARGA_DIARIA!F444+CARGA_DIARIA!G444+CARGA_DIARIA!H444+CARGA_DIARIA!I444+CARGA_DIARIA!AG444+CARGA_DIARIA!AH444+CARGA_DIARIA!AI444+CARGA_DIARIA!AJ444)/CARGA_DIARIA!B444+CARGA_DIARIA!AF444))</f>
        <v/>
      </c>
      <c r="D444" s="36" t="str">
        <f>IF(CARGA_DIARIA!A444="","",IF(CARGA_DIARIA!B444=0,0,(CARGA_DIARIA!J444+CARGA_DIARIA!K444+CARGA_DIARIA!L444+CARGA_DIARIA!M444+CARGA_DIARIA!N444+CARGA_DIARIA!O444+CARGA_DIARIA!P444+CARGA_DIARIA!Q444+CARGA_DIARIA!R444+CARGA_DIARIA!S444+CARGA_DIARIA!T444+CARGA_DIARIA!U444+CARGA_DIARIA!V444+CARGA_DIARIA!W444)/CARGA_DIARIA!B444))</f>
        <v/>
      </c>
      <c r="E444" s="36" t="str">
        <f>IF(CARGA_DIARIA!A444="","",IF(CARGA_DIARIA!B444=0,0,(CARGA_DIARIA!X444+CARGA_DIARIA!Y444+CARGA_DIARIA!Z444+CARGA_DIARIA!AA444)/CARGA_DIARIA!B444+CARGA_DIARIA!AB444+CARGA_DIARIA!AC444+CARGA_DIARIA!AD444+CARGA_DIARIA!AE444))</f>
        <v/>
      </c>
      <c r="F444" s="39" t="s">
        <v>146</v>
      </c>
      <c r="G444" s="39" t="s">
        <v>146</v>
      </c>
      <c r="H444" s="38" t="str">
        <f>IF(CARGA_DIARIA!A444="","",C444-D444-E444)</f>
        <v/>
      </c>
    </row>
    <row r="445" spans="1:8" ht="15.75" customHeight="1" x14ac:dyDescent="0.25">
      <c r="A445" s="33" t="str">
        <f>IF(CARGA_DIARIA!A445="","",CARGA_DIARIA!A445)</f>
        <v/>
      </c>
      <c r="B445" s="34" t="str">
        <f>IF(CARGA_DIARIA!A445="","",CARGA_DIARIA!B445)</f>
        <v/>
      </c>
      <c r="C445" s="35" t="str">
        <f>IF(CARGA_DIARIA!A445="","",IF(CARGA_DIARIA!B445=0,0,(CARGA_DIARIA!C445+CARGA_DIARIA!D445+CARGA_DIARIA!E445+CARGA_DIARIA!F445+CARGA_DIARIA!G445+CARGA_DIARIA!H445+CARGA_DIARIA!I445+CARGA_DIARIA!AG445+CARGA_DIARIA!AH445+CARGA_DIARIA!AI445+CARGA_DIARIA!AJ445)/CARGA_DIARIA!B445+CARGA_DIARIA!AF445))</f>
        <v/>
      </c>
      <c r="D445" s="36" t="str">
        <f>IF(CARGA_DIARIA!A445="","",IF(CARGA_DIARIA!B445=0,0,(CARGA_DIARIA!J445+CARGA_DIARIA!K445+CARGA_DIARIA!L445+CARGA_DIARIA!M445+CARGA_DIARIA!N445+CARGA_DIARIA!O445+CARGA_DIARIA!P445+CARGA_DIARIA!Q445+CARGA_DIARIA!R445+CARGA_DIARIA!S445+CARGA_DIARIA!T445+CARGA_DIARIA!U445+CARGA_DIARIA!V445+CARGA_DIARIA!W445)/CARGA_DIARIA!B445))</f>
        <v/>
      </c>
      <c r="E445" s="36" t="str">
        <f>IF(CARGA_DIARIA!A445="","",IF(CARGA_DIARIA!B445=0,0,(CARGA_DIARIA!X445+CARGA_DIARIA!Y445+CARGA_DIARIA!Z445+CARGA_DIARIA!AA445)/CARGA_DIARIA!B445+CARGA_DIARIA!AB445+CARGA_DIARIA!AC445+CARGA_DIARIA!AD445+CARGA_DIARIA!AE445))</f>
        <v/>
      </c>
      <c r="F445" s="39" t="s">
        <v>146</v>
      </c>
      <c r="G445" s="39" t="s">
        <v>146</v>
      </c>
      <c r="H445" s="38" t="str">
        <f>IF(CARGA_DIARIA!A445="","",C445-D445-E445)</f>
        <v/>
      </c>
    </row>
    <row r="446" spans="1:8" ht="15.75" customHeight="1" x14ac:dyDescent="0.25">
      <c r="A446" s="33" t="str">
        <f>IF(CARGA_DIARIA!A446="","",CARGA_DIARIA!A446)</f>
        <v/>
      </c>
      <c r="B446" s="34" t="str">
        <f>IF(CARGA_DIARIA!A446="","",CARGA_DIARIA!B446)</f>
        <v/>
      </c>
      <c r="C446" s="35" t="str">
        <f>IF(CARGA_DIARIA!A446="","",IF(CARGA_DIARIA!B446=0,0,(CARGA_DIARIA!C446+CARGA_DIARIA!D446+CARGA_DIARIA!E446+CARGA_DIARIA!F446+CARGA_DIARIA!G446+CARGA_DIARIA!H446+CARGA_DIARIA!I446+CARGA_DIARIA!AG446+CARGA_DIARIA!AH446+CARGA_DIARIA!AI446+CARGA_DIARIA!AJ446)/CARGA_DIARIA!B446+CARGA_DIARIA!AF446))</f>
        <v/>
      </c>
      <c r="D446" s="36" t="str">
        <f>IF(CARGA_DIARIA!A446="","",IF(CARGA_DIARIA!B446=0,0,(CARGA_DIARIA!J446+CARGA_DIARIA!K446+CARGA_DIARIA!L446+CARGA_DIARIA!M446+CARGA_DIARIA!N446+CARGA_DIARIA!O446+CARGA_DIARIA!P446+CARGA_DIARIA!Q446+CARGA_DIARIA!R446+CARGA_DIARIA!S446+CARGA_DIARIA!T446+CARGA_DIARIA!U446+CARGA_DIARIA!V446+CARGA_DIARIA!W446)/CARGA_DIARIA!B446))</f>
        <v/>
      </c>
      <c r="E446" s="36" t="str">
        <f>IF(CARGA_DIARIA!A446="","",IF(CARGA_DIARIA!B446=0,0,(CARGA_DIARIA!X446+CARGA_DIARIA!Y446+CARGA_DIARIA!Z446+CARGA_DIARIA!AA446)/CARGA_DIARIA!B446+CARGA_DIARIA!AB446+CARGA_DIARIA!AC446+CARGA_DIARIA!AD446+CARGA_DIARIA!AE446))</f>
        <v/>
      </c>
      <c r="F446" s="39" t="s">
        <v>146</v>
      </c>
      <c r="G446" s="39" t="s">
        <v>146</v>
      </c>
      <c r="H446" s="38" t="str">
        <f>IF(CARGA_DIARIA!A446="","",C446-D446-E446)</f>
        <v/>
      </c>
    </row>
    <row r="447" spans="1:8" ht="15.75" customHeight="1" x14ac:dyDescent="0.25">
      <c r="A447" s="33" t="str">
        <f>IF(CARGA_DIARIA!A447="","",CARGA_DIARIA!A447)</f>
        <v/>
      </c>
      <c r="B447" s="34" t="str">
        <f>IF(CARGA_DIARIA!A447="","",CARGA_DIARIA!B447)</f>
        <v/>
      </c>
      <c r="C447" s="35" t="str">
        <f>IF(CARGA_DIARIA!A447="","",IF(CARGA_DIARIA!B447=0,0,(CARGA_DIARIA!C447+CARGA_DIARIA!D447+CARGA_DIARIA!E447+CARGA_DIARIA!F447+CARGA_DIARIA!G447+CARGA_DIARIA!H447+CARGA_DIARIA!I447+CARGA_DIARIA!AG447+CARGA_DIARIA!AH447+CARGA_DIARIA!AI447+CARGA_DIARIA!AJ447)/CARGA_DIARIA!B447+CARGA_DIARIA!AF447))</f>
        <v/>
      </c>
      <c r="D447" s="36" t="str">
        <f>IF(CARGA_DIARIA!A447="","",IF(CARGA_DIARIA!B447=0,0,(CARGA_DIARIA!J447+CARGA_DIARIA!K447+CARGA_DIARIA!L447+CARGA_DIARIA!M447+CARGA_DIARIA!N447+CARGA_DIARIA!O447+CARGA_DIARIA!P447+CARGA_DIARIA!Q447+CARGA_DIARIA!R447+CARGA_DIARIA!S447+CARGA_DIARIA!T447+CARGA_DIARIA!U447+CARGA_DIARIA!V447+CARGA_DIARIA!W447)/CARGA_DIARIA!B447))</f>
        <v/>
      </c>
      <c r="E447" s="36" t="str">
        <f>IF(CARGA_DIARIA!A447="","",IF(CARGA_DIARIA!B447=0,0,(CARGA_DIARIA!X447+CARGA_DIARIA!Y447+CARGA_DIARIA!Z447+CARGA_DIARIA!AA447)/CARGA_DIARIA!B447+CARGA_DIARIA!AB447+CARGA_DIARIA!AC447+CARGA_DIARIA!AD447+CARGA_DIARIA!AE447))</f>
        <v/>
      </c>
      <c r="F447" s="39" t="s">
        <v>146</v>
      </c>
      <c r="G447" s="39" t="s">
        <v>146</v>
      </c>
      <c r="H447" s="38" t="str">
        <f>IF(CARGA_DIARIA!A447="","",C447-D447-E447)</f>
        <v/>
      </c>
    </row>
    <row r="448" spans="1:8" ht="15.75" customHeight="1" x14ac:dyDescent="0.25">
      <c r="A448" s="33" t="str">
        <f>IF(CARGA_DIARIA!A448="","",CARGA_DIARIA!A448)</f>
        <v/>
      </c>
      <c r="B448" s="34" t="str">
        <f>IF(CARGA_DIARIA!A448="","",CARGA_DIARIA!B448)</f>
        <v/>
      </c>
      <c r="C448" s="35" t="str">
        <f>IF(CARGA_DIARIA!A448="","",IF(CARGA_DIARIA!B448=0,0,(CARGA_DIARIA!C448+CARGA_DIARIA!D448+CARGA_DIARIA!E448+CARGA_DIARIA!F448+CARGA_DIARIA!G448+CARGA_DIARIA!H448+CARGA_DIARIA!I448+CARGA_DIARIA!AG448+CARGA_DIARIA!AH448+CARGA_DIARIA!AI448+CARGA_DIARIA!AJ448)/CARGA_DIARIA!B448+CARGA_DIARIA!AF448))</f>
        <v/>
      </c>
      <c r="D448" s="36" t="str">
        <f>IF(CARGA_DIARIA!A448="","",IF(CARGA_DIARIA!B448=0,0,(CARGA_DIARIA!J448+CARGA_DIARIA!K448+CARGA_DIARIA!L448+CARGA_DIARIA!M448+CARGA_DIARIA!N448+CARGA_DIARIA!O448+CARGA_DIARIA!P448+CARGA_DIARIA!Q448+CARGA_DIARIA!R448+CARGA_DIARIA!S448+CARGA_DIARIA!T448+CARGA_DIARIA!U448+CARGA_DIARIA!V448+CARGA_DIARIA!W448)/CARGA_DIARIA!B448))</f>
        <v/>
      </c>
      <c r="E448" s="36" t="str">
        <f>IF(CARGA_DIARIA!A448="","",IF(CARGA_DIARIA!B448=0,0,(CARGA_DIARIA!X448+CARGA_DIARIA!Y448+CARGA_DIARIA!Z448+CARGA_DIARIA!AA448)/CARGA_DIARIA!B448+CARGA_DIARIA!AB448+CARGA_DIARIA!AC448+CARGA_DIARIA!AD448+CARGA_DIARIA!AE448))</f>
        <v/>
      </c>
      <c r="F448" s="39" t="s">
        <v>146</v>
      </c>
      <c r="G448" s="39" t="s">
        <v>146</v>
      </c>
      <c r="H448" s="38" t="str">
        <f>IF(CARGA_DIARIA!A448="","",C448-D448-E448)</f>
        <v/>
      </c>
    </row>
    <row r="449" spans="1:8" ht="15.75" customHeight="1" x14ac:dyDescent="0.25">
      <c r="A449" s="33" t="str">
        <f>IF(CARGA_DIARIA!A449="","",CARGA_DIARIA!A449)</f>
        <v/>
      </c>
      <c r="B449" s="34" t="str">
        <f>IF(CARGA_DIARIA!A449="","",CARGA_DIARIA!B449)</f>
        <v/>
      </c>
      <c r="C449" s="35" t="str">
        <f>IF(CARGA_DIARIA!A449="","",IF(CARGA_DIARIA!B449=0,0,(CARGA_DIARIA!C449+CARGA_DIARIA!D449+CARGA_DIARIA!E449+CARGA_DIARIA!F449+CARGA_DIARIA!G449+CARGA_DIARIA!H449+CARGA_DIARIA!I449+CARGA_DIARIA!AG449+CARGA_DIARIA!AH449+CARGA_DIARIA!AI449+CARGA_DIARIA!AJ449)/CARGA_DIARIA!B449+CARGA_DIARIA!AF449))</f>
        <v/>
      </c>
      <c r="D449" s="36" t="str">
        <f>IF(CARGA_DIARIA!A449="","",IF(CARGA_DIARIA!B449=0,0,(CARGA_DIARIA!J449+CARGA_DIARIA!K449+CARGA_DIARIA!L449+CARGA_DIARIA!M449+CARGA_DIARIA!N449+CARGA_DIARIA!O449+CARGA_DIARIA!P449+CARGA_DIARIA!Q449+CARGA_DIARIA!R449+CARGA_DIARIA!S449+CARGA_DIARIA!T449+CARGA_DIARIA!U449+CARGA_DIARIA!V449+CARGA_DIARIA!W449)/CARGA_DIARIA!B449))</f>
        <v/>
      </c>
      <c r="E449" s="36" t="str">
        <f>IF(CARGA_DIARIA!A449="","",IF(CARGA_DIARIA!B449=0,0,(CARGA_DIARIA!X449+CARGA_DIARIA!Y449+CARGA_DIARIA!Z449+CARGA_DIARIA!AA449)/CARGA_DIARIA!B449+CARGA_DIARIA!AB449+CARGA_DIARIA!AC449+CARGA_DIARIA!AD449+CARGA_DIARIA!AE449))</f>
        <v/>
      </c>
      <c r="F449" s="39" t="s">
        <v>146</v>
      </c>
      <c r="G449" s="39" t="s">
        <v>146</v>
      </c>
      <c r="H449" s="38" t="str">
        <f>IF(CARGA_DIARIA!A449="","",C449-D449-E449)</f>
        <v/>
      </c>
    </row>
    <row r="450" spans="1:8" ht="15.75" customHeight="1" x14ac:dyDescent="0.25">
      <c r="A450" s="33" t="str">
        <f>IF(CARGA_DIARIA!A450="","",CARGA_DIARIA!A450)</f>
        <v/>
      </c>
      <c r="B450" s="34" t="str">
        <f>IF(CARGA_DIARIA!A450="","",CARGA_DIARIA!B450)</f>
        <v/>
      </c>
      <c r="C450" s="35" t="str">
        <f>IF(CARGA_DIARIA!A450="","",IF(CARGA_DIARIA!B450=0,0,(CARGA_DIARIA!C450+CARGA_DIARIA!D450+CARGA_DIARIA!E450+CARGA_DIARIA!F450+CARGA_DIARIA!G450+CARGA_DIARIA!H450+CARGA_DIARIA!I450+CARGA_DIARIA!AG450+CARGA_DIARIA!AH450+CARGA_DIARIA!AI450+CARGA_DIARIA!AJ450)/CARGA_DIARIA!B450+CARGA_DIARIA!AF450))</f>
        <v/>
      </c>
      <c r="D450" s="36" t="str">
        <f>IF(CARGA_DIARIA!A450="","",IF(CARGA_DIARIA!B450=0,0,(CARGA_DIARIA!J450+CARGA_DIARIA!K450+CARGA_DIARIA!L450+CARGA_DIARIA!M450+CARGA_DIARIA!N450+CARGA_DIARIA!O450+CARGA_DIARIA!P450+CARGA_DIARIA!Q450+CARGA_DIARIA!R450+CARGA_DIARIA!S450+CARGA_DIARIA!T450+CARGA_DIARIA!U450+CARGA_DIARIA!V450+CARGA_DIARIA!W450)/CARGA_DIARIA!B450))</f>
        <v/>
      </c>
      <c r="E450" s="36" t="str">
        <f>IF(CARGA_DIARIA!A450="","",IF(CARGA_DIARIA!B450=0,0,(CARGA_DIARIA!X450+CARGA_DIARIA!Y450+CARGA_DIARIA!Z450+CARGA_DIARIA!AA450)/CARGA_DIARIA!B450+CARGA_DIARIA!AB450+CARGA_DIARIA!AC450+CARGA_DIARIA!AD450+CARGA_DIARIA!AE450))</f>
        <v/>
      </c>
      <c r="F450" s="39" t="s">
        <v>146</v>
      </c>
      <c r="G450" s="39" t="s">
        <v>146</v>
      </c>
      <c r="H450" s="38" t="str">
        <f>IF(CARGA_DIARIA!A450="","",C450-D450-E450)</f>
        <v/>
      </c>
    </row>
    <row r="451" spans="1:8" ht="15.75" customHeight="1" x14ac:dyDescent="0.25">
      <c r="A451" s="33" t="str">
        <f>IF(CARGA_DIARIA!A451="","",CARGA_DIARIA!A451)</f>
        <v/>
      </c>
      <c r="B451" s="34" t="str">
        <f>IF(CARGA_DIARIA!A451="","",CARGA_DIARIA!B451)</f>
        <v/>
      </c>
      <c r="C451" s="35" t="str">
        <f>IF(CARGA_DIARIA!A451="","",IF(CARGA_DIARIA!B451=0,0,(CARGA_DIARIA!C451+CARGA_DIARIA!D451+CARGA_DIARIA!E451+CARGA_DIARIA!F451+CARGA_DIARIA!G451+CARGA_DIARIA!H451+CARGA_DIARIA!I451+CARGA_DIARIA!AG451+CARGA_DIARIA!AH451+CARGA_DIARIA!AI451+CARGA_DIARIA!AJ451)/CARGA_DIARIA!B451+CARGA_DIARIA!AF451))</f>
        <v/>
      </c>
      <c r="D451" s="36" t="str">
        <f>IF(CARGA_DIARIA!A451="","",IF(CARGA_DIARIA!B451=0,0,(CARGA_DIARIA!J451+CARGA_DIARIA!K451+CARGA_DIARIA!L451+CARGA_DIARIA!M451+CARGA_DIARIA!N451+CARGA_DIARIA!O451+CARGA_DIARIA!P451+CARGA_DIARIA!Q451+CARGA_DIARIA!R451+CARGA_DIARIA!S451+CARGA_DIARIA!T451+CARGA_DIARIA!U451+CARGA_DIARIA!V451+CARGA_DIARIA!W451)/CARGA_DIARIA!B451))</f>
        <v/>
      </c>
      <c r="E451" s="36" t="str">
        <f>IF(CARGA_DIARIA!A451="","",IF(CARGA_DIARIA!B451=0,0,(CARGA_DIARIA!X451+CARGA_DIARIA!Y451+CARGA_DIARIA!Z451+CARGA_DIARIA!AA451)/CARGA_DIARIA!B451+CARGA_DIARIA!AB451+CARGA_DIARIA!AC451+CARGA_DIARIA!AD451+CARGA_DIARIA!AE451))</f>
        <v/>
      </c>
      <c r="F451" s="39" t="s">
        <v>146</v>
      </c>
      <c r="G451" s="39" t="s">
        <v>146</v>
      </c>
      <c r="H451" s="38" t="str">
        <f>IF(CARGA_DIARIA!A451="","",C451-D451-E451)</f>
        <v/>
      </c>
    </row>
    <row r="452" spans="1:8" ht="15.75" customHeight="1" x14ac:dyDescent="0.25">
      <c r="A452" s="33" t="str">
        <f>IF(CARGA_DIARIA!A452="","",CARGA_DIARIA!A452)</f>
        <v/>
      </c>
      <c r="B452" s="34" t="str">
        <f>IF(CARGA_DIARIA!A452="","",CARGA_DIARIA!B452)</f>
        <v/>
      </c>
      <c r="C452" s="35" t="str">
        <f>IF(CARGA_DIARIA!A452="","",IF(CARGA_DIARIA!B452=0,0,(CARGA_DIARIA!C452+CARGA_DIARIA!D452+CARGA_DIARIA!E452+CARGA_DIARIA!F452+CARGA_DIARIA!G452+CARGA_DIARIA!H452+CARGA_DIARIA!I452+CARGA_DIARIA!AG452+CARGA_DIARIA!AH452+CARGA_DIARIA!AI452+CARGA_DIARIA!AJ452)/CARGA_DIARIA!B452+CARGA_DIARIA!AF452))</f>
        <v/>
      </c>
      <c r="D452" s="36" t="str">
        <f>IF(CARGA_DIARIA!A452="","",IF(CARGA_DIARIA!B452=0,0,(CARGA_DIARIA!J452+CARGA_DIARIA!K452+CARGA_DIARIA!L452+CARGA_DIARIA!M452+CARGA_DIARIA!N452+CARGA_DIARIA!O452+CARGA_DIARIA!P452+CARGA_DIARIA!Q452+CARGA_DIARIA!R452+CARGA_DIARIA!S452+CARGA_DIARIA!T452+CARGA_DIARIA!U452+CARGA_DIARIA!V452+CARGA_DIARIA!W452)/CARGA_DIARIA!B452))</f>
        <v/>
      </c>
      <c r="E452" s="36" t="str">
        <f>IF(CARGA_DIARIA!A452="","",IF(CARGA_DIARIA!B452=0,0,(CARGA_DIARIA!X452+CARGA_DIARIA!Y452+CARGA_DIARIA!Z452+CARGA_DIARIA!AA452)/CARGA_DIARIA!B452+CARGA_DIARIA!AB452+CARGA_DIARIA!AC452+CARGA_DIARIA!AD452+CARGA_DIARIA!AE452))</f>
        <v/>
      </c>
      <c r="F452" s="39" t="s">
        <v>146</v>
      </c>
      <c r="G452" s="39" t="s">
        <v>146</v>
      </c>
      <c r="H452" s="38" t="str">
        <f>IF(CARGA_DIARIA!A452="","",C452-D452-E452)</f>
        <v/>
      </c>
    </row>
    <row r="453" spans="1:8" ht="15.75" customHeight="1" x14ac:dyDescent="0.25">
      <c r="A453" s="33" t="str">
        <f>IF(CARGA_DIARIA!A453="","",CARGA_DIARIA!A453)</f>
        <v/>
      </c>
      <c r="B453" s="34" t="str">
        <f>IF(CARGA_DIARIA!A453="","",CARGA_DIARIA!B453)</f>
        <v/>
      </c>
      <c r="C453" s="35" t="str">
        <f>IF(CARGA_DIARIA!A453="","",IF(CARGA_DIARIA!B453=0,0,(CARGA_DIARIA!C453+CARGA_DIARIA!D453+CARGA_DIARIA!E453+CARGA_DIARIA!F453+CARGA_DIARIA!G453+CARGA_DIARIA!H453+CARGA_DIARIA!I453+CARGA_DIARIA!AG453+CARGA_DIARIA!AH453+CARGA_DIARIA!AI453+CARGA_DIARIA!AJ453)/CARGA_DIARIA!B453+CARGA_DIARIA!AF453))</f>
        <v/>
      </c>
      <c r="D453" s="36" t="str">
        <f>IF(CARGA_DIARIA!A453="","",IF(CARGA_DIARIA!B453=0,0,(CARGA_DIARIA!J453+CARGA_DIARIA!K453+CARGA_DIARIA!L453+CARGA_DIARIA!M453+CARGA_DIARIA!N453+CARGA_DIARIA!O453+CARGA_DIARIA!P453+CARGA_DIARIA!Q453+CARGA_DIARIA!R453+CARGA_DIARIA!S453+CARGA_DIARIA!T453+CARGA_DIARIA!U453+CARGA_DIARIA!V453+CARGA_DIARIA!W453)/CARGA_DIARIA!B453))</f>
        <v/>
      </c>
      <c r="E453" s="36" t="str">
        <f>IF(CARGA_DIARIA!A453="","",IF(CARGA_DIARIA!B453=0,0,(CARGA_DIARIA!X453+CARGA_DIARIA!Y453+CARGA_DIARIA!Z453+CARGA_DIARIA!AA453)/CARGA_DIARIA!B453+CARGA_DIARIA!AB453+CARGA_DIARIA!AC453+CARGA_DIARIA!AD453+CARGA_DIARIA!AE453))</f>
        <v/>
      </c>
      <c r="F453" s="39" t="s">
        <v>146</v>
      </c>
      <c r="G453" s="39" t="s">
        <v>146</v>
      </c>
      <c r="H453" s="38" t="str">
        <f>IF(CARGA_DIARIA!A453="","",C453-D453-E453)</f>
        <v/>
      </c>
    </row>
    <row r="454" spans="1:8" ht="15.75" customHeight="1" x14ac:dyDescent="0.25">
      <c r="A454" s="33" t="str">
        <f>IF(CARGA_DIARIA!A454="","",CARGA_DIARIA!A454)</f>
        <v/>
      </c>
      <c r="B454" s="34" t="str">
        <f>IF(CARGA_DIARIA!A454="","",CARGA_DIARIA!B454)</f>
        <v/>
      </c>
      <c r="C454" s="35" t="str">
        <f>IF(CARGA_DIARIA!A454="","",IF(CARGA_DIARIA!B454=0,0,(CARGA_DIARIA!C454+CARGA_DIARIA!D454+CARGA_DIARIA!E454+CARGA_DIARIA!F454+CARGA_DIARIA!G454+CARGA_DIARIA!H454+CARGA_DIARIA!I454+CARGA_DIARIA!AG454+CARGA_DIARIA!AH454+CARGA_DIARIA!AI454+CARGA_DIARIA!AJ454)/CARGA_DIARIA!B454+CARGA_DIARIA!AF454))</f>
        <v/>
      </c>
      <c r="D454" s="36" t="str">
        <f>IF(CARGA_DIARIA!A454="","",IF(CARGA_DIARIA!B454=0,0,(CARGA_DIARIA!J454+CARGA_DIARIA!K454+CARGA_DIARIA!L454+CARGA_DIARIA!M454+CARGA_DIARIA!N454+CARGA_DIARIA!O454+CARGA_DIARIA!P454+CARGA_DIARIA!Q454+CARGA_DIARIA!R454+CARGA_DIARIA!S454+CARGA_DIARIA!T454+CARGA_DIARIA!U454+CARGA_DIARIA!V454+CARGA_DIARIA!W454)/CARGA_DIARIA!B454))</f>
        <v/>
      </c>
      <c r="E454" s="36" t="str">
        <f>IF(CARGA_DIARIA!A454="","",IF(CARGA_DIARIA!B454=0,0,(CARGA_DIARIA!X454+CARGA_DIARIA!Y454+CARGA_DIARIA!Z454+CARGA_DIARIA!AA454)/CARGA_DIARIA!B454+CARGA_DIARIA!AB454+CARGA_DIARIA!AC454+CARGA_DIARIA!AD454+CARGA_DIARIA!AE454))</f>
        <v/>
      </c>
      <c r="F454" s="39" t="s">
        <v>146</v>
      </c>
      <c r="G454" s="39" t="s">
        <v>146</v>
      </c>
      <c r="H454" s="38" t="str">
        <f>IF(CARGA_DIARIA!A454="","",C454-D454-E454)</f>
        <v/>
      </c>
    </row>
    <row r="455" spans="1:8" ht="15.75" customHeight="1" x14ac:dyDescent="0.25">
      <c r="A455" s="33" t="str">
        <f>IF(CARGA_DIARIA!A455="","",CARGA_DIARIA!A455)</f>
        <v/>
      </c>
      <c r="B455" s="34" t="str">
        <f>IF(CARGA_DIARIA!A455="","",CARGA_DIARIA!B455)</f>
        <v/>
      </c>
      <c r="C455" s="35" t="str">
        <f>IF(CARGA_DIARIA!A455="","",IF(CARGA_DIARIA!B455=0,0,(CARGA_DIARIA!C455+CARGA_DIARIA!D455+CARGA_DIARIA!E455+CARGA_DIARIA!F455+CARGA_DIARIA!G455+CARGA_DIARIA!H455+CARGA_DIARIA!I455+CARGA_DIARIA!AG455+CARGA_DIARIA!AH455+CARGA_DIARIA!AI455+CARGA_DIARIA!AJ455)/CARGA_DIARIA!B455+CARGA_DIARIA!AF455))</f>
        <v/>
      </c>
      <c r="D455" s="36" t="str">
        <f>IF(CARGA_DIARIA!A455="","",IF(CARGA_DIARIA!B455=0,0,(CARGA_DIARIA!J455+CARGA_DIARIA!K455+CARGA_DIARIA!L455+CARGA_DIARIA!M455+CARGA_DIARIA!N455+CARGA_DIARIA!O455+CARGA_DIARIA!P455+CARGA_DIARIA!Q455+CARGA_DIARIA!R455+CARGA_DIARIA!S455+CARGA_DIARIA!T455+CARGA_DIARIA!U455+CARGA_DIARIA!V455+CARGA_DIARIA!W455)/CARGA_DIARIA!B455))</f>
        <v/>
      </c>
      <c r="E455" s="36" t="str">
        <f>IF(CARGA_DIARIA!A455="","",IF(CARGA_DIARIA!B455=0,0,(CARGA_DIARIA!X455+CARGA_DIARIA!Y455+CARGA_DIARIA!Z455+CARGA_DIARIA!AA455)/CARGA_DIARIA!B455+CARGA_DIARIA!AB455+CARGA_DIARIA!AC455+CARGA_DIARIA!AD455+CARGA_DIARIA!AE455))</f>
        <v/>
      </c>
      <c r="F455" s="39" t="s">
        <v>146</v>
      </c>
      <c r="G455" s="39" t="s">
        <v>146</v>
      </c>
      <c r="H455" s="38" t="str">
        <f>IF(CARGA_DIARIA!A455="","",C455-D455-E455)</f>
        <v/>
      </c>
    </row>
    <row r="456" spans="1:8" ht="15.75" customHeight="1" x14ac:dyDescent="0.25">
      <c r="A456" s="33" t="str">
        <f>IF(CARGA_DIARIA!A456="","",CARGA_DIARIA!A456)</f>
        <v/>
      </c>
      <c r="B456" s="34" t="str">
        <f>IF(CARGA_DIARIA!A456="","",CARGA_DIARIA!B456)</f>
        <v/>
      </c>
      <c r="C456" s="35" t="str">
        <f>IF(CARGA_DIARIA!A456="","",IF(CARGA_DIARIA!B456=0,0,(CARGA_DIARIA!C456+CARGA_DIARIA!D456+CARGA_DIARIA!E456+CARGA_DIARIA!F456+CARGA_DIARIA!G456+CARGA_DIARIA!H456+CARGA_DIARIA!I456+CARGA_DIARIA!AG456+CARGA_DIARIA!AH456+CARGA_DIARIA!AI456+CARGA_DIARIA!AJ456)/CARGA_DIARIA!B456+CARGA_DIARIA!AF456))</f>
        <v/>
      </c>
      <c r="D456" s="36" t="str">
        <f>IF(CARGA_DIARIA!A456="","",IF(CARGA_DIARIA!B456=0,0,(CARGA_DIARIA!J456+CARGA_DIARIA!K456+CARGA_DIARIA!L456+CARGA_DIARIA!M456+CARGA_DIARIA!N456+CARGA_DIARIA!O456+CARGA_DIARIA!P456+CARGA_DIARIA!Q456+CARGA_DIARIA!R456+CARGA_DIARIA!S456+CARGA_DIARIA!T456+CARGA_DIARIA!U456+CARGA_DIARIA!V456+CARGA_DIARIA!W456)/CARGA_DIARIA!B456))</f>
        <v/>
      </c>
      <c r="E456" s="36" t="str">
        <f>IF(CARGA_DIARIA!A456="","",IF(CARGA_DIARIA!B456=0,0,(CARGA_DIARIA!X456+CARGA_DIARIA!Y456+CARGA_DIARIA!Z456+CARGA_DIARIA!AA456)/CARGA_DIARIA!B456+CARGA_DIARIA!AB456+CARGA_DIARIA!AC456+CARGA_DIARIA!AD456+CARGA_DIARIA!AE456))</f>
        <v/>
      </c>
      <c r="F456" s="39" t="s">
        <v>146</v>
      </c>
      <c r="G456" s="39" t="s">
        <v>146</v>
      </c>
      <c r="H456" s="38" t="str">
        <f>IF(CARGA_DIARIA!A456="","",C456-D456-E456)</f>
        <v/>
      </c>
    </row>
    <row r="457" spans="1:8" ht="15.75" customHeight="1" x14ac:dyDescent="0.25">
      <c r="A457" s="33" t="str">
        <f>IF(CARGA_DIARIA!A457="","",CARGA_DIARIA!A457)</f>
        <v/>
      </c>
      <c r="B457" s="34" t="str">
        <f>IF(CARGA_DIARIA!A457="","",CARGA_DIARIA!B457)</f>
        <v/>
      </c>
      <c r="C457" s="35" t="str">
        <f>IF(CARGA_DIARIA!A457="","",IF(CARGA_DIARIA!B457=0,0,(CARGA_DIARIA!C457+CARGA_DIARIA!D457+CARGA_DIARIA!E457+CARGA_DIARIA!F457+CARGA_DIARIA!G457+CARGA_DIARIA!H457+CARGA_DIARIA!I457+CARGA_DIARIA!AG457+CARGA_DIARIA!AH457+CARGA_DIARIA!AI457+CARGA_DIARIA!AJ457)/CARGA_DIARIA!B457+CARGA_DIARIA!AF457))</f>
        <v/>
      </c>
      <c r="D457" s="36" t="str">
        <f>IF(CARGA_DIARIA!A457="","",IF(CARGA_DIARIA!B457=0,0,(CARGA_DIARIA!J457+CARGA_DIARIA!K457+CARGA_DIARIA!L457+CARGA_DIARIA!M457+CARGA_DIARIA!N457+CARGA_DIARIA!O457+CARGA_DIARIA!P457+CARGA_DIARIA!Q457+CARGA_DIARIA!R457+CARGA_DIARIA!S457+CARGA_DIARIA!T457+CARGA_DIARIA!U457+CARGA_DIARIA!V457+CARGA_DIARIA!W457)/CARGA_DIARIA!B457))</f>
        <v/>
      </c>
      <c r="E457" s="36" t="str">
        <f>IF(CARGA_DIARIA!A457="","",IF(CARGA_DIARIA!B457=0,0,(CARGA_DIARIA!X457+CARGA_DIARIA!Y457+CARGA_DIARIA!Z457+CARGA_DIARIA!AA457)/CARGA_DIARIA!B457+CARGA_DIARIA!AB457+CARGA_DIARIA!AC457+CARGA_DIARIA!AD457+CARGA_DIARIA!AE457))</f>
        <v/>
      </c>
      <c r="F457" s="39" t="s">
        <v>146</v>
      </c>
      <c r="G457" s="39" t="s">
        <v>146</v>
      </c>
      <c r="H457" s="38" t="str">
        <f>IF(CARGA_DIARIA!A457="","",C457-D457-E457)</f>
        <v/>
      </c>
    </row>
    <row r="458" spans="1:8" ht="15.75" customHeight="1" x14ac:dyDescent="0.25">
      <c r="A458" s="33" t="str">
        <f>IF(CARGA_DIARIA!A458="","",CARGA_DIARIA!A458)</f>
        <v/>
      </c>
      <c r="B458" s="34" t="str">
        <f>IF(CARGA_DIARIA!A458="","",CARGA_DIARIA!B458)</f>
        <v/>
      </c>
      <c r="C458" s="35" t="str">
        <f>IF(CARGA_DIARIA!A458="","",IF(CARGA_DIARIA!B458=0,0,(CARGA_DIARIA!C458+CARGA_DIARIA!D458+CARGA_DIARIA!E458+CARGA_DIARIA!F458+CARGA_DIARIA!G458+CARGA_DIARIA!H458+CARGA_DIARIA!I458+CARGA_DIARIA!AG458+CARGA_DIARIA!AH458+CARGA_DIARIA!AI458+CARGA_DIARIA!AJ458)/CARGA_DIARIA!B458+CARGA_DIARIA!AF458))</f>
        <v/>
      </c>
      <c r="D458" s="36" t="str">
        <f>IF(CARGA_DIARIA!A458="","",IF(CARGA_DIARIA!B458=0,0,(CARGA_DIARIA!J458+CARGA_DIARIA!K458+CARGA_DIARIA!L458+CARGA_DIARIA!M458+CARGA_DIARIA!N458+CARGA_DIARIA!O458+CARGA_DIARIA!P458+CARGA_DIARIA!Q458+CARGA_DIARIA!R458+CARGA_DIARIA!S458+CARGA_DIARIA!T458+CARGA_DIARIA!U458+CARGA_DIARIA!V458+CARGA_DIARIA!W458)/CARGA_DIARIA!B458))</f>
        <v/>
      </c>
      <c r="E458" s="36" t="str">
        <f>IF(CARGA_DIARIA!A458="","",IF(CARGA_DIARIA!B458=0,0,(CARGA_DIARIA!X458+CARGA_DIARIA!Y458+CARGA_DIARIA!Z458+CARGA_DIARIA!AA458)/CARGA_DIARIA!B458+CARGA_DIARIA!AB458+CARGA_DIARIA!AC458+CARGA_DIARIA!AD458+CARGA_DIARIA!AE458))</f>
        <v/>
      </c>
      <c r="F458" s="39" t="s">
        <v>146</v>
      </c>
      <c r="G458" s="39" t="s">
        <v>146</v>
      </c>
      <c r="H458" s="38" t="str">
        <f>IF(CARGA_DIARIA!A458="","",C458-D458-E458)</f>
        <v/>
      </c>
    </row>
    <row r="459" spans="1:8" ht="15.75" customHeight="1" x14ac:dyDescent="0.25">
      <c r="A459" s="33" t="str">
        <f>IF(CARGA_DIARIA!A459="","",CARGA_DIARIA!A459)</f>
        <v/>
      </c>
      <c r="B459" s="34" t="str">
        <f>IF(CARGA_DIARIA!A459="","",CARGA_DIARIA!B459)</f>
        <v/>
      </c>
      <c r="C459" s="35" t="str">
        <f>IF(CARGA_DIARIA!A459="","",IF(CARGA_DIARIA!B459=0,0,(CARGA_DIARIA!C459+CARGA_DIARIA!D459+CARGA_DIARIA!E459+CARGA_DIARIA!F459+CARGA_DIARIA!G459+CARGA_DIARIA!H459+CARGA_DIARIA!I459+CARGA_DIARIA!AG459+CARGA_DIARIA!AH459+CARGA_DIARIA!AI459+CARGA_DIARIA!AJ459)/CARGA_DIARIA!B459+CARGA_DIARIA!AF459))</f>
        <v/>
      </c>
      <c r="D459" s="36" t="str">
        <f>IF(CARGA_DIARIA!A459="","",IF(CARGA_DIARIA!B459=0,0,(CARGA_DIARIA!J459+CARGA_DIARIA!K459+CARGA_DIARIA!L459+CARGA_DIARIA!M459+CARGA_DIARIA!N459+CARGA_DIARIA!O459+CARGA_DIARIA!P459+CARGA_DIARIA!Q459+CARGA_DIARIA!R459+CARGA_DIARIA!S459+CARGA_DIARIA!T459+CARGA_DIARIA!U459+CARGA_DIARIA!V459+CARGA_DIARIA!W459)/CARGA_DIARIA!B459))</f>
        <v/>
      </c>
      <c r="E459" s="36" t="str">
        <f>IF(CARGA_DIARIA!A459="","",IF(CARGA_DIARIA!B459=0,0,(CARGA_DIARIA!X459+CARGA_DIARIA!Y459+CARGA_DIARIA!Z459+CARGA_DIARIA!AA459)/CARGA_DIARIA!B459+CARGA_DIARIA!AB459+CARGA_DIARIA!AC459+CARGA_DIARIA!AD459+CARGA_DIARIA!AE459))</f>
        <v/>
      </c>
      <c r="F459" s="39" t="s">
        <v>146</v>
      </c>
      <c r="G459" s="39" t="s">
        <v>146</v>
      </c>
      <c r="H459" s="38" t="str">
        <f>IF(CARGA_DIARIA!A459="","",C459-D459-E459)</f>
        <v/>
      </c>
    </row>
    <row r="460" spans="1:8" ht="15.75" customHeight="1" x14ac:dyDescent="0.25">
      <c r="A460" s="33" t="str">
        <f>IF(CARGA_DIARIA!A460="","",CARGA_DIARIA!A460)</f>
        <v/>
      </c>
      <c r="B460" s="34" t="str">
        <f>IF(CARGA_DIARIA!A460="","",CARGA_DIARIA!B460)</f>
        <v/>
      </c>
      <c r="C460" s="35" t="str">
        <f>IF(CARGA_DIARIA!A460="","",IF(CARGA_DIARIA!B460=0,0,(CARGA_DIARIA!C460+CARGA_DIARIA!D460+CARGA_DIARIA!E460+CARGA_DIARIA!F460+CARGA_DIARIA!G460+CARGA_DIARIA!H460+CARGA_DIARIA!I460+CARGA_DIARIA!AG460+CARGA_DIARIA!AH460+CARGA_DIARIA!AI460+CARGA_DIARIA!AJ460)/CARGA_DIARIA!B460+CARGA_DIARIA!AF460))</f>
        <v/>
      </c>
      <c r="D460" s="36" t="str">
        <f>IF(CARGA_DIARIA!A460="","",IF(CARGA_DIARIA!B460=0,0,(CARGA_DIARIA!J460+CARGA_DIARIA!K460+CARGA_DIARIA!L460+CARGA_DIARIA!M460+CARGA_DIARIA!N460+CARGA_DIARIA!O460+CARGA_DIARIA!P460+CARGA_DIARIA!Q460+CARGA_DIARIA!R460+CARGA_DIARIA!S460+CARGA_DIARIA!T460+CARGA_DIARIA!U460+CARGA_DIARIA!V460+CARGA_DIARIA!W460)/CARGA_DIARIA!B460))</f>
        <v/>
      </c>
      <c r="E460" s="36" t="str">
        <f>IF(CARGA_DIARIA!A460="","",IF(CARGA_DIARIA!B460=0,0,(CARGA_DIARIA!X460+CARGA_DIARIA!Y460+CARGA_DIARIA!Z460+CARGA_DIARIA!AA460)/CARGA_DIARIA!B460+CARGA_DIARIA!AB460+CARGA_DIARIA!AC460+CARGA_DIARIA!AD460+CARGA_DIARIA!AE460))</f>
        <v/>
      </c>
      <c r="F460" s="39" t="s">
        <v>146</v>
      </c>
      <c r="G460" s="39" t="s">
        <v>146</v>
      </c>
      <c r="H460" s="38" t="str">
        <f>IF(CARGA_DIARIA!A460="","",C460-D460-E460)</f>
        <v/>
      </c>
    </row>
    <row r="461" spans="1:8" ht="15.75" customHeight="1" x14ac:dyDescent="0.25">
      <c r="A461" s="33" t="str">
        <f>IF(CARGA_DIARIA!A461="","",CARGA_DIARIA!A461)</f>
        <v/>
      </c>
      <c r="B461" s="34" t="str">
        <f>IF(CARGA_DIARIA!A461="","",CARGA_DIARIA!B461)</f>
        <v/>
      </c>
      <c r="C461" s="35" t="str">
        <f>IF(CARGA_DIARIA!A461="","",IF(CARGA_DIARIA!B461=0,0,(CARGA_DIARIA!C461+CARGA_DIARIA!D461+CARGA_DIARIA!E461+CARGA_DIARIA!F461+CARGA_DIARIA!G461+CARGA_DIARIA!H461+CARGA_DIARIA!I461+CARGA_DIARIA!AG461+CARGA_DIARIA!AH461+CARGA_DIARIA!AI461+CARGA_DIARIA!AJ461)/CARGA_DIARIA!B461+CARGA_DIARIA!AF461))</f>
        <v/>
      </c>
      <c r="D461" s="36" t="str">
        <f>IF(CARGA_DIARIA!A461="","",IF(CARGA_DIARIA!B461=0,0,(CARGA_DIARIA!J461+CARGA_DIARIA!K461+CARGA_DIARIA!L461+CARGA_DIARIA!M461+CARGA_DIARIA!N461+CARGA_DIARIA!O461+CARGA_DIARIA!P461+CARGA_DIARIA!Q461+CARGA_DIARIA!R461+CARGA_DIARIA!S461+CARGA_DIARIA!T461+CARGA_DIARIA!U461+CARGA_DIARIA!V461+CARGA_DIARIA!W461)/CARGA_DIARIA!B461))</f>
        <v/>
      </c>
      <c r="E461" s="36" t="str">
        <f>IF(CARGA_DIARIA!A461="","",IF(CARGA_DIARIA!B461=0,0,(CARGA_DIARIA!X461+CARGA_DIARIA!Y461+CARGA_DIARIA!Z461+CARGA_DIARIA!AA461)/CARGA_DIARIA!B461+CARGA_DIARIA!AB461+CARGA_DIARIA!AC461+CARGA_DIARIA!AD461+CARGA_DIARIA!AE461))</f>
        <v/>
      </c>
      <c r="F461" s="39" t="s">
        <v>146</v>
      </c>
      <c r="G461" s="39" t="s">
        <v>146</v>
      </c>
      <c r="H461" s="38" t="str">
        <f>IF(CARGA_DIARIA!A461="","",C461-D461-E461)</f>
        <v/>
      </c>
    </row>
    <row r="462" spans="1:8" ht="15.75" customHeight="1" x14ac:dyDescent="0.25">
      <c r="A462" s="33" t="str">
        <f>IF(CARGA_DIARIA!A462="","",CARGA_DIARIA!A462)</f>
        <v/>
      </c>
      <c r="B462" s="34" t="str">
        <f>IF(CARGA_DIARIA!A462="","",CARGA_DIARIA!B462)</f>
        <v/>
      </c>
      <c r="C462" s="35" t="str">
        <f>IF(CARGA_DIARIA!A462="","",IF(CARGA_DIARIA!B462=0,0,(CARGA_DIARIA!C462+CARGA_DIARIA!D462+CARGA_DIARIA!E462+CARGA_DIARIA!F462+CARGA_DIARIA!G462+CARGA_DIARIA!H462+CARGA_DIARIA!I462+CARGA_DIARIA!AG462+CARGA_DIARIA!AH462+CARGA_DIARIA!AI462+CARGA_DIARIA!AJ462)/CARGA_DIARIA!B462+CARGA_DIARIA!AF462))</f>
        <v/>
      </c>
      <c r="D462" s="36" t="str">
        <f>IF(CARGA_DIARIA!A462="","",IF(CARGA_DIARIA!B462=0,0,(CARGA_DIARIA!J462+CARGA_DIARIA!K462+CARGA_DIARIA!L462+CARGA_DIARIA!M462+CARGA_DIARIA!N462+CARGA_DIARIA!O462+CARGA_DIARIA!P462+CARGA_DIARIA!Q462+CARGA_DIARIA!R462+CARGA_DIARIA!S462+CARGA_DIARIA!T462+CARGA_DIARIA!U462+CARGA_DIARIA!V462+CARGA_DIARIA!W462)/CARGA_DIARIA!B462))</f>
        <v/>
      </c>
      <c r="E462" s="36" t="str">
        <f>IF(CARGA_DIARIA!A462="","",IF(CARGA_DIARIA!B462=0,0,(CARGA_DIARIA!X462+CARGA_DIARIA!Y462+CARGA_DIARIA!Z462+CARGA_DIARIA!AA462)/CARGA_DIARIA!B462+CARGA_DIARIA!AB462+CARGA_DIARIA!AC462+CARGA_DIARIA!AD462+CARGA_DIARIA!AE462))</f>
        <v/>
      </c>
      <c r="F462" s="39" t="s">
        <v>146</v>
      </c>
      <c r="G462" s="39" t="s">
        <v>146</v>
      </c>
      <c r="H462" s="38" t="str">
        <f>IF(CARGA_DIARIA!A462="","",C462-D462-E462)</f>
        <v/>
      </c>
    </row>
    <row r="463" spans="1:8" ht="15.75" customHeight="1" x14ac:dyDescent="0.25">
      <c r="A463" s="33" t="str">
        <f>IF(CARGA_DIARIA!A463="","",CARGA_DIARIA!A463)</f>
        <v/>
      </c>
      <c r="B463" s="34" t="str">
        <f>IF(CARGA_DIARIA!A463="","",CARGA_DIARIA!B463)</f>
        <v/>
      </c>
      <c r="C463" s="35" t="str">
        <f>IF(CARGA_DIARIA!A463="","",IF(CARGA_DIARIA!B463=0,0,(CARGA_DIARIA!C463+CARGA_DIARIA!D463+CARGA_DIARIA!E463+CARGA_DIARIA!F463+CARGA_DIARIA!G463+CARGA_DIARIA!H463+CARGA_DIARIA!I463+CARGA_DIARIA!AG463+CARGA_DIARIA!AH463+CARGA_DIARIA!AI463+CARGA_DIARIA!AJ463)/CARGA_DIARIA!B463+CARGA_DIARIA!AF463))</f>
        <v/>
      </c>
      <c r="D463" s="36" t="str">
        <f>IF(CARGA_DIARIA!A463="","",IF(CARGA_DIARIA!B463=0,0,(CARGA_DIARIA!J463+CARGA_DIARIA!K463+CARGA_DIARIA!L463+CARGA_DIARIA!M463+CARGA_DIARIA!N463+CARGA_DIARIA!O463+CARGA_DIARIA!P463+CARGA_DIARIA!Q463+CARGA_DIARIA!R463+CARGA_DIARIA!S463+CARGA_DIARIA!T463+CARGA_DIARIA!U463+CARGA_DIARIA!V463+CARGA_DIARIA!W463)/CARGA_DIARIA!B463))</f>
        <v/>
      </c>
      <c r="E463" s="36" t="str">
        <f>IF(CARGA_DIARIA!A463="","",IF(CARGA_DIARIA!B463=0,0,(CARGA_DIARIA!X463+CARGA_DIARIA!Y463+CARGA_DIARIA!Z463+CARGA_DIARIA!AA463)/CARGA_DIARIA!B463+CARGA_DIARIA!AB463+CARGA_DIARIA!AC463+CARGA_DIARIA!AD463+CARGA_DIARIA!AE463))</f>
        <v/>
      </c>
      <c r="F463" s="39" t="s">
        <v>146</v>
      </c>
      <c r="G463" s="39" t="s">
        <v>146</v>
      </c>
      <c r="H463" s="38" t="str">
        <f>IF(CARGA_DIARIA!A463="","",C463-D463-E463)</f>
        <v/>
      </c>
    </row>
    <row r="464" spans="1:8" ht="15.75" customHeight="1" x14ac:dyDescent="0.25">
      <c r="A464" s="33" t="str">
        <f>IF(CARGA_DIARIA!A464="","",CARGA_DIARIA!A464)</f>
        <v/>
      </c>
      <c r="B464" s="34" t="str">
        <f>IF(CARGA_DIARIA!A464="","",CARGA_DIARIA!B464)</f>
        <v/>
      </c>
      <c r="C464" s="35" t="str">
        <f>IF(CARGA_DIARIA!A464="","",IF(CARGA_DIARIA!B464=0,0,(CARGA_DIARIA!C464+CARGA_DIARIA!D464+CARGA_DIARIA!E464+CARGA_DIARIA!F464+CARGA_DIARIA!G464+CARGA_DIARIA!H464+CARGA_DIARIA!I464+CARGA_DIARIA!AG464+CARGA_DIARIA!AH464+CARGA_DIARIA!AI464+CARGA_DIARIA!AJ464)/CARGA_DIARIA!B464+CARGA_DIARIA!AF464))</f>
        <v/>
      </c>
      <c r="D464" s="36" t="str">
        <f>IF(CARGA_DIARIA!A464="","",IF(CARGA_DIARIA!B464=0,0,(CARGA_DIARIA!J464+CARGA_DIARIA!K464+CARGA_DIARIA!L464+CARGA_DIARIA!M464+CARGA_DIARIA!N464+CARGA_DIARIA!O464+CARGA_DIARIA!P464+CARGA_DIARIA!Q464+CARGA_DIARIA!R464+CARGA_DIARIA!S464+CARGA_DIARIA!T464+CARGA_DIARIA!U464+CARGA_DIARIA!V464+CARGA_DIARIA!W464)/CARGA_DIARIA!B464))</f>
        <v/>
      </c>
      <c r="E464" s="36" t="str">
        <f>IF(CARGA_DIARIA!A464="","",IF(CARGA_DIARIA!B464=0,0,(CARGA_DIARIA!X464+CARGA_DIARIA!Y464+CARGA_DIARIA!Z464+CARGA_DIARIA!AA464)/CARGA_DIARIA!B464+CARGA_DIARIA!AB464+CARGA_DIARIA!AC464+CARGA_DIARIA!AD464+CARGA_DIARIA!AE464))</f>
        <v/>
      </c>
      <c r="F464" s="39" t="s">
        <v>146</v>
      </c>
      <c r="G464" s="39" t="s">
        <v>146</v>
      </c>
      <c r="H464" s="38" t="str">
        <f>IF(CARGA_DIARIA!A464="","",C464-D464-E464)</f>
        <v/>
      </c>
    </row>
    <row r="465" spans="1:8" ht="15.75" customHeight="1" x14ac:dyDescent="0.25">
      <c r="A465" s="33" t="str">
        <f>IF(CARGA_DIARIA!A465="","",CARGA_DIARIA!A465)</f>
        <v/>
      </c>
      <c r="B465" s="34" t="str">
        <f>IF(CARGA_DIARIA!A465="","",CARGA_DIARIA!B465)</f>
        <v/>
      </c>
      <c r="C465" s="35" t="str">
        <f>IF(CARGA_DIARIA!A465="","",IF(CARGA_DIARIA!B465=0,0,(CARGA_DIARIA!C465+CARGA_DIARIA!D465+CARGA_DIARIA!E465+CARGA_DIARIA!F465+CARGA_DIARIA!G465+CARGA_DIARIA!H465+CARGA_DIARIA!I465+CARGA_DIARIA!AG465+CARGA_DIARIA!AH465+CARGA_DIARIA!AI465+CARGA_DIARIA!AJ465)/CARGA_DIARIA!B465+CARGA_DIARIA!AF465))</f>
        <v/>
      </c>
      <c r="D465" s="36" t="str">
        <f>IF(CARGA_DIARIA!A465="","",IF(CARGA_DIARIA!B465=0,0,(CARGA_DIARIA!J465+CARGA_DIARIA!K465+CARGA_DIARIA!L465+CARGA_DIARIA!M465+CARGA_DIARIA!N465+CARGA_DIARIA!O465+CARGA_DIARIA!P465+CARGA_DIARIA!Q465+CARGA_DIARIA!R465+CARGA_DIARIA!S465+CARGA_DIARIA!T465+CARGA_DIARIA!U465+CARGA_DIARIA!V465+CARGA_DIARIA!W465)/CARGA_DIARIA!B465))</f>
        <v/>
      </c>
      <c r="E465" s="36" t="str">
        <f>IF(CARGA_DIARIA!A465="","",IF(CARGA_DIARIA!B465=0,0,(CARGA_DIARIA!X465+CARGA_DIARIA!Y465+CARGA_DIARIA!Z465+CARGA_DIARIA!AA465)/CARGA_DIARIA!B465+CARGA_DIARIA!AB465+CARGA_DIARIA!AC465+CARGA_DIARIA!AD465+CARGA_DIARIA!AE465))</f>
        <v/>
      </c>
      <c r="F465" s="39" t="s">
        <v>146</v>
      </c>
      <c r="G465" s="39" t="s">
        <v>146</v>
      </c>
      <c r="H465" s="38" t="str">
        <f>IF(CARGA_DIARIA!A465="","",C465-D465-E465)</f>
        <v/>
      </c>
    </row>
    <row r="466" spans="1:8" ht="15.75" customHeight="1" x14ac:dyDescent="0.25">
      <c r="A466" s="33" t="str">
        <f>IF(CARGA_DIARIA!A466="","",CARGA_DIARIA!A466)</f>
        <v/>
      </c>
      <c r="B466" s="34" t="str">
        <f>IF(CARGA_DIARIA!A466="","",CARGA_DIARIA!B466)</f>
        <v/>
      </c>
      <c r="C466" s="35" t="str">
        <f>IF(CARGA_DIARIA!A466="","",IF(CARGA_DIARIA!B466=0,0,(CARGA_DIARIA!C466+CARGA_DIARIA!D466+CARGA_DIARIA!E466+CARGA_DIARIA!F466+CARGA_DIARIA!G466+CARGA_DIARIA!H466+CARGA_DIARIA!I466+CARGA_DIARIA!AG466+CARGA_DIARIA!AH466+CARGA_DIARIA!AI466+CARGA_DIARIA!AJ466)/CARGA_DIARIA!B466+CARGA_DIARIA!AF466))</f>
        <v/>
      </c>
      <c r="D466" s="36" t="str">
        <f>IF(CARGA_DIARIA!A466="","",IF(CARGA_DIARIA!B466=0,0,(CARGA_DIARIA!J466+CARGA_DIARIA!K466+CARGA_DIARIA!L466+CARGA_DIARIA!M466+CARGA_DIARIA!N466+CARGA_DIARIA!O466+CARGA_DIARIA!P466+CARGA_DIARIA!Q466+CARGA_DIARIA!R466+CARGA_DIARIA!S466+CARGA_DIARIA!T466+CARGA_DIARIA!U466+CARGA_DIARIA!V466+CARGA_DIARIA!W466)/CARGA_DIARIA!B466))</f>
        <v/>
      </c>
      <c r="E466" s="36" t="str">
        <f>IF(CARGA_DIARIA!A466="","",IF(CARGA_DIARIA!B466=0,0,(CARGA_DIARIA!X466+CARGA_DIARIA!Y466+CARGA_DIARIA!Z466+CARGA_DIARIA!AA466)/CARGA_DIARIA!B466+CARGA_DIARIA!AB466+CARGA_DIARIA!AC466+CARGA_DIARIA!AD466+CARGA_DIARIA!AE466))</f>
        <v/>
      </c>
      <c r="F466" s="39" t="s">
        <v>146</v>
      </c>
      <c r="G466" s="39" t="s">
        <v>146</v>
      </c>
      <c r="H466" s="38" t="str">
        <f>IF(CARGA_DIARIA!A466="","",C466-D466-E466)</f>
        <v/>
      </c>
    </row>
    <row r="467" spans="1:8" ht="15.75" customHeight="1" x14ac:dyDescent="0.25">
      <c r="A467" s="33" t="str">
        <f>IF(CARGA_DIARIA!A467="","",CARGA_DIARIA!A467)</f>
        <v/>
      </c>
      <c r="B467" s="34" t="str">
        <f>IF(CARGA_DIARIA!A467="","",CARGA_DIARIA!B467)</f>
        <v/>
      </c>
      <c r="C467" s="35" t="str">
        <f>IF(CARGA_DIARIA!A467="","",IF(CARGA_DIARIA!B467=0,0,(CARGA_DIARIA!C467+CARGA_DIARIA!D467+CARGA_DIARIA!E467+CARGA_DIARIA!F467+CARGA_DIARIA!G467+CARGA_DIARIA!H467+CARGA_DIARIA!I467+CARGA_DIARIA!AG467+CARGA_DIARIA!AH467+CARGA_DIARIA!AI467+CARGA_DIARIA!AJ467)/CARGA_DIARIA!B467+CARGA_DIARIA!AF467))</f>
        <v/>
      </c>
      <c r="D467" s="36" t="str">
        <f>IF(CARGA_DIARIA!A467="","",IF(CARGA_DIARIA!B467=0,0,(CARGA_DIARIA!J467+CARGA_DIARIA!K467+CARGA_DIARIA!L467+CARGA_DIARIA!M467+CARGA_DIARIA!N467+CARGA_DIARIA!O467+CARGA_DIARIA!P467+CARGA_DIARIA!Q467+CARGA_DIARIA!R467+CARGA_DIARIA!S467+CARGA_DIARIA!T467+CARGA_DIARIA!U467+CARGA_DIARIA!V467+CARGA_DIARIA!W467)/CARGA_DIARIA!B467))</f>
        <v/>
      </c>
      <c r="E467" s="36" t="str">
        <f>IF(CARGA_DIARIA!A467="","",IF(CARGA_DIARIA!B467=0,0,(CARGA_DIARIA!X467+CARGA_DIARIA!Y467+CARGA_DIARIA!Z467+CARGA_DIARIA!AA467)/CARGA_DIARIA!B467+CARGA_DIARIA!AB467+CARGA_DIARIA!AC467+CARGA_DIARIA!AD467+CARGA_DIARIA!AE467))</f>
        <v/>
      </c>
      <c r="F467" s="39" t="s">
        <v>146</v>
      </c>
      <c r="G467" s="39" t="s">
        <v>146</v>
      </c>
      <c r="H467" s="38" t="str">
        <f>IF(CARGA_DIARIA!A467="","",C467-D467-E467)</f>
        <v/>
      </c>
    </row>
    <row r="468" spans="1:8" ht="15.75" customHeight="1" x14ac:dyDescent="0.25">
      <c r="A468" s="33" t="str">
        <f>IF(CARGA_DIARIA!A468="","",CARGA_DIARIA!A468)</f>
        <v/>
      </c>
      <c r="B468" s="34" t="str">
        <f>IF(CARGA_DIARIA!A468="","",CARGA_DIARIA!B468)</f>
        <v/>
      </c>
      <c r="C468" s="35" t="str">
        <f>IF(CARGA_DIARIA!A468="","",IF(CARGA_DIARIA!B468=0,0,(CARGA_DIARIA!C468+CARGA_DIARIA!D468+CARGA_DIARIA!E468+CARGA_DIARIA!F468+CARGA_DIARIA!G468+CARGA_DIARIA!H468+CARGA_DIARIA!I468+CARGA_DIARIA!AG468+CARGA_DIARIA!AH468+CARGA_DIARIA!AI468+CARGA_DIARIA!AJ468)/CARGA_DIARIA!B468+CARGA_DIARIA!AF468))</f>
        <v/>
      </c>
      <c r="D468" s="36" t="str">
        <f>IF(CARGA_DIARIA!A468="","",IF(CARGA_DIARIA!B468=0,0,(CARGA_DIARIA!J468+CARGA_DIARIA!K468+CARGA_DIARIA!L468+CARGA_DIARIA!M468+CARGA_DIARIA!N468+CARGA_DIARIA!O468+CARGA_DIARIA!P468+CARGA_DIARIA!Q468+CARGA_DIARIA!R468+CARGA_DIARIA!S468+CARGA_DIARIA!T468+CARGA_DIARIA!U468+CARGA_DIARIA!V468+CARGA_DIARIA!W468)/CARGA_DIARIA!B468))</f>
        <v/>
      </c>
      <c r="E468" s="36" t="str">
        <f>IF(CARGA_DIARIA!A468="","",IF(CARGA_DIARIA!B468=0,0,(CARGA_DIARIA!X468+CARGA_DIARIA!Y468+CARGA_DIARIA!Z468+CARGA_DIARIA!AA468)/CARGA_DIARIA!B468+CARGA_DIARIA!AB468+CARGA_DIARIA!AC468+CARGA_DIARIA!AD468+CARGA_DIARIA!AE468))</f>
        <v/>
      </c>
      <c r="F468" s="39" t="s">
        <v>146</v>
      </c>
      <c r="G468" s="39" t="s">
        <v>146</v>
      </c>
      <c r="H468" s="38" t="str">
        <f>IF(CARGA_DIARIA!A468="","",C468-D468-E468)</f>
        <v/>
      </c>
    </row>
    <row r="469" spans="1:8" ht="15.75" customHeight="1" x14ac:dyDescent="0.25">
      <c r="A469" s="33" t="str">
        <f>IF(CARGA_DIARIA!A469="","",CARGA_DIARIA!A469)</f>
        <v/>
      </c>
      <c r="B469" s="34" t="str">
        <f>IF(CARGA_DIARIA!A469="","",CARGA_DIARIA!B469)</f>
        <v/>
      </c>
      <c r="C469" s="35" t="str">
        <f>IF(CARGA_DIARIA!A469="","",IF(CARGA_DIARIA!B469=0,0,(CARGA_DIARIA!C469+CARGA_DIARIA!D469+CARGA_DIARIA!E469+CARGA_DIARIA!F469+CARGA_DIARIA!G469+CARGA_DIARIA!H469+CARGA_DIARIA!I469+CARGA_DIARIA!AG469+CARGA_DIARIA!AH469+CARGA_DIARIA!AI469+CARGA_DIARIA!AJ469)/CARGA_DIARIA!B469+CARGA_DIARIA!AF469))</f>
        <v/>
      </c>
      <c r="D469" s="36" t="str">
        <f>IF(CARGA_DIARIA!A469="","",IF(CARGA_DIARIA!B469=0,0,(CARGA_DIARIA!J469+CARGA_DIARIA!K469+CARGA_DIARIA!L469+CARGA_DIARIA!M469+CARGA_DIARIA!N469+CARGA_DIARIA!O469+CARGA_DIARIA!P469+CARGA_DIARIA!Q469+CARGA_DIARIA!R469+CARGA_DIARIA!S469+CARGA_DIARIA!T469+CARGA_DIARIA!U469+CARGA_DIARIA!V469+CARGA_DIARIA!W469)/CARGA_DIARIA!B469))</f>
        <v/>
      </c>
      <c r="E469" s="36" t="str">
        <f>IF(CARGA_DIARIA!A469="","",IF(CARGA_DIARIA!B469=0,0,(CARGA_DIARIA!X469+CARGA_DIARIA!Y469+CARGA_DIARIA!Z469+CARGA_DIARIA!AA469)/CARGA_DIARIA!B469+CARGA_DIARIA!AB469+CARGA_DIARIA!AC469+CARGA_DIARIA!AD469+CARGA_DIARIA!AE469))</f>
        <v/>
      </c>
      <c r="F469" s="39" t="s">
        <v>146</v>
      </c>
      <c r="G469" s="39" t="s">
        <v>146</v>
      </c>
      <c r="H469" s="38" t="str">
        <f>IF(CARGA_DIARIA!A469="","",C469-D469-E469)</f>
        <v/>
      </c>
    </row>
    <row r="470" spans="1:8" ht="15.75" customHeight="1" x14ac:dyDescent="0.25">
      <c r="A470" s="33" t="str">
        <f>IF(CARGA_DIARIA!A470="","",CARGA_DIARIA!A470)</f>
        <v/>
      </c>
      <c r="B470" s="34" t="str">
        <f>IF(CARGA_DIARIA!A470="","",CARGA_DIARIA!B470)</f>
        <v/>
      </c>
      <c r="C470" s="35" t="str">
        <f>IF(CARGA_DIARIA!A470="","",IF(CARGA_DIARIA!B470=0,0,(CARGA_DIARIA!C470+CARGA_DIARIA!D470+CARGA_DIARIA!E470+CARGA_DIARIA!F470+CARGA_DIARIA!G470+CARGA_DIARIA!H470+CARGA_DIARIA!I470+CARGA_DIARIA!AG470+CARGA_DIARIA!AH470+CARGA_DIARIA!AI470+CARGA_DIARIA!AJ470)/CARGA_DIARIA!B470+CARGA_DIARIA!AF470))</f>
        <v/>
      </c>
      <c r="D470" s="36" t="str">
        <f>IF(CARGA_DIARIA!A470="","",IF(CARGA_DIARIA!B470=0,0,(CARGA_DIARIA!J470+CARGA_DIARIA!K470+CARGA_DIARIA!L470+CARGA_DIARIA!M470+CARGA_DIARIA!N470+CARGA_DIARIA!O470+CARGA_DIARIA!P470+CARGA_DIARIA!Q470+CARGA_DIARIA!R470+CARGA_DIARIA!S470+CARGA_DIARIA!T470+CARGA_DIARIA!U470+CARGA_DIARIA!V470+CARGA_DIARIA!W470)/CARGA_DIARIA!B470))</f>
        <v/>
      </c>
      <c r="E470" s="36" t="str">
        <f>IF(CARGA_DIARIA!A470="","",IF(CARGA_DIARIA!B470=0,0,(CARGA_DIARIA!X470+CARGA_DIARIA!Y470+CARGA_DIARIA!Z470+CARGA_DIARIA!AA470)/CARGA_DIARIA!B470+CARGA_DIARIA!AB470+CARGA_DIARIA!AC470+CARGA_DIARIA!AD470+CARGA_DIARIA!AE470))</f>
        <v/>
      </c>
      <c r="F470" s="39" t="s">
        <v>146</v>
      </c>
      <c r="G470" s="39" t="s">
        <v>146</v>
      </c>
      <c r="H470" s="38" t="str">
        <f>IF(CARGA_DIARIA!A470="","",C470-D470-E470)</f>
        <v/>
      </c>
    </row>
    <row r="471" spans="1:8" ht="15.75" customHeight="1" x14ac:dyDescent="0.25">
      <c r="A471" s="33" t="str">
        <f>IF(CARGA_DIARIA!A471="","",CARGA_DIARIA!A471)</f>
        <v/>
      </c>
      <c r="B471" s="34" t="str">
        <f>IF(CARGA_DIARIA!A471="","",CARGA_DIARIA!B471)</f>
        <v/>
      </c>
      <c r="C471" s="35" t="str">
        <f>IF(CARGA_DIARIA!A471="","",IF(CARGA_DIARIA!B471=0,0,(CARGA_DIARIA!C471+CARGA_DIARIA!D471+CARGA_DIARIA!E471+CARGA_DIARIA!F471+CARGA_DIARIA!G471+CARGA_DIARIA!H471+CARGA_DIARIA!I471+CARGA_DIARIA!AG471+CARGA_DIARIA!AH471+CARGA_DIARIA!AI471+CARGA_DIARIA!AJ471)/CARGA_DIARIA!B471+CARGA_DIARIA!AF471))</f>
        <v/>
      </c>
      <c r="D471" s="36" t="str">
        <f>IF(CARGA_DIARIA!A471="","",IF(CARGA_DIARIA!B471=0,0,(CARGA_DIARIA!J471+CARGA_DIARIA!K471+CARGA_DIARIA!L471+CARGA_DIARIA!M471+CARGA_DIARIA!N471+CARGA_DIARIA!O471+CARGA_DIARIA!P471+CARGA_DIARIA!Q471+CARGA_DIARIA!R471+CARGA_DIARIA!S471+CARGA_DIARIA!T471+CARGA_DIARIA!U471+CARGA_DIARIA!V471+CARGA_DIARIA!W471)/CARGA_DIARIA!B471))</f>
        <v/>
      </c>
      <c r="E471" s="36" t="str">
        <f>IF(CARGA_DIARIA!A471="","",IF(CARGA_DIARIA!B471=0,0,(CARGA_DIARIA!X471+CARGA_DIARIA!Y471+CARGA_DIARIA!Z471+CARGA_DIARIA!AA471)/CARGA_DIARIA!B471+CARGA_DIARIA!AB471+CARGA_DIARIA!AC471+CARGA_DIARIA!AD471+CARGA_DIARIA!AE471))</f>
        <v/>
      </c>
      <c r="F471" s="39" t="s">
        <v>146</v>
      </c>
      <c r="G471" s="39" t="s">
        <v>146</v>
      </c>
      <c r="H471" s="38" t="str">
        <f>IF(CARGA_DIARIA!A471="","",C471-D471-E471)</f>
        <v/>
      </c>
    </row>
    <row r="472" spans="1:8" ht="15.75" customHeight="1" x14ac:dyDescent="0.25">
      <c r="A472" s="33" t="str">
        <f>IF(CARGA_DIARIA!A472="","",CARGA_DIARIA!A472)</f>
        <v/>
      </c>
      <c r="B472" s="34" t="str">
        <f>IF(CARGA_DIARIA!A472="","",CARGA_DIARIA!B472)</f>
        <v/>
      </c>
      <c r="C472" s="35" t="str">
        <f>IF(CARGA_DIARIA!A472="","",IF(CARGA_DIARIA!B472=0,0,(CARGA_DIARIA!C472+CARGA_DIARIA!D472+CARGA_DIARIA!E472+CARGA_DIARIA!F472+CARGA_DIARIA!G472+CARGA_DIARIA!H472+CARGA_DIARIA!I472+CARGA_DIARIA!AG472+CARGA_DIARIA!AH472+CARGA_DIARIA!AI472+CARGA_DIARIA!AJ472)/CARGA_DIARIA!B472+CARGA_DIARIA!AF472))</f>
        <v/>
      </c>
      <c r="D472" s="36" t="str">
        <f>IF(CARGA_DIARIA!A472="","",IF(CARGA_DIARIA!B472=0,0,(CARGA_DIARIA!J472+CARGA_DIARIA!K472+CARGA_DIARIA!L472+CARGA_DIARIA!M472+CARGA_DIARIA!N472+CARGA_DIARIA!O472+CARGA_DIARIA!P472+CARGA_DIARIA!Q472+CARGA_DIARIA!R472+CARGA_DIARIA!S472+CARGA_DIARIA!T472+CARGA_DIARIA!U472+CARGA_DIARIA!V472+CARGA_DIARIA!W472)/CARGA_DIARIA!B472))</f>
        <v/>
      </c>
      <c r="E472" s="36" t="str">
        <f>IF(CARGA_DIARIA!A472="","",IF(CARGA_DIARIA!B472=0,0,(CARGA_DIARIA!X472+CARGA_DIARIA!Y472+CARGA_DIARIA!Z472+CARGA_DIARIA!AA472)/CARGA_DIARIA!B472+CARGA_DIARIA!AB472+CARGA_DIARIA!AC472+CARGA_DIARIA!AD472+CARGA_DIARIA!AE472))</f>
        <v/>
      </c>
      <c r="F472" s="39" t="s">
        <v>146</v>
      </c>
      <c r="G472" s="39" t="s">
        <v>146</v>
      </c>
      <c r="H472" s="38" t="str">
        <f>IF(CARGA_DIARIA!A472="","",C472-D472-E472)</f>
        <v/>
      </c>
    </row>
    <row r="473" spans="1:8" ht="15.75" customHeight="1" x14ac:dyDescent="0.25">
      <c r="A473" s="33" t="str">
        <f>IF(CARGA_DIARIA!A473="","",CARGA_DIARIA!A473)</f>
        <v/>
      </c>
      <c r="B473" s="34" t="str">
        <f>IF(CARGA_DIARIA!A473="","",CARGA_DIARIA!B473)</f>
        <v/>
      </c>
      <c r="C473" s="35" t="str">
        <f>IF(CARGA_DIARIA!A473="","",IF(CARGA_DIARIA!B473=0,0,(CARGA_DIARIA!C473+CARGA_DIARIA!D473+CARGA_DIARIA!E473+CARGA_DIARIA!F473+CARGA_DIARIA!G473+CARGA_DIARIA!H473+CARGA_DIARIA!I473+CARGA_DIARIA!AG473+CARGA_DIARIA!AH473+CARGA_DIARIA!AI473+CARGA_DIARIA!AJ473)/CARGA_DIARIA!B473+CARGA_DIARIA!AF473))</f>
        <v/>
      </c>
      <c r="D473" s="36" t="str">
        <f>IF(CARGA_DIARIA!A473="","",IF(CARGA_DIARIA!B473=0,0,(CARGA_DIARIA!J473+CARGA_DIARIA!K473+CARGA_DIARIA!L473+CARGA_DIARIA!M473+CARGA_DIARIA!N473+CARGA_DIARIA!O473+CARGA_DIARIA!P473+CARGA_DIARIA!Q473+CARGA_DIARIA!R473+CARGA_DIARIA!S473+CARGA_DIARIA!T473+CARGA_DIARIA!U473+CARGA_DIARIA!V473+CARGA_DIARIA!W473)/CARGA_DIARIA!B473))</f>
        <v/>
      </c>
      <c r="E473" s="36" t="str">
        <f>IF(CARGA_DIARIA!A473="","",IF(CARGA_DIARIA!B473=0,0,(CARGA_DIARIA!X473+CARGA_DIARIA!Y473+CARGA_DIARIA!Z473+CARGA_DIARIA!AA473)/CARGA_DIARIA!B473+CARGA_DIARIA!AB473+CARGA_DIARIA!AC473+CARGA_DIARIA!AD473+CARGA_DIARIA!AE473))</f>
        <v/>
      </c>
      <c r="F473" s="39" t="s">
        <v>146</v>
      </c>
      <c r="G473" s="39" t="s">
        <v>146</v>
      </c>
      <c r="H473" s="38" t="str">
        <f>IF(CARGA_DIARIA!A473="","",C473-D473-E473)</f>
        <v/>
      </c>
    </row>
    <row r="474" spans="1:8" ht="15.75" customHeight="1" x14ac:dyDescent="0.25">
      <c r="A474" s="33" t="str">
        <f>IF(CARGA_DIARIA!A474="","",CARGA_DIARIA!A474)</f>
        <v/>
      </c>
      <c r="B474" s="34" t="str">
        <f>IF(CARGA_DIARIA!A474="","",CARGA_DIARIA!B474)</f>
        <v/>
      </c>
      <c r="C474" s="35" t="str">
        <f>IF(CARGA_DIARIA!A474="","",IF(CARGA_DIARIA!B474=0,0,(CARGA_DIARIA!C474+CARGA_DIARIA!D474+CARGA_DIARIA!E474+CARGA_DIARIA!F474+CARGA_DIARIA!G474+CARGA_DIARIA!H474+CARGA_DIARIA!I474+CARGA_DIARIA!AG474+CARGA_DIARIA!AH474+CARGA_DIARIA!AI474+CARGA_DIARIA!AJ474)/CARGA_DIARIA!B474+CARGA_DIARIA!AF474))</f>
        <v/>
      </c>
      <c r="D474" s="36" t="str">
        <f>IF(CARGA_DIARIA!A474="","",IF(CARGA_DIARIA!B474=0,0,(CARGA_DIARIA!J474+CARGA_DIARIA!K474+CARGA_DIARIA!L474+CARGA_DIARIA!M474+CARGA_DIARIA!N474+CARGA_DIARIA!O474+CARGA_DIARIA!P474+CARGA_DIARIA!Q474+CARGA_DIARIA!R474+CARGA_DIARIA!S474+CARGA_DIARIA!T474+CARGA_DIARIA!U474+CARGA_DIARIA!V474+CARGA_DIARIA!W474)/CARGA_DIARIA!B474))</f>
        <v/>
      </c>
      <c r="E474" s="36" t="str">
        <f>IF(CARGA_DIARIA!A474="","",IF(CARGA_DIARIA!B474=0,0,(CARGA_DIARIA!X474+CARGA_DIARIA!Y474+CARGA_DIARIA!Z474+CARGA_DIARIA!AA474)/CARGA_DIARIA!B474+CARGA_DIARIA!AB474+CARGA_DIARIA!AC474+CARGA_DIARIA!AD474+CARGA_DIARIA!AE474))</f>
        <v/>
      </c>
      <c r="F474" s="39" t="s">
        <v>146</v>
      </c>
      <c r="G474" s="39" t="s">
        <v>146</v>
      </c>
      <c r="H474" s="38" t="str">
        <f>IF(CARGA_DIARIA!A474="","",C474-D474-E474)</f>
        <v/>
      </c>
    </row>
    <row r="475" spans="1:8" ht="15.75" customHeight="1" x14ac:dyDescent="0.25">
      <c r="A475" s="33" t="str">
        <f>IF(CARGA_DIARIA!A475="","",CARGA_DIARIA!A475)</f>
        <v/>
      </c>
      <c r="B475" s="34" t="str">
        <f>IF(CARGA_DIARIA!A475="","",CARGA_DIARIA!B475)</f>
        <v/>
      </c>
      <c r="C475" s="35" t="str">
        <f>IF(CARGA_DIARIA!A475="","",IF(CARGA_DIARIA!B475=0,0,(CARGA_DIARIA!C475+CARGA_DIARIA!D475+CARGA_DIARIA!E475+CARGA_DIARIA!F475+CARGA_DIARIA!G475+CARGA_DIARIA!H475+CARGA_DIARIA!I475+CARGA_DIARIA!AG475+CARGA_DIARIA!AH475+CARGA_DIARIA!AI475+CARGA_DIARIA!AJ475)/CARGA_DIARIA!B475+CARGA_DIARIA!AF475))</f>
        <v/>
      </c>
      <c r="D475" s="36" t="str">
        <f>IF(CARGA_DIARIA!A475="","",IF(CARGA_DIARIA!B475=0,0,(CARGA_DIARIA!J475+CARGA_DIARIA!K475+CARGA_DIARIA!L475+CARGA_DIARIA!M475+CARGA_DIARIA!N475+CARGA_DIARIA!O475+CARGA_DIARIA!P475+CARGA_DIARIA!Q475+CARGA_DIARIA!R475+CARGA_DIARIA!S475+CARGA_DIARIA!T475+CARGA_DIARIA!U475+CARGA_DIARIA!V475+CARGA_DIARIA!W475)/CARGA_DIARIA!B475))</f>
        <v/>
      </c>
      <c r="E475" s="36" t="str">
        <f>IF(CARGA_DIARIA!A475="","",IF(CARGA_DIARIA!B475=0,0,(CARGA_DIARIA!X475+CARGA_DIARIA!Y475+CARGA_DIARIA!Z475+CARGA_DIARIA!AA475)/CARGA_DIARIA!B475+CARGA_DIARIA!AB475+CARGA_DIARIA!AC475+CARGA_DIARIA!AD475+CARGA_DIARIA!AE475))</f>
        <v/>
      </c>
      <c r="F475" s="39" t="s">
        <v>146</v>
      </c>
      <c r="G475" s="39" t="s">
        <v>146</v>
      </c>
      <c r="H475" s="38" t="str">
        <f>IF(CARGA_DIARIA!A475="","",C475-D475-E475)</f>
        <v/>
      </c>
    </row>
    <row r="476" spans="1:8" ht="15.75" customHeight="1" x14ac:dyDescent="0.25">
      <c r="A476" s="33" t="str">
        <f>IF(CARGA_DIARIA!A476="","",CARGA_DIARIA!A476)</f>
        <v/>
      </c>
      <c r="B476" s="34" t="str">
        <f>IF(CARGA_DIARIA!A476="","",CARGA_DIARIA!B476)</f>
        <v/>
      </c>
      <c r="C476" s="35" t="str">
        <f>IF(CARGA_DIARIA!A476="","",IF(CARGA_DIARIA!B476=0,0,(CARGA_DIARIA!C476+CARGA_DIARIA!D476+CARGA_DIARIA!E476+CARGA_DIARIA!F476+CARGA_DIARIA!G476+CARGA_DIARIA!H476+CARGA_DIARIA!I476+CARGA_DIARIA!AG476+CARGA_DIARIA!AH476+CARGA_DIARIA!AI476+CARGA_DIARIA!AJ476)/CARGA_DIARIA!B476+CARGA_DIARIA!AF476))</f>
        <v/>
      </c>
      <c r="D476" s="36" t="str">
        <f>IF(CARGA_DIARIA!A476="","",IF(CARGA_DIARIA!B476=0,0,(CARGA_DIARIA!J476+CARGA_DIARIA!K476+CARGA_DIARIA!L476+CARGA_DIARIA!M476+CARGA_DIARIA!N476+CARGA_DIARIA!O476+CARGA_DIARIA!P476+CARGA_DIARIA!Q476+CARGA_DIARIA!R476+CARGA_DIARIA!S476+CARGA_DIARIA!T476+CARGA_DIARIA!U476+CARGA_DIARIA!V476+CARGA_DIARIA!W476)/CARGA_DIARIA!B476))</f>
        <v/>
      </c>
      <c r="E476" s="36" t="str">
        <f>IF(CARGA_DIARIA!A476="","",IF(CARGA_DIARIA!B476=0,0,(CARGA_DIARIA!X476+CARGA_DIARIA!Y476+CARGA_DIARIA!Z476+CARGA_DIARIA!AA476)/CARGA_DIARIA!B476+CARGA_DIARIA!AB476+CARGA_DIARIA!AC476+CARGA_DIARIA!AD476+CARGA_DIARIA!AE476))</f>
        <v/>
      </c>
      <c r="F476" s="39" t="s">
        <v>146</v>
      </c>
      <c r="G476" s="39" t="s">
        <v>146</v>
      </c>
      <c r="H476" s="38" t="str">
        <f>IF(CARGA_DIARIA!A476="","",C476-D476-E476)</f>
        <v/>
      </c>
    </row>
    <row r="477" spans="1:8" ht="15.75" customHeight="1" x14ac:dyDescent="0.25">
      <c r="A477" s="33" t="str">
        <f>IF(CARGA_DIARIA!A477="","",CARGA_DIARIA!A477)</f>
        <v/>
      </c>
      <c r="B477" s="34" t="str">
        <f>IF(CARGA_DIARIA!A477="","",CARGA_DIARIA!B477)</f>
        <v/>
      </c>
      <c r="C477" s="35" t="str">
        <f>IF(CARGA_DIARIA!A477="","",IF(CARGA_DIARIA!B477=0,0,(CARGA_DIARIA!C477+CARGA_DIARIA!D477+CARGA_DIARIA!E477+CARGA_DIARIA!F477+CARGA_DIARIA!G477+CARGA_DIARIA!H477+CARGA_DIARIA!I477+CARGA_DIARIA!AG477+CARGA_DIARIA!AH477+CARGA_DIARIA!AI477+CARGA_DIARIA!AJ477)/CARGA_DIARIA!B477+CARGA_DIARIA!AF477))</f>
        <v/>
      </c>
      <c r="D477" s="36" t="str">
        <f>IF(CARGA_DIARIA!A477="","",IF(CARGA_DIARIA!B477=0,0,(CARGA_DIARIA!J477+CARGA_DIARIA!K477+CARGA_DIARIA!L477+CARGA_DIARIA!M477+CARGA_DIARIA!N477+CARGA_DIARIA!O477+CARGA_DIARIA!P477+CARGA_DIARIA!Q477+CARGA_DIARIA!R477+CARGA_DIARIA!S477+CARGA_DIARIA!T477+CARGA_DIARIA!U477+CARGA_DIARIA!V477+CARGA_DIARIA!W477)/CARGA_DIARIA!B477))</f>
        <v/>
      </c>
      <c r="E477" s="36" t="str">
        <f>IF(CARGA_DIARIA!A477="","",IF(CARGA_DIARIA!B477=0,0,(CARGA_DIARIA!X477+CARGA_DIARIA!Y477+CARGA_DIARIA!Z477+CARGA_DIARIA!AA477)/CARGA_DIARIA!B477+CARGA_DIARIA!AB477+CARGA_DIARIA!AC477+CARGA_DIARIA!AD477+CARGA_DIARIA!AE477))</f>
        <v/>
      </c>
      <c r="F477" s="39" t="s">
        <v>146</v>
      </c>
      <c r="G477" s="39" t="s">
        <v>146</v>
      </c>
      <c r="H477" s="38" t="str">
        <f>IF(CARGA_DIARIA!A477="","",C477-D477-E477)</f>
        <v/>
      </c>
    </row>
    <row r="478" spans="1:8" ht="15.75" customHeight="1" x14ac:dyDescent="0.25">
      <c r="A478" s="33" t="str">
        <f>IF(CARGA_DIARIA!A478="","",CARGA_DIARIA!A478)</f>
        <v/>
      </c>
      <c r="B478" s="34" t="str">
        <f>IF(CARGA_DIARIA!A478="","",CARGA_DIARIA!B478)</f>
        <v/>
      </c>
      <c r="C478" s="35" t="str">
        <f>IF(CARGA_DIARIA!A478="","",IF(CARGA_DIARIA!B478=0,0,(CARGA_DIARIA!C478+CARGA_DIARIA!D478+CARGA_DIARIA!E478+CARGA_DIARIA!F478+CARGA_DIARIA!G478+CARGA_DIARIA!H478+CARGA_DIARIA!I478+CARGA_DIARIA!AG478+CARGA_DIARIA!AH478+CARGA_DIARIA!AI478+CARGA_DIARIA!AJ478)/CARGA_DIARIA!B478+CARGA_DIARIA!AF478))</f>
        <v/>
      </c>
      <c r="D478" s="36" t="str">
        <f>IF(CARGA_DIARIA!A478="","",IF(CARGA_DIARIA!B478=0,0,(CARGA_DIARIA!J478+CARGA_DIARIA!K478+CARGA_DIARIA!L478+CARGA_DIARIA!M478+CARGA_DIARIA!N478+CARGA_DIARIA!O478+CARGA_DIARIA!P478+CARGA_DIARIA!Q478+CARGA_DIARIA!R478+CARGA_DIARIA!S478+CARGA_DIARIA!T478+CARGA_DIARIA!U478+CARGA_DIARIA!V478+CARGA_DIARIA!W478)/CARGA_DIARIA!B478))</f>
        <v/>
      </c>
      <c r="E478" s="36" t="str">
        <f>IF(CARGA_DIARIA!A478="","",IF(CARGA_DIARIA!B478=0,0,(CARGA_DIARIA!X478+CARGA_DIARIA!Y478+CARGA_DIARIA!Z478+CARGA_DIARIA!AA478)/CARGA_DIARIA!B478+CARGA_DIARIA!AB478+CARGA_DIARIA!AC478+CARGA_DIARIA!AD478+CARGA_DIARIA!AE478))</f>
        <v/>
      </c>
      <c r="F478" s="39" t="s">
        <v>146</v>
      </c>
      <c r="G478" s="39" t="s">
        <v>146</v>
      </c>
      <c r="H478" s="38" t="str">
        <f>IF(CARGA_DIARIA!A478="","",C478-D478-E478)</f>
        <v/>
      </c>
    </row>
    <row r="479" spans="1:8" ht="15.75" customHeight="1" x14ac:dyDescent="0.25">
      <c r="A479" s="33" t="str">
        <f>IF(CARGA_DIARIA!A479="","",CARGA_DIARIA!A479)</f>
        <v/>
      </c>
      <c r="B479" s="34" t="str">
        <f>IF(CARGA_DIARIA!A479="","",CARGA_DIARIA!B479)</f>
        <v/>
      </c>
      <c r="C479" s="35" t="str">
        <f>IF(CARGA_DIARIA!A479="","",IF(CARGA_DIARIA!B479=0,0,(CARGA_DIARIA!C479+CARGA_DIARIA!D479+CARGA_DIARIA!E479+CARGA_DIARIA!F479+CARGA_DIARIA!G479+CARGA_DIARIA!H479+CARGA_DIARIA!I479+CARGA_DIARIA!AG479+CARGA_DIARIA!AH479+CARGA_DIARIA!AI479+CARGA_DIARIA!AJ479)/CARGA_DIARIA!B479+CARGA_DIARIA!AF479))</f>
        <v/>
      </c>
      <c r="D479" s="36" t="str">
        <f>IF(CARGA_DIARIA!A479="","",IF(CARGA_DIARIA!B479=0,0,(CARGA_DIARIA!J479+CARGA_DIARIA!K479+CARGA_DIARIA!L479+CARGA_DIARIA!M479+CARGA_DIARIA!N479+CARGA_DIARIA!O479+CARGA_DIARIA!P479+CARGA_DIARIA!Q479+CARGA_DIARIA!R479+CARGA_DIARIA!S479+CARGA_DIARIA!T479+CARGA_DIARIA!U479+CARGA_DIARIA!V479+CARGA_DIARIA!W479)/CARGA_DIARIA!B479))</f>
        <v/>
      </c>
      <c r="E479" s="36" t="str">
        <f>IF(CARGA_DIARIA!A479="","",IF(CARGA_DIARIA!B479=0,0,(CARGA_DIARIA!X479+CARGA_DIARIA!Y479+CARGA_DIARIA!Z479+CARGA_DIARIA!AA479)/CARGA_DIARIA!B479+CARGA_DIARIA!AB479+CARGA_DIARIA!AC479+CARGA_DIARIA!AD479+CARGA_DIARIA!AE479))</f>
        <v/>
      </c>
      <c r="F479" s="39" t="s">
        <v>146</v>
      </c>
      <c r="G479" s="39" t="s">
        <v>146</v>
      </c>
      <c r="H479" s="38" t="str">
        <f>IF(CARGA_DIARIA!A479="","",C479-D479-E479)</f>
        <v/>
      </c>
    </row>
    <row r="480" spans="1:8" ht="15.75" customHeight="1" x14ac:dyDescent="0.25">
      <c r="A480" s="33" t="str">
        <f>IF(CARGA_DIARIA!A480="","",CARGA_DIARIA!A480)</f>
        <v/>
      </c>
      <c r="B480" s="34" t="str">
        <f>IF(CARGA_DIARIA!A480="","",CARGA_DIARIA!B480)</f>
        <v/>
      </c>
      <c r="C480" s="35" t="str">
        <f>IF(CARGA_DIARIA!A480="","",IF(CARGA_DIARIA!B480=0,0,(CARGA_DIARIA!C480+CARGA_DIARIA!D480+CARGA_DIARIA!E480+CARGA_DIARIA!F480+CARGA_DIARIA!G480+CARGA_DIARIA!H480+CARGA_DIARIA!I480+CARGA_DIARIA!AG480+CARGA_DIARIA!AH480+CARGA_DIARIA!AI480+CARGA_DIARIA!AJ480)/CARGA_DIARIA!B480+CARGA_DIARIA!AF480))</f>
        <v/>
      </c>
      <c r="D480" s="36" t="str">
        <f>IF(CARGA_DIARIA!A480="","",IF(CARGA_DIARIA!B480=0,0,(CARGA_DIARIA!J480+CARGA_DIARIA!K480+CARGA_DIARIA!L480+CARGA_DIARIA!M480+CARGA_DIARIA!N480+CARGA_DIARIA!O480+CARGA_DIARIA!P480+CARGA_DIARIA!Q480+CARGA_DIARIA!R480+CARGA_DIARIA!S480+CARGA_DIARIA!T480+CARGA_DIARIA!U480+CARGA_DIARIA!V480+CARGA_DIARIA!W480)/CARGA_DIARIA!B480))</f>
        <v/>
      </c>
      <c r="E480" s="36" t="str">
        <f>IF(CARGA_DIARIA!A480="","",IF(CARGA_DIARIA!B480=0,0,(CARGA_DIARIA!X480+CARGA_DIARIA!Y480+CARGA_DIARIA!Z480+CARGA_DIARIA!AA480)/CARGA_DIARIA!B480+CARGA_DIARIA!AB480+CARGA_DIARIA!AC480+CARGA_DIARIA!AD480+CARGA_DIARIA!AE480))</f>
        <v/>
      </c>
      <c r="F480" s="39" t="s">
        <v>146</v>
      </c>
      <c r="G480" s="39" t="s">
        <v>146</v>
      </c>
      <c r="H480" s="38" t="str">
        <f>IF(CARGA_DIARIA!A480="","",C480-D480-E480)</f>
        <v/>
      </c>
    </row>
    <row r="481" spans="1:8" ht="15.75" customHeight="1" x14ac:dyDescent="0.25">
      <c r="A481" s="33" t="str">
        <f>IF(CARGA_DIARIA!A481="","",CARGA_DIARIA!A481)</f>
        <v/>
      </c>
      <c r="B481" s="34" t="str">
        <f>IF(CARGA_DIARIA!A481="","",CARGA_DIARIA!B481)</f>
        <v/>
      </c>
      <c r="C481" s="35" t="str">
        <f>IF(CARGA_DIARIA!A481="","",IF(CARGA_DIARIA!B481=0,0,(CARGA_DIARIA!C481+CARGA_DIARIA!D481+CARGA_DIARIA!E481+CARGA_DIARIA!F481+CARGA_DIARIA!G481+CARGA_DIARIA!H481+CARGA_DIARIA!I481+CARGA_DIARIA!AG481+CARGA_DIARIA!AH481+CARGA_DIARIA!AI481+CARGA_DIARIA!AJ481)/CARGA_DIARIA!B481+CARGA_DIARIA!AF481))</f>
        <v/>
      </c>
      <c r="D481" s="36" t="str">
        <f>IF(CARGA_DIARIA!A481="","",IF(CARGA_DIARIA!B481=0,0,(CARGA_DIARIA!J481+CARGA_DIARIA!K481+CARGA_DIARIA!L481+CARGA_DIARIA!M481+CARGA_DIARIA!N481+CARGA_DIARIA!O481+CARGA_DIARIA!P481+CARGA_DIARIA!Q481+CARGA_DIARIA!R481+CARGA_DIARIA!S481+CARGA_DIARIA!T481+CARGA_DIARIA!U481+CARGA_DIARIA!V481+CARGA_DIARIA!W481)/CARGA_DIARIA!B481))</f>
        <v/>
      </c>
      <c r="E481" s="36" t="str">
        <f>IF(CARGA_DIARIA!A481="","",IF(CARGA_DIARIA!B481=0,0,(CARGA_DIARIA!X481+CARGA_DIARIA!Y481+CARGA_DIARIA!Z481+CARGA_DIARIA!AA481)/CARGA_DIARIA!B481+CARGA_DIARIA!AB481+CARGA_DIARIA!AC481+CARGA_DIARIA!AD481+CARGA_DIARIA!AE481))</f>
        <v/>
      </c>
      <c r="F481" s="39" t="s">
        <v>146</v>
      </c>
      <c r="G481" s="39" t="s">
        <v>146</v>
      </c>
      <c r="H481" s="38" t="str">
        <f>IF(CARGA_DIARIA!A481="","",C481-D481-E481)</f>
        <v/>
      </c>
    </row>
    <row r="482" spans="1:8" ht="15.75" customHeight="1" x14ac:dyDescent="0.25">
      <c r="A482" s="33" t="str">
        <f>IF(CARGA_DIARIA!A482="","",CARGA_DIARIA!A482)</f>
        <v/>
      </c>
      <c r="B482" s="34" t="str">
        <f>IF(CARGA_DIARIA!A482="","",CARGA_DIARIA!B482)</f>
        <v/>
      </c>
      <c r="C482" s="35" t="str">
        <f>IF(CARGA_DIARIA!A482="","",IF(CARGA_DIARIA!B482=0,0,(CARGA_DIARIA!C482+CARGA_DIARIA!D482+CARGA_DIARIA!E482+CARGA_DIARIA!F482+CARGA_DIARIA!G482+CARGA_DIARIA!H482+CARGA_DIARIA!I482+CARGA_DIARIA!AG482+CARGA_DIARIA!AH482+CARGA_DIARIA!AI482+CARGA_DIARIA!AJ482)/CARGA_DIARIA!B482+CARGA_DIARIA!AF482))</f>
        <v/>
      </c>
      <c r="D482" s="36" t="str">
        <f>IF(CARGA_DIARIA!A482="","",IF(CARGA_DIARIA!B482=0,0,(CARGA_DIARIA!J482+CARGA_DIARIA!K482+CARGA_DIARIA!L482+CARGA_DIARIA!M482+CARGA_DIARIA!N482+CARGA_DIARIA!O482+CARGA_DIARIA!P482+CARGA_DIARIA!Q482+CARGA_DIARIA!R482+CARGA_DIARIA!S482+CARGA_DIARIA!T482+CARGA_DIARIA!U482+CARGA_DIARIA!V482+CARGA_DIARIA!W482)/CARGA_DIARIA!B482))</f>
        <v/>
      </c>
      <c r="E482" s="36" t="str">
        <f>IF(CARGA_DIARIA!A482="","",IF(CARGA_DIARIA!B482=0,0,(CARGA_DIARIA!X482+CARGA_DIARIA!Y482+CARGA_DIARIA!Z482+CARGA_DIARIA!AA482)/CARGA_DIARIA!B482+CARGA_DIARIA!AB482+CARGA_DIARIA!AC482+CARGA_DIARIA!AD482+CARGA_DIARIA!AE482))</f>
        <v/>
      </c>
      <c r="F482" s="39" t="s">
        <v>146</v>
      </c>
      <c r="G482" s="39" t="s">
        <v>146</v>
      </c>
      <c r="H482" s="38" t="str">
        <f>IF(CARGA_DIARIA!A482="","",C482-D482-E482)</f>
        <v/>
      </c>
    </row>
    <row r="483" spans="1:8" ht="15.75" customHeight="1" x14ac:dyDescent="0.25">
      <c r="A483" s="33" t="str">
        <f>IF(CARGA_DIARIA!A483="","",CARGA_DIARIA!A483)</f>
        <v/>
      </c>
      <c r="B483" s="34" t="str">
        <f>IF(CARGA_DIARIA!A483="","",CARGA_DIARIA!B483)</f>
        <v/>
      </c>
      <c r="C483" s="35" t="str">
        <f>IF(CARGA_DIARIA!A483="","",IF(CARGA_DIARIA!B483=0,0,(CARGA_DIARIA!C483+CARGA_DIARIA!D483+CARGA_DIARIA!E483+CARGA_DIARIA!F483+CARGA_DIARIA!G483+CARGA_DIARIA!H483+CARGA_DIARIA!I483+CARGA_DIARIA!AG483+CARGA_DIARIA!AH483+CARGA_DIARIA!AI483+CARGA_DIARIA!AJ483)/CARGA_DIARIA!B483+CARGA_DIARIA!AF483))</f>
        <v/>
      </c>
      <c r="D483" s="36" t="str">
        <f>IF(CARGA_DIARIA!A483="","",IF(CARGA_DIARIA!B483=0,0,(CARGA_DIARIA!J483+CARGA_DIARIA!K483+CARGA_DIARIA!L483+CARGA_DIARIA!M483+CARGA_DIARIA!N483+CARGA_DIARIA!O483+CARGA_DIARIA!P483+CARGA_DIARIA!Q483+CARGA_DIARIA!R483+CARGA_DIARIA!S483+CARGA_DIARIA!T483+CARGA_DIARIA!U483+CARGA_DIARIA!V483+CARGA_DIARIA!W483)/CARGA_DIARIA!B483))</f>
        <v/>
      </c>
      <c r="E483" s="36" t="str">
        <f>IF(CARGA_DIARIA!A483="","",IF(CARGA_DIARIA!B483=0,0,(CARGA_DIARIA!X483+CARGA_DIARIA!Y483+CARGA_DIARIA!Z483+CARGA_DIARIA!AA483)/CARGA_DIARIA!B483+CARGA_DIARIA!AB483+CARGA_DIARIA!AC483+CARGA_DIARIA!AD483+CARGA_DIARIA!AE483))</f>
        <v/>
      </c>
      <c r="F483" s="39" t="s">
        <v>146</v>
      </c>
      <c r="G483" s="39" t="s">
        <v>146</v>
      </c>
      <c r="H483" s="38" t="str">
        <f>IF(CARGA_DIARIA!A483="","",C483-D483-E483)</f>
        <v/>
      </c>
    </row>
    <row r="484" spans="1:8" ht="15.75" customHeight="1" x14ac:dyDescent="0.25">
      <c r="A484" s="33" t="str">
        <f>IF(CARGA_DIARIA!A484="","",CARGA_DIARIA!A484)</f>
        <v/>
      </c>
      <c r="B484" s="34" t="str">
        <f>IF(CARGA_DIARIA!A484="","",CARGA_DIARIA!B484)</f>
        <v/>
      </c>
      <c r="C484" s="35" t="str">
        <f>IF(CARGA_DIARIA!A484="","",IF(CARGA_DIARIA!B484=0,0,(CARGA_DIARIA!C484+CARGA_DIARIA!D484+CARGA_DIARIA!E484+CARGA_DIARIA!F484+CARGA_DIARIA!G484+CARGA_DIARIA!H484+CARGA_DIARIA!I484+CARGA_DIARIA!AG484+CARGA_DIARIA!AH484+CARGA_DIARIA!AI484+CARGA_DIARIA!AJ484)/CARGA_DIARIA!B484+CARGA_DIARIA!AF484))</f>
        <v/>
      </c>
      <c r="D484" s="36" t="str">
        <f>IF(CARGA_DIARIA!A484="","",IF(CARGA_DIARIA!B484=0,0,(CARGA_DIARIA!J484+CARGA_DIARIA!K484+CARGA_DIARIA!L484+CARGA_DIARIA!M484+CARGA_DIARIA!N484+CARGA_DIARIA!O484+CARGA_DIARIA!P484+CARGA_DIARIA!Q484+CARGA_DIARIA!R484+CARGA_DIARIA!S484+CARGA_DIARIA!T484+CARGA_DIARIA!U484+CARGA_DIARIA!V484+CARGA_DIARIA!W484)/CARGA_DIARIA!B484))</f>
        <v/>
      </c>
      <c r="E484" s="36" t="str">
        <f>IF(CARGA_DIARIA!A484="","",IF(CARGA_DIARIA!B484=0,0,(CARGA_DIARIA!X484+CARGA_DIARIA!Y484+CARGA_DIARIA!Z484+CARGA_DIARIA!AA484)/CARGA_DIARIA!B484+CARGA_DIARIA!AB484+CARGA_DIARIA!AC484+CARGA_DIARIA!AD484+CARGA_DIARIA!AE484))</f>
        <v/>
      </c>
      <c r="F484" s="39" t="s">
        <v>146</v>
      </c>
      <c r="G484" s="39" t="s">
        <v>146</v>
      </c>
      <c r="H484" s="38" t="str">
        <f>IF(CARGA_DIARIA!A484="","",C484-D484-E484)</f>
        <v/>
      </c>
    </row>
    <row r="485" spans="1:8" ht="15.75" customHeight="1" x14ac:dyDescent="0.25">
      <c r="A485" s="33" t="str">
        <f>IF(CARGA_DIARIA!A485="","",CARGA_DIARIA!A485)</f>
        <v/>
      </c>
      <c r="B485" s="34" t="str">
        <f>IF(CARGA_DIARIA!A485="","",CARGA_DIARIA!B485)</f>
        <v/>
      </c>
      <c r="C485" s="35" t="str">
        <f>IF(CARGA_DIARIA!A485="","",IF(CARGA_DIARIA!B485=0,0,(CARGA_DIARIA!C485+CARGA_DIARIA!D485+CARGA_DIARIA!E485+CARGA_DIARIA!F485+CARGA_DIARIA!G485+CARGA_DIARIA!H485+CARGA_DIARIA!I485+CARGA_DIARIA!AG485+CARGA_DIARIA!AH485+CARGA_DIARIA!AI485+CARGA_DIARIA!AJ485)/CARGA_DIARIA!B485+CARGA_DIARIA!AF485))</f>
        <v/>
      </c>
      <c r="D485" s="36" t="str">
        <f>IF(CARGA_DIARIA!A485="","",IF(CARGA_DIARIA!B485=0,0,(CARGA_DIARIA!J485+CARGA_DIARIA!K485+CARGA_DIARIA!L485+CARGA_DIARIA!M485+CARGA_DIARIA!N485+CARGA_DIARIA!O485+CARGA_DIARIA!P485+CARGA_DIARIA!Q485+CARGA_DIARIA!R485+CARGA_DIARIA!S485+CARGA_DIARIA!T485+CARGA_DIARIA!U485+CARGA_DIARIA!V485+CARGA_DIARIA!W485)/CARGA_DIARIA!B485))</f>
        <v/>
      </c>
      <c r="E485" s="36" t="str">
        <f>IF(CARGA_DIARIA!A485="","",IF(CARGA_DIARIA!B485=0,0,(CARGA_DIARIA!X485+CARGA_DIARIA!Y485+CARGA_DIARIA!Z485+CARGA_DIARIA!AA485)/CARGA_DIARIA!B485+CARGA_DIARIA!AB485+CARGA_DIARIA!AC485+CARGA_DIARIA!AD485+CARGA_DIARIA!AE485))</f>
        <v/>
      </c>
      <c r="F485" s="39" t="s">
        <v>146</v>
      </c>
      <c r="G485" s="39" t="s">
        <v>146</v>
      </c>
      <c r="H485" s="38" t="str">
        <f>IF(CARGA_DIARIA!A485="","",C485-D485-E485)</f>
        <v/>
      </c>
    </row>
    <row r="486" spans="1:8" ht="15.75" customHeight="1" x14ac:dyDescent="0.25">
      <c r="A486" s="33" t="str">
        <f>IF(CARGA_DIARIA!A486="","",CARGA_DIARIA!A486)</f>
        <v/>
      </c>
      <c r="B486" s="34" t="str">
        <f>IF(CARGA_DIARIA!A486="","",CARGA_DIARIA!B486)</f>
        <v/>
      </c>
      <c r="C486" s="35" t="str">
        <f>IF(CARGA_DIARIA!A486="","",IF(CARGA_DIARIA!B486=0,0,(CARGA_DIARIA!C486+CARGA_DIARIA!D486+CARGA_DIARIA!E486+CARGA_DIARIA!F486+CARGA_DIARIA!G486+CARGA_DIARIA!H486+CARGA_DIARIA!I486+CARGA_DIARIA!AG486+CARGA_DIARIA!AH486+CARGA_DIARIA!AI486+CARGA_DIARIA!AJ486)/CARGA_DIARIA!B486+CARGA_DIARIA!AF486))</f>
        <v/>
      </c>
      <c r="D486" s="36" t="str">
        <f>IF(CARGA_DIARIA!A486="","",IF(CARGA_DIARIA!B486=0,0,(CARGA_DIARIA!J486+CARGA_DIARIA!K486+CARGA_DIARIA!L486+CARGA_DIARIA!M486+CARGA_DIARIA!N486+CARGA_DIARIA!O486+CARGA_DIARIA!P486+CARGA_DIARIA!Q486+CARGA_DIARIA!R486+CARGA_DIARIA!S486+CARGA_DIARIA!T486+CARGA_DIARIA!U486+CARGA_DIARIA!V486+CARGA_DIARIA!W486)/CARGA_DIARIA!B486))</f>
        <v/>
      </c>
      <c r="E486" s="36" t="str">
        <f>IF(CARGA_DIARIA!A486="","",IF(CARGA_DIARIA!B486=0,0,(CARGA_DIARIA!X486+CARGA_DIARIA!Y486+CARGA_DIARIA!Z486+CARGA_DIARIA!AA486)/CARGA_DIARIA!B486+CARGA_DIARIA!AB486+CARGA_DIARIA!AC486+CARGA_DIARIA!AD486+CARGA_DIARIA!AE486))</f>
        <v/>
      </c>
      <c r="F486" s="39" t="s">
        <v>146</v>
      </c>
      <c r="G486" s="39" t="s">
        <v>146</v>
      </c>
      <c r="H486" s="38" t="str">
        <f>IF(CARGA_DIARIA!A486="","",C486-D486-E486)</f>
        <v/>
      </c>
    </row>
    <row r="487" spans="1:8" ht="15.75" customHeight="1" x14ac:dyDescent="0.25">
      <c r="A487" s="33" t="str">
        <f>IF(CARGA_DIARIA!A487="","",CARGA_DIARIA!A487)</f>
        <v/>
      </c>
      <c r="B487" s="34" t="str">
        <f>IF(CARGA_DIARIA!A487="","",CARGA_DIARIA!B487)</f>
        <v/>
      </c>
      <c r="C487" s="35" t="str">
        <f>IF(CARGA_DIARIA!A487="","",IF(CARGA_DIARIA!B487=0,0,(CARGA_DIARIA!C487+CARGA_DIARIA!D487+CARGA_DIARIA!E487+CARGA_DIARIA!F487+CARGA_DIARIA!G487+CARGA_DIARIA!H487+CARGA_DIARIA!I487+CARGA_DIARIA!AG487+CARGA_DIARIA!AH487+CARGA_DIARIA!AI487+CARGA_DIARIA!AJ487)/CARGA_DIARIA!B487+CARGA_DIARIA!AF487))</f>
        <v/>
      </c>
      <c r="D487" s="36" t="str">
        <f>IF(CARGA_DIARIA!A487="","",IF(CARGA_DIARIA!B487=0,0,(CARGA_DIARIA!J487+CARGA_DIARIA!K487+CARGA_DIARIA!L487+CARGA_DIARIA!M487+CARGA_DIARIA!N487+CARGA_DIARIA!O487+CARGA_DIARIA!P487+CARGA_DIARIA!Q487+CARGA_DIARIA!R487+CARGA_DIARIA!S487+CARGA_DIARIA!T487+CARGA_DIARIA!U487+CARGA_DIARIA!V487+CARGA_DIARIA!W487)/CARGA_DIARIA!B487))</f>
        <v/>
      </c>
      <c r="E487" s="36" t="str">
        <f>IF(CARGA_DIARIA!A487="","",IF(CARGA_DIARIA!B487=0,0,(CARGA_DIARIA!X487+CARGA_DIARIA!Y487+CARGA_DIARIA!Z487+CARGA_DIARIA!AA487)/CARGA_DIARIA!B487+CARGA_DIARIA!AB487+CARGA_DIARIA!AC487+CARGA_DIARIA!AD487+CARGA_DIARIA!AE487))</f>
        <v/>
      </c>
      <c r="F487" s="39" t="s">
        <v>146</v>
      </c>
      <c r="G487" s="39" t="s">
        <v>146</v>
      </c>
      <c r="H487" s="38" t="str">
        <f>IF(CARGA_DIARIA!A487="","",C487-D487-E487)</f>
        <v/>
      </c>
    </row>
    <row r="488" spans="1:8" ht="15.75" customHeight="1" x14ac:dyDescent="0.25">
      <c r="A488" s="33" t="str">
        <f>IF(CARGA_DIARIA!A488="","",CARGA_DIARIA!A488)</f>
        <v/>
      </c>
      <c r="B488" s="34" t="str">
        <f>IF(CARGA_DIARIA!A488="","",CARGA_DIARIA!B488)</f>
        <v/>
      </c>
      <c r="C488" s="35" t="str">
        <f>IF(CARGA_DIARIA!A488="","",IF(CARGA_DIARIA!B488=0,0,(CARGA_DIARIA!C488+CARGA_DIARIA!D488+CARGA_DIARIA!E488+CARGA_DIARIA!F488+CARGA_DIARIA!G488+CARGA_DIARIA!H488+CARGA_DIARIA!I488+CARGA_DIARIA!AG488+CARGA_DIARIA!AH488+CARGA_DIARIA!AI488+CARGA_DIARIA!AJ488)/CARGA_DIARIA!B488+CARGA_DIARIA!AF488))</f>
        <v/>
      </c>
      <c r="D488" s="36" t="str">
        <f>IF(CARGA_DIARIA!A488="","",IF(CARGA_DIARIA!B488=0,0,(CARGA_DIARIA!J488+CARGA_DIARIA!K488+CARGA_DIARIA!L488+CARGA_DIARIA!M488+CARGA_DIARIA!N488+CARGA_DIARIA!O488+CARGA_DIARIA!P488+CARGA_DIARIA!Q488+CARGA_DIARIA!R488+CARGA_DIARIA!S488+CARGA_DIARIA!T488+CARGA_DIARIA!U488+CARGA_DIARIA!V488+CARGA_DIARIA!W488)/CARGA_DIARIA!B488))</f>
        <v/>
      </c>
      <c r="E488" s="36" t="str">
        <f>IF(CARGA_DIARIA!A488="","",IF(CARGA_DIARIA!B488=0,0,(CARGA_DIARIA!X488+CARGA_DIARIA!Y488+CARGA_DIARIA!Z488+CARGA_DIARIA!AA488)/CARGA_DIARIA!B488+CARGA_DIARIA!AB488+CARGA_DIARIA!AC488+CARGA_DIARIA!AD488+CARGA_DIARIA!AE488))</f>
        <v/>
      </c>
      <c r="F488" s="39" t="s">
        <v>146</v>
      </c>
      <c r="G488" s="39" t="s">
        <v>146</v>
      </c>
      <c r="H488" s="38" t="str">
        <f>IF(CARGA_DIARIA!A488="","",C488-D488-E488)</f>
        <v/>
      </c>
    </row>
    <row r="489" spans="1:8" ht="15.75" customHeight="1" x14ac:dyDescent="0.25">
      <c r="A489" s="33" t="str">
        <f>IF(CARGA_DIARIA!A489="","",CARGA_DIARIA!A489)</f>
        <v/>
      </c>
      <c r="B489" s="34" t="str">
        <f>IF(CARGA_DIARIA!A489="","",CARGA_DIARIA!B489)</f>
        <v/>
      </c>
      <c r="C489" s="35" t="str">
        <f>IF(CARGA_DIARIA!A489="","",IF(CARGA_DIARIA!B489=0,0,(CARGA_DIARIA!C489+CARGA_DIARIA!D489+CARGA_DIARIA!E489+CARGA_DIARIA!F489+CARGA_DIARIA!G489+CARGA_DIARIA!H489+CARGA_DIARIA!I489+CARGA_DIARIA!AG489+CARGA_DIARIA!AH489+CARGA_DIARIA!AI489+CARGA_DIARIA!AJ489)/CARGA_DIARIA!B489+CARGA_DIARIA!AF489))</f>
        <v/>
      </c>
      <c r="D489" s="36" t="str">
        <f>IF(CARGA_DIARIA!A489="","",IF(CARGA_DIARIA!B489=0,0,(CARGA_DIARIA!J489+CARGA_DIARIA!K489+CARGA_DIARIA!L489+CARGA_DIARIA!M489+CARGA_DIARIA!N489+CARGA_DIARIA!O489+CARGA_DIARIA!P489+CARGA_DIARIA!Q489+CARGA_DIARIA!R489+CARGA_DIARIA!S489+CARGA_DIARIA!T489+CARGA_DIARIA!U489+CARGA_DIARIA!V489+CARGA_DIARIA!W489)/CARGA_DIARIA!B489))</f>
        <v/>
      </c>
      <c r="E489" s="36" t="str">
        <f>IF(CARGA_DIARIA!A489="","",IF(CARGA_DIARIA!B489=0,0,(CARGA_DIARIA!X489+CARGA_DIARIA!Y489+CARGA_DIARIA!Z489+CARGA_DIARIA!AA489)/CARGA_DIARIA!B489+CARGA_DIARIA!AB489+CARGA_DIARIA!AC489+CARGA_DIARIA!AD489+CARGA_DIARIA!AE489))</f>
        <v/>
      </c>
      <c r="F489" s="39" t="s">
        <v>146</v>
      </c>
      <c r="G489" s="39" t="s">
        <v>146</v>
      </c>
      <c r="H489" s="38" t="str">
        <f>IF(CARGA_DIARIA!A489="","",C489-D489-E489)</f>
        <v/>
      </c>
    </row>
    <row r="490" spans="1:8" ht="15.75" customHeight="1" x14ac:dyDescent="0.25">
      <c r="A490" s="33" t="str">
        <f>IF(CARGA_DIARIA!A490="","",CARGA_DIARIA!A490)</f>
        <v/>
      </c>
      <c r="B490" s="34" t="str">
        <f>IF(CARGA_DIARIA!A490="","",CARGA_DIARIA!B490)</f>
        <v/>
      </c>
      <c r="C490" s="35" t="str">
        <f>IF(CARGA_DIARIA!A490="","",IF(CARGA_DIARIA!B490=0,0,(CARGA_DIARIA!C490+CARGA_DIARIA!D490+CARGA_DIARIA!E490+CARGA_DIARIA!F490+CARGA_DIARIA!G490+CARGA_DIARIA!H490+CARGA_DIARIA!I490+CARGA_DIARIA!AG490+CARGA_DIARIA!AH490+CARGA_DIARIA!AI490+CARGA_DIARIA!AJ490)/CARGA_DIARIA!B490+CARGA_DIARIA!AF490))</f>
        <v/>
      </c>
      <c r="D490" s="36" t="str">
        <f>IF(CARGA_DIARIA!A490="","",IF(CARGA_DIARIA!B490=0,0,(CARGA_DIARIA!J490+CARGA_DIARIA!K490+CARGA_DIARIA!L490+CARGA_DIARIA!M490+CARGA_DIARIA!N490+CARGA_DIARIA!O490+CARGA_DIARIA!P490+CARGA_DIARIA!Q490+CARGA_DIARIA!R490+CARGA_DIARIA!S490+CARGA_DIARIA!T490+CARGA_DIARIA!U490+CARGA_DIARIA!V490+CARGA_DIARIA!W490)/CARGA_DIARIA!B490))</f>
        <v/>
      </c>
      <c r="E490" s="36" t="str">
        <f>IF(CARGA_DIARIA!A490="","",IF(CARGA_DIARIA!B490=0,0,(CARGA_DIARIA!X490+CARGA_DIARIA!Y490+CARGA_DIARIA!Z490+CARGA_DIARIA!AA490)/CARGA_DIARIA!B490+CARGA_DIARIA!AB490+CARGA_DIARIA!AC490+CARGA_DIARIA!AD490+CARGA_DIARIA!AE490))</f>
        <v/>
      </c>
      <c r="F490" s="39" t="s">
        <v>146</v>
      </c>
      <c r="G490" s="39" t="s">
        <v>146</v>
      </c>
      <c r="H490" s="38" t="str">
        <f>IF(CARGA_DIARIA!A490="","",C490-D490-E490)</f>
        <v/>
      </c>
    </row>
    <row r="491" spans="1:8" ht="15.75" customHeight="1" x14ac:dyDescent="0.25">
      <c r="A491" s="33" t="str">
        <f>IF(CARGA_DIARIA!A491="","",CARGA_DIARIA!A491)</f>
        <v/>
      </c>
      <c r="B491" s="34" t="str">
        <f>IF(CARGA_DIARIA!A491="","",CARGA_DIARIA!B491)</f>
        <v/>
      </c>
      <c r="C491" s="35" t="str">
        <f>IF(CARGA_DIARIA!A491="","",IF(CARGA_DIARIA!B491=0,0,(CARGA_DIARIA!C491+CARGA_DIARIA!D491+CARGA_DIARIA!E491+CARGA_DIARIA!F491+CARGA_DIARIA!G491+CARGA_DIARIA!H491+CARGA_DIARIA!I491+CARGA_DIARIA!AG491+CARGA_DIARIA!AH491+CARGA_DIARIA!AI491+CARGA_DIARIA!AJ491)/CARGA_DIARIA!B491+CARGA_DIARIA!AF491))</f>
        <v/>
      </c>
      <c r="D491" s="36" t="str">
        <f>IF(CARGA_DIARIA!A491="","",IF(CARGA_DIARIA!B491=0,0,(CARGA_DIARIA!J491+CARGA_DIARIA!K491+CARGA_DIARIA!L491+CARGA_DIARIA!M491+CARGA_DIARIA!N491+CARGA_DIARIA!O491+CARGA_DIARIA!P491+CARGA_DIARIA!Q491+CARGA_DIARIA!R491+CARGA_DIARIA!S491+CARGA_DIARIA!T491+CARGA_DIARIA!U491+CARGA_DIARIA!V491+CARGA_DIARIA!W491)/CARGA_DIARIA!B491))</f>
        <v/>
      </c>
      <c r="E491" s="36" t="str">
        <f>IF(CARGA_DIARIA!A491="","",IF(CARGA_DIARIA!B491=0,0,(CARGA_DIARIA!X491+CARGA_DIARIA!Y491+CARGA_DIARIA!Z491+CARGA_DIARIA!AA491)/CARGA_DIARIA!B491+CARGA_DIARIA!AB491+CARGA_DIARIA!AC491+CARGA_DIARIA!AD491+CARGA_DIARIA!AE491))</f>
        <v/>
      </c>
      <c r="F491" s="39" t="s">
        <v>146</v>
      </c>
      <c r="G491" s="39" t="s">
        <v>146</v>
      </c>
      <c r="H491" s="38" t="str">
        <f>IF(CARGA_DIARIA!A491="","",C491-D491-E491)</f>
        <v/>
      </c>
    </row>
    <row r="492" spans="1:8" ht="15.75" customHeight="1" x14ac:dyDescent="0.25">
      <c r="A492" s="33" t="str">
        <f>IF(CARGA_DIARIA!A492="","",CARGA_DIARIA!A492)</f>
        <v/>
      </c>
      <c r="B492" s="34" t="str">
        <f>IF(CARGA_DIARIA!A492="","",CARGA_DIARIA!B492)</f>
        <v/>
      </c>
      <c r="C492" s="35" t="str">
        <f>IF(CARGA_DIARIA!A492="","",IF(CARGA_DIARIA!B492=0,0,(CARGA_DIARIA!C492+CARGA_DIARIA!D492+CARGA_DIARIA!E492+CARGA_DIARIA!F492+CARGA_DIARIA!G492+CARGA_DIARIA!H492+CARGA_DIARIA!I492+CARGA_DIARIA!AG492+CARGA_DIARIA!AH492+CARGA_DIARIA!AI492+CARGA_DIARIA!AJ492)/CARGA_DIARIA!B492+CARGA_DIARIA!AF492))</f>
        <v/>
      </c>
      <c r="D492" s="36" t="str">
        <f>IF(CARGA_DIARIA!A492="","",IF(CARGA_DIARIA!B492=0,0,(CARGA_DIARIA!J492+CARGA_DIARIA!K492+CARGA_DIARIA!L492+CARGA_DIARIA!M492+CARGA_DIARIA!N492+CARGA_DIARIA!O492+CARGA_DIARIA!P492+CARGA_DIARIA!Q492+CARGA_DIARIA!R492+CARGA_DIARIA!S492+CARGA_DIARIA!T492+CARGA_DIARIA!U492+CARGA_DIARIA!V492+CARGA_DIARIA!W492)/CARGA_DIARIA!B492))</f>
        <v/>
      </c>
      <c r="E492" s="36" t="str">
        <f>IF(CARGA_DIARIA!A492="","",IF(CARGA_DIARIA!B492=0,0,(CARGA_DIARIA!X492+CARGA_DIARIA!Y492+CARGA_DIARIA!Z492+CARGA_DIARIA!AA492)/CARGA_DIARIA!B492+CARGA_DIARIA!AB492+CARGA_DIARIA!AC492+CARGA_DIARIA!AD492+CARGA_DIARIA!AE492))</f>
        <v/>
      </c>
      <c r="F492" s="39" t="s">
        <v>146</v>
      </c>
      <c r="G492" s="39" t="s">
        <v>146</v>
      </c>
      <c r="H492" s="38" t="str">
        <f>IF(CARGA_DIARIA!A492="","",C492-D492-E492)</f>
        <v/>
      </c>
    </row>
    <row r="493" spans="1:8" ht="15.75" customHeight="1" x14ac:dyDescent="0.25">
      <c r="A493" s="33" t="str">
        <f>IF(CARGA_DIARIA!A493="","",CARGA_DIARIA!A493)</f>
        <v/>
      </c>
      <c r="B493" s="34" t="str">
        <f>IF(CARGA_DIARIA!A493="","",CARGA_DIARIA!B493)</f>
        <v/>
      </c>
      <c r="C493" s="35" t="str">
        <f>IF(CARGA_DIARIA!A493="","",IF(CARGA_DIARIA!B493=0,0,(CARGA_DIARIA!C493+CARGA_DIARIA!D493+CARGA_DIARIA!E493+CARGA_DIARIA!F493+CARGA_DIARIA!G493+CARGA_DIARIA!H493+CARGA_DIARIA!I493+CARGA_DIARIA!AG493+CARGA_DIARIA!AH493+CARGA_DIARIA!AI493+CARGA_DIARIA!AJ493)/CARGA_DIARIA!B493+CARGA_DIARIA!AF493))</f>
        <v/>
      </c>
      <c r="D493" s="36" t="str">
        <f>IF(CARGA_DIARIA!A493="","",IF(CARGA_DIARIA!B493=0,0,(CARGA_DIARIA!J493+CARGA_DIARIA!K493+CARGA_DIARIA!L493+CARGA_DIARIA!M493+CARGA_DIARIA!N493+CARGA_DIARIA!O493+CARGA_DIARIA!P493+CARGA_DIARIA!Q493+CARGA_DIARIA!R493+CARGA_DIARIA!S493+CARGA_DIARIA!T493+CARGA_DIARIA!U493+CARGA_DIARIA!V493+CARGA_DIARIA!W493)/CARGA_DIARIA!B493))</f>
        <v/>
      </c>
      <c r="E493" s="36" t="str">
        <f>IF(CARGA_DIARIA!A493="","",IF(CARGA_DIARIA!B493=0,0,(CARGA_DIARIA!X493+CARGA_DIARIA!Y493+CARGA_DIARIA!Z493+CARGA_DIARIA!AA493)/CARGA_DIARIA!B493+CARGA_DIARIA!AB493+CARGA_DIARIA!AC493+CARGA_DIARIA!AD493+CARGA_DIARIA!AE493))</f>
        <v/>
      </c>
      <c r="F493" s="39" t="s">
        <v>146</v>
      </c>
      <c r="G493" s="39" t="s">
        <v>146</v>
      </c>
      <c r="H493" s="38" t="str">
        <f>IF(CARGA_DIARIA!A493="","",C493-D493-E493)</f>
        <v/>
      </c>
    </row>
    <row r="494" spans="1:8" ht="15.75" customHeight="1" x14ac:dyDescent="0.25">
      <c r="A494" s="33" t="str">
        <f>IF(CARGA_DIARIA!A494="","",CARGA_DIARIA!A494)</f>
        <v/>
      </c>
      <c r="B494" s="34" t="str">
        <f>IF(CARGA_DIARIA!A494="","",CARGA_DIARIA!B494)</f>
        <v/>
      </c>
      <c r="C494" s="35" t="str">
        <f>IF(CARGA_DIARIA!A494="","",IF(CARGA_DIARIA!B494=0,0,(CARGA_DIARIA!C494+CARGA_DIARIA!D494+CARGA_DIARIA!E494+CARGA_DIARIA!F494+CARGA_DIARIA!G494+CARGA_DIARIA!H494+CARGA_DIARIA!I494+CARGA_DIARIA!AG494+CARGA_DIARIA!AH494+CARGA_DIARIA!AI494+CARGA_DIARIA!AJ494)/CARGA_DIARIA!B494+CARGA_DIARIA!AF494))</f>
        <v/>
      </c>
      <c r="D494" s="36" t="str">
        <f>IF(CARGA_DIARIA!A494="","",IF(CARGA_DIARIA!B494=0,0,(CARGA_DIARIA!J494+CARGA_DIARIA!K494+CARGA_DIARIA!L494+CARGA_DIARIA!M494+CARGA_DIARIA!N494+CARGA_DIARIA!O494+CARGA_DIARIA!P494+CARGA_DIARIA!Q494+CARGA_DIARIA!R494+CARGA_DIARIA!S494+CARGA_DIARIA!T494+CARGA_DIARIA!U494+CARGA_DIARIA!V494+CARGA_DIARIA!W494)/CARGA_DIARIA!B494))</f>
        <v/>
      </c>
      <c r="E494" s="36" t="str">
        <f>IF(CARGA_DIARIA!A494="","",IF(CARGA_DIARIA!B494=0,0,(CARGA_DIARIA!X494+CARGA_DIARIA!Y494+CARGA_DIARIA!Z494+CARGA_DIARIA!AA494)/CARGA_DIARIA!B494+CARGA_DIARIA!AB494+CARGA_DIARIA!AC494+CARGA_DIARIA!AD494+CARGA_DIARIA!AE494))</f>
        <v/>
      </c>
      <c r="F494" s="39" t="s">
        <v>146</v>
      </c>
      <c r="G494" s="39" t="s">
        <v>146</v>
      </c>
      <c r="H494" s="38" t="str">
        <f>IF(CARGA_DIARIA!A494="","",C494-D494-E494)</f>
        <v/>
      </c>
    </row>
    <row r="495" spans="1:8" ht="15.75" customHeight="1" x14ac:dyDescent="0.25">
      <c r="A495" s="33" t="str">
        <f>IF(CARGA_DIARIA!A495="","",CARGA_DIARIA!A495)</f>
        <v/>
      </c>
      <c r="B495" s="34" t="str">
        <f>IF(CARGA_DIARIA!A495="","",CARGA_DIARIA!B495)</f>
        <v/>
      </c>
      <c r="C495" s="35" t="str">
        <f>IF(CARGA_DIARIA!A495="","",IF(CARGA_DIARIA!B495=0,0,(CARGA_DIARIA!C495+CARGA_DIARIA!D495+CARGA_DIARIA!E495+CARGA_DIARIA!F495+CARGA_DIARIA!G495+CARGA_DIARIA!H495+CARGA_DIARIA!I495+CARGA_DIARIA!AG495+CARGA_DIARIA!AH495+CARGA_DIARIA!AI495+CARGA_DIARIA!AJ495)/CARGA_DIARIA!B495+CARGA_DIARIA!AF495))</f>
        <v/>
      </c>
      <c r="D495" s="36" t="str">
        <f>IF(CARGA_DIARIA!A495="","",IF(CARGA_DIARIA!B495=0,0,(CARGA_DIARIA!J495+CARGA_DIARIA!K495+CARGA_DIARIA!L495+CARGA_DIARIA!M495+CARGA_DIARIA!N495+CARGA_DIARIA!O495+CARGA_DIARIA!P495+CARGA_DIARIA!Q495+CARGA_DIARIA!R495+CARGA_DIARIA!S495+CARGA_DIARIA!T495+CARGA_DIARIA!U495+CARGA_DIARIA!V495+CARGA_DIARIA!W495)/CARGA_DIARIA!B495))</f>
        <v/>
      </c>
      <c r="E495" s="36" t="str">
        <f>IF(CARGA_DIARIA!A495="","",IF(CARGA_DIARIA!B495=0,0,(CARGA_DIARIA!X495+CARGA_DIARIA!Y495+CARGA_DIARIA!Z495+CARGA_DIARIA!AA495)/CARGA_DIARIA!B495+CARGA_DIARIA!AB495+CARGA_DIARIA!AC495+CARGA_DIARIA!AD495+CARGA_DIARIA!AE495))</f>
        <v/>
      </c>
      <c r="F495" s="39" t="s">
        <v>146</v>
      </c>
      <c r="G495" s="39" t="s">
        <v>146</v>
      </c>
      <c r="H495" s="38" t="str">
        <f>IF(CARGA_DIARIA!A495="","",C495-D495-E495)</f>
        <v/>
      </c>
    </row>
    <row r="496" spans="1:8" ht="15.75" customHeight="1" x14ac:dyDescent="0.25">
      <c r="A496" s="33" t="str">
        <f>IF(CARGA_DIARIA!A496="","",CARGA_DIARIA!A496)</f>
        <v/>
      </c>
      <c r="B496" s="34" t="str">
        <f>IF(CARGA_DIARIA!A496="","",CARGA_DIARIA!B496)</f>
        <v/>
      </c>
      <c r="C496" s="35" t="str">
        <f>IF(CARGA_DIARIA!A496="","",IF(CARGA_DIARIA!B496=0,0,(CARGA_DIARIA!C496+CARGA_DIARIA!D496+CARGA_DIARIA!E496+CARGA_DIARIA!F496+CARGA_DIARIA!G496+CARGA_DIARIA!H496+CARGA_DIARIA!I496+CARGA_DIARIA!AG496+CARGA_DIARIA!AH496+CARGA_DIARIA!AI496+CARGA_DIARIA!AJ496)/CARGA_DIARIA!B496+CARGA_DIARIA!AF496))</f>
        <v/>
      </c>
      <c r="D496" s="36" t="str">
        <f>IF(CARGA_DIARIA!A496="","",IF(CARGA_DIARIA!B496=0,0,(CARGA_DIARIA!J496+CARGA_DIARIA!K496+CARGA_DIARIA!L496+CARGA_DIARIA!M496+CARGA_DIARIA!N496+CARGA_DIARIA!O496+CARGA_DIARIA!P496+CARGA_DIARIA!Q496+CARGA_DIARIA!R496+CARGA_DIARIA!S496+CARGA_DIARIA!T496+CARGA_DIARIA!U496+CARGA_DIARIA!V496+CARGA_DIARIA!W496)/CARGA_DIARIA!B496))</f>
        <v/>
      </c>
      <c r="E496" s="36" t="str">
        <f>IF(CARGA_DIARIA!A496="","",IF(CARGA_DIARIA!B496=0,0,(CARGA_DIARIA!X496+CARGA_DIARIA!Y496+CARGA_DIARIA!Z496+CARGA_DIARIA!AA496)/CARGA_DIARIA!B496+CARGA_DIARIA!AB496+CARGA_DIARIA!AC496+CARGA_DIARIA!AD496+CARGA_DIARIA!AE496))</f>
        <v/>
      </c>
      <c r="F496" s="39" t="s">
        <v>146</v>
      </c>
      <c r="G496" s="39" t="s">
        <v>146</v>
      </c>
      <c r="H496" s="38" t="str">
        <f>IF(CARGA_DIARIA!A496="","",C496-D496-E496)</f>
        <v/>
      </c>
    </row>
    <row r="497" spans="1:8" ht="15.75" customHeight="1" x14ac:dyDescent="0.25">
      <c r="A497" s="33" t="str">
        <f>IF(CARGA_DIARIA!A497="","",CARGA_DIARIA!A497)</f>
        <v/>
      </c>
      <c r="B497" s="34" t="str">
        <f>IF(CARGA_DIARIA!A497="","",CARGA_DIARIA!B497)</f>
        <v/>
      </c>
      <c r="C497" s="35" t="str">
        <f>IF(CARGA_DIARIA!A497="","",IF(CARGA_DIARIA!B497=0,0,(CARGA_DIARIA!C497+CARGA_DIARIA!D497+CARGA_DIARIA!E497+CARGA_DIARIA!F497+CARGA_DIARIA!G497+CARGA_DIARIA!H497+CARGA_DIARIA!I497+CARGA_DIARIA!AG497+CARGA_DIARIA!AH497+CARGA_DIARIA!AI497+CARGA_DIARIA!AJ497)/CARGA_DIARIA!B497+CARGA_DIARIA!AF497))</f>
        <v/>
      </c>
      <c r="D497" s="36" t="str">
        <f>IF(CARGA_DIARIA!A497="","",IF(CARGA_DIARIA!B497=0,0,(CARGA_DIARIA!J497+CARGA_DIARIA!K497+CARGA_DIARIA!L497+CARGA_DIARIA!M497+CARGA_DIARIA!N497+CARGA_DIARIA!O497+CARGA_DIARIA!P497+CARGA_DIARIA!Q497+CARGA_DIARIA!R497+CARGA_DIARIA!S497+CARGA_DIARIA!T497+CARGA_DIARIA!U497+CARGA_DIARIA!V497+CARGA_DIARIA!W497)/CARGA_DIARIA!B497))</f>
        <v/>
      </c>
      <c r="E497" s="36" t="str">
        <f>IF(CARGA_DIARIA!A497="","",IF(CARGA_DIARIA!B497=0,0,(CARGA_DIARIA!X497+CARGA_DIARIA!Y497+CARGA_DIARIA!Z497+CARGA_DIARIA!AA497)/CARGA_DIARIA!B497+CARGA_DIARIA!AB497+CARGA_DIARIA!AC497+CARGA_DIARIA!AD497+CARGA_DIARIA!AE497))</f>
        <v/>
      </c>
      <c r="F497" s="39" t="s">
        <v>146</v>
      </c>
      <c r="G497" s="39" t="s">
        <v>146</v>
      </c>
      <c r="H497" s="38" t="str">
        <f>IF(CARGA_DIARIA!A497="","",C497-D497-E497)</f>
        <v/>
      </c>
    </row>
    <row r="498" spans="1:8" ht="15.75" customHeight="1" x14ac:dyDescent="0.25">
      <c r="A498" s="33" t="str">
        <f>IF(CARGA_DIARIA!A498="","",CARGA_DIARIA!A498)</f>
        <v/>
      </c>
      <c r="B498" s="34" t="str">
        <f>IF(CARGA_DIARIA!A498="","",CARGA_DIARIA!B498)</f>
        <v/>
      </c>
      <c r="C498" s="35" t="str">
        <f>IF(CARGA_DIARIA!A498="","",IF(CARGA_DIARIA!B498=0,0,(CARGA_DIARIA!C498+CARGA_DIARIA!D498+CARGA_DIARIA!E498+CARGA_DIARIA!F498+CARGA_DIARIA!G498+CARGA_DIARIA!H498+CARGA_DIARIA!I498+CARGA_DIARIA!AG498+CARGA_DIARIA!AH498+CARGA_DIARIA!AI498+CARGA_DIARIA!AJ498)/CARGA_DIARIA!B498+CARGA_DIARIA!AF498))</f>
        <v/>
      </c>
      <c r="D498" s="36" t="str">
        <f>IF(CARGA_DIARIA!A498="","",IF(CARGA_DIARIA!B498=0,0,(CARGA_DIARIA!J498+CARGA_DIARIA!K498+CARGA_DIARIA!L498+CARGA_DIARIA!M498+CARGA_DIARIA!N498+CARGA_DIARIA!O498+CARGA_DIARIA!P498+CARGA_DIARIA!Q498+CARGA_DIARIA!R498+CARGA_DIARIA!S498+CARGA_DIARIA!T498+CARGA_DIARIA!U498+CARGA_DIARIA!V498+CARGA_DIARIA!W498)/CARGA_DIARIA!B498))</f>
        <v/>
      </c>
      <c r="E498" s="36" t="str">
        <f>IF(CARGA_DIARIA!A498="","",IF(CARGA_DIARIA!B498=0,0,(CARGA_DIARIA!X498+CARGA_DIARIA!Y498+CARGA_DIARIA!Z498+CARGA_DIARIA!AA498)/CARGA_DIARIA!B498+CARGA_DIARIA!AB498+CARGA_DIARIA!AC498+CARGA_DIARIA!AD498+CARGA_DIARIA!AE498))</f>
        <v/>
      </c>
      <c r="F498" s="39" t="s">
        <v>146</v>
      </c>
      <c r="G498" s="39" t="s">
        <v>146</v>
      </c>
      <c r="H498" s="38" t="str">
        <f>IF(CARGA_DIARIA!A498="","",C498-D498-E498)</f>
        <v/>
      </c>
    </row>
    <row r="499" spans="1:8" ht="15.75" customHeight="1" x14ac:dyDescent="0.25">
      <c r="A499" s="33" t="str">
        <f>IF(CARGA_DIARIA!A499="","",CARGA_DIARIA!A499)</f>
        <v/>
      </c>
      <c r="B499" s="34" t="str">
        <f>IF(CARGA_DIARIA!A499="","",CARGA_DIARIA!B499)</f>
        <v/>
      </c>
      <c r="C499" s="35" t="str">
        <f>IF(CARGA_DIARIA!A499="","",IF(CARGA_DIARIA!B499=0,0,(CARGA_DIARIA!C499+CARGA_DIARIA!D499+CARGA_DIARIA!E499+CARGA_DIARIA!F499+CARGA_DIARIA!G499+CARGA_DIARIA!H499+CARGA_DIARIA!I499+CARGA_DIARIA!AG499+CARGA_DIARIA!AH499+CARGA_DIARIA!AI499+CARGA_DIARIA!AJ499)/CARGA_DIARIA!B499+CARGA_DIARIA!AF499))</f>
        <v/>
      </c>
      <c r="D499" s="36" t="str">
        <f>IF(CARGA_DIARIA!A499="","",IF(CARGA_DIARIA!B499=0,0,(CARGA_DIARIA!J499+CARGA_DIARIA!K499+CARGA_DIARIA!L499+CARGA_DIARIA!M499+CARGA_DIARIA!N499+CARGA_DIARIA!O499+CARGA_DIARIA!P499+CARGA_DIARIA!Q499+CARGA_DIARIA!R499+CARGA_DIARIA!S499+CARGA_DIARIA!T499+CARGA_DIARIA!U499+CARGA_DIARIA!V499+CARGA_DIARIA!W499)/CARGA_DIARIA!B499))</f>
        <v/>
      </c>
      <c r="E499" s="36" t="str">
        <f>IF(CARGA_DIARIA!A499="","",IF(CARGA_DIARIA!B499=0,0,(CARGA_DIARIA!X499+CARGA_DIARIA!Y499+CARGA_DIARIA!Z499+CARGA_DIARIA!AA499)/CARGA_DIARIA!B499+CARGA_DIARIA!AB499+CARGA_DIARIA!AC499+CARGA_DIARIA!AD499+CARGA_DIARIA!AE499))</f>
        <v/>
      </c>
      <c r="F499" s="39" t="s">
        <v>146</v>
      </c>
      <c r="G499" s="39" t="s">
        <v>146</v>
      </c>
      <c r="H499" s="38" t="str">
        <f>IF(CARGA_DIARIA!A499="","",C499-D499-E499)</f>
        <v/>
      </c>
    </row>
    <row r="500" spans="1:8" ht="15.75" customHeight="1" x14ac:dyDescent="0.25">
      <c r="A500" s="33" t="str">
        <f>IF(CARGA_DIARIA!A500="","",CARGA_DIARIA!A500)</f>
        <v/>
      </c>
      <c r="B500" s="34" t="str">
        <f>IF(CARGA_DIARIA!A500="","",CARGA_DIARIA!B500)</f>
        <v/>
      </c>
      <c r="C500" s="35" t="str">
        <f>IF(CARGA_DIARIA!A500="","",IF(CARGA_DIARIA!B500=0,0,(CARGA_DIARIA!C500+CARGA_DIARIA!D500+CARGA_DIARIA!E500+CARGA_DIARIA!F500+CARGA_DIARIA!G500+CARGA_DIARIA!H500+CARGA_DIARIA!I500+CARGA_DIARIA!AG500+CARGA_DIARIA!AH500+CARGA_DIARIA!AI500+CARGA_DIARIA!AJ500)/CARGA_DIARIA!B500+CARGA_DIARIA!AF500))</f>
        <v/>
      </c>
      <c r="D500" s="36" t="str">
        <f>IF(CARGA_DIARIA!A500="","",IF(CARGA_DIARIA!B500=0,0,(CARGA_DIARIA!J500+CARGA_DIARIA!K500+CARGA_DIARIA!L500+CARGA_DIARIA!M500+CARGA_DIARIA!N500+CARGA_DIARIA!O500+CARGA_DIARIA!P500+CARGA_DIARIA!Q500+CARGA_DIARIA!R500+CARGA_DIARIA!S500+CARGA_DIARIA!T500+CARGA_DIARIA!U500+CARGA_DIARIA!V500+CARGA_DIARIA!W500)/CARGA_DIARIA!B500))</f>
        <v/>
      </c>
      <c r="E500" s="36" t="str">
        <f>IF(CARGA_DIARIA!A500="","",IF(CARGA_DIARIA!B500=0,0,(CARGA_DIARIA!X500+CARGA_DIARIA!Y500+CARGA_DIARIA!Z500+CARGA_DIARIA!AA500)/CARGA_DIARIA!B500+CARGA_DIARIA!AB500+CARGA_DIARIA!AC500+CARGA_DIARIA!AD500+CARGA_DIARIA!AE500))</f>
        <v/>
      </c>
      <c r="F500" s="39" t="s">
        <v>146</v>
      </c>
      <c r="G500" s="39" t="s">
        <v>146</v>
      </c>
      <c r="H500" s="38" t="str">
        <f>IF(CARGA_DIARIA!A500="","",C500-D500-E500)</f>
        <v/>
      </c>
    </row>
    <row r="501" spans="1:8" ht="15.75" customHeight="1" x14ac:dyDescent="0.25">
      <c r="A501" s="33" t="str">
        <f>IF(CARGA_DIARIA!A501="","",CARGA_DIARIA!A501)</f>
        <v/>
      </c>
      <c r="B501" s="34" t="str">
        <f>IF(CARGA_DIARIA!A501="","",CARGA_DIARIA!B501)</f>
        <v/>
      </c>
      <c r="C501" s="35" t="str">
        <f>IF(CARGA_DIARIA!A501="","",IF(CARGA_DIARIA!B501=0,0,(CARGA_DIARIA!C501+CARGA_DIARIA!D501+CARGA_DIARIA!E501+CARGA_DIARIA!F501+CARGA_DIARIA!G501+CARGA_DIARIA!H501+CARGA_DIARIA!I501+CARGA_DIARIA!AG501+CARGA_DIARIA!AH501+CARGA_DIARIA!AI501+CARGA_DIARIA!AJ501)/CARGA_DIARIA!B501+CARGA_DIARIA!AF501))</f>
        <v/>
      </c>
      <c r="D501" s="36" t="str">
        <f>IF(CARGA_DIARIA!A501="","",IF(CARGA_DIARIA!B501=0,0,(CARGA_DIARIA!J501+CARGA_DIARIA!K501+CARGA_DIARIA!L501+CARGA_DIARIA!M501+CARGA_DIARIA!N501+CARGA_DIARIA!O501+CARGA_DIARIA!P501+CARGA_DIARIA!Q501+CARGA_DIARIA!R501+CARGA_DIARIA!S501+CARGA_DIARIA!T501+CARGA_DIARIA!U501+CARGA_DIARIA!V501+CARGA_DIARIA!W501)/CARGA_DIARIA!B501))</f>
        <v/>
      </c>
      <c r="E501" s="36" t="str">
        <f>IF(CARGA_DIARIA!A501="","",IF(CARGA_DIARIA!B501=0,0,(CARGA_DIARIA!X501+CARGA_DIARIA!Y501+CARGA_DIARIA!Z501+CARGA_DIARIA!AA501)/CARGA_DIARIA!B501+CARGA_DIARIA!AB501+CARGA_DIARIA!AC501+CARGA_DIARIA!AD501+CARGA_DIARIA!AE501))</f>
        <v/>
      </c>
      <c r="F501" s="39" t="s">
        <v>146</v>
      </c>
      <c r="G501" s="39" t="s">
        <v>146</v>
      </c>
      <c r="H501" s="38" t="str">
        <f>IF(CARGA_DIARIA!A501="","",C501-D501-E501)</f>
        <v/>
      </c>
    </row>
    <row r="502" spans="1:8" ht="15.75" customHeight="1" x14ac:dyDescent="0.25">
      <c r="A502" s="33" t="str">
        <f>IF(CARGA_DIARIA!A502="","",CARGA_DIARIA!A502)</f>
        <v/>
      </c>
      <c r="B502" s="34" t="str">
        <f>IF(CARGA_DIARIA!A502="","",CARGA_DIARIA!B502)</f>
        <v/>
      </c>
      <c r="C502" s="35" t="str">
        <f>IF(CARGA_DIARIA!A502="","",IF(CARGA_DIARIA!B502=0,0,(CARGA_DIARIA!C502+CARGA_DIARIA!D502+CARGA_DIARIA!E502+CARGA_DIARIA!F502+CARGA_DIARIA!G502+CARGA_DIARIA!H502+CARGA_DIARIA!I502+CARGA_DIARIA!AG502+CARGA_DIARIA!AH502+CARGA_DIARIA!AI502+CARGA_DIARIA!AJ502)/CARGA_DIARIA!B502+CARGA_DIARIA!AF502))</f>
        <v/>
      </c>
      <c r="D502" s="36" t="str">
        <f>IF(CARGA_DIARIA!A502="","",IF(CARGA_DIARIA!B502=0,0,(CARGA_DIARIA!J502+CARGA_DIARIA!K502+CARGA_DIARIA!L502+CARGA_DIARIA!M502+CARGA_DIARIA!N502+CARGA_DIARIA!O502+CARGA_DIARIA!P502+CARGA_DIARIA!Q502+CARGA_DIARIA!R502+CARGA_DIARIA!S502+CARGA_DIARIA!T502+CARGA_DIARIA!U502+CARGA_DIARIA!V502+CARGA_DIARIA!W502)/CARGA_DIARIA!B502))</f>
        <v/>
      </c>
      <c r="E502" s="36" t="str">
        <f>IF(CARGA_DIARIA!A502="","",IF(CARGA_DIARIA!B502=0,0,(CARGA_DIARIA!X502+CARGA_DIARIA!Y502+CARGA_DIARIA!Z502+CARGA_DIARIA!AA502)/CARGA_DIARIA!B502+CARGA_DIARIA!AB502+CARGA_DIARIA!AC502+CARGA_DIARIA!AD502+CARGA_DIARIA!AE502))</f>
        <v/>
      </c>
      <c r="F502" s="39" t="s">
        <v>146</v>
      </c>
      <c r="G502" s="39" t="s">
        <v>146</v>
      </c>
      <c r="H502" s="38" t="str">
        <f>IF(CARGA_DIARIA!A502="","",C502-D502-E502)</f>
        <v/>
      </c>
    </row>
    <row r="503" spans="1:8" ht="15.75" customHeight="1" x14ac:dyDescent="0.25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0"/>
  <sheetViews>
    <sheetView showGridLines="0" zoomScale="80" zoomScaleNormal="80" workbookViewId="0">
      <pane ySplit="3" topLeftCell="A111" activePane="bottomLeft" state="frozen"/>
      <selection pane="bottomLeft" activeCell="F130" sqref="F130"/>
    </sheetView>
  </sheetViews>
  <sheetFormatPr baseColWidth="10" defaultColWidth="8.7109375" defaultRowHeight="15" x14ac:dyDescent="0.25"/>
  <cols>
    <col min="1" max="1" width="32" customWidth="1"/>
    <col min="2" max="2" width="14" customWidth="1"/>
    <col min="3" max="3" width="16.5703125" bestFit="1" customWidth="1"/>
    <col min="4" max="5" width="18" customWidth="1"/>
    <col min="6" max="6" width="20" customWidth="1"/>
    <col min="7" max="7" width="24" customWidth="1"/>
  </cols>
  <sheetData>
    <row r="1" spans="1:7" ht="27.75" customHeight="1" x14ac:dyDescent="0.25">
      <c r="A1" s="70" t="s">
        <v>147</v>
      </c>
      <c r="B1" s="70"/>
      <c r="C1" s="70"/>
      <c r="D1" s="70"/>
      <c r="E1" s="70"/>
      <c r="F1" s="70"/>
      <c r="G1" s="70"/>
    </row>
    <row r="2" spans="1:7" ht="15.75" customHeight="1" x14ac:dyDescent="0.25">
      <c r="A2" s="69" t="s">
        <v>148</v>
      </c>
      <c r="B2" s="69"/>
      <c r="C2" s="69"/>
      <c r="D2" s="69"/>
      <c r="E2" s="69"/>
      <c r="F2" s="69"/>
      <c r="G2" s="69"/>
    </row>
    <row r="3" spans="1:7" ht="30" customHeight="1" x14ac:dyDescent="0.25">
      <c r="A3" s="19" t="s">
        <v>149</v>
      </c>
      <c r="B3" s="19" t="s">
        <v>150</v>
      </c>
      <c r="C3" s="19" t="s">
        <v>125</v>
      </c>
      <c r="D3" s="19" t="s">
        <v>151</v>
      </c>
      <c r="E3" s="19" t="s">
        <v>152</v>
      </c>
      <c r="F3" s="19" t="s">
        <v>153</v>
      </c>
      <c r="G3" s="19" t="s">
        <v>154</v>
      </c>
    </row>
    <row r="4" spans="1:7" ht="15.75" customHeight="1" x14ac:dyDescent="0.25">
      <c r="A4" t="s">
        <v>1049</v>
      </c>
      <c r="B4" t="s">
        <v>1235</v>
      </c>
      <c r="C4" s="84">
        <v>1000400</v>
      </c>
      <c r="D4" s="64"/>
      <c r="E4" s="64">
        <v>46362.000138888892</v>
      </c>
      <c r="F4" s="40">
        <f>+E4+2</f>
        <v>46364.000138888892</v>
      </c>
      <c r="G4" s="27"/>
    </row>
    <row r="5" spans="1:7" ht="15.75" customHeight="1" x14ac:dyDescent="0.25">
      <c r="A5" t="s">
        <v>1049</v>
      </c>
      <c r="B5" t="s">
        <v>1236</v>
      </c>
      <c r="C5" s="84">
        <v>3060000</v>
      </c>
      <c r="D5" s="64"/>
      <c r="E5" s="64">
        <v>46362.000138888892</v>
      </c>
      <c r="F5" s="40">
        <f t="shared" ref="F5:F68" si="0">+E5+2</f>
        <v>46364.000138888892</v>
      </c>
      <c r="G5" s="27"/>
    </row>
    <row r="6" spans="1:7" ht="15.75" customHeight="1" x14ac:dyDescent="0.25">
      <c r="A6" t="s">
        <v>1049</v>
      </c>
      <c r="B6" t="s">
        <v>1237</v>
      </c>
      <c r="C6" s="84">
        <v>3000400</v>
      </c>
      <c r="D6" s="64"/>
      <c r="E6" s="64">
        <v>46362.000138888892</v>
      </c>
      <c r="F6" s="40">
        <f t="shared" si="0"/>
        <v>46364.000138888892</v>
      </c>
      <c r="G6" s="27"/>
    </row>
    <row r="7" spans="1:7" ht="15.75" customHeight="1" x14ac:dyDescent="0.25">
      <c r="A7" t="s">
        <v>1049</v>
      </c>
      <c r="B7" t="s">
        <v>1238</v>
      </c>
      <c r="C7" s="84">
        <v>3004000</v>
      </c>
      <c r="D7" s="64"/>
      <c r="E7" s="64">
        <v>46362.000138888892</v>
      </c>
      <c r="F7" s="40">
        <f t="shared" si="0"/>
        <v>46364.000138888892</v>
      </c>
      <c r="G7" s="27"/>
    </row>
    <row r="8" spans="1:7" ht="15.75" customHeight="1" x14ac:dyDescent="0.25">
      <c r="A8" t="s">
        <v>1049</v>
      </c>
      <c r="B8" t="s">
        <v>1239</v>
      </c>
      <c r="C8" s="84">
        <v>3500000</v>
      </c>
      <c r="D8" s="64"/>
      <c r="E8" s="64">
        <v>46362.000138888892</v>
      </c>
      <c r="F8" s="40">
        <f t="shared" si="0"/>
        <v>46364.000138888892</v>
      </c>
      <c r="G8" s="27"/>
    </row>
    <row r="9" spans="1:7" ht="15.75" customHeight="1" x14ac:dyDescent="0.25">
      <c r="A9" t="s">
        <v>1049</v>
      </c>
      <c r="B9" t="s">
        <v>1240</v>
      </c>
      <c r="C9" s="84">
        <v>3051000</v>
      </c>
      <c r="D9" s="64"/>
      <c r="E9" s="64">
        <v>46360.000138888892</v>
      </c>
      <c r="F9" s="40">
        <f t="shared" si="0"/>
        <v>46362.000138888892</v>
      </c>
      <c r="G9" s="27"/>
    </row>
    <row r="10" spans="1:7" ht="15.75" customHeight="1" x14ac:dyDescent="0.25">
      <c r="A10" t="s">
        <v>1049</v>
      </c>
      <c r="B10" t="s">
        <v>1241</v>
      </c>
      <c r="C10" s="84">
        <v>2000800</v>
      </c>
      <c r="D10" s="64"/>
      <c r="E10" s="64">
        <v>46360.000138888892</v>
      </c>
      <c r="F10" s="40">
        <f t="shared" si="0"/>
        <v>46362.000138888892</v>
      </c>
      <c r="G10" s="27"/>
    </row>
    <row r="11" spans="1:7" ht="15.75" customHeight="1" x14ac:dyDescent="0.25">
      <c r="A11" t="s">
        <v>1049</v>
      </c>
      <c r="B11" t="s">
        <v>1242</v>
      </c>
      <c r="C11" s="84">
        <v>3800000</v>
      </c>
      <c r="D11" s="64"/>
      <c r="E11" s="64">
        <v>46360.000138888892</v>
      </c>
      <c r="F11" s="40">
        <f t="shared" si="0"/>
        <v>46362.000138888892</v>
      </c>
      <c r="G11" s="27"/>
    </row>
    <row r="12" spans="1:7" ht="15.75" customHeight="1" x14ac:dyDescent="0.25">
      <c r="A12" t="s">
        <v>1049</v>
      </c>
      <c r="B12" t="s">
        <v>1243</v>
      </c>
      <c r="C12" s="84">
        <v>2000040</v>
      </c>
      <c r="D12" s="64"/>
      <c r="E12" s="64">
        <v>46360.000138888892</v>
      </c>
      <c r="F12" s="40">
        <f t="shared" si="0"/>
        <v>46362.000138888892</v>
      </c>
      <c r="G12" s="27"/>
    </row>
    <row r="13" spans="1:7" ht="15.75" customHeight="1" x14ac:dyDescent="0.25">
      <c r="A13" t="s">
        <v>1053</v>
      </c>
      <c r="B13" t="s">
        <v>1244</v>
      </c>
      <c r="C13" s="84">
        <v>9356025</v>
      </c>
      <c r="D13" s="64"/>
      <c r="E13" s="64">
        <v>46358.000138888892</v>
      </c>
      <c r="F13" s="40">
        <f t="shared" si="0"/>
        <v>46360.000138888892</v>
      </c>
      <c r="G13" s="27"/>
    </row>
    <row r="14" spans="1:7" ht="15.75" customHeight="1" x14ac:dyDescent="0.25">
      <c r="A14" t="s">
        <v>1048</v>
      </c>
      <c r="B14" t="s">
        <v>1245</v>
      </c>
      <c r="C14" s="84">
        <v>36301440</v>
      </c>
      <c r="D14" s="64"/>
      <c r="E14" s="64">
        <v>46355.000138888892</v>
      </c>
      <c r="F14" s="40">
        <f t="shared" si="0"/>
        <v>46357.000138888892</v>
      </c>
      <c r="G14" s="27"/>
    </row>
    <row r="15" spans="1:7" ht="15.75" customHeight="1" x14ac:dyDescent="0.25">
      <c r="A15" t="s">
        <v>1048</v>
      </c>
      <c r="B15" t="s">
        <v>1133</v>
      </c>
      <c r="C15" s="84">
        <v>47448800</v>
      </c>
      <c r="D15" s="64"/>
      <c r="E15" s="64">
        <v>46354.000138888892</v>
      </c>
      <c r="F15" s="40">
        <f t="shared" si="0"/>
        <v>46356.000138888892</v>
      </c>
      <c r="G15" s="27"/>
    </row>
    <row r="16" spans="1:7" ht="15.75" customHeight="1" x14ac:dyDescent="0.25">
      <c r="A16" t="s">
        <v>1051</v>
      </c>
      <c r="B16" t="s">
        <v>1246</v>
      </c>
      <c r="C16" s="84">
        <v>30201400</v>
      </c>
      <c r="D16" s="64"/>
      <c r="E16" s="64">
        <v>46353.000138888892</v>
      </c>
      <c r="F16" s="40">
        <f t="shared" si="0"/>
        <v>46355.000138888892</v>
      </c>
      <c r="G16" s="27"/>
    </row>
    <row r="17" spans="1:7" ht="15.75" customHeight="1" x14ac:dyDescent="0.25">
      <c r="A17" t="s">
        <v>1051</v>
      </c>
      <c r="B17" t="s">
        <v>1247</v>
      </c>
      <c r="C17" s="84">
        <v>35000000</v>
      </c>
      <c r="D17" s="64"/>
      <c r="E17" s="64">
        <v>46353.000138888892</v>
      </c>
      <c r="F17" s="40">
        <f t="shared" si="0"/>
        <v>46355.000138888892</v>
      </c>
      <c r="G17" s="27"/>
    </row>
    <row r="18" spans="1:7" ht="15.75" customHeight="1" x14ac:dyDescent="0.25">
      <c r="A18" t="s">
        <v>1060</v>
      </c>
      <c r="B18" t="s">
        <v>1248</v>
      </c>
      <c r="C18" s="84">
        <v>3700000</v>
      </c>
      <c r="D18" s="64"/>
      <c r="E18" s="64">
        <v>46353.000138888892</v>
      </c>
      <c r="F18" s="40">
        <f t="shared" si="0"/>
        <v>46355.000138888892</v>
      </c>
      <c r="G18" s="27"/>
    </row>
    <row r="19" spans="1:7" ht="15.75" customHeight="1" x14ac:dyDescent="0.25">
      <c r="A19" t="s">
        <v>1049</v>
      </c>
      <c r="B19" t="s">
        <v>1129</v>
      </c>
      <c r="C19" s="84">
        <v>4051000</v>
      </c>
      <c r="D19" s="64"/>
      <c r="E19" s="64">
        <v>46353.000138888892</v>
      </c>
      <c r="F19" s="40">
        <f t="shared" si="0"/>
        <v>46355.000138888892</v>
      </c>
      <c r="G19" s="27"/>
    </row>
    <row r="20" spans="1:7" ht="15.75" customHeight="1" x14ac:dyDescent="0.25">
      <c r="A20" t="s">
        <v>1049</v>
      </c>
      <c r="B20" t="s">
        <v>1130</v>
      </c>
      <c r="C20" s="84">
        <v>4000840</v>
      </c>
      <c r="D20" s="64"/>
      <c r="E20" s="64">
        <v>46353.000138888892</v>
      </c>
      <c r="F20" s="40">
        <f t="shared" si="0"/>
        <v>46355.000138888892</v>
      </c>
      <c r="G20" s="27"/>
    </row>
    <row r="21" spans="1:7" ht="15.75" customHeight="1" x14ac:dyDescent="0.25">
      <c r="A21" t="s">
        <v>1048</v>
      </c>
      <c r="B21" t="s">
        <v>1131</v>
      </c>
      <c r="C21" s="84">
        <v>47490240</v>
      </c>
      <c r="D21" s="64"/>
      <c r="E21" s="64">
        <v>46353.000138888892</v>
      </c>
      <c r="F21" s="40">
        <f t="shared" si="0"/>
        <v>46355.000138888892</v>
      </c>
      <c r="G21" s="27"/>
    </row>
    <row r="22" spans="1:7" ht="15.75" customHeight="1" x14ac:dyDescent="0.25">
      <c r="A22" t="s">
        <v>1049</v>
      </c>
      <c r="B22" t="s">
        <v>1132</v>
      </c>
      <c r="C22" s="84">
        <v>2800000</v>
      </c>
      <c r="D22" s="64"/>
      <c r="E22" s="64">
        <v>46353.000138888892</v>
      </c>
      <c r="F22" s="40">
        <f t="shared" si="0"/>
        <v>46355.000138888892</v>
      </c>
      <c r="G22" s="27"/>
    </row>
    <row r="23" spans="1:7" ht="15.75" customHeight="1" x14ac:dyDescent="0.25">
      <c r="A23" t="s">
        <v>1060</v>
      </c>
      <c r="B23" t="s">
        <v>1249</v>
      </c>
      <c r="C23" s="84">
        <v>3700000</v>
      </c>
      <c r="D23" s="64"/>
      <c r="E23" s="64">
        <v>46352.000138888892</v>
      </c>
      <c r="F23" s="40">
        <f t="shared" si="0"/>
        <v>46354.000138888892</v>
      </c>
      <c r="G23" s="27"/>
    </row>
    <row r="24" spans="1:7" ht="15.75" customHeight="1" x14ac:dyDescent="0.25">
      <c r="A24" t="s">
        <v>1051</v>
      </c>
      <c r="B24" t="s">
        <v>1250</v>
      </c>
      <c r="C24" s="84">
        <v>30000000</v>
      </c>
      <c r="D24" s="64"/>
      <c r="E24" s="64">
        <v>46351.000138888892</v>
      </c>
      <c r="F24" s="40">
        <f t="shared" si="0"/>
        <v>46353.000138888892</v>
      </c>
      <c r="G24" s="27"/>
    </row>
    <row r="25" spans="1:7" ht="15.75" customHeight="1" x14ac:dyDescent="0.25">
      <c r="A25" t="s">
        <v>1060</v>
      </c>
      <c r="B25" t="s">
        <v>1251</v>
      </c>
      <c r="C25" s="84">
        <v>3700000</v>
      </c>
      <c r="D25" s="64"/>
      <c r="E25" s="64">
        <v>46351.000138888892</v>
      </c>
      <c r="F25" s="40">
        <f t="shared" si="0"/>
        <v>46353.000138888892</v>
      </c>
      <c r="G25" s="27"/>
    </row>
    <row r="26" spans="1:7" ht="15.75" customHeight="1" x14ac:dyDescent="0.25">
      <c r="A26" t="s">
        <v>1053</v>
      </c>
      <c r="B26" t="s">
        <v>1252</v>
      </c>
      <c r="C26" s="84">
        <v>2149500</v>
      </c>
      <c r="D26" s="64"/>
      <c r="E26" s="64">
        <v>46351.000138888892</v>
      </c>
      <c r="F26" s="40">
        <f t="shared" si="0"/>
        <v>46353.000138888892</v>
      </c>
      <c r="G26" s="27"/>
    </row>
    <row r="27" spans="1:7" ht="15.75" customHeight="1" x14ac:dyDescent="0.25">
      <c r="A27" t="s">
        <v>1060</v>
      </c>
      <c r="B27" t="s">
        <v>1253</v>
      </c>
      <c r="C27" s="84">
        <v>3700000</v>
      </c>
      <c r="D27" s="64"/>
      <c r="E27" s="64">
        <v>46350.000138888892</v>
      </c>
      <c r="F27" s="40">
        <f t="shared" si="0"/>
        <v>46352.000138888892</v>
      </c>
      <c r="G27" s="27"/>
    </row>
    <row r="28" spans="1:7" ht="15.75" customHeight="1" x14ac:dyDescent="0.25">
      <c r="A28" t="s">
        <v>1052</v>
      </c>
      <c r="B28" t="s">
        <v>1254</v>
      </c>
      <c r="C28" s="84">
        <v>2411842.5</v>
      </c>
      <c r="D28" s="64"/>
      <c r="E28" s="64">
        <v>46350.000138888892</v>
      </c>
      <c r="F28" s="40">
        <f t="shared" si="0"/>
        <v>46352.000138888892</v>
      </c>
      <c r="G28" s="27"/>
    </row>
    <row r="29" spans="1:7" ht="15.75" customHeight="1" x14ac:dyDescent="0.25">
      <c r="A29" t="s">
        <v>1053</v>
      </c>
      <c r="B29" t="s">
        <v>1255</v>
      </c>
      <c r="C29" s="84">
        <v>2000000</v>
      </c>
      <c r="D29" s="64"/>
      <c r="E29" s="64">
        <v>46350.000138888892</v>
      </c>
      <c r="F29" s="40">
        <f t="shared" si="0"/>
        <v>46352.000138888892</v>
      </c>
      <c r="G29" s="27"/>
    </row>
    <row r="30" spans="1:7" ht="15.75" customHeight="1" x14ac:dyDescent="0.25">
      <c r="A30" t="s">
        <v>1060</v>
      </c>
      <c r="B30" t="s">
        <v>1128</v>
      </c>
      <c r="C30" s="84">
        <v>3750000</v>
      </c>
      <c r="D30" s="64"/>
      <c r="E30" s="64">
        <v>46350.000138888892</v>
      </c>
      <c r="F30" s="40">
        <f t="shared" si="0"/>
        <v>46352.000138888892</v>
      </c>
      <c r="G30" s="27"/>
    </row>
    <row r="31" spans="1:7" ht="15.75" customHeight="1" x14ac:dyDescent="0.25">
      <c r="A31" t="s">
        <v>1052</v>
      </c>
      <c r="B31" t="s">
        <v>1256</v>
      </c>
      <c r="C31" s="84">
        <v>2420000</v>
      </c>
      <c r="D31" s="64"/>
      <c r="E31" s="64">
        <v>46349.000138888892</v>
      </c>
      <c r="F31" s="40">
        <f t="shared" si="0"/>
        <v>46351.000138888892</v>
      </c>
      <c r="G31" s="27"/>
    </row>
    <row r="32" spans="1:7" ht="15.75" customHeight="1" x14ac:dyDescent="0.25">
      <c r="A32" t="s">
        <v>1060</v>
      </c>
      <c r="B32" t="s">
        <v>1257</v>
      </c>
      <c r="C32" s="84">
        <v>3986600</v>
      </c>
      <c r="D32" s="64"/>
      <c r="E32" s="64">
        <v>46349.000138888892</v>
      </c>
      <c r="F32" s="40">
        <f t="shared" si="0"/>
        <v>46351.000138888892</v>
      </c>
      <c r="G32" s="27"/>
    </row>
    <row r="33" spans="1:7" ht="15.75" customHeight="1" x14ac:dyDescent="0.25">
      <c r="A33" t="s">
        <v>1060</v>
      </c>
      <c r="B33" t="s">
        <v>1127</v>
      </c>
      <c r="C33" s="84">
        <v>3750000</v>
      </c>
      <c r="D33" s="64"/>
      <c r="E33" s="64">
        <v>46349.000138888892</v>
      </c>
      <c r="F33" s="40">
        <f t="shared" si="0"/>
        <v>46351.000138888892</v>
      </c>
      <c r="G33" s="27"/>
    </row>
    <row r="34" spans="1:7" ht="15.75" customHeight="1" x14ac:dyDescent="0.25">
      <c r="A34" t="s">
        <v>1060</v>
      </c>
      <c r="B34" t="s">
        <v>1126</v>
      </c>
      <c r="C34" s="84">
        <v>3750000</v>
      </c>
      <c r="D34" s="64"/>
      <c r="E34" s="64">
        <v>46348.000138888892</v>
      </c>
      <c r="F34" s="40">
        <f t="shared" si="0"/>
        <v>46350.000138888892</v>
      </c>
      <c r="G34" s="27"/>
    </row>
    <row r="35" spans="1:7" ht="15.75" customHeight="1" x14ac:dyDescent="0.25">
      <c r="A35" t="s">
        <v>1059</v>
      </c>
      <c r="B35" t="s">
        <v>1258</v>
      </c>
      <c r="C35" s="84">
        <v>24989587.239999998</v>
      </c>
      <c r="D35" s="64"/>
      <c r="E35" s="64">
        <v>46347.000138888892</v>
      </c>
      <c r="F35" s="40">
        <f t="shared" si="0"/>
        <v>46349.000138888892</v>
      </c>
      <c r="G35" s="27"/>
    </row>
    <row r="36" spans="1:7" ht="15.75" customHeight="1" x14ac:dyDescent="0.25">
      <c r="A36" t="s">
        <v>1062</v>
      </c>
      <c r="B36" t="s">
        <v>1119</v>
      </c>
      <c r="C36" s="84">
        <v>2095200</v>
      </c>
      <c r="D36" s="64"/>
      <c r="E36" s="64">
        <v>46347.000138888892</v>
      </c>
      <c r="F36" s="40">
        <f t="shared" si="0"/>
        <v>46349.000138888892</v>
      </c>
      <c r="G36" s="27"/>
    </row>
    <row r="37" spans="1:7" ht="15.75" customHeight="1" x14ac:dyDescent="0.25">
      <c r="A37" t="s">
        <v>1062</v>
      </c>
      <c r="B37" t="s">
        <v>1120</v>
      </c>
      <c r="C37" s="84">
        <v>4500000</v>
      </c>
      <c r="D37" s="64"/>
      <c r="E37" s="64">
        <v>46347.000138888892</v>
      </c>
      <c r="F37" s="40">
        <f t="shared" si="0"/>
        <v>46349.000138888892</v>
      </c>
      <c r="G37" s="27"/>
    </row>
    <row r="38" spans="1:7" ht="15.75" customHeight="1" x14ac:dyDescent="0.25">
      <c r="A38" t="s">
        <v>1060</v>
      </c>
      <c r="B38" t="s">
        <v>1121</v>
      </c>
      <c r="C38" s="84">
        <v>3750000</v>
      </c>
      <c r="D38" s="64"/>
      <c r="E38" s="64">
        <v>46347.000138888892</v>
      </c>
      <c r="F38" s="40">
        <f t="shared" si="0"/>
        <v>46349.000138888892</v>
      </c>
      <c r="G38" s="27"/>
    </row>
    <row r="39" spans="1:7" ht="15.75" customHeight="1" x14ac:dyDescent="0.25">
      <c r="A39" t="s">
        <v>1062</v>
      </c>
      <c r="B39" t="s">
        <v>1122</v>
      </c>
      <c r="C39" s="84">
        <v>4500000</v>
      </c>
      <c r="D39" s="64"/>
      <c r="E39" s="64">
        <v>46347.000138888892</v>
      </c>
      <c r="F39" s="40">
        <f t="shared" si="0"/>
        <v>46349.000138888892</v>
      </c>
      <c r="G39" s="27"/>
    </row>
    <row r="40" spans="1:7" ht="15.75" customHeight="1" x14ac:dyDescent="0.25">
      <c r="A40" t="s">
        <v>1062</v>
      </c>
      <c r="B40" t="s">
        <v>1123</v>
      </c>
      <c r="C40" s="84">
        <v>4500000</v>
      </c>
      <c r="D40" s="64"/>
      <c r="E40" s="64">
        <v>46347.000138888892</v>
      </c>
      <c r="F40" s="40">
        <f t="shared" si="0"/>
        <v>46349.000138888892</v>
      </c>
      <c r="G40" s="27"/>
    </row>
    <row r="41" spans="1:7" ht="15.75" customHeight="1" x14ac:dyDescent="0.25">
      <c r="A41" t="s">
        <v>1062</v>
      </c>
      <c r="B41" t="s">
        <v>1124</v>
      </c>
      <c r="C41" s="84">
        <v>4500000</v>
      </c>
      <c r="D41" s="64"/>
      <c r="E41" s="64">
        <v>46347.000138888892</v>
      </c>
      <c r="F41" s="40">
        <f t="shared" si="0"/>
        <v>46349.000138888892</v>
      </c>
      <c r="G41" s="27"/>
    </row>
    <row r="42" spans="1:7" ht="15.75" customHeight="1" x14ac:dyDescent="0.25">
      <c r="A42" t="s">
        <v>1062</v>
      </c>
      <c r="B42" t="s">
        <v>1125</v>
      </c>
      <c r="C42" s="84">
        <v>4500000</v>
      </c>
      <c r="D42" s="64"/>
      <c r="E42" s="64">
        <v>46347.000138888892</v>
      </c>
      <c r="F42" s="40">
        <f t="shared" si="0"/>
        <v>46349.000138888892</v>
      </c>
      <c r="G42" s="27"/>
    </row>
    <row r="43" spans="1:7" ht="15.75" customHeight="1" x14ac:dyDescent="0.25">
      <c r="A43" t="s">
        <v>1060</v>
      </c>
      <c r="B43" t="s">
        <v>1116</v>
      </c>
      <c r="C43" s="84">
        <v>3750000</v>
      </c>
      <c r="D43" s="64"/>
      <c r="E43" s="64">
        <v>46346.000138888892</v>
      </c>
      <c r="F43" s="40">
        <f t="shared" si="0"/>
        <v>46348.000138888892</v>
      </c>
      <c r="G43" s="27"/>
    </row>
    <row r="44" spans="1:7" ht="15.75" customHeight="1" x14ac:dyDescent="0.25">
      <c r="A44" t="s">
        <v>1048</v>
      </c>
      <c r="B44" t="s">
        <v>1117</v>
      </c>
      <c r="C44" s="84">
        <v>22792000</v>
      </c>
      <c r="D44" s="64"/>
      <c r="E44" s="64">
        <v>46346.000138888892</v>
      </c>
      <c r="F44" s="40">
        <f t="shared" si="0"/>
        <v>46348.000138888892</v>
      </c>
      <c r="G44" s="27"/>
    </row>
    <row r="45" spans="1:7" ht="15.75" customHeight="1" x14ac:dyDescent="0.25">
      <c r="A45" t="s">
        <v>1063</v>
      </c>
      <c r="B45" t="s">
        <v>1118</v>
      </c>
      <c r="C45" s="84">
        <v>3397219.57</v>
      </c>
      <c r="D45" s="64"/>
      <c r="E45" s="64">
        <v>46346.000138888892</v>
      </c>
      <c r="F45" s="40">
        <f t="shared" si="0"/>
        <v>46348.000138888892</v>
      </c>
      <c r="G45" s="27"/>
    </row>
    <row r="46" spans="1:7" ht="15.75" customHeight="1" x14ac:dyDescent="0.25">
      <c r="A46" t="s">
        <v>1052</v>
      </c>
      <c r="B46" t="s">
        <v>1259</v>
      </c>
      <c r="C46" s="84">
        <v>2420000</v>
      </c>
      <c r="D46" s="64"/>
      <c r="E46" s="64">
        <v>46345.000138888892</v>
      </c>
      <c r="F46" s="40">
        <f t="shared" si="0"/>
        <v>46347.000138888892</v>
      </c>
      <c r="G46" s="27"/>
    </row>
    <row r="47" spans="1:7" ht="15.75" customHeight="1" x14ac:dyDescent="0.25">
      <c r="A47" t="s">
        <v>1060</v>
      </c>
      <c r="B47" t="s">
        <v>1114</v>
      </c>
      <c r="C47" s="84">
        <v>3750000</v>
      </c>
      <c r="D47" s="64"/>
      <c r="E47" s="64">
        <v>46345.000138888892</v>
      </c>
      <c r="F47" s="40">
        <f t="shared" si="0"/>
        <v>46347.000138888892</v>
      </c>
      <c r="G47" s="27"/>
    </row>
    <row r="48" spans="1:7" ht="15.75" customHeight="1" x14ac:dyDescent="0.25">
      <c r="A48" t="s">
        <v>1063</v>
      </c>
      <c r="B48" t="s">
        <v>1115</v>
      </c>
      <c r="C48" s="84">
        <v>7682280</v>
      </c>
      <c r="D48" s="64"/>
      <c r="E48" s="64">
        <v>46345.000138888892</v>
      </c>
      <c r="F48" s="40">
        <f t="shared" si="0"/>
        <v>46347.000138888892</v>
      </c>
      <c r="G48" s="27"/>
    </row>
    <row r="49" spans="1:7" ht="15.75" customHeight="1" x14ac:dyDescent="0.25">
      <c r="A49" t="s">
        <v>1261</v>
      </c>
      <c r="B49" t="s">
        <v>1260</v>
      </c>
      <c r="C49" s="84">
        <v>5990080</v>
      </c>
      <c r="D49" s="64"/>
      <c r="E49" s="64">
        <v>46344.000138888892</v>
      </c>
      <c r="F49" s="40">
        <f t="shared" si="0"/>
        <v>46346.000138888892</v>
      </c>
      <c r="G49" s="27"/>
    </row>
    <row r="50" spans="1:7" ht="15.75" customHeight="1" x14ac:dyDescent="0.25">
      <c r="A50" t="s">
        <v>1052</v>
      </c>
      <c r="B50" t="s">
        <v>1262</v>
      </c>
      <c r="C50" s="84">
        <v>2420000</v>
      </c>
      <c r="D50" s="64"/>
      <c r="E50" s="64">
        <v>46344.000138888892</v>
      </c>
      <c r="F50" s="40">
        <f t="shared" si="0"/>
        <v>46346.000138888892</v>
      </c>
      <c r="G50" s="27"/>
    </row>
    <row r="51" spans="1:7" ht="15.75" customHeight="1" x14ac:dyDescent="0.25">
      <c r="A51" t="s">
        <v>1054</v>
      </c>
      <c r="B51" t="s">
        <v>1263</v>
      </c>
      <c r="C51" s="84">
        <v>14545440</v>
      </c>
      <c r="D51" s="64"/>
      <c r="E51" s="64">
        <v>46344.000138888892</v>
      </c>
      <c r="F51" s="40">
        <f t="shared" si="0"/>
        <v>46346.000138888892</v>
      </c>
      <c r="G51" s="27"/>
    </row>
    <row r="52" spans="1:7" ht="15.75" customHeight="1" x14ac:dyDescent="0.25">
      <c r="A52" t="s">
        <v>1060</v>
      </c>
      <c r="B52" t="s">
        <v>1104</v>
      </c>
      <c r="C52" s="84">
        <v>3750000</v>
      </c>
      <c r="D52" s="64"/>
      <c r="E52" s="64">
        <v>46344.000138888892</v>
      </c>
      <c r="F52" s="40">
        <f t="shared" si="0"/>
        <v>46346.000138888892</v>
      </c>
      <c r="G52" s="27"/>
    </row>
    <row r="53" spans="1:7" ht="15.75" customHeight="1" x14ac:dyDescent="0.25">
      <c r="A53" t="s">
        <v>1052</v>
      </c>
      <c r="B53" t="s">
        <v>1105</v>
      </c>
      <c r="C53" s="84">
        <v>1463625</v>
      </c>
      <c r="D53" s="64"/>
      <c r="E53" s="64">
        <v>46344.000138888892</v>
      </c>
      <c r="F53" s="40">
        <f t="shared" si="0"/>
        <v>46346.000138888892</v>
      </c>
      <c r="G53" s="27"/>
    </row>
    <row r="54" spans="1:7" ht="15.75" customHeight="1" x14ac:dyDescent="0.25">
      <c r="A54" t="s">
        <v>1049</v>
      </c>
      <c r="B54" t="s">
        <v>1106</v>
      </c>
      <c r="C54" s="84">
        <v>3200000</v>
      </c>
      <c r="D54" s="64"/>
      <c r="E54" s="64">
        <v>46344.000138888892</v>
      </c>
      <c r="F54" s="40">
        <f t="shared" si="0"/>
        <v>46346.000138888892</v>
      </c>
      <c r="G54" s="27"/>
    </row>
    <row r="55" spans="1:7" ht="15.75" customHeight="1" x14ac:dyDescent="0.25">
      <c r="A55" t="s">
        <v>1063</v>
      </c>
      <c r="B55" t="s">
        <v>1107</v>
      </c>
      <c r="C55" s="84">
        <v>10000000</v>
      </c>
      <c r="D55" s="64"/>
      <c r="E55" s="64">
        <v>46344.000138888892</v>
      </c>
      <c r="F55" s="40">
        <f t="shared" si="0"/>
        <v>46346.000138888892</v>
      </c>
      <c r="G55" s="27"/>
    </row>
    <row r="56" spans="1:7" ht="15.75" customHeight="1" x14ac:dyDescent="0.25">
      <c r="A56" t="s">
        <v>1051</v>
      </c>
      <c r="B56" t="s">
        <v>1108</v>
      </c>
      <c r="C56" s="84">
        <v>38164871</v>
      </c>
      <c r="D56" s="64"/>
      <c r="E56" s="64">
        <v>46344.000138888892</v>
      </c>
      <c r="F56" s="40">
        <f t="shared" si="0"/>
        <v>46346.000138888892</v>
      </c>
      <c r="G56" s="27"/>
    </row>
    <row r="57" spans="1:7" ht="15.75" customHeight="1" x14ac:dyDescent="0.25">
      <c r="A57" t="s">
        <v>1049</v>
      </c>
      <c r="B57" t="s">
        <v>1109</v>
      </c>
      <c r="C57" s="84">
        <v>3000960</v>
      </c>
      <c r="D57" s="64"/>
      <c r="E57" s="64">
        <v>46344.000138888892</v>
      </c>
      <c r="F57" s="40">
        <f t="shared" si="0"/>
        <v>46346.000138888892</v>
      </c>
      <c r="G57" s="27"/>
    </row>
    <row r="58" spans="1:7" ht="15.75" customHeight="1" x14ac:dyDescent="0.25">
      <c r="A58" t="s">
        <v>1049</v>
      </c>
      <c r="B58" t="s">
        <v>1110</v>
      </c>
      <c r="C58" s="84">
        <v>2000014</v>
      </c>
      <c r="D58" s="64"/>
      <c r="E58" s="64">
        <v>46344.000138888892</v>
      </c>
      <c r="F58" s="40">
        <f t="shared" si="0"/>
        <v>46346.000138888892</v>
      </c>
      <c r="G58" s="27"/>
    </row>
    <row r="59" spans="1:7" ht="15.75" customHeight="1" x14ac:dyDescent="0.25">
      <c r="A59" t="s">
        <v>1049</v>
      </c>
      <c r="B59" t="s">
        <v>1111</v>
      </c>
      <c r="C59" s="84">
        <v>3048000</v>
      </c>
      <c r="D59" s="64"/>
      <c r="E59" s="64">
        <v>46344.000138888892</v>
      </c>
      <c r="F59" s="40">
        <f t="shared" si="0"/>
        <v>46346.000138888892</v>
      </c>
      <c r="G59" s="27"/>
    </row>
    <row r="60" spans="1:7" ht="15.75" customHeight="1" x14ac:dyDescent="0.25">
      <c r="A60" t="s">
        <v>1053</v>
      </c>
      <c r="B60" t="s">
        <v>1112</v>
      </c>
      <c r="C60" s="84">
        <v>8960700</v>
      </c>
      <c r="D60" s="64"/>
      <c r="E60" s="64">
        <v>46344.000138888892</v>
      </c>
      <c r="F60" s="40">
        <f t="shared" si="0"/>
        <v>46346.000138888892</v>
      </c>
      <c r="G60" s="27"/>
    </row>
    <row r="61" spans="1:7" ht="15.75" customHeight="1" x14ac:dyDescent="0.25">
      <c r="A61" t="s">
        <v>1053</v>
      </c>
      <c r="B61" t="s">
        <v>1113</v>
      </c>
      <c r="C61" s="84">
        <v>8697150</v>
      </c>
      <c r="D61" s="64"/>
      <c r="E61" s="64">
        <v>46344.000138888892</v>
      </c>
      <c r="F61" s="40">
        <f t="shared" si="0"/>
        <v>46346.000138888892</v>
      </c>
      <c r="G61" s="27"/>
    </row>
    <row r="62" spans="1:7" ht="15.75" customHeight="1" x14ac:dyDescent="0.25">
      <c r="A62" t="s">
        <v>1261</v>
      </c>
      <c r="B62" t="s">
        <v>1264</v>
      </c>
      <c r="C62" s="84">
        <v>10000000</v>
      </c>
      <c r="D62" s="64"/>
      <c r="E62" s="64">
        <v>46343.000138888892</v>
      </c>
      <c r="F62" s="40">
        <f t="shared" si="0"/>
        <v>46345.000138888892</v>
      </c>
      <c r="G62" s="27"/>
    </row>
    <row r="63" spans="1:7" ht="15.75" customHeight="1" x14ac:dyDescent="0.25">
      <c r="A63" t="s">
        <v>1053</v>
      </c>
      <c r="B63" t="s">
        <v>1265</v>
      </c>
      <c r="C63" s="84">
        <v>2000000</v>
      </c>
      <c r="D63" s="64"/>
      <c r="E63" s="64">
        <v>46343.000138888892</v>
      </c>
      <c r="F63" s="40">
        <f t="shared" si="0"/>
        <v>46345.000138888892</v>
      </c>
      <c r="G63" s="27"/>
    </row>
    <row r="64" spans="1:7" ht="15.75" customHeight="1" x14ac:dyDescent="0.25">
      <c r="A64" t="s">
        <v>1054</v>
      </c>
      <c r="B64" t="s">
        <v>1266</v>
      </c>
      <c r="C64" s="84">
        <v>14545440</v>
      </c>
      <c r="D64" s="64"/>
      <c r="E64" s="64">
        <v>46343.000138888892</v>
      </c>
      <c r="F64" s="40">
        <f t="shared" si="0"/>
        <v>46345.000138888892</v>
      </c>
      <c r="G64" s="27"/>
    </row>
    <row r="65" spans="1:7" ht="15.75" customHeight="1" x14ac:dyDescent="0.25">
      <c r="A65" t="s">
        <v>1052</v>
      </c>
      <c r="B65" t="s">
        <v>1267</v>
      </c>
      <c r="C65" s="84">
        <v>2420000</v>
      </c>
      <c r="D65" s="64"/>
      <c r="E65" s="64">
        <v>46343.000138888892</v>
      </c>
      <c r="F65" s="40">
        <f t="shared" si="0"/>
        <v>46345.000138888892</v>
      </c>
      <c r="G65" s="27"/>
    </row>
    <row r="66" spans="1:7" ht="15.75" customHeight="1" x14ac:dyDescent="0.25">
      <c r="A66" t="s">
        <v>1060</v>
      </c>
      <c r="B66" t="s">
        <v>1102</v>
      </c>
      <c r="C66" s="84">
        <v>3738000</v>
      </c>
      <c r="D66" s="64"/>
      <c r="E66" s="64">
        <v>46343.000138888892</v>
      </c>
      <c r="F66" s="40">
        <f t="shared" si="0"/>
        <v>46345.000138888892</v>
      </c>
      <c r="G66" s="27"/>
    </row>
    <row r="67" spans="1:7" ht="15.75" customHeight="1" x14ac:dyDescent="0.25">
      <c r="A67" t="s">
        <v>1052</v>
      </c>
      <c r="B67" t="s">
        <v>1103</v>
      </c>
      <c r="C67" s="84">
        <v>1485000</v>
      </c>
      <c r="D67" s="64"/>
      <c r="E67" s="64">
        <v>46343.000138888892</v>
      </c>
      <c r="F67" s="40">
        <f t="shared" si="0"/>
        <v>46345.000138888892</v>
      </c>
      <c r="G67" s="27"/>
    </row>
    <row r="68" spans="1:7" ht="15.75" customHeight="1" x14ac:dyDescent="0.25">
      <c r="A68" t="s">
        <v>1050</v>
      </c>
      <c r="B68" t="s">
        <v>1268</v>
      </c>
      <c r="C68" s="84">
        <v>2111877.5</v>
      </c>
      <c r="D68" s="64"/>
      <c r="E68" s="64">
        <v>46342.000138888892</v>
      </c>
      <c r="F68" s="40">
        <f t="shared" si="0"/>
        <v>46344.000138888892</v>
      </c>
      <c r="G68" s="27"/>
    </row>
    <row r="69" spans="1:7" ht="15.75" customHeight="1" x14ac:dyDescent="0.25">
      <c r="A69" t="s">
        <v>1261</v>
      </c>
      <c r="B69" t="s">
        <v>1269</v>
      </c>
      <c r="C69" s="84">
        <v>10000000</v>
      </c>
      <c r="D69" s="64"/>
      <c r="E69" s="64">
        <v>46342.000138888892</v>
      </c>
      <c r="F69" s="40">
        <f t="shared" ref="F69:F129" si="1">+E69+2</f>
        <v>46344.000138888892</v>
      </c>
      <c r="G69" s="27"/>
    </row>
    <row r="70" spans="1:7" ht="15.75" customHeight="1" x14ac:dyDescent="0.25">
      <c r="A70" t="s">
        <v>1061</v>
      </c>
      <c r="B70" t="s">
        <v>1270</v>
      </c>
      <c r="C70" s="84">
        <v>18518220</v>
      </c>
      <c r="D70" s="64"/>
      <c r="E70" s="64">
        <v>46342.000138888892</v>
      </c>
      <c r="F70" s="40">
        <f t="shared" si="1"/>
        <v>46344.000138888892</v>
      </c>
      <c r="G70" s="27"/>
    </row>
    <row r="71" spans="1:7" ht="15.75" customHeight="1" x14ac:dyDescent="0.25">
      <c r="A71" t="s">
        <v>1052</v>
      </c>
      <c r="B71" t="s">
        <v>1271</v>
      </c>
      <c r="C71" s="84">
        <v>2420000</v>
      </c>
      <c r="D71" s="64"/>
      <c r="E71" s="64">
        <v>46342.000138888892</v>
      </c>
      <c r="F71" s="40">
        <f t="shared" si="1"/>
        <v>46344.000138888892</v>
      </c>
      <c r="G71" s="27"/>
    </row>
    <row r="72" spans="1:7" ht="15.75" customHeight="1" x14ac:dyDescent="0.25">
      <c r="A72" t="s">
        <v>1054</v>
      </c>
      <c r="B72" t="s">
        <v>1272</v>
      </c>
      <c r="C72" s="84">
        <v>14545440</v>
      </c>
      <c r="D72" s="64"/>
      <c r="E72" s="64">
        <v>46342.000138888892</v>
      </c>
      <c r="F72" s="40">
        <f t="shared" si="1"/>
        <v>46344.000138888892</v>
      </c>
      <c r="G72" s="27"/>
    </row>
    <row r="73" spans="1:7" ht="15.75" customHeight="1" x14ac:dyDescent="0.25">
      <c r="A73" t="s">
        <v>1052</v>
      </c>
      <c r="B73" t="s">
        <v>1100</v>
      </c>
      <c r="C73" s="84">
        <v>1485000</v>
      </c>
      <c r="D73" s="64"/>
      <c r="E73" s="64">
        <v>46342.000138888892</v>
      </c>
      <c r="F73" s="40">
        <f t="shared" si="1"/>
        <v>46344.000138888892</v>
      </c>
      <c r="G73" s="27"/>
    </row>
    <row r="74" spans="1:7" ht="15.75" customHeight="1" x14ac:dyDescent="0.25">
      <c r="A74" t="s">
        <v>1048</v>
      </c>
      <c r="B74" t="s">
        <v>1101</v>
      </c>
      <c r="C74" s="84">
        <v>34809600</v>
      </c>
      <c r="D74" s="64"/>
      <c r="E74" s="64">
        <v>46342.000138888892</v>
      </c>
      <c r="F74" s="40">
        <f t="shared" si="1"/>
        <v>46344.000138888892</v>
      </c>
      <c r="G74" s="27"/>
    </row>
    <row r="75" spans="1:7" ht="15.75" customHeight="1" x14ac:dyDescent="0.25">
      <c r="A75" t="s">
        <v>1061</v>
      </c>
      <c r="B75" t="s">
        <v>1273</v>
      </c>
      <c r="C75" s="84">
        <v>18779040</v>
      </c>
      <c r="D75" s="64"/>
      <c r="E75" s="64">
        <v>46341.000138888892</v>
      </c>
      <c r="F75" s="40">
        <f t="shared" si="1"/>
        <v>46343.000138888892</v>
      </c>
      <c r="G75" s="27"/>
    </row>
    <row r="76" spans="1:7" ht="15.75" customHeight="1" x14ac:dyDescent="0.25">
      <c r="A76" t="s">
        <v>1054</v>
      </c>
      <c r="B76" t="s">
        <v>1274</v>
      </c>
      <c r="C76" s="84">
        <v>14545440</v>
      </c>
      <c r="D76" s="64"/>
      <c r="E76" s="64">
        <v>46341.000138888892</v>
      </c>
      <c r="F76" s="40">
        <f t="shared" si="1"/>
        <v>46343.000138888892</v>
      </c>
      <c r="G76" s="27"/>
    </row>
    <row r="77" spans="1:7" ht="15.75" customHeight="1" x14ac:dyDescent="0.25">
      <c r="A77" t="s">
        <v>1049</v>
      </c>
      <c r="B77" t="s">
        <v>1096</v>
      </c>
      <c r="C77" s="84">
        <v>3200000</v>
      </c>
      <c r="D77" s="64"/>
      <c r="E77" s="64">
        <v>46341.000138888892</v>
      </c>
      <c r="F77" s="40">
        <f t="shared" si="1"/>
        <v>46343.000138888892</v>
      </c>
      <c r="G77" s="27"/>
    </row>
    <row r="78" spans="1:7" ht="15.75" customHeight="1" x14ac:dyDescent="0.25">
      <c r="A78" t="s">
        <v>1049</v>
      </c>
      <c r="B78" t="s">
        <v>1097</v>
      </c>
      <c r="C78" s="84">
        <v>3000946</v>
      </c>
      <c r="D78" s="64"/>
      <c r="E78" s="64">
        <v>46341.000138888892</v>
      </c>
      <c r="F78" s="40">
        <f t="shared" si="1"/>
        <v>46343.000138888892</v>
      </c>
      <c r="G78" s="27"/>
    </row>
    <row r="79" spans="1:7" ht="15.75" customHeight="1" x14ac:dyDescent="0.25">
      <c r="A79" t="s">
        <v>1049</v>
      </c>
      <c r="B79" t="s">
        <v>1098</v>
      </c>
      <c r="C79" s="84">
        <v>3048000</v>
      </c>
      <c r="D79" s="64"/>
      <c r="E79" s="64">
        <v>46341.000138888892</v>
      </c>
      <c r="F79" s="40">
        <f t="shared" si="1"/>
        <v>46343.000138888892</v>
      </c>
      <c r="G79" s="27"/>
    </row>
    <row r="80" spans="1:7" ht="15.75" customHeight="1" x14ac:dyDescent="0.25">
      <c r="A80" t="s">
        <v>1060</v>
      </c>
      <c r="B80" t="s">
        <v>1099</v>
      </c>
      <c r="C80" s="84">
        <v>3500000</v>
      </c>
      <c r="D80" s="64"/>
      <c r="E80" s="64">
        <v>46341.000138888892</v>
      </c>
      <c r="F80" s="40">
        <f t="shared" si="1"/>
        <v>46343.000138888892</v>
      </c>
      <c r="G80" s="27"/>
    </row>
    <row r="81" spans="1:7" ht="15.75" customHeight="1" x14ac:dyDescent="0.25">
      <c r="A81" t="s">
        <v>1055</v>
      </c>
      <c r="B81" t="s">
        <v>1275</v>
      </c>
      <c r="C81" s="84">
        <v>18865823.800000001</v>
      </c>
      <c r="D81" s="64"/>
      <c r="E81" s="64">
        <v>46340.000138888892</v>
      </c>
      <c r="F81" s="40">
        <f t="shared" si="1"/>
        <v>46342.000138888892</v>
      </c>
      <c r="G81" s="27"/>
    </row>
    <row r="82" spans="1:7" ht="15.75" customHeight="1" x14ac:dyDescent="0.25">
      <c r="A82" t="s">
        <v>1058</v>
      </c>
      <c r="B82" t="s">
        <v>1083</v>
      </c>
      <c r="C82" s="84">
        <v>4500000</v>
      </c>
      <c r="D82" s="64"/>
      <c r="E82" s="64">
        <v>46340.000138888892</v>
      </c>
      <c r="F82" s="40">
        <f t="shared" si="1"/>
        <v>46342.000138888892</v>
      </c>
      <c r="G82" s="27"/>
    </row>
    <row r="83" spans="1:7" ht="15.75" customHeight="1" x14ac:dyDescent="0.25">
      <c r="A83" t="s">
        <v>1062</v>
      </c>
      <c r="B83" t="s">
        <v>1084</v>
      </c>
      <c r="C83" s="84">
        <v>4500000</v>
      </c>
      <c r="D83" s="64"/>
      <c r="E83" s="64">
        <v>46340.000138888892</v>
      </c>
      <c r="F83" s="40">
        <f t="shared" si="1"/>
        <v>46342.000138888892</v>
      </c>
      <c r="G83" s="27"/>
    </row>
    <row r="84" spans="1:7" ht="15.75" customHeight="1" x14ac:dyDescent="0.25">
      <c r="A84" t="s">
        <v>1054</v>
      </c>
      <c r="B84" t="s">
        <v>1085</v>
      </c>
      <c r="C84" s="84">
        <v>17902080</v>
      </c>
      <c r="D84" s="64"/>
      <c r="E84" s="64">
        <v>46340.000138888892</v>
      </c>
      <c r="F84" s="40">
        <f t="shared" si="1"/>
        <v>46342.000138888892</v>
      </c>
      <c r="G84" s="27"/>
    </row>
    <row r="85" spans="1:7" ht="15.75" customHeight="1" x14ac:dyDescent="0.25">
      <c r="A85" t="s">
        <v>1062</v>
      </c>
      <c r="B85" t="s">
        <v>1086</v>
      </c>
      <c r="C85" s="84">
        <v>4500000</v>
      </c>
      <c r="D85" s="64"/>
      <c r="E85" s="64">
        <v>46340.000138888892</v>
      </c>
      <c r="F85" s="40">
        <f t="shared" si="1"/>
        <v>46342.000138888892</v>
      </c>
      <c r="G85" s="27"/>
    </row>
    <row r="86" spans="1:7" ht="15.75" customHeight="1" x14ac:dyDescent="0.25">
      <c r="A86" t="s">
        <v>1062</v>
      </c>
      <c r="B86" t="s">
        <v>1087</v>
      </c>
      <c r="C86" s="84">
        <v>4500000</v>
      </c>
      <c r="D86" s="64"/>
      <c r="E86" s="64">
        <v>46340.000138888892</v>
      </c>
      <c r="F86" s="40">
        <f t="shared" si="1"/>
        <v>46342.000138888892</v>
      </c>
      <c r="G86" s="27"/>
    </row>
    <row r="87" spans="1:7" ht="15.75" customHeight="1" x14ac:dyDescent="0.25">
      <c r="A87" t="s">
        <v>1062</v>
      </c>
      <c r="B87" t="s">
        <v>1088</v>
      </c>
      <c r="C87" s="84">
        <v>5228800</v>
      </c>
      <c r="D87" s="64"/>
      <c r="E87" s="64">
        <v>46340.000138888892</v>
      </c>
      <c r="F87" s="40">
        <f t="shared" si="1"/>
        <v>46342.000138888892</v>
      </c>
      <c r="G87" s="27"/>
    </row>
    <row r="88" spans="1:7" ht="15.75" customHeight="1" x14ac:dyDescent="0.25">
      <c r="A88" t="s">
        <v>1058</v>
      </c>
      <c r="B88" t="s">
        <v>1089</v>
      </c>
      <c r="C88" s="84">
        <v>4500000</v>
      </c>
      <c r="D88" s="64"/>
      <c r="E88" s="64">
        <v>46340.000138888892</v>
      </c>
      <c r="F88" s="40">
        <f t="shared" si="1"/>
        <v>46342.000138888892</v>
      </c>
      <c r="G88" s="27"/>
    </row>
    <row r="89" spans="1:7" ht="15.75" customHeight="1" x14ac:dyDescent="0.25">
      <c r="A89" t="s">
        <v>1062</v>
      </c>
      <c r="B89" t="s">
        <v>1090</v>
      </c>
      <c r="C89" s="84">
        <v>4500000</v>
      </c>
      <c r="D89" s="64"/>
      <c r="E89" s="64">
        <v>46340.000138888892</v>
      </c>
      <c r="F89" s="40">
        <f t="shared" si="1"/>
        <v>46342.000138888892</v>
      </c>
      <c r="G89" s="27"/>
    </row>
    <row r="90" spans="1:7" ht="15.75" customHeight="1" x14ac:dyDescent="0.25">
      <c r="A90" t="s">
        <v>1058</v>
      </c>
      <c r="B90" t="s">
        <v>1091</v>
      </c>
      <c r="C90" s="84">
        <v>4500000</v>
      </c>
      <c r="D90" s="64"/>
      <c r="E90" s="64">
        <v>46340.000138888892</v>
      </c>
      <c r="F90" s="40">
        <f t="shared" si="1"/>
        <v>46342.000138888892</v>
      </c>
      <c r="G90" s="27"/>
    </row>
    <row r="91" spans="1:7" ht="15.75" customHeight="1" x14ac:dyDescent="0.25">
      <c r="A91" t="s">
        <v>1058</v>
      </c>
      <c r="B91" t="s">
        <v>1092</v>
      </c>
      <c r="C91" s="84">
        <v>4299684</v>
      </c>
      <c r="D91" s="64"/>
      <c r="E91" s="64">
        <v>46340.000138888892</v>
      </c>
      <c r="F91" s="40">
        <f t="shared" si="1"/>
        <v>46342.000138888892</v>
      </c>
      <c r="G91" s="27"/>
    </row>
    <row r="92" spans="1:7" ht="15.75" customHeight="1" x14ac:dyDescent="0.25">
      <c r="A92" t="s">
        <v>1058</v>
      </c>
      <c r="B92" t="s">
        <v>1093</v>
      </c>
      <c r="C92" s="84">
        <v>4500000</v>
      </c>
      <c r="D92" s="64"/>
      <c r="E92" s="64">
        <v>46340.000138888892</v>
      </c>
      <c r="F92" s="40">
        <f t="shared" si="1"/>
        <v>46342.000138888892</v>
      </c>
      <c r="G92" s="27"/>
    </row>
    <row r="93" spans="1:7" ht="15.75" customHeight="1" x14ac:dyDescent="0.25">
      <c r="A93" t="s">
        <v>1059</v>
      </c>
      <c r="B93" t="s">
        <v>1094</v>
      </c>
      <c r="C93" s="84">
        <v>29318860.039999999</v>
      </c>
      <c r="D93" s="64"/>
      <c r="E93" s="64">
        <v>46340.000138888892</v>
      </c>
      <c r="F93" s="40">
        <f t="shared" si="1"/>
        <v>46342.000138888892</v>
      </c>
      <c r="G93" s="27"/>
    </row>
    <row r="94" spans="1:7" ht="15.75" customHeight="1" x14ac:dyDescent="0.25">
      <c r="A94" t="s">
        <v>1060</v>
      </c>
      <c r="B94" t="s">
        <v>1095</v>
      </c>
      <c r="C94" s="84">
        <v>3500000</v>
      </c>
      <c r="D94" s="64"/>
      <c r="E94" s="64">
        <v>46340.000138888892</v>
      </c>
      <c r="F94" s="40">
        <f t="shared" si="1"/>
        <v>46342.000138888892</v>
      </c>
      <c r="G94" s="27"/>
    </row>
    <row r="95" spans="1:7" ht="15.75" customHeight="1" x14ac:dyDescent="0.25">
      <c r="A95" t="s">
        <v>1050</v>
      </c>
      <c r="B95" t="s">
        <v>1276</v>
      </c>
      <c r="C95" s="84">
        <v>2200000</v>
      </c>
      <c r="D95" s="64"/>
      <c r="E95" s="64">
        <v>46339.000138888892</v>
      </c>
      <c r="F95" s="40">
        <f t="shared" si="1"/>
        <v>46341.000138888892</v>
      </c>
      <c r="G95" s="27"/>
    </row>
    <row r="96" spans="1:7" ht="15.75" customHeight="1" x14ac:dyDescent="0.25">
      <c r="A96" t="s">
        <v>1056</v>
      </c>
      <c r="B96" t="s">
        <v>1277</v>
      </c>
      <c r="C96" s="84">
        <v>582200</v>
      </c>
      <c r="D96" s="64"/>
      <c r="E96" s="64">
        <v>46339.000138888892</v>
      </c>
      <c r="F96" s="40">
        <f t="shared" si="1"/>
        <v>46341.000138888892</v>
      </c>
      <c r="G96" s="27"/>
    </row>
    <row r="97" spans="1:7" ht="15.75" customHeight="1" x14ac:dyDescent="0.25">
      <c r="A97" t="s">
        <v>1052</v>
      </c>
      <c r="B97" t="s">
        <v>1278</v>
      </c>
      <c r="C97" s="84">
        <v>2420000</v>
      </c>
      <c r="D97" s="64"/>
      <c r="E97" s="64">
        <v>46339.000138888892</v>
      </c>
      <c r="F97" s="40">
        <f t="shared" si="1"/>
        <v>46341.000138888892</v>
      </c>
      <c r="G97" s="27"/>
    </row>
    <row r="98" spans="1:7" ht="15.75" customHeight="1" x14ac:dyDescent="0.25">
      <c r="A98" t="s">
        <v>1056</v>
      </c>
      <c r="B98" t="s">
        <v>1279</v>
      </c>
      <c r="C98" s="84">
        <v>2700000</v>
      </c>
      <c r="D98" s="64"/>
      <c r="E98" s="64">
        <v>46339.000138888892</v>
      </c>
      <c r="F98" s="40">
        <f t="shared" si="1"/>
        <v>46341.000138888892</v>
      </c>
      <c r="G98" s="27"/>
    </row>
    <row r="99" spans="1:7" ht="15.75" customHeight="1" x14ac:dyDescent="0.25">
      <c r="A99" t="s">
        <v>1052</v>
      </c>
      <c r="B99" t="s">
        <v>1077</v>
      </c>
      <c r="C99" s="84">
        <v>1754145</v>
      </c>
      <c r="D99" s="64"/>
      <c r="E99" s="64">
        <v>46339.000138888892</v>
      </c>
      <c r="F99" s="40">
        <f t="shared" si="1"/>
        <v>46341.000138888892</v>
      </c>
      <c r="G99" s="27"/>
    </row>
    <row r="100" spans="1:7" ht="15.75" customHeight="1" x14ac:dyDescent="0.25">
      <c r="A100" t="s">
        <v>1054</v>
      </c>
      <c r="B100" t="s">
        <v>1078</v>
      </c>
      <c r="C100" s="84">
        <v>17902080</v>
      </c>
      <c r="D100" s="64"/>
      <c r="E100" s="64">
        <v>46339.000138888892</v>
      </c>
      <c r="F100" s="40">
        <f t="shared" si="1"/>
        <v>46341.000138888892</v>
      </c>
      <c r="G100" s="27"/>
    </row>
    <row r="101" spans="1:7" ht="15.75" customHeight="1" x14ac:dyDescent="0.25">
      <c r="A101" t="s">
        <v>1052</v>
      </c>
      <c r="B101" t="s">
        <v>1079</v>
      </c>
      <c r="C101" s="84">
        <v>1485000</v>
      </c>
      <c r="D101" s="64"/>
      <c r="E101" s="64">
        <v>46339.000138888892</v>
      </c>
      <c r="F101" s="40">
        <f t="shared" si="1"/>
        <v>46341.000138888892</v>
      </c>
      <c r="G101" s="27"/>
    </row>
    <row r="102" spans="1:7" ht="15.75" customHeight="1" x14ac:dyDescent="0.25">
      <c r="A102" t="s">
        <v>1061</v>
      </c>
      <c r="B102" t="s">
        <v>1080</v>
      </c>
      <c r="C102" s="84">
        <v>25038720</v>
      </c>
      <c r="D102" s="64"/>
      <c r="E102" s="64">
        <v>46339.000138888892</v>
      </c>
      <c r="F102" s="40">
        <f t="shared" si="1"/>
        <v>46341.000138888892</v>
      </c>
      <c r="G102" s="27"/>
    </row>
    <row r="103" spans="1:7" ht="15.75" customHeight="1" x14ac:dyDescent="0.25">
      <c r="A103" t="s">
        <v>1051</v>
      </c>
      <c r="B103" t="s">
        <v>1081</v>
      </c>
      <c r="C103" s="84">
        <v>37500000</v>
      </c>
      <c r="D103" s="64"/>
      <c r="E103" s="64">
        <v>46339.000138888892</v>
      </c>
      <c r="F103" s="40">
        <f t="shared" si="1"/>
        <v>46341.000138888892</v>
      </c>
      <c r="G103" s="27"/>
    </row>
    <row r="104" spans="1:7" ht="15.75" customHeight="1" x14ac:dyDescent="0.25">
      <c r="A104" t="s">
        <v>1060</v>
      </c>
      <c r="B104" t="s">
        <v>1082</v>
      </c>
      <c r="C104" s="84">
        <v>3500000</v>
      </c>
      <c r="D104" s="64"/>
      <c r="E104" s="64">
        <v>46339.000138888892</v>
      </c>
      <c r="F104" s="40">
        <f t="shared" si="1"/>
        <v>46341.000138888892</v>
      </c>
      <c r="G104" s="27"/>
    </row>
    <row r="105" spans="1:7" ht="15.75" customHeight="1" x14ac:dyDescent="0.25">
      <c r="A105" t="s">
        <v>1052</v>
      </c>
      <c r="B105" t="s">
        <v>1280</v>
      </c>
      <c r="C105" s="84">
        <v>2420000</v>
      </c>
      <c r="D105" s="64"/>
      <c r="E105" s="64">
        <v>46338.000138888892</v>
      </c>
      <c r="F105" s="40">
        <f t="shared" si="1"/>
        <v>46340.000138888892</v>
      </c>
      <c r="G105" s="27"/>
    </row>
    <row r="106" spans="1:7" ht="15.75" customHeight="1" x14ac:dyDescent="0.25">
      <c r="A106" t="s">
        <v>1052</v>
      </c>
      <c r="B106" t="s">
        <v>1076</v>
      </c>
      <c r="C106" s="84">
        <v>1485000</v>
      </c>
      <c r="D106" s="64"/>
      <c r="E106" s="64">
        <v>46338.000138888892</v>
      </c>
      <c r="F106" s="40">
        <f t="shared" si="1"/>
        <v>46340.000138888892</v>
      </c>
      <c r="G106" s="27"/>
    </row>
    <row r="107" spans="1:7" ht="15.75" customHeight="1" x14ac:dyDescent="0.25">
      <c r="A107" t="s">
        <v>1051</v>
      </c>
      <c r="B107" t="s">
        <v>1074</v>
      </c>
      <c r="C107" s="84">
        <v>40000000</v>
      </c>
      <c r="D107" s="64"/>
      <c r="E107" s="64">
        <v>46337.000138888892</v>
      </c>
      <c r="F107" s="40">
        <f t="shared" si="1"/>
        <v>46339.000138888892</v>
      </c>
      <c r="G107" s="27"/>
    </row>
    <row r="108" spans="1:7" ht="15.75" customHeight="1" x14ac:dyDescent="0.25">
      <c r="A108" t="s">
        <v>1052</v>
      </c>
      <c r="B108" t="s">
        <v>1075</v>
      </c>
      <c r="C108" s="84">
        <v>1731735</v>
      </c>
      <c r="D108" s="64"/>
      <c r="E108" s="64">
        <v>46337.000138888892</v>
      </c>
      <c r="F108" s="40">
        <f t="shared" si="1"/>
        <v>46339.000138888892</v>
      </c>
      <c r="G108" s="27"/>
    </row>
    <row r="109" spans="1:7" ht="15.75" customHeight="1" x14ac:dyDescent="0.25">
      <c r="A109" t="s">
        <v>1056</v>
      </c>
      <c r="B109" t="s">
        <v>1281</v>
      </c>
      <c r="C109" s="84">
        <v>16000000</v>
      </c>
      <c r="D109" s="64"/>
      <c r="E109" s="64">
        <v>46336.000138888892</v>
      </c>
      <c r="F109" s="40">
        <f t="shared" si="1"/>
        <v>46338.000138888892</v>
      </c>
      <c r="G109" s="27"/>
    </row>
    <row r="110" spans="1:7" ht="15.75" customHeight="1" x14ac:dyDescent="0.25">
      <c r="A110" t="s">
        <v>1052</v>
      </c>
      <c r="B110" t="s">
        <v>1072</v>
      </c>
      <c r="C110" s="84">
        <v>1485000</v>
      </c>
      <c r="D110" s="64"/>
      <c r="E110" s="64">
        <v>46336.000138888892</v>
      </c>
      <c r="F110" s="40">
        <f t="shared" si="1"/>
        <v>46338.000138888892</v>
      </c>
      <c r="G110" s="27"/>
    </row>
    <row r="111" spans="1:7" ht="15.75" customHeight="1" x14ac:dyDescent="0.25">
      <c r="A111" t="s">
        <v>1052</v>
      </c>
      <c r="B111" t="s">
        <v>1073</v>
      </c>
      <c r="C111" s="84">
        <v>1700000</v>
      </c>
      <c r="D111" s="64"/>
      <c r="E111" s="64">
        <v>46336.000138888892</v>
      </c>
      <c r="F111" s="40">
        <f t="shared" si="1"/>
        <v>46338.000138888892</v>
      </c>
      <c r="G111" s="27"/>
    </row>
    <row r="112" spans="1:7" ht="15.75" customHeight="1" x14ac:dyDescent="0.25">
      <c r="A112" t="s">
        <v>1052</v>
      </c>
      <c r="B112" t="s">
        <v>1282</v>
      </c>
      <c r="C112" s="84">
        <v>2420000</v>
      </c>
      <c r="D112" s="64"/>
      <c r="E112" s="64">
        <v>46335.000138888892</v>
      </c>
      <c r="F112" s="40">
        <f t="shared" si="1"/>
        <v>46337.000138888892</v>
      </c>
      <c r="G112" s="27"/>
    </row>
    <row r="113" spans="1:7" ht="15.75" customHeight="1" x14ac:dyDescent="0.25">
      <c r="A113" t="s">
        <v>1052</v>
      </c>
      <c r="B113" t="s">
        <v>1068</v>
      </c>
      <c r="C113" s="84">
        <v>1754000</v>
      </c>
      <c r="D113" s="64"/>
      <c r="E113" s="64">
        <v>46335.000138888892</v>
      </c>
      <c r="F113" s="40">
        <f t="shared" si="1"/>
        <v>46337.000138888892</v>
      </c>
      <c r="G113" s="27"/>
    </row>
    <row r="114" spans="1:7" ht="15.75" customHeight="1" x14ac:dyDescent="0.25">
      <c r="A114" t="s">
        <v>1052</v>
      </c>
      <c r="B114" t="s">
        <v>1069</v>
      </c>
      <c r="C114" s="84">
        <v>1485000</v>
      </c>
      <c r="D114" s="64"/>
      <c r="E114" s="64">
        <v>46335.000138888892</v>
      </c>
      <c r="F114" s="40">
        <f t="shared" si="1"/>
        <v>46337.000138888892</v>
      </c>
      <c r="G114" s="27"/>
    </row>
    <row r="115" spans="1:7" ht="15.75" customHeight="1" x14ac:dyDescent="0.25">
      <c r="A115" t="s">
        <v>1050</v>
      </c>
      <c r="B115" t="s">
        <v>1070</v>
      </c>
      <c r="C115" s="84">
        <v>1595440</v>
      </c>
      <c r="D115" s="64"/>
      <c r="E115" s="64">
        <v>46335.000138888892</v>
      </c>
      <c r="F115" s="40">
        <f t="shared" si="1"/>
        <v>46337.000138888892</v>
      </c>
      <c r="G115" s="27"/>
    </row>
    <row r="116" spans="1:7" ht="15.75" customHeight="1" x14ac:dyDescent="0.25">
      <c r="A116" t="s">
        <v>1052</v>
      </c>
      <c r="B116" t="s">
        <v>1071</v>
      </c>
      <c r="C116" s="84">
        <v>1700000</v>
      </c>
      <c r="D116" s="64"/>
      <c r="E116" s="64">
        <v>46335.000138888892</v>
      </c>
      <c r="F116" s="40">
        <f t="shared" si="1"/>
        <v>46337.000138888892</v>
      </c>
      <c r="G116" s="27"/>
    </row>
    <row r="117" spans="1:7" ht="15.75" customHeight="1" x14ac:dyDescent="0.25">
      <c r="A117" t="s">
        <v>1058</v>
      </c>
      <c r="B117" t="s">
        <v>1066</v>
      </c>
      <c r="C117" s="84">
        <v>4500000</v>
      </c>
      <c r="D117" s="64"/>
      <c r="E117" s="64">
        <v>46333.000138888892</v>
      </c>
      <c r="F117" s="40">
        <f t="shared" si="1"/>
        <v>46335.000138888892</v>
      </c>
      <c r="G117" s="27"/>
    </row>
    <row r="118" spans="1:7" ht="15.75" customHeight="1" x14ac:dyDescent="0.25">
      <c r="A118" t="s">
        <v>1058</v>
      </c>
      <c r="B118" t="s">
        <v>1067</v>
      </c>
      <c r="C118" s="84">
        <v>4500000</v>
      </c>
      <c r="D118" s="64"/>
      <c r="E118" s="64">
        <v>46333.000138888892</v>
      </c>
      <c r="F118" s="40">
        <f t="shared" si="1"/>
        <v>46335.000138888892</v>
      </c>
      <c r="G118" s="27"/>
    </row>
    <row r="119" spans="1:7" ht="15.75" customHeight="1" x14ac:dyDescent="0.25">
      <c r="A119" t="s">
        <v>1056</v>
      </c>
      <c r="B119" t="s">
        <v>1283</v>
      </c>
      <c r="C119" s="84">
        <v>11655250.1</v>
      </c>
      <c r="D119" s="64"/>
      <c r="E119" s="64">
        <v>46332.000138888892</v>
      </c>
      <c r="F119" s="40">
        <f t="shared" si="1"/>
        <v>46334.000138888892</v>
      </c>
      <c r="G119" s="27"/>
    </row>
    <row r="120" spans="1:7" ht="15.75" customHeight="1" x14ac:dyDescent="0.25">
      <c r="A120" t="s">
        <v>1052</v>
      </c>
      <c r="B120" t="s">
        <v>1284</v>
      </c>
      <c r="C120" s="84">
        <v>2420000</v>
      </c>
      <c r="D120" s="64"/>
      <c r="E120" s="64">
        <v>46332.000138888892</v>
      </c>
      <c r="F120" s="40">
        <f t="shared" si="1"/>
        <v>46334.000138888892</v>
      </c>
      <c r="G120" s="27"/>
    </row>
    <row r="121" spans="1:7" ht="15.75" customHeight="1" x14ac:dyDescent="0.25">
      <c r="A121" t="s">
        <v>1057</v>
      </c>
      <c r="B121" t="s">
        <v>1065</v>
      </c>
      <c r="C121" s="84">
        <v>1000000</v>
      </c>
      <c r="D121" s="64"/>
      <c r="E121" s="64">
        <v>46332.000138888892</v>
      </c>
      <c r="F121" s="40">
        <f t="shared" si="1"/>
        <v>46334.000138888892</v>
      </c>
      <c r="G121" s="27"/>
    </row>
    <row r="122" spans="1:7" ht="15.75" customHeight="1" x14ac:dyDescent="0.25">
      <c r="A122" t="s">
        <v>1056</v>
      </c>
      <c r="B122" t="s">
        <v>1285</v>
      </c>
      <c r="C122" s="84">
        <v>700000</v>
      </c>
      <c r="D122" s="64"/>
      <c r="E122" s="64">
        <v>46330.000138888892</v>
      </c>
      <c r="F122" s="40">
        <f t="shared" si="1"/>
        <v>46332.000138888892</v>
      </c>
      <c r="G122" s="27"/>
    </row>
    <row r="123" spans="1:7" ht="15.75" customHeight="1" x14ac:dyDescent="0.25">
      <c r="A123" t="s">
        <v>1056</v>
      </c>
      <c r="B123" t="s">
        <v>1286</v>
      </c>
      <c r="C123" s="84">
        <v>1800000</v>
      </c>
      <c r="D123" s="64"/>
      <c r="E123" s="64">
        <v>46329.000138888892</v>
      </c>
      <c r="F123" s="40">
        <f t="shared" si="1"/>
        <v>46331.000138888892</v>
      </c>
      <c r="G123" s="27"/>
    </row>
    <row r="124" spans="1:7" ht="15.75" customHeight="1" x14ac:dyDescent="0.25">
      <c r="A124" t="s">
        <v>1056</v>
      </c>
      <c r="B124" t="s">
        <v>1287</v>
      </c>
      <c r="C124" s="84">
        <v>11655250.1</v>
      </c>
      <c r="D124" s="64"/>
      <c r="E124" s="64">
        <v>46329.000138888892</v>
      </c>
      <c r="F124" s="40">
        <f t="shared" si="1"/>
        <v>46331.000138888892</v>
      </c>
      <c r="G124" s="27"/>
    </row>
    <row r="125" spans="1:7" ht="15.75" customHeight="1" x14ac:dyDescent="0.25">
      <c r="A125" t="s">
        <v>1056</v>
      </c>
      <c r="B125" t="s">
        <v>1288</v>
      </c>
      <c r="C125" s="84">
        <v>679274.03</v>
      </c>
      <c r="D125" s="64"/>
      <c r="E125" s="64">
        <v>46328.000138888892</v>
      </c>
      <c r="F125" s="40">
        <f t="shared" si="1"/>
        <v>46330.000138888892</v>
      </c>
      <c r="G125" s="27"/>
    </row>
    <row r="126" spans="1:7" ht="15.75" customHeight="1" x14ac:dyDescent="0.25">
      <c r="A126" t="s">
        <v>1056</v>
      </c>
      <c r="B126" t="s">
        <v>1289</v>
      </c>
      <c r="C126" s="84">
        <v>903672</v>
      </c>
      <c r="D126" s="64"/>
      <c r="E126" s="64">
        <v>46328.000138888892</v>
      </c>
      <c r="F126" s="40">
        <f t="shared" si="1"/>
        <v>46330.000138888892</v>
      </c>
      <c r="G126" s="27"/>
    </row>
    <row r="127" spans="1:7" ht="15.75" customHeight="1" x14ac:dyDescent="0.25">
      <c r="A127" t="s">
        <v>1056</v>
      </c>
      <c r="B127" t="s">
        <v>1290</v>
      </c>
      <c r="C127" s="84">
        <v>1800000</v>
      </c>
      <c r="D127" s="64"/>
      <c r="E127" s="64">
        <v>46328.000138888892</v>
      </c>
      <c r="F127" s="40">
        <f t="shared" si="1"/>
        <v>46330.000138888892</v>
      </c>
      <c r="G127" s="27"/>
    </row>
    <row r="128" spans="1:7" ht="15.75" customHeight="1" x14ac:dyDescent="0.25">
      <c r="A128" t="s">
        <v>1056</v>
      </c>
      <c r="B128" t="s">
        <v>1291</v>
      </c>
      <c r="C128" s="84">
        <v>623070</v>
      </c>
      <c r="D128" s="64"/>
      <c r="E128" s="64">
        <v>46328.000138888892</v>
      </c>
      <c r="F128" s="40">
        <f t="shared" si="1"/>
        <v>46330.000138888892</v>
      </c>
      <c r="G128" s="27"/>
    </row>
    <row r="129" spans="1:7" ht="15.75" customHeight="1" x14ac:dyDescent="0.25">
      <c r="A129" t="s">
        <v>1053</v>
      </c>
      <c r="B129" t="s">
        <v>1064</v>
      </c>
      <c r="C129" s="84">
        <v>1771900</v>
      </c>
      <c r="D129" s="64"/>
      <c r="E129" s="64">
        <v>46325.000138888892</v>
      </c>
      <c r="F129" s="40">
        <f t="shared" si="1"/>
        <v>46327.000138888892</v>
      </c>
      <c r="G129" s="27"/>
    </row>
    <row r="130" spans="1:7" ht="18" customHeight="1" x14ac:dyDescent="0.25">
      <c r="A130" s="41" t="s">
        <v>155</v>
      </c>
      <c r="B130" s="42"/>
      <c r="C130" s="43">
        <f>SUM(C4:C129)</f>
        <v>1004585441.8799999</v>
      </c>
      <c r="D130" s="42"/>
      <c r="E130" s="42"/>
      <c r="F130" s="40">
        <f t="shared" ref="F130" si="2">+E130+2</f>
        <v>2</v>
      </c>
      <c r="G130" s="42"/>
    </row>
    <row r="131" spans="1:7" ht="15.75" customHeight="1" x14ac:dyDescent="0.25">
      <c r="A131" s="44"/>
      <c r="B131" s="44"/>
      <c r="C131" s="45"/>
      <c r="D131" s="46"/>
      <c r="E131" s="46"/>
      <c r="F131" s="47" t="str">
        <f>IF(E131="","",E131+2)</f>
        <v/>
      </c>
      <c r="G131" s="44"/>
    </row>
    <row r="132" spans="1:7" ht="15.75" customHeight="1" x14ac:dyDescent="0.25">
      <c r="A132" s="44"/>
      <c r="B132" s="44"/>
      <c r="C132" s="45"/>
      <c r="D132" s="46"/>
      <c r="E132" s="46"/>
      <c r="F132" s="47" t="str">
        <f>IF(E132="","",E132+2)</f>
        <v/>
      </c>
      <c r="G132" s="44"/>
    </row>
    <row r="133" spans="1:7" ht="15.75" customHeight="1" x14ac:dyDescent="0.25">
      <c r="A133" s="44"/>
      <c r="B133" s="44"/>
      <c r="C133" s="45"/>
      <c r="D133" s="46"/>
      <c r="E133" s="46"/>
      <c r="F133" s="47" t="str">
        <f>IF(E133="","",E133+2)</f>
        <v/>
      </c>
      <c r="G133" s="44"/>
    </row>
    <row r="134" spans="1:7" ht="15.75" customHeight="1" x14ac:dyDescent="0.25">
      <c r="A134" s="44"/>
      <c r="B134" s="44"/>
      <c r="C134" s="45"/>
      <c r="D134" s="46"/>
      <c r="E134" s="46"/>
      <c r="F134" s="47" t="str">
        <f>IF(E134="","",E134+2)</f>
        <v/>
      </c>
      <c r="G134" s="44"/>
    </row>
    <row r="135" spans="1:7" ht="15.75" customHeight="1" x14ac:dyDescent="0.25">
      <c r="A135" s="44"/>
      <c r="B135" s="44"/>
      <c r="C135" s="45"/>
      <c r="D135" s="46"/>
      <c r="E135" s="46"/>
      <c r="F135" s="47" t="str">
        <f>IF(E135="","",E135+2)</f>
        <v/>
      </c>
      <c r="G135" s="44"/>
    </row>
    <row r="137" spans="1:7" ht="15" customHeight="1" x14ac:dyDescent="0.25">
      <c r="A137" s="71" t="s">
        <v>156</v>
      </c>
      <c r="B137" s="71"/>
      <c r="C137" s="71"/>
      <c r="D137" s="71"/>
      <c r="E137" s="71"/>
      <c r="F137" s="71"/>
      <c r="G137" s="71"/>
    </row>
    <row r="148" spans="3:3" x14ac:dyDescent="0.25">
      <c r="C148" s="65"/>
    </row>
    <row r="149" spans="3:3" x14ac:dyDescent="0.25">
      <c r="C149" s="65"/>
    </row>
    <row r="150" spans="3:3" x14ac:dyDescent="0.25">
      <c r="C150" s="65"/>
    </row>
    <row r="151" spans="3:3" x14ac:dyDescent="0.25">
      <c r="C151" s="65"/>
    </row>
    <row r="152" spans="3:3" x14ac:dyDescent="0.25">
      <c r="C152" s="65"/>
    </row>
    <row r="153" spans="3:3" x14ac:dyDescent="0.25">
      <c r="C153" s="65"/>
    </row>
    <row r="154" spans="3:3" x14ac:dyDescent="0.25">
      <c r="C154" s="65"/>
    </row>
    <row r="155" spans="3:3" x14ac:dyDescent="0.25">
      <c r="C155" s="65"/>
    </row>
    <row r="156" spans="3:3" x14ac:dyDescent="0.25">
      <c r="C156" s="65"/>
    </row>
    <row r="157" spans="3:3" x14ac:dyDescent="0.25">
      <c r="C157" s="65"/>
    </row>
    <row r="158" spans="3:3" x14ac:dyDescent="0.25">
      <c r="C158" s="65"/>
    </row>
    <row r="159" spans="3:3" x14ac:dyDescent="0.25">
      <c r="C159" s="65"/>
    </row>
    <row r="160" spans="3:3" x14ac:dyDescent="0.25">
      <c r="C160" s="65"/>
    </row>
    <row r="161" spans="3:3" x14ac:dyDescent="0.25">
      <c r="C161" s="65"/>
    </row>
    <row r="162" spans="3:3" x14ac:dyDescent="0.25">
      <c r="C162" s="65"/>
    </row>
    <row r="163" spans="3:3" x14ac:dyDescent="0.25">
      <c r="C163" s="65"/>
    </row>
    <row r="164" spans="3:3" x14ac:dyDescent="0.25">
      <c r="C164" s="65"/>
    </row>
    <row r="165" spans="3:3" x14ac:dyDescent="0.25">
      <c r="C165" s="65"/>
    </row>
    <row r="166" spans="3:3" x14ac:dyDescent="0.25">
      <c r="C166" s="65"/>
    </row>
    <row r="167" spans="3:3" x14ac:dyDescent="0.25">
      <c r="C167" s="65"/>
    </row>
    <row r="168" spans="3:3" x14ac:dyDescent="0.25">
      <c r="C168" s="65"/>
    </row>
    <row r="169" spans="3:3" x14ac:dyDescent="0.25">
      <c r="C169" s="65"/>
    </row>
    <row r="170" spans="3:3" x14ac:dyDescent="0.25">
      <c r="C170" s="65"/>
    </row>
    <row r="171" spans="3:3" x14ac:dyDescent="0.25">
      <c r="C171" s="65"/>
    </row>
    <row r="172" spans="3:3" x14ac:dyDescent="0.25">
      <c r="C172" s="65"/>
    </row>
    <row r="173" spans="3:3" x14ac:dyDescent="0.25">
      <c r="C173" s="65"/>
    </row>
    <row r="174" spans="3:3" x14ac:dyDescent="0.25">
      <c r="C174" s="65"/>
    </row>
    <row r="175" spans="3:3" x14ac:dyDescent="0.25">
      <c r="C175" s="65"/>
    </row>
    <row r="176" spans="3:3" x14ac:dyDescent="0.25">
      <c r="C176" s="65"/>
    </row>
    <row r="177" spans="3:3" x14ac:dyDescent="0.25">
      <c r="C177" s="65"/>
    </row>
    <row r="178" spans="3:3" x14ac:dyDescent="0.25">
      <c r="C178" s="65"/>
    </row>
    <row r="179" spans="3:3" x14ac:dyDescent="0.25">
      <c r="C179" s="65"/>
    </row>
    <row r="180" spans="3:3" x14ac:dyDescent="0.25">
      <c r="C180" s="65"/>
    </row>
    <row r="181" spans="3:3" x14ac:dyDescent="0.25">
      <c r="C181" s="65"/>
    </row>
    <row r="182" spans="3:3" x14ac:dyDescent="0.25">
      <c r="C182" s="65"/>
    </row>
    <row r="183" spans="3:3" x14ac:dyDescent="0.25">
      <c r="C183" s="65"/>
    </row>
    <row r="184" spans="3:3" x14ac:dyDescent="0.25">
      <c r="C184" s="65"/>
    </row>
    <row r="185" spans="3:3" x14ac:dyDescent="0.25">
      <c r="C185" s="65"/>
    </row>
    <row r="186" spans="3:3" x14ac:dyDescent="0.25">
      <c r="C186" s="65"/>
    </row>
    <row r="187" spans="3:3" x14ac:dyDescent="0.25">
      <c r="C187" s="65"/>
    </row>
    <row r="188" spans="3:3" x14ac:dyDescent="0.25">
      <c r="C188" s="65"/>
    </row>
    <row r="189" spans="3:3" x14ac:dyDescent="0.25">
      <c r="C189" s="65"/>
    </row>
    <row r="190" spans="3:3" x14ac:dyDescent="0.25">
      <c r="C190" s="65"/>
    </row>
    <row r="191" spans="3:3" x14ac:dyDescent="0.25">
      <c r="C191" s="65"/>
    </row>
    <row r="192" spans="3:3" x14ac:dyDescent="0.25">
      <c r="C192" s="65"/>
    </row>
    <row r="193" spans="3:3" x14ac:dyDescent="0.25">
      <c r="C193" s="65"/>
    </row>
    <row r="194" spans="3:3" x14ac:dyDescent="0.25">
      <c r="C194" s="65"/>
    </row>
    <row r="195" spans="3:3" x14ac:dyDescent="0.25">
      <c r="C195" s="65"/>
    </row>
    <row r="196" spans="3:3" x14ac:dyDescent="0.25">
      <c r="C196" s="65"/>
    </row>
    <row r="197" spans="3:3" x14ac:dyDescent="0.25">
      <c r="C197" s="65"/>
    </row>
    <row r="198" spans="3:3" x14ac:dyDescent="0.25">
      <c r="C198" s="65"/>
    </row>
    <row r="199" spans="3:3" x14ac:dyDescent="0.25">
      <c r="C199" s="65"/>
    </row>
    <row r="200" spans="3:3" x14ac:dyDescent="0.25">
      <c r="C200" s="65"/>
    </row>
    <row r="201" spans="3:3" x14ac:dyDescent="0.25">
      <c r="C201" s="65"/>
    </row>
    <row r="202" spans="3:3" x14ac:dyDescent="0.25">
      <c r="C202" s="65"/>
    </row>
    <row r="203" spans="3:3" x14ac:dyDescent="0.25">
      <c r="C203" s="65"/>
    </row>
    <row r="204" spans="3:3" x14ac:dyDescent="0.25">
      <c r="C204" s="65"/>
    </row>
    <row r="205" spans="3:3" x14ac:dyDescent="0.25">
      <c r="C205" s="65"/>
    </row>
    <row r="206" spans="3:3" x14ac:dyDescent="0.25">
      <c r="C206" s="65"/>
    </row>
    <row r="207" spans="3:3" x14ac:dyDescent="0.25">
      <c r="C207" s="65"/>
    </row>
    <row r="208" spans="3:3" x14ac:dyDescent="0.25">
      <c r="C208" s="65"/>
    </row>
    <row r="209" spans="3:3" x14ac:dyDescent="0.25">
      <c r="C209" s="65"/>
    </row>
    <row r="210" spans="3:3" x14ac:dyDescent="0.25">
      <c r="C210" s="65"/>
    </row>
    <row r="211" spans="3:3" x14ac:dyDescent="0.25">
      <c r="C211" s="65"/>
    </row>
    <row r="212" spans="3:3" x14ac:dyDescent="0.25">
      <c r="C212" s="65"/>
    </row>
    <row r="213" spans="3:3" x14ac:dyDescent="0.25">
      <c r="C213" s="65"/>
    </row>
    <row r="214" spans="3:3" x14ac:dyDescent="0.25">
      <c r="C214" s="65"/>
    </row>
    <row r="215" spans="3:3" x14ac:dyDescent="0.25">
      <c r="C215" s="65"/>
    </row>
    <row r="216" spans="3:3" x14ac:dyDescent="0.25">
      <c r="C216" s="65"/>
    </row>
    <row r="217" spans="3:3" x14ac:dyDescent="0.25">
      <c r="C217" s="65"/>
    </row>
    <row r="218" spans="3:3" x14ac:dyDescent="0.25">
      <c r="C218" s="65"/>
    </row>
    <row r="219" spans="3:3" x14ac:dyDescent="0.25">
      <c r="C219" s="65"/>
    </row>
    <row r="220" spans="3:3" x14ac:dyDescent="0.25">
      <c r="C220" s="65"/>
    </row>
    <row r="221" spans="3:3" x14ac:dyDescent="0.25">
      <c r="C221" s="65"/>
    </row>
    <row r="222" spans="3:3" x14ac:dyDescent="0.25">
      <c r="C222" s="65"/>
    </row>
    <row r="223" spans="3:3" x14ac:dyDescent="0.25">
      <c r="C223" s="65"/>
    </row>
    <row r="224" spans="3:3" x14ac:dyDescent="0.25">
      <c r="C224" s="65"/>
    </row>
    <row r="225" spans="3:3" x14ac:dyDescent="0.25">
      <c r="C225" s="65"/>
    </row>
    <row r="226" spans="3:3" x14ac:dyDescent="0.25">
      <c r="C226" s="65"/>
    </row>
    <row r="227" spans="3:3" x14ac:dyDescent="0.25">
      <c r="C227" s="65"/>
    </row>
    <row r="228" spans="3:3" x14ac:dyDescent="0.25">
      <c r="C228" s="65"/>
    </row>
    <row r="229" spans="3:3" x14ac:dyDescent="0.25">
      <c r="C229" s="65"/>
    </row>
    <row r="230" spans="3:3" x14ac:dyDescent="0.25">
      <c r="C230" s="65"/>
    </row>
    <row r="231" spans="3:3" x14ac:dyDescent="0.25">
      <c r="C231" s="65"/>
    </row>
    <row r="232" spans="3:3" x14ac:dyDescent="0.25">
      <c r="C232" s="65"/>
    </row>
    <row r="233" spans="3:3" x14ac:dyDescent="0.25">
      <c r="C233" s="65"/>
    </row>
    <row r="234" spans="3:3" x14ac:dyDescent="0.25">
      <c r="C234" s="65"/>
    </row>
    <row r="235" spans="3:3" x14ac:dyDescent="0.25">
      <c r="C235" s="65"/>
    </row>
    <row r="236" spans="3:3" x14ac:dyDescent="0.25">
      <c r="C236" s="65"/>
    </row>
    <row r="237" spans="3:3" x14ac:dyDescent="0.25">
      <c r="C237" s="65"/>
    </row>
    <row r="238" spans="3:3" x14ac:dyDescent="0.25">
      <c r="C238" s="65"/>
    </row>
    <row r="239" spans="3:3" x14ac:dyDescent="0.25">
      <c r="C239" s="65"/>
    </row>
    <row r="240" spans="3:3" x14ac:dyDescent="0.25">
      <c r="C240" s="65"/>
    </row>
    <row r="241" spans="3:3" x14ac:dyDescent="0.25">
      <c r="C241" s="65"/>
    </row>
    <row r="242" spans="3:3" x14ac:dyDescent="0.25">
      <c r="C242" s="65"/>
    </row>
    <row r="243" spans="3:3" x14ac:dyDescent="0.25">
      <c r="C243" s="65"/>
    </row>
    <row r="244" spans="3:3" x14ac:dyDescent="0.25">
      <c r="C244" s="65"/>
    </row>
    <row r="245" spans="3:3" x14ac:dyDescent="0.25">
      <c r="C245" s="65"/>
    </row>
    <row r="246" spans="3:3" x14ac:dyDescent="0.25">
      <c r="C246" s="65"/>
    </row>
    <row r="247" spans="3:3" x14ac:dyDescent="0.25">
      <c r="C247" s="65"/>
    </row>
    <row r="248" spans="3:3" x14ac:dyDescent="0.25">
      <c r="C248" s="65"/>
    </row>
    <row r="249" spans="3:3" x14ac:dyDescent="0.25">
      <c r="C249" s="65"/>
    </row>
    <row r="250" spans="3:3" x14ac:dyDescent="0.25">
      <c r="C250" s="65"/>
    </row>
    <row r="251" spans="3:3" x14ac:dyDescent="0.25">
      <c r="C251" s="65"/>
    </row>
    <row r="252" spans="3:3" x14ac:dyDescent="0.25">
      <c r="C252" s="65"/>
    </row>
    <row r="253" spans="3:3" x14ac:dyDescent="0.25">
      <c r="C253" s="65"/>
    </row>
    <row r="254" spans="3:3" x14ac:dyDescent="0.25">
      <c r="C254" s="65"/>
    </row>
    <row r="255" spans="3:3" x14ac:dyDescent="0.25">
      <c r="C255" s="65"/>
    </row>
    <row r="256" spans="3:3" x14ac:dyDescent="0.25">
      <c r="C256" s="65"/>
    </row>
    <row r="257" spans="3:3" x14ac:dyDescent="0.25">
      <c r="C257" s="65"/>
    </row>
    <row r="258" spans="3:3" x14ac:dyDescent="0.25">
      <c r="C258" s="65"/>
    </row>
    <row r="259" spans="3:3" x14ac:dyDescent="0.25">
      <c r="C259" s="65"/>
    </row>
    <row r="260" spans="3:3" x14ac:dyDescent="0.25">
      <c r="C260" s="65"/>
    </row>
    <row r="261" spans="3:3" x14ac:dyDescent="0.25">
      <c r="C261" s="65"/>
    </row>
    <row r="262" spans="3:3" x14ac:dyDescent="0.25">
      <c r="C262" s="65"/>
    </row>
    <row r="263" spans="3:3" x14ac:dyDescent="0.25">
      <c r="C263" s="65"/>
    </row>
    <row r="264" spans="3:3" x14ac:dyDescent="0.25">
      <c r="C264" s="65"/>
    </row>
    <row r="265" spans="3:3" x14ac:dyDescent="0.25">
      <c r="C265" s="65"/>
    </row>
    <row r="266" spans="3:3" x14ac:dyDescent="0.25">
      <c r="C266" s="65"/>
    </row>
    <row r="267" spans="3:3" x14ac:dyDescent="0.25">
      <c r="C267" s="65"/>
    </row>
    <row r="268" spans="3:3" x14ac:dyDescent="0.25">
      <c r="C268" s="65"/>
    </row>
    <row r="269" spans="3:3" x14ac:dyDescent="0.25">
      <c r="C269" s="65"/>
    </row>
    <row r="270" spans="3:3" x14ac:dyDescent="0.25">
      <c r="C270" s="65"/>
    </row>
    <row r="271" spans="3:3" x14ac:dyDescent="0.25">
      <c r="C271" s="65"/>
    </row>
    <row r="272" spans="3:3" x14ac:dyDescent="0.25">
      <c r="C272" s="65"/>
    </row>
    <row r="273" spans="3:3" x14ac:dyDescent="0.25">
      <c r="C273" s="65"/>
    </row>
    <row r="274" spans="3:3" x14ac:dyDescent="0.25">
      <c r="C274" s="65"/>
    </row>
    <row r="275" spans="3:3" x14ac:dyDescent="0.25">
      <c r="C275" s="65"/>
    </row>
    <row r="276" spans="3:3" x14ac:dyDescent="0.25">
      <c r="C276" s="65"/>
    </row>
    <row r="277" spans="3:3" x14ac:dyDescent="0.25">
      <c r="C277" s="65"/>
    </row>
    <row r="278" spans="3:3" x14ac:dyDescent="0.25">
      <c r="C278" s="65"/>
    </row>
    <row r="279" spans="3:3" x14ac:dyDescent="0.25">
      <c r="C279" s="65"/>
    </row>
    <row r="280" spans="3:3" x14ac:dyDescent="0.25">
      <c r="C280" s="65"/>
    </row>
    <row r="281" spans="3:3" x14ac:dyDescent="0.25">
      <c r="C281" s="65"/>
    </row>
    <row r="282" spans="3:3" x14ac:dyDescent="0.25">
      <c r="C282" s="65"/>
    </row>
    <row r="283" spans="3:3" x14ac:dyDescent="0.25">
      <c r="C283" s="65"/>
    </row>
    <row r="284" spans="3:3" x14ac:dyDescent="0.25">
      <c r="C284" s="65"/>
    </row>
    <row r="285" spans="3:3" x14ac:dyDescent="0.25">
      <c r="C285" s="65"/>
    </row>
    <row r="286" spans="3:3" x14ac:dyDescent="0.25">
      <c r="C286" s="65"/>
    </row>
    <row r="287" spans="3:3" x14ac:dyDescent="0.25">
      <c r="C287" s="65"/>
    </row>
    <row r="288" spans="3:3" x14ac:dyDescent="0.25">
      <c r="C288" s="65"/>
    </row>
    <row r="289" spans="3:3" x14ac:dyDescent="0.25">
      <c r="C289" s="65"/>
    </row>
    <row r="290" spans="3:3" x14ac:dyDescent="0.25">
      <c r="C290" s="65"/>
    </row>
    <row r="291" spans="3:3" x14ac:dyDescent="0.25">
      <c r="C291" s="65"/>
    </row>
    <row r="292" spans="3:3" x14ac:dyDescent="0.25">
      <c r="C292" s="65"/>
    </row>
    <row r="293" spans="3:3" x14ac:dyDescent="0.25">
      <c r="C293" s="65"/>
    </row>
    <row r="294" spans="3:3" x14ac:dyDescent="0.25">
      <c r="C294" s="65"/>
    </row>
    <row r="295" spans="3:3" x14ac:dyDescent="0.25">
      <c r="C295" s="65"/>
    </row>
    <row r="296" spans="3:3" x14ac:dyDescent="0.25">
      <c r="C296" s="65"/>
    </row>
    <row r="297" spans="3:3" x14ac:dyDescent="0.25">
      <c r="C297" s="65"/>
    </row>
    <row r="298" spans="3:3" x14ac:dyDescent="0.25">
      <c r="C298" s="65"/>
    </row>
    <row r="299" spans="3:3" x14ac:dyDescent="0.25">
      <c r="C299" s="65"/>
    </row>
    <row r="300" spans="3:3" x14ac:dyDescent="0.25">
      <c r="C300" s="65"/>
    </row>
    <row r="301" spans="3:3" x14ac:dyDescent="0.25">
      <c r="C301" s="65"/>
    </row>
    <row r="302" spans="3:3" x14ac:dyDescent="0.25">
      <c r="C302" s="65"/>
    </row>
    <row r="303" spans="3:3" x14ac:dyDescent="0.25">
      <c r="C303" s="65"/>
    </row>
    <row r="304" spans="3:3" x14ac:dyDescent="0.25">
      <c r="C304" s="65"/>
    </row>
    <row r="305" spans="3:3" x14ac:dyDescent="0.25">
      <c r="C305" s="65"/>
    </row>
    <row r="306" spans="3:3" x14ac:dyDescent="0.25">
      <c r="C306" s="65"/>
    </row>
    <row r="307" spans="3:3" x14ac:dyDescent="0.25">
      <c r="C307" s="65"/>
    </row>
    <row r="308" spans="3:3" x14ac:dyDescent="0.25">
      <c r="C308" s="65"/>
    </row>
    <row r="309" spans="3:3" x14ac:dyDescent="0.25">
      <c r="C309" s="65"/>
    </row>
    <row r="310" spans="3:3" x14ac:dyDescent="0.25">
      <c r="C310" s="65"/>
    </row>
    <row r="311" spans="3:3" x14ac:dyDescent="0.25">
      <c r="C311" s="65"/>
    </row>
    <row r="312" spans="3:3" x14ac:dyDescent="0.25">
      <c r="C312" s="65"/>
    </row>
    <row r="313" spans="3:3" x14ac:dyDescent="0.25">
      <c r="C313" s="65"/>
    </row>
    <row r="314" spans="3:3" x14ac:dyDescent="0.25">
      <c r="C314" s="65"/>
    </row>
    <row r="315" spans="3:3" x14ac:dyDescent="0.25">
      <c r="C315" s="65"/>
    </row>
    <row r="316" spans="3:3" x14ac:dyDescent="0.25">
      <c r="C316" s="65"/>
    </row>
    <row r="317" spans="3:3" x14ac:dyDescent="0.25">
      <c r="C317" s="65"/>
    </row>
    <row r="318" spans="3:3" x14ac:dyDescent="0.25">
      <c r="C318" s="65"/>
    </row>
    <row r="319" spans="3:3" x14ac:dyDescent="0.25">
      <c r="C319" s="65"/>
    </row>
    <row r="320" spans="3:3" x14ac:dyDescent="0.25">
      <c r="C320" s="65"/>
    </row>
    <row r="321" spans="3:3" x14ac:dyDescent="0.25">
      <c r="C321" s="65"/>
    </row>
    <row r="322" spans="3:3" x14ac:dyDescent="0.25">
      <c r="C322" s="65"/>
    </row>
    <row r="323" spans="3:3" x14ac:dyDescent="0.25">
      <c r="C323" s="65"/>
    </row>
    <row r="324" spans="3:3" x14ac:dyDescent="0.25">
      <c r="C324" s="65"/>
    </row>
    <row r="325" spans="3:3" x14ac:dyDescent="0.25">
      <c r="C325" s="65"/>
    </row>
    <row r="326" spans="3:3" x14ac:dyDescent="0.25">
      <c r="C326" s="65"/>
    </row>
    <row r="327" spans="3:3" x14ac:dyDescent="0.25">
      <c r="C327" s="65"/>
    </row>
    <row r="328" spans="3:3" x14ac:dyDescent="0.25">
      <c r="C328" s="65"/>
    </row>
    <row r="329" spans="3:3" x14ac:dyDescent="0.25">
      <c r="C329" s="65"/>
    </row>
    <row r="330" spans="3:3" x14ac:dyDescent="0.25">
      <c r="C330" s="65"/>
    </row>
    <row r="331" spans="3:3" x14ac:dyDescent="0.25">
      <c r="C331" s="65"/>
    </row>
    <row r="332" spans="3:3" x14ac:dyDescent="0.25">
      <c r="C332" s="65"/>
    </row>
    <row r="333" spans="3:3" x14ac:dyDescent="0.25">
      <c r="C333" s="65"/>
    </row>
    <row r="334" spans="3:3" x14ac:dyDescent="0.25">
      <c r="C334" s="65"/>
    </row>
    <row r="335" spans="3:3" x14ac:dyDescent="0.25">
      <c r="C335" s="65"/>
    </row>
    <row r="336" spans="3:3" x14ac:dyDescent="0.25">
      <c r="C336" s="65"/>
    </row>
    <row r="337" spans="3:3" x14ac:dyDescent="0.25">
      <c r="C337" s="65"/>
    </row>
    <row r="338" spans="3:3" x14ac:dyDescent="0.25">
      <c r="C338" s="65"/>
    </row>
    <row r="339" spans="3:3" x14ac:dyDescent="0.25">
      <c r="C339" s="65"/>
    </row>
    <row r="340" spans="3:3" x14ac:dyDescent="0.25">
      <c r="C340" s="65"/>
    </row>
    <row r="341" spans="3:3" x14ac:dyDescent="0.25">
      <c r="C341" s="65"/>
    </row>
    <row r="342" spans="3:3" x14ac:dyDescent="0.25">
      <c r="C342" s="65"/>
    </row>
    <row r="343" spans="3:3" x14ac:dyDescent="0.25">
      <c r="C343" s="65"/>
    </row>
    <row r="344" spans="3:3" x14ac:dyDescent="0.25">
      <c r="C344" s="65"/>
    </row>
    <row r="345" spans="3:3" x14ac:dyDescent="0.25">
      <c r="C345" s="65"/>
    </row>
    <row r="346" spans="3:3" x14ac:dyDescent="0.25">
      <c r="C346" s="65"/>
    </row>
    <row r="347" spans="3:3" x14ac:dyDescent="0.25">
      <c r="C347" s="65"/>
    </row>
    <row r="348" spans="3:3" x14ac:dyDescent="0.25">
      <c r="C348" s="65"/>
    </row>
    <row r="349" spans="3:3" x14ac:dyDescent="0.25">
      <c r="C349" s="65"/>
    </row>
    <row r="350" spans="3:3" x14ac:dyDescent="0.25">
      <c r="C350" s="65"/>
    </row>
    <row r="351" spans="3:3" x14ac:dyDescent="0.25">
      <c r="C351" s="65"/>
    </row>
    <row r="352" spans="3:3" x14ac:dyDescent="0.25">
      <c r="C352" s="65"/>
    </row>
    <row r="353" spans="3:3" x14ac:dyDescent="0.25">
      <c r="C353" s="65"/>
    </row>
    <row r="354" spans="3:3" x14ac:dyDescent="0.25">
      <c r="C354" s="65"/>
    </row>
    <row r="355" spans="3:3" x14ac:dyDescent="0.25">
      <c r="C355" s="65"/>
    </row>
    <row r="356" spans="3:3" x14ac:dyDescent="0.25">
      <c r="C356" s="65"/>
    </row>
    <row r="357" spans="3:3" x14ac:dyDescent="0.25">
      <c r="C357" s="65"/>
    </row>
    <row r="358" spans="3:3" x14ac:dyDescent="0.25">
      <c r="C358" s="65"/>
    </row>
    <row r="359" spans="3:3" x14ac:dyDescent="0.25">
      <c r="C359" s="65"/>
    </row>
    <row r="360" spans="3:3" x14ac:dyDescent="0.25">
      <c r="C360" s="65"/>
    </row>
    <row r="361" spans="3:3" x14ac:dyDescent="0.25">
      <c r="C361" s="65"/>
    </row>
    <row r="362" spans="3:3" x14ac:dyDescent="0.25">
      <c r="C362" s="65"/>
    </row>
    <row r="363" spans="3:3" x14ac:dyDescent="0.25">
      <c r="C363" s="65"/>
    </row>
    <row r="364" spans="3:3" x14ac:dyDescent="0.25">
      <c r="C364" s="65"/>
    </row>
    <row r="365" spans="3:3" x14ac:dyDescent="0.25">
      <c r="C365" s="65"/>
    </row>
    <row r="366" spans="3:3" x14ac:dyDescent="0.25">
      <c r="C366" s="65"/>
    </row>
    <row r="367" spans="3:3" x14ac:dyDescent="0.25">
      <c r="C367" s="65"/>
    </row>
    <row r="368" spans="3:3" x14ac:dyDescent="0.25">
      <c r="C368" s="65"/>
    </row>
    <row r="369" spans="3:3" x14ac:dyDescent="0.25">
      <c r="C369" s="65"/>
    </row>
    <row r="370" spans="3:3" x14ac:dyDescent="0.25">
      <c r="C370" s="65"/>
    </row>
    <row r="371" spans="3:3" x14ac:dyDescent="0.25">
      <c r="C371" s="65"/>
    </row>
    <row r="372" spans="3:3" x14ac:dyDescent="0.25">
      <c r="C372" s="65"/>
    </row>
    <row r="373" spans="3:3" x14ac:dyDescent="0.25">
      <c r="C373" s="65"/>
    </row>
    <row r="374" spans="3:3" x14ac:dyDescent="0.25">
      <c r="C374" s="65"/>
    </row>
    <row r="375" spans="3:3" x14ac:dyDescent="0.25">
      <c r="C375" s="65"/>
    </row>
    <row r="376" spans="3:3" x14ac:dyDescent="0.25">
      <c r="C376" s="65"/>
    </row>
    <row r="377" spans="3:3" x14ac:dyDescent="0.25">
      <c r="C377" s="65"/>
    </row>
    <row r="378" spans="3:3" x14ac:dyDescent="0.25">
      <c r="C378" s="65"/>
    </row>
    <row r="379" spans="3:3" x14ac:dyDescent="0.25">
      <c r="C379" s="65"/>
    </row>
    <row r="380" spans="3:3" x14ac:dyDescent="0.25">
      <c r="C380" s="65"/>
    </row>
    <row r="381" spans="3:3" x14ac:dyDescent="0.25">
      <c r="C381" s="65"/>
    </row>
    <row r="382" spans="3:3" x14ac:dyDescent="0.25">
      <c r="C382" s="65"/>
    </row>
    <row r="383" spans="3:3" x14ac:dyDescent="0.25">
      <c r="C383" s="65"/>
    </row>
    <row r="384" spans="3:3" x14ac:dyDescent="0.25">
      <c r="C384" s="65"/>
    </row>
    <row r="385" spans="3:3" x14ac:dyDescent="0.25">
      <c r="C385" s="65"/>
    </row>
    <row r="386" spans="3:3" x14ac:dyDescent="0.25">
      <c r="C386" s="65"/>
    </row>
    <row r="387" spans="3:3" x14ac:dyDescent="0.25">
      <c r="C387" s="65"/>
    </row>
    <row r="388" spans="3:3" x14ac:dyDescent="0.25">
      <c r="C388" s="65"/>
    </row>
    <row r="389" spans="3:3" x14ac:dyDescent="0.25">
      <c r="C389" s="65"/>
    </row>
    <row r="390" spans="3:3" x14ac:dyDescent="0.25">
      <c r="C390" s="65"/>
    </row>
    <row r="391" spans="3:3" x14ac:dyDescent="0.25">
      <c r="C391" s="65"/>
    </row>
    <row r="392" spans="3:3" x14ac:dyDescent="0.25">
      <c r="C392" s="65"/>
    </row>
    <row r="393" spans="3:3" x14ac:dyDescent="0.25">
      <c r="C393" s="65"/>
    </row>
    <row r="394" spans="3:3" x14ac:dyDescent="0.25">
      <c r="C394" s="65"/>
    </row>
    <row r="395" spans="3:3" x14ac:dyDescent="0.25">
      <c r="C395" s="65"/>
    </row>
    <row r="396" spans="3:3" x14ac:dyDescent="0.25">
      <c r="C396" s="65"/>
    </row>
    <row r="397" spans="3:3" x14ac:dyDescent="0.25">
      <c r="C397" s="65"/>
    </row>
    <row r="398" spans="3:3" x14ac:dyDescent="0.25">
      <c r="C398" s="65"/>
    </row>
    <row r="399" spans="3:3" x14ac:dyDescent="0.25">
      <c r="C399" s="65"/>
    </row>
    <row r="400" spans="3:3" x14ac:dyDescent="0.25">
      <c r="C400" s="65"/>
    </row>
    <row r="401" spans="3:3" x14ac:dyDescent="0.25">
      <c r="C401" s="65"/>
    </row>
    <row r="402" spans="3:3" x14ac:dyDescent="0.25">
      <c r="C402" s="65"/>
    </row>
    <row r="403" spans="3:3" x14ac:dyDescent="0.25">
      <c r="C403" s="65"/>
    </row>
    <row r="404" spans="3:3" x14ac:dyDescent="0.25">
      <c r="C404" s="65"/>
    </row>
    <row r="405" spans="3:3" x14ac:dyDescent="0.25">
      <c r="C405" s="65"/>
    </row>
    <row r="406" spans="3:3" x14ac:dyDescent="0.25">
      <c r="C406" s="65"/>
    </row>
    <row r="407" spans="3:3" x14ac:dyDescent="0.25">
      <c r="C407" s="65"/>
    </row>
    <row r="408" spans="3:3" x14ac:dyDescent="0.25">
      <c r="C408" s="65"/>
    </row>
    <row r="409" spans="3:3" x14ac:dyDescent="0.25">
      <c r="C409" s="65"/>
    </row>
    <row r="410" spans="3:3" x14ac:dyDescent="0.25">
      <c r="C410" s="65"/>
    </row>
    <row r="411" spans="3:3" x14ac:dyDescent="0.25">
      <c r="C411" s="65"/>
    </row>
    <row r="412" spans="3:3" x14ac:dyDescent="0.25">
      <c r="C412" s="65"/>
    </row>
    <row r="413" spans="3:3" x14ac:dyDescent="0.25">
      <c r="C413" s="65"/>
    </row>
    <row r="414" spans="3:3" x14ac:dyDescent="0.25">
      <c r="C414" s="65"/>
    </row>
    <row r="415" spans="3:3" x14ac:dyDescent="0.25">
      <c r="C415" s="65"/>
    </row>
    <row r="416" spans="3:3" x14ac:dyDescent="0.25">
      <c r="C416" s="65"/>
    </row>
    <row r="417" spans="3:3" x14ac:dyDescent="0.25">
      <c r="C417" s="65"/>
    </row>
    <row r="418" spans="3:3" x14ac:dyDescent="0.25">
      <c r="C418" s="65"/>
    </row>
    <row r="419" spans="3:3" x14ac:dyDescent="0.25">
      <c r="C419" s="65"/>
    </row>
    <row r="420" spans="3:3" x14ac:dyDescent="0.25">
      <c r="C420" s="65"/>
    </row>
    <row r="421" spans="3:3" x14ac:dyDescent="0.25">
      <c r="C421" s="65"/>
    </row>
    <row r="422" spans="3:3" x14ac:dyDescent="0.25">
      <c r="C422" s="65"/>
    </row>
    <row r="423" spans="3:3" x14ac:dyDescent="0.25">
      <c r="C423" s="65"/>
    </row>
    <row r="424" spans="3:3" x14ac:dyDescent="0.25">
      <c r="C424" s="65"/>
    </row>
    <row r="425" spans="3:3" x14ac:dyDescent="0.25">
      <c r="C425" s="65"/>
    </row>
    <row r="426" spans="3:3" x14ac:dyDescent="0.25">
      <c r="C426" s="65"/>
    </row>
    <row r="427" spans="3:3" x14ac:dyDescent="0.25">
      <c r="C427" s="65"/>
    </row>
    <row r="428" spans="3:3" x14ac:dyDescent="0.25">
      <c r="C428" s="65"/>
    </row>
    <row r="429" spans="3:3" x14ac:dyDescent="0.25">
      <c r="C429" s="65"/>
    </row>
    <row r="430" spans="3:3" x14ac:dyDescent="0.25">
      <c r="C430" s="65"/>
    </row>
    <row r="431" spans="3:3" x14ac:dyDescent="0.25">
      <c r="C431" s="65"/>
    </row>
    <row r="432" spans="3:3" x14ac:dyDescent="0.25">
      <c r="C432" s="65"/>
    </row>
    <row r="433" spans="3:3" x14ac:dyDescent="0.25">
      <c r="C433" s="65"/>
    </row>
    <row r="434" spans="3:3" x14ac:dyDescent="0.25">
      <c r="C434" s="65"/>
    </row>
    <row r="435" spans="3:3" x14ac:dyDescent="0.25">
      <c r="C435" s="65"/>
    </row>
    <row r="436" spans="3:3" x14ac:dyDescent="0.25">
      <c r="C436" s="65"/>
    </row>
    <row r="437" spans="3:3" x14ac:dyDescent="0.25">
      <c r="C437" s="65"/>
    </row>
    <row r="438" spans="3:3" x14ac:dyDescent="0.25">
      <c r="C438" s="65"/>
    </row>
    <row r="439" spans="3:3" x14ac:dyDescent="0.25">
      <c r="C439" s="65"/>
    </row>
    <row r="440" spans="3:3" x14ac:dyDescent="0.25">
      <c r="C440" s="65"/>
    </row>
    <row r="441" spans="3:3" x14ac:dyDescent="0.25">
      <c r="C441" s="65"/>
    </row>
    <row r="442" spans="3:3" x14ac:dyDescent="0.25">
      <c r="C442" s="65"/>
    </row>
    <row r="443" spans="3:3" x14ac:dyDescent="0.25">
      <c r="C443" s="65"/>
    </row>
    <row r="444" spans="3:3" x14ac:dyDescent="0.25">
      <c r="C444" s="65"/>
    </row>
    <row r="445" spans="3:3" x14ac:dyDescent="0.25">
      <c r="C445" s="65"/>
    </row>
    <row r="446" spans="3:3" x14ac:dyDescent="0.25">
      <c r="C446" s="65"/>
    </row>
    <row r="447" spans="3:3" x14ac:dyDescent="0.25">
      <c r="C447" s="65"/>
    </row>
    <row r="448" spans="3:3" x14ac:dyDescent="0.25">
      <c r="C448" s="65"/>
    </row>
    <row r="449" spans="3:3" x14ac:dyDescent="0.25">
      <c r="C449" s="65"/>
    </row>
    <row r="450" spans="3:3" x14ac:dyDescent="0.25">
      <c r="C450" s="65"/>
    </row>
    <row r="451" spans="3:3" x14ac:dyDescent="0.25">
      <c r="C451" s="65"/>
    </row>
    <row r="452" spans="3:3" x14ac:dyDescent="0.25">
      <c r="C452" s="65"/>
    </row>
    <row r="453" spans="3:3" x14ac:dyDescent="0.25">
      <c r="C453" s="65"/>
    </row>
    <row r="454" spans="3:3" x14ac:dyDescent="0.25">
      <c r="C454" s="65"/>
    </row>
    <row r="455" spans="3:3" x14ac:dyDescent="0.25">
      <c r="C455" s="65"/>
    </row>
    <row r="456" spans="3:3" x14ac:dyDescent="0.25">
      <c r="C456" s="65"/>
    </row>
    <row r="457" spans="3:3" x14ac:dyDescent="0.25">
      <c r="C457" s="65"/>
    </row>
    <row r="458" spans="3:3" x14ac:dyDescent="0.25">
      <c r="C458" s="65"/>
    </row>
    <row r="459" spans="3:3" x14ac:dyDescent="0.25">
      <c r="C459" s="65"/>
    </row>
    <row r="460" spans="3:3" x14ac:dyDescent="0.25">
      <c r="C460" s="65"/>
    </row>
    <row r="461" spans="3:3" x14ac:dyDescent="0.25">
      <c r="C461" s="65"/>
    </row>
    <row r="462" spans="3:3" x14ac:dyDescent="0.25">
      <c r="C462" s="65"/>
    </row>
    <row r="463" spans="3:3" x14ac:dyDescent="0.25">
      <c r="C463" s="65"/>
    </row>
    <row r="464" spans="3:3" x14ac:dyDescent="0.25">
      <c r="C464" s="65"/>
    </row>
    <row r="465" spans="3:3" x14ac:dyDescent="0.25">
      <c r="C465" s="65"/>
    </row>
    <row r="466" spans="3:3" x14ac:dyDescent="0.25">
      <c r="C466" s="65"/>
    </row>
    <row r="467" spans="3:3" x14ac:dyDescent="0.25">
      <c r="C467" s="65"/>
    </row>
    <row r="468" spans="3:3" x14ac:dyDescent="0.25">
      <c r="C468" s="65"/>
    </row>
    <row r="469" spans="3:3" x14ac:dyDescent="0.25">
      <c r="C469" s="65"/>
    </row>
    <row r="470" spans="3:3" x14ac:dyDescent="0.25">
      <c r="C470" s="65"/>
    </row>
    <row r="471" spans="3:3" x14ac:dyDescent="0.25">
      <c r="C471" s="65"/>
    </row>
    <row r="472" spans="3:3" x14ac:dyDescent="0.25">
      <c r="C472" s="65"/>
    </row>
    <row r="473" spans="3:3" x14ac:dyDescent="0.25">
      <c r="C473" s="65"/>
    </row>
    <row r="474" spans="3:3" x14ac:dyDescent="0.25">
      <c r="C474" s="65"/>
    </row>
    <row r="475" spans="3:3" x14ac:dyDescent="0.25">
      <c r="C475" s="65"/>
    </row>
    <row r="476" spans="3:3" x14ac:dyDescent="0.25">
      <c r="C476" s="65"/>
    </row>
    <row r="477" spans="3:3" x14ac:dyDescent="0.25">
      <c r="C477" s="65"/>
    </row>
    <row r="478" spans="3:3" x14ac:dyDescent="0.25">
      <c r="C478" s="65"/>
    </row>
    <row r="479" spans="3:3" x14ac:dyDescent="0.25">
      <c r="C479" s="65"/>
    </row>
    <row r="480" spans="3:3" x14ac:dyDescent="0.25">
      <c r="C480" s="65"/>
    </row>
    <row r="481" spans="3:3" x14ac:dyDescent="0.25">
      <c r="C481" s="65"/>
    </row>
    <row r="482" spans="3:3" x14ac:dyDescent="0.25">
      <c r="C482" s="65"/>
    </row>
    <row r="483" spans="3:3" x14ac:dyDescent="0.25">
      <c r="C483" s="65"/>
    </row>
    <row r="484" spans="3:3" x14ac:dyDescent="0.25">
      <c r="C484" s="65"/>
    </row>
    <row r="485" spans="3:3" x14ac:dyDescent="0.25">
      <c r="C485" s="65"/>
    </row>
    <row r="486" spans="3:3" x14ac:dyDescent="0.25">
      <c r="C486" s="65"/>
    </row>
    <row r="487" spans="3:3" x14ac:dyDescent="0.25">
      <c r="C487" s="65"/>
    </row>
    <row r="488" spans="3:3" x14ac:dyDescent="0.25">
      <c r="C488" s="65"/>
    </row>
    <row r="489" spans="3:3" x14ac:dyDescent="0.25">
      <c r="C489" s="65"/>
    </row>
    <row r="490" spans="3:3" x14ac:dyDescent="0.25">
      <c r="C490" s="65"/>
    </row>
    <row r="491" spans="3:3" x14ac:dyDescent="0.25">
      <c r="C491" s="65"/>
    </row>
    <row r="492" spans="3:3" x14ac:dyDescent="0.25">
      <c r="C492" s="65"/>
    </row>
    <row r="493" spans="3:3" x14ac:dyDescent="0.25">
      <c r="C493" s="65"/>
    </row>
    <row r="494" spans="3:3" x14ac:dyDescent="0.25">
      <c r="C494" s="65"/>
    </row>
    <row r="495" spans="3:3" x14ac:dyDescent="0.25">
      <c r="C495" s="65"/>
    </row>
    <row r="496" spans="3:3" x14ac:dyDescent="0.25">
      <c r="C496" s="65"/>
    </row>
    <row r="497" spans="3:3" x14ac:dyDescent="0.25">
      <c r="C497" s="65"/>
    </row>
    <row r="498" spans="3:3" x14ac:dyDescent="0.25">
      <c r="C498" s="65"/>
    </row>
    <row r="499" spans="3:3" x14ac:dyDescent="0.25">
      <c r="C499" s="65"/>
    </row>
    <row r="500" spans="3:3" x14ac:dyDescent="0.25">
      <c r="C500" s="65"/>
    </row>
    <row r="501" spans="3:3" x14ac:dyDescent="0.25">
      <c r="C501" s="65"/>
    </row>
    <row r="502" spans="3:3" x14ac:dyDescent="0.25">
      <c r="C502" s="65"/>
    </row>
    <row r="503" spans="3:3" x14ac:dyDescent="0.25">
      <c r="C503" s="65"/>
    </row>
    <row r="504" spans="3:3" x14ac:dyDescent="0.25">
      <c r="C504" s="65"/>
    </row>
    <row r="505" spans="3:3" x14ac:dyDescent="0.25">
      <c r="C505" s="65"/>
    </row>
    <row r="506" spans="3:3" x14ac:dyDescent="0.25">
      <c r="C506" s="65"/>
    </row>
    <row r="507" spans="3:3" x14ac:dyDescent="0.25">
      <c r="C507" s="65"/>
    </row>
    <row r="508" spans="3:3" x14ac:dyDescent="0.25">
      <c r="C508" s="65"/>
    </row>
    <row r="509" spans="3:3" x14ac:dyDescent="0.25">
      <c r="C509" s="65"/>
    </row>
    <row r="510" spans="3:3" x14ac:dyDescent="0.25">
      <c r="C510" s="65"/>
    </row>
    <row r="511" spans="3:3" x14ac:dyDescent="0.25">
      <c r="C511" s="65"/>
    </row>
    <row r="512" spans="3:3" x14ac:dyDescent="0.25">
      <c r="C512" s="65"/>
    </row>
    <row r="513" spans="3:3" x14ac:dyDescent="0.25">
      <c r="C513" s="65"/>
    </row>
    <row r="514" spans="3:3" x14ac:dyDescent="0.25">
      <c r="C514" s="65"/>
    </row>
    <row r="515" spans="3:3" x14ac:dyDescent="0.25">
      <c r="C515" s="65"/>
    </row>
    <row r="516" spans="3:3" x14ac:dyDescent="0.25">
      <c r="C516" s="65"/>
    </row>
    <row r="517" spans="3:3" x14ac:dyDescent="0.25">
      <c r="C517" s="65"/>
    </row>
    <row r="518" spans="3:3" x14ac:dyDescent="0.25">
      <c r="C518" s="65"/>
    </row>
    <row r="519" spans="3:3" x14ac:dyDescent="0.25">
      <c r="C519" s="65"/>
    </row>
    <row r="520" spans="3:3" x14ac:dyDescent="0.25">
      <c r="C520" s="65"/>
    </row>
    <row r="521" spans="3:3" x14ac:dyDescent="0.25">
      <c r="C521" s="65"/>
    </row>
    <row r="522" spans="3:3" x14ac:dyDescent="0.25">
      <c r="C522" s="65"/>
    </row>
    <row r="523" spans="3:3" x14ac:dyDescent="0.25">
      <c r="C523" s="65"/>
    </row>
    <row r="524" spans="3:3" x14ac:dyDescent="0.25">
      <c r="C524" s="65"/>
    </row>
    <row r="525" spans="3:3" x14ac:dyDescent="0.25">
      <c r="C525" s="65"/>
    </row>
    <row r="526" spans="3:3" x14ac:dyDescent="0.25">
      <c r="C526" s="65"/>
    </row>
    <row r="527" spans="3:3" x14ac:dyDescent="0.25">
      <c r="C527" s="65"/>
    </row>
    <row r="528" spans="3:3" x14ac:dyDescent="0.25">
      <c r="C528" s="65"/>
    </row>
    <row r="529" spans="3:3" x14ac:dyDescent="0.25">
      <c r="C529" s="65"/>
    </row>
    <row r="530" spans="3:3" x14ac:dyDescent="0.25">
      <c r="C530" s="65"/>
    </row>
    <row r="531" spans="3:3" x14ac:dyDescent="0.25">
      <c r="C531" s="65"/>
    </row>
    <row r="532" spans="3:3" x14ac:dyDescent="0.25">
      <c r="C532" s="65"/>
    </row>
    <row r="533" spans="3:3" x14ac:dyDescent="0.25">
      <c r="C533" s="65"/>
    </row>
    <row r="534" spans="3:3" x14ac:dyDescent="0.25">
      <c r="C534" s="65"/>
    </row>
    <row r="535" spans="3:3" x14ac:dyDescent="0.25">
      <c r="C535" s="65"/>
    </row>
    <row r="536" spans="3:3" x14ac:dyDescent="0.25">
      <c r="C536" s="65"/>
    </row>
    <row r="537" spans="3:3" x14ac:dyDescent="0.25">
      <c r="C537" s="65"/>
    </row>
    <row r="538" spans="3:3" x14ac:dyDescent="0.25">
      <c r="C538" s="65"/>
    </row>
    <row r="539" spans="3:3" x14ac:dyDescent="0.25">
      <c r="C539" s="65"/>
    </row>
    <row r="540" spans="3:3" x14ac:dyDescent="0.25">
      <c r="C540" s="65"/>
    </row>
    <row r="541" spans="3:3" x14ac:dyDescent="0.25">
      <c r="C541" s="65"/>
    </row>
    <row r="542" spans="3:3" x14ac:dyDescent="0.25">
      <c r="C542" s="65"/>
    </row>
    <row r="543" spans="3:3" x14ac:dyDescent="0.25">
      <c r="C543" s="65"/>
    </row>
    <row r="544" spans="3:3" x14ac:dyDescent="0.25">
      <c r="C544" s="65"/>
    </row>
    <row r="545" spans="3:3" x14ac:dyDescent="0.25">
      <c r="C545" s="65"/>
    </row>
    <row r="546" spans="3:3" x14ac:dyDescent="0.25">
      <c r="C546" s="65"/>
    </row>
    <row r="547" spans="3:3" x14ac:dyDescent="0.25">
      <c r="C547" s="65"/>
    </row>
    <row r="548" spans="3:3" x14ac:dyDescent="0.25">
      <c r="C548" s="65"/>
    </row>
    <row r="549" spans="3:3" x14ac:dyDescent="0.25">
      <c r="C549" s="65"/>
    </row>
    <row r="550" spans="3:3" x14ac:dyDescent="0.25">
      <c r="C550" s="65"/>
    </row>
    <row r="551" spans="3:3" x14ac:dyDescent="0.25">
      <c r="C551" s="65"/>
    </row>
    <row r="552" spans="3:3" x14ac:dyDescent="0.25">
      <c r="C552" s="65"/>
    </row>
    <row r="553" spans="3:3" x14ac:dyDescent="0.25">
      <c r="C553" s="65"/>
    </row>
    <row r="554" spans="3:3" x14ac:dyDescent="0.25">
      <c r="C554" s="65"/>
    </row>
    <row r="555" spans="3:3" x14ac:dyDescent="0.25">
      <c r="C555" s="65"/>
    </row>
    <row r="556" spans="3:3" x14ac:dyDescent="0.25">
      <c r="C556" s="65"/>
    </row>
    <row r="557" spans="3:3" x14ac:dyDescent="0.25">
      <c r="C557" s="65"/>
    </row>
    <row r="558" spans="3:3" x14ac:dyDescent="0.25">
      <c r="C558" s="65"/>
    </row>
    <row r="559" spans="3:3" x14ac:dyDescent="0.25">
      <c r="C559" s="65"/>
    </row>
    <row r="560" spans="3:3" x14ac:dyDescent="0.25">
      <c r="C560" s="65"/>
    </row>
    <row r="561" spans="3:3" x14ac:dyDescent="0.25">
      <c r="C561" s="65"/>
    </row>
    <row r="562" spans="3:3" x14ac:dyDescent="0.25">
      <c r="C562" s="65"/>
    </row>
    <row r="563" spans="3:3" x14ac:dyDescent="0.25">
      <c r="C563" s="65"/>
    </row>
    <row r="564" spans="3:3" x14ac:dyDescent="0.25">
      <c r="C564" s="65"/>
    </row>
    <row r="565" spans="3:3" x14ac:dyDescent="0.25">
      <c r="C565" s="65"/>
    </row>
    <row r="566" spans="3:3" x14ac:dyDescent="0.25">
      <c r="C566" s="65"/>
    </row>
    <row r="567" spans="3:3" x14ac:dyDescent="0.25">
      <c r="C567" s="65"/>
    </row>
    <row r="568" spans="3:3" x14ac:dyDescent="0.25">
      <c r="C568" s="65"/>
    </row>
    <row r="569" spans="3:3" x14ac:dyDescent="0.25">
      <c r="C569" s="65"/>
    </row>
    <row r="570" spans="3:3" x14ac:dyDescent="0.25">
      <c r="C570" s="65"/>
    </row>
    <row r="571" spans="3:3" x14ac:dyDescent="0.25">
      <c r="C571" s="65"/>
    </row>
    <row r="572" spans="3:3" x14ac:dyDescent="0.25">
      <c r="C572" s="65"/>
    </row>
    <row r="573" spans="3:3" x14ac:dyDescent="0.25">
      <c r="C573" s="65"/>
    </row>
    <row r="574" spans="3:3" x14ac:dyDescent="0.25">
      <c r="C574" s="65"/>
    </row>
    <row r="575" spans="3:3" x14ac:dyDescent="0.25">
      <c r="C575" s="65"/>
    </row>
    <row r="576" spans="3:3" x14ac:dyDescent="0.25">
      <c r="C576" s="65"/>
    </row>
    <row r="577" spans="3:3" x14ac:dyDescent="0.25">
      <c r="C577" s="65"/>
    </row>
    <row r="578" spans="3:3" x14ac:dyDescent="0.25">
      <c r="C578" s="65"/>
    </row>
    <row r="579" spans="3:3" x14ac:dyDescent="0.25">
      <c r="C579" s="65"/>
    </row>
    <row r="580" spans="3:3" x14ac:dyDescent="0.25">
      <c r="C580" s="65"/>
    </row>
    <row r="581" spans="3:3" x14ac:dyDescent="0.25">
      <c r="C581" s="65"/>
    </row>
    <row r="582" spans="3:3" x14ac:dyDescent="0.25">
      <c r="C582" s="65"/>
    </row>
    <row r="583" spans="3:3" x14ac:dyDescent="0.25">
      <c r="C583" s="65"/>
    </row>
    <row r="584" spans="3:3" x14ac:dyDescent="0.25">
      <c r="C584" s="65"/>
    </row>
    <row r="585" spans="3:3" x14ac:dyDescent="0.25">
      <c r="C585" s="65"/>
    </row>
    <row r="586" spans="3:3" x14ac:dyDescent="0.25">
      <c r="C586" s="65"/>
    </row>
    <row r="587" spans="3:3" x14ac:dyDescent="0.25">
      <c r="C587" s="65"/>
    </row>
    <row r="588" spans="3:3" x14ac:dyDescent="0.25">
      <c r="C588" s="65"/>
    </row>
    <row r="589" spans="3:3" x14ac:dyDescent="0.25">
      <c r="C589" s="65"/>
    </row>
    <row r="590" spans="3:3" x14ac:dyDescent="0.25">
      <c r="C590" s="65"/>
    </row>
    <row r="591" spans="3:3" x14ac:dyDescent="0.25">
      <c r="C591" s="65"/>
    </row>
    <row r="592" spans="3:3" x14ac:dyDescent="0.25">
      <c r="C592" s="65"/>
    </row>
    <row r="593" spans="1:3" x14ac:dyDescent="0.25">
      <c r="C593" s="65"/>
    </row>
    <row r="594" spans="1:3" x14ac:dyDescent="0.25">
      <c r="C594" s="65"/>
    </row>
    <row r="595" spans="1:3" x14ac:dyDescent="0.25">
      <c r="C595" s="65"/>
    </row>
    <row r="596" spans="1:3" x14ac:dyDescent="0.25">
      <c r="C596" s="65"/>
    </row>
    <row r="599" spans="1:3" x14ac:dyDescent="0.25">
      <c r="A599" t="s">
        <v>927</v>
      </c>
    </row>
    <row r="600" spans="1:3" x14ac:dyDescent="0.25">
      <c r="A600" t="s">
        <v>928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04"/>
  <sheetViews>
    <sheetView showGridLines="0" tabSelected="1" zoomScaleNormal="100" workbookViewId="0">
      <pane ySplit="4" topLeftCell="A254" activePane="bottomLeft" state="frozen"/>
      <selection pane="bottomLeft" activeCell="E268" sqref="E268"/>
    </sheetView>
  </sheetViews>
  <sheetFormatPr baseColWidth="10" defaultColWidth="8.7109375" defaultRowHeight="15" x14ac:dyDescent="0.25"/>
  <cols>
    <col min="1" max="1" width="77.28515625" bestFit="1" customWidth="1"/>
    <col min="2" max="3" width="18" customWidth="1"/>
    <col min="4" max="5" width="14" customWidth="1"/>
    <col min="6" max="6" width="28" customWidth="1"/>
    <col min="11" max="11" width="18.28515625" bestFit="1" customWidth="1"/>
  </cols>
  <sheetData>
    <row r="1" spans="1:6" ht="27.75" customHeight="1" x14ac:dyDescent="0.25">
      <c r="A1" s="72" t="s">
        <v>157</v>
      </c>
      <c r="B1" s="72"/>
      <c r="C1" s="72"/>
      <c r="D1" s="72"/>
      <c r="E1" s="72"/>
      <c r="F1" s="72"/>
    </row>
    <row r="2" spans="1:6" ht="15.75" customHeight="1" x14ac:dyDescent="0.25">
      <c r="A2" s="82" t="s">
        <v>158</v>
      </c>
      <c r="B2" s="82"/>
      <c r="C2" s="82"/>
      <c r="D2" s="82"/>
      <c r="E2" s="82"/>
      <c r="F2" s="82"/>
    </row>
    <row r="3" spans="1:6" ht="19.5" customHeight="1" x14ac:dyDescent="0.25">
      <c r="A3" s="41" t="s">
        <v>159</v>
      </c>
      <c r="B3" s="48">
        <v>46314</v>
      </c>
      <c r="C3" s="41" t="s">
        <v>160</v>
      </c>
      <c r="D3" s="49">
        <v>1520</v>
      </c>
      <c r="E3" s="42"/>
      <c r="F3" s="42"/>
    </row>
    <row r="4" spans="1:6" ht="24" customHeight="1" x14ac:dyDescent="0.25">
      <c r="A4" s="19" t="s">
        <v>161</v>
      </c>
      <c r="B4" s="19" t="s">
        <v>162</v>
      </c>
      <c r="C4" s="19" t="s">
        <v>163</v>
      </c>
      <c r="D4" s="19" t="s">
        <v>164</v>
      </c>
      <c r="E4" s="19" t="s">
        <v>165</v>
      </c>
      <c r="F4" s="19" t="s">
        <v>154</v>
      </c>
    </row>
    <row r="5" spans="1:6" ht="15.75" customHeight="1" x14ac:dyDescent="0.25">
      <c r="A5" t="s">
        <v>1134</v>
      </c>
      <c r="C5">
        <v>69169.649999999994</v>
      </c>
      <c r="D5" s="24">
        <f t="shared" ref="D5:D125" si="0">+C5/$D$3</f>
        <v>45.506348684210522</v>
      </c>
      <c r="E5" s="50">
        <f>+D5/$D$268</f>
        <v>1.2406262853133554E-5</v>
      </c>
      <c r="F5" s="51"/>
    </row>
    <row r="6" spans="1:6" ht="15.75" customHeight="1" x14ac:dyDescent="0.25">
      <c r="A6" t="s">
        <v>183</v>
      </c>
      <c r="C6">
        <v>6849314.9800000004</v>
      </c>
      <c r="D6" s="24">
        <f t="shared" si="0"/>
        <v>4506.1282763157897</v>
      </c>
      <c r="E6" s="50">
        <f>+D6/$D$268</f>
        <v>1.2284925831746324E-3</v>
      </c>
      <c r="F6" s="51"/>
    </row>
    <row r="7" spans="1:6" ht="15.75" customHeight="1" x14ac:dyDescent="0.25">
      <c r="A7" t="s">
        <v>1030</v>
      </c>
      <c r="C7">
        <v>497341.47</v>
      </c>
      <c r="D7" s="24">
        <f t="shared" si="0"/>
        <v>327.19833552631576</v>
      </c>
      <c r="E7" s="50">
        <f>+D7/$D$268</f>
        <v>8.9203126003729036E-5</v>
      </c>
      <c r="F7" s="51"/>
    </row>
    <row r="8" spans="1:6" ht="15.75" customHeight="1" x14ac:dyDescent="0.25">
      <c r="A8" t="s">
        <v>836</v>
      </c>
      <c r="C8">
        <v>1519999</v>
      </c>
      <c r="D8" s="24">
        <f t="shared" si="0"/>
        <v>999.99934210526317</v>
      </c>
      <c r="E8" s="50">
        <f>+D8/$D$268</f>
        <v>2.7262689822053678E-4</v>
      </c>
      <c r="F8" s="51"/>
    </row>
    <row r="9" spans="1:6" ht="15.75" customHeight="1" x14ac:dyDescent="0.25">
      <c r="A9" t="s">
        <v>1135</v>
      </c>
      <c r="C9">
        <v>1021542.5</v>
      </c>
      <c r="D9" s="24">
        <f t="shared" si="0"/>
        <v>672.06743421052636</v>
      </c>
      <c r="E9" s="50">
        <f>+D9/$D$268</f>
        <v>1.8322378052581135E-4</v>
      </c>
      <c r="F9" s="51"/>
    </row>
    <row r="10" spans="1:6" ht="15.75" customHeight="1" x14ac:dyDescent="0.25">
      <c r="A10" t="s">
        <v>191</v>
      </c>
      <c r="C10">
        <v>9067449.7100000009</v>
      </c>
      <c r="D10" s="24">
        <f t="shared" si="0"/>
        <v>5965.4274407894745</v>
      </c>
      <c r="E10" s="50">
        <f>+D10/$D$268</f>
        <v>1.6263370497006946E-3</v>
      </c>
      <c r="F10" s="51"/>
    </row>
    <row r="11" spans="1:6" ht="15.75" customHeight="1" x14ac:dyDescent="0.25">
      <c r="A11" t="s">
        <v>713</v>
      </c>
      <c r="C11">
        <v>17959737.699999999</v>
      </c>
      <c r="D11" s="24">
        <f t="shared" si="0"/>
        <v>11815.616907894737</v>
      </c>
      <c r="E11" s="50">
        <f>+D11/$D$268</f>
        <v>3.221257107409569E-3</v>
      </c>
      <c r="F11" s="51"/>
    </row>
    <row r="12" spans="1:6" ht="15.75" customHeight="1" x14ac:dyDescent="0.25">
      <c r="A12" t="s">
        <v>486</v>
      </c>
      <c r="C12">
        <v>1019788</v>
      </c>
      <c r="D12" s="24">
        <f t="shared" si="0"/>
        <v>670.91315789473686</v>
      </c>
      <c r="E12" s="50">
        <f>+D12/$D$268</f>
        <v>1.829090935471173E-4</v>
      </c>
      <c r="F12" s="51"/>
    </row>
    <row r="13" spans="1:6" ht="15.75" customHeight="1" x14ac:dyDescent="0.25">
      <c r="A13" t="s">
        <v>838</v>
      </c>
      <c r="C13">
        <v>199650</v>
      </c>
      <c r="D13" s="24">
        <f t="shared" si="0"/>
        <v>131.34868421052633</v>
      </c>
      <c r="E13" s="50">
        <f>+D13/$D$268</f>
        <v>3.5809207920354012E-5</v>
      </c>
      <c r="F13" s="51"/>
    </row>
    <row r="14" spans="1:6" ht="15.75" customHeight="1" x14ac:dyDescent="0.25">
      <c r="A14" t="s">
        <v>1031</v>
      </c>
      <c r="C14">
        <v>13078095.060000001</v>
      </c>
      <c r="D14" s="24">
        <f t="shared" si="0"/>
        <v>8604.0099078947369</v>
      </c>
      <c r="E14" s="50">
        <f>+D14/$D$268</f>
        <v>2.3456860766626324E-3</v>
      </c>
      <c r="F14" s="51"/>
    </row>
    <row r="15" spans="1:6" ht="15.75" customHeight="1" x14ac:dyDescent="0.25">
      <c r="A15" t="s">
        <v>1292</v>
      </c>
      <c r="C15">
        <v>66542.740000000005</v>
      </c>
      <c r="D15" s="24">
        <f t="shared" si="0"/>
        <v>43.778118421052632</v>
      </c>
      <c r="E15" s="50">
        <f>+D15/$D$268</f>
        <v>1.1935100487102716E-5</v>
      </c>
      <c r="F15" s="51"/>
    </row>
    <row r="16" spans="1:6" ht="15.75" customHeight="1" x14ac:dyDescent="0.25">
      <c r="A16" t="s">
        <v>930</v>
      </c>
      <c r="C16">
        <v>5051000</v>
      </c>
      <c r="D16" s="24">
        <f t="shared" si="0"/>
        <v>3323.0263157894738</v>
      </c>
      <c r="E16" s="50">
        <f>+D16/$D$268</f>
        <v>9.059469531966345E-4</v>
      </c>
      <c r="F16" s="51"/>
    </row>
    <row r="17" spans="1:6" ht="15.75" customHeight="1" x14ac:dyDescent="0.25">
      <c r="A17" t="s">
        <v>193</v>
      </c>
      <c r="C17">
        <v>1505880.73</v>
      </c>
      <c r="D17" s="24">
        <f t="shared" si="0"/>
        <v>990.71100657894738</v>
      </c>
      <c r="E17" s="50">
        <f>+D17/$D$268</f>
        <v>2.7009464645041058E-4</v>
      </c>
      <c r="F17" s="51"/>
    </row>
    <row r="18" spans="1:6" ht="15.75" customHeight="1" x14ac:dyDescent="0.25">
      <c r="A18" t="s">
        <v>721</v>
      </c>
      <c r="C18">
        <v>80883.53</v>
      </c>
      <c r="D18" s="24">
        <f t="shared" si="0"/>
        <v>53.212848684210527</v>
      </c>
      <c r="E18" s="50">
        <f>+D18/$D$268</f>
        <v>1.4507263426507341E-5</v>
      </c>
      <c r="F18" s="51"/>
    </row>
    <row r="19" spans="1:6" ht="15.75" customHeight="1" x14ac:dyDescent="0.25">
      <c r="A19" t="s">
        <v>195</v>
      </c>
      <c r="C19">
        <v>4210841.9800000004</v>
      </c>
      <c r="D19" s="24">
        <f t="shared" si="0"/>
        <v>2770.2907763157896</v>
      </c>
      <c r="E19" s="50">
        <f t="shared" ref="E19:E82" si="1">+D19/$D$268</f>
        <v>7.5525627839506714E-4</v>
      </c>
      <c r="F19" s="51"/>
    </row>
    <row r="20" spans="1:6" ht="15.75" customHeight="1" x14ac:dyDescent="0.25">
      <c r="A20" t="s">
        <v>1293</v>
      </c>
      <c r="C20">
        <v>800000</v>
      </c>
      <c r="D20" s="24">
        <f t="shared" si="0"/>
        <v>526.31578947368416</v>
      </c>
      <c r="E20" s="50">
        <f t="shared" si="1"/>
        <v>1.4348793556866117E-4</v>
      </c>
      <c r="F20" s="51"/>
    </row>
    <row r="21" spans="1:6" ht="15.75" customHeight="1" x14ac:dyDescent="0.25">
      <c r="A21" t="s">
        <v>842</v>
      </c>
      <c r="C21">
        <v>166980</v>
      </c>
      <c r="D21" s="24">
        <f t="shared" si="0"/>
        <v>109.85526315789474</v>
      </c>
      <c r="E21" s="50">
        <f t="shared" si="1"/>
        <v>2.9949519351568804E-5</v>
      </c>
      <c r="F21" s="51"/>
    </row>
    <row r="22" spans="1:6" ht="15.75" customHeight="1" x14ac:dyDescent="0.25">
      <c r="A22" t="s">
        <v>1136</v>
      </c>
      <c r="C22">
        <v>222775.01</v>
      </c>
      <c r="D22" s="24">
        <f t="shared" si="0"/>
        <v>146.56250657894736</v>
      </c>
      <c r="E22" s="50">
        <f t="shared" si="1"/>
        <v>3.9956907851484813E-5</v>
      </c>
      <c r="F22" s="51"/>
    </row>
    <row r="23" spans="1:6" ht="15.75" customHeight="1" x14ac:dyDescent="0.25">
      <c r="A23" t="s">
        <v>488</v>
      </c>
      <c r="C23">
        <v>371470</v>
      </c>
      <c r="D23" s="24">
        <f t="shared" si="0"/>
        <v>244.38815789473685</v>
      </c>
      <c r="E23" s="50">
        <f t="shared" si="1"/>
        <v>6.6626829282113217E-5</v>
      </c>
      <c r="F23" s="51"/>
    </row>
    <row r="24" spans="1:6" ht="15.75" customHeight="1" x14ac:dyDescent="0.25">
      <c r="A24" t="s">
        <v>844</v>
      </c>
      <c r="C24">
        <v>16248700</v>
      </c>
      <c r="D24" s="24">
        <f t="shared" si="0"/>
        <v>10689.934210526315</v>
      </c>
      <c r="E24" s="50">
        <f t="shared" si="1"/>
        <v>2.9143655233431309E-3</v>
      </c>
      <c r="F24" s="51"/>
    </row>
    <row r="25" spans="1:6" ht="15.75" customHeight="1" x14ac:dyDescent="0.25">
      <c r="A25" t="s">
        <v>199</v>
      </c>
      <c r="C25">
        <v>37139250.880000003</v>
      </c>
      <c r="D25" s="24">
        <f t="shared" si="0"/>
        <v>24433.717684210529</v>
      </c>
      <c r="E25" s="50">
        <f t="shared" si="1"/>
        <v>6.661293046672229E-3</v>
      </c>
      <c r="F25" s="51"/>
    </row>
    <row r="26" spans="1:6" ht="15.75" customHeight="1" x14ac:dyDescent="0.25">
      <c r="A26" t="s">
        <v>723</v>
      </c>
      <c r="C26">
        <v>2113195.98</v>
      </c>
      <c r="D26" s="24">
        <f t="shared" si="0"/>
        <v>1390.2605131578948</v>
      </c>
      <c r="E26" s="50">
        <f t="shared" si="1"/>
        <v>3.7902266077774227E-4</v>
      </c>
      <c r="F26" s="51"/>
    </row>
    <row r="27" spans="1:6" ht="15.75" customHeight="1" x14ac:dyDescent="0.25">
      <c r="A27" t="s">
        <v>931</v>
      </c>
      <c r="C27">
        <v>1370000.02</v>
      </c>
      <c r="D27" s="24">
        <f t="shared" si="0"/>
        <v>901.315802631579</v>
      </c>
      <c r="E27" s="50">
        <f t="shared" si="1"/>
        <v>2.4572309324853069E-4</v>
      </c>
      <c r="F27" s="51"/>
    </row>
    <row r="28" spans="1:6" ht="15.75" customHeight="1" x14ac:dyDescent="0.25">
      <c r="A28" t="s">
        <v>931</v>
      </c>
      <c r="C28">
        <v>358000</v>
      </c>
      <c r="D28" s="24">
        <f t="shared" si="0"/>
        <v>235.52631578947367</v>
      </c>
      <c r="E28" s="50">
        <f t="shared" si="1"/>
        <v>6.4210851166975874E-5</v>
      </c>
      <c r="F28" s="51"/>
    </row>
    <row r="29" spans="1:6" ht="15.75" customHeight="1" x14ac:dyDescent="0.25">
      <c r="A29" t="s">
        <v>803</v>
      </c>
      <c r="C29">
        <v>299928.76</v>
      </c>
      <c r="D29" s="24">
        <f t="shared" si="0"/>
        <v>197.32155263157895</v>
      </c>
      <c r="E29" s="50">
        <f t="shared" si="1"/>
        <v>5.3795198237585556E-5</v>
      </c>
      <c r="F29" s="51"/>
    </row>
    <row r="30" spans="1:6" ht="15.75" customHeight="1" x14ac:dyDescent="0.25">
      <c r="A30" t="s">
        <v>850</v>
      </c>
      <c r="C30">
        <v>1149036.6599999999</v>
      </c>
      <c r="D30" s="24">
        <f t="shared" si="0"/>
        <v>755.94517105263151</v>
      </c>
      <c r="E30" s="50">
        <f t="shared" si="1"/>
        <v>2.0609112279513703E-4</v>
      </c>
      <c r="F30" s="51"/>
    </row>
    <row r="31" spans="1:6" ht="15.75" customHeight="1" x14ac:dyDescent="0.25">
      <c r="A31" t="s">
        <v>727</v>
      </c>
      <c r="C31">
        <v>1340821.3899999999</v>
      </c>
      <c r="D31" s="24">
        <f t="shared" si="0"/>
        <v>882.11933552631569</v>
      </c>
      <c r="E31" s="50">
        <f t="shared" si="1"/>
        <v>2.4048961652175336E-4</v>
      </c>
      <c r="F31" s="51"/>
    </row>
    <row r="32" spans="1:6" ht="15.75" customHeight="1" x14ac:dyDescent="0.25">
      <c r="A32" t="s">
        <v>1029</v>
      </c>
      <c r="C32">
        <v>1706862.55</v>
      </c>
      <c r="D32" s="24">
        <f t="shared" si="0"/>
        <v>1122.9358881578949</v>
      </c>
      <c r="E32" s="50">
        <f t="shared" si="1"/>
        <v>3.0614272949870095E-4</v>
      </c>
      <c r="F32" s="51"/>
    </row>
    <row r="33" spans="1:6" ht="15.75" customHeight="1" x14ac:dyDescent="0.25">
      <c r="A33" t="s">
        <v>568</v>
      </c>
      <c r="C33">
        <v>4070415.8</v>
      </c>
      <c r="D33" s="24">
        <f t="shared" si="0"/>
        <v>2677.905131578947</v>
      </c>
      <c r="E33" s="50">
        <f t="shared" si="1"/>
        <v>7.3006945006007544E-4</v>
      </c>
      <c r="F33" s="51"/>
    </row>
    <row r="34" spans="1:6" ht="15.75" customHeight="1" x14ac:dyDescent="0.25">
      <c r="A34" t="s">
        <v>203</v>
      </c>
      <c r="C34">
        <v>5259144</v>
      </c>
      <c r="D34" s="24">
        <f t="shared" si="0"/>
        <v>3459.9631578947369</v>
      </c>
      <c r="E34" s="50">
        <f t="shared" si="1"/>
        <v>9.4327964427288883E-4</v>
      </c>
      <c r="F34" s="51"/>
    </row>
    <row r="35" spans="1:6" ht="15.75" customHeight="1" x14ac:dyDescent="0.25">
      <c r="A35" t="s">
        <v>205</v>
      </c>
      <c r="C35">
        <v>475999.96</v>
      </c>
      <c r="D35" s="24">
        <f t="shared" si="0"/>
        <v>313.15786842105263</v>
      </c>
      <c r="E35" s="50">
        <f t="shared" si="1"/>
        <v>8.537531448895662E-5</v>
      </c>
      <c r="F35" s="51"/>
    </row>
    <row r="36" spans="1:6" ht="15.75" customHeight="1" x14ac:dyDescent="0.25">
      <c r="A36" t="s">
        <v>1139</v>
      </c>
      <c r="C36">
        <v>283714.05</v>
      </c>
      <c r="D36" s="24">
        <f t="shared" si="0"/>
        <v>186.65398026315788</v>
      </c>
      <c r="E36" s="50">
        <f t="shared" si="1"/>
        <v>5.0886929157904887E-5</v>
      </c>
      <c r="F36" s="51"/>
    </row>
    <row r="37" spans="1:6" ht="15.75" customHeight="1" x14ac:dyDescent="0.25">
      <c r="A37" t="s">
        <v>490</v>
      </c>
      <c r="C37">
        <v>304703.83</v>
      </c>
      <c r="D37" s="24">
        <f t="shared" si="0"/>
        <v>200.4630460526316</v>
      </c>
      <c r="E37" s="50">
        <f t="shared" si="1"/>
        <v>5.4651654408205369E-5</v>
      </c>
      <c r="F37" s="51"/>
    </row>
    <row r="38" spans="1:6" ht="15.75" customHeight="1" x14ac:dyDescent="0.25">
      <c r="A38" t="s">
        <v>932</v>
      </c>
      <c r="C38">
        <v>6173115.9299999997</v>
      </c>
      <c r="D38" s="24">
        <f t="shared" si="0"/>
        <v>4061.2604802631577</v>
      </c>
      <c r="E38" s="50">
        <f t="shared" si="1"/>
        <v>1.1072095760271449E-3</v>
      </c>
      <c r="F38" s="51"/>
    </row>
    <row r="39" spans="1:6" ht="15.75" customHeight="1" x14ac:dyDescent="0.25">
      <c r="A39" t="s">
        <v>209</v>
      </c>
      <c r="C39">
        <v>14513221.33</v>
      </c>
      <c r="D39" s="24">
        <f t="shared" si="0"/>
        <v>9548.1719276315798</v>
      </c>
      <c r="E39" s="50">
        <f t="shared" si="1"/>
        <v>2.603090208865949E-3</v>
      </c>
      <c r="F39" s="51"/>
    </row>
    <row r="40" spans="1:6" ht="15.75" customHeight="1" x14ac:dyDescent="0.25">
      <c r="A40" t="s">
        <v>852</v>
      </c>
      <c r="C40">
        <v>3704249.2</v>
      </c>
      <c r="D40" s="24">
        <f t="shared" si="0"/>
        <v>2437.0060526315792</v>
      </c>
      <c r="E40" s="50">
        <f t="shared" si="1"/>
        <v>6.6439383817483097E-4</v>
      </c>
      <c r="F40" s="51"/>
    </row>
    <row r="41" spans="1:6" ht="15.75" customHeight="1" x14ac:dyDescent="0.25">
      <c r="A41" t="s">
        <v>211</v>
      </c>
      <c r="C41">
        <v>2220973.15</v>
      </c>
      <c r="D41" s="24">
        <f t="shared" si="0"/>
        <v>1461.1665460526315</v>
      </c>
      <c r="E41" s="50">
        <f t="shared" si="1"/>
        <v>3.9835356530865807E-4</v>
      </c>
      <c r="F41" s="51"/>
    </row>
    <row r="42" spans="1:6" ht="15.75" customHeight="1" x14ac:dyDescent="0.25">
      <c r="A42" t="s">
        <v>213</v>
      </c>
      <c r="C42">
        <v>10590273.26</v>
      </c>
      <c r="D42" s="24">
        <f t="shared" si="0"/>
        <v>6967.2850394736843</v>
      </c>
      <c r="E42" s="50">
        <f t="shared" si="1"/>
        <v>1.8994705589817442E-3</v>
      </c>
      <c r="F42" s="51"/>
    </row>
    <row r="43" spans="1:6" ht="15.75" customHeight="1" x14ac:dyDescent="0.25">
      <c r="A43" t="s">
        <v>215</v>
      </c>
      <c r="C43">
        <v>-0.01</v>
      </c>
      <c r="D43" s="24">
        <f t="shared" si="0"/>
        <v>-6.578947368421053E-6</v>
      </c>
      <c r="E43" s="50">
        <f t="shared" si="1"/>
        <v>-1.7935991946082648E-12</v>
      </c>
      <c r="F43" s="51"/>
    </row>
    <row r="44" spans="1:6" ht="15.75" customHeight="1" x14ac:dyDescent="0.25">
      <c r="A44" t="s">
        <v>731</v>
      </c>
      <c r="C44">
        <v>28786115.34</v>
      </c>
      <c r="D44" s="24">
        <f t="shared" si="0"/>
        <v>18938.233776315788</v>
      </c>
      <c r="E44" s="50">
        <f t="shared" si="1"/>
        <v>5.1630753289724609E-3</v>
      </c>
      <c r="F44" s="51"/>
    </row>
    <row r="45" spans="1:6" ht="15.75" customHeight="1" x14ac:dyDescent="0.25">
      <c r="A45" t="s">
        <v>217</v>
      </c>
      <c r="C45">
        <v>31011073.120000001</v>
      </c>
      <c r="D45" s="24">
        <f t="shared" si="0"/>
        <v>20402.021789473685</v>
      </c>
      <c r="E45" s="50">
        <f t="shared" si="1"/>
        <v>5.5621435771970006E-3</v>
      </c>
      <c r="F45" s="51"/>
    </row>
    <row r="46" spans="1:6" ht="15.75" customHeight="1" x14ac:dyDescent="0.25">
      <c r="A46" t="s">
        <v>584</v>
      </c>
      <c r="C46">
        <v>3582318.74</v>
      </c>
      <c r="D46" s="24">
        <f t="shared" si="0"/>
        <v>2356.7886447368423</v>
      </c>
      <c r="E46" s="50">
        <f t="shared" si="1"/>
        <v>6.4252440068940939E-4</v>
      </c>
      <c r="F46" s="51"/>
    </row>
    <row r="47" spans="1:6" ht="15.75" customHeight="1" x14ac:dyDescent="0.25">
      <c r="A47" t="s">
        <v>1140</v>
      </c>
      <c r="C47">
        <v>543521.27</v>
      </c>
      <c r="D47" s="24">
        <f t="shared" si="0"/>
        <v>357.57978289473687</v>
      </c>
      <c r="E47" s="50">
        <f t="shared" si="1"/>
        <v>9.7485931212446122E-5</v>
      </c>
      <c r="F47" s="51"/>
    </row>
    <row r="48" spans="1:6" ht="15.75" customHeight="1" x14ac:dyDescent="0.25">
      <c r="A48" t="s">
        <v>1141</v>
      </c>
      <c r="C48">
        <v>1583164</v>
      </c>
      <c r="D48" s="24">
        <f t="shared" si="0"/>
        <v>1041.5552631578948</v>
      </c>
      <c r="E48" s="50">
        <f t="shared" si="1"/>
        <v>2.8395616753327992E-4</v>
      </c>
      <c r="F48" s="51"/>
    </row>
    <row r="49" spans="1:6" ht="15.75" customHeight="1" x14ac:dyDescent="0.25">
      <c r="A49" t="s">
        <v>221</v>
      </c>
      <c r="C49">
        <v>159836.16</v>
      </c>
      <c r="D49" s="24">
        <f t="shared" si="0"/>
        <v>105.15536842105263</v>
      </c>
      <c r="E49" s="50">
        <f t="shared" si="1"/>
        <v>2.8668200784527772E-5</v>
      </c>
      <c r="F49" s="51"/>
    </row>
    <row r="50" spans="1:6" ht="15.75" customHeight="1" x14ac:dyDescent="0.25">
      <c r="A50" t="s">
        <v>223</v>
      </c>
      <c r="C50">
        <v>44138221.890000001</v>
      </c>
      <c r="D50" s="24">
        <f t="shared" si="0"/>
        <v>29038.303875000001</v>
      </c>
      <c r="E50" s="50">
        <f t="shared" si="1"/>
        <v>7.9166279233344877E-3</v>
      </c>
      <c r="F50" s="51"/>
    </row>
    <row r="51" spans="1:6" ht="15.75" customHeight="1" x14ac:dyDescent="0.25">
      <c r="A51" t="s">
        <v>733</v>
      </c>
      <c r="C51">
        <v>1958143</v>
      </c>
      <c r="D51" s="24">
        <f t="shared" si="0"/>
        <v>1288.2519736842105</v>
      </c>
      <c r="E51" s="50">
        <f t="shared" si="1"/>
        <v>3.5121237077278113E-4</v>
      </c>
      <c r="F51" s="51"/>
    </row>
    <row r="52" spans="1:6" ht="15.75" customHeight="1" x14ac:dyDescent="0.25">
      <c r="A52" t="s">
        <v>1142</v>
      </c>
      <c r="C52">
        <v>12511515</v>
      </c>
      <c r="D52" s="24">
        <f t="shared" si="0"/>
        <v>8231.2598684210534</v>
      </c>
      <c r="E52" s="50">
        <f t="shared" si="1"/>
        <v>2.2440643227329225E-3</v>
      </c>
      <c r="F52" s="51"/>
    </row>
    <row r="53" spans="1:6" ht="15.75" customHeight="1" x14ac:dyDescent="0.25">
      <c r="A53" t="s">
        <v>225</v>
      </c>
      <c r="C53">
        <v>222100500</v>
      </c>
      <c r="D53" s="24">
        <f t="shared" si="0"/>
        <v>146118.75</v>
      </c>
      <c r="E53" s="50">
        <f t="shared" si="1"/>
        <v>3.9835927792209291E-2</v>
      </c>
      <c r="F53" s="51"/>
    </row>
    <row r="54" spans="1:6" ht="15.75" customHeight="1" x14ac:dyDescent="0.25">
      <c r="A54" t="s">
        <v>227</v>
      </c>
      <c r="C54">
        <v>189446146.66</v>
      </c>
      <c r="D54" s="24">
        <f t="shared" si="0"/>
        <v>124635.62280263158</v>
      </c>
      <c r="E54" s="50">
        <f t="shared" si="1"/>
        <v>3.3979045607101521E-2</v>
      </c>
      <c r="F54" s="51"/>
    </row>
    <row r="55" spans="1:6" ht="15.75" customHeight="1" x14ac:dyDescent="0.25">
      <c r="A55" t="s">
        <v>227</v>
      </c>
      <c r="C55">
        <v>143663579.03</v>
      </c>
      <c r="D55" s="24">
        <f t="shared" si="0"/>
        <v>94515.512519736847</v>
      </c>
      <c r="E55" s="50">
        <f t="shared" si="1"/>
        <v>2.5767487964274881E-2</v>
      </c>
      <c r="F55" s="51"/>
    </row>
    <row r="56" spans="1:6" ht="15.75" customHeight="1" x14ac:dyDescent="0.25">
      <c r="A56" t="s">
        <v>1294</v>
      </c>
      <c r="C56">
        <v>2834086.2</v>
      </c>
      <c r="D56" s="24">
        <f t="shared" si="0"/>
        <v>1864.5303947368423</v>
      </c>
      <c r="E56" s="50">
        <f t="shared" si="1"/>
        <v>5.0832147257703984E-4</v>
      </c>
      <c r="F56" s="51"/>
    </row>
    <row r="57" spans="1:6" ht="15.75" customHeight="1" x14ac:dyDescent="0.25">
      <c r="A57" t="s">
        <v>233</v>
      </c>
      <c r="C57">
        <v>16778915.920000002</v>
      </c>
      <c r="D57" s="24">
        <f t="shared" si="0"/>
        <v>11038.760473684211</v>
      </c>
      <c r="E57" s="50">
        <f t="shared" si="1"/>
        <v>3.0094650080511793E-3</v>
      </c>
      <c r="F57" s="51"/>
    </row>
    <row r="58" spans="1:6" ht="15.75" customHeight="1" x14ac:dyDescent="0.25">
      <c r="A58" t="s">
        <v>1146</v>
      </c>
      <c r="C58">
        <v>119200</v>
      </c>
      <c r="D58" s="24">
        <f t="shared" si="0"/>
        <v>78.421052631578945</v>
      </c>
      <c r="E58" s="50">
        <f t="shared" si="1"/>
        <v>2.1379702399730515E-5</v>
      </c>
      <c r="F58" s="51"/>
    </row>
    <row r="59" spans="1:6" ht="15.75" customHeight="1" x14ac:dyDescent="0.25">
      <c r="A59" t="s">
        <v>235</v>
      </c>
      <c r="C59">
        <v>-204.43</v>
      </c>
      <c r="D59" s="24">
        <f t="shared" si="0"/>
        <v>-0.1344934210526316</v>
      </c>
      <c r="E59" s="50">
        <f t="shared" si="1"/>
        <v>-3.6666548335376761E-8</v>
      </c>
      <c r="F59" s="51"/>
    </row>
    <row r="60" spans="1:6" ht="15.75" customHeight="1" x14ac:dyDescent="0.25">
      <c r="A60" t="s">
        <v>237</v>
      </c>
      <c r="C60">
        <v>12779933.130000001</v>
      </c>
      <c r="D60" s="24">
        <f t="shared" si="0"/>
        <v>8407.8507434210533</v>
      </c>
      <c r="E60" s="50">
        <f t="shared" si="1"/>
        <v>2.2922077769115482E-3</v>
      </c>
      <c r="F60" s="51"/>
    </row>
    <row r="61" spans="1:6" ht="15.75" customHeight="1" x14ac:dyDescent="0.25">
      <c r="A61" t="s">
        <v>1152</v>
      </c>
      <c r="C61">
        <v>2934008</v>
      </c>
      <c r="D61" s="24">
        <f t="shared" si="0"/>
        <v>1930.2684210526315</v>
      </c>
      <c r="E61" s="50">
        <f t="shared" si="1"/>
        <v>5.262434385774205E-4</v>
      </c>
      <c r="F61" s="51"/>
    </row>
    <row r="62" spans="1:6" ht="15.75" customHeight="1" x14ac:dyDescent="0.25">
      <c r="A62" t="s">
        <v>241</v>
      </c>
      <c r="C62">
        <v>17117046.170000002</v>
      </c>
      <c r="D62" s="24">
        <f t="shared" si="0"/>
        <v>11261.214585526317</v>
      </c>
      <c r="E62" s="50">
        <f t="shared" si="1"/>
        <v>3.0701120224584486E-3</v>
      </c>
      <c r="F62" s="51"/>
    </row>
    <row r="63" spans="1:6" ht="15.75" customHeight="1" x14ac:dyDescent="0.25">
      <c r="A63" t="s">
        <v>243</v>
      </c>
      <c r="C63">
        <v>4791608.63</v>
      </c>
      <c r="D63" s="24">
        <f t="shared" si="0"/>
        <v>3152.3740986842104</v>
      </c>
      <c r="E63" s="50">
        <f t="shared" si="1"/>
        <v>8.5942253796460102E-4</v>
      </c>
      <c r="F63" s="51"/>
    </row>
    <row r="64" spans="1:6" ht="15.75" customHeight="1" x14ac:dyDescent="0.25">
      <c r="A64" t="s">
        <v>245</v>
      </c>
      <c r="C64">
        <v>1021026.21</v>
      </c>
      <c r="D64" s="24">
        <f t="shared" si="0"/>
        <v>671.72776973684211</v>
      </c>
      <c r="E64" s="50">
        <f t="shared" si="1"/>
        <v>1.8313117879299289E-4</v>
      </c>
      <c r="F64" s="51"/>
    </row>
    <row r="65" spans="1:6" ht="15.75" customHeight="1" x14ac:dyDescent="0.25">
      <c r="A65" t="s">
        <v>247</v>
      </c>
      <c r="C65">
        <v>2581718.9900000002</v>
      </c>
      <c r="D65" s="24">
        <f t="shared" si="0"/>
        <v>1698.4993355263159</v>
      </c>
      <c r="E65" s="50">
        <f t="shared" si="1"/>
        <v>4.6305691011688631E-4</v>
      </c>
      <c r="F65" s="51"/>
    </row>
    <row r="66" spans="1:6" ht="15.75" customHeight="1" x14ac:dyDescent="0.25">
      <c r="A66" t="s">
        <v>249</v>
      </c>
      <c r="C66">
        <v>360247.07</v>
      </c>
      <c r="D66" s="24">
        <f t="shared" si="0"/>
        <v>237.00465131578949</v>
      </c>
      <c r="E66" s="50">
        <f t="shared" si="1"/>
        <v>6.461388546119872E-5</v>
      </c>
      <c r="F66" s="51"/>
    </row>
    <row r="67" spans="1:6" ht="15.75" customHeight="1" x14ac:dyDescent="0.25">
      <c r="A67" t="s">
        <v>933</v>
      </c>
      <c r="C67">
        <v>2732223</v>
      </c>
      <c r="D67" s="24">
        <f t="shared" si="0"/>
        <v>1797.5151315789474</v>
      </c>
      <c r="E67" s="50">
        <f t="shared" si="1"/>
        <v>4.9005129722901769E-4</v>
      </c>
      <c r="F67" s="51"/>
    </row>
    <row r="68" spans="1:6" ht="15.75" customHeight="1" x14ac:dyDescent="0.25">
      <c r="A68" t="s">
        <v>614</v>
      </c>
      <c r="C68">
        <v>4107200</v>
      </c>
      <c r="D68" s="24">
        <f t="shared" si="0"/>
        <v>2702.1052631578946</v>
      </c>
      <c r="E68" s="50">
        <f t="shared" si="1"/>
        <v>7.3666706120950642E-4</v>
      </c>
      <c r="F68" s="51"/>
    </row>
    <row r="69" spans="1:6" ht="15.75" customHeight="1" x14ac:dyDescent="0.25">
      <c r="A69" t="s">
        <v>251</v>
      </c>
      <c r="C69">
        <v>25105575.25</v>
      </c>
      <c r="D69" s="24">
        <f t="shared" si="0"/>
        <v>16516.825822368421</v>
      </c>
      <c r="E69" s="50">
        <f t="shared" si="1"/>
        <v>4.5029339548577187E-3</v>
      </c>
      <c r="F69" s="51"/>
    </row>
    <row r="70" spans="1:6" ht="15.75" customHeight="1" x14ac:dyDescent="0.25">
      <c r="A70" t="s">
        <v>253</v>
      </c>
      <c r="C70">
        <v>210000</v>
      </c>
      <c r="D70" s="24">
        <f t="shared" si="0"/>
        <v>138.15789473684211</v>
      </c>
      <c r="E70" s="50">
        <f t="shared" si="1"/>
        <v>3.7665583086773559E-5</v>
      </c>
      <c r="F70" s="51"/>
    </row>
    <row r="71" spans="1:6" ht="15.75" customHeight="1" x14ac:dyDescent="0.25">
      <c r="A71" t="s">
        <v>739</v>
      </c>
      <c r="C71">
        <v>207018.74</v>
      </c>
      <c r="D71" s="24">
        <f t="shared" si="0"/>
        <v>136.1965394736842</v>
      </c>
      <c r="E71" s="50">
        <f t="shared" si="1"/>
        <v>3.7130864533281775E-5</v>
      </c>
      <c r="F71" s="51"/>
    </row>
    <row r="72" spans="1:6" ht="15.75" customHeight="1" x14ac:dyDescent="0.25">
      <c r="A72" t="s">
        <v>257</v>
      </c>
      <c r="C72">
        <v>12820313</v>
      </c>
      <c r="D72" s="24">
        <f t="shared" si="0"/>
        <v>8434.4164473684214</v>
      </c>
      <c r="E72" s="50">
        <f t="shared" si="1"/>
        <v>2.2994503071425867E-3</v>
      </c>
      <c r="F72" s="51"/>
    </row>
    <row r="73" spans="1:6" ht="15.75" customHeight="1" x14ac:dyDescent="0.25">
      <c r="A73" t="s">
        <v>1295</v>
      </c>
      <c r="C73">
        <v>250148.93</v>
      </c>
      <c r="D73" s="24">
        <f t="shared" si="0"/>
        <v>164.57166447368419</v>
      </c>
      <c r="E73" s="50">
        <f t="shared" si="1"/>
        <v>4.4866691938011913E-5</v>
      </c>
      <c r="F73" s="51"/>
    </row>
    <row r="74" spans="1:6" ht="15.75" customHeight="1" x14ac:dyDescent="0.25">
      <c r="A74" t="s">
        <v>1296</v>
      </c>
      <c r="C74">
        <v>375604.61</v>
      </c>
      <c r="D74" s="24">
        <f t="shared" si="0"/>
        <v>247.10829605263157</v>
      </c>
      <c r="E74" s="50">
        <f t="shared" si="1"/>
        <v>6.7368412598715132E-5</v>
      </c>
      <c r="F74" s="51"/>
    </row>
    <row r="75" spans="1:6" ht="15.75" customHeight="1" x14ac:dyDescent="0.25">
      <c r="A75" t="s">
        <v>259</v>
      </c>
      <c r="C75">
        <v>2090000</v>
      </c>
      <c r="D75" s="24">
        <f t="shared" si="0"/>
        <v>1375</v>
      </c>
      <c r="E75" s="50">
        <f t="shared" si="1"/>
        <v>3.748622316731273E-4</v>
      </c>
      <c r="F75" s="51"/>
    </row>
    <row r="76" spans="1:6" ht="15.75" customHeight="1" x14ac:dyDescent="0.25">
      <c r="A76" t="s">
        <v>261</v>
      </c>
      <c r="C76">
        <v>27286003.359999999</v>
      </c>
      <c r="D76" s="24">
        <f t="shared" si="0"/>
        <v>17951.317999999999</v>
      </c>
      <c r="E76" s="50">
        <f t="shared" si="1"/>
        <v>4.8940153650574407E-3</v>
      </c>
      <c r="F76" s="51"/>
    </row>
    <row r="77" spans="1:6" ht="15.75" customHeight="1" x14ac:dyDescent="0.25">
      <c r="A77" t="s">
        <v>263</v>
      </c>
      <c r="C77">
        <v>18287990.16</v>
      </c>
      <c r="D77" s="24">
        <f t="shared" si="0"/>
        <v>12031.572473684211</v>
      </c>
      <c r="E77" s="50">
        <f t="shared" si="1"/>
        <v>3.2801324421979873E-3</v>
      </c>
      <c r="F77" s="51"/>
    </row>
    <row r="78" spans="1:6" ht="15.75" customHeight="1" x14ac:dyDescent="0.25">
      <c r="A78" t="s">
        <v>265</v>
      </c>
      <c r="C78">
        <v>42461781.420000002</v>
      </c>
      <c r="D78" s="24">
        <f t="shared" si="0"/>
        <v>27935.382513157896</v>
      </c>
      <c r="E78" s="50">
        <f t="shared" si="1"/>
        <v>7.615941695654418E-3</v>
      </c>
      <c r="F78" s="51"/>
    </row>
    <row r="79" spans="1:6" ht="15.75" customHeight="1" x14ac:dyDescent="0.25">
      <c r="A79" t="s">
        <v>267</v>
      </c>
      <c r="C79">
        <v>994854.03</v>
      </c>
      <c r="D79" s="24">
        <f t="shared" si="0"/>
        <v>654.50923026315786</v>
      </c>
      <c r="E79" s="50">
        <f t="shared" si="1"/>
        <v>1.7843693869607863E-4</v>
      </c>
      <c r="F79" s="51"/>
    </row>
    <row r="80" spans="1:6" ht="15.75" customHeight="1" x14ac:dyDescent="0.25">
      <c r="A80" t="s">
        <v>1160</v>
      </c>
      <c r="C80">
        <v>459800</v>
      </c>
      <c r="D80" s="24">
        <f t="shared" si="0"/>
        <v>302.5</v>
      </c>
      <c r="E80" s="50">
        <f t="shared" si="1"/>
        <v>8.2469690968088016E-5</v>
      </c>
      <c r="F80" s="51"/>
    </row>
    <row r="81" spans="1:6" ht="15.75" customHeight="1" x14ac:dyDescent="0.25">
      <c r="A81" t="s">
        <v>271</v>
      </c>
      <c r="C81">
        <v>290181.01</v>
      </c>
      <c r="D81" s="24">
        <f t="shared" si="0"/>
        <v>190.90855921052633</v>
      </c>
      <c r="E81" s="50">
        <f t="shared" si="1"/>
        <v>5.2046842582661285E-5</v>
      </c>
      <c r="F81" s="51"/>
    </row>
    <row r="82" spans="1:6" ht="15.75" customHeight="1" x14ac:dyDescent="0.25">
      <c r="A82" t="s">
        <v>275</v>
      </c>
      <c r="C82">
        <v>2579151.42</v>
      </c>
      <c r="D82" s="24">
        <f t="shared" si="0"/>
        <v>1696.8101447368419</v>
      </c>
      <c r="E82" s="50">
        <f t="shared" si="1"/>
        <v>4.625963909684762E-4</v>
      </c>
      <c r="F82" s="51"/>
    </row>
    <row r="83" spans="1:6" ht="15.75" customHeight="1" x14ac:dyDescent="0.25">
      <c r="A83" t="s">
        <v>277</v>
      </c>
      <c r="C83">
        <v>135579466.06</v>
      </c>
      <c r="D83" s="24">
        <f t="shared" si="0"/>
        <v>89197.017144736848</v>
      </c>
      <c r="E83" s="50">
        <f t="shared" ref="E83:E90" si="2">+D83/$D$268</f>
        <v>2.4317522113063459E-2</v>
      </c>
      <c r="F83" s="51"/>
    </row>
    <row r="84" spans="1:6" ht="15.75" customHeight="1" x14ac:dyDescent="0.25">
      <c r="A84" t="s">
        <v>743</v>
      </c>
      <c r="C84">
        <v>156668.35999999999</v>
      </c>
      <c r="D84" s="24">
        <f t="shared" si="0"/>
        <v>103.0712894736842</v>
      </c>
      <c r="E84" s="50">
        <f t="shared" si="2"/>
        <v>2.8100024431659765E-5</v>
      </c>
      <c r="F84" s="51"/>
    </row>
    <row r="85" spans="1:6" ht="15.75" customHeight="1" x14ac:dyDescent="0.25">
      <c r="A85" t="s">
        <v>281</v>
      </c>
      <c r="C85">
        <v>1560000</v>
      </c>
      <c r="D85" s="24">
        <f t="shared" si="0"/>
        <v>1026.3157894736842</v>
      </c>
      <c r="E85" s="50">
        <f t="shared" si="2"/>
        <v>2.7980147435888929E-4</v>
      </c>
      <c r="F85" s="51"/>
    </row>
    <row r="86" spans="1:6" ht="15.75" customHeight="1" x14ac:dyDescent="0.25">
      <c r="A86" t="s">
        <v>283</v>
      </c>
      <c r="C86">
        <v>250000</v>
      </c>
      <c r="D86" s="24">
        <f t="shared" si="0"/>
        <v>164.47368421052633</v>
      </c>
      <c r="E86" s="50">
        <f t="shared" si="2"/>
        <v>4.4839979865206622E-5</v>
      </c>
      <c r="F86" s="51"/>
    </row>
    <row r="87" spans="1:6" ht="15.75" customHeight="1" x14ac:dyDescent="0.25">
      <c r="A87" t="s">
        <v>287</v>
      </c>
      <c r="C87">
        <v>8467882.5</v>
      </c>
      <c r="D87" s="24">
        <f t="shared" si="0"/>
        <v>5570.9753289473683</v>
      </c>
      <c r="E87" s="50">
        <f t="shared" si="2"/>
        <v>1.5187987232037419E-3</v>
      </c>
      <c r="F87" s="51"/>
    </row>
    <row r="88" spans="1:6" ht="15.75" customHeight="1" x14ac:dyDescent="0.25">
      <c r="A88" t="s">
        <v>291</v>
      </c>
      <c r="C88">
        <v>203054.78</v>
      </c>
      <c r="D88" s="24">
        <f t="shared" si="0"/>
        <v>133.58867105263158</v>
      </c>
      <c r="E88" s="50">
        <f t="shared" si="2"/>
        <v>3.6419888986935842E-5</v>
      </c>
      <c r="F88" s="51"/>
    </row>
    <row r="89" spans="1:6" ht="15.75" customHeight="1" x14ac:dyDescent="0.25">
      <c r="A89" t="s">
        <v>747</v>
      </c>
      <c r="C89">
        <v>863907.66</v>
      </c>
      <c r="D89" s="24">
        <f t="shared" si="0"/>
        <v>568.36030263157897</v>
      </c>
      <c r="E89" s="50">
        <f t="shared" si="2"/>
        <v>1.5495040831919107E-4</v>
      </c>
      <c r="F89" s="51"/>
    </row>
    <row r="90" spans="1:6" ht="15.75" customHeight="1" x14ac:dyDescent="0.25">
      <c r="A90" t="s">
        <v>293</v>
      </c>
      <c r="C90">
        <v>3296403</v>
      </c>
      <c r="D90" s="24">
        <f t="shared" si="0"/>
        <v>2168.6861842105263</v>
      </c>
      <c r="E90" s="50">
        <f t="shared" si="2"/>
        <v>5.9124257659042673E-4</v>
      </c>
      <c r="F90" s="51"/>
    </row>
    <row r="91" spans="1:6" ht="15.75" customHeight="1" x14ac:dyDescent="0.25">
      <c r="A91" t="s">
        <v>295</v>
      </c>
      <c r="C91">
        <v>90174669.209999993</v>
      </c>
      <c r="D91" s="24">
        <f t="shared" si="0"/>
        <v>59325.440269736835</v>
      </c>
      <c r="E91" s="50">
        <f>+D91/$D$268</f>
        <v>1.6173721406912266E-2</v>
      </c>
      <c r="F91" s="51"/>
    </row>
    <row r="92" spans="1:6" ht="15.75" customHeight="1" x14ac:dyDescent="0.25">
      <c r="A92" t="s">
        <v>297</v>
      </c>
      <c r="C92">
        <v>3167673.52</v>
      </c>
      <c r="D92" s="24">
        <f t="shared" si="0"/>
        <v>2083.9957368421051</v>
      </c>
      <c r="E92" s="50">
        <f>+D92/$D$268</f>
        <v>5.6815366742539268E-4</v>
      </c>
      <c r="F92" s="51"/>
    </row>
    <row r="93" spans="1:6" ht="15.75" customHeight="1" x14ac:dyDescent="0.25">
      <c r="A93" t="s">
        <v>301</v>
      </c>
      <c r="C93">
        <v>40367.35</v>
      </c>
      <c r="D93" s="24">
        <f t="shared" si="0"/>
        <v>26.557467105263157</v>
      </c>
      <c r="E93" s="50">
        <f>+D93/$D$268</f>
        <v>7.2402846448469937E-6</v>
      </c>
      <c r="F93" s="51"/>
    </row>
    <row r="94" spans="1:6" ht="15.75" customHeight="1" x14ac:dyDescent="0.25">
      <c r="A94" t="s">
        <v>1164</v>
      </c>
      <c r="C94">
        <v>-34358145.119999997</v>
      </c>
      <c r="D94" s="24">
        <f t="shared" si="0"/>
        <v>-22604.04284210526</v>
      </c>
      <c r="E94" s="50">
        <f>+D94/$D$268</f>
        <v>-6.1624741415465872E-3</v>
      </c>
      <c r="F94" s="51"/>
    </row>
    <row r="95" spans="1:6" ht="15.75" customHeight="1" x14ac:dyDescent="0.25">
      <c r="A95" t="s">
        <v>303</v>
      </c>
      <c r="C95">
        <v>4078750</v>
      </c>
      <c r="D95" s="24">
        <f t="shared" si="0"/>
        <v>2683.3881578947367</v>
      </c>
      <c r="E95" s="50">
        <f>+D95/$D$268</f>
        <v>7.3156427150084587E-4</v>
      </c>
      <c r="F95" s="51"/>
    </row>
    <row r="96" spans="1:6" ht="15.75" customHeight="1" x14ac:dyDescent="0.25">
      <c r="A96" t="s">
        <v>1297</v>
      </c>
      <c r="C96">
        <v>240000</v>
      </c>
      <c r="D96" s="24">
        <f t="shared" si="0"/>
        <v>157.89473684210526</v>
      </c>
      <c r="E96" s="50">
        <f>+D96/$D$268</f>
        <v>4.304638067059835E-5</v>
      </c>
      <c r="F96" s="51"/>
    </row>
    <row r="97" spans="1:6" ht="15.75" customHeight="1" x14ac:dyDescent="0.25">
      <c r="A97" t="s">
        <v>307</v>
      </c>
      <c r="C97">
        <v>-387219.15</v>
      </c>
      <c r="D97" s="24">
        <f t="shared" si="0"/>
        <v>-254.74944078947371</v>
      </c>
      <c r="E97" s="50">
        <f>+D97/$D$268</f>
        <v>-6.9451595557689695E-5</v>
      </c>
      <c r="F97" s="51"/>
    </row>
    <row r="98" spans="1:6" ht="15.75" customHeight="1" x14ac:dyDescent="0.25">
      <c r="A98" t="s">
        <v>309</v>
      </c>
      <c r="C98">
        <v>3453147.61</v>
      </c>
      <c r="D98" s="24">
        <f t="shared" si="0"/>
        <v>2271.8076381578949</v>
      </c>
      <c r="E98" s="50">
        <f>+D98/$D$268</f>
        <v>6.1935627721594545E-4</v>
      </c>
      <c r="F98" s="51"/>
    </row>
    <row r="99" spans="1:6" ht="15.75" customHeight="1" x14ac:dyDescent="0.25">
      <c r="A99" t="s">
        <v>311</v>
      </c>
      <c r="C99">
        <v>1016400</v>
      </c>
      <c r="D99" s="24">
        <f t="shared" si="0"/>
        <v>668.68421052631584</v>
      </c>
      <c r="E99" s="50">
        <f>+D99/$D$268</f>
        <v>1.8230142213998405E-4</v>
      </c>
      <c r="F99" s="51"/>
    </row>
    <row r="100" spans="1:6" ht="15.75" customHeight="1" x14ac:dyDescent="0.25">
      <c r="A100" t="s">
        <v>937</v>
      </c>
      <c r="C100">
        <v>11556066.609999999</v>
      </c>
      <c r="D100" s="24">
        <f t="shared" si="0"/>
        <v>7602.6754013157888</v>
      </c>
      <c r="E100" s="50">
        <f>+D100/$D$268</f>
        <v>2.0726951764535456E-3</v>
      </c>
      <c r="F100" s="51"/>
    </row>
    <row r="101" spans="1:6" ht="15.75" customHeight="1" x14ac:dyDescent="0.25">
      <c r="A101" t="s">
        <v>1170</v>
      </c>
      <c r="C101">
        <v>53845</v>
      </c>
      <c r="D101" s="24">
        <f t="shared" si="0"/>
        <v>35.424342105263158</v>
      </c>
      <c r="E101" s="50">
        <f>+D101/$D$268</f>
        <v>9.6576348633682014E-6</v>
      </c>
      <c r="F101" s="51"/>
    </row>
    <row r="102" spans="1:6" ht="15.75" customHeight="1" x14ac:dyDescent="0.25">
      <c r="A102" t="s">
        <v>313</v>
      </c>
      <c r="C102">
        <v>1952725.33</v>
      </c>
      <c r="D102" s="24">
        <f t="shared" si="0"/>
        <v>1284.6877171052631</v>
      </c>
      <c r="E102" s="50">
        <f>+D102/$D$268</f>
        <v>3.5024065791791577E-4</v>
      </c>
      <c r="F102" s="51"/>
    </row>
    <row r="103" spans="1:6" ht="15.75" customHeight="1" x14ac:dyDescent="0.25">
      <c r="A103" t="s">
        <v>938</v>
      </c>
      <c r="C103">
        <v>955799.95</v>
      </c>
      <c r="D103" s="24">
        <f t="shared" si="0"/>
        <v>628.81575657894734</v>
      </c>
      <c r="E103" s="50">
        <f>+D103/$D$268</f>
        <v>1.7143220205266196E-4</v>
      </c>
      <c r="F103" s="51"/>
    </row>
    <row r="104" spans="1:6" ht="15.75" customHeight="1" x14ac:dyDescent="0.25">
      <c r="A104" t="s">
        <v>813</v>
      </c>
      <c r="C104">
        <v>1766503.2</v>
      </c>
      <c r="D104" s="24">
        <f t="shared" si="0"/>
        <v>1162.1731578947367</v>
      </c>
      <c r="E104" s="50">
        <f>+D104/$D$268</f>
        <v>3.1683987167929219E-4</v>
      </c>
      <c r="F104" s="51"/>
    </row>
    <row r="105" spans="1:6" ht="15.75" customHeight="1" x14ac:dyDescent="0.25">
      <c r="A105" t="s">
        <v>502</v>
      </c>
      <c r="C105">
        <v>1820000</v>
      </c>
      <c r="D105" s="24">
        <f t="shared" si="0"/>
        <v>1197.3684210526317</v>
      </c>
      <c r="E105" s="50">
        <f>+D105/$D$268</f>
        <v>3.2643505341870422E-4</v>
      </c>
      <c r="F105" s="51"/>
    </row>
    <row r="106" spans="1:6" ht="15.75" customHeight="1" x14ac:dyDescent="0.25">
      <c r="A106" t="s">
        <v>315</v>
      </c>
      <c r="C106">
        <v>763000</v>
      </c>
      <c r="D106" s="24">
        <f t="shared" si="0"/>
        <v>501.9736842105263</v>
      </c>
      <c r="E106" s="50">
        <f>+D106/$D$268</f>
        <v>1.3685161854861059E-4</v>
      </c>
      <c r="F106" s="51"/>
    </row>
    <row r="107" spans="1:6" ht="15.75" customHeight="1" x14ac:dyDescent="0.25">
      <c r="A107" t="s">
        <v>1172</v>
      </c>
      <c r="C107">
        <v>664878.84</v>
      </c>
      <c r="D107" s="24">
        <f t="shared" si="0"/>
        <v>437.42028947368419</v>
      </c>
      <c r="E107" s="50">
        <f>+D107/$D$268</f>
        <v>1.1925261519360773E-4</v>
      </c>
      <c r="F107" s="51"/>
    </row>
    <row r="108" spans="1:6" ht="15.75" customHeight="1" x14ac:dyDescent="0.25">
      <c r="A108" t="s">
        <v>1298</v>
      </c>
      <c r="C108">
        <v>592900</v>
      </c>
      <c r="D108" s="24">
        <f t="shared" si="0"/>
        <v>390.06578947368422</v>
      </c>
      <c r="E108" s="50">
        <f>+D108/$D$268</f>
        <v>1.0634249624832402E-4</v>
      </c>
      <c r="F108" s="51"/>
    </row>
    <row r="109" spans="1:6" ht="15.75" customHeight="1" x14ac:dyDescent="0.25">
      <c r="A109" t="s">
        <v>317</v>
      </c>
      <c r="C109">
        <v>341629.6</v>
      </c>
      <c r="D109" s="24">
        <f t="shared" si="0"/>
        <v>224.75631578947366</v>
      </c>
      <c r="E109" s="50">
        <f>+D109/$D$268</f>
        <v>6.1274657541434357E-5</v>
      </c>
      <c r="F109" s="51"/>
    </row>
    <row r="110" spans="1:6" ht="15.75" customHeight="1" x14ac:dyDescent="0.25">
      <c r="A110" t="s">
        <v>319</v>
      </c>
      <c r="C110">
        <v>5187032.34</v>
      </c>
      <c r="D110" s="24">
        <f t="shared" si="0"/>
        <v>3412.5212763157892</v>
      </c>
      <c r="E110" s="50">
        <f>+D110/$D$268</f>
        <v>9.3034570274310216E-4</v>
      </c>
      <c r="F110" s="51"/>
    </row>
    <row r="111" spans="1:6" ht="15.75" customHeight="1" x14ac:dyDescent="0.25">
      <c r="A111" t="s">
        <v>751</v>
      </c>
      <c r="C111">
        <v>73217916.890000001</v>
      </c>
      <c r="D111" s="24">
        <f t="shared" si="0"/>
        <v>48169.682164473685</v>
      </c>
      <c r="E111" s="50">
        <f>+D111/$D$268</f>
        <v>1.3132359676479886E-2</v>
      </c>
      <c r="F111" s="51"/>
    </row>
    <row r="112" spans="1:6" ht="15.75" customHeight="1" x14ac:dyDescent="0.25">
      <c r="A112" t="s">
        <v>1176</v>
      </c>
      <c r="C112">
        <v>581506.67000000004</v>
      </c>
      <c r="D112" s="24">
        <f t="shared" si="0"/>
        <v>382.57017763157899</v>
      </c>
      <c r="E112" s="50">
        <f>+D112/$D$268</f>
        <v>1.0429898949713341E-4</v>
      </c>
      <c r="F112" s="51"/>
    </row>
    <row r="113" spans="1:6" ht="15.75" customHeight="1" x14ac:dyDescent="0.25">
      <c r="A113" t="s">
        <v>1035</v>
      </c>
      <c r="C113">
        <v>300330.5</v>
      </c>
      <c r="D113" s="24">
        <f t="shared" si="0"/>
        <v>197.5858552631579</v>
      </c>
      <c r="E113" s="50">
        <f>+D113/$D$268</f>
        <v>5.3867254291629743E-5</v>
      </c>
      <c r="F113" s="51"/>
    </row>
    <row r="114" spans="1:6" ht="15.75" customHeight="1" x14ac:dyDescent="0.25">
      <c r="A114" t="s">
        <v>1008</v>
      </c>
      <c r="C114">
        <v>8330764.04</v>
      </c>
      <c r="D114" s="24">
        <f t="shared" si="0"/>
        <v>5480.7658157894739</v>
      </c>
      <c r="E114" s="50">
        <f>+D114/$D$268</f>
        <v>1.4942051672615494E-3</v>
      </c>
      <c r="F114" s="51"/>
    </row>
    <row r="115" spans="1:6" ht="15.75" customHeight="1" x14ac:dyDescent="0.25">
      <c r="A115" t="s">
        <v>504</v>
      </c>
      <c r="C115">
        <v>1625181.25</v>
      </c>
      <c r="D115" s="24">
        <f t="shared" si="0"/>
        <v>1069.1981907894738</v>
      </c>
      <c r="E115" s="50">
        <f>+D115/$D$268</f>
        <v>2.9149237810924532E-4</v>
      </c>
      <c r="F115" s="51"/>
    </row>
    <row r="116" spans="1:6" ht="15.75" customHeight="1" x14ac:dyDescent="0.25">
      <c r="A116" t="s">
        <v>321</v>
      </c>
      <c r="C116">
        <v>4787946.6399999997</v>
      </c>
      <c r="D116" s="24">
        <f t="shared" si="0"/>
        <v>3149.9648947368419</v>
      </c>
      <c r="E116" s="50">
        <f>+D116/$D$268</f>
        <v>8.5876572373313467E-4</v>
      </c>
      <c r="F116" s="51"/>
    </row>
    <row r="117" spans="1:6" ht="15.75" customHeight="1" x14ac:dyDescent="0.25">
      <c r="A117" t="s">
        <v>940</v>
      </c>
      <c r="C117">
        <v>4819000</v>
      </c>
      <c r="D117" s="24">
        <f t="shared" si="0"/>
        <v>3170.3947368421054</v>
      </c>
      <c r="E117" s="50">
        <f>+D117/$D$268</f>
        <v>8.6433545188172283E-4</v>
      </c>
      <c r="F117" s="51"/>
    </row>
    <row r="118" spans="1:6" ht="15.75" customHeight="1" x14ac:dyDescent="0.25">
      <c r="A118" t="s">
        <v>1180</v>
      </c>
      <c r="C118">
        <v>253961.14</v>
      </c>
      <c r="D118" s="24">
        <f t="shared" si="0"/>
        <v>167.07969736842105</v>
      </c>
      <c r="E118" s="50">
        <f>+D118/$D$268</f>
        <v>4.5550449616579674E-5</v>
      </c>
      <c r="F118" s="51"/>
    </row>
    <row r="119" spans="1:6" ht="15.75" customHeight="1" x14ac:dyDescent="0.25">
      <c r="A119" t="s">
        <v>323</v>
      </c>
      <c r="C119">
        <v>1813536.45</v>
      </c>
      <c r="D119" s="24">
        <f t="shared" si="0"/>
        <v>1193.1160855263158</v>
      </c>
      <c r="E119" s="50">
        <f>+D119/$D$268</f>
        <v>3.2527575161127314E-4</v>
      </c>
      <c r="F119" s="51"/>
    </row>
    <row r="120" spans="1:6" ht="15.75" customHeight="1" x14ac:dyDescent="0.25">
      <c r="A120" t="s">
        <v>327</v>
      </c>
      <c r="C120">
        <v>11084956.4</v>
      </c>
      <c r="D120" s="24">
        <f t="shared" si="0"/>
        <v>7292.7344736842106</v>
      </c>
      <c r="E120" s="50">
        <f>+D120/$D$268</f>
        <v>1.9881968871307732E-3</v>
      </c>
      <c r="F120" s="51"/>
    </row>
    <row r="121" spans="1:6" ht="15.75" customHeight="1" x14ac:dyDescent="0.25">
      <c r="A121" t="s">
        <v>1010</v>
      </c>
      <c r="C121">
        <v>2615148.7999999998</v>
      </c>
      <c r="D121" s="24">
        <f t="shared" si="0"/>
        <v>1720.4926315789473</v>
      </c>
      <c r="E121" s="50">
        <f>+D121/$D$268</f>
        <v>4.6905287814607698E-4</v>
      </c>
      <c r="F121" s="51"/>
    </row>
    <row r="122" spans="1:6" ht="15.75" customHeight="1" x14ac:dyDescent="0.25">
      <c r="A122" t="s">
        <v>1186</v>
      </c>
      <c r="C122">
        <v>16397920</v>
      </c>
      <c r="D122" s="24">
        <f t="shared" si="0"/>
        <v>10788.105263157895</v>
      </c>
      <c r="E122" s="50">
        <f>+D122/$D$268</f>
        <v>2.9411296105250756E-3</v>
      </c>
      <c r="F122" s="51"/>
    </row>
    <row r="123" spans="1:6" ht="15.75" customHeight="1" x14ac:dyDescent="0.25">
      <c r="A123" t="s">
        <v>331</v>
      </c>
      <c r="C123">
        <v>133048344.48999999</v>
      </c>
      <c r="D123" s="24">
        <f t="shared" si="0"/>
        <v>87531.805585526308</v>
      </c>
      <c r="E123" s="50">
        <f>+D123/$D$268</f>
        <v>2.3863540352122695E-2</v>
      </c>
      <c r="F123" s="51"/>
    </row>
    <row r="124" spans="1:6" ht="15.75" customHeight="1" x14ac:dyDescent="0.25">
      <c r="A124" t="s">
        <v>876</v>
      </c>
      <c r="C124">
        <v>1766468.25</v>
      </c>
      <c r="D124" s="24">
        <f t="shared" si="0"/>
        <v>1162.1501644736843</v>
      </c>
      <c r="E124" s="50">
        <f>+D124/$D$268</f>
        <v>3.1683360305010712E-4</v>
      </c>
      <c r="F124" s="51"/>
    </row>
    <row r="125" spans="1:6" ht="15.75" customHeight="1" x14ac:dyDescent="0.25">
      <c r="A125" t="s">
        <v>1299</v>
      </c>
      <c r="C125">
        <v>2341543.5</v>
      </c>
      <c r="D125" s="24">
        <f t="shared" si="0"/>
        <v>1540.489144736842</v>
      </c>
      <c r="E125" s="50">
        <f>+D125/$D$268</f>
        <v>4.199790535740217E-4</v>
      </c>
      <c r="F125" s="51"/>
    </row>
    <row r="126" spans="1:6" ht="15.75" customHeight="1" x14ac:dyDescent="0.25">
      <c r="A126" t="s">
        <v>333</v>
      </c>
      <c r="C126">
        <v>5896891</v>
      </c>
      <c r="D126" s="24">
        <f t="shared" ref="D126:D187" si="3">+C126/$D$3</f>
        <v>3879.5335526315789</v>
      </c>
      <c r="E126" s="50">
        <f>+D126/$D$268</f>
        <v>1.0576658948292725E-3</v>
      </c>
      <c r="F126" s="51"/>
    </row>
    <row r="127" spans="1:6" ht="15.75" customHeight="1" x14ac:dyDescent="0.25">
      <c r="A127" t="s">
        <v>335</v>
      </c>
      <c r="C127">
        <v>637363.03</v>
      </c>
      <c r="D127" s="24">
        <f t="shared" si="3"/>
        <v>419.31778289473687</v>
      </c>
      <c r="E127" s="50">
        <f>+D127/$D$268</f>
        <v>1.1431738172810833E-4</v>
      </c>
      <c r="F127" s="51"/>
    </row>
    <row r="128" spans="1:6" ht="15.75" customHeight="1" x14ac:dyDescent="0.25">
      <c r="A128" t="s">
        <v>753</v>
      </c>
      <c r="C128">
        <v>50703398</v>
      </c>
      <c r="D128" s="24">
        <f t="shared" si="3"/>
        <v>33357.498684210528</v>
      </c>
      <c r="E128" s="50">
        <f>+D128/$D$268</f>
        <v>9.0941573816702304E-3</v>
      </c>
      <c r="F128" s="51"/>
    </row>
    <row r="129" spans="1:6" ht="15.75" customHeight="1" x14ac:dyDescent="0.25">
      <c r="A129" t="s">
        <v>755</v>
      </c>
      <c r="C129">
        <v>289395.7</v>
      </c>
      <c r="D129" s="24">
        <f t="shared" si="3"/>
        <v>190.39190789473685</v>
      </c>
      <c r="E129" s="50">
        <f>+D129/$D$268</f>
        <v>5.1905989444309503E-5</v>
      </c>
      <c r="F129" s="51"/>
    </row>
    <row r="130" spans="1:6" ht="15.75" customHeight="1" x14ac:dyDescent="0.25">
      <c r="A130" t="s">
        <v>337</v>
      </c>
      <c r="C130">
        <v>380419.99</v>
      </c>
      <c r="D130" s="24">
        <f t="shared" si="3"/>
        <v>250.27630921052631</v>
      </c>
      <c r="E130" s="50">
        <f>+D130/$D$268</f>
        <v>6.8232098767688411E-5</v>
      </c>
      <c r="F130" s="51"/>
    </row>
    <row r="131" spans="1:6" ht="15.75" customHeight="1" x14ac:dyDescent="0.25">
      <c r="A131" t="s">
        <v>339</v>
      </c>
      <c r="C131">
        <v>73900423.969999999</v>
      </c>
      <c r="D131" s="24">
        <f t="shared" si="3"/>
        <v>48618.699980263154</v>
      </c>
      <c r="E131" s="50">
        <f>+D131/$D$268</f>
        <v>1.325477409138013E-2</v>
      </c>
      <c r="F131" s="51"/>
    </row>
    <row r="132" spans="1:6" ht="15.75" customHeight="1" x14ac:dyDescent="0.25">
      <c r="A132" t="s">
        <v>971</v>
      </c>
      <c r="C132">
        <v>1325684.3500000001</v>
      </c>
      <c r="D132" s="24">
        <f t="shared" si="3"/>
        <v>872.16075657894748</v>
      </c>
      <c r="E132" s="50">
        <f>+D132/$D$268</f>
        <v>2.3777463824647813E-4</v>
      </c>
      <c r="F132" s="51"/>
    </row>
    <row r="133" spans="1:6" ht="15.75" customHeight="1" x14ac:dyDescent="0.25">
      <c r="A133" t="s">
        <v>341</v>
      </c>
      <c r="C133">
        <v>3772614.65</v>
      </c>
      <c r="D133" s="24">
        <f t="shared" si="3"/>
        <v>2481.9833223684209</v>
      </c>
      <c r="E133" s="50">
        <f>+D133/$D$268</f>
        <v>6.7665585978073399E-4</v>
      </c>
      <c r="F133" s="51"/>
    </row>
    <row r="134" spans="1:6" ht="15.75" customHeight="1" x14ac:dyDescent="0.25">
      <c r="A134" t="s">
        <v>882</v>
      </c>
      <c r="C134">
        <v>1183380</v>
      </c>
      <c r="D134" s="24">
        <f t="shared" si="3"/>
        <v>778.53947368421052</v>
      </c>
      <c r="E134" s="50">
        <f>+D134/$D$268</f>
        <v>2.1225094149155283E-4</v>
      </c>
      <c r="F134" s="51"/>
    </row>
    <row r="135" spans="1:6" ht="15.75" customHeight="1" x14ac:dyDescent="0.25">
      <c r="A135" t="s">
        <v>343</v>
      </c>
      <c r="C135">
        <v>140816141.03</v>
      </c>
      <c r="D135" s="24">
        <f t="shared" si="3"/>
        <v>92642.198046052639</v>
      </c>
      <c r="E135" s="50">
        <f>+D135/$D$268</f>
        <v>2.5256771713925184E-2</v>
      </c>
      <c r="F135" s="51"/>
    </row>
    <row r="136" spans="1:6" ht="15.75" customHeight="1" x14ac:dyDescent="0.25">
      <c r="A136" t="s">
        <v>345</v>
      </c>
      <c r="C136">
        <v>335045.59999999998</v>
      </c>
      <c r="D136" s="24">
        <f t="shared" si="3"/>
        <v>220.42473684210526</v>
      </c>
      <c r="E136" s="50">
        <f>+D136/$D$268</f>
        <v>6.0093751831704283E-5</v>
      </c>
      <c r="F136" s="51"/>
    </row>
    <row r="137" spans="1:6" ht="15.75" customHeight="1" x14ac:dyDescent="0.25">
      <c r="A137" t="s">
        <v>347</v>
      </c>
      <c r="C137">
        <v>1782642.4</v>
      </c>
      <c r="D137" s="24">
        <f t="shared" si="3"/>
        <v>1172.7910526315789</v>
      </c>
      <c r="E137" s="50">
        <f>+D137/$D$268</f>
        <v>3.1973459729145437E-4</v>
      </c>
      <c r="F137" s="51"/>
    </row>
    <row r="138" spans="1:6" ht="15.75" customHeight="1" x14ac:dyDescent="0.25">
      <c r="A138" t="s">
        <v>351</v>
      </c>
      <c r="C138">
        <v>2922941</v>
      </c>
      <c r="D138" s="24">
        <f t="shared" si="3"/>
        <v>1922.9875</v>
      </c>
      <c r="E138" s="50">
        <f>+D138/$D$268</f>
        <v>5.2425846234874761E-4</v>
      </c>
      <c r="F138" s="51"/>
    </row>
    <row r="139" spans="1:6" ht="15.75" customHeight="1" x14ac:dyDescent="0.25">
      <c r="A139" t="s">
        <v>757</v>
      </c>
      <c r="C139">
        <v>2867911.2</v>
      </c>
      <c r="D139" s="24">
        <f t="shared" si="3"/>
        <v>1886.7836842105264</v>
      </c>
      <c r="E139" s="50">
        <f>+D139/$D$268</f>
        <v>5.1438832185280218E-4</v>
      </c>
      <c r="F139" s="51"/>
    </row>
    <row r="140" spans="1:6" ht="15.75" customHeight="1" x14ac:dyDescent="0.25">
      <c r="A140" t="s">
        <v>817</v>
      </c>
      <c r="C140">
        <v>42496.959999999999</v>
      </c>
      <c r="D140" s="24">
        <f t="shared" si="3"/>
        <v>27.958526315789474</v>
      </c>
      <c r="E140" s="50">
        <f>+D140/$D$268</f>
        <v>7.6222513229299643E-6</v>
      </c>
      <c r="F140" s="51"/>
    </row>
    <row r="141" spans="1:6" ht="15.75" customHeight="1" x14ac:dyDescent="0.25">
      <c r="A141" t="s">
        <v>353</v>
      </c>
      <c r="C141">
        <v>3279400</v>
      </c>
      <c r="D141" s="24">
        <f t="shared" si="3"/>
        <v>2157.5</v>
      </c>
      <c r="E141" s="50">
        <f>+D141/$D$268</f>
        <v>5.8819291987983438E-4</v>
      </c>
      <c r="F141" s="51"/>
    </row>
    <row r="142" spans="1:6" ht="15.75" customHeight="1" x14ac:dyDescent="0.25">
      <c r="A142" t="s">
        <v>819</v>
      </c>
      <c r="C142">
        <v>203700</v>
      </c>
      <c r="D142" s="24">
        <f t="shared" si="3"/>
        <v>134.01315789473685</v>
      </c>
      <c r="E142" s="50">
        <f>+D142/$D$268</f>
        <v>3.6535615594170354E-5</v>
      </c>
      <c r="F142" s="51"/>
    </row>
    <row r="143" spans="1:6" ht="15.75" customHeight="1" x14ac:dyDescent="0.25">
      <c r="A143" t="s">
        <v>1012</v>
      </c>
      <c r="C143">
        <v>3913140</v>
      </c>
      <c r="D143" s="24">
        <f t="shared" si="3"/>
        <v>2574.4342105263158</v>
      </c>
      <c r="E143" s="50">
        <f>+D143/$D$268</f>
        <v>7.0186047523893849E-4</v>
      </c>
      <c r="F143" s="51"/>
    </row>
    <row r="144" spans="1:6" ht="15.75" customHeight="1" x14ac:dyDescent="0.25">
      <c r="A144" t="s">
        <v>355</v>
      </c>
      <c r="C144">
        <v>2300177.66</v>
      </c>
      <c r="D144" s="24">
        <f t="shared" si="3"/>
        <v>1513.2747763157895</v>
      </c>
      <c r="E144" s="50">
        <f>+D144/$D$268</f>
        <v>4.1255967984319233E-4</v>
      </c>
      <c r="F144" s="51"/>
    </row>
    <row r="145" spans="1:6" ht="15.75" customHeight="1" x14ac:dyDescent="0.25">
      <c r="A145" t="s">
        <v>357</v>
      </c>
      <c r="C145">
        <v>40668200.909999996</v>
      </c>
      <c r="D145" s="24">
        <f t="shared" si="3"/>
        <v>26755.395335526315</v>
      </c>
      <c r="E145" s="50">
        <f>+D145/$D$268</f>
        <v>7.2942452398343099E-3</v>
      </c>
      <c r="F145" s="51"/>
    </row>
    <row r="146" spans="1:6" ht="15.75" customHeight="1" x14ac:dyDescent="0.25">
      <c r="A146" t="s">
        <v>941</v>
      </c>
      <c r="C146">
        <v>13539000</v>
      </c>
      <c r="D146" s="24">
        <f t="shared" si="3"/>
        <v>8907.2368421052633</v>
      </c>
      <c r="E146" s="50">
        <f>+D146/$D$268</f>
        <v>2.4283539495801297E-3</v>
      </c>
      <c r="F146" s="51"/>
    </row>
    <row r="147" spans="1:6" ht="15.75" customHeight="1" x14ac:dyDescent="0.25">
      <c r="A147" t="s">
        <v>1190</v>
      </c>
      <c r="C147">
        <v>2239056.6</v>
      </c>
      <c r="D147" s="24">
        <f t="shared" si="3"/>
        <v>1473.0635526315791</v>
      </c>
      <c r="E147" s="50">
        <f>+D147/$D$268</f>
        <v>4.0159701144423202E-4</v>
      </c>
      <c r="F147" s="51"/>
    </row>
    <row r="148" spans="1:6" ht="15.75" customHeight="1" x14ac:dyDescent="0.25">
      <c r="A148" t="s">
        <v>1037</v>
      </c>
      <c r="C148">
        <v>215800</v>
      </c>
      <c r="D148" s="24">
        <f t="shared" si="3"/>
        <v>141.97368421052633</v>
      </c>
      <c r="E148" s="50">
        <f>+D148/$D$268</f>
        <v>3.8705870619646359E-5</v>
      </c>
      <c r="F148" s="51"/>
    </row>
    <row r="149" spans="1:6" ht="15.75" customHeight="1" x14ac:dyDescent="0.25">
      <c r="A149" t="s">
        <v>361</v>
      </c>
      <c r="C149">
        <v>14084315.91</v>
      </c>
      <c r="D149" s="24">
        <f t="shared" si="3"/>
        <v>9265.9973092105265</v>
      </c>
      <c r="E149" s="50">
        <f>+D149/$D$268</f>
        <v>2.5261617672784368E-3</v>
      </c>
      <c r="F149" s="51"/>
    </row>
    <row r="150" spans="1:6" ht="15.75" customHeight="1" x14ac:dyDescent="0.25">
      <c r="A150" t="s">
        <v>363</v>
      </c>
      <c r="C150">
        <v>172332955.31</v>
      </c>
      <c r="D150" s="24">
        <f t="shared" si="3"/>
        <v>113376.94428289474</v>
      </c>
      <c r="E150" s="50">
        <f>+D150/$D$268</f>
        <v>3.0909624984847808E-2</v>
      </c>
      <c r="F150" s="51"/>
    </row>
    <row r="151" spans="1:6" ht="15.75" customHeight="1" x14ac:dyDescent="0.25">
      <c r="A151" t="s">
        <v>365</v>
      </c>
      <c r="C151">
        <v>1001242.72</v>
      </c>
      <c r="D151" s="24">
        <f t="shared" si="3"/>
        <v>658.71231578947368</v>
      </c>
      <c r="E151" s="50">
        <f>+D151/$D$268</f>
        <v>1.7958281361993883E-4</v>
      </c>
      <c r="F151" s="51"/>
    </row>
    <row r="152" spans="1:6" ht="15.75" customHeight="1" x14ac:dyDescent="0.25">
      <c r="A152" t="s">
        <v>1300</v>
      </c>
      <c r="C152">
        <v>3104224.75</v>
      </c>
      <c r="D152" s="24">
        <f t="shared" si="3"/>
        <v>2042.253125</v>
      </c>
      <c r="E152" s="50">
        <f>+D152/$D$268</f>
        <v>5.5677350114830416E-4</v>
      </c>
      <c r="F152" s="51"/>
    </row>
    <row r="153" spans="1:6" ht="15.75" customHeight="1" x14ac:dyDescent="0.25">
      <c r="A153" t="s">
        <v>367</v>
      </c>
      <c r="C153">
        <v>68108715</v>
      </c>
      <c r="D153" s="24">
        <f t="shared" si="3"/>
        <v>44808.365131578947</v>
      </c>
      <c r="E153" s="50">
        <f>+D153/$D$268</f>
        <v>1.2215973636980383E-2</v>
      </c>
      <c r="F153" s="51"/>
    </row>
    <row r="154" spans="1:6" ht="15.75" customHeight="1" x14ac:dyDescent="0.25">
      <c r="A154" t="s">
        <v>763</v>
      </c>
      <c r="C154">
        <v>37865048.829999998</v>
      </c>
      <c r="D154" s="24">
        <f t="shared" si="3"/>
        <v>24911.216335526315</v>
      </c>
      <c r="E154" s="50">
        <f>+D154/$D$268</f>
        <v>6.7914721085290614E-3</v>
      </c>
      <c r="F154" s="51"/>
    </row>
    <row r="155" spans="1:6" ht="15.75" customHeight="1" x14ac:dyDescent="0.25">
      <c r="A155" t="s">
        <v>765</v>
      </c>
      <c r="C155">
        <v>1538300</v>
      </c>
      <c r="D155" s="24">
        <f t="shared" si="3"/>
        <v>1012.0394736842105</v>
      </c>
      <c r="E155" s="50">
        <f>+D155/$D$268</f>
        <v>2.7590936410658935E-4</v>
      </c>
      <c r="F155" s="51"/>
    </row>
    <row r="156" spans="1:6" ht="15.75" customHeight="1" x14ac:dyDescent="0.25">
      <c r="A156" t="s">
        <v>890</v>
      </c>
      <c r="C156">
        <v>8226592.46</v>
      </c>
      <c r="D156" s="24">
        <f t="shared" si="3"/>
        <v>5412.2318815789477</v>
      </c>
      <c r="E156" s="50">
        <f>+D156/$D$268</f>
        <v>1.4755209610626424E-3</v>
      </c>
      <c r="F156" s="51"/>
    </row>
    <row r="157" spans="1:6" ht="15.75" customHeight="1" x14ac:dyDescent="0.25">
      <c r="A157" t="s">
        <v>369</v>
      </c>
      <c r="C157">
        <v>215271.22</v>
      </c>
      <c r="D157" s="24">
        <f t="shared" si="3"/>
        <v>141.62580263157895</v>
      </c>
      <c r="E157" s="50">
        <f>+D157/$D$268</f>
        <v>3.8611028681433856E-5</v>
      </c>
      <c r="F157" s="51"/>
    </row>
    <row r="158" spans="1:6" ht="15.75" customHeight="1" x14ac:dyDescent="0.25">
      <c r="A158" t="s">
        <v>373</v>
      </c>
      <c r="C158">
        <v>8923998.8000000007</v>
      </c>
      <c r="D158" s="24">
        <f t="shared" si="3"/>
        <v>5871.0518421052639</v>
      </c>
      <c r="E158" s="50">
        <f>+D158/$D$268</f>
        <v>1.6006077060365122E-3</v>
      </c>
      <c r="F158" s="51"/>
    </row>
    <row r="159" spans="1:6" ht="15.75" customHeight="1" x14ac:dyDescent="0.25">
      <c r="A159" t="s">
        <v>377</v>
      </c>
      <c r="C159">
        <v>18236235</v>
      </c>
      <c r="D159" s="24">
        <f t="shared" si="3"/>
        <v>11997.52302631579</v>
      </c>
      <c r="E159" s="50">
        <f>+D159/$D$268</f>
        <v>3.270849640868705E-3</v>
      </c>
      <c r="F159" s="51"/>
    </row>
    <row r="160" spans="1:6" ht="15.75" customHeight="1" x14ac:dyDescent="0.25">
      <c r="A160" t="s">
        <v>379</v>
      </c>
      <c r="C160">
        <v>58760</v>
      </c>
      <c r="D160" s="24">
        <f t="shared" si="3"/>
        <v>38.657894736842103</v>
      </c>
      <c r="E160" s="50">
        <f>+D160/$D$268</f>
        <v>1.0539188867518162E-5</v>
      </c>
      <c r="F160" s="51"/>
    </row>
    <row r="161" spans="1:6" ht="15.75" customHeight="1" x14ac:dyDescent="0.25">
      <c r="A161" t="s">
        <v>1301</v>
      </c>
      <c r="C161">
        <v>1200000</v>
      </c>
      <c r="D161" s="24">
        <f t="shared" si="3"/>
        <v>789.47368421052636</v>
      </c>
      <c r="E161" s="50">
        <f>+D161/$D$268</f>
        <v>2.1523190335299178E-4</v>
      </c>
      <c r="F161" s="51"/>
    </row>
    <row r="162" spans="1:6" ht="15.75" customHeight="1" x14ac:dyDescent="0.25">
      <c r="A162" t="s">
        <v>381</v>
      </c>
      <c r="C162">
        <v>1160987.31</v>
      </c>
      <c r="D162" s="24">
        <f t="shared" si="3"/>
        <v>763.80744078947373</v>
      </c>
      <c r="E162" s="50">
        <f>+D162/$D$268</f>
        <v>2.0823459041664159E-4</v>
      </c>
      <c r="F162" s="51"/>
    </row>
    <row r="163" spans="1:6" ht="15.75" customHeight="1" x14ac:dyDescent="0.25">
      <c r="A163" t="s">
        <v>383</v>
      </c>
      <c r="C163">
        <v>39869809.310000002</v>
      </c>
      <c r="D163" s="24">
        <f t="shared" si="3"/>
        <v>26230.13770394737</v>
      </c>
      <c r="E163" s="50">
        <f>+D163/$D$268</f>
        <v>7.1510457867601102E-3</v>
      </c>
      <c r="F163" s="51"/>
    </row>
    <row r="164" spans="1:6" ht="15.75" customHeight="1" x14ac:dyDescent="0.25">
      <c r="A164" t="s">
        <v>942</v>
      </c>
      <c r="C164">
        <v>1531738.5</v>
      </c>
      <c r="D164" s="24">
        <f t="shared" si="3"/>
        <v>1007.7226973684211</v>
      </c>
      <c r="E164" s="50">
        <f>+D164/$D$268</f>
        <v>2.7473249399504715E-4</v>
      </c>
      <c r="F164" s="51"/>
    </row>
    <row r="165" spans="1:6" ht="15.75" customHeight="1" x14ac:dyDescent="0.25">
      <c r="A165" t="s">
        <v>385</v>
      </c>
      <c r="C165">
        <v>60218770.789999999</v>
      </c>
      <c r="D165" s="24">
        <f t="shared" si="3"/>
        <v>39617.612361842104</v>
      </c>
      <c r="E165" s="50">
        <f>+D165/$D$268</f>
        <v>1.080083387892437E-2</v>
      </c>
      <c r="F165" s="51"/>
    </row>
    <row r="166" spans="1:6" ht="15.75" customHeight="1" x14ac:dyDescent="0.25">
      <c r="A166" t="s">
        <v>387</v>
      </c>
      <c r="C166">
        <v>6002983.5300000003</v>
      </c>
      <c r="D166" s="24">
        <f t="shared" si="3"/>
        <v>3949.3312697368424</v>
      </c>
      <c r="E166" s="50">
        <f>+D166/$D$268</f>
        <v>1.0766946424654678E-3</v>
      </c>
      <c r="F166" s="51"/>
    </row>
    <row r="167" spans="1:6" ht="15.75" customHeight="1" x14ac:dyDescent="0.25">
      <c r="A167" t="s">
        <v>389</v>
      </c>
      <c r="C167">
        <v>13351649.470000001</v>
      </c>
      <c r="D167" s="24">
        <f t="shared" si="3"/>
        <v>8783.9799144736844</v>
      </c>
      <c r="E167" s="50">
        <f>+D167/$D$268</f>
        <v>2.3947507736083863E-3</v>
      </c>
      <c r="F167" s="51"/>
    </row>
    <row r="168" spans="1:6" ht="15.75" customHeight="1" x14ac:dyDescent="0.25">
      <c r="A168" t="s">
        <v>391</v>
      </c>
      <c r="C168">
        <v>1576525</v>
      </c>
      <c r="D168" s="24">
        <f t="shared" si="3"/>
        <v>1037.1875</v>
      </c>
      <c r="E168" s="50">
        <f>+D168/$D$268</f>
        <v>2.8276539702797943E-4</v>
      </c>
      <c r="F168" s="51"/>
    </row>
    <row r="169" spans="1:6" ht="15.75" customHeight="1" x14ac:dyDescent="0.25">
      <c r="A169" t="s">
        <v>1302</v>
      </c>
      <c r="C169">
        <v>3339600</v>
      </c>
      <c r="D169" s="24">
        <f t="shared" si="3"/>
        <v>2197.1052631578946</v>
      </c>
      <c r="E169" s="50">
        <f>+D169/$D$268</f>
        <v>5.9899038703137601E-4</v>
      </c>
      <c r="F169" s="51"/>
    </row>
    <row r="170" spans="1:6" ht="15.75" customHeight="1" x14ac:dyDescent="0.25">
      <c r="A170" t="s">
        <v>894</v>
      </c>
      <c r="C170">
        <v>3052186.9</v>
      </c>
      <c r="D170" s="24">
        <f t="shared" si="3"/>
        <v>2008.0176973684211</v>
      </c>
      <c r="E170" s="50">
        <f>+D170/$D$268</f>
        <v>5.4743999656338958E-4</v>
      </c>
      <c r="F170" s="51"/>
    </row>
    <row r="171" spans="1:6" ht="15.75" customHeight="1" x14ac:dyDescent="0.25">
      <c r="A171" t="s">
        <v>1041</v>
      </c>
      <c r="C171">
        <v>306017.64</v>
      </c>
      <c r="D171" s="24">
        <f t="shared" si="3"/>
        <v>201.32739473684211</v>
      </c>
      <c r="E171" s="50">
        <f>+D171/$D$268</f>
        <v>5.4887299263992193E-5</v>
      </c>
      <c r="F171" s="51"/>
    </row>
    <row r="172" spans="1:6" ht="15.75" customHeight="1" x14ac:dyDescent="0.25">
      <c r="A172" t="s">
        <v>1045</v>
      </c>
      <c r="C172">
        <v>3177266.4</v>
      </c>
      <c r="D172" s="24">
        <f t="shared" si="3"/>
        <v>2090.3068421052631</v>
      </c>
      <c r="E172" s="50">
        <f>+D172/$D$268</f>
        <v>5.6987424560959001E-4</v>
      </c>
      <c r="F172" s="51"/>
    </row>
    <row r="173" spans="1:6" ht="15.75" customHeight="1" x14ac:dyDescent="0.25">
      <c r="A173" t="s">
        <v>393</v>
      </c>
      <c r="C173">
        <v>115676194.38</v>
      </c>
      <c r="D173" s="24">
        <f t="shared" si="3"/>
        <v>76102.759460526315</v>
      </c>
      <c r="E173" s="50">
        <f>+D173/$D$268</f>
        <v>2.0747672907531708E-2</v>
      </c>
      <c r="F173" s="51"/>
    </row>
    <row r="174" spans="1:6" ht="15.75" customHeight="1" x14ac:dyDescent="0.25">
      <c r="A174" t="s">
        <v>943</v>
      </c>
      <c r="C174">
        <v>4548238.75</v>
      </c>
      <c r="D174" s="24">
        <f t="shared" si="3"/>
        <v>2992.2623355263158</v>
      </c>
      <c r="E174" s="50">
        <f>+D174/$D$268</f>
        <v>8.1577173588861011E-4</v>
      </c>
      <c r="F174" s="51"/>
    </row>
    <row r="175" spans="1:6" ht="15.75" customHeight="1" x14ac:dyDescent="0.25">
      <c r="A175" t="s">
        <v>395</v>
      </c>
      <c r="C175">
        <v>23192528.18</v>
      </c>
      <c r="D175" s="24">
        <f t="shared" si="3"/>
        <v>15258.24222368421</v>
      </c>
      <c r="E175" s="50">
        <f>+D175/$D$268</f>
        <v>4.1598099864577484E-3</v>
      </c>
      <c r="F175" s="51"/>
    </row>
    <row r="176" spans="1:6" ht="15.75" customHeight="1" x14ac:dyDescent="0.25">
      <c r="A176" t="s">
        <v>896</v>
      </c>
      <c r="C176">
        <v>2339100</v>
      </c>
      <c r="D176" s="24">
        <f t="shared" si="3"/>
        <v>1538.8815789473683</v>
      </c>
      <c r="E176" s="50">
        <f>+D176/$D$268</f>
        <v>4.1954078761081916E-4</v>
      </c>
      <c r="F176" s="51"/>
    </row>
    <row r="177" spans="1:6" ht="15.75" customHeight="1" x14ac:dyDescent="0.25">
      <c r="A177" t="s">
        <v>397</v>
      </c>
      <c r="C177">
        <v>16089627.91</v>
      </c>
      <c r="D177" s="24">
        <f t="shared" si="3"/>
        <v>10585.281519736842</v>
      </c>
      <c r="E177" s="50">
        <f>+D177/$D$268</f>
        <v>2.8858343660922658E-3</v>
      </c>
      <c r="F177" s="51"/>
    </row>
    <row r="178" spans="1:6" ht="15.75" customHeight="1" x14ac:dyDescent="0.25">
      <c r="A178" t="s">
        <v>769</v>
      </c>
      <c r="C178">
        <v>984016.73</v>
      </c>
      <c r="D178" s="24">
        <f t="shared" si="3"/>
        <v>647.37942763157889</v>
      </c>
      <c r="E178" s="50">
        <f>+D178/$D$268</f>
        <v>1.7649316144090582E-4</v>
      </c>
      <c r="F178" s="51"/>
    </row>
    <row r="179" spans="1:6" ht="15.75" customHeight="1" x14ac:dyDescent="0.25">
      <c r="A179" t="s">
        <v>1020</v>
      </c>
      <c r="C179">
        <v>1546985</v>
      </c>
      <c r="D179" s="24">
        <f t="shared" si="3"/>
        <v>1017.7532894736842</v>
      </c>
      <c r="E179" s="50">
        <f>+D179/$D$268</f>
        <v>2.7746710500710663E-4</v>
      </c>
      <c r="F179" s="51"/>
    </row>
    <row r="180" spans="1:6" ht="15.75" customHeight="1" x14ac:dyDescent="0.25">
      <c r="A180" t="s">
        <v>399</v>
      </c>
      <c r="C180">
        <v>-2698.26</v>
      </c>
      <c r="D180" s="24">
        <f t="shared" si="3"/>
        <v>-1.7751710526315791</v>
      </c>
      <c r="E180" s="50">
        <f>+D180/$D$268</f>
        <v>-4.8395969628436967E-7</v>
      </c>
      <c r="F180" s="51"/>
    </row>
    <row r="181" spans="1:6" ht="15.75" customHeight="1" x14ac:dyDescent="0.25">
      <c r="A181" t="s">
        <v>771</v>
      </c>
      <c r="C181">
        <v>55376902.5</v>
      </c>
      <c r="D181" s="24">
        <f t="shared" si="3"/>
        <v>36432.17269736842</v>
      </c>
      <c r="E181" s="50">
        <f>+D181/$D$268</f>
        <v>9.9323967723900404E-3</v>
      </c>
      <c r="F181" s="51"/>
    </row>
    <row r="182" spans="1:6" ht="15.75" customHeight="1" x14ac:dyDescent="0.25">
      <c r="A182" t="s">
        <v>1196</v>
      </c>
      <c r="C182">
        <v>58000</v>
      </c>
      <c r="D182" s="24">
        <f t="shared" si="3"/>
        <v>38.157894736842103</v>
      </c>
      <c r="E182" s="50">
        <f>+D182/$D$268</f>
        <v>1.0402875328727935E-5</v>
      </c>
      <c r="F182" s="51"/>
    </row>
    <row r="183" spans="1:6" ht="15.75" customHeight="1" x14ac:dyDescent="0.25">
      <c r="A183" t="s">
        <v>510</v>
      </c>
      <c r="C183">
        <v>660660</v>
      </c>
      <c r="D183" s="24">
        <f t="shared" si="3"/>
        <v>434.64473684210526</v>
      </c>
      <c r="E183" s="50">
        <f>+D183/$D$268</f>
        <v>1.1849592439098961E-4</v>
      </c>
      <c r="F183" s="51"/>
    </row>
    <row r="184" spans="1:6" ht="15.75" customHeight="1" x14ac:dyDescent="0.25">
      <c r="A184" t="s">
        <v>775</v>
      </c>
      <c r="C184">
        <v>1986000.1</v>
      </c>
      <c r="D184" s="24">
        <f t="shared" si="3"/>
        <v>1306.5790131578949</v>
      </c>
      <c r="E184" s="50">
        <f>+D184/$D$268</f>
        <v>3.5620881798519336E-4</v>
      </c>
      <c r="F184" s="51"/>
    </row>
    <row r="185" spans="1:6" ht="15.75" customHeight="1" x14ac:dyDescent="0.25">
      <c r="A185" t="s">
        <v>401</v>
      </c>
      <c r="C185">
        <v>90675425</v>
      </c>
      <c r="D185" s="24">
        <f t="shared" si="3"/>
        <v>59654.884868421053</v>
      </c>
      <c r="E185" s="50">
        <f>+D185/$D$268</f>
        <v>1.6263536925076212E-2</v>
      </c>
      <c r="F185" s="51"/>
    </row>
    <row r="186" spans="1:6" ht="15.75" customHeight="1" x14ac:dyDescent="0.25">
      <c r="A186" t="s">
        <v>904</v>
      </c>
      <c r="C186">
        <v>-132390044.75</v>
      </c>
      <c r="D186" s="24">
        <f t="shared" si="3"/>
        <v>-87098.713651315789</v>
      </c>
      <c r="E186" s="50">
        <f>+D186/$D$268</f>
        <v>-2.3745467763775212E-2</v>
      </c>
      <c r="F186" s="51"/>
    </row>
    <row r="187" spans="1:6" ht="15.75" customHeight="1" x14ac:dyDescent="0.25">
      <c r="A187" t="s">
        <v>1198</v>
      </c>
      <c r="C187">
        <v>1402016</v>
      </c>
      <c r="D187" s="24">
        <f t="shared" si="3"/>
        <v>922.37894736842111</v>
      </c>
      <c r="E187" s="50">
        <f>+D187/$D$268</f>
        <v>2.5146547684279011E-4</v>
      </c>
      <c r="F187" s="51"/>
    </row>
    <row r="188" spans="1:6" ht="15.75" customHeight="1" x14ac:dyDescent="0.25">
      <c r="A188" t="s">
        <v>403</v>
      </c>
      <c r="C188">
        <v>110259007.95999999</v>
      </c>
      <c r="D188" s="24">
        <f t="shared" ref="D188:D251" si="4">+C188/$D$3</f>
        <v>72538.821026315782</v>
      </c>
      <c r="E188" s="50">
        <f>+D188/$D$268</f>
        <v>1.9776046787536222E-2</v>
      </c>
      <c r="F188" s="51"/>
    </row>
    <row r="189" spans="1:6" ht="15.75" customHeight="1" x14ac:dyDescent="0.25">
      <c r="A189" t="s">
        <v>405</v>
      </c>
      <c r="C189">
        <v>479573.81</v>
      </c>
      <c r="D189" s="24">
        <f t="shared" si="4"/>
        <v>315.5090855263158</v>
      </c>
      <c r="E189" s="50">
        <f>+D189/$D$268</f>
        <v>8.6016319937121702E-5</v>
      </c>
      <c r="F189" s="51"/>
    </row>
    <row r="190" spans="1:6" ht="15.75" customHeight="1" x14ac:dyDescent="0.25">
      <c r="A190" t="s">
        <v>1200</v>
      </c>
      <c r="C190">
        <v>467667.20000000001</v>
      </c>
      <c r="D190" s="24">
        <f t="shared" si="4"/>
        <v>307.67578947368423</v>
      </c>
      <c r="E190" s="50">
        <f>+D190/$D$268</f>
        <v>8.3880751326470226E-5</v>
      </c>
      <c r="F190" s="51"/>
    </row>
    <row r="191" spans="1:6" ht="15.75" customHeight="1" x14ac:dyDescent="0.25">
      <c r="A191" t="s">
        <v>1202</v>
      </c>
      <c r="C191">
        <v>5113407.75</v>
      </c>
      <c r="D191" s="24">
        <f t="shared" si="4"/>
        <v>3364.0840460526315</v>
      </c>
      <c r="E191" s="50">
        <f>+D191/$D$268</f>
        <v>9.1714040221036592E-4</v>
      </c>
      <c r="F191" s="51"/>
    </row>
    <row r="192" spans="1:6" ht="15.75" customHeight="1" x14ac:dyDescent="0.25">
      <c r="A192" t="s">
        <v>944</v>
      </c>
      <c r="C192">
        <v>141515200</v>
      </c>
      <c r="D192" s="24">
        <f t="shared" si="4"/>
        <v>93102.105263157893</v>
      </c>
      <c r="E192" s="50">
        <f>+D192/$D$268</f>
        <v>2.5382154874482751E-2</v>
      </c>
      <c r="F192" s="51"/>
    </row>
    <row r="193" spans="1:6" ht="15.75" customHeight="1" x14ac:dyDescent="0.25">
      <c r="A193" t="s">
        <v>908</v>
      </c>
      <c r="C193">
        <v>14280521.439999999</v>
      </c>
      <c r="D193" s="24">
        <f t="shared" si="4"/>
        <v>9395.0798947368421</v>
      </c>
      <c r="E193" s="50">
        <f>+D193/$D$268</f>
        <v>2.5613531753370055E-3</v>
      </c>
      <c r="F193" s="51"/>
    </row>
    <row r="194" spans="1:6" ht="15.75" customHeight="1" x14ac:dyDescent="0.25">
      <c r="A194" t="s">
        <v>1204</v>
      </c>
      <c r="C194">
        <v>28974660</v>
      </c>
      <c r="D194" s="24">
        <f t="shared" si="4"/>
        <v>19062.276315789473</v>
      </c>
      <c r="E194" s="50">
        <f>+D194/$D$268</f>
        <v>5.19689268400483E-3</v>
      </c>
      <c r="F194" s="51"/>
    </row>
    <row r="195" spans="1:6" ht="15.75" customHeight="1" x14ac:dyDescent="0.25">
      <c r="A195" t="s">
        <v>407</v>
      </c>
      <c r="C195">
        <v>1161664.27</v>
      </c>
      <c r="D195" s="24">
        <f t="shared" si="4"/>
        <v>764.25280921052638</v>
      </c>
      <c r="E195" s="50">
        <f>+D195/$D$268</f>
        <v>2.0835600990771978E-4</v>
      </c>
      <c r="F195" s="51"/>
    </row>
    <row r="196" spans="1:6" ht="15.75" customHeight="1" x14ac:dyDescent="0.25">
      <c r="A196" t="s">
        <v>783</v>
      </c>
      <c r="C196">
        <v>1144000</v>
      </c>
      <c r="D196" s="24">
        <f t="shared" si="4"/>
        <v>752.63157894736844</v>
      </c>
      <c r="E196" s="50">
        <f>+D196/$D$268</f>
        <v>2.0518774786318548E-4</v>
      </c>
      <c r="F196" s="51"/>
    </row>
    <row r="197" spans="1:6" ht="15.75" customHeight="1" x14ac:dyDescent="0.25">
      <c r="A197" t="s">
        <v>409</v>
      </c>
      <c r="C197">
        <v>25785000</v>
      </c>
      <c r="D197" s="24">
        <f t="shared" si="4"/>
        <v>16963.815789473683</v>
      </c>
      <c r="E197" s="50">
        <f>+D197/$D$268</f>
        <v>4.6247955232974107E-3</v>
      </c>
      <c r="F197" s="51"/>
    </row>
    <row r="198" spans="1:6" ht="15.75" customHeight="1" x14ac:dyDescent="0.25">
      <c r="A198" t="s">
        <v>512</v>
      </c>
      <c r="C198">
        <v>212960</v>
      </c>
      <c r="D198" s="24">
        <f t="shared" si="4"/>
        <v>140.10526315789474</v>
      </c>
      <c r="E198" s="50">
        <f>+D198/$D$268</f>
        <v>3.8196488448377609E-5</v>
      </c>
      <c r="F198" s="51"/>
    </row>
    <row r="199" spans="1:6" ht="15.75" customHeight="1" x14ac:dyDescent="0.25">
      <c r="A199" t="s">
        <v>1047</v>
      </c>
      <c r="C199">
        <v>16180000</v>
      </c>
      <c r="D199" s="24">
        <f t="shared" si="4"/>
        <v>10644.736842105263</v>
      </c>
      <c r="E199" s="50">
        <f>+D199/$D$268</f>
        <v>2.9020434968761726E-3</v>
      </c>
      <c r="F199" s="51"/>
    </row>
    <row r="200" spans="1:6" ht="15.75" customHeight="1" x14ac:dyDescent="0.25">
      <c r="A200" t="s">
        <v>912</v>
      </c>
      <c r="C200">
        <v>4219963.0999999996</v>
      </c>
      <c r="D200" s="24">
        <f t="shared" si="4"/>
        <v>2776.2915131578943</v>
      </c>
      <c r="E200" s="50">
        <f>+D200/$D$268</f>
        <v>7.5689224174365949E-4</v>
      </c>
      <c r="F200" s="51"/>
    </row>
    <row r="201" spans="1:6" ht="15.75" customHeight="1" x14ac:dyDescent="0.25">
      <c r="A201" t="s">
        <v>411</v>
      </c>
      <c r="C201">
        <v>41872556.600000001</v>
      </c>
      <c r="D201" s="24">
        <f t="shared" si="4"/>
        <v>27547.734605263158</v>
      </c>
      <c r="E201" s="50">
        <f>+D201/$D$268</f>
        <v>7.510258379394898E-3</v>
      </c>
      <c r="F201" s="51"/>
    </row>
    <row r="202" spans="1:6" ht="15.75" customHeight="1" x14ac:dyDescent="0.25">
      <c r="A202" t="s">
        <v>413</v>
      </c>
      <c r="C202">
        <v>20544028.449999999</v>
      </c>
      <c r="D202" s="24">
        <f t="shared" si="4"/>
        <v>13515.808190789474</v>
      </c>
      <c r="E202" s="50">
        <f>+D202/$D$268</f>
        <v>3.6847752881929278E-3</v>
      </c>
      <c r="F202" s="51"/>
    </row>
    <row r="203" spans="1:6" ht="15.75" customHeight="1" x14ac:dyDescent="0.25">
      <c r="A203" t="s">
        <v>415</v>
      </c>
      <c r="C203">
        <v>8487858.5999999996</v>
      </c>
      <c r="D203" s="24">
        <f t="shared" si="4"/>
        <v>5584.1174999999994</v>
      </c>
      <c r="E203" s="50">
        <f>+D203/$D$268</f>
        <v>1.5223816348908831E-3</v>
      </c>
      <c r="F203" s="51"/>
    </row>
    <row r="204" spans="1:6" ht="15.75" customHeight="1" x14ac:dyDescent="0.25">
      <c r="A204" t="s">
        <v>831</v>
      </c>
      <c r="C204">
        <v>8983947.5199999996</v>
      </c>
      <c r="D204" s="24">
        <f t="shared" si="4"/>
        <v>5910.4917894736836</v>
      </c>
      <c r="E204" s="50">
        <f>+D204/$D$268</f>
        <v>1.6113601036274916E-3</v>
      </c>
      <c r="F204" s="51"/>
    </row>
    <row r="205" spans="1:6" ht="15.75" customHeight="1" x14ac:dyDescent="0.25">
      <c r="A205" t="s">
        <v>1212</v>
      </c>
      <c r="C205">
        <v>128865</v>
      </c>
      <c r="D205" s="24">
        <f t="shared" si="4"/>
        <v>84.77960526315789</v>
      </c>
      <c r="E205" s="50">
        <f>+D205/$D$268</f>
        <v>2.31132160213194E-5</v>
      </c>
      <c r="F205" s="51"/>
    </row>
    <row r="206" spans="1:6" ht="15.75" customHeight="1" x14ac:dyDescent="0.25">
      <c r="A206" t="s">
        <v>419</v>
      </c>
      <c r="C206">
        <v>990081.82</v>
      </c>
      <c r="D206" s="24">
        <f t="shared" si="4"/>
        <v>651.36961842105256</v>
      </c>
      <c r="E206" s="50">
        <f>+D206/$D$268</f>
        <v>1.7758099549482846E-4</v>
      </c>
      <c r="F206" s="51"/>
    </row>
    <row r="207" spans="1:6" ht="15.75" customHeight="1" x14ac:dyDescent="0.25">
      <c r="A207" t="s">
        <v>1216</v>
      </c>
      <c r="C207">
        <v>550000</v>
      </c>
      <c r="D207" s="24">
        <f t="shared" si="4"/>
        <v>361.84210526315792</v>
      </c>
      <c r="E207" s="50">
        <f>+D207/$D$268</f>
        <v>9.8647955703454573E-5</v>
      </c>
      <c r="F207" s="51"/>
    </row>
    <row r="208" spans="1:6" ht="15.75" customHeight="1" x14ac:dyDescent="0.25">
      <c r="A208" t="s">
        <v>423</v>
      </c>
      <c r="C208">
        <v>73500</v>
      </c>
      <c r="D208" s="24">
        <f t="shared" si="4"/>
        <v>48.35526315789474</v>
      </c>
      <c r="E208" s="50">
        <f>+D208/$D$268</f>
        <v>1.3182954080370746E-5</v>
      </c>
      <c r="F208" s="51"/>
    </row>
    <row r="209" spans="1:6" ht="15.75" customHeight="1" x14ac:dyDescent="0.25">
      <c r="A209" t="s">
        <v>1021</v>
      </c>
      <c r="C209">
        <v>2262397.5</v>
      </c>
      <c r="D209" s="24">
        <f t="shared" si="4"/>
        <v>1488.4194078947369</v>
      </c>
      <c r="E209" s="50">
        <f>+D209/$D$268</f>
        <v>4.0578343338837516E-4</v>
      </c>
      <c r="F209" s="51"/>
    </row>
    <row r="210" spans="1:6" ht="15.75" customHeight="1" x14ac:dyDescent="0.25">
      <c r="A210" t="s">
        <v>985</v>
      </c>
      <c r="C210">
        <v>1257059.8700000001</v>
      </c>
      <c r="D210" s="24">
        <f t="shared" si="4"/>
        <v>827.01307236842115</v>
      </c>
      <c r="E210" s="50">
        <f>+D210/$D$268</f>
        <v>2.2546615704063702E-4</v>
      </c>
      <c r="F210" s="51"/>
    </row>
    <row r="211" spans="1:6" ht="15.75" customHeight="1" x14ac:dyDescent="0.25">
      <c r="A211" t="s">
        <v>945</v>
      </c>
      <c r="C211">
        <v>13500254.119999999</v>
      </c>
      <c r="D211" s="24">
        <f t="shared" si="4"/>
        <v>8881.746131578946</v>
      </c>
      <c r="E211" s="50">
        <f>+D211/$D$268</f>
        <v>2.4214044916638904E-3</v>
      </c>
      <c r="F211" s="51"/>
    </row>
    <row r="212" spans="1:6" ht="15.75" customHeight="1" x14ac:dyDescent="0.25">
      <c r="A212" t="s">
        <v>425</v>
      </c>
      <c r="C212">
        <v>34129600</v>
      </c>
      <c r="D212" s="24">
        <f t="shared" si="4"/>
        <v>22453.684210526317</v>
      </c>
      <c r="E212" s="50">
        <f>+D212/$D$268</f>
        <v>6.1214823072302232E-3</v>
      </c>
      <c r="F212" s="51"/>
    </row>
    <row r="213" spans="1:6" ht="15.75" customHeight="1" x14ac:dyDescent="0.25">
      <c r="A213" t="s">
        <v>1218</v>
      </c>
      <c r="C213">
        <v>690000</v>
      </c>
      <c r="D213" s="24">
        <f t="shared" si="4"/>
        <v>453.94736842105266</v>
      </c>
      <c r="E213" s="50">
        <f>+D213/$D$268</f>
        <v>1.2375834442797027E-4</v>
      </c>
      <c r="F213" s="51"/>
    </row>
    <row r="214" spans="1:6" ht="15.75" customHeight="1" x14ac:dyDescent="0.25">
      <c r="A214" t="s">
        <v>427</v>
      </c>
      <c r="C214">
        <v>873454</v>
      </c>
      <c r="D214" s="24">
        <f t="shared" si="4"/>
        <v>574.64078947368421</v>
      </c>
      <c r="E214" s="50">
        <f>+D214/$D$268</f>
        <v>1.5666263909273672E-4</v>
      </c>
      <c r="F214" s="51"/>
    </row>
    <row r="215" spans="1:6" ht="15.75" customHeight="1" x14ac:dyDescent="0.25">
      <c r="A215" t="s">
        <v>429</v>
      </c>
      <c r="C215">
        <v>3486684</v>
      </c>
      <c r="D215" s="24">
        <f t="shared" si="4"/>
        <v>2293.871052631579</v>
      </c>
      <c r="E215" s="50">
        <f>+D215/$D$268</f>
        <v>6.2537136142535232E-4</v>
      </c>
      <c r="F215" s="51"/>
    </row>
    <row r="216" spans="1:6" ht="15.75" customHeight="1" x14ac:dyDescent="0.25">
      <c r="A216" t="s">
        <v>431</v>
      </c>
      <c r="C216">
        <v>3537430.54</v>
      </c>
      <c r="D216" s="24">
        <f t="shared" si="4"/>
        <v>2327.2569342105262</v>
      </c>
      <c r="E216" s="50">
        <f>+D216/$D$268</f>
        <v>6.3447325675266783E-4</v>
      </c>
      <c r="F216" s="51"/>
    </row>
    <row r="217" spans="1:6" ht="15.75" customHeight="1" x14ac:dyDescent="0.25">
      <c r="A217" t="s">
        <v>433</v>
      </c>
      <c r="C217">
        <v>1074310</v>
      </c>
      <c r="D217" s="24">
        <f t="shared" si="4"/>
        <v>706.78289473684208</v>
      </c>
      <c r="E217" s="50">
        <f>+D217/$D$268</f>
        <v>1.9268815507596048E-4</v>
      </c>
      <c r="F217" s="51"/>
    </row>
    <row r="218" spans="1:6" ht="15.75" customHeight="1" x14ac:dyDescent="0.25">
      <c r="A218" t="s">
        <v>787</v>
      </c>
      <c r="C218">
        <v>1702352.52</v>
      </c>
      <c r="D218" s="24">
        <f t="shared" si="4"/>
        <v>1119.9687631578947</v>
      </c>
      <c r="E218" s="50">
        <f>+D218/$D$268</f>
        <v>3.05333810881135E-4</v>
      </c>
      <c r="F218" s="51"/>
    </row>
    <row r="219" spans="1:6" ht="15.75" customHeight="1" x14ac:dyDescent="0.25">
      <c r="A219" t="s">
        <v>1303</v>
      </c>
      <c r="C219">
        <v>2461339.5</v>
      </c>
      <c r="D219" s="24">
        <f t="shared" si="4"/>
        <v>1619.3023026315789</v>
      </c>
      <c r="E219" s="50">
        <f>+D219/$D$268</f>
        <v>4.414656544857509E-4</v>
      </c>
      <c r="F219" s="51"/>
    </row>
    <row r="220" spans="1:6" ht="15.75" customHeight="1" x14ac:dyDescent="0.25">
      <c r="A220" t="s">
        <v>789</v>
      </c>
      <c r="C220">
        <v>30158800</v>
      </c>
      <c r="D220" s="24">
        <f t="shared" si="4"/>
        <v>19841.315789473683</v>
      </c>
      <c r="E220" s="50">
        <f>+D220/$D$268</f>
        <v>5.4092799390351729E-3</v>
      </c>
      <c r="F220" s="51"/>
    </row>
    <row r="221" spans="1:6" ht="15.75" customHeight="1" x14ac:dyDescent="0.25">
      <c r="A221" t="s">
        <v>1304</v>
      </c>
      <c r="C221">
        <v>1962922.5</v>
      </c>
      <c r="D221" s="24">
        <f t="shared" si="4"/>
        <v>1291.3963815789473</v>
      </c>
      <c r="E221" s="50">
        <f>+D221/$D$268</f>
        <v>3.5206962150784415E-4</v>
      </c>
      <c r="F221" s="51"/>
    </row>
    <row r="222" spans="1:6" ht="15.75" customHeight="1" x14ac:dyDescent="0.25">
      <c r="A222" t="s">
        <v>946</v>
      </c>
      <c r="C222">
        <v>809020771.20000005</v>
      </c>
      <c r="D222" s="24">
        <f t="shared" si="4"/>
        <v>532250.50736842107</v>
      </c>
      <c r="E222" s="50">
        <f>+D222/$D$268</f>
        <v>0.14510590036456772</v>
      </c>
      <c r="F222" s="51"/>
    </row>
    <row r="223" spans="1:6" ht="15.75" customHeight="1" x14ac:dyDescent="0.25">
      <c r="A223" t="s">
        <v>435</v>
      </c>
      <c r="C223">
        <v>389669.25</v>
      </c>
      <c r="D223" s="24">
        <f t="shared" si="4"/>
        <v>256.36134868421055</v>
      </c>
      <c r="E223" s="50">
        <f>+D223/$D$268</f>
        <v>6.9891045296360669E-5</v>
      </c>
      <c r="F223" s="51"/>
    </row>
    <row r="224" spans="1:6" ht="15.75" customHeight="1" x14ac:dyDescent="0.25">
      <c r="A224" t="s">
        <v>437</v>
      </c>
      <c r="C224">
        <v>81036000</v>
      </c>
      <c r="D224" s="24">
        <f t="shared" si="4"/>
        <v>53313.15789473684</v>
      </c>
      <c r="E224" s="50">
        <f>+D224/$D$268</f>
        <v>1.4534610433427533E-2</v>
      </c>
      <c r="F224" s="51"/>
    </row>
    <row r="225" spans="1:6" ht="15.75" customHeight="1" x14ac:dyDescent="0.25">
      <c r="A225" t="s">
        <v>439</v>
      </c>
      <c r="C225">
        <v>8115779.6100000003</v>
      </c>
      <c r="D225" s="24">
        <f t="shared" si="4"/>
        <v>5339.3286907894735</v>
      </c>
      <c r="E225" s="50">
        <f>+D225/$D$268</f>
        <v>1.4556455772114175E-3</v>
      </c>
      <c r="F225" s="51"/>
    </row>
    <row r="226" spans="1:6" ht="15.75" customHeight="1" x14ac:dyDescent="0.25">
      <c r="A226" t="s">
        <v>441</v>
      </c>
      <c r="C226">
        <v>8603100</v>
      </c>
      <c r="D226" s="24">
        <f t="shared" si="4"/>
        <v>5659.9342105263158</v>
      </c>
      <c r="E226" s="50">
        <f>+D226/$D$268</f>
        <v>1.5430513231134363E-3</v>
      </c>
      <c r="F226" s="51"/>
    </row>
    <row r="227" spans="1:6" ht="15.75" customHeight="1" x14ac:dyDescent="0.25">
      <c r="A227" t="s">
        <v>518</v>
      </c>
      <c r="C227">
        <v>31395600</v>
      </c>
      <c r="D227" s="24">
        <f t="shared" si="4"/>
        <v>20655</v>
      </c>
      <c r="E227" s="50">
        <f>+D227/$D$268</f>
        <v>5.6311122874243237E-3</v>
      </c>
      <c r="F227" s="51"/>
    </row>
    <row r="228" spans="1:6" ht="15.75" customHeight="1" x14ac:dyDescent="0.25">
      <c r="A228" t="s">
        <v>445</v>
      </c>
      <c r="C228">
        <v>25876207.34</v>
      </c>
      <c r="D228" s="24">
        <f t="shared" si="4"/>
        <v>17023.820618421054</v>
      </c>
      <c r="E228" s="50">
        <f>+D228/$D$268</f>
        <v>4.641154464454047E-3</v>
      </c>
      <c r="F228" s="51"/>
    </row>
    <row r="229" spans="1:6" ht="15.75" customHeight="1" x14ac:dyDescent="0.25">
      <c r="A229" t="s">
        <v>520</v>
      </c>
      <c r="C229">
        <v>1555800</v>
      </c>
      <c r="D229" s="24">
        <f t="shared" si="4"/>
        <v>1023.5526315789474</v>
      </c>
      <c r="E229" s="50">
        <f>+D229/$D$268</f>
        <v>2.7904816269715382E-4</v>
      </c>
      <c r="F229" s="51"/>
    </row>
    <row r="230" spans="1:6" ht="15.75" customHeight="1" x14ac:dyDescent="0.25">
      <c r="A230" t="s">
        <v>791</v>
      </c>
      <c r="C230">
        <v>133100</v>
      </c>
      <c r="D230" s="24">
        <f t="shared" si="4"/>
        <v>87.565789473684205</v>
      </c>
      <c r="E230" s="50">
        <f>+D230/$D$268</f>
        <v>2.3872805280236002E-5</v>
      </c>
      <c r="F230" s="51"/>
    </row>
    <row r="231" spans="1:6" ht="15.75" customHeight="1" x14ac:dyDescent="0.25">
      <c r="A231" t="s">
        <v>1305</v>
      </c>
      <c r="C231">
        <v>98799.75</v>
      </c>
      <c r="D231" s="24">
        <f t="shared" si="4"/>
        <v>64.999835526315792</v>
      </c>
      <c r="E231" s="50">
        <f>+D231/$D$268</f>
        <v>1.772071520274979E-5</v>
      </c>
      <c r="F231" s="51"/>
    </row>
    <row r="232" spans="1:6" ht="15.75" customHeight="1" x14ac:dyDescent="0.25">
      <c r="A232" t="s">
        <v>947</v>
      </c>
      <c r="C232">
        <v>12978000</v>
      </c>
      <c r="D232" s="24">
        <f t="shared" si="4"/>
        <v>8538.1578947368416</v>
      </c>
      <c r="E232" s="50">
        <f>+D232/$D$268</f>
        <v>2.3277330347626058E-3</v>
      </c>
      <c r="F232" s="51"/>
    </row>
    <row r="233" spans="1:6" ht="15.75" customHeight="1" x14ac:dyDescent="0.25">
      <c r="A233" t="s">
        <v>449</v>
      </c>
      <c r="C233">
        <v>476049.94</v>
      </c>
      <c r="D233" s="24">
        <f t="shared" si="4"/>
        <v>313.19074999999998</v>
      </c>
      <c r="E233" s="50">
        <f>+D233/$D$268</f>
        <v>8.5384278897731266E-5</v>
      </c>
      <c r="F233" s="51"/>
    </row>
    <row r="234" spans="1:6" ht="15.75" customHeight="1" x14ac:dyDescent="0.25">
      <c r="A234" t="s">
        <v>451</v>
      </c>
      <c r="C234">
        <v>2032800</v>
      </c>
      <c r="D234" s="24">
        <f t="shared" si="4"/>
        <v>1337.3684210526317</v>
      </c>
      <c r="E234" s="50">
        <f>+D234/$D$268</f>
        <v>3.646028442799681E-4</v>
      </c>
      <c r="F234" s="51"/>
    </row>
    <row r="235" spans="1:6" ht="15.75" customHeight="1" x14ac:dyDescent="0.25">
      <c r="A235" t="s">
        <v>1025</v>
      </c>
      <c r="C235">
        <v>620000</v>
      </c>
      <c r="D235" s="24">
        <f t="shared" si="4"/>
        <v>407.89473684210526</v>
      </c>
      <c r="E235" s="50">
        <f>+D235/$D$268</f>
        <v>1.1120315006571241E-4</v>
      </c>
      <c r="F235" s="51"/>
    </row>
    <row r="236" spans="1:6" ht="15.75" customHeight="1" x14ac:dyDescent="0.25">
      <c r="A236" t="s">
        <v>453</v>
      </c>
      <c r="C236">
        <v>50716529.130000003</v>
      </c>
      <c r="D236" s="24">
        <f t="shared" si="4"/>
        <v>33366.137585526318</v>
      </c>
      <c r="E236" s="50">
        <f>+D236/$D$268</f>
        <v>9.0965125800894601E-3</v>
      </c>
      <c r="F236" s="51"/>
    </row>
    <row r="237" spans="1:6" ht="15.75" customHeight="1" x14ac:dyDescent="0.25">
      <c r="A237" t="s">
        <v>522</v>
      </c>
      <c r="C237">
        <v>9999787.2899999991</v>
      </c>
      <c r="D237" s="24">
        <f t="shared" si="4"/>
        <v>6578.8074276315783</v>
      </c>
      <c r="E237" s="50">
        <f>+D237/$D$268</f>
        <v>1.793561042959796E-3</v>
      </c>
      <c r="F237" s="51"/>
    </row>
    <row r="238" spans="1:6" ht="15.75" customHeight="1" x14ac:dyDescent="0.25">
      <c r="A238" t="s">
        <v>455</v>
      </c>
      <c r="C238">
        <v>68908</v>
      </c>
      <c r="D238" s="24">
        <f t="shared" si="4"/>
        <v>45.334210526315786</v>
      </c>
      <c r="E238" s="50">
        <f>+D238/$D$268</f>
        <v>1.235933333020663E-5</v>
      </c>
      <c r="F238" s="51"/>
    </row>
    <row r="239" spans="1:6" ht="15.75" customHeight="1" x14ac:dyDescent="0.25">
      <c r="A239" t="s">
        <v>1306</v>
      </c>
      <c r="C239">
        <v>935121.23</v>
      </c>
      <c r="D239" s="24">
        <f t="shared" si="4"/>
        <v>615.21133552631579</v>
      </c>
      <c r="E239" s="50">
        <f>+D239/$D$268</f>
        <v>1.67723268498909E-4</v>
      </c>
      <c r="F239" s="51"/>
    </row>
    <row r="240" spans="1:6" ht="15.75" customHeight="1" x14ac:dyDescent="0.25">
      <c r="A240" t="s">
        <v>459</v>
      </c>
      <c r="C240">
        <v>23140480.289999999</v>
      </c>
      <c r="D240" s="24">
        <f t="shared" si="4"/>
        <v>15224.000190789473</v>
      </c>
      <c r="E240" s="50">
        <f>+D240/$D$268</f>
        <v>4.1504746810992425E-3</v>
      </c>
      <c r="F240" s="51"/>
    </row>
    <row r="241" spans="1:6" ht="15.75" customHeight="1" x14ac:dyDescent="0.25">
      <c r="A241" t="s">
        <v>524</v>
      </c>
      <c r="C241">
        <v>1566653.54</v>
      </c>
      <c r="D241" s="24">
        <f t="shared" si="4"/>
        <v>1030.6931184210528</v>
      </c>
      <c r="E241" s="50">
        <f>+D241/$D$268</f>
        <v>2.8099485275741873E-4</v>
      </c>
      <c r="F241" s="51"/>
    </row>
    <row r="242" spans="1:6" ht="15.75" customHeight="1" x14ac:dyDescent="0.25">
      <c r="A242" t="s">
        <v>948</v>
      </c>
      <c r="C242">
        <v>36072.33</v>
      </c>
      <c r="D242" s="24">
        <f t="shared" si="4"/>
        <v>23.73179605263158</v>
      </c>
      <c r="E242" s="50">
        <f>+D242/$D$268</f>
        <v>6.4699302035643553E-6</v>
      </c>
      <c r="F242" s="51"/>
    </row>
    <row r="243" spans="1:6" ht="15.75" customHeight="1" x14ac:dyDescent="0.25">
      <c r="A243" t="s">
        <v>1307</v>
      </c>
      <c r="C243">
        <v>1103520</v>
      </c>
      <c r="D243" s="24">
        <f t="shared" si="4"/>
        <v>726</v>
      </c>
      <c r="E243" s="50">
        <f>+D243/$D$268</f>
        <v>1.9792725832341122E-4</v>
      </c>
      <c r="F243" s="51"/>
    </row>
    <row r="244" spans="1:6" ht="15.75" customHeight="1" x14ac:dyDescent="0.25">
      <c r="A244" t="s">
        <v>461</v>
      </c>
      <c r="C244">
        <v>3283905</v>
      </c>
      <c r="D244" s="24">
        <f t="shared" si="4"/>
        <v>2160.4638157894738</v>
      </c>
      <c r="E244" s="50">
        <f>+D244/$D$268</f>
        <v>5.8900093631700538E-4</v>
      </c>
      <c r="F244" s="51"/>
    </row>
    <row r="245" spans="1:6" ht="15.75" customHeight="1" x14ac:dyDescent="0.25">
      <c r="A245" t="s">
        <v>463</v>
      </c>
      <c r="C245">
        <v>1515774.35</v>
      </c>
      <c r="D245" s="24">
        <f t="shared" si="4"/>
        <v>997.21996710526321</v>
      </c>
      <c r="E245" s="50">
        <f>+D245/$D$268</f>
        <v>2.7186916533678663E-4</v>
      </c>
      <c r="F245" s="51"/>
    </row>
    <row r="246" spans="1:6" ht="15.75" customHeight="1" x14ac:dyDescent="0.25">
      <c r="A246" t="s">
        <v>465</v>
      </c>
      <c r="C246">
        <v>2015799.99</v>
      </c>
      <c r="D246" s="24">
        <f t="shared" si="4"/>
        <v>1326.1842039473684</v>
      </c>
      <c r="E246" s="50">
        <f>+D246/$D$268</f>
        <v>3.6155372385553478E-4</v>
      </c>
      <c r="F246" s="51"/>
    </row>
    <row r="247" spans="1:6" ht="15.75" customHeight="1" x14ac:dyDescent="0.25">
      <c r="A247" t="s">
        <v>467</v>
      </c>
      <c r="C247">
        <v>1655643</v>
      </c>
      <c r="D247" s="24">
        <f t="shared" si="4"/>
        <v>1089.2388157894736</v>
      </c>
      <c r="E247" s="50">
        <f>+D247/$D$268</f>
        <v>2.9695599513588109E-4</v>
      </c>
      <c r="F247" s="51"/>
    </row>
    <row r="248" spans="1:6" ht="15.75" customHeight="1" x14ac:dyDescent="0.25">
      <c r="A248" t="s">
        <v>1228</v>
      </c>
      <c r="C248">
        <v>49265.25</v>
      </c>
      <c r="D248" s="24">
        <f t="shared" si="4"/>
        <v>32.411348684210523</v>
      </c>
      <c r="E248" s="50">
        <f>+D248/$D$268</f>
        <v>8.8362112722174804E-6</v>
      </c>
      <c r="F248" s="51"/>
    </row>
    <row r="249" spans="1:6" ht="15.75" customHeight="1" x14ac:dyDescent="0.25">
      <c r="A249" t="s">
        <v>949</v>
      </c>
      <c r="C249">
        <v>11107800</v>
      </c>
      <c r="D249" s="24">
        <f t="shared" si="4"/>
        <v>7307.7631578947367</v>
      </c>
      <c r="E249" s="50">
        <f>+D249/$D$268</f>
        <v>1.9922941133869681E-3</v>
      </c>
      <c r="F249" s="51"/>
    </row>
    <row r="250" spans="1:6" ht="15.75" customHeight="1" x14ac:dyDescent="0.25">
      <c r="A250" t="s">
        <v>950</v>
      </c>
      <c r="C250">
        <v>4540622.21</v>
      </c>
      <c r="D250" s="24">
        <f t="shared" si="4"/>
        <v>2987.2514539473682</v>
      </c>
      <c r="E250" s="50">
        <f>+D250/$D$268</f>
        <v>8.1440563388763989E-4</v>
      </c>
      <c r="F250" s="51"/>
    </row>
    <row r="251" spans="1:6" ht="15.75" customHeight="1" x14ac:dyDescent="0.25">
      <c r="A251" t="s">
        <v>526</v>
      </c>
      <c r="C251">
        <v>3561538.32</v>
      </c>
      <c r="D251" s="24">
        <f t="shared" si="4"/>
        <v>2343.1173157894737</v>
      </c>
      <c r="E251" s="50">
        <f>+D251/$D$268</f>
        <v>6.3879722623184725E-4</v>
      </c>
      <c r="F251" s="51"/>
    </row>
    <row r="252" spans="1:6" ht="15.75" customHeight="1" x14ac:dyDescent="0.25">
      <c r="A252" t="s">
        <v>469</v>
      </c>
      <c r="C252">
        <v>-268801.75</v>
      </c>
      <c r="D252" s="24">
        <f t="shared" ref="D252:D267" si="5">+C252/$D$3</f>
        <v>-176.84325657894738</v>
      </c>
      <c r="E252" s="50">
        <f>+D252/$D$268</f>
        <v>-4.8212260230929211E-5</v>
      </c>
      <c r="F252" s="51"/>
    </row>
    <row r="253" spans="1:6" ht="15.75" customHeight="1" x14ac:dyDescent="0.25">
      <c r="A253" t="s">
        <v>1308</v>
      </c>
      <c r="C253">
        <v>2611250.85</v>
      </c>
      <c r="D253" s="24">
        <f t="shared" si="5"/>
        <v>1717.9281907894738</v>
      </c>
      <c r="E253" s="50">
        <f>+D253/$D$268</f>
        <v>4.6835374214801467E-4</v>
      </c>
      <c r="F253" s="51"/>
    </row>
    <row r="254" spans="1:6" ht="15.75" customHeight="1" x14ac:dyDescent="0.25">
      <c r="A254" t="s">
        <v>528</v>
      </c>
      <c r="C254">
        <v>1619601.19</v>
      </c>
      <c r="D254" s="24">
        <f t="shared" si="5"/>
        <v>1065.5270986842104</v>
      </c>
      <c r="E254" s="50">
        <f>+D254/$D$268</f>
        <v>2.9049153899705866E-4</v>
      </c>
      <c r="F254" s="51"/>
    </row>
    <row r="255" spans="1:6" ht="15.75" customHeight="1" x14ac:dyDescent="0.25">
      <c r="A255" t="s">
        <v>471</v>
      </c>
      <c r="C255">
        <v>2114020.04</v>
      </c>
      <c r="D255" s="24">
        <f t="shared" si="5"/>
        <v>1390.802657894737</v>
      </c>
      <c r="E255" s="50">
        <f>+D255/$D$268</f>
        <v>3.7917046411297317E-4</v>
      </c>
      <c r="F255" s="51"/>
    </row>
    <row r="256" spans="1:6" ht="15.75" customHeight="1" x14ac:dyDescent="0.25">
      <c r="A256" t="s">
        <v>473</v>
      </c>
      <c r="C256">
        <v>154892342.12</v>
      </c>
      <c r="D256" s="24">
        <f t="shared" si="5"/>
        <v>101902.85665789474</v>
      </c>
      <c r="E256" s="50">
        <f>+D256/$D$268</f>
        <v>2.7781478007741979E-2</v>
      </c>
      <c r="F256" s="51"/>
    </row>
    <row r="257" spans="1:21" ht="15.75" customHeight="1" x14ac:dyDescent="0.25">
      <c r="A257" t="s">
        <v>994</v>
      </c>
      <c r="C257">
        <v>596640</v>
      </c>
      <c r="D257" s="24">
        <f t="shared" si="5"/>
        <v>392.5263157894737</v>
      </c>
      <c r="E257" s="50">
        <f>+D257/$D$268</f>
        <v>1.0701330234710751E-4</v>
      </c>
      <c r="F257" s="51"/>
    </row>
    <row r="258" spans="1:21" ht="15.75" customHeight="1" x14ac:dyDescent="0.25">
      <c r="A258" t="s">
        <v>998</v>
      </c>
      <c r="C258">
        <v>5436651</v>
      </c>
      <c r="D258" s="24">
        <f t="shared" si="5"/>
        <v>3576.7440789473685</v>
      </c>
      <c r="E258" s="50">
        <f>+D258/$D$268</f>
        <v>9.7511728549662174E-4</v>
      </c>
      <c r="F258" s="51"/>
    </row>
    <row r="259" spans="1:21" ht="15.75" customHeight="1" x14ac:dyDescent="0.25">
      <c r="A259" t="s">
        <v>951</v>
      </c>
      <c r="C259">
        <v>10600000</v>
      </c>
      <c r="D259" s="24">
        <f t="shared" si="5"/>
        <v>6973.6842105263158</v>
      </c>
      <c r="E259" s="50">
        <f>+D259/$D$268</f>
        <v>1.9012151462847607E-3</v>
      </c>
      <c r="F259" s="51"/>
    </row>
    <row r="260" spans="1:21" ht="15.75" customHeight="1" x14ac:dyDescent="0.25">
      <c r="A260" t="s">
        <v>475</v>
      </c>
      <c r="C260">
        <v>125643002</v>
      </c>
      <c r="D260" s="24">
        <f t="shared" si="5"/>
        <v>82659.869736842098</v>
      </c>
      <c r="E260" s="50">
        <f>+D260/$D$268</f>
        <v>2.2535318719536457E-2</v>
      </c>
      <c r="F260" s="51"/>
    </row>
    <row r="261" spans="1:21" ht="15.75" customHeight="1" x14ac:dyDescent="0.25">
      <c r="A261" t="s">
        <v>477</v>
      </c>
      <c r="C261">
        <v>495229359.42000002</v>
      </c>
      <c r="D261" s="24">
        <f t="shared" si="5"/>
        <v>325808.78909210529</v>
      </c>
      <c r="E261" s="50">
        <f>+D261/$D$268</f>
        <v>8.8824298020207887E-2</v>
      </c>
      <c r="F261" s="51"/>
    </row>
    <row r="262" spans="1:21" ht="15.75" customHeight="1" x14ac:dyDescent="0.25">
      <c r="A262" t="s">
        <v>479</v>
      </c>
      <c r="C262">
        <v>140602</v>
      </c>
      <c r="D262" s="24">
        <f t="shared" si="5"/>
        <v>92.501315789473679</v>
      </c>
      <c r="E262" s="50">
        <f>+D262/$D$268</f>
        <v>2.5218363396031123E-5</v>
      </c>
      <c r="F262" s="51"/>
    </row>
    <row r="263" spans="1:21" ht="15.75" customHeight="1" x14ac:dyDescent="0.25">
      <c r="A263" t="s">
        <v>530</v>
      </c>
      <c r="C263">
        <v>519345.07</v>
      </c>
      <c r="D263" s="24">
        <f t="shared" si="5"/>
        <v>341.67438815789473</v>
      </c>
      <c r="E263" s="50">
        <f>+D263/$D$268</f>
        <v>9.314968992757728E-5</v>
      </c>
      <c r="F263" s="51"/>
    </row>
    <row r="264" spans="1:21" ht="15.75" customHeight="1" x14ac:dyDescent="0.25">
      <c r="A264" t="s">
        <v>834</v>
      </c>
      <c r="C264">
        <v>6484747.5199999996</v>
      </c>
      <c r="D264" s="24">
        <f t="shared" si="5"/>
        <v>4266.2812631578945</v>
      </c>
      <c r="E264" s="50">
        <f>+D264/$D$268</f>
        <v>1.1631037929109942E-3</v>
      </c>
      <c r="F264" s="51"/>
    </row>
    <row r="265" spans="1:21" ht="15.75" customHeight="1" x14ac:dyDescent="0.25">
      <c r="A265" t="s">
        <v>952</v>
      </c>
      <c r="C265">
        <v>19422105</v>
      </c>
      <c r="D265" s="24">
        <f t="shared" si="5"/>
        <v>12777.700657894737</v>
      </c>
      <c r="E265" s="50">
        <f>+D265/$D$268</f>
        <v>3.4835471885597152E-3</v>
      </c>
      <c r="F265" s="51"/>
    </row>
    <row r="266" spans="1:21" ht="15.75" customHeight="1" x14ac:dyDescent="0.25">
      <c r="A266" t="s">
        <v>484</v>
      </c>
      <c r="C266">
        <v>558187663.84000003</v>
      </c>
      <c r="D266" s="24">
        <f t="shared" si="5"/>
        <v>367228.72621052637</v>
      </c>
      <c r="E266" s="50">
        <f>+D266/$D$268</f>
        <v>0.1001164944303693</v>
      </c>
      <c r="F266" s="51"/>
    </row>
    <row r="267" spans="1:21" ht="15.75" customHeight="1" x14ac:dyDescent="0.25">
      <c r="A267" t="s">
        <v>1309</v>
      </c>
      <c r="C267">
        <v>1580000</v>
      </c>
      <c r="D267" s="24">
        <f t="shared" si="5"/>
        <v>1039.4736842105262</v>
      </c>
      <c r="E267" s="50">
        <f>+D267/$D$268</f>
        <v>2.8338867274810579E-4</v>
      </c>
      <c r="F267" s="51"/>
    </row>
    <row r="268" spans="1:21" ht="18" customHeight="1" x14ac:dyDescent="0.25">
      <c r="A268" s="41" t="s">
        <v>166</v>
      </c>
      <c r="B268" s="42"/>
      <c r="C268" s="43">
        <f>SUM(C5:C267)</f>
        <v>5575381629.329999</v>
      </c>
      <c r="D268" s="43">
        <f>SUM(D5:D267)</f>
        <v>3668014.2298223674</v>
      </c>
      <c r="E268" s="43">
        <f>SUM(E5:E267)</f>
        <v>1.0000000000000007</v>
      </c>
      <c r="F268" s="42"/>
      <c r="K268" t="s">
        <v>224</v>
      </c>
      <c r="L268" t="s">
        <v>225</v>
      </c>
      <c r="M268" t="s">
        <v>540</v>
      </c>
      <c r="N268" t="s">
        <v>595</v>
      </c>
      <c r="O268">
        <v>17200000</v>
      </c>
      <c r="P268" t="s">
        <v>596</v>
      </c>
      <c r="Q268">
        <v>81112000</v>
      </c>
      <c r="R268">
        <v>30000000</v>
      </c>
      <c r="S268">
        <v>0</v>
      </c>
      <c r="T268">
        <v>59850000</v>
      </c>
      <c r="U268">
        <v>188162000</v>
      </c>
    </row>
    <row r="269" spans="1:21" x14ac:dyDescent="0.25">
      <c r="K269" t="s">
        <v>228</v>
      </c>
      <c r="L269" t="s">
        <v>227</v>
      </c>
      <c r="M269" t="s">
        <v>540</v>
      </c>
      <c r="N269" t="s">
        <v>597</v>
      </c>
      <c r="O269">
        <v>0</v>
      </c>
      <c r="P269" t="s">
        <v>598</v>
      </c>
      <c r="Q269">
        <v>72096293.780000001</v>
      </c>
      <c r="R269">
        <v>0</v>
      </c>
      <c r="S269">
        <v>0</v>
      </c>
      <c r="T269">
        <v>0</v>
      </c>
      <c r="U269">
        <v>72096293.780000001</v>
      </c>
    </row>
    <row r="270" spans="1:21" ht="15" customHeight="1" x14ac:dyDescent="0.25">
      <c r="A270" s="83" t="s">
        <v>167</v>
      </c>
      <c r="B270" s="83"/>
      <c r="C270" s="83"/>
      <c r="D270" s="83"/>
      <c r="E270" s="83"/>
      <c r="F270" s="83"/>
      <c r="K270" t="s">
        <v>229</v>
      </c>
      <c r="L270" t="s">
        <v>227</v>
      </c>
      <c r="M270" t="s">
        <v>540</v>
      </c>
      <c r="N270" t="s">
        <v>597</v>
      </c>
      <c r="O270">
        <v>0</v>
      </c>
      <c r="P270" t="s">
        <v>598</v>
      </c>
      <c r="Q270">
        <v>73352280.769999996</v>
      </c>
      <c r="R270">
        <v>0</v>
      </c>
      <c r="S270">
        <v>0</v>
      </c>
      <c r="T270">
        <v>0</v>
      </c>
      <c r="U270">
        <v>73352280.769999996</v>
      </c>
    </row>
    <row r="271" spans="1:21" x14ac:dyDescent="0.25">
      <c r="K271" t="s">
        <v>1143</v>
      </c>
      <c r="L271" t="s">
        <v>1144</v>
      </c>
      <c r="M271" t="s">
        <v>540</v>
      </c>
      <c r="N271" t="s">
        <v>589</v>
      </c>
      <c r="O271">
        <v>560405.35</v>
      </c>
      <c r="P271" t="s">
        <v>590</v>
      </c>
      <c r="Q271">
        <v>0</v>
      </c>
      <c r="R271">
        <v>0</v>
      </c>
      <c r="S271">
        <v>0</v>
      </c>
      <c r="T271">
        <v>0</v>
      </c>
      <c r="U271">
        <v>560405.35</v>
      </c>
    </row>
    <row r="272" spans="1:21" x14ac:dyDescent="0.25">
      <c r="K272" t="s">
        <v>861</v>
      </c>
      <c r="L272" t="s">
        <v>862</v>
      </c>
      <c r="M272" t="s">
        <v>540</v>
      </c>
      <c r="N272" t="s">
        <v>863</v>
      </c>
      <c r="O272">
        <v>0</v>
      </c>
      <c r="P272" t="s">
        <v>864</v>
      </c>
      <c r="Q272">
        <v>2504920.48</v>
      </c>
      <c r="R272">
        <v>7246169.25</v>
      </c>
      <c r="S272">
        <v>0</v>
      </c>
      <c r="T272">
        <v>0</v>
      </c>
      <c r="U272">
        <v>9751089.7300000004</v>
      </c>
    </row>
    <row r="273" spans="11:21" x14ac:dyDescent="0.25">
      <c r="K273" t="s">
        <v>232</v>
      </c>
      <c r="L273" t="s">
        <v>233</v>
      </c>
      <c r="M273" t="s">
        <v>540</v>
      </c>
      <c r="N273" t="s">
        <v>601</v>
      </c>
      <c r="O273">
        <v>10003969.5</v>
      </c>
      <c r="P273" t="s">
        <v>602</v>
      </c>
      <c r="Q273">
        <v>5622496.4199999999</v>
      </c>
      <c r="R273">
        <v>0</v>
      </c>
      <c r="S273">
        <v>0</v>
      </c>
      <c r="T273">
        <v>0</v>
      </c>
      <c r="U273">
        <v>15626465.92</v>
      </c>
    </row>
    <row r="274" spans="11:21" x14ac:dyDescent="0.25">
      <c r="K274" t="s">
        <v>1145</v>
      </c>
      <c r="L274" t="s">
        <v>1146</v>
      </c>
      <c r="M274" t="s">
        <v>540</v>
      </c>
      <c r="N274" t="s">
        <v>1147</v>
      </c>
      <c r="O274">
        <v>119200</v>
      </c>
      <c r="P274" t="s">
        <v>1148</v>
      </c>
      <c r="Q274">
        <v>0</v>
      </c>
      <c r="R274">
        <v>0</v>
      </c>
      <c r="S274">
        <v>0</v>
      </c>
      <c r="T274">
        <v>0</v>
      </c>
      <c r="U274">
        <v>119200</v>
      </c>
    </row>
    <row r="275" spans="11:21" x14ac:dyDescent="0.25">
      <c r="K275" t="s">
        <v>234</v>
      </c>
      <c r="L275" t="s">
        <v>235</v>
      </c>
      <c r="M275" t="s">
        <v>540</v>
      </c>
      <c r="N275" t="s">
        <v>603</v>
      </c>
      <c r="O275">
        <v>0</v>
      </c>
      <c r="P275" t="s">
        <v>604</v>
      </c>
      <c r="Q275">
        <v>0</v>
      </c>
      <c r="R275">
        <v>0</v>
      </c>
      <c r="S275">
        <v>0</v>
      </c>
      <c r="T275">
        <v>-204.43</v>
      </c>
      <c r="U275">
        <v>-204.43</v>
      </c>
    </row>
    <row r="276" spans="11:21" x14ac:dyDescent="0.25">
      <c r="K276" t="s">
        <v>956</v>
      </c>
      <c r="L276" t="s">
        <v>957</v>
      </c>
      <c r="M276" t="s">
        <v>540</v>
      </c>
      <c r="N276" t="s">
        <v>569</v>
      </c>
      <c r="O276">
        <v>0</v>
      </c>
      <c r="P276" t="s">
        <v>570</v>
      </c>
      <c r="Q276">
        <v>0</v>
      </c>
      <c r="R276">
        <v>204974</v>
      </c>
      <c r="S276">
        <v>0</v>
      </c>
      <c r="T276">
        <v>0</v>
      </c>
      <c r="U276">
        <v>204974</v>
      </c>
    </row>
    <row r="277" spans="11:21" x14ac:dyDescent="0.25">
      <c r="K277" t="s">
        <v>1149</v>
      </c>
      <c r="L277" t="s">
        <v>1150</v>
      </c>
      <c r="M277" t="s">
        <v>540</v>
      </c>
      <c r="N277" t="s">
        <v>631</v>
      </c>
      <c r="O277">
        <v>1290000</v>
      </c>
      <c r="P277" t="s">
        <v>632</v>
      </c>
      <c r="Q277">
        <v>0</v>
      </c>
      <c r="R277">
        <v>0</v>
      </c>
      <c r="S277">
        <v>0</v>
      </c>
      <c r="T277">
        <v>0</v>
      </c>
      <c r="U277">
        <v>1290000</v>
      </c>
    </row>
    <row r="278" spans="11:21" x14ac:dyDescent="0.25">
      <c r="K278" t="s">
        <v>236</v>
      </c>
      <c r="L278" t="s">
        <v>237</v>
      </c>
      <c r="M278" t="s">
        <v>540</v>
      </c>
      <c r="N278" t="s">
        <v>553</v>
      </c>
      <c r="O278">
        <v>5986113.9800000004</v>
      </c>
      <c r="P278" t="s">
        <v>554</v>
      </c>
      <c r="Q278">
        <v>0</v>
      </c>
      <c r="R278">
        <v>0</v>
      </c>
      <c r="S278">
        <v>0</v>
      </c>
      <c r="T278">
        <v>0</v>
      </c>
      <c r="U278">
        <v>5986113.9800000004</v>
      </c>
    </row>
    <row r="279" spans="11:21" x14ac:dyDescent="0.25">
      <c r="K279" t="s">
        <v>1032</v>
      </c>
      <c r="L279" t="s">
        <v>1033</v>
      </c>
      <c r="M279" t="s">
        <v>540</v>
      </c>
      <c r="N279" t="s">
        <v>954</v>
      </c>
      <c r="O279">
        <v>4450622</v>
      </c>
      <c r="P279" t="s">
        <v>955</v>
      </c>
      <c r="Q279">
        <v>0</v>
      </c>
      <c r="R279">
        <v>0</v>
      </c>
      <c r="S279">
        <v>0</v>
      </c>
      <c r="T279">
        <v>0</v>
      </c>
      <c r="U279">
        <v>4450622</v>
      </c>
    </row>
    <row r="280" spans="11:21" x14ac:dyDescent="0.25">
      <c r="K280" t="s">
        <v>238</v>
      </c>
      <c r="L280" t="s">
        <v>239</v>
      </c>
      <c r="M280" t="s">
        <v>540</v>
      </c>
      <c r="N280" t="s">
        <v>605</v>
      </c>
      <c r="O280">
        <v>0</v>
      </c>
      <c r="P280" t="s">
        <v>606</v>
      </c>
      <c r="Q280">
        <v>561415.81000000006</v>
      </c>
      <c r="R280">
        <v>493716.31</v>
      </c>
      <c r="S280">
        <v>0</v>
      </c>
      <c r="T280">
        <v>0</v>
      </c>
      <c r="U280">
        <v>1055132.1200000001</v>
      </c>
    </row>
    <row r="281" spans="11:21" x14ac:dyDescent="0.25">
      <c r="K281" t="s">
        <v>1151</v>
      </c>
      <c r="L281" t="s">
        <v>1152</v>
      </c>
      <c r="M281" t="s">
        <v>540</v>
      </c>
      <c r="N281" t="s">
        <v>710</v>
      </c>
      <c r="O281">
        <v>2934008</v>
      </c>
      <c r="P281" t="s">
        <v>711</v>
      </c>
      <c r="Q281">
        <v>2924328</v>
      </c>
      <c r="R281">
        <v>0</v>
      </c>
      <c r="S281">
        <v>0</v>
      </c>
      <c r="T281">
        <v>0</v>
      </c>
      <c r="U281">
        <v>5858336</v>
      </c>
    </row>
    <row r="282" spans="11:21" x14ac:dyDescent="0.25">
      <c r="K282" t="s">
        <v>240</v>
      </c>
      <c r="L282" t="s">
        <v>241</v>
      </c>
      <c r="M282" t="s">
        <v>540</v>
      </c>
      <c r="N282" t="s">
        <v>607</v>
      </c>
      <c r="O282">
        <v>4818624.34</v>
      </c>
      <c r="P282" t="s">
        <v>608</v>
      </c>
      <c r="Q282">
        <v>11669472.35</v>
      </c>
      <c r="R282">
        <v>0</v>
      </c>
      <c r="S282">
        <v>0</v>
      </c>
      <c r="T282">
        <v>0</v>
      </c>
      <c r="U282">
        <v>16488096.689999999</v>
      </c>
    </row>
    <row r="283" spans="11:21" x14ac:dyDescent="0.25">
      <c r="K283" t="s">
        <v>242</v>
      </c>
      <c r="L283" t="s">
        <v>243</v>
      </c>
      <c r="M283" t="s">
        <v>540</v>
      </c>
      <c r="N283" t="s">
        <v>609</v>
      </c>
      <c r="O283">
        <v>1122980.99</v>
      </c>
      <c r="P283" t="s">
        <v>610</v>
      </c>
      <c r="Q283">
        <v>0</v>
      </c>
      <c r="R283">
        <v>0</v>
      </c>
      <c r="S283">
        <v>0</v>
      </c>
      <c r="T283">
        <v>0</v>
      </c>
      <c r="U283">
        <v>1122980.99</v>
      </c>
    </row>
    <row r="284" spans="11:21" x14ac:dyDescent="0.25">
      <c r="K284" t="s">
        <v>244</v>
      </c>
      <c r="L284" t="s">
        <v>245</v>
      </c>
      <c r="M284" t="s">
        <v>540</v>
      </c>
      <c r="N284" t="s">
        <v>573</v>
      </c>
      <c r="O284">
        <v>93482.1</v>
      </c>
      <c r="P284" t="s">
        <v>574</v>
      </c>
      <c r="Q284">
        <v>927544.11</v>
      </c>
      <c r="R284">
        <v>0</v>
      </c>
      <c r="S284">
        <v>0</v>
      </c>
      <c r="T284">
        <v>0</v>
      </c>
      <c r="U284">
        <v>1021026.21</v>
      </c>
    </row>
    <row r="285" spans="11:21" x14ac:dyDescent="0.25">
      <c r="K285" t="s">
        <v>246</v>
      </c>
      <c r="L285" t="s">
        <v>247</v>
      </c>
      <c r="M285" t="s">
        <v>540</v>
      </c>
      <c r="N285" t="s">
        <v>553</v>
      </c>
      <c r="O285">
        <v>1684417.3</v>
      </c>
      <c r="P285" t="s">
        <v>554</v>
      </c>
      <c r="Q285">
        <v>0</v>
      </c>
      <c r="R285">
        <v>0</v>
      </c>
      <c r="S285">
        <v>0</v>
      </c>
      <c r="T285">
        <v>0</v>
      </c>
      <c r="U285">
        <v>1684417.3</v>
      </c>
    </row>
    <row r="286" spans="11:21" x14ac:dyDescent="0.25">
      <c r="K286" t="s">
        <v>248</v>
      </c>
      <c r="L286" t="s">
        <v>249</v>
      </c>
      <c r="M286" t="s">
        <v>540</v>
      </c>
      <c r="N286" t="s">
        <v>553</v>
      </c>
      <c r="O286">
        <v>2055259.54</v>
      </c>
      <c r="P286" t="s">
        <v>554</v>
      </c>
      <c r="Q286">
        <v>0</v>
      </c>
      <c r="R286">
        <v>0</v>
      </c>
      <c r="S286">
        <v>0</v>
      </c>
      <c r="T286">
        <v>0</v>
      </c>
      <c r="U286">
        <v>2055259.54</v>
      </c>
    </row>
    <row r="287" spans="11:21" x14ac:dyDescent="0.25">
      <c r="K287" t="s">
        <v>958</v>
      </c>
      <c r="L287" t="s">
        <v>933</v>
      </c>
      <c r="M287" t="s">
        <v>540</v>
      </c>
      <c r="N287" t="s">
        <v>615</v>
      </c>
      <c r="O287">
        <v>0</v>
      </c>
      <c r="P287" t="s">
        <v>616</v>
      </c>
      <c r="Q287">
        <v>2732223</v>
      </c>
      <c r="R287">
        <v>0</v>
      </c>
      <c r="S287">
        <v>0</v>
      </c>
      <c r="T287">
        <v>0</v>
      </c>
      <c r="U287">
        <v>2732223</v>
      </c>
    </row>
    <row r="288" spans="11:21" x14ac:dyDescent="0.25">
      <c r="K288" t="s">
        <v>613</v>
      </c>
      <c r="L288" t="s">
        <v>614</v>
      </c>
      <c r="M288" t="s">
        <v>540</v>
      </c>
      <c r="N288" t="s">
        <v>615</v>
      </c>
      <c r="O288">
        <v>0</v>
      </c>
      <c r="P288" t="s">
        <v>616</v>
      </c>
      <c r="Q288">
        <v>5448610</v>
      </c>
      <c r="R288">
        <v>0</v>
      </c>
      <c r="S288">
        <v>0</v>
      </c>
      <c r="T288">
        <v>0</v>
      </c>
      <c r="U288">
        <v>5448610</v>
      </c>
    </row>
    <row r="289" spans="11:21" x14ac:dyDescent="0.25">
      <c r="K289" t="s">
        <v>250</v>
      </c>
      <c r="L289" t="s">
        <v>251</v>
      </c>
      <c r="M289" t="s">
        <v>540</v>
      </c>
      <c r="N289" t="s">
        <v>617</v>
      </c>
      <c r="O289">
        <v>3824226.56</v>
      </c>
      <c r="P289" t="s">
        <v>618</v>
      </c>
      <c r="Q289">
        <v>1089440.77</v>
      </c>
      <c r="R289">
        <v>0</v>
      </c>
      <c r="S289">
        <v>0</v>
      </c>
      <c r="T289">
        <v>16896865.920000002</v>
      </c>
      <c r="U289">
        <v>21810533.25</v>
      </c>
    </row>
    <row r="290" spans="11:21" x14ac:dyDescent="0.25">
      <c r="K290" t="s">
        <v>738</v>
      </c>
      <c r="L290" t="s">
        <v>739</v>
      </c>
      <c r="M290" t="s">
        <v>540</v>
      </c>
      <c r="N290" t="s">
        <v>740</v>
      </c>
      <c r="O290">
        <v>129011.68</v>
      </c>
      <c r="P290" t="s">
        <v>741</v>
      </c>
      <c r="Q290">
        <v>78007.06</v>
      </c>
      <c r="R290">
        <v>0</v>
      </c>
      <c r="S290">
        <v>0</v>
      </c>
      <c r="T290">
        <v>0</v>
      </c>
      <c r="U290">
        <v>207018.74</v>
      </c>
    </row>
    <row r="291" spans="11:21" x14ac:dyDescent="0.25">
      <c r="K291" t="s">
        <v>256</v>
      </c>
      <c r="L291" t="s">
        <v>257</v>
      </c>
      <c r="M291" t="s">
        <v>540</v>
      </c>
      <c r="N291" t="s">
        <v>585</v>
      </c>
      <c r="O291">
        <v>4525763</v>
      </c>
      <c r="P291" t="s">
        <v>586</v>
      </c>
      <c r="Q291">
        <v>8179600</v>
      </c>
      <c r="R291">
        <v>0</v>
      </c>
      <c r="S291">
        <v>0</v>
      </c>
      <c r="T291">
        <v>0</v>
      </c>
      <c r="U291">
        <v>12705363</v>
      </c>
    </row>
    <row r="292" spans="11:21" x14ac:dyDescent="0.25">
      <c r="K292" t="s">
        <v>1153</v>
      </c>
      <c r="L292" t="s">
        <v>1154</v>
      </c>
      <c r="M292" t="s">
        <v>540</v>
      </c>
      <c r="N292" t="s">
        <v>1155</v>
      </c>
      <c r="O292">
        <v>224585038.05000001</v>
      </c>
      <c r="P292" t="s">
        <v>1156</v>
      </c>
      <c r="Q292">
        <v>0</v>
      </c>
      <c r="R292">
        <v>0</v>
      </c>
      <c r="S292">
        <v>0</v>
      </c>
      <c r="T292">
        <v>0</v>
      </c>
      <c r="U292">
        <v>224585038.05000001</v>
      </c>
    </row>
    <row r="293" spans="11:21" x14ac:dyDescent="0.25">
      <c r="K293" t="s">
        <v>1157</v>
      </c>
      <c r="L293" t="s">
        <v>1158</v>
      </c>
      <c r="M293" t="s">
        <v>540</v>
      </c>
      <c r="N293" t="s">
        <v>1155</v>
      </c>
      <c r="O293">
        <v>14857649.17</v>
      </c>
      <c r="P293" t="s">
        <v>1156</v>
      </c>
      <c r="Q293">
        <v>0</v>
      </c>
      <c r="R293">
        <v>0</v>
      </c>
      <c r="S293">
        <v>0</v>
      </c>
      <c r="T293">
        <v>0</v>
      </c>
      <c r="U293">
        <v>14857649.17</v>
      </c>
    </row>
    <row r="294" spans="11:21" x14ac:dyDescent="0.25">
      <c r="K294" t="s">
        <v>258</v>
      </c>
      <c r="L294" t="s">
        <v>259</v>
      </c>
      <c r="M294" t="s">
        <v>540</v>
      </c>
      <c r="N294" t="s">
        <v>563</v>
      </c>
      <c r="O294">
        <v>0</v>
      </c>
      <c r="P294" t="s">
        <v>564</v>
      </c>
      <c r="Q294">
        <v>2090000</v>
      </c>
      <c r="R294">
        <v>0</v>
      </c>
      <c r="S294">
        <v>0</v>
      </c>
      <c r="T294">
        <v>0</v>
      </c>
      <c r="U294">
        <v>2090000</v>
      </c>
    </row>
    <row r="295" spans="11:21" x14ac:dyDescent="0.25">
      <c r="K295" t="s">
        <v>260</v>
      </c>
      <c r="L295" t="s">
        <v>261</v>
      </c>
      <c r="M295" t="s">
        <v>540</v>
      </c>
      <c r="N295" t="s">
        <v>615</v>
      </c>
      <c r="O295">
        <v>8190001.1600000001</v>
      </c>
      <c r="P295" t="s">
        <v>616</v>
      </c>
      <c r="Q295">
        <v>15232001.51</v>
      </c>
      <c r="R295">
        <v>0</v>
      </c>
      <c r="S295">
        <v>0</v>
      </c>
      <c r="T295">
        <v>0</v>
      </c>
      <c r="U295">
        <v>23422002.670000002</v>
      </c>
    </row>
    <row r="296" spans="11:21" x14ac:dyDescent="0.25">
      <c r="K296" t="s">
        <v>262</v>
      </c>
      <c r="L296" t="s">
        <v>263</v>
      </c>
      <c r="M296" t="s">
        <v>540</v>
      </c>
      <c r="N296" t="s">
        <v>621</v>
      </c>
      <c r="O296">
        <v>900600.15</v>
      </c>
      <c r="P296" t="s">
        <v>622</v>
      </c>
      <c r="Q296">
        <v>1836257.45</v>
      </c>
      <c r="R296">
        <v>0</v>
      </c>
      <c r="S296">
        <v>0</v>
      </c>
      <c r="T296">
        <v>0</v>
      </c>
      <c r="U296">
        <v>2736857.6</v>
      </c>
    </row>
    <row r="297" spans="11:21" x14ac:dyDescent="0.25">
      <c r="K297" t="s">
        <v>264</v>
      </c>
      <c r="L297" t="s">
        <v>265</v>
      </c>
      <c r="M297" t="s">
        <v>540</v>
      </c>
      <c r="N297" t="s">
        <v>623</v>
      </c>
      <c r="O297">
        <v>7883556.4299999997</v>
      </c>
      <c r="P297" t="s">
        <v>624</v>
      </c>
      <c r="Q297">
        <v>22850026.02</v>
      </c>
      <c r="R297">
        <v>8525228.3800000008</v>
      </c>
      <c r="S297">
        <v>0</v>
      </c>
      <c r="T297">
        <v>0</v>
      </c>
      <c r="U297">
        <v>39258810.829999998</v>
      </c>
    </row>
    <row r="298" spans="11:21" x14ac:dyDescent="0.25">
      <c r="K298" t="s">
        <v>266</v>
      </c>
      <c r="L298" t="s">
        <v>267</v>
      </c>
      <c r="M298" t="s">
        <v>540</v>
      </c>
      <c r="N298" t="s">
        <v>545</v>
      </c>
      <c r="O298">
        <v>1323534.06</v>
      </c>
      <c r="P298" t="s">
        <v>546</v>
      </c>
      <c r="Q298">
        <v>5751816.5</v>
      </c>
      <c r="R298">
        <v>301657.03000000003</v>
      </c>
      <c r="S298">
        <v>0</v>
      </c>
      <c r="T298">
        <v>0</v>
      </c>
      <c r="U298">
        <v>7377007.5899999999</v>
      </c>
    </row>
    <row r="299" spans="11:21" x14ac:dyDescent="0.25">
      <c r="K299" t="s">
        <v>1159</v>
      </c>
      <c r="L299" t="s">
        <v>1160</v>
      </c>
      <c r="M299" t="s">
        <v>540</v>
      </c>
      <c r="N299" t="s">
        <v>563</v>
      </c>
      <c r="O299">
        <v>0</v>
      </c>
      <c r="P299" t="s">
        <v>564</v>
      </c>
      <c r="Q299">
        <v>459800</v>
      </c>
      <c r="R299">
        <v>0</v>
      </c>
      <c r="S299">
        <v>0</v>
      </c>
      <c r="T299">
        <v>0</v>
      </c>
      <c r="U299">
        <v>459800</v>
      </c>
    </row>
    <row r="300" spans="11:21" x14ac:dyDescent="0.25">
      <c r="K300" t="s">
        <v>270</v>
      </c>
      <c r="L300" t="s">
        <v>271</v>
      </c>
      <c r="M300" t="s">
        <v>540</v>
      </c>
      <c r="N300" t="s">
        <v>601</v>
      </c>
      <c r="O300">
        <v>0</v>
      </c>
      <c r="P300" t="s">
        <v>602</v>
      </c>
      <c r="Q300">
        <v>0</v>
      </c>
      <c r="R300">
        <v>0</v>
      </c>
      <c r="S300">
        <v>0</v>
      </c>
      <c r="T300">
        <v>290181.01</v>
      </c>
      <c r="U300">
        <v>290181.01</v>
      </c>
    </row>
    <row r="301" spans="11:21" x14ac:dyDescent="0.25">
      <c r="K301" t="s">
        <v>274</v>
      </c>
      <c r="L301" t="s">
        <v>275</v>
      </c>
      <c r="M301" t="s">
        <v>540</v>
      </c>
      <c r="N301" t="s">
        <v>577</v>
      </c>
      <c r="O301">
        <v>914205.47</v>
      </c>
      <c r="P301" t="s">
        <v>578</v>
      </c>
      <c r="Q301">
        <v>0</v>
      </c>
      <c r="R301">
        <v>0</v>
      </c>
      <c r="S301">
        <v>0</v>
      </c>
      <c r="T301">
        <v>0</v>
      </c>
      <c r="U301">
        <v>914205.47</v>
      </c>
    </row>
    <row r="302" spans="11:21" x14ac:dyDescent="0.25">
      <c r="K302" t="s">
        <v>276</v>
      </c>
      <c r="L302" t="s">
        <v>277</v>
      </c>
      <c r="M302" t="s">
        <v>540</v>
      </c>
      <c r="N302" t="s">
        <v>627</v>
      </c>
      <c r="O302">
        <v>74314302.409999996</v>
      </c>
      <c r="P302" t="s">
        <v>628</v>
      </c>
      <c r="Q302">
        <v>37318460.25</v>
      </c>
      <c r="R302">
        <v>0</v>
      </c>
      <c r="S302">
        <v>0</v>
      </c>
      <c r="T302">
        <v>0</v>
      </c>
      <c r="U302">
        <v>111632762.66</v>
      </c>
    </row>
    <row r="303" spans="11:21" x14ac:dyDescent="0.25">
      <c r="K303" t="s">
        <v>810</v>
      </c>
      <c r="L303" t="s">
        <v>811</v>
      </c>
      <c r="M303" t="s">
        <v>540</v>
      </c>
      <c r="N303" t="s">
        <v>589</v>
      </c>
      <c r="O303">
        <v>0</v>
      </c>
      <c r="P303" t="s">
        <v>590</v>
      </c>
      <c r="Q303">
        <v>1545453.35</v>
      </c>
      <c r="R303">
        <v>0</v>
      </c>
      <c r="S303">
        <v>0</v>
      </c>
      <c r="T303">
        <v>0</v>
      </c>
      <c r="U303">
        <v>1545453.35</v>
      </c>
    </row>
    <row r="304" spans="11:21" x14ac:dyDescent="0.25">
      <c r="K304" t="s">
        <v>742</v>
      </c>
      <c r="L304" t="s">
        <v>743</v>
      </c>
      <c r="M304" t="s">
        <v>540</v>
      </c>
      <c r="N304" t="s">
        <v>623</v>
      </c>
      <c r="O304">
        <v>156668.35999999999</v>
      </c>
      <c r="P304" t="s">
        <v>624</v>
      </c>
      <c r="Q304">
        <v>0</v>
      </c>
      <c r="R304">
        <v>0</v>
      </c>
      <c r="S304">
        <v>0</v>
      </c>
      <c r="T304">
        <v>0</v>
      </c>
      <c r="U304">
        <v>156668.35999999999</v>
      </c>
    </row>
    <row r="305" spans="11:21" x14ac:dyDescent="0.25">
      <c r="K305" t="s">
        <v>959</v>
      </c>
      <c r="L305" t="s">
        <v>934</v>
      </c>
      <c r="M305" t="s">
        <v>540</v>
      </c>
      <c r="N305" t="s">
        <v>551</v>
      </c>
      <c r="O305">
        <v>0</v>
      </c>
      <c r="P305" t="s">
        <v>552</v>
      </c>
      <c r="Q305">
        <v>5641522.7599999998</v>
      </c>
      <c r="R305">
        <v>0</v>
      </c>
      <c r="S305">
        <v>0</v>
      </c>
      <c r="T305">
        <v>0</v>
      </c>
      <c r="U305">
        <v>5641522.7599999998</v>
      </c>
    </row>
    <row r="306" spans="11:21" x14ac:dyDescent="0.25">
      <c r="K306" t="s">
        <v>280</v>
      </c>
      <c r="L306" t="s">
        <v>281</v>
      </c>
      <c r="M306" t="s">
        <v>540</v>
      </c>
      <c r="N306" t="s">
        <v>559</v>
      </c>
      <c r="O306">
        <v>780000</v>
      </c>
      <c r="P306" t="s">
        <v>560</v>
      </c>
      <c r="Q306">
        <v>780000</v>
      </c>
      <c r="R306">
        <v>0</v>
      </c>
      <c r="S306">
        <v>0</v>
      </c>
      <c r="T306">
        <v>0</v>
      </c>
      <c r="U306">
        <v>1560000</v>
      </c>
    </row>
    <row r="307" spans="11:21" x14ac:dyDescent="0.25">
      <c r="K307" t="s">
        <v>282</v>
      </c>
      <c r="L307" t="s">
        <v>283</v>
      </c>
      <c r="M307" t="s">
        <v>540</v>
      </c>
      <c r="N307" t="s">
        <v>631</v>
      </c>
      <c r="O307">
        <v>0</v>
      </c>
      <c r="P307" t="s">
        <v>632</v>
      </c>
      <c r="Q307">
        <v>250000</v>
      </c>
      <c r="R307">
        <v>0</v>
      </c>
      <c r="S307">
        <v>0</v>
      </c>
      <c r="T307">
        <v>0</v>
      </c>
      <c r="U307">
        <v>250000</v>
      </c>
    </row>
    <row r="308" spans="11:21" x14ac:dyDescent="0.25">
      <c r="K308" t="s">
        <v>1161</v>
      </c>
      <c r="L308" t="s">
        <v>1162</v>
      </c>
      <c r="M308" t="s">
        <v>540</v>
      </c>
      <c r="N308" t="s">
        <v>601</v>
      </c>
      <c r="O308">
        <v>745360</v>
      </c>
      <c r="P308" t="s">
        <v>602</v>
      </c>
      <c r="Q308">
        <v>0</v>
      </c>
      <c r="R308">
        <v>0</v>
      </c>
      <c r="S308">
        <v>0</v>
      </c>
      <c r="T308">
        <v>0</v>
      </c>
      <c r="U308">
        <v>745360</v>
      </c>
    </row>
    <row r="309" spans="11:21" x14ac:dyDescent="0.25">
      <c r="K309" t="s">
        <v>286</v>
      </c>
      <c r="L309" t="s">
        <v>287</v>
      </c>
      <c r="M309" t="s">
        <v>540</v>
      </c>
      <c r="N309" t="s">
        <v>635</v>
      </c>
      <c r="O309">
        <v>2284782.5</v>
      </c>
      <c r="P309" t="s">
        <v>636</v>
      </c>
      <c r="Q309">
        <v>5547366</v>
      </c>
      <c r="R309">
        <v>0</v>
      </c>
      <c r="S309">
        <v>0</v>
      </c>
      <c r="T309">
        <v>0</v>
      </c>
      <c r="U309">
        <v>7832148.5</v>
      </c>
    </row>
    <row r="310" spans="11:21" x14ac:dyDescent="0.25">
      <c r="K310" t="s">
        <v>290</v>
      </c>
      <c r="L310" t="s">
        <v>291</v>
      </c>
      <c r="M310" t="s">
        <v>540</v>
      </c>
      <c r="N310" t="s">
        <v>623</v>
      </c>
      <c r="O310">
        <v>203054.78</v>
      </c>
      <c r="P310" t="s">
        <v>624</v>
      </c>
      <c r="Q310">
        <v>315110.03999999998</v>
      </c>
      <c r="R310">
        <v>1011212.81</v>
      </c>
      <c r="S310">
        <v>0</v>
      </c>
      <c r="T310">
        <v>0</v>
      </c>
      <c r="U310">
        <v>1529377.63</v>
      </c>
    </row>
    <row r="311" spans="11:21" x14ac:dyDescent="0.25">
      <c r="K311" t="s">
        <v>746</v>
      </c>
      <c r="L311" t="s">
        <v>747</v>
      </c>
      <c r="M311" t="s">
        <v>540</v>
      </c>
      <c r="N311" t="s">
        <v>589</v>
      </c>
      <c r="O311">
        <v>863907.66</v>
      </c>
      <c r="P311" t="s">
        <v>590</v>
      </c>
      <c r="Q311">
        <v>0</v>
      </c>
      <c r="R311">
        <v>7422548.5800000001</v>
      </c>
      <c r="S311">
        <v>0</v>
      </c>
      <c r="T311">
        <v>0</v>
      </c>
      <c r="U311">
        <v>8286456.2400000002</v>
      </c>
    </row>
    <row r="312" spans="11:21" x14ac:dyDescent="0.25">
      <c r="K312" t="s">
        <v>292</v>
      </c>
      <c r="L312" t="s">
        <v>293</v>
      </c>
      <c r="M312" t="s">
        <v>540</v>
      </c>
      <c r="N312" t="s">
        <v>551</v>
      </c>
      <c r="O312">
        <v>0</v>
      </c>
      <c r="P312" t="s">
        <v>552</v>
      </c>
      <c r="Q312">
        <v>3296403</v>
      </c>
      <c r="R312">
        <v>1311519.3</v>
      </c>
      <c r="S312">
        <v>0</v>
      </c>
      <c r="T312">
        <v>0</v>
      </c>
      <c r="U312">
        <v>4607922.3</v>
      </c>
    </row>
    <row r="313" spans="11:21" x14ac:dyDescent="0.25">
      <c r="K313" t="s">
        <v>294</v>
      </c>
      <c r="L313" t="s">
        <v>295</v>
      </c>
      <c r="M313" t="s">
        <v>540</v>
      </c>
      <c r="N313" t="s">
        <v>589</v>
      </c>
      <c r="O313">
        <v>0</v>
      </c>
      <c r="P313" t="s">
        <v>590</v>
      </c>
      <c r="Q313">
        <v>65521212.590000004</v>
      </c>
      <c r="R313">
        <v>0</v>
      </c>
      <c r="S313">
        <v>0</v>
      </c>
      <c r="T313">
        <v>-3904.38</v>
      </c>
      <c r="U313">
        <v>65517308.210000001</v>
      </c>
    </row>
    <row r="314" spans="11:21" x14ac:dyDescent="0.25">
      <c r="K314" t="s">
        <v>960</v>
      </c>
      <c r="L314" t="s">
        <v>935</v>
      </c>
      <c r="M314" t="s">
        <v>540</v>
      </c>
      <c r="N314" t="s">
        <v>639</v>
      </c>
      <c r="O314">
        <v>754435</v>
      </c>
      <c r="P314" t="s">
        <v>640</v>
      </c>
      <c r="Q314">
        <v>0</v>
      </c>
      <c r="R314">
        <v>0</v>
      </c>
      <c r="S314">
        <v>0</v>
      </c>
      <c r="T314">
        <v>0</v>
      </c>
      <c r="U314">
        <v>754435</v>
      </c>
    </row>
    <row r="315" spans="11:21" x14ac:dyDescent="0.25">
      <c r="K315" t="s">
        <v>296</v>
      </c>
      <c r="L315" t="s">
        <v>297</v>
      </c>
      <c r="M315" t="s">
        <v>540</v>
      </c>
      <c r="N315" t="s">
        <v>585</v>
      </c>
      <c r="O315">
        <v>103304.96000000001</v>
      </c>
      <c r="P315" t="s">
        <v>586</v>
      </c>
      <c r="Q315">
        <v>58728.56</v>
      </c>
      <c r="R315">
        <v>0</v>
      </c>
      <c r="S315">
        <v>0</v>
      </c>
      <c r="T315">
        <v>0</v>
      </c>
      <c r="U315">
        <v>162033.51999999999</v>
      </c>
    </row>
    <row r="316" spans="11:21" x14ac:dyDescent="0.25">
      <c r="K316" t="s">
        <v>300</v>
      </c>
      <c r="L316" t="s">
        <v>301</v>
      </c>
      <c r="M316" t="s">
        <v>540</v>
      </c>
      <c r="N316" t="s">
        <v>641</v>
      </c>
      <c r="O316">
        <v>0</v>
      </c>
      <c r="P316" t="s">
        <v>642</v>
      </c>
      <c r="Q316">
        <v>0</v>
      </c>
      <c r="R316">
        <v>0</v>
      </c>
      <c r="S316">
        <v>0</v>
      </c>
      <c r="T316">
        <v>40367.35</v>
      </c>
      <c r="U316">
        <v>40367.35</v>
      </c>
    </row>
    <row r="317" spans="11:21" x14ac:dyDescent="0.25">
      <c r="K317" t="s">
        <v>1163</v>
      </c>
      <c r="L317" t="s">
        <v>1164</v>
      </c>
      <c r="M317" t="s">
        <v>540</v>
      </c>
      <c r="N317" t="s">
        <v>659</v>
      </c>
      <c r="O317">
        <v>0</v>
      </c>
      <c r="P317" t="s">
        <v>660</v>
      </c>
      <c r="Q317">
        <v>-34358145.119999997</v>
      </c>
      <c r="R317">
        <v>0</v>
      </c>
      <c r="S317">
        <v>0</v>
      </c>
      <c r="T317">
        <v>0</v>
      </c>
      <c r="U317">
        <v>-34358145.119999997</v>
      </c>
    </row>
    <row r="318" spans="11:21" x14ac:dyDescent="0.25">
      <c r="K318" t="s">
        <v>1165</v>
      </c>
      <c r="L318" t="s">
        <v>1166</v>
      </c>
      <c r="M318" t="s">
        <v>540</v>
      </c>
      <c r="N318" t="s">
        <v>559</v>
      </c>
      <c r="O318">
        <v>30700000</v>
      </c>
      <c r="P318" t="s">
        <v>560</v>
      </c>
      <c r="Q318">
        <v>0</v>
      </c>
      <c r="R318">
        <v>0</v>
      </c>
      <c r="S318">
        <v>0</v>
      </c>
      <c r="T318">
        <v>0</v>
      </c>
      <c r="U318">
        <v>30700000</v>
      </c>
    </row>
    <row r="319" spans="11:21" x14ac:dyDescent="0.25">
      <c r="K319" t="s">
        <v>961</v>
      </c>
      <c r="L319" t="s">
        <v>936</v>
      </c>
      <c r="M319" t="s">
        <v>540</v>
      </c>
      <c r="N319" t="s">
        <v>954</v>
      </c>
      <c r="O319">
        <v>6522747</v>
      </c>
      <c r="P319" t="s">
        <v>955</v>
      </c>
      <c r="Q319">
        <v>0</v>
      </c>
      <c r="R319">
        <v>0</v>
      </c>
      <c r="S319">
        <v>0</v>
      </c>
      <c r="T319">
        <v>0</v>
      </c>
      <c r="U319">
        <v>6522747</v>
      </c>
    </row>
    <row r="320" spans="11:21" x14ac:dyDescent="0.25">
      <c r="K320" t="s">
        <v>499</v>
      </c>
      <c r="L320" t="s">
        <v>500</v>
      </c>
      <c r="M320" t="s">
        <v>540</v>
      </c>
      <c r="N320" t="s">
        <v>639</v>
      </c>
      <c r="O320">
        <v>478385.6</v>
      </c>
      <c r="P320" t="s">
        <v>640</v>
      </c>
      <c r="Q320">
        <v>471900</v>
      </c>
      <c r="R320">
        <v>459800</v>
      </c>
      <c r="S320">
        <v>0</v>
      </c>
      <c r="T320">
        <v>0</v>
      </c>
      <c r="U320">
        <v>1410085.6</v>
      </c>
    </row>
    <row r="321" spans="11:21" x14ac:dyDescent="0.25">
      <c r="K321" t="s">
        <v>302</v>
      </c>
      <c r="L321" t="s">
        <v>303</v>
      </c>
      <c r="M321" t="s">
        <v>540</v>
      </c>
      <c r="N321" t="s">
        <v>577</v>
      </c>
      <c r="O321">
        <v>4078750</v>
      </c>
      <c r="P321" t="s">
        <v>578</v>
      </c>
      <c r="Q321">
        <v>0</v>
      </c>
      <c r="R321">
        <v>0</v>
      </c>
      <c r="S321">
        <v>0</v>
      </c>
      <c r="T321">
        <v>0</v>
      </c>
      <c r="U321">
        <v>4078750</v>
      </c>
    </row>
    <row r="322" spans="11:21" x14ac:dyDescent="0.25">
      <c r="K322" t="s">
        <v>1167</v>
      </c>
      <c r="L322" t="s">
        <v>1168</v>
      </c>
      <c r="M322" t="s">
        <v>540</v>
      </c>
      <c r="N322" t="s">
        <v>617</v>
      </c>
      <c r="O322">
        <v>0</v>
      </c>
      <c r="P322" t="s">
        <v>618</v>
      </c>
      <c r="Q322">
        <v>19500000</v>
      </c>
      <c r="R322">
        <v>0</v>
      </c>
      <c r="S322">
        <v>0</v>
      </c>
      <c r="T322">
        <v>0</v>
      </c>
      <c r="U322">
        <v>19500000</v>
      </c>
    </row>
    <row r="323" spans="11:21" x14ac:dyDescent="0.25">
      <c r="K323" t="s">
        <v>306</v>
      </c>
      <c r="L323" t="s">
        <v>307</v>
      </c>
      <c r="M323" t="s">
        <v>540</v>
      </c>
      <c r="N323" t="s">
        <v>621</v>
      </c>
      <c r="O323">
        <v>0</v>
      </c>
      <c r="P323" t="s">
        <v>622</v>
      </c>
      <c r="Q323">
        <v>0</v>
      </c>
      <c r="R323">
        <v>0</v>
      </c>
      <c r="S323">
        <v>0</v>
      </c>
      <c r="T323">
        <v>-387219.15</v>
      </c>
      <c r="U323">
        <v>-387219.15</v>
      </c>
    </row>
    <row r="324" spans="11:21" x14ac:dyDescent="0.25">
      <c r="K324" t="s">
        <v>308</v>
      </c>
      <c r="L324" t="s">
        <v>309</v>
      </c>
      <c r="M324" t="s">
        <v>540</v>
      </c>
      <c r="N324" t="s">
        <v>563</v>
      </c>
      <c r="O324">
        <v>3453147.61</v>
      </c>
      <c r="P324" t="s">
        <v>564</v>
      </c>
      <c r="Q324">
        <v>0</v>
      </c>
      <c r="R324">
        <v>0</v>
      </c>
      <c r="S324">
        <v>0</v>
      </c>
      <c r="T324">
        <v>0</v>
      </c>
      <c r="U324">
        <v>3453147.61</v>
      </c>
    </row>
    <row r="325" spans="11:21" x14ac:dyDescent="0.25">
      <c r="K325" t="s">
        <v>310</v>
      </c>
      <c r="L325" t="s">
        <v>311</v>
      </c>
      <c r="M325" t="s">
        <v>540</v>
      </c>
      <c r="N325" t="s">
        <v>553</v>
      </c>
      <c r="O325">
        <v>544500</v>
      </c>
      <c r="P325" t="s">
        <v>554</v>
      </c>
      <c r="Q325">
        <v>471900</v>
      </c>
      <c r="R325">
        <v>0</v>
      </c>
      <c r="S325">
        <v>0</v>
      </c>
      <c r="T325">
        <v>0</v>
      </c>
      <c r="U325">
        <v>1016400</v>
      </c>
    </row>
    <row r="326" spans="11:21" x14ac:dyDescent="0.25">
      <c r="K326" t="s">
        <v>962</v>
      </c>
      <c r="L326" t="s">
        <v>937</v>
      </c>
      <c r="M326" t="s">
        <v>540</v>
      </c>
      <c r="N326" t="s">
        <v>549</v>
      </c>
      <c r="O326">
        <v>11556066.609999999</v>
      </c>
      <c r="P326" t="s">
        <v>550</v>
      </c>
      <c r="Q326">
        <v>17261918</v>
      </c>
      <c r="R326">
        <v>0</v>
      </c>
      <c r="S326">
        <v>0</v>
      </c>
      <c r="T326">
        <v>0</v>
      </c>
      <c r="U326">
        <v>28817984.609999999</v>
      </c>
    </row>
    <row r="327" spans="11:21" x14ac:dyDescent="0.25">
      <c r="K327" t="s">
        <v>1169</v>
      </c>
      <c r="L327" t="s">
        <v>1170</v>
      </c>
      <c r="M327" t="s">
        <v>540</v>
      </c>
      <c r="N327" t="s">
        <v>559</v>
      </c>
      <c r="O327">
        <v>0</v>
      </c>
      <c r="P327" t="s">
        <v>560</v>
      </c>
      <c r="Q327">
        <v>24805</v>
      </c>
      <c r="R327">
        <v>0</v>
      </c>
      <c r="S327">
        <v>0</v>
      </c>
      <c r="T327">
        <v>0</v>
      </c>
      <c r="U327">
        <v>24805</v>
      </c>
    </row>
    <row r="328" spans="11:21" x14ac:dyDescent="0.25">
      <c r="K328" t="s">
        <v>312</v>
      </c>
      <c r="L328" t="s">
        <v>313</v>
      </c>
      <c r="M328" t="s">
        <v>540</v>
      </c>
      <c r="N328" t="s">
        <v>643</v>
      </c>
      <c r="O328">
        <v>1004849.28</v>
      </c>
      <c r="P328" t="s">
        <v>644</v>
      </c>
      <c r="Q328">
        <v>342503.65</v>
      </c>
      <c r="R328">
        <v>0</v>
      </c>
      <c r="S328">
        <v>0</v>
      </c>
      <c r="T328">
        <v>0</v>
      </c>
      <c r="U328">
        <v>1347352.93</v>
      </c>
    </row>
    <row r="329" spans="11:21" x14ac:dyDescent="0.25">
      <c r="K329" t="s">
        <v>1006</v>
      </c>
      <c r="L329" t="s">
        <v>1007</v>
      </c>
      <c r="M329" t="s">
        <v>540</v>
      </c>
      <c r="N329" t="s">
        <v>639</v>
      </c>
      <c r="O329">
        <v>0</v>
      </c>
      <c r="P329" t="s">
        <v>640</v>
      </c>
      <c r="Q329">
        <v>0</v>
      </c>
      <c r="R329">
        <v>2300000</v>
      </c>
      <c r="S329">
        <v>0</v>
      </c>
      <c r="T329">
        <v>0</v>
      </c>
      <c r="U329">
        <v>2300000</v>
      </c>
    </row>
    <row r="330" spans="11:21" x14ac:dyDescent="0.25">
      <c r="K330" t="s">
        <v>963</v>
      </c>
      <c r="L330" t="s">
        <v>938</v>
      </c>
      <c r="M330" t="s">
        <v>540</v>
      </c>
      <c r="N330" t="s">
        <v>607</v>
      </c>
      <c r="O330">
        <v>39523.050000000003</v>
      </c>
      <c r="P330" t="s">
        <v>608</v>
      </c>
      <c r="Q330">
        <v>674096.06</v>
      </c>
      <c r="R330">
        <v>2772702.3</v>
      </c>
      <c r="S330">
        <v>0</v>
      </c>
      <c r="T330">
        <v>0</v>
      </c>
      <c r="U330">
        <v>3486321.41</v>
      </c>
    </row>
    <row r="331" spans="11:21" x14ac:dyDescent="0.25">
      <c r="K331" t="s">
        <v>812</v>
      </c>
      <c r="L331" t="s">
        <v>813</v>
      </c>
      <c r="M331" t="s">
        <v>540</v>
      </c>
      <c r="N331" t="s">
        <v>545</v>
      </c>
      <c r="O331">
        <v>1766503.2</v>
      </c>
      <c r="P331" t="s">
        <v>546</v>
      </c>
      <c r="Q331">
        <v>0</v>
      </c>
      <c r="R331">
        <v>0</v>
      </c>
      <c r="S331">
        <v>0</v>
      </c>
      <c r="T331">
        <v>0</v>
      </c>
      <c r="U331">
        <v>1766503.2</v>
      </c>
    </row>
    <row r="332" spans="11:21" x14ac:dyDescent="0.25">
      <c r="K332" t="s">
        <v>501</v>
      </c>
      <c r="L332" t="s">
        <v>502</v>
      </c>
      <c r="M332" t="s">
        <v>540</v>
      </c>
      <c r="N332" t="s">
        <v>645</v>
      </c>
      <c r="O332">
        <v>1820000</v>
      </c>
      <c r="P332" t="s">
        <v>646</v>
      </c>
      <c r="Q332">
        <v>0</v>
      </c>
      <c r="R332">
        <v>0</v>
      </c>
      <c r="S332">
        <v>0</v>
      </c>
      <c r="T332">
        <v>0</v>
      </c>
      <c r="U332">
        <v>1820000</v>
      </c>
    </row>
    <row r="333" spans="11:21" x14ac:dyDescent="0.25">
      <c r="K333" t="s">
        <v>964</v>
      </c>
      <c r="L333" t="s">
        <v>939</v>
      </c>
      <c r="M333" t="s">
        <v>540</v>
      </c>
      <c r="N333" t="s">
        <v>965</v>
      </c>
      <c r="O333">
        <v>0</v>
      </c>
      <c r="P333" t="s">
        <v>966</v>
      </c>
      <c r="Q333">
        <v>3444500</v>
      </c>
      <c r="R333">
        <v>0</v>
      </c>
      <c r="S333">
        <v>0</v>
      </c>
      <c r="T333">
        <v>0</v>
      </c>
      <c r="U333">
        <v>3444500</v>
      </c>
    </row>
    <row r="334" spans="11:21" x14ac:dyDescent="0.25">
      <c r="K334" t="s">
        <v>314</v>
      </c>
      <c r="L334" t="s">
        <v>315</v>
      </c>
      <c r="M334" t="s">
        <v>540</v>
      </c>
      <c r="N334" t="s">
        <v>647</v>
      </c>
      <c r="O334">
        <v>0</v>
      </c>
      <c r="P334" t="s">
        <v>648</v>
      </c>
      <c r="Q334">
        <v>763000</v>
      </c>
      <c r="R334">
        <v>0</v>
      </c>
      <c r="S334">
        <v>0</v>
      </c>
      <c r="T334">
        <v>0</v>
      </c>
      <c r="U334">
        <v>763000</v>
      </c>
    </row>
    <row r="335" spans="11:21" x14ac:dyDescent="0.25">
      <c r="K335" t="s">
        <v>1171</v>
      </c>
      <c r="L335" t="s">
        <v>1172</v>
      </c>
      <c r="M335" t="s">
        <v>540</v>
      </c>
      <c r="N335" t="s">
        <v>545</v>
      </c>
      <c r="O335">
        <v>17755.47</v>
      </c>
      <c r="P335" t="s">
        <v>546</v>
      </c>
      <c r="Q335">
        <v>647123.37</v>
      </c>
      <c r="R335">
        <v>0</v>
      </c>
      <c r="S335">
        <v>0</v>
      </c>
      <c r="T335">
        <v>0</v>
      </c>
      <c r="U335">
        <v>664878.84</v>
      </c>
    </row>
    <row r="336" spans="11:21" x14ac:dyDescent="0.25">
      <c r="K336" t="s">
        <v>316</v>
      </c>
      <c r="L336" t="s">
        <v>317</v>
      </c>
      <c r="M336" t="s">
        <v>540</v>
      </c>
      <c r="N336" t="s">
        <v>553</v>
      </c>
      <c r="O336">
        <v>0</v>
      </c>
      <c r="P336" t="s">
        <v>554</v>
      </c>
      <c r="Q336">
        <v>341629.6</v>
      </c>
      <c r="R336">
        <v>0</v>
      </c>
      <c r="S336">
        <v>0</v>
      </c>
      <c r="T336">
        <v>0</v>
      </c>
      <c r="U336">
        <v>341629.6</v>
      </c>
    </row>
    <row r="337" spans="11:21" x14ac:dyDescent="0.25">
      <c r="K337" t="s">
        <v>1173</v>
      </c>
      <c r="L337" t="s">
        <v>1174</v>
      </c>
      <c r="M337" t="s">
        <v>540</v>
      </c>
      <c r="N337" t="s">
        <v>541</v>
      </c>
      <c r="O337">
        <v>729826.74</v>
      </c>
      <c r="P337" t="s">
        <v>542</v>
      </c>
      <c r="Q337">
        <v>0</v>
      </c>
      <c r="R337">
        <v>0</v>
      </c>
      <c r="S337">
        <v>0</v>
      </c>
      <c r="T337">
        <v>0</v>
      </c>
      <c r="U337">
        <v>729826.74</v>
      </c>
    </row>
    <row r="338" spans="11:21" x14ac:dyDescent="0.25">
      <c r="K338" t="s">
        <v>318</v>
      </c>
      <c r="L338" t="s">
        <v>319</v>
      </c>
      <c r="M338" t="s">
        <v>540</v>
      </c>
      <c r="N338" t="s">
        <v>649</v>
      </c>
      <c r="O338">
        <v>1756106.85</v>
      </c>
      <c r="P338" t="s">
        <v>650</v>
      </c>
      <c r="Q338">
        <v>2652956.0299999998</v>
      </c>
      <c r="R338">
        <v>0</v>
      </c>
      <c r="S338">
        <v>0</v>
      </c>
      <c r="T338">
        <v>0</v>
      </c>
      <c r="U338">
        <v>4409062.88</v>
      </c>
    </row>
    <row r="339" spans="11:21" x14ac:dyDescent="0.25">
      <c r="K339" t="s">
        <v>750</v>
      </c>
      <c r="L339" t="s">
        <v>751</v>
      </c>
      <c r="M339" t="s">
        <v>540</v>
      </c>
      <c r="N339" t="s">
        <v>627</v>
      </c>
      <c r="O339">
        <v>12254011.189999999</v>
      </c>
      <c r="P339" t="s">
        <v>628</v>
      </c>
      <c r="Q339">
        <v>60963905.700000003</v>
      </c>
      <c r="R339">
        <v>61698833.799999997</v>
      </c>
      <c r="S339">
        <v>0</v>
      </c>
      <c r="T339">
        <v>0</v>
      </c>
      <c r="U339">
        <v>134916750.69</v>
      </c>
    </row>
    <row r="340" spans="11:21" x14ac:dyDescent="0.25">
      <c r="K340" t="s">
        <v>1175</v>
      </c>
      <c r="L340" t="s">
        <v>1176</v>
      </c>
      <c r="M340" t="s">
        <v>540</v>
      </c>
      <c r="N340" t="s">
        <v>1177</v>
      </c>
      <c r="O340">
        <v>0</v>
      </c>
      <c r="P340" t="s">
        <v>1178</v>
      </c>
      <c r="Q340">
        <v>581506.67000000004</v>
      </c>
      <c r="R340">
        <v>0</v>
      </c>
      <c r="S340">
        <v>0</v>
      </c>
      <c r="T340">
        <v>0</v>
      </c>
      <c r="U340">
        <v>581506.67000000004</v>
      </c>
    </row>
    <row r="341" spans="11:21" x14ac:dyDescent="0.25">
      <c r="K341" t="s">
        <v>1034</v>
      </c>
      <c r="L341" t="s">
        <v>1035</v>
      </c>
      <c r="M341" t="s">
        <v>540</v>
      </c>
      <c r="N341" t="s">
        <v>545</v>
      </c>
      <c r="O341">
        <v>0</v>
      </c>
      <c r="P341" t="s">
        <v>546</v>
      </c>
      <c r="Q341">
        <v>300330.5</v>
      </c>
      <c r="R341">
        <v>0</v>
      </c>
      <c r="S341">
        <v>0</v>
      </c>
      <c r="T341">
        <v>0</v>
      </c>
      <c r="U341">
        <v>300330.5</v>
      </c>
    </row>
    <row r="342" spans="11:21" x14ac:dyDescent="0.25">
      <c r="K342" t="s">
        <v>651</v>
      </c>
      <c r="L342" t="s">
        <v>1008</v>
      </c>
      <c r="M342" t="s">
        <v>540</v>
      </c>
      <c r="N342" t="s">
        <v>603</v>
      </c>
      <c r="O342">
        <v>0</v>
      </c>
      <c r="P342" t="s">
        <v>604</v>
      </c>
      <c r="Q342">
        <v>8330764.04</v>
      </c>
      <c r="R342">
        <v>0</v>
      </c>
      <c r="S342">
        <v>0</v>
      </c>
      <c r="T342">
        <v>0</v>
      </c>
      <c r="U342">
        <v>8330764.04</v>
      </c>
    </row>
    <row r="343" spans="11:21" x14ac:dyDescent="0.25">
      <c r="K343" t="s">
        <v>503</v>
      </c>
      <c r="L343" t="s">
        <v>504</v>
      </c>
      <c r="M343" t="s">
        <v>540</v>
      </c>
      <c r="N343" t="s">
        <v>623</v>
      </c>
      <c r="O343">
        <v>371470</v>
      </c>
      <c r="P343" t="s">
        <v>624</v>
      </c>
      <c r="Q343">
        <v>1253711.25</v>
      </c>
      <c r="R343">
        <v>0</v>
      </c>
      <c r="S343">
        <v>0</v>
      </c>
      <c r="T343">
        <v>0</v>
      </c>
      <c r="U343">
        <v>1625181.25</v>
      </c>
    </row>
    <row r="344" spans="11:21" x14ac:dyDescent="0.25">
      <c r="K344" t="s">
        <v>320</v>
      </c>
      <c r="L344" t="s">
        <v>321</v>
      </c>
      <c r="M344" t="s">
        <v>540</v>
      </c>
      <c r="N344" t="s">
        <v>553</v>
      </c>
      <c r="O344">
        <v>738526.31</v>
      </c>
      <c r="P344" t="s">
        <v>554</v>
      </c>
      <c r="Q344">
        <v>3970093.77</v>
      </c>
      <c r="R344">
        <v>0</v>
      </c>
      <c r="S344">
        <v>0</v>
      </c>
      <c r="T344">
        <v>0</v>
      </c>
      <c r="U344">
        <v>4708620.08</v>
      </c>
    </row>
    <row r="345" spans="11:21" x14ac:dyDescent="0.25">
      <c r="K345" t="s">
        <v>967</v>
      </c>
      <c r="L345" t="s">
        <v>940</v>
      </c>
      <c r="M345" t="s">
        <v>540</v>
      </c>
      <c r="N345" t="s">
        <v>968</v>
      </c>
      <c r="O345">
        <v>4819000</v>
      </c>
      <c r="P345" t="s">
        <v>969</v>
      </c>
      <c r="Q345">
        <v>0</v>
      </c>
      <c r="R345">
        <v>0</v>
      </c>
      <c r="S345">
        <v>0</v>
      </c>
      <c r="T345">
        <v>0</v>
      </c>
      <c r="U345">
        <v>4819000</v>
      </c>
    </row>
    <row r="346" spans="11:21" x14ac:dyDescent="0.25">
      <c r="K346" t="s">
        <v>1179</v>
      </c>
      <c r="L346" t="s">
        <v>1180</v>
      </c>
      <c r="M346" t="s">
        <v>540</v>
      </c>
      <c r="N346" t="s">
        <v>607</v>
      </c>
      <c r="O346">
        <v>218520.33</v>
      </c>
      <c r="P346" t="s">
        <v>608</v>
      </c>
      <c r="Q346">
        <v>0</v>
      </c>
      <c r="R346">
        <v>0</v>
      </c>
      <c r="S346">
        <v>0</v>
      </c>
      <c r="T346">
        <v>0</v>
      </c>
      <c r="U346">
        <v>218520.33</v>
      </c>
    </row>
    <row r="347" spans="11:21" x14ac:dyDescent="0.25">
      <c r="K347" t="s">
        <v>322</v>
      </c>
      <c r="L347" t="s">
        <v>323</v>
      </c>
      <c r="M347" t="s">
        <v>540</v>
      </c>
      <c r="N347" t="s">
        <v>589</v>
      </c>
      <c r="O347">
        <v>0</v>
      </c>
      <c r="P347" t="s">
        <v>590</v>
      </c>
      <c r="Q347">
        <v>1393806.3</v>
      </c>
      <c r="R347">
        <v>0</v>
      </c>
      <c r="S347">
        <v>0</v>
      </c>
      <c r="T347">
        <v>0</v>
      </c>
      <c r="U347">
        <v>1393806.3</v>
      </c>
    </row>
    <row r="348" spans="11:21" x14ac:dyDescent="0.25">
      <c r="K348" t="s">
        <v>326</v>
      </c>
      <c r="L348" t="s">
        <v>327</v>
      </c>
      <c r="M348" t="s">
        <v>540</v>
      </c>
      <c r="N348" t="s">
        <v>653</v>
      </c>
      <c r="O348">
        <v>4281565.53</v>
      </c>
      <c r="P348" t="s">
        <v>654</v>
      </c>
      <c r="Q348">
        <v>18406697.109999999</v>
      </c>
      <c r="R348">
        <v>0</v>
      </c>
      <c r="S348">
        <v>0</v>
      </c>
      <c r="T348">
        <v>0</v>
      </c>
      <c r="U348">
        <v>22688262.640000001</v>
      </c>
    </row>
    <row r="349" spans="11:21" x14ac:dyDescent="0.25">
      <c r="K349" t="s">
        <v>1181</v>
      </c>
      <c r="L349" t="s">
        <v>1182</v>
      </c>
      <c r="M349" t="s">
        <v>540</v>
      </c>
      <c r="N349" t="s">
        <v>776</v>
      </c>
      <c r="O349">
        <v>346185.54</v>
      </c>
      <c r="P349" t="s">
        <v>777</v>
      </c>
      <c r="Q349">
        <v>0</v>
      </c>
      <c r="R349">
        <v>0</v>
      </c>
      <c r="S349">
        <v>0</v>
      </c>
      <c r="T349">
        <v>0</v>
      </c>
      <c r="U349">
        <v>346185.54</v>
      </c>
    </row>
    <row r="350" spans="11:21" x14ac:dyDescent="0.25">
      <c r="K350" t="s">
        <v>873</v>
      </c>
      <c r="L350" t="s">
        <v>874</v>
      </c>
      <c r="M350" t="s">
        <v>540</v>
      </c>
      <c r="N350" t="s">
        <v>545</v>
      </c>
      <c r="O350">
        <v>0</v>
      </c>
      <c r="P350" t="s">
        <v>546</v>
      </c>
      <c r="Q350">
        <v>3579831.66</v>
      </c>
      <c r="R350">
        <v>271683.71999999997</v>
      </c>
      <c r="S350">
        <v>0</v>
      </c>
      <c r="T350">
        <v>0</v>
      </c>
      <c r="U350">
        <v>3851515.38</v>
      </c>
    </row>
    <row r="351" spans="11:21" x14ac:dyDescent="0.25">
      <c r="K351" t="s">
        <v>1183</v>
      </c>
      <c r="L351" t="s">
        <v>1184</v>
      </c>
      <c r="M351" t="s">
        <v>540</v>
      </c>
      <c r="N351" t="s">
        <v>661</v>
      </c>
      <c r="O351">
        <v>916500</v>
      </c>
      <c r="P351" t="s">
        <v>662</v>
      </c>
      <c r="Q351">
        <v>0</v>
      </c>
      <c r="R351">
        <v>0</v>
      </c>
      <c r="S351">
        <v>0</v>
      </c>
      <c r="T351">
        <v>0</v>
      </c>
      <c r="U351">
        <v>916500</v>
      </c>
    </row>
    <row r="352" spans="11:21" x14ac:dyDescent="0.25">
      <c r="K352" t="s">
        <v>1009</v>
      </c>
      <c r="L352" t="s">
        <v>1010</v>
      </c>
      <c r="M352" t="s">
        <v>540</v>
      </c>
      <c r="N352" t="s">
        <v>559</v>
      </c>
      <c r="O352">
        <v>2615148.7999999998</v>
      </c>
      <c r="P352" t="s">
        <v>560</v>
      </c>
      <c r="Q352">
        <v>0</v>
      </c>
      <c r="R352">
        <v>0</v>
      </c>
      <c r="S352">
        <v>0</v>
      </c>
      <c r="T352">
        <v>0</v>
      </c>
      <c r="U352">
        <v>2615148.7999999998</v>
      </c>
    </row>
    <row r="353" spans="11:21" x14ac:dyDescent="0.25">
      <c r="K353" t="s">
        <v>1185</v>
      </c>
      <c r="L353" t="s">
        <v>1186</v>
      </c>
      <c r="M353" t="s">
        <v>540</v>
      </c>
      <c r="N353" t="s">
        <v>559</v>
      </c>
      <c r="O353">
        <v>16397920</v>
      </c>
      <c r="P353" t="s">
        <v>560</v>
      </c>
      <c r="Q353">
        <v>0</v>
      </c>
      <c r="R353">
        <v>0</v>
      </c>
      <c r="S353">
        <v>0</v>
      </c>
      <c r="T353">
        <v>0</v>
      </c>
      <c r="U353">
        <v>16397920</v>
      </c>
    </row>
    <row r="354" spans="11:21" x14ac:dyDescent="0.25">
      <c r="K354" t="s">
        <v>330</v>
      </c>
      <c r="L354" t="s">
        <v>331</v>
      </c>
      <c r="M354" t="s">
        <v>540</v>
      </c>
      <c r="N354" t="s">
        <v>603</v>
      </c>
      <c r="O354">
        <v>0</v>
      </c>
      <c r="P354" t="s">
        <v>604</v>
      </c>
      <c r="Q354">
        <v>0</v>
      </c>
      <c r="R354">
        <v>0</v>
      </c>
      <c r="S354">
        <v>0</v>
      </c>
      <c r="T354">
        <v>133048344.48999999</v>
      </c>
      <c r="U354">
        <v>133048344.48999999</v>
      </c>
    </row>
    <row r="355" spans="11:21" x14ac:dyDescent="0.25">
      <c r="K355" t="s">
        <v>875</v>
      </c>
      <c r="L355" t="s">
        <v>876</v>
      </c>
      <c r="M355" t="s">
        <v>540</v>
      </c>
      <c r="N355" t="s">
        <v>589</v>
      </c>
      <c r="O355">
        <v>367737.03</v>
      </c>
      <c r="P355" t="s">
        <v>590</v>
      </c>
      <c r="Q355">
        <v>1398731.22</v>
      </c>
      <c r="R355">
        <v>0</v>
      </c>
      <c r="S355">
        <v>0</v>
      </c>
      <c r="T355">
        <v>0</v>
      </c>
      <c r="U355">
        <v>1766468.25</v>
      </c>
    </row>
    <row r="356" spans="11:21" x14ac:dyDescent="0.25">
      <c r="K356" t="s">
        <v>814</v>
      </c>
      <c r="L356" t="s">
        <v>815</v>
      </c>
      <c r="M356" t="s">
        <v>540</v>
      </c>
      <c r="N356" t="s">
        <v>607</v>
      </c>
      <c r="O356">
        <v>0</v>
      </c>
      <c r="P356" t="s">
        <v>608</v>
      </c>
      <c r="Q356">
        <v>0</v>
      </c>
      <c r="R356">
        <v>628522.4</v>
      </c>
      <c r="S356">
        <v>0</v>
      </c>
      <c r="T356">
        <v>0</v>
      </c>
      <c r="U356">
        <v>628522.4</v>
      </c>
    </row>
    <row r="357" spans="11:21" x14ac:dyDescent="0.25">
      <c r="K357" t="s">
        <v>332</v>
      </c>
      <c r="L357" t="s">
        <v>333</v>
      </c>
      <c r="M357" t="s">
        <v>540</v>
      </c>
      <c r="N357" t="s">
        <v>603</v>
      </c>
      <c r="O357">
        <v>0</v>
      </c>
      <c r="P357" t="s">
        <v>604</v>
      </c>
      <c r="Q357">
        <v>0</v>
      </c>
      <c r="R357">
        <v>0</v>
      </c>
      <c r="S357">
        <v>0</v>
      </c>
      <c r="T357">
        <v>5896891</v>
      </c>
      <c r="U357">
        <v>5896891</v>
      </c>
    </row>
    <row r="358" spans="11:21" x14ac:dyDescent="0.25">
      <c r="K358" t="s">
        <v>334</v>
      </c>
      <c r="L358" t="s">
        <v>335</v>
      </c>
      <c r="M358" t="s">
        <v>540</v>
      </c>
      <c r="N358" t="s">
        <v>659</v>
      </c>
      <c r="O358">
        <v>0</v>
      </c>
      <c r="P358" t="s">
        <v>660</v>
      </c>
      <c r="Q358">
        <v>637363.03</v>
      </c>
      <c r="R358">
        <v>0</v>
      </c>
      <c r="S358">
        <v>0</v>
      </c>
      <c r="T358">
        <v>0</v>
      </c>
      <c r="U358">
        <v>637363.03</v>
      </c>
    </row>
    <row r="359" spans="11:21" x14ac:dyDescent="0.25">
      <c r="K359" t="s">
        <v>752</v>
      </c>
      <c r="L359" t="s">
        <v>753</v>
      </c>
      <c r="M359" t="s">
        <v>540</v>
      </c>
      <c r="N359" t="s">
        <v>565</v>
      </c>
      <c r="O359">
        <v>0</v>
      </c>
      <c r="P359" t="s">
        <v>566</v>
      </c>
      <c r="Q359">
        <v>1355000</v>
      </c>
      <c r="R359">
        <v>49348398</v>
      </c>
      <c r="S359">
        <v>0</v>
      </c>
      <c r="T359">
        <v>0</v>
      </c>
      <c r="U359">
        <v>50703398</v>
      </c>
    </row>
    <row r="360" spans="11:21" x14ac:dyDescent="0.25">
      <c r="K360" t="s">
        <v>754</v>
      </c>
      <c r="L360" t="s">
        <v>755</v>
      </c>
      <c r="M360" t="s">
        <v>540</v>
      </c>
      <c r="N360" t="s">
        <v>553</v>
      </c>
      <c r="O360">
        <v>0</v>
      </c>
      <c r="P360" t="s">
        <v>554</v>
      </c>
      <c r="Q360">
        <v>289395.7</v>
      </c>
      <c r="R360">
        <v>0</v>
      </c>
      <c r="S360">
        <v>0</v>
      </c>
      <c r="T360">
        <v>0</v>
      </c>
      <c r="U360">
        <v>289395.7</v>
      </c>
    </row>
    <row r="361" spans="11:21" x14ac:dyDescent="0.25">
      <c r="K361" t="s">
        <v>336</v>
      </c>
      <c r="L361" t="s">
        <v>337</v>
      </c>
      <c r="M361" t="s">
        <v>540</v>
      </c>
      <c r="N361" t="s">
        <v>553</v>
      </c>
      <c r="O361">
        <v>380420</v>
      </c>
      <c r="P361" t="s">
        <v>554</v>
      </c>
      <c r="Q361">
        <v>0</v>
      </c>
      <c r="R361">
        <v>0</v>
      </c>
      <c r="S361">
        <v>0</v>
      </c>
      <c r="T361">
        <v>-0.01</v>
      </c>
      <c r="U361">
        <v>380419.99</v>
      </c>
    </row>
    <row r="362" spans="11:21" x14ac:dyDescent="0.25">
      <c r="K362" t="s">
        <v>338</v>
      </c>
      <c r="L362" t="s">
        <v>339</v>
      </c>
      <c r="M362" t="s">
        <v>540</v>
      </c>
      <c r="N362" t="s">
        <v>601</v>
      </c>
      <c r="O362">
        <v>10285.85</v>
      </c>
      <c r="P362" t="s">
        <v>602</v>
      </c>
      <c r="Q362">
        <v>8423305.1799999997</v>
      </c>
      <c r="R362">
        <v>49570313.149999999</v>
      </c>
      <c r="S362">
        <v>0</v>
      </c>
      <c r="T362">
        <v>0</v>
      </c>
      <c r="U362">
        <v>58003904.18</v>
      </c>
    </row>
    <row r="363" spans="11:21" x14ac:dyDescent="0.25">
      <c r="K363" t="s">
        <v>970</v>
      </c>
      <c r="L363" t="s">
        <v>971</v>
      </c>
      <c r="M363" t="s">
        <v>540</v>
      </c>
      <c r="N363" t="s">
        <v>611</v>
      </c>
      <c r="O363">
        <v>0</v>
      </c>
      <c r="P363" t="s">
        <v>612</v>
      </c>
      <c r="Q363">
        <v>878490.13</v>
      </c>
      <c r="R363">
        <v>0</v>
      </c>
      <c r="S363">
        <v>0</v>
      </c>
      <c r="T363">
        <v>0</v>
      </c>
      <c r="U363">
        <v>878490.13</v>
      </c>
    </row>
    <row r="364" spans="11:21" x14ac:dyDescent="0.25">
      <c r="K364" t="s">
        <v>881</v>
      </c>
      <c r="L364" t="s">
        <v>882</v>
      </c>
      <c r="M364" t="s">
        <v>540</v>
      </c>
      <c r="N364" t="s">
        <v>639</v>
      </c>
      <c r="O364">
        <v>716320</v>
      </c>
      <c r="P364" t="s">
        <v>640</v>
      </c>
      <c r="Q364">
        <v>410190</v>
      </c>
      <c r="R364">
        <v>0</v>
      </c>
      <c r="S364">
        <v>0</v>
      </c>
      <c r="T364">
        <v>0</v>
      </c>
      <c r="U364">
        <v>1126510</v>
      </c>
    </row>
    <row r="365" spans="11:21" x14ac:dyDescent="0.25">
      <c r="K365" t="s">
        <v>342</v>
      </c>
      <c r="L365" t="s">
        <v>343</v>
      </c>
      <c r="M365" t="s">
        <v>540</v>
      </c>
      <c r="N365" t="s">
        <v>663</v>
      </c>
      <c r="O365">
        <v>26778607.960000001</v>
      </c>
      <c r="P365" t="s">
        <v>664</v>
      </c>
      <c r="Q365">
        <v>162133121.24000001</v>
      </c>
      <c r="R365">
        <v>0</v>
      </c>
      <c r="S365">
        <v>28366733.09</v>
      </c>
      <c r="T365">
        <v>0</v>
      </c>
      <c r="U365">
        <v>217278462.28999999</v>
      </c>
    </row>
    <row r="366" spans="11:21" x14ac:dyDescent="0.25">
      <c r="K366" t="s">
        <v>344</v>
      </c>
      <c r="L366" t="s">
        <v>345</v>
      </c>
      <c r="M366" t="s">
        <v>540</v>
      </c>
      <c r="N366" t="s">
        <v>603</v>
      </c>
      <c r="O366">
        <v>0</v>
      </c>
      <c r="P366" t="s">
        <v>604</v>
      </c>
      <c r="Q366">
        <v>0</v>
      </c>
      <c r="R366">
        <v>0</v>
      </c>
      <c r="S366">
        <v>0</v>
      </c>
      <c r="T366">
        <v>335045.59999999998</v>
      </c>
      <c r="U366">
        <v>335045.59999999998</v>
      </c>
    </row>
    <row r="367" spans="11:21" x14ac:dyDescent="0.25">
      <c r="K367" t="s">
        <v>346</v>
      </c>
      <c r="L367" t="s">
        <v>347</v>
      </c>
      <c r="M367" t="s">
        <v>540</v>
      </c>
      <c r="N367" t="s">
        <v>603</v>
      </c>
      <c r="O367">
        <v>0</v>
      </c>
      <c r="P367" t="s">
        <v>604</v>
      </c>
      <c r="Q367">
        <v>0</v>
      </c>
      <c r="R367">
        <v>0</v>
      </c>
      <c r="S367">
        <v>0</v>
      </c>
      <c r="T367">
        <v>1782642.4</v>
      </c>
      <c r="U367">
        <v>1782642.4</v>
      </c>
    </row>
    <row r="368" spans="11:21" x14ac:dyDescent="0.25">
      <c r="K368" t="s">
        <v>350</v>
      </c>
      <c r="L368" t="s">
        <v>351</v>
      </c>
      <c r="M368" t="s">
        <v>540</v>
      </c>
      <c r="N368" t="s">
        <v>551</v>
      </c>
      <c r="O368">
        <v>2922941</v>
      </c>
      <c r="P368" t="s">
        <v>552</v>
      </c>
      <c r="Q368">
        <v>1638370</v>
      </c>
      <c r="R368">
        <v>0</v>
      </c>
      <c r="S368">
        <v>0</v>
      </c>
      <c r="T368">
        <v>0</v>
      </c>
      <c r="U368">
        <v>4561311</v>
      </c>
    </row>
    <row r="369" spans="11:21" x14ac:dyDescent="0.25">
      <c r="K369" t="s">
        <v>1187</v>
      </c>
      <c r="L369" t="s">
        <v>1188</v>
      </c>
      <c r="M369" t="s">
        <v>540</v>
      </c>
      <c r="N369" t="s">
        <v>553</v>
      </c>
      <c r="O369">
        <v>1160426.3</v>
      </c>
      <c r="P369" t="s">
        <v>554</v>
      </c>
      <c r="Q369">
        <v>0</v>
      </c>
      <c r="R369">
        <v>0</v>
      </c>
      <c r="S369">
        <v>0</v>
      </c>
      <c r="T369">
        <v>0</v>
      </c>
      <c r="U369">
        <v>1160426.3</v>
      </c>
    </row>
    <row r="370" spans="11:21" x14ac:dyDescent="0.25">
      <c r="K370" t="s">
        <v>756</v>
      </c>
      <c r="L370" t="s">
        <v>757</v>
      </c>
      <c r="M370" t="s">
        <v>540</v>
      </c>
      <c r="N370" t="s">
        <v>758</v>
      </c>
      <c r="O370">
        <v>335489.26</v>
      </c>
      <c r="P370" t="s">
        <v>759</v>
      </c>
      <c r="Q370">
        <v>2532421.94</v>
      </c>
      <c r="R370">
        <v>0</v>
      </c>
      <c r="S370">
        <v>0</v>
      </c>
      <c r="T370">
        <v>0</v>
      </c>
      <c r="U370">
        <v>2867911.2</v>
      </c>
    </row>
    <row r="371" spans="11:21" x14ac:dyDescent="0.25">
      <c r="K371" t="s">
        <v>972</v>
      </c>
      <c r="L371" t="s">
        <v>973</v>
      </c>
      <c r="M371" t="s">
        <v>540</v>
      </c>
      <c r="N371" t="s">
        <v>631</v>
      </c>
      <c r="O371">
        <v>1851300</v>
      </c>
      <c r="P371" t="s">
        <v>632</v>
      </c>
      <c r="Q371">
        <v>0</v>
      </c>
      <c r="R371">
        <v>0</v>
      </c>
      <c r="S371">
        <v>0</v>
      </c>
      <c r="T371">
        <v>0</v>
      </c>
      <c r="U371">
        <v>1851300</v>
      </c>
    </row>
    <row r="372" spans="11:21" x14ac:dyDescent="0.25">
      <c r="K372" t="s">
        <v>352</v>
      </c>
      <c r="L372" t="s">
        <v>353</v>
      </c>
      <c r="M372" t="s">
        <v>540</v>
      </c>
      <c r="N372" t="s">
        <v>633</v>
      </c>
      <c r="O372">
        <v>2504200</v>
      </c>
      <c r="P372" t="s">
        <v>634</v>
      </c>
      <c r="Q372">
        <v>3870290</v>
      </c>
      <c r="R372">
        <v>1307400</v>
      </c>
      <c r="S372">
        <v>0</v>
      </c>
      <c r="T372">
        <v>0</v>
      </c>
      <c r="U372">
        <v>7681890</v>
      </c>
    </row>
    <row r="373" spans="11:21" x14ac:dyDescent="0.25">
      <c r="K373" t="s">
        <v>818</v>
      </c>
      <c r="L373" t="s">
        <v>819</v>
      </c>
      <c r="M373" t="s">
        <v>540</v>
      </c>
      <c r="N373" t="s">
        <v>565</v>
      </c>
      <c r="O373">
        <v>203700</v>
      </c>
      <c r="P373" t="s">
        <v>566</v>
      </c>
      <c r="Q373">
        <v>0</v>
      </c>
      <c r="R373">
        <v>0</v>
      </c>
      <c r="S373">
        <v>0</v>
      </c>
      <c r="T373">
        <v>0</v>
      </c>
      <c r="U373">
        <v>203700</v>
      </c>
    </row>
    <row r="374" spans="11:21" x14ac:dyDescent="0.25">
      <c r="K374" t="s">
        <v>1011</v>
      </c>
      <c r="L374" t="s">
        <v>1012</v>
      </c>
      <c r="M374" t="s">
        <v>540</v>
      </c>
      <c r="N374" t="s">
        <v>1013</v>
      </c>
      <c r="O374">
        <v>3913140</v>
      </c>
      <c r="P374" t="s">
        <v>1014</v>
      </c>
      <c r="Q374">
        <v>0</v>
      </c>
      <c r="R374">
        <v>0</v>
      </c>
      <c r="S374">
        <v>0</v>
      </c>
      <c r="T374">
        <v>0</v>
      </c>
      <c r="U374">
        <v>3913140</v>
      </c>
    </row>
    <row r="375" spans="11:21" x14ac:dyDescent="0.25">
      <c r="K375" t="s">
        <v>974</v>
      </c>
      <c r="L375" t="s">
        <v>975</v>
      </c>
      <c r="M375" t="s">
        <v>540</v>
      </c>
      <c r="N375" t="s">
        <v>553</v>
      </c>
      <c r="O375">
        <v>0</v>
      </c>
      <c r="P375" t="s">
        <v>554</v>
      </c>
      <c r="Q375">
        <v>0</v>
      </c>
      <c r="R375">
        <v>374765.85</v>
      </c>
      <c r="S375">
        <v>0</v>
      </c>
      <c r="T375">
        <v>0</v>
      </c>
      <c r="U375">
        <v>374765.85</v>
      </c>
    </row>
    <row r="376" spans="11:21" x14ac:dyDescent="0.25">
      <c r="K376" t="s">
        <v>354</v>
      </c>
      <c r="L376" t="s">
        <v>355</v>
      </c>
      <c r="M376" t="s">
        <v>540</v>
      </c>
      <c r="N376" t="s">
        <v>635</v>
      </c>
      <c r="O376">
        <v>911493</v>
      </c>
      <c r="P376" t="s">
        <v>636</v>
      </c>
      <c r="Q376">
        <v>0</v>
      </c>
      <c r="R376">
        <v>0</v>
      </c>
      <c r="S376">
        <v>0</v>
      </c>
      <c r="T376">
        <v>0</v>
      </c>
      <c r="U376">
        <v>911493</v>
      </c>
    </row>
    <row r="377" spans="11:21" x14ac:dyDescent="0.25">
      <c r="K377" t="s">
        <v>356</v>
      </c>
      <c r="L377" t="s">
        <v>357</v>
      </c>
      <c r="M377" t="s">
        <v>540</v>
      </c>
      <c r="N377" t="s">
        <v>667</v>
      </c>
      <c r="O377">
        <v>2179210</v>
      </c>
      <c r="P377" t="s">
        <v>668</v>
      </c>
      <c r="Q377">
        <v>15138552</v>
      </c>
      <c r="R377">
        <v>6789168.9100000001</v>
      </c>
      <c r="S377">
        <v>0</v>
      </c>
      <c r="T377">
        <v>0</v>
      </c>
      <c r="U377">
        <v>24106930.91</v>
      </c>
    </row>
    <row r="378" spans="11:21" x14ac:dyDescent="0.25">
      <c r="K378" t="s">
        <v>358</v>
      </c>
      <c r="L378" t="s">
        <v>359</v>
      </c>
      <c r="M378" t="s">
        <v>540</v>
      </c>
      <c r="N378" t="s">
        <v>565</v>
      </c>
      <c r="O378">
        <v>0</v>
      </c>
      <c r="P378" t="s">
        <v>566</v>
      </c>
      <c r="Q378">
        <v>1824370</v>
      </c>
      <c r="R378">
        <v>1093788.02</v>
      </c>
      <c r="S378">
        <v>0</v>
      </c>
      <c r="T378">
        <v>0</v>
      </c>
      <c r="U378">
        <v>2918158.02</v>
      </c>
    </row>
    <row r="379" spans="11:21" x14ac:dyDescent="0.25">
      <c r="K379" t="s">
        <v>976</v>
      </c>
      <c r="L379" t="s">
        <v>941</v>
      </c>
      <c r="M379" t="s">
        <v>540</v>
      </c>
      <c r="N379" t="s">
        <v>710</v>
      </c>
      <c r="O379">
        <v>0</v>
      </c>
      <c r="P379" t="s">
        <v>711</v>
      </c>
      <c r="Q379">
        <v>1450000</v>
      </c>
      <c r="R379">
        <v>1400000</v>
      </c>
      <c r="S379">
        <v>0</v>
      </c>
      <c r="T379">
        <v>0</v>
      </c>
      <c r="U379">
        <v>2850000</v>
      </c>
    </row>
    <row r="380" spans="11:21" x14ac:dyDescent="0.25">
      <c r="K380" t="s">
        <v>1189</v>
      </c>
      <c r="L380" t="s">
        <v>1190</v>
      </c>
      <c r="M380" t="s">
        <v>540</v>
      </c>
      <c r="N380" t="s">
        <v>977</v>
      </c>
      <c r="O380">
        <v>0</v>
      </c>
      <c r="P380" t="s">
        <v>978</v>
      </c>
      <c r="Q380">
        <v>0</v>
      </c>
      <c r="R380">
        <v>2239056.6</v>
      </c>
      <c r="S380">
        <v>0</v>
      </c>
      <c r="T380">
        <v>0</v>
      </c>
      <c r="U380">
        <v>2239056.6</v>
      </c>
    </row>
    <row r="381" spans="11:21" x14ac:dyDescent="0.25">
      <c r="K381" t="s">
        <v>1036</v>
      </c>
      <c r="L381" t="s">
        <v>1037</v>
      </c>
      <c r="M381" t="s">
        <v>540</v>
      </c>
      <c r="N381" t="s">
        <v>1038</v>
      </c>
      <c r="O381">
        <v>0</v>
      </c>
      <c r="P381" t="s">
        <v>1039</v>
      </c>
      <c r="Q381">
        <v>0</v>
      </c>
      <c r="R381">
        <v>617600</v>
      </c>
      <c r="S381">
        <v>0</v>
      </c>
      <c r="T381">
        <v>0</v>
      </c>
      <c r="U381">
        <v>617600</v>
      </c>
    </row>
    <row r="382" spans="11:21" x14ac:dyDescent="0.25">
      <c r="K382" t="s">
        <v>360</v>
      </c>
      <c r="L382" t="s">
        <v>361</v>
      </c>
      <c r="M382" t="s">
        <v>540</v>
      </c>
      <c r="N382" t="s">
        <v>543</v>
      </c>
      <c r="O382">
        <v>0</v>
      </c>
      <c r="P382" t="s">
        <v>544</v>
      </c>
      <c r="Q382">
        <v>14266115.810000001</v>
      </c>
      <c r="R382">
        <v>0</v>
      </c>
      <c r="S382">
        <v>-181799.9</v>
      </c>
      <c r="T382">
        <v>0</v>
      </c>
      <c r="U382">
        <v>14084315.91</v>
      </c>
    </row>
    <row r="383" spans="11:21" x14ac:dyDescent="0.25">
      <c r="K383" t="s">
        <v>362</v>
      </c>
      <c r="L383" t="s">
        <v>363</v>
      </c>
      <c r="M383" t="s">
        <v>540</v>
      </c>
      <c r="N383" t="s">
        <v>669</v>
      </c>
      <c r="O383">
        <v>0</v>
      </c>
      <c r="P383" t="s">
        <v>670</v>
      </c>
      <c r="Q383">
        <v>85674364.599999994</v>
      </c>
      <c r="R383">
        <v>64916100.700000003</v>
      </c>
      <c r="S383">
        <v>21742490.010000002</v>
      </c>
      <c r="T383">
        <v>0</v>
      </c>
      <c r="U383">
        <v>172332955.31</v>
      </c>
    </row>
    <row r="384" spans="11:21" x14ac:dyDescent="0.25">
      <c r="K384" t="s">
        <v>364</v>
      </c>
      <c r="L384" t="s">
        <v>365</v>
      </c>
      <c r="M384" t="s">
        <v>540</v>
      </c>
      <c r="N384" t="s">
        <v>553</v>
      </c>
      <c r="O384">
        <v>327567.06</v>
      </c>
      <c r="P384" t="s">
        <v>554</v>
      </c>
      <c r="Q384">
        <v>414094.21</v>
      </c>
      <c r="R384">
        <v>0</v>
      </c>
      <c r="S384">
        <v>0</v>
      </c>
      <c r="T384">
        <v>0</v>
      </c>
      <c r="U384">
        <v>741661.27</v>
      </c>
    </row>
    <row r="385" spans="11:21" x14ac:dyDescent="0.25">
      <c r="K385" t="s">
        <v>366</v>
      </c>
      <c r="L385" t="s">
        <v>367</v>
      </c>
      <c r="M385" t="s">
        <v>540</v>
      </c>
      <c r="N385" t="s">
        <v>1137</v>
      </c>
      <c r="O385">
        <v>0</v>
      </c>
      <c r="P385" t="s">
        <v>1138</v>
      </c>
      <c r="Q385">
        <v>0</v>
      </c>
      <c r="R385">
        <v>68108715</v>
      </c>
      <c r="S385">
        <v>0</v>
      </c>
      <c r="T385">
        <v>0</v>
      </c>
      <c r="U385">
        <v>68108715</v>
      </c>
    </row>
    <row r="386" spans="11:21" x14ac:dyDescent="0.25">
      <c r="K386" t="s">
        <v>762</v>
      </c>
      <c r="L386" t="s">
        <v>763</v>
      </c>
      <c r="M386" t="s">
        <v>540</v>
      </c>
      <c r="N386" t="s">
        <v>601</v>
      </c>
      <c r="O386">
        <v>0</v>
      </c>
      <c r="P386" t="s">
        <v>602</v>
      </c>
      <c r="Q386">
        <v>16559253.76</v>
      </c>
      <c r="R386">
        <v>21305795.07</v>
      </c>
      <c r="S386">
        <v>0</v>
      </c>
      <c r="T386">
        <v>0</v>
      </c>
      <c r="U386">
        <v>37865048.829999998</v>
      </c>
    </row>
    <row r="387" spans="11:21" x14ac:dyDescent="0.25">
      <c r="K387" t="s">
        <v>889</v>
      </c>
      <c r="L387" t="s">
        <v>890</v>
      </c>
      <c r="M387" t="s">
        <v>540</v>
      </c>
      <c r="N387" t="s">
        <v>623</v>
      </c>
      <c r="O387">
        <v>565675</v>
      </c>
      <c r="P387" t="s">
        <v>624</v>
      </c>
      <c r="Q387">
        <v>7660917.46</v>
      </c>
      <c r="R387">
        <v>0</v>
      </c>
      <c r="S387">
        <v>0</v>
      </c>
      <c r="T387">
        <v>0</v>
      </c>
      <c r="U387">
        <v>8226592.46</v>
      </c>
    </row>
    <row r="388" spans="11:21" x14ac:dyDescent="0.25">
      <c r="K388" t="s">
        <v>368</v>
      </c>
      <c r="L388" t="s">
        <v>369</v>
      </c>
      <c r="M388" t="s">
        <v>540</v>
      </c>
      <c r="N388" t="s">
        <v>635</v>
      </c>
      <c r="O388">
        <v>215271.22</v>
      </c>
      <c r="P388" t="s">
        <v>636</v>
      </c>
      <c r="Q388">
        <v>0</v>
      </c>
      <c r="R388">
        <v>0</v>
      </c>
      <c r="S388">
        <v>0</v>
      </c>
      <c r="T388">
        <v>0</v>
      </c>
      <c r="U388">
        <v>215271.22</v>
      </c>
    </row>
    <row r="389" spans="11:21" x14ac:dyDescent="0.25">
      <c r="K389" t="s">
        <v>505</v>
      </c>
      <c r="L389" t="s">
        <v>506</v>
      </c>
      <c r="M389" t="s">
        <v>540</v>
      </c>
      <c r="N389" t="s">
        <v>671</v>
      </c>
      <c r="O389">
        <v>0</v>
      </c>
      <c r="P389" t="s">
        <v>672</v>
      </c>
      <c r="Q389">
        <v>0</v>
      </c>
      <c r="R389">
        <v>3165553.6</v>
      </c>
      <c r="S389">
        <v>0</v>
      </c>
      <c r="T389">
        <v>0</v>
      </c>
      <c r="U389">
        <v>3165553.6</v>
      </c>
    </row>
    <row r="390" spans="11:21" x14ac:dyDescent="0.25">
      <c r="K390" t="s">
        <v>378</v>
      </c>
      <c r="L390" t="s">
        <v>379</v>
      </c>
      <c r="M390" t="s">
        <v>540</v>
      </c>
      <c r="N390" t="s">
        <v>563</v>
      </c>
      <c r="O390">
        <v>0</v>
      </c>
      <c r="P390" t="s">
        <v>564</v>
      </c>
      <c r="Q390">
        <v>0</v>
      </c>
      <c r="R390">
        <v>0</v>
      </c>
      <c r="S390">
        <v>0</v>
      </c>
      <c r="T390">
        <v>58760</v>
      </c>
      <c r="U390">
        <v>58760</v>
      </c>
    </row>
    <row r="391" spans="11:21" x14ac:dyDescent="0.25">
      <c r="K391" t="s">
        <v>380</v>
      </c>
      <c r="L391" t="s">
        <v>381</v>
      </c>
      <c r="M391" t="s">
        <v>540</v>
      </c>
      <c r="N391" t="s">
        <v>617</v>
      </c>
      <c r="O391">
        <v>1160987.31</v>
      </c>
      <c r="P391" t="s">
        <v>618</v>
      </c>
      <c r="Q391">
        <v>1116857.06</v>
      </c>
      <c r="R391">
        <v>1224677.81</v>
      </c>
      <c r="S391">
        <v>0</v>
      </c>
      <c r="T391">
        <v>0</v>
      </c>
      <c r="U391">
        <v>3502522.18</v>
      </c>
    </row>
    <row r="392" spans="11:21" x14ac:dyDescent="0.25">
      <c r="K392" t="s">
        <v>507</v>
      </c>
      <c r="L392" t="s">
        <v>508</v>
      </c>
      <c r="M392" t="s">
        <v>540</v>
      </c>
      <c r="N392" t="s">
        <v>551</v>
      </c>
      <c r="O392">
        <v>0</v>
      </c>
      <c r="P392" t="s">
        <v>552</v>
      </c>
      <c r="Q392">
        <v>0</v>
      </c>
      <c r="R392">
        <v>71298.94</v>
      </c>
      <c r="S392">
        <v>0</v>
      </c>
      <c r="T392">
        <v>0</v>
      </c>
      <c r="U392">
        <v>71298.94</v>
      </c>
    </row>
    <row r="393" spans="11:21" x14ac:dyDescent="0.25">
      <c r="K393" t="s">
        <v>382</v>
      </c>
      <c r="L393" t="s">
        <v>383</v>
      </c>
      <c r="M393" t="s">
        <v>540</v>
      </c>
      <c r="N393" t="s">
        <v>577</v>
      </c>
      <c r="O393">
        <v>0</v>
      </c>
      <c r="P393" t="s">
        <v>578</v>
      </c>
      <c r="Q393">
        <v>24180785.399999999</v>
      </c>
      <c r="R393">
        <v>0</v>
      </c>
      <c r="S393">
        <v>0</v>
      </c>
      <c r="T393">
        <v>0</v>
      </c>
      <c r="U393">
        <v>24180785.399999999</v>
      </c>
    </row>
    <row r="394" spans="11:21" x14ac:dyDescent="0.25">
      <c r="K394" t="s">
        <v>979</v>
      </c>
      <c r="L394" t="s">
        <v>942</v>
      </c>
      <c r="M394" t="s">
        <v>540</v>
      </c>
      <c r="N394" t="s">
        <v>653</v>
      </c>
      <c r="O394">
        <v>0</v>
      </c>
      <c r="P394" t="s">
        <v>654</v>
      </c>
      <c r="Q394">
        <v>1531738.5</v>
      </c>
      <c r="R394">
        <v>0</v>
      </c>
      <c r="S394">
        <v>0</v>
      </c>
      <c r="T394">
        <v>0</v>
      </c>
      <c r="U394">
        <v>1531738.5</v>
      </c>
    </row>
    <row r="395" spans="11:21" x14ac:dyDescent="0.25">
      <c r="K395" t="s">
        <v>384</v>
      </c>
      <c r="L395" t="s">
        <v>385</v>
      </c>
      <c r="M395" t="s">
        <v>540</v>
      </c>
      <c r="N395" t="s">
        <v>673</v>
      </c>
      <c r="O395">
        <v>60218770.789999999</v>
      </c>
      <c r="P395" t="s">
        <v>674</v>
      </c>
      <c r="Q395">
        <v>0</v>
      </c>
      <c r="R395">
        <v>0</v>
      </c>
      <c r="S395">
        <v>0</v>
      </c>
      <c r="T395">
        <v>0</v>
      </c>
      <c r="U395">
        <v>60218770.789999999</v>
      </c>
    </row>
    <row r="396" spans="11:21" x14ac:dyDescent="0.25">
      <c r="K396" t="s">
        <v>675</v>
      </c>
      <c r="L396" t="s">
        <v>676</v>
      </c>
      <c r="M396" t="s">
        <v>540</v>
      </c>
      <c r="N396" t="s">
        <v>569</v>
      </c>
      <c r="O396">
        <v>0</v>
      </c>
      <c r="P396" t="s">
        <v>570</v>
      </c>
      <c r="Q396">
        <v>0</v>
      </c>
      <c r="R396">
        <v>1415700</v>
      </c>
      <c r="S396">
        <v>0</v>
      </c>
      <c r="T396">
        <v>0</v>
      </c>
      <c r="U396">
        <v>1415700</v>
      </c>
    </row>
    <row r="397" spans="11:21" x14ac:dyDescent="0.25">
      <c r="K397" t="s">
        <v>822</v>
      </c>
      <c r="L397" t="s">
        <v>823</v>
      </c>
      <c r="M397" t="s">
        <v>540</v>
      </c>
      <c r="N397" t="s">
        <v>639</v>
      </c>
      <c r="O397">
        <v>0</v>
      </c>
      <c r="P397" t="s">
        <v>640</v>
      </c>
      <c r="Q397">
        <v>0</v>
      </c>
      <c r="R397">
        <v>323634.28000000003</v>
      </c>
      <c r="S397">
        <v>0</v>
      </c>
      <c r="T397">
        <v>0</v>
      </c>
      <c r="U397">
        <v>323634.28000000003</v>
      </c>
    </row>
    <row r="398" spans="11:21" x14ac:dyDescent="0.25">
      <c r="K398" t="s">
        <v>386</v>
      </c>
      <c r="L398" t="s">
        <v>387</v>
      </c>
      <c r="M398" t="s">
        <v>540</v>
      </c>
      <c r="N398" t="s">
        <v>659</v>
      </c>
      <c r="O398">
        <v>1112228.6299999999</v>
      </c>
      <c r="P398" t="s">
        <v>660</v>
      </c>
      <c r="Q398">
        <v>4890754.9000000004</v>
      </c>
      <c r="R398">
        <v>0</v>
      </c>
      <c r="S398">
        <v>0</v>
      </c>
      <c r="T398">
        <v>0</v>
      </c>
      <c r="U398">
        <v>6002983.5300000003</v>
      </c>
    </row>
    <row r="399" spans="11:21" x14ac:dyDescent="0.25">
      <c r="K399" t="s">
        <v>388</v>
      </c>
      <c r="L399" t="s">
        <v>389</v>
      </c>
      <c r="M399" t="s">
        <v>540</v>
      </c>
      <c r="N399" t="s">
        <v>603</v>
      </c>
      <c r="O399">
        <v>0</v>
      </c>
      <c r="P399" t="s">
        <v>604</v>
      </c>
      <c r="Q399">
        <v>0</v>
      </c>
      <c r="R399">
        <v>0</v>
      </c>
      <c r="S399">
        <v>0</v>
      </c>
      <c r="T399">
        <v>13351649.470000001</v>
      </c>
      <c r="U399">
        <v>13351649.470000001</v>
      </c>
    </row>
    <row r="400" spans="11:21" x14ac:dyDescent="0.25">
      <c r="K400" t="s">
        <v>1015</v>
      </c>
      <c r="L400" t="s">
        <v>1016</v>
      </c>
      <c r="M400" t="s">
        <v>540</v>
      </c>
      <c r="N400" t="s">
        <v>1017</v>
      </c>
      <c r="O400">
        <v>7347120</v>
      </c>
      <c r="P400" t="s">
        <v>1018</v>
      </c>
      <c r="Q400">
        <v>0</v>
      </c>
      <c r="R400">
        <v>0</v>
      </c>
      <c r="S400">
        <v>0</v>
      </c>
      <c r="T400">
        <v>0</v>
      </c>
      <c r="U400">
        <v>7347120</v>
      </c>
    </row>
    <row r="401" spans="11:21" x14ac:dyDescent="0.25">
      <c r="K401" t="s">
        <v>893</v>
      </c>
      <c r="L401" t="s">
        <v>894</v>
      </c>
      <c r="M401" t="s">
        <v>540</v>
      </c>
      <c r="N401" t="s">
        <v>591</v>
      </c>
      <c r="O401">
        <v>2933498.75</v>
      </c>
      <c r="P401" t="s">
        <v>592</v>
      </c>
      <c r="Q401">
        <v>118688.15</v>
      </c>
      <c r="R401">
        <v>0</v>
      </c>
      <c r="S401">
        <v>0</v>
      </c>
      <c r="T401">
        <v>0</v>
      </c>
      <c r="U401">
        <v>3052186.9</v>
      </c>
    </row>
    <row r="402" spans="11:21" x14ac:dyDescent="0.25">
      <c r="K402" t="s">
        <v>1040</v>
      </c>
      <c r="L402" t="s">
        <v>1041</v>
      </c>
      <c r="M402" t="s">
        <v>540</v>
      </c>
      <c r="N402" t="s">
        <v>1042</v>
      </c>
      <c r="O402">
        <v>0</v>
      </c>
      <c r="P402" t="s">
        <v>1043</v>
      </c>
      <c r="Q402">
        <v>306017.64</v>
      </c>
      <c r="R402">
        <v>0</v>
      </c>
      <c r="S402">
        <v>0</v>
      </c>
      <c r="T402">
        <v>0</v>
      </c>
      <c r="U402">
        <v>306017.64</v>
      </c>
    </row>
    <row r="403" spans="11:21" x14ac:dyDescent="0.25">
      <c r="K403" t="s">
        <v>1044</v>
      </c>
      <c r="L403" t="s">
        <v>1045</v>
      </c>
      <c r="M403" t="s">
        <v>540</v>
      </c>
      <c r="N403" t="s">
        <v>565</v>
      </c>
      <c r="O403">
        <v>233094.39999999999</v>
      </c>
      <c r="P403" t="s">
        <v>566</v>
      </c>
      <c r="Q403">
        <v>10110566.050000001</v>
      </c>
      <c r="R403">
        <v>0</v>
      </c>
      <c r="S403">
        <v>0</v>
      </c>
      <c r="T403">
        <v>0</v>
      </c>
      <c r="U403">
        <v>10343660.449999999</v>
      </c>
    </row>
    <row r="404" spans="11:21" x14ac:dyDescent="0.25">
      <c r="K404" t="s">
        <v>392</v>
      </c>
      <c r="L404" t="s">
        <v>393</v>
      </c>
      <c r="M404" t="s">
        <v>540</v>
      </c>
      <c r="N404" t="s">
        <v>601</v>
      </c>
      <c r="O404">
        <v>26998750.760000002</v>
      </c>
      <c r="P404" t="s">
        <v>602</v>
      </c>
      <c r="Q404">
        <v>75550784.200000003</v>
      </c>
      <c r="R404">
        <v>0</v>
      </c>
      <c r="S404">
        <v>0</v>
      </c>
      <c r="T404">
        <v>0</v>
      </c>
      <c r="U404">
        <v>102549534.95999999</v>
      </c>
    </row>
    <row r="405" spans="11:21" x14ac:dyDescent="0.25">
      <c r="K405" t="s">
        <v>1191</v>
      </c>
      <c r="L405" t="s">
        <v>1192</v>
      </c>
      <c r="M405" t="s">
        <v>540</v>
      </c>
      <c r="N405" t="s">
        <v>1193</v>
      </c>
      <c r="O405">
        <v>515309.96</v>
      </c>
      <c r="P405" t="s">
        <v>1194</v>
      </c>
      <c r="Q405">
        <v>0</v>
      </c>
      <c r="R405">
        <v>0</v>
      </c>
      <c r="S405">
        <v>0</v>
      </c>
      <c r="T405">
        <v>0</v>
      </c>
      <c r="U405">
        <v>515309.96</v>
      </c>
    </row>
    <row r="406" spans="11:21" x14ac:dyDescent="0.25">
      <c r="K406" t="s">
        <v>980</v>
      </c>
      <c r="L406" t="s">
        <v>943</v>
      </c>
      <c r="M406" t="s">
        <v>540</v>
      </c>
      <c r="N406" t="s">
        <v>981</v>
      </c>
      <c r="O406">
        <v>31519080</v>
      </c>
      <c r="P406" t="s">
        <v>982</v>
      </c>
      <c r="Q406">
        <v>0</v>
      </c>
      <c r="R406">
        <v>0</v>
      </c>
      <c r="S406">
        <v>0</v>
      </c>
      <c r="T406">
        <v>0</v>
      </c>
      <c r="U406">
        <v>31519080</v>
      </c>
    </row>
    <row r="407" spans="11:21" x14ac:dyDescent="0.25">
      <c r="K407" t="s">
        <v>394</v>
      </c>
      <c r="L407" t="s">
        <v>395</v>
      </c>
      <c r="M407" t="s">
        <v>540</v>
      </c>
      <c r="N407" t="s">
        <v>629</v>
      </c>
      <c r="O407">
        <v>227127.21</v>
      </c>
      <c r="P407" t="s">
        <v>630</v>
      </c>
      <c r="Q407">
        <v>9847557.0099999998</v>
      </c>
      <c r="R407">
        <v>12432118.75</v>
      </c>
      <c r="S407">
        <v>0</v>
      </c>
      <c r="T407">
        <v>0</v>
      </c>
      <c r="U407">
        <v>22506802.969999999</v>
      </c>
    </row>
    <row r="408" spans="11:21" x14ac:dyDescent="0.25">
      <c r="K408" t="s">
        <v>895</v>
      </c>
      <c r="L408" t="s">
        <v>896</v>
      </c>
      <c r="M408" t="s">
        <v>540</v>
      </c>
      <c r="N408" t="s">
        <v>559</v>
      </c>
      <c r="O408">
        <v>2339100</v>
      </c>
      <c r="P408" t="s">
        <v>560</v>
      </c>
      <c r="Q408">
        <v>0</v>
      </c>
      <c r="R408">
        <v>0</v>
      </c>
      <c r="S408">
        <v>0</v>
      </c>
      <c r="T408">
        <v>0</v>
      </c>
      <c r="U408">
        <v>2339100</v>
      </c>
    </row>
    <row r="409" spans="11:21" x14ac:dyDescent="0.25">
      <c r="K409" t="s">
        <v>396</v>
      </c>
      <c r="L409" t="s">
        <v>397</v>
      </c>
      <c r="M409" t="s">
        <v>540</v>
      </c>
      <c r="N409" t="s">
        <v>677</v>
      </c>
      <c r="O409">
        <v>10021498.26</v>
      </c>
      <c r="P409" t="s">
        <v>678</v>
      </c>
      <c r="Q409">
        <v>20526134.649999999</v>
      </c>
      <c r="R409">
        <v>0</v>
      </c>
      <c r="S409">
        <v>0.01</v>
      </c>
      <c r="T409">
        <v>0</v>
      </c>
      <c r="U409">
        <v>30547632.920000002</v>
      </c>
    </row>
    <row r="410" spans="11:21" x14ac:dyDescent="0.25">
      <c r="K410" t="s">
        <v>768</v>
      </c>
      <c r="L410" t="s">
        <v>769</v>
      </c>
      <c r="M410" t="s">
        <v>540</v>
      </c>
      <c r="N410" t="s">
        <v>609</v>
      </c>
      <c r="O410">
        <v>0</v>
      </c>
      <c r="P410" t="s">
        <v>610</v>
      </c>
      <c r="Q410">
        <v>984016.73</v>
      </c>
      <c r="R410">
        <v>0</v>
      </c>
      <c r="S410">
        <v>0</v>
      </c>
      <c r="T410">
        <v>0</v>
      </c>
      <c r="U410">
        <v>984016.73</v>
      </c>
    </row>
    <row r="411" spans="11:21" x14ac:dyDescent="0.25">
      <c r="K411" t="s">
        <v>1019</v>
      </c>
      <c r="L411" t="s">
        <v>1020</v>
      </c>
      <c r="M411" t="s">
        <v>540</v>
      </c>
      <c r="N411" t="s">
        <v>1004</v>
      </c>
      <c r="O411">
        <v>1546985</v>
      </c>
      <c r="P411" t="s">
        <v>1005</v>
      </c>
      <c r="Q411">
        <v>615890</v>
      </c>
      <c r="R411">
        <v>0</v>
      </c>
      <c r="S411">
        <v>0</v>
      </c>
      <c r="T411">
        <v>0</v>
      </c>
      <c r="U411">
        <v>2162875</v>
      </c>
    </row>
    <row r="412" spans="11:21" x14ac:dyDescent="0.25">
      <c r="K412" t="s">
        <v>398</v>
      </c>
      <c r="L412" t="s">
        <v>399</v>
      </c>
      <c r="M412" t="s">
        <v>540</v>
      </c>
      <c r="N412" t="s">
        <v>559</v>
      </c>
      <c r="O412">
        <v>0</v>
      </c>
      <c r="P412" t="s">
        <v>560</v>
      </c>
      <c r="Q412">
        <v>0</v>
      </c>
      <c r="R412">
        <v>0</v>
      </c>
      <c r="S412">
        <v>0</v>
      </c>
      <c r="T412">
        <v>-2698.26</v>
      </c>
      <c r="U412">
        <v>-2698.26</v>
      </c>
    </row>
    <row r="413" spans="11:21" x14ac:dyDescent="0.25">
      <c r="K413" t="s">
        <v>770</v>
      </c>
      <c r="L413" t="s">
        <v>771</v>
      </c>
      <c r="M413" t="s">
        <v>540</v>
      </c>
      <c r="N413" t="s">
        <v>772</v>
      </c>
      <c r="O413">
        <v>1881330</v>
      </c>
      <c r="P413" t="s">
        <v>773</v>
      </c>
      <c r="Q413">
        <v>138986072.5</v>
      </c>
      <c r="R413">
        <v>0</v>
      </c>
      <c r="S413">
        <v>0</v>
      </c>
      <c r="T413">
        <v>0</v>
      </c>
      <c r="U413">
        <v>140867402.5</v>
      </c>
    </row>
    <row r="414" spans="11:21" x14ac:dyDescent="0.25">
      <c r="K414" t="s">
        <v>1195</v>
      </c>
      <c r="L414" t="s">
        <v>1196</v>
      </c>
      <c r="M414" t="s">
        <v>540</v>
      </c>
      <c r="N414" t="s">
        <v>541</v>
      </c>
      <c r="O414">
        <v>10515298.130000001</v>
      </c>
      <c r="P414" t="s">
        <v>542</v>
      </c>
      <c r="Q414">
        <v>0</v>
      </c>
      <c r="R414">
        <v>0</v>
      </c>
      <c r="S414">
        <v>0</v>
      </c>
      <c r="T414">
        <v>0</v>
      </c>
      <c r="U414">
        <v>10515298.130000001</v>
      </c>
    </row>
    <row r="415" spans="11:21" x14ac:dyDescent="0.25">
      <c r="K415" t="s">
        <v>400</v>
      </c>
      <c r="L415" t="s">
        <v>401</v>
      </c>
      <c r="M415" t="s">
        <v>540</v>
      </c>
      <c r="N415" t="s">
        <v>679</v>
      </c>
      <c r="O415">
        <v>78752425</v>
      </c>
      <c r="P415" t="s">
        <v>680</v>
      </c>
      <c r="Q415">
        <v>11657000</v>
      </c>
      <c r="R415">
        <v>0</v>
      </c>
      <c r="S415">
        <v>0</v>
      </c>
      <c r="T415">
        <v>0</v>
      </c>
      <c r="U415">
        <v>90409425</v>
      </c>
    </row>
    <row r="416" spans="11:21" x14ac:dyDescent="0.25">
      <c r="K416" t="s">
        <v>1197</v>
      </c>
      <c r="L416" t="s">
        <v>1198</v>
      </c>
      <c r="M416" t="s">
        <v>540</v>
      </c>
      <c r="N416" t="s">
        <v>681</v>
      </c>
      <c r="O416">
        <v>1402016</v>
      </c>
      <c r="P416" t="s">
        <v>682</v>
      </c>
      <c r="Q416">
        <v>0</v>
      </c>
      <c r="R416">
        <v>0</v>
      </c>
      <c r="S416">
        <v>0</v>
      </c>
      <c r="T416">
        <v>0</v>
      </c>
      <c r="U416">
        <v>1402016</v>
      </c>
    </row>
    <row r="417" spans="11:21" x14ac:dyDescent="0.25">
      <c r="K417" t="s">
        <v>402</v>
      </c>
      <c r="L417" t="s">
        <v>403</v>
      </c>
      <c r="M417" t="s">
        <v>540</v>
      </c>
      <c r="N417" t="s">
        <v>681</v>
      </c>
      <c r="O417">
        <v>2632258.2000000002</v>
      </c>
      <c r="P417" t="s">
        <v>682</v>
      </c>
      <c r="Q417">
        <v>57329826.399999999</v>
      </c>
      <c r="R417">
        <v>24862097.789999999</v>
      </c>
      <c r="S417">
        <v>0</v>
      </c>
      <c r="T417">
        <v>0</v>
      </c>
      <c r="U417">
        <v>84824182.390000001</v>
      </c>
    </row>
    <row r="418" spans="11:21" x14ac:dyDescent="0.25">
      <c r="K418" t="s">
        <v>404</v>
      </c>
      <c r="L418" t="s">
        <v>405</v>
      </c>
      <c r="M418" t="s">
        <v>540</v>
      </c>
      <c r="N418" t="s">
        <v>615</v>
      </c>
      <c r="O418">
        <v>229618.98</v>
      </c>
      <c r="P418" t="s">
        <v>616</v>
      </c>
      <c r="Q418">
        <v>2797089.87</v>
      </c>
      <c r="R418">
        <v>0</v>
      </c>
      <c r="S418">
        <v>0</v>
      </c>
      <c r="T418">
        <v>0</v>
      </c>
      <c r="U418">
        <v>3026708.85</v>
      </c>
    </row>
    <row r="419" spans="11:21" x14ac:dyDescent="0.25">
      <c r="K419" t="s">
        <v>1199</v>
      </c>
      <c r="L419" t="s">
        <v>1200</v>
      </c>
      <c r="M419" t="s">
        <v>540</v>
      </c>
      <c r="N419" t="s">
        <v>555</v>
      </c>
      <c r="O419">
        <v>467667.20000000001</v>
      </c>
      <c r="P419" t="s">
        <v>556</v>
      </c>
      <c r="Q419">
        <v>0</v>
      </c>
      <c r="R419">
        <v>0</v>
      </c>
      <c r="S419">
        <v>0</v>
      </c>
      <c r="T419">
        <v>0</v>
      </c>
      <c r="U419">
        <v>467667.20000000001</v>
      </c>
    </row>
    <row r="420" spans="11:21" x14ac:dyDescent="0.25">
      <c r="K420" t="s">
        <v>1201</v>
      </c>
      <c r="L420" t="s">
        <v>1202</v>
      </c>
      <c r="M420" t="s">
        <v>540</v>
      </c>
      <c r="N420" t="s">
        <v>563</v>
      </c>
      <c r="O420">
        <v>2623383.75</v>
      </c>
      <c r="P420" t="s">
        <v>564</v>
      </c>
      <c r="Q420">
        <v>0</v>
      </c>
      <c r="R420">
        <v>0</v>
      </c>
      <c r="S420">
        <v>0</v>
      </c>
      <c r="T420">
        <v>0</v>
      </c>
      <c r="U420">
        <v>2623383.75</v>
      </c>
    </row>
    <row r="421" spans="11:21" x14ac:dyDescent="0.25">
      <c r="K421" t="s">
        <v>983</v>
      </c>
      <c r="L421" t="s">
        <v>944</v>
      </c>
      <c r="M421" t="s">
        <v>540</v>
      </c>
      <c r="N421" t="s">
        <v>565</v>
      </c>
      <c r="O421">
        <v>0</v>
      </c>
      <c r="P421" t="s">
        <v>566</v>
      </c>
      <c r="Q421">
        <v>141515200</v>
      </c>
      <c r="R421">
        <v>0</v>
      </c>
      <c r="S421">
        <v>0</v>
      </c>
      <c r="T421">
        <v>0</v>
      </c>
      <c r="U421">
        <v>141515200</v>
      </c>
    </row>
    <row r="422" spans="11:21" x14ac:dyDescent="0.25">
      <c r="K422" t="s">
        <v>907</v>
      </c>
      <c r="L422" t="s">
        <v>908</v>
      </c>
      <c r="M422" t="s">
        <v>540</v>
      </c>
      <c r="N422" t="s">
        <v>909</v>
      </c>
      <c r="O422">
        <v>14280521.439999999</v>
      </c>
      <c r="P422" t="s">
        <v>910</v>
      </c>
      <c r="Q422">
        <v>0</v>
      </c>
      <c r="R422">
        <v>0</v>
      </c>
      <c r="S422">
        <v>0</v>
      </c>
      <c r="T422">
        <v>0</v>
      </c>
      <c r="U422">
        <v>14280521.439999999</v>
      </c>
    </row>
    <row r="423" spans="11:21" x14ac:dyDescent="0.25">
      <c r="K423" t="s">
        <v>1203</v>
      </c>
      <c r="L423" t="s">
        <v>1204</v>
      </c>
      <c r="M423" t="s">
        <v>540</v>
      </c>
      <c r="N423" t="s">
        <v>1017</v>
      </c>
      <c r="O423">
        <v>14510925</v>
      </c>
      <c r="P423" t="s">
        <v>1018</v>
      </c>
      <c r="Q423">
        <v>14463735</v>
      </c>
      <c r="R423">
        <v>0</v>
      </c>
      <c r="S423">
        <v>0</v>
      </c>
      <c r="T423">
        <v>0</v>
      </c>
      <c r="U423">
        <v>28974660</v>
      </c>
    </row>
    <row r="424" spans="11:21" x14ac:dyDescent="0.25">
      <c r="K424" t="s">
        <v>406</v>
      </c>
      <c r="L424" t="s">
        <v>407</v>
      </c>
      <c r="M424" t="s">
        <v>540</v>
      </c>
      <c r="N424" t="s">
        <v>681</v>
      </c>
      <c r="O424">
        <v>1077707.8400000001</v>
      </c>
      <c r="P424" t="s">
        <v>682</v>
      </c>
      <c r="Q424">
        <v>944711.93</v>
      </c>
      <c r="R424">
        <v>2999828.69</v>
      </c>
      <c r="S424">
        <v>0</v>
      </c>
      <c r="T424">
        <v>0</v>
      </c>
      <c r="U424">
        <v>5022248.46</v>
      </c>
    </row>
    <row r="425" spans="11:21" x14ac:dyDescent="0.25">
      <c r="K425" t="s">
        <v>408</v>
      </c>
      <c r="L425" t="s">
        <v>409</v>
      </c>
      <c r="M425" t="s">
        <v>540</v>
      </c>
      <c r="N425" t="s">
        <v>677</v>
      </c>
      <c r="O425">
        <v>15652500</v>
      </c>
      <c r="P425" t="s">
        <v>678</v>
      </c>
      <c r="Q425">
        <v>24537500</v>
      </c>
      <c r="R425">
        <v>0</v>
      </c>
      <c r="S425">
        <v>0</v>
      </c>
      <c r="T425">
        <v>0</v>
      </c>
      <c r="U425">
        <v>40190000</v>
      </c>
    </row>
    <row r="426" spans="11:21" x14ac:dyDescent="0.25">
      <c r="K426" t="s">
        <v>1205</v>
      </c>
      <c r="L426" t="s">
        <v>1206</v>
      </c>
      <c r="M426" t="s">
        <v>540</v>
      </c>
      <c r="N426" t="s">
        <v>631</v>
      </c>
      <c r="O426">
        <v>0</v>
      </c>
      <c r="P426" t="s">
        <v>632</v>
      </c>
      <c r="Q426">
        <v>744766.66</v>
      </c>
      <c r="R426">
        <v>0</v>
      </c>
      <c r="S426">
        <v>0</v>
      </c>
      <c r="T426">
        <v>0</v>
      </c>
      <c r="U426">
        <v>744766.66</v>
      </c>
    </row>
    <row r="427" spans="11:21" x14ac:dyDescent="0.25">
      <c r="K427" t="s">
        <v>511</v>
      </c>
      <c r="L427" t="s">
        <v>512</v>
      </c>
      <c r="M427" t="s">
        <v>540</v>
      </c>
      <c r="N427" t="s">
        <v>631</v>
      </c>
      <c r="O427">
        <v>70180</v>
      </c>
      <c r="P427" t="s">
        <v>632</v>
      </c>
      <c r="Q427">
        <v>142780</v>
      </c>
      <c r="R427">
        <v>0</v>
      </c>
      <c r="S427">
        <v>0</v>
      </c>
      <c r="T427">
        <v>0</v>
      </c>
      <c r="U427">
        <v>212960</v>
      </c>
    </row>
    <row r="428" spans="11:21" x14ac:dyDescent="0.25">
      <c r="K428" t="s">
        <v>1046</v>
      </c>
      <c r="L428" t="s">
        <v>1047</v>
      </c>
      <c r="M428" t="s">
        <v>540</v>
      </c>
      <c r="N428" t="s">
        <v>665</v>
      </c>
      <c r="O428">
        <v>0</v>
      </c>
      <c r="P428" t="s">
        <v>666</v>
      </c>
      <c r="Q428">
        <v>16180000</v>
      </c>
      <c r="R428">
        <v>0</v>
      </c>
      <c r="S428">
        <v>0</v>
      </c>
      <c r="T428">
        <v>0</v>
      </c>
      <c r="U428">
        <v>16180000</v>
      </c>
    </row>
    <row r="429" spans="11:21" x14ac:dyDescent="0.25">
      <c r="K429" t="s">
        <v>410</v>
      </c>
      <c r="L429" t="s">
        <v>411</v>
      </c>
      <c r="M429" t="s">
        <v>540</v>
      </c>
      <c r="N429" t="s">
        <v>559</v>
      </c>
      <c r="O429">
        <v>0</v>
      </c>
      <c r="P429" t="s">
        <v>560</v>
      </c>
      <c r="Q429">
        <v>9735206.25</v>
      </c>
      <c r="R429">
        <v>7286952.75</v>
      </c>
      <c r="S429">
        <v>0</v>
      </c>
      <c r="T429">
        <v>0</v>
      </c>
      <c r="U429">
        <v>17022159</v>
      </c>
    </row>
    <row r="430" spans="11:21" x14ac:dyDescent="0.25">
      <c r="K430" t="s">
        <v>412</v>
      </c>
      <c r="L430" t="s">
        <v>413</v>
      </c>
      <c r="M430" t="s">
        <v>540</v>
      </c>
      <c r="N430" t="s">
        <v>677</v>
      </c>
      <c r="O430">
        <v>0</v>
      </c>
      <c r="P430" t="s">
        <v>678</v>
      </c>
      <c r="Q430">
        <v>10694322.039999999</v>
      </c>
      <c r="R430">
        <v>4797192.21</v>
      </c>
      <c r="S430">
        <v>0</v>
      </c>
      <c r="T430">
        <v>0</v>
      </c>
      <c r="U430">
        <v>15491514.25</v>
      </c>
    </row>
    <row r="431" spans="11:21" x14ac:dyDescent="0.25">
      <c r="K431" t="s">
        <v>414</v>
      </c>
      <c r="L431" t="s">
        <v>415</v>
      </c>
      <c r="M431" t="s">
        <v>540</v>
      </c>
      <c r="N431" t="s">
        <v>553</v>
      </c>
      <c r="O431">
        <v>8487858.5999999996</v>
      </c>
      <c r="P431" t="s">
        <v>554</v>
      </c>
      <c r="Q431">
        <v>32571477.25</v>
      </c>
      <c r="R431">
        <v>0</v>
      </c>
      <c r="S431">
        <v>0</v>
      </c>
      <c r="T431">
        <v>0</v>
      </c>
      <c r="U431">
        <v>41059335.850000001</v>
      </c>
    </row>
    <row r="432" spans="11:21" x14ac:dyDescent="0.25">
      <c r="K432" t="s">
        <v>830</v>
      </c>
      <c r="L432" t="s">
        <v>831</v>
      </c>
      <c r="M432" t="s">
        <v>540</v>
      </c>
      <c r="N432" t="s">
        <v>605</v>
      </c>
      <c r="O432">
        <v>2237532.02</v>
      </c>
      <c r="P432" t="s">
        <v>606</v>
      </c>
      <c r="Q432">
        <v>6746415.5</v>
      </c>
      <c r="R432">
        <v>0</v>
      </c>
      <c r="S432">
        <v>0</v>
      </c>
      <c r="T432">
        <v>0</v>
      </c>
      <c r="U432">
        <v>8983947.5199999996</v>
      </c>
    </row>
    <row r="433" spans="11:21" x14ac:dyDescent="0.25">
      <c r="K433" t="s">
        <v>1207</v>
      </c>
      <c r="L433" t="s">
        <v>1208</v>
      </c>
      <c r="M433" t="s">
        <v>540</v>
      </c>
      <c r="N433" t="s">
        <v>1209</v>
      </c>
      <c r="O433">
        <v>650000</v>
      </c>
      <c r="P433" t="s">
        <v>1210</v>
      </c>
      <c r="Q433">
        <v>0</v>
      </c>
      <c r="R433">
        <v>0</v>
      </c>
      <c r="S433">
        <v>0</v>
      </c>
      <c r="T433">
        <v>0</v>
      </c>
      <c r="U433">
        <v>650000</v>
      </c>
    </row>
    <row r="434" spans="11:21" x14ac:dyDescent="0.25">
      <c r="K434" t="s">
        <v>1211</v>
      </c>
      <c r="L434" t="s">
        <v>1212</v>
      </c>
      <c r="M434" t="s">
        <v>540</v>
      </c>
      <c r="N434" t="s">
        <v>1213</v>
      </c>
      <c r="O434">
        <v>0</v>
      </c>
      <c r="P434" t="s">
        <v>1214</v>
      </c>
      <c r="Q434">
        <v>128865</v>
      </c>
      <c r="R434">
        <v>0</v>
      </c>
      <c r="S434">
        <v>0</v>
      </c>
      <c r="T434">
        <v>0</v>
      </c>
      <c r="U434">
        <v>128865</v>
      </c>
    </row>
    <row r="435" spans="11:21" x14ac:dyDescent="0.25">
      <c r="K435" t="s">
        <v>418</v>
      </c>
      <c r="L435" t="s">
        <v>419</v>
      </c>
      <c r="M435" t="s">
        <v>540</v>
      </c>
      <c r="N435" t="s">
        <v>643</v>
      </c>
      <c r="O435">
        <v>495040.91</v>
      </c>
      <c r="P435" t="s">
        <v>644</v>
      </c>
      <c r="Q435">
        <v>0</v>
      </c>
      <c r="R435">
        <v>0</v>
      </c>
      <c r="S435">
        <v>0</v>
      </c>
      <c r="T435">
        <v>0</v>
      </c>
      <c r="U435">
        <v>495040.91</v>
      </c>
    </row>
    <row r="436" spans="11:21" x14ac:dyDescent="0.25">
      <c r="K436" t="s">
        <v>1215</v>
      </c>
      <c r="L436" t="s">
        <v>1216</v>
      </c>
      <c r="M436" t="s">
        <v>540</v>
      </c>
      <c r="N436" t="s">
        <v>559</v>
      </c>
      <c r="O436">
        <v>550000</v>
      </c>
      <c r="P436" t="s">
        <v>560</v>
      </c>
      <c r="Q436">
        <v>0</v>
      </c>
      <c r="R436">
        <v>0</v>
      </c>
      <c r="S436">
        <v>0</v>
      </c>
      <c r="T436">
        <v>0</v>
      </c>
      <c r="U436">
        <v>550000</v>
      </c>
    </row>
    <row r="437" spans="11:21" x14ac:dyDescent="0.25">
      <c r="K437" t="s">
        <v>422</v>
      </c>
      <c r="L437" t="s">
        <v>423</v>
      </c>
      <c r="M437" t="s">
        <v>540</v>
      </c>
      <c r="N437" t="s">
        <v>553</v>
      </c>
      <c r="O437">
        <v>149700</v>
      </c>
      <c r="P437" t="s">
        <v>554</v>
      </c>
      <c r="Q437">
        <v>646150</v>
      </c>
      <c r="R437">
        <v>0</v>
      </c>
      <c r="S437">
        <v>0</v>
      </c>
      <c r="T437">
        <v>0</v>
      </c>
      <c r="U437">
        <v>795850</v>
      </c>
    </row>
    <row r="438" spans="11:21" x14ac:dyDescent="0.25">
      <c r="K438" t="s">
        <v>186</v>
      </c>
      <c r="L438" t="s">
        <v>1021</v>
      </c>
      <c r="M438" t="s">
        <v>540</v>
      </c>
      <c r="N438" t="s">
        <v>545</v>
      </c>
      <c r="O438">
        <v>0</v>
      </c>
      <c r="P438" t="s">
        <v>546</v>
      </c>
      <c r="Q438">
        <v>2262397.5</v>
      </c>
      <c r="R438">
        <v>0</v>
      </c>
      <c r="S438">
        <v>0</v>
      </c>
      <c r="T438">
        <v>0</v>
      </c>
      <c r="U438">
        <v>2262397.5</v>
      </c>
    </row>
    <row r="439" spans="11:21" x14ac:dyDescent="0.25">
      <c r="K439" t="s">
        <v>984</v>
      </c>
      <c r="L439" t="s">
        <v>985</v>
      </c>
      <c r="M439" t="s">
        <v>540</v>
      </c>
      <c r="N439" t="s">
        <v>579</v>
      </c>
      <c r="O439">
        <v>236482.37</v>
      </c>
      <c r="P439" t="s">
        <v>580</v>
      </c>
      <c r="Q439">
        <v>1020577.5</v>
      </c>
      <c r="R439">
        <v>0</v>
      </c>
      <c r="S439">
        <v>0</v>
      </c>
      <c r="T439">
        <v>0</v>
      </c>
      <c r="U439">
        <v>1257059.8700000001</v>
      </c>
    </row>
    <row r="440" spans="11:21" x14ac:dyDescent="0.25">
      <c r="K440" t="s">
        <v>986</v>
      </c>
      <c r="L440" t="s">
        <v>945</v>
      </c>
      <c r="M440" t="s">
        <v>540</v>
      </c>
      <c r="N440" t="s">
        <v>563</v>
      </c>
      <c r="O440">
        <v>14022391.68</v>
      </c>
      <c r="P440" t="s">
        <v>564</v>
      </c>
      <c r="Q440">
        <v>0</v>
      </c>
      <c r="R440">
        <v>0</v>
      </c>
      <c r="S440">
        <v>0</v>
      </c>
      <c r="T440">
        <v>0</v>
      </c>
      <c r="U440">
        <v>14022391.68</v>
      </c>
    </row>
    <row r="441" spans="11:21" x14ac:dyDescent="0.25">
      <c r="K441" t="s">
        <v>424</v>
      </c>
      <c r="L441" t="s">
        <v>425</v>
      </c>
      <c r="M441" t="s">
        <v>540</v>
      </c>
      <c r="N441" t="s">
        <v>617</v>
      </c>
      <c r="O441">
        <v>0</v>
      </c>
      <c r="P441" t="s">
        <v>618</v>
      </c>
      <c r="Q441">
        <v>15888000</v>
      </c>
      <c r="R441">
        <v>8985600</v>
      </c>
      <c r="S441">
        <v>0</v>
      </c>
      <c r="T441">
        <v>0</v>
      </c>
      <c r="U441">
        <v>24873600</v>
      </c>
    </row>
    <row r="442" spans="11:21" x14ac:dyDescent="0.25">
      <c r="K442" t="s">
        <v>1217</v>
      </c>
      <c r="L442" t="s">
        <v>1218</v>
      </c>
      <c r="M442" t="s">
        <v>540</v>
      </c>
      <c r="N442" t="s">
        <v>661</v>
      </c>
      <c r="O442">
        <v>1764000</v>
      </c>
      <c r="P442" t="s">
        <v>662</v>
      </c>
      <c r="Q442">
        <v>0</v>
      </c>
      <c r="R442">
        <v>0</v>
      </c>
      <c r="S442">
        <v>0</v>
      </c>
      <c r="T442">
        <v>0</v>
      </c>
      <c r="U442">
        <v>1764000</v>
      </c>
    </row>
    <row r="443" spans="11:21" x14ac:dyDescent="0.25">
      <c r="K443" t="s">
        <v>426</v>
      </c>
      <c r="L443" t="s">
        <v>427</v>
      </c>
      <c r="M443" t="s">
        <v>540</v>
      </c>
      <c r="N443" t="s">
        <v>659</v>
      </c>
      <c r="O443">
        <v>0</v>
      </c>
      <c r="P443" t="s">
        <v>660</v>
      </c>
      <c r="Q443">
        <v>873454</v>
      </c>
      <c r="R443">
        <v>0</v>
      </c>
      <c r="S443">
        <v>0</v>
      </c>
      <c r="T443">
        <v>0</v>
      </c>
      <c r="U443">
        <v>873454</v>
      </c>
    </row>
    <row r="444" spans="11:21" x14ac:dyDescent="0.25">
      <c r="K444" t="s">
        <v>428</v>
      </c>
      <c r="L444" t="s">
        <v>429</v>
      </c>
      <c r="M444" t="s">
        <v>540</v>
      </c>
      <c r="N444" t="s">
        <v>691</v>
      </c>
      <c r="O444">
        <v>1226214</v>
      </c>
      <c r="P444" t="s">
        <v>692</v>
      </c>
      <c r="Q444">
        <v>2015834</v>
      </c>
      <c r="R444">
        <v>0</v>
      </c>
      <c r="S444">
        <v>0</v>
      </c>
      <c r="T444">
        <v>0</v>
      </c>
      <c r="U444">
        <v>3242048</v>
      </c>
    </row>
    <row r="445" spans="11:21" x14ac:dyDescent="0.25">
      <c r="K445" t="s">
        <v>430</v>
      </c>
      <c r="L445" t="s">
        <v>431</v>
      </c>
      <c r="M445" t="s">
        <v>540</v>
      </c>
      <c r="N445" t="s">
        <v>551</v>
      </c>
      <c r="O445">
        <v>0</v>
      </c>
      <c r="P445" t="s">
        <v>552</v>
      </c>
      <c r="Q445">
        <v>3537430.54</v>
      </c>
      <c r="R445">
        <v>0</v>
      </c>
      <c r="S445">
        <v>0</v>
      </c>
      <c r="T445">
        <v>0</v>
      </c>
      <c r="U445">
        <v>3537430.54</v>
      </c>
    </row>
    <row r="446" spans="11:21" x14ac:dyDescent="0.25">
      <c r="K446" t="s">
        <v>432</v>
      </c>
      <c r="L446" t="s">
        <v>433</v>
      </c>
      <c r="M446" t="s">
        <v>540</v>
      </c>
      <c r="N446" t="s">
        <v>1219</v>
      </c>
      <c r="O446">
        <v>0</v>
      </c>
      <c r="P446" t="s">
        <v>1220</v>
      </c>
      <c r="Q446">
        <v>0</v>
      </c>
      <c r="R446">
        <v>0</v>
      </c>
      <c r="S446">
        <v>0</v>
      </c>
      <c r="T446">
        <v>1074310</v>
      </c>
      <c r="U446">
        <v>1074310</v>
      </c>
    </row>
    <row r="447" spans="11:21" x14ac:dyDescent="0.25">
      <c r="K447" t="s">
        <v>1221</v>
      </c>
      <c r="L447" t="s">
        <v>1222</v>
      </c>
      <c r="M447" t="s">
        <v>540</v>
      </c>
      <c r="N447" t="s">
        <v>661</v>
      </c>
      <c r="O447">
        <v>0</v>
      </c>
      <c r="P447" t="s">
        <v>662</v>
      </c>
      <c r="Q447">
        <v>134000</v>
      </c>
      <c r="R447">
        <v>0</v>
      </c>
      <c r="S447">
        <v>0</v>
      </c>
      <c r="T447">
        <v>0</v>
      </c>
      <c r="U447">
        <v>134000</v>
      </c>
    </row>
    <row r="448" spans="11:21" x14ac:dyDescent="0.25">
      <c r="K448" t="s">
        <v>786</v>
      </c>
      <c r="L448" t="s">
        <v>787</v>
      </c>
      <c r="M448" t="s">
        <v>540</v>
      </c>
      <c r="N448" t="s">
        <v>559</v>
      </c>
      <c r="O448">
        <v>865472.7</v>
      </c>
      <c r="P448" t="s">
        <v>560</v>
      </c>
      <c r="Q448">
        <v>836879.82</v>
      </c>
      <c r="R448">
        <v>0</v>
      </c>
      <c r="S448">
        <v>0</v>
      </c>
      <c r="T448">
        <v>0</v>
      </c>
      <c r="U448">
        <v>1702352.52</v>
      </c>
    </row>
    <row r="449" spans="11:21" x14ac:dyDescent="0.25">
      <c r="K449" t="s">
        <v>788</v>
      </c>
      <c r="L449" t="s">
        <v>789</v>
      </c>
      <c r="M449" t="s">
        <v>540</v>
      </c>
      <c r="N449" t="s">
        <v>559</v>
      </c>
      <c r="O449">
        <v>7453600</v>
      </c>
      <c r="P449" t="s">
        <v>560</v>
      </c>
      <c r="Q449">
        <v>22705200</v>
      </c>
      <c r="R449">
        <v>0</v>
      </c>
      <c r="S449">
        <v>0</v>
      </c>
      <c r="T449">
        <v>0</v>
      </c>
      <c r="U449">
        <v>30158800</v>
      </c>
    </row>
    <row r="450" spans="11:21" x14ac:dyDescent="0.25">
      <c r="K450" t="s">
        <v>989</v>
      </c>
      <c r="L450" t="s">
        <v>946</v>
      </c>
      <c r="M450" t="s">
        <v>540</v>
      </c>
      <c r="N450" t="s">
        <v>987</v>
      </c>
      <c r="O450">
        <v>0</v>
      </c>
      <c r="P450" t="s">
        <v>988</v>
      </c>
      <c r="Q450">
        <v>0</v>
      </c>
      <c r="R450">
        <v>302474011.19999999</v>
      </c>
      <c r="S450">
        <v>506546760</v>
      </c>
      <c r="T450">
        <v>0</v>
      </c>
      <c r="U450">
        <v>809020771.20000005</v>
      </c>
    </row>
    <row r="451" spans="11:21" x14ac:dyDescent="0.25">
      <c r="K451" t="s">
        <v>515</v>
      </c>
      <c r="L451" t="s">
        <v>516</v>
      </c>
      <c r="M451" t="s">
        <v>540</v>
      </c>
      <c r="N451" t="s">
        <v>693</v>
      </c>
      <c r="O451">
        <v>0</v>
      </c>
      <c r="P451" t="s">
        <v>694</v>
      </c>
      <c r="Q451">
        <v>0</v>
      </c>
      <c r="R451">
        <v>2096688</v>
      </c>
      <c r="S451">
        <v>0</v>
      </c>
      <c r="T451">
        <v>0</v>
      </c>
      <c r="U451">
        <v>2096688</v>
      </c>
    </row>
    <row r="452" spans="11:21" x14ac:dyDescent="0.25">
      <c r="K452" t="s">
        <v>434</v>
      </c>
      <c r="L452" t="s">
        <v>435</v>
      </c>
      <c r="M452" t="s">
        <v>540</v>
      </c>
      <c r="N452" t="s">
        <v>623</v>
      </c>
      <c r="O452">
        <v>389669.25</v>
      </c>
      <c r="P452" t="s">
        <v>624</v>
      </c>
      <c r="Q452">
        <v>3381242.9</v>
      </c>
      <c r="R452">
        <v>488704.61</v>
      </c>
      <c r="S452">
        <v>0</v>
      </c>
      <c r="T452">
        <v>0</v>
      </c>
      <c r="U452">
        <v>4259616.76</v>
      </c>
    </row>
    <row r="453" spans="11:21" x14ac:dyDescent="0.25">
      <c r="K453" t="s">
        <v>1022</v>
      </c>
      <c r="L453" t="s">
        <v>1023</v>
      </c>
      <c r="M453" t="s">
        <v>540</v>
      </c>
      <c r="N453" t="s">
        <v>623</v>
      </c>
      <c r="O453">
        <v>-679517.07</v>
      </c>
      <c r="P453" t="s">
        <v>624</v>
      </c>
      <c r="Q453">
        <v>0</v>
      </c>
      <c r="R453">
        <v>37751507.439999998</v>
      </c>
      <c r="S453">
        <v>0</v>
      </c>
      <c r="T453">
        <v>0</v>
      </c>
      <c r="U453">
        <v>37071990.369999997</v>
      </c>
    </row>
    <row r="454" spans="11:21" x14ac:dyDescent="0.25">
      <c r="K454" t="s">
        <v>436</v>
      </c>
      <c r="L454" t="s">
        <v>437</v>
      </c>
      <c r="M454" t="s">
        <v>540</v>
      </c>
      <c r="N454" t="s">
        <v>561</v>
      </c>
      <c r="O454">
        <v>32656000</v>
      </c>
      <c r="P454" t="s">
        <v>562</v>
      </c>
      <c r="Q454">
        <v>110848000</v>
      </c>
      <c r="R454">
        <v>0</v>
      </c>
      <c r="S454">
        <v>0</v>
      </c>
      <c r="T454">
        <v>0</v>
      </c>
      <c r="U454">
        <v>143504000</v>
      </c>
    </row>
    <row r="455" spans="11:21" x14ac:dyDescent="0.25">
      <c r="K455" t="s">
        <v>438</v>
      </c>
      <c r="L455" t="s">
        <v>439</v>
      </c>
      <c r="M455" t="s">
        <v>540</v>
      </c>
      <c r="N455" t="s">
        <v>603</v>
      </c>
      <c r="O455">
        <v>0</v>
      </c>
      <c r="P455" t="s">
        <v>604</v>
      </c>
      <c r="Q455">
        <v>0</v>
      </c>
      <c r="R455">
        <v>0</v>
      </c>
      <c r="S455">
        <v>0</v>
      </c>
      <c r="T455">
        <v>8115779.6100000003</v>
      </c>
      <c r="U455">
        <v>8115779.6100000003</v>
      </c>
    </row>
    <row r="456" spans="11:21" x14ac:dyDescent="0.25">
      <c r="K456" t="s">
        <v>440</v>
      </c>
      <c r="L456" t="s">
        <v>441</v>
      </c>
      <c r="M456" t="s">
        <v>540</v>
      </c>
      <c r="N456" t="s">
        <v>601</v>
      </c>
      <c r="O456">
        <v>0</v>
      </c>
      <c r="P456" t="s">
        <v>602</v>
      </c>
      <c r="Q456">
        <v>8603100</v>
      </c>
      <c r="R456">
        <v>0</v>
      </c>
      <c r="S456">
        <v>0</v>
      </c>
      <c r="T456">
        <v>0</v>
      </c>
      <c r="U456">
        <v>8603100</v>
      </c>
    </row>
    <row r="457" spans="11:21" x14ac:dyDescent="0.25">
      <c r="K457" t="s">
        <v>517</v>
      </c>
      <c r="L457" t="s">
        <v>518</v>
      </c>
      <c r="M457" t="s">
        <v>540</v>
      </c>
      <c r="N457" t="s">
        <v>575</v>
      </c>
      <c r="O457">
        <v>0</v>
      </c>
      <c r="P457" t="s">
        <v>576</v>
      </c>
      <c r="Q457">
        <v>31395600</v>
      </c>
      <c r="R457">
        <v>0</v>
      </c>
      <c r="S457">
        <v>0</v>
      </c>
      <c r="T457">
        <v>0</v>
      </c>
      <c r="U457">
        <v>31395600</v>
      </c>
    </row>
    <row r="458" spans="11:21" x14ac:dyDescent="0.25">
      <c r="K458" t="s">
        <v>444</v>
      </c>
      <c r="L458" t="s">
        <v>445</v>
      </c>
      <c r="M458" t="s">
        <v>540</v>
      </c>
      <c r="N458" t="s">
        <v>603</v>
      </c>
      <c r="O458">
        <v>0</v>
      </c>
      <c r="P458" t="s">
        <v>604</v>
      </c>
      <c r="Q458">
        <v>0</v>
      </c>
      <c r="R458">
        <v>0</v>
      </c>
      <c r="S458">
        <v>0</v>
      </c>
      <c r="T458">
        <v>25876207.34</v>
      </c>
      <c r="U458">
        <v>25876207.34</v>
      </c>
    </row>
    <row r="459" spans="11:21" x14ac:dyDescent="0.25">
      <c r="K459" t="s">
        <v>519</v>
      </c>
      <c r="L459" t="s">
        <v>520</v>
      </c>
      <c r="M459" t="s">
        <v>540</v>
      </c>
      <c r="N459" t="s">
        <v>695</v>
      </c>
      <c r="O459">
        <v>98800</v>
      </c>
      <c r="P459" t="s">
        <v>696</v>
      </c>
      <c r="Q459">
        <v>1457000</v>
      </c>
      <c r="R459">
        <v>2849100</v>
      </c>
      <c r="S459">
        <v>0</v>
      </c>
      <c r="T459">
        <v>0</v>
      </c>
      <c r="U459">
        <v>4404900</v>
      </c>
    </row>
    <row r="460" spans="11:21" x14ac:dyDescent="0.25">
      <c r="K460" t="s">
        <v>1223</v>
      </c>
      <c r="L460" t="s">
        <v>1224</v>
      </c>
      <c r="M460" t="s">
        <v>540</v>
      </c>
      <c r="N460" t="s">
        <v>653</v>
      </c>
      <c r="O460">
        <v>433451.04</v>
      </c>
      <c r="P460" t="s">
        <v>654</v>
      </c>
      <c r="Q460">
        <v>0</v>
      </c>
      <c r="R460">
        <v>0</v>
      </c>
      <c r="S460">
        <v>0</v>
      </c>
      <c r="T460">
        <v>0</v>
      </c>
      <c r="U460">
        <v>433451.04</v>
      </c>
    </row>
    <row r="461" spans="11:21" x14ac:dyDescent="0.25">
      <c r="K461" t="s">
        <v>790</v>
      </c>
      <c r="L461" t="s">
        <v>791</v>
      </c>
      <c r="M461" t="s">
        <v>540</v>
      </c>
      <c r="N461" t="s">
        <v>698</v>
      </c>
      <c r="O461">
        <v>133100</v>
      </c>
      <c r="P461" t="s">
        <v>699</v>
      </c>
      <c r="Q461">
        <v>0</v>
      </c>
      <c r="R461">
        <v>0</v>
      </c>
      <c r="S461">
        <v>0</v>
      </c>
      <c r="T461">
        <v>0</v>
      </c>
      <c r="U461">
        <v>133100</v>
      </c>
    </row>
    <row r="462" spans="11:21" x14ac:dyDescent="0.25">
      <c r="K462" t="s">
        <v>1225</v>
      </c>
      <c r="L462" t="s">
        <v>1226</v>
      </c>
      <c r="M462" t="s">
        <v>540</v>
      </c>
      <c r="N462" t="s">
        <v>559</v>
      </c>
      <c r="O462">
        <v>5500000</v>
      </c>
      <c r="P462" t="s">
        <v>560</v>
      </c>
      <c r="Q462">
        <v>0</v>
      </c>
      <c r="R462">
        <v>0</v>
      </c>
      <c r="S462">
        <v>0</v>
      </c>
      <c r="T462">
        <v>0</v>
      </c>
      <c r="U462">
        <v>5500000</v>
      </c>
    </row>
    <row r="463" spans="11:21" x14ac:dyDescent="0.25">
      <c r="K463" t="s">
        <v>196</v>
      </c>
      <c r="L463" t="s">
        <v>947</v>
      </c>
      <c r="M463" t="s">
        <v>540</v>
      </c>
      <c r="N463" t="s">
        <v>557</v>
      </c>
      <c r="O463">
        <v>85000</v>
      </c>
      <c r="P463" t="s">
        <v>558</v>
      </c>
      <c r="Q463">
        <v>3620000</v>
      </c>
      <c r="R463">
        <v>5655000</v>
      </c>
      <c r="S463">
        <v>0</v>
      </c>
      <c r="T463">
        <v>0</v>
      </c>
      <c r="U463">
        <v>9360000</v>
      </c>
    </row>
    <row r="464" spans="11:21" x14ac:dyDescent="0.25">
      <c r="K464" t="s">
        <v>448</v>
      </c>
      <c r="L464" t="s">
        <v>449</v>
      </c>
      <c r="M464" t="s">
        <v>540</v>
      </c>
      <c r="N464" t="s">
        <v>611</v>
      </c>
      <c r="O464">
        <v>57999.88</v>
      </c>
      <c r="P464" t="s">
        <v>612</v>
      </c>
      <c r="Q464">
        <v>2111199.94</v>
      </c>
      <c r="R464">
        <v>0</v>
      </c>
      <c r="S464">
        <v>0</v>
      </c>
      <c r="T464">
        <v>0</v>
      </c>
      <c r="U464">
        <v>2169199.8199999998</v>
      </c>
    </row>
    <row r="465" spans="11:21" x14ac:dyDescent="0.25">
      <c r="K465" t="s">
        <v>450</v>
      </c>
      <c r="L465" t="s">
        <v>451</v>
      </c>
      <c r="M465" t="s">
        <v>540</v>
      </c>
      <c r="N465" t="s">
        <v>671</v>
      </c>
      <c r="O465">
        <v>0</v>
      </c>
      <c r="P465" t="s">
        <v>697</v>
      </c>
      <c r="Q465">
        <v>2032800</v>
      </c>
      <c r="R465">
        <v>0</v>
      </c>
      <c r="S465">
        <v>0</v>
      </c>
      <c r="T465">
        <v>0</v>
      </c>
      <c r="U465">
        <v>2032800</v>
      </c>
    </row>
    <row r="466" spans="11:21" x14ac:dyDescent="0.25">
      <c r="K466" t="s">
        <v>1024</v>
      </c>
      <c r="L466" t="s">
        <v>1025</v>
      </c>
      <c r="M466" t="s">
        <v>540</v>
      </c>
      <c r="N466" t="s">
        <v>563</v>
      </c>
      <c r="O466">
        <v>0</v>
      </c>
      <c r="P466" t="s">
        <v>564</v>
      </c>
      <c r="Q466">
        <v>620000</v>
      </c>
      <c r="R466">
        <v>0</v>
      </c>
      <c r="S466">
        <v>0</v>
      </c>
      <c r="T466">
        <v>0</v>
      </c>
      <c r="U466">
        <v>620000</v>
      </c>
    </row>
    <row r="467" spans="11:21" x14ac:dyDescent="0.25">
      <c r="K467" t="s">
        <v>452</v>
      </c>
      <c r="L467" t="s">
        <v>453</v>
      </c>
      <c r="M467" t="s">
        <v>540</v>
      </c>
      <c r="N467" t="s">
        <v>653</v>
      </c>
      <c r="O467">
        <v>13500000</v>
      </c>
      <c r="P467" t="s">
        <v>654</v>
      </c>
      <c r="Q467">
        <v>37216529.130000003</v>
      </c>
      <c r="R467">
        <v>0</v>
      </c>
      <c r="S467">
        <v>0</v>
      </c>
      <c r="T467">
        <v>0</v>
      </c>
      <c r="U467">
        <v>50716529.130000003</v>
      </c>
    </row>
    <row r="468" spans="11:21" x14ac:dyDescent="0.25">
      <c r="K468" t="s">
        <v>794</v>
      </c>
      <c r="L468" t="s">
        <v>795</v>
      </c>
      <c r="M468" t="s">
        <v>540</v>
      </c>
      <c r="N468" t="s">
        <v>545</v>
      </c>
      <c r="O468">
        <v>0</v>
      </c>
      <c r="P468" t="s">
        <v>546</v>
      </c>
      <c r="Q468">
        <v>64443.83</v>
      </c>
      <c r="R468">
        <v>821652.74</v>
      </c>
      <c r="S468">
        <v>0</v>
      </c>
      <c r="T468">
        <v>0</v>
      </c>
      <c r="U468">
        <v>886096.57</v>
      </c>
    </row>
    <row r="469" spans="11:21" x14ac:dyDescent="0.25">
      <c r="K469" t="s">
        <v>521</v>
      </c>
      <c r="L469" t="s">
        <v>522</v>
      </c>
      <c r="M469" t="s">
        <v>540</v>
      </c>
      <c r="N469" t="s">
        <v>585</v>
      </c>
      <c r="O469">
        <v>4449843.9800000004</v>
      </c>
      <c r="P469" t="s">
        <v>586</v>
      </c>
      <c r="Q469">
        <v>0</v>
      </c>
      <c r="R469">
        <v>0</v>
      </c>
      <c r="S469">
        <v>0</v>
      </c>
      <c r="T469">
        <v>0</v>
      </c>
      <c r="U469">
        <v>4449843.9800000004</v>
      </c>
    </row>
    <row r="470" spans="11:21" x14ac:dyDescent="0.25">
      <c r="K470" t="s">
        <v>454</v>
      </c>
      <c r="L470" t="s">
        <v>455</v>
      </c>
      <c r="M470" t="s">
        <v>540</v>
      </c>
      <c r="N470" t="s">
        <v>679</v>
      </c>
      <c r="O470">
        <v>0</v>
      </c>
      <c r="P470" t="s">
        <v>680</v>
      </c>
      <c r="Q470">
        <v>68908</v>
      </c>
      <c r="R470">
        <v>0</v>
      </c>
      <c r="S470">
        <v>0</v>
      </c>
      <c r="T470">
        <v>0</v>
      </c>
      <c r="U470">
        <v>68908</v>
      </c>
    </row>
    <row r="471" spans="11:21" x14ac:dyDescent="0.25">
      <c r="K471" t="s">
        <v>458</v>
      </c>
      <c r="L471" t="s">
        <v>459</v>
      </c>
      <c r="M471" t="s">
        <v>540</v>
      </c>
      <c r="N471" t="s">
        <v>677</v>
      </c>
      <c r="O471">
        <v>0</v>
      </c>
      <c r="P471" t="s">
        <v>678</v>
      </c>
      <c r="Q471">
        <v>11140480.289999999</v>
      </c>
      <c r="R471">
        <v>12000000</v>
      </c>
      <c r="S471">
        <v>0</v>
      </c>
      <c r="T471">
        <v>0</v>
      </c>
      <c r="U471">
        <v>23140480.289999999</v>
      </c>
    </row>
    <row r="472" spans="11:21" x14ac:dyDescent="0.25">
      <c r="K472" t="s">
        <v>523</v>
      </c>
      <c r="L472" t="s">
        <v>524</v>
      </c>
      <c r="M472" t="s">
        <v>540</v>
      </c>
      <c r="N472" t="s">
        <v>555</v>
      </c>
      <c r="O472">
        <v>1566653.54</v>
      </c>
      <c r="P472" t="s">
        <v>556</v>
      </c>
      <c r="Q472">
        <v>0</v>
      </c>
      <c r="R472">
        <v>0</v>
      </c>
      <c r="S472">
        <v>0</v>
      </c>
      <c r="T472">
        <v>0</v>
      </c>
      <c r="U472">
        <v>1566653.54</v>
      </c>
    </row>
    <row r="473" spans="11:21" x14ac:dyDescent="0.25">
      <c r="K473" t="s">
        <v>990</v>
      </c>
      <c r="L473" t="s">
        <v>948</v>
      </c>
      <c r="M473" t="s">
        <v>540</v>
      </c>
      <c r="N473" t="s">
        <v>555</v>
      </c>
      <c r="O473">
        <v>0</v>
      </c>
      <c r="P473" t="s">
        <v>556</v>
      </c>
      <c r="Q473">
        <v>0</v>
      </c>
      <c r="R473">
        <v>0</v>
      </c>
      <c r="S473">
        <v>36072.33</v>
      </c>
      <c r="T473">
        <v>0</v>
      </c>
      <c r="U473">
        <v>36072.33</v>
      </c>
    </row>
    <row r="474" spans="11:21" x14ac:dyDescent="0.25">
      <c r="K474" t="s">
        <v>460</v>
      </c>
      <c r="L474" t="s">
        <v>461</v>
      </c>
      <c r="M474" t="s">
        <v>540</v>
      </c>
      <c r="N474" t="s">
        <v>559</v>
      </c>
      <c r="O474">
        <v>805000</v>
      </c>
      <c r="P474" t="s">
        <v>560</v>
      </c>
      <c r="Q474">
        <v>1194405</v>
      </c>
      <c r="R474">
        <v>0</v>
      </c>
      <c r="S474">
        <v>0</v>
      </c>
      <c r="T474">
        <v>0</v>
      </c>
      <c r="U474">
        <v>1999405</v>
      </c>
    </row>
    <row r="475" spans="11:21" x14ac:dyDescent="0.25">
      <c r="K475" t="s">
        <v>700</v>
      </c>
      <c r="L475" t="s">
        <v>701</v>
      </c>
      <c r="M475" t="s">
        <v>540</v>
      </c>
      <c r="N475" t="s">
        <v>589</v>
      </c>
      <c r="O475">
        <v>715288.64</v>
      </c>
      <c r="P475" t="s">
        <v>590</v>
      </c>
      <c r="Q475">
        <v>0</v>
      </c>
      <c r="R475">
        <v>0</v>
      </c>
      <c r="S475">
        <v>0</v>
      </c>
      <c r="T475">
        <v>0</v>
      </c>
      <c r="U475">
        <v>715288.64</v>
      </c>
    </row>
    <row r="476" spans="11:21" x14ac:dyDescent="0.25">
      <c r="K476" t="s">
        <v>462</v>
      </c>
      <c r="L476" t="s">
        <v>463</v>
      </c>
      <c r="M476" t="s">
        <v>540</v>
      </c>
      <c r="N476" t="s">
        <v>702</v>
      </c>
      <c r="O476">
        <v>1065221.1100000001</v>
      </c>
      <c r="P476" t="s">
        <v>703</v>
      </c>
      <c r="Q476">
        <v>450553.24</v>
      </c>
      <c r="R476">
        <v>0</v>
      </c>
      <c r="S476">
        <v>0</v>
      </c>
      <c r="T476">
        <v>0</v>
      </c>
      <c r="U476">
        <v>1515774.35</v>
      </c>
    </row>
    <row r="477" spans="11:21" x14ac:dyDescent="0.25">
      <c r="K477" t="s">
        <v>464</v>
      </c>
      <c r="L477" t="s">
        <v>465</v>
      </c>
      <c r="M477" t="s">
        <v>540</v>
      </c>
      <c r="N477" t="s">
        <v>661</v>
      </c>
      <c r="O477">
        <v>0</v>
      </c>
      <c r="P477" t="s">
        <v>662</v>
      </c>
      <c r="Q477">
        <v>0</v>
      </c>
      <c r="R477">
        <v>0</v>
      </c>
      <c r="S477">
        <v>0</v>
      </c>
      <c r="T477">
        <v>-0.01</v>
      </c>
      <c r="U477">
        <v>-0.01</v>
      </c>
    </row>
    <row r="478" spans="11:21" x14ac:dyDescent="0.25">
      <c r="K478" t="s">
        <v>466</v>
      </c>
      <c r="L478" t="s">
        <v>467</v>
      </c>
      <c r="M478" t="s">
        <v>540</v>
      </c>
      <c r="N478" t="s">
        <v>589</v>
      </c>
      <c r="O478">
        <v>676390</v>
      </c>
      <c r="P478" t="s">
        <v>590</v>
      </c>
      <c r="Q478">
        <v>722370</v>
      </c>
      <c r="R478">
        <v>0</v>
      </c>
      <c r="S478">
        <v>0</v>
      </c>
      <c r="T478">
        <v>0</v>
      </c>
      <c r="U478">
        <v>1398760</v>
      </c>
    </row>
    <row r="479" spans="11:21" x14ac:dyDescent="0.25">
      <c r="K479" t="s">
        <v>1227</v>
      </c>
      <c r="L479" t="s">
        <v>1228</v>
      </c>
      <c r="M479" t="s">
        <v>540</v>
      </c>
      <c r="N479" t="s">
        <v>563</v>
      </c>
      <c r="O479">
        <v>0</v>
      </c>
      <c r="P479" t="s">
        <v>564</v>
      </c>
      <c r="Q479">
        <v>49265.25</v>
      </c>
      <c r="R479">
        <v>0</v>
      </c>
      <c r="S479">
        <v>0</v>
      </c>
      <c r="T479">
        <v>0</v>
      </c>
      <c r="U479">
        <v>49265.25</v>
      </c>
    </row>
    <row r="480" spans="11:21" x14ac:dyDescent="0.25">
      <c r="K480" t="s">
        <v>991</v>
      </c>
      <c r="L480" t="s">
        <v>949</v>
      </c>
      <c r="M480" t="s">
        <v>540</v>
      </c>
      <c r="N480" t="s">
        <v>563</v>
      </c>
      <c r="O480">
        <v>0</v>
      </c>
      <c r="P480" t="s">
        <v>564</v>
      </c>
      <c r="Q480">
        <v>0</v>
      </c>
      <c r="R480">
        <v>9256500</v>
      </c>
      <c r="S480">
        <v>0</v>
      </c>
      <c r="T480">
        <v>0</v>
      </c>
      <c r="U480">
        <v>9256500</v>
      </c>
    </row>
    <row r="481" spans="11:21" x14ac:dyDescent="0.25">
      <c r="K481" t="s">
        <v>992</v>
      </c>
      <c r="L481" t="s">
        <v>950</v>
      </c>
      <c r="M481" t="s">
        <v>540</v>
      </c>
      <c r="N481" t="s">
        <v>563</v>
      </c>
      <c r="O481">
        <v>0</v>
      </c>
      <c r="P481" t="s">
        <v>564</v>
      </c>
      <c r="Q481">
        <v>4540622.21</v>
      </c>
      <c r="R481">
        <v>0</v>
      </c>
      <c r="S481">
        <v>0</v>
      </c>
      <c r="T481">
        <v>0</v>
      </c>
      <c r="U481">
        <v>4540622.21</v>
      </c>
    </row>
    <row r="482" spans="11:21" x14ac:dyDescent="0.25">
      <c r="K482" t="s">
        <v>525</v>
      </c>
      <c r="L482" t="s">
        <v>526</v>
      </c>
      <c r="M482" t="s">
        <v>540</v>
      </c>
      <c r="N482" t="s">
        <v>553</v>
      </c>
      <c r="O482">
        <v>3040812.98</v>
      </c>
      <c r="P482" t="s">
        <v>554</v>
      </c>
      <c r="Q482">
        <v>3451702.82</v>
      </c>
      <c r="R482">
        <v>0</v>
      </c>
      <c r="S482">
        <v>0</v>
      </c>
      <c r="T482">
        <v>0</v>
      </c>
      <c r="U482">
        <v>6492515.7999999998</v>
      </c>
    </row>
    <row r="483" spans="11:21" x14ac:dyDescent="0.25">
      <c r="K483" t="s">
        <v>468</v>
      </c>
      <c r="L483" t="s">
        <v>469</v>
      </c>
      <c r="M483" t="s">
        <v>540</v>
      </c>
      <c r="N483" t="s">
        <v>607</v>
      </c>
      <c r="O483">
        <v>0</v>
      </c>
      <c r="P483" t="s">
        <v>608</v>
      </c>
      <c r="Q483">
        <v>67700.009999999995</v>
      </c>
      <c r="R483">
        <v>204126.02</v>
      </c>
      <c r="S483">
        <v>0</v>
      </c>
      <c r="T483">
        <v>-653801.14</v>
      </c>
      <c r="U483">
        <v>-381975.11</v>
      </c>
    </row>
    <row r="484" spans="11:21" x14ac:dyDescent="0.25">
      <c r="K484" t="s">
        <v>1229</v>
      </c>
      <c r="L484" t="s">
        <v>1230</v>
      </c>
      <c r="M484" t="s">
        <v>540</v>
      </c>
      <c r="N484" t="s">
        <v>603</v>
      </c>
      <c r="O484">
        <v>200000</v>
      </c>
      <c r="P484" t="s">
        <v>604</v>
      </c>
      <c r="Q484">
        <v>0</v>
      </c>
      <c r="R484">
        <v>0</v>
      </c>
      <c r="S484">
        <v>0</v>
      </c>
      <c r="T484">
        <v>0</v>
      </c>
      <c r="U484">
        <v>200000</v>
      </c>
    </row>
    <row r="485" spans="11:21" x14ac:dyDescent="0.25">
      <c r="K485" t="s">
        <v>1231</v>
      </c>
      <c r="L485" t="s">
        <v>1232</v>
      </c>
      <c r="M485" t="s">
        <v>540</v>
      </c>
      <c r="N485" t="s">
        <v>559</v>
      </c>
      <c r="O485">
        <v>0</v>
      </c>
      <c r="P485" t="s">
        <v>560</v>
      </c>
      <c r="Q485">
        <v>850000</v>
      </c>
      <c r="R485">
        <v>0</v>
      </c>
      <c r="S485">
        <v>0</v>
      </c>
      <c r="T485">
        <v>0</v>
      </c>
      <c r="U485">
        <v>850000</v>
      </c>
    </row>
    <row r="486" spans="11:21" x14ac:dyDescent="0.25">
      <c r="K486" t="s">
        <v>527</v>
      </c>
      <c r="L486" t="s">
        <v>528</v>
      </c>
      <c r="M486" t="s">
        <v>540</v>
      </c>
      <c r="N486" t="s">
        <v>603</v>
      </c>
      <c r="O486">
        <v>1619601.19</v>
      </c>
      <c r="P486" t="s">
        <v>604</v>
      </c>
      <c r="Q486">
        <v>0</v>
      </c>
      <c r="R486">
        <v>0</v>
      </c>
      <c r="S486">
        <v>0</v>
      </c>
      <c r="T486">
        <v>0</v>
      </c>
      <c r="U486">
        <v>1619601.19</v>
      </c>
    </row>
    <row r="487" spans="11:21" x14ac:dyDescent="0.25">
      <c r="K487" t="s">
        <v>470</v>
      </c>
      <c r="L487" t="s">
        <v>471</v>
      </c>
      <c r="M487" t="s">
        <v>540</v>
      </c>
      <c r="N487" t="s">
        <v>704</v>
      </c>
      <c r="O487">
        <v>1292788.2</v>
      </c>
      <c r="P487" t="s">
        <v>705</v>
      </c>
      <c r="Q487">
        <v>0</v>
      </c>
      <c r="R487">
        <v>0</v>
      </c>
      <c r="S487">
        <v>0</v>
      </c>
      <c r="T487">
        <v>0</v>
      </c>
      <c r="U487">
        <v>1292788.2</v>
      </c>
    </row>
    <row r="488" spans="11:21" x14ac:dyDescent="0.25">
      <c r="K488" t="s">
        <v>472</v>
      </c>
      <c r="L488" t="s">
        <v>473</v>
      </c>
      <c r="M488" t="s">
        <v>540</v>
      </c>
      <c r="N488" t="s">
        <v>706</v>
      </c>
      <c r="O488">
        <v>0</v>
      </c>
      <c r="P488" t="s">
        <v>707</v>
      </c>
      <c r="Q488">
        <v>60119321.329999998</v>
      </c>
      <c r="R488">
        <v>43248877.090000004</v>
      </c>
      <c r="S488">
        <v>0</v>
      </c>
      <c r="T488">
        <v>0</v>
      </c>
      <c r="U488">
        <v>103368198.42</v>
      </c>
    </row>
    <row r="489" spans="11:21" x14ac:dyDescent="0.25">
      <c r="K489" t="s">
        <v>993</v>
      </c>
      <c r="L489" t="s">
        <v>994</v>
      </c>
      <c r="M489" t="s">
        <v>540</v>
      </c>
      <c r="N489" t="s">
        <v>995</v>
      </c>
      <c r="O489">
        <v>447480</v>
      </c>
      <c r="P489" t="s">
        <v>996</v>
      </c>
      <c r="Q489">
        <v>149160</v>
      </c>
      <c r="R489">
        <v>0</v>
      </c>
      <c r="S489">
        <v>0</v>
      </c>
      <c r="T489">
        <v>0</v>
      </c>
      <c r="U489">
        <v>596640</v>
      </c>
    </row>
    <row r="490" spans="11:21" x14ac:dyDescent="0.25">
      <c r="K490" t="s">
        <v>997</v>
      </c>
      <c r="L490" t="s">
        <v>998</v>
      </c>
      <c r="M490" t="s">
        <v>540</v>
      </c>
      <c r="N490" t="s">
        <v>999</v>
      </c>
      <c r="O490">
        <v>0</v>
      </c>
      <c r="P490" t="s">
        <v>1000</v>
      </c>
      <c r="Q490">
        <v>5436651</v>
      </c>
      <c r="R490">
        <v>0</v>
      </c>
      <c r="S490">
        <v>0</v>
      </c>
      <c r="T490">
        <v>0</v>
      </c>
      <c r="U490">
        <v>5436651</v>
      </c>
    </row>
    <row r="491" spans="11:21" x14ac:dyDescent="0.25">
      <c r="K491" t="s">
        <v>798</v>
      </c>
      <c r="L491" t="s">
        <v>799</v>
      </c>
      <c r="M491" t="s">
        <v>540</v>
      </c>
      <c r="N491" t="s">
        <v>589</v>
      </c>
      <c r="O491">
        <v>0</v>
      </c>
      <c r="P491" t="s">
        <v>590</v>
      </c>
      <c r="Q491">
        <v>29559.82</v>
      </c>
      <c r="R491">
        <v>165165</v>
      </c>
      <c r="S491">
        <v>0</v>
      </c>
      <c r="T491">
        <v>0</v>
      </c>
      <c r="U491">
        <v>194724.82</v>
      </c>
    </row>
    <row r="492" spans="11:21" x14ac:dyDescent="0.25">
      <c r="K492" t="s">
        <v>1001</v>
      </c>
      <c r="L492" t="s">
        <v>951</v>
      </c>
      <c r="M492" t="s">
        <v>540</v>
      </c>
      <c r="N492" t="s">
        <v>987</v>
      </c>
      <c r="O492">
        <v>4500000</v>
      </c>
      <c r="P492" t="s">
        <v>988</v>
      </c>
      <c r="Q492">
        <v>3600000</v>
      </c>
      <c r="R492">
        <v>3000000</v>
      </c>
      <c r="S492">
        <v>0</v>
      </c>
      <c r="T492">
        <v>0</v>
      </c>
      <c r="U492">
        <v>11100000</v>
      </c>
    </row>
    <row r="493" spans="11:21" x14ac:dyDescent="0.25">
      <c r="K493" t="s">
        <v>474</v>
      </c>
      <c r="L493" t="s">
        <v>475</v>
      </c>
      <c r="M493" t="s">
        <v>540</v>
      </c>
      <c r="N493" t="s">
        <v>708</v>
      </c>
      <c r="O493">
        <v>27234016.609999999</v>
      </c>
      <c r="P493" t="s">
        <v>709</v>
      </c>
      <c r="Q493">
        <v>10532519.41</v>
      </c>
      <c r="R493">
        <v>0</v>
      </c>
      <c r="S493">
        <v>0</v>
      </c>
      <c r="T493">
        <v>0</v>
      </c>
      <c r="U493">
        <v>37766536.020000003</v>
      </c>
    </row>
    <row r="494" spans="11:21" x14ac:dyDescent="0.25">
      <c r="K494" t="s">
        <v>476</v>
      </c>
      <c r="L494" t="s">
        <v>477</v>
      </c>
      <c r="M494" t="s">
        <v>540</v>
      </c>
      <c r="N494" t="s">
        <v>563</v>
      </c>
      <c r="O494">
        <v>510820943.27999997</v>
      </c>
      <c r="P494" t="s">
        <v>564</v>
      </c>
      <c r="Q494">
        <v>31594235.609999999</v>
      </c>
      <c r="R494">
        <v>0</v>
      </c>
      <c r="S494">
        <v>0</v>
      </c>
      <c r="T494">
        <v>-1.1100000000000001</v>
      </c>
      <c r="U494">
        <v>542415177.77999997</v>
      </c>
    </row>
    <row r="495" spans="11:21" x14ac:dyDescent="0.25">
      <c r="K495" t="s">
        <v>478</v>
      </c>
      <c r="L495" t="s">
        <v>479</v>
      </c>
      <c r="M495" t="s">
        <v>540</v>
      </c>
      <c r="N495" t="s">
        <v>553</v>
      </c>
      <c r="O495">
        <v>356224</v>
      </c>
      <c r="P495" t="s">
        <v>554</v>
      </c>
      <c r="Q495">
        <v>0</v>
      </c>
      <c r="R495">
        <v>0</v>
      </c>
      <c r="S495">
        <v>0</v>
      </c>
      <c r="T495">
        <v>0</v>
      </c>
      <c r="U495">
        <v>356224</v>
      </c>
    </row>
    <row r="496" spans="11:21" x14ac:dyDescent="0.25">
      <c r="K496" t="s">
        <v>529</v>
      </c>
      <c r="L496" t="s">
        <v>530</v>
      </c>
      <c r="M496" t="s">
        <v>540</v>
      </c>
      <c r="N496" t="s">
        <v>573</v>
      </c>
      <c r="O496">
        <v>0</v>
      </c>
      <c r="P496" t="s">
        <v>574</v>
      </c>
      <c r="Q496">
        <v>519345.07</v>
      </c>
      <c r="R496">
        <v>0</v>
      </c>
      <c r="S496">
        <v>0</v>
      </c>
      <c r="T496">
        <v>0</v>
      </c>
      <c r="U496">
        <v>519345.07</v>
      </c>
    </row>
    <row r="497" spans="11:21" x14ac:dyDescent="0.25">
      <c r="K497" t="s">
        <v>480</v>
      </c>
      <c r="L497" t="s">
        <v>834</v>
      </c>
      <c r="M497" t="s">
        <v>540</v>
      </c>
      <c r="N497" t="s">
        <v>677</v>
      </c>
      <c r="O497">
        <v>372680</v>
      </c>
      <c r="P497" t="s">
        <v>678</v>
      </c>
      <c r="Q497">
        <v>6112067.5199999996</v>
      </c>
      <c r="R497">
        <v>0</v>
      </c>
      <c r="S497">
        <v>0</v>
      </c>
      <c r="T497">
        <v>0</v>
      </c>
      <c r="U497">
        <v>6484747.5199999996</v>
      </c>
    </row>
    <row r="498" spans="11:21" x14ac:dyDescent="0.25">
      <c r="K498" t="s">
        <v>1002</v>
      </c>
      <c r="L498" t="s">
        <v>952</v>
      </c>
      <c r="M498" t="s">
        <v>540</v>
      </c>
      <c r="N498" t="s">
        <v>784</v>
      </c>
      <c r="O498">
        <v>0</v>
      </c>
      <c r="P498" t="s">
        <v>785</v>
      </c>
      <c r="Q498">
        <v>0</v>
      </c>
      <c r="R498">
        <v>19422105</v>
      </c>
      <c r="S498">
        <v>0</v>
      </c>
      <c r="T498">
        <v>0</v>
      </c>
      <c r="U498">
        <v>19422105</v>
      </c>
    </row>
    <row r="499" spans="11:21" x14ac:dyDescent="0.25">
      <c r="K499" t="s">
        <v>483</v>
      </c>
      <c r="L499" t="s">
        <v>484</v>
      </c>
      <c r="M499" t="s">
        <v>540</v>
      </c>
      <c r="N499" t="s">
        <v>679</v>
      </c>
      <c r="O499">
        <v>662692773.13999999</v>
      </c>
      <c r="P499" t="s">
        <v>680</v>
      </c>
      <c r="Q499">
        <v>0</v>
      </c>
      <c r="R499">
        <v>0</v>
      </c>
      <c r="S499">
        <v>0</v>
      </c>
      <c r="T499">
        <v>0</v>
      </c>
      <c r="U499">
        <v>662692773.13999999</v>
      </c>
    </row>
    <row r="500" spans="11:21" x14ac:dyDescent="0.25">
      <c r="K500" t="s">
        <v>1003</v>
      </c>
    </row>
    <row r="501" spans="11:21" x14ac:dyDescent="0.25">
      <c r="K501" t="s">
        <v>1026</v>
      </c>
    </row>
    <row r="502" spans="11:21" x14ac:dyDescent="0.25">
      <c r="K502" t="s">
        <v>1027</v>
      </c>
    </row>
    <row r="503" spans="11:21" x14ac:dyDescent="0.25">
      <c r="K503" t="s">
        <v>1233</v>
      </c>
    </row>
    <row r="504" spans="11:21" x14ac:dyDescent="0.25">
      <c r="K504" t="s">
        <v>1028</v>
      </c>
    </row>
  </sheetData>
  <mergeCells count="3">
    <mergeCell ref="A1:F1"/>
    <mergeCell ref="A2:F2"/>
    <mergeCell ref="A270:F27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C095-C747-418C-8EE4-623169879ADC}">
  <dimension ref="A1:K279"/>
  <sheetViews>
    <sheetView workbookViewId="0">
      <selection activeCell="G307" sqref="G307"/>
    </sheetView>
  </sheetViews>
  <sheetFormatPr baseColWidth="10" defaultRowHeight="15" x14ac:dyDescent="0.25"/>
  <cols>
    <col min="11" max="11" width="18.28515625" style="66" bestFit="1" customWidth="1"/>
  </cols>
  <sheetData>
    <row r="1" spans="1:11" x14ac:dyDescent="0.25">
      <c r="A1" t="s">
        <v>531</v>
      </c>
      <c r="B1" t="s">
        <v>532</v>
      </c>
      <c r="C1" t="s">
        <v>533</v>
      </c>
      <c r="D1" t="s">
        <v>4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s="66" t="s">
        <v>155</v>
      </c>
    </row>
    <row r="2" spans="1:11" x14ac:dyDescent="0.25">
      <c r="A2" t="s">
        <v>182</v>
      </c>
      <c r="B2" t="s">
        <v>183</v>
      </c>
      <c r="C2" t="s">
        <v>540</v>
      </c>
      <c r="D2" t="s">
        <v>543</v>
      </c>
      <c r="E2">
        <v>1828854.5</v>
      </c>
      <c r="F2" t="s">
        <v>544</v>
      </c>
      <c r="G2">
        <v>4600000</v>
      </c>
      <c r="H2">
        <v>0.01</v>
      </c>
      <c r="I2">
        <v>0</v>
      </c>
      <c r="J2">
        <v>0</v>
      </c>
      <c r="K2" s="66">
        <v>6428854.5099999998</v>
      </c>
    </row>
    <row r="3" spans="1:11" x14ac:dyDescent="0.25">
      <c r="A3" t="s">
        <v>184</v>
      </c>
      <c r="B3" t="s">
        <v>185</v>
      </c>
      <c r="C3" t="s">
        <v>540</v>
      </c>
      <c r="D3" t="s">
        <v>545</v>
      </c>
      <c r="E3">
        <v>0</v>
      </c>
      <c r="F3" t="s">
        <v>546</v>
      </c>
      <c r="G3">
        <v>0</v>
      </c>
      <c r="H3">
        <v>0</v>
      </c>
      <c r="I3">
        <v>0</v>
      </c>
      <c r="J3">
        <v>1.08</v>
      </c>
      <c r="K3" s="66">
        <v>1.08</v>
      </c>
    </row>
    <row r="4" spans="1:11" x14ac:dyDescent="0.25">
      <c r="A4" t="s">
        <v>835</v>
      </c>
      <c r="B4" t="s">
        <v>836</v>
      </c>
      <c r="C4" t="s">
        <v>540</v>
      </c>
      <c r="D4" t="s">
        <v>603</v>
      </c>
      <c r="E4">
        <v>0</v>
      </c>
      <c r="F4" t="s">
        <v>604</v>
      </c>
      <c r="G4">
        <v>218997</v>
      </c>
      <c r="H4">
        <v>0</v>
      </c>
      <c r="I4">
        <v>0</v>
      </c>
      <c r="J4">
        <v>0</v>
      </c>
      <c r="K4" s="66">
        <v>218997</v>
      </c>
    </row>
    <row r="5" spans="1:11" x14ac:dyDescent="0.25">
      <c r="A5" t="s">
        <v>186</v>
      </c>
      <c r="B5" t="s">
        <v>187</v>
      </c>
      <c r="C5" t="s">
        <v>540</v>
      </c>
      <c r="D5" t="s">
        <v>545</v>
      </c>
      <c r="E5">
        <v>0</v>
      </c>
      <c r="F5" t="s">
        <v>546</v>
      </c>
      <c r="G5">
        <v>8383134.0999999996</v>
      </c>
      <c r="H5">
        <v>0</v>
      </c>
      <c r="I5">
        <v>0</v>
      </c>
      <c r="J5">
        <v>0</v>
      </c>
      <c r="K5" s="66">
        <v>8383134.0999999996</v>
      </c>
    </row>
    <row r="6" spans="1:11" x14ac:dyDescent="0.25">
      <c r="A6" t="s">
        <v>188</v>
      </c>
      <c r="B6" t="s">
        <v>189</v>
      </c>
      <c r="C6" t="s">
        <v>540</v>
      </c>
      <c r="D6" t="s">
        <v>547</v>
      </c>
      <c r="E6">
        <v>0</v>
      </c>
      <c r="F6" t="s">
        <v>548</v>
      </c>
      <c r="G6">
        <v>560000</v>
      </c>
      <c r="H6">
        <v>0</v>
      </c>
      <c r="I6">
        <v>0</v>
      </c>
      <c r="J6">
        <v>125000</v>
      </c>
      <c r="K6" s="66">
        <v>685000</v>
      </c>
    </row>
    <row r="7" spans="1:11" x14ac:dyDescent="0.25">
      <c r="A7" t="s">
        <v>190</v>
      </c>
      <c r="B7" t="s">
        <v>191</v>
      </c>
      <c r="C7" t="s">
        <v>540</v>
      </c>
      <c r="D7" t="s">
        <v>545</v>
      </c>
      <c r="E7">
        <v>2459435.2799999998</v>
      </c>
      <c r="F7" t="s">
        <v>546</v>
      </c>
      <c r="G7">
        <v>1048053.67</v>
      </c>
      <c r="H7">
        <v>0</v>
      </c>
      <c r="I7">
        <v>0</v>
      </c>
      <c r="J7">
        <v>0</v>
      </c>
      <c r="K7" s="66">
        <v>3507488.95</v>
      </c>
    </row>
    <row r="8" spans="1:11" x14ac:dyDescent="0.25">
      <c r="A8" t="s">
        <v>712</v>
      </c>
      <c r="B8" t="s">
        <v>713</v>
      </c>
      <c r="C8" t="s">
        <v>540</v>
      </c>
      <c r="D8" t="s">
        <v>617</v>
      </c>
      <c r="E8">
        <v>508267.1</v>
      </c>
      <c r="F8" t="s">
        <v>618</v>
      </c>
      <c r="G8">
        <v>0</v>
      </c>
      <c r="H8">
        <v>0</v>
      </c>
      <c r="I8">
        <v>0</v>
      </c>
      <c r="J8">
        <v>0</v>
      </c>
      <c r="K8" s="66">
        <v>508267.1</v>
      </c>
    </row>
    <row r="9" spans="1:11" x14ac:dyDescent="0.25">
      <c r="A9" t="s">
        <v>800</v>
      </c>
      <c r="B9" t="s">
        <v>801</v>
      </c>
      <c r="C9" t="s">
        <v>540</v>
      </c>
      <c r="D9" t="s">
        <v>563</v>
      </c>
      <c r="E9">
        <v>1355200</v>
      </c>
      <c r="F9" t="s">
        <v>564</v>
      </c>
      <c r="G9">
        <v>0</v>
      </c>
      <c r="H9">
        <v>0</v>
      </c>
      <c r="I9">
        <v>0</v>
      </c>
      <c r="J9">
        <v>0</v>
      </c>
      <c r="K9" s="66">
        <v>1355200</v>
      </c>
    </row>
    <row r="10" spans="1:11" x14ac:dyDescent="0.25">
      <c r="A10" t="s">
        <v>714</v>
      </c>
      <c r="B10" t="s">
        <v>715</v>
      </c>
      <c r="C10" t="s">
        <v>540</v>
      </c>
      <c r="D10" t="s">
        <v>603</v>
      </c>
      <c r="E10">
        <v>179.54</v>
      </c>
      <c r="F10" t="s">
        <v>604</v>
      </c>
      <c r="G10">
        <v>0</v>
      </c>
      <c r="H10">
        <v>0</v>
      </c>
      <c r="I10">
        <v>0</v>
      </c>
      <c r="J10">
        <v>0</v>
      </c>
      <c r="K10" s="66">
        <v>179.54</v>
      </c>
    </row>
    <row r="11" spans="1:11" x14ac:dyDescent="0.25">
      <c r="A11" t="s">
        <v>716</v>
      </c>
      <c r="B11" t="s">
        <v>717</v>
      </c>
      <c r="C11" t="s">
        <v>540</v>
      </c>
      <c r="D11" t="s">
        <v>559</v>
      </c>
      <c r="E11">
        <v>3310060</v>
      </c>
      <c r="F11" t="s">
        <v>560</v>
      </c>
      <c r="G11">
        <v>0</v>
      </c>
      <c r="H11">
        <v>0</v>
      </c>
      <c r="I11">
        <v>0</v>
      </c>
      <c r="J11">
        <v>0</v>
      </c>
      <c r="K11" s="66">
        <v>3310060</v>
      </c>
    </row>
    <row r="12" spans="1:11" x14ac:dyDescent="0.25">
      <c r="A12" t="s">
        <v>485</v>
      </c>
      <c r="B12" t="s">
        <v>486</v>
      </c>
      <c r="C12" t="s">
        <v>540</v>
      </c>
      <c r="D12" t="s">
        <v>551</v>
      </c>
      <c r="E12">
        <v>946441.43</v>
      </c>
      <c r="F12" t="s">
        <v>552</v>
      </c>
      <c r="G12">
        <v>0</v>
      </c>
      <c r="H12">
        <v>0</v>
      </c>
      <c r="I12">
        <v>0</v>
      </c>
      <c r="J12">
        <v>0</v>
      </c>
      <c r="K12" s="66">
        <v>946441.43</v>
      </c>
    </row>
    <row r="13" spans="1:11" x14ac:dyDescent="0.25">
      <c r="A13" t="s">
        <v>837</v>
      </c>
      <c r="B13" t="s">
        <v>838</v>
      </c>
      <c r="C13" t="s">
        <v>540</v>
      </c>
      <c r="D13" t="s">
        <v>631</v>
      </c>
      <c r="E13">
        <v>49247</v>
      </c>
      <c r="F13" t="s">
        <v>632</v>
      </c>
      <c r="G13">
        <v>0</v>
      </c>
      <c r="H13">
        <v>0</v>
      </c>
      <c r="I13">
        <v>0</v>
      </c>
      <c r="J13">
        <v>0</v>
      </c>
      <c r="K13" s="66">
        <v>49247</v>
      </c>
    </row>
    <row r="14" spans="1:11" x14ac:dyDescent="0.25">
      <c r="A14" t="s">
        <v>718</v>
      </c>
      <c r="B14" t="s">
        <v>719</v>
      </c>
      <c r="C14" t="s">
        <v>540</v>
      </c>
      <c r="D14" t="s">
        <v>665</v>
      </c>
      <c r="E14">
        <v>951000</v>
      </c>
      <c r="F14" t="s">
        <v>666</v>
      </c>
      <c r="G14">
        <v>0</v>
      </c>
      <c r="H14">
        <v>0</v>
      </c>
      <c r="I14">
        <v>0</v>
      </c>
      <c r="J14">
        <v>0</v>
      </c>
      <c r="K14" s="66">
        <v>951000</v>
      </c>
    </row>
    <row r="15" spans="1:11" x14ac:dyDescent="0.25">
      <c r="A15" t="s">
        <v>192</v>
      </c>
      <c r="B15" t="s">
        <v>193</v>
      </c>
      <c r="C15" t="s">
        <v>540</v>
      </c>
      <c r="D15" t="s">
        <v>553</v>
      </c>
      <c r="E15">
        <v>650726.04</v>
      </c>
      <c r="F15" t="s">
        <v>554</v>
      </c>
      <c r="G15">
        <v>0</v>
      </c>
      <c r="H15">
        <v>0</v>
      </c>
      <c r="I15">
        <v>0</v>
      </c>
      <c r="J15">
        <v>0</v>
      </c>
      <c r="K15" s="66">
        <v>650726.04</v>
      </c>
    </row>
    <row r="16" spans="1:11" x14ac:dyDescent="0.25">
      <c r="A16" t="s">
        <v>720</v>
      </c>
      <c r="B16" t="s">
        <v>721</v>
      </c>
      <c r="C16" t="s">
        <v>540</v>
      </c>
      <c r="D16" t="s">
        <v>557</v>
      </c>
      <c r="E16">
        <v>266057.08</v>
      </c>
      <c r="F16" t="s">
        <v>558</v>
      </c>
      <c r="G16">
        <v>0</v>
      </c>
      <c r="H16">
        <v>0</v>
      </c>
      <c r="I16">
        <v>0</v>
      </c>
      <c r="J16">
        <v>0</v>
      </c>
      <c r="K16" s="66">
        <v>266057.08</v>
      </c>
    </row>
    <row r="17" spans="1:11" x14ac:dyDescent="0.25">
      <c r="A17" t="s">
        <v>839</v>
      </c>
      <c r="B17" t="s">
        <v>840</v>
      </c>
      <c r="C17" t="s">
        <v>540</v>
      </c>
      <c r="D17" t="s">
        <v>563</v>
      </c>
      <c r="E17">
        <v>5631718.5</v>
      </c>
      <c r="F17" t="s">
        <v>564</v>
      </c>
      <c r="G17">
        <v>0</v>
      </c>
      <c r="H17">
        <v>0</v>
      </c>
      <c r="I17">
        <v>0</v>
      </c>
      <c r="J17">
        <v>0</v>
      </c>
      <c r="K17" s="66">
        <v>5631718.5</v>
      </c>
    </row>
    <row r="18" spans="1:11" x14ac:dyDescent="0.25">
      <c r="A18" t="s">
        <v>194</v>
      </c>
      <c r="B18" t="s">
        <v>195</v>
      </c>
      <c r="C18" t="s">
        <v>540</v>
      </c>
      <c r="D18" t="s">
        <v>555</v>
      </c>
      <c r="E18">
        <v>2616401.4700000002</v>
      </c>
      <c r="F18" t="s">
        <v>556</v>
      </c>
      <c r="G18">
        <v>0</v>
      </c>
      <c r="H18">
        <v>0</v>
      </c>
      <c r="I18">
        <v>0</v>
      </c>
      <c r="J18">
        <v>0</v>
      </c>
      <c r="K18" s="66">
        <v>2616401.4700000002</v>
      </c>
    </row>
    <row r="19" spans="1:11" x14ac:dyDescent="0.25">
      <c r="A19" t="s">
        <v>196</v>
      </c>
      <c r="B19" t="s">
        <v>197</v>
      </c>
      <c r="C19" t="s">
        <v>540</v>
      </c>
      <c r="D19" t="s">
        <v>557</v>
      </c>
      <c r="E19">
        <v>2473000</v>
      </c>
      <c r="F19" t="s">
        <v>558</v>
      </c>
      <c r="G19">
        <v>2299000</v>
      </c>
      <c r="H19">
        <v>0</v>
      </c>
      <c r="I19">
        <v>0</v>
      </c>
      <c r="J19">
        <v>0</v>
      </c>
      <c r="K19" s="66">
        <v>4772000</v>
      </c>
    </row>
    <row r="20" spans="1:11" x14ac:dyDescent="0.25">
      <c r="A20" t="s">
        <v>841</v>
      </c>
      <c r="B20" t="s">
        <v>842</v>
      </c>
      <c r="C20" t="s">
        <v>540</v>
      </c>
      <c r="D20" t="s">
        <v>633</v>
      </c>
      <c r="E20">
        <v>319440</v>
      </c>
      <c r="F20" t="s">
        <v>634</v>
      </c>
      <c r="G20">
        <v>0</v>
      </c>
      <c r="H20">
        <v>0</v>
      </c>
      <c r="I20">
        <v>0</v>
      </c>
      <c r="J20">
        <v>0</v>
      </c>
      <c r="K20" s="66">
        <v>319440</v>
      </c>
    </row>
    <row r="21" spans="1:11" x14ac:dyDescent="0.25">
      <c r="A21" t="s">
        <v>487</v>
      </c>
      <c r="B21" t="s">
        <v>488</v>
      </c>
      <c r="C21" t="s">
        <v>540</v>
      </c>
      <c r="D21" t="s">
        <v>559</v>
      </c>
      <c r="E21">
        <v>357434</v>
      </c>
      <c r="F21" t="s">
        <v>560</v>
      </c>
      <c r="G21">
        <v>343156</v>
      </c>
      <c r="H21">
        <v>0</v>
      </c>
      <c r="I21">
        <v>0</v>
      </c>
      <c r="J21">
        <v>0</v>
      </c>
      <c r="K21" s="66">
        <v>700590</v>
      </c>
    </row>
    <row r="22" spans="1:11" x14ac:dyDescent="0.25">
      <c r="A22" t="s">
        <v>843</v>
      </c>
      <c r="B22" t="s">
        <v>844</v>
      </c>
      <c r="C22" t="s">
        <v>540</v>
      </c>
      <c r="D22" t="s">
        <v>575</v>
      </c>
      <c r="E22">
        <v>1450000</v>
      </c>
      <c r="F22" t="s">
        <v>576</v>
      </c>
      <c r="G22">
        <v>0</v>
      </c>
      <c r="H22">
        <v>0</v>
      </c>
      <c r="I22">
        <v>0</v>
      </c>
      <c r="J22">
        <v>0</v>
      </c>
      <c r="K22" s="66">
        <v>1450000</v>
      </c>
    </row>
    <row r="23" spans="1:11" x14ac:dyDescent="0.25">
      <c r="A23" t="s">
        <v>845</v>
      </c>
      <c r="B23" t="s">
        <v>846</v>
      </c>
      <c r="C23" t="s">
        <v>540</v>
      </c>
      <c r="D23" t="s">
        <v>847</v>
      </c>
      <c r="E23">
        <v>60000</v>
      </c>
      <c r="F23" t="s">
        <v>848</v>
      </c>
      <c r="G23">
        <v>0</v>
      </c>
      <c r="H23">
        <v>0</v>
      </c>
      <c r="I23">
        <v>0</v>
      </c>
      <c r="J23">
        <v>0</v>
      </c>
      <c r="K23" s="66">
        <v>60000</v>
      </c>
    </row>
    <row r="24" spans="1:11" x14ac:dyDescent="0.25">
      <c r="A24" t="s">
        <v>198</v>
      </c>
      <c r="B24" t="s">
        <v>199</v>
      </c>
      <c r="C24" t="s">
        <v>540</v>
      </c>
      <c r="D24" t="s">
        <v>563</v>
      </c>
      <c r="E24">
        <v>0</v>
      </c>
      <c r="F24" t="s">
        <v>564</v>
      </c>
      <c r="G24">
        <v>0</v>
      </c>
      <c r="H24">
        <v>22164560</v>
      </c>
      <c r="I24">
        <v>84300</v>
      </c>
      <c r="J24">
        <v>26176.959999999999</v>
      </c>
      <c r="K24" s="66">
        <v>22275036.960000001</v>
      </c>
    </row>
    <row r="25" spans="1:11" x14ac:dyDescent="0.25">
      <c r="A25" t="s">
        <v>722</v>
      </c>
      <c r="B25" t="s">
        <v>723</v>
      </c>
      <c r="C25" t="s">
        <v>540</v>
      </c>
      <c r="D25" t="s">
        <v>595</v>
      </c>
      <c r="E25">
        <v>2408015.9700000002</v>
      </c>
      <c r="F25" t="s">
        <v>596</v>
      </c>
      <c r="G25">
        <v>0</v>
      </c>
      <c r="H25">
        <v>0</v>
      </c>
      <c r="I25">
        <v>0</v>
      </c>
      <c r="J25">
        <v>0</v>
      </c>
      <c r="K25" s="66">
        <v>2408015.9700000002</v>
      </c>
    </row>
    <row r="26" spans="1:11" x14ac:dyDescent="0.25">
      <c r="A26" t="s">
        <v>802</v>
      </c>
      <c r="B26" t="s">
        <v>803</v>
      </c>
      <c r="C26" t="s">
        <v>540</v>
      </c>
      <c r="D26" t="s">
        <v>545</v>
      </c>
      <c r="E26">
        <v>536625.12</v>
      </c>
      <c r="F26" t="s">
        <v>546</v>
      </c>
      <c r="G26">
        <v>0</v>
      </c>
      <c r="H26">
        <v>0</v>
      </c>
      <c r="I26">
        <v>0</v>
      </c>
      <c r="J26">
        <v>0</v>
      </c>
      <c r="K26" s="66">
        <v>536625.12</v>
      </c>
    </row>
    <row r="27" spans="1:11" x14ac:dyDescent="0.25">
      <c r="A27" t="s">
        <v>724</v>
      </c>
      <c r="B27" t="s">
        <v>725</v>
      </c>
      <c r="C27" t="s">
        <v>540</v>
      </c>
      <c r="D27" t="s">
        <v>559</v>
      </c>
      <c r="E27">
        <v>75000</v>
      </c>
      <c r="F27" t="s">
        <v>560</v>
      </c>
      <c r="G27">
        <v>0</v>
      </c>
      <c r="H27">
        <v>0</v>
      </c>
      <c r="I27">
        <v>0</v>
      </c>
      <c r="J27">
        <v>0</v>
      </c>
      <c r="K27" s="66">
        <v>75000</v>
      </c>
    </row>
    <row r="28" spans="1:11" x14ac:dyDescent="0.25">
      <c r="A28" t="s">
        <v>200</v>
      </c>
      <c r="B28" t="s">
        <v>201</v>
      </c>
      <c r="C28" t="s">
        <v>540</v>
      </c>
      <c r="D28" t="s">
        <v>559</v>
      </c>
      <c r="E28">
        <v>0</v>
      </c>
      <c r="F28" t="s">
        <v>560</v>
      </c>
      <c r="G28">
        <v>0</v>
      </c>
      <c r="H28">
        <v>0</v>
      </c>
      <c r="I28">
        <v>0</v>
      </c>
      <c r="J28">
        <v>4477000</v>
      </c>
      <c r="K28" s="66">
        <v>4477000</v>
      </c>
    </row>
    <row r="29" spans="1:11" x14ac:dyDescent="0.25">
      <c r="A29" t="s">
        <v>849</v>
      </c>
      <c r="B29" t="s">
        <v>850</v>
      </c>
      <c r="C29" t="s">
        <v>540</v>
      </c>
      <c r="D29" t="s">
        <v>631</v>
      </c>
      <c r="E29">
        <v>3640956.77</v>
      </c>
      <c r="F29" t="s">
        <v>632</v>
      </c>
      <c r="G29">
        <v>0</v>
      </c>
      <c r="H29">
        <v>0</v>
      </c>
      <c r="I29">
        <v>0</v>
      </c>
      <c r="J29">
        <v>0</v>
      </c>
      <c r="K29" s="66">
        <v>3640956.77</v>
      </c>
    </row>
    <row r="30" spans="1:11" x14ac:dyDescent="0.25">
      <c r="A30" t="s">
        <v>726</v>
      </c>
      <c r="B30" t="s">
        <v>727</v>
      </c>
      <c r="C30" t="s">
        <v>540</v>
      </c>
      <c r="D30" t="s">
        <v>681</v>
      </c>
      <c r="E30">
        <v>1233154.23</v>
      </c>
      <c r="F30" t="s">
        <v>682</v>
      </c>
      <c r="G30">
        <v>150633.76</v>
      </c>
      <c r="H30">
        <v>0</v>
      </c>
      <c r="I30">
        <v>0</v>
      </c>
      <c r="J30">
        <v>0</v>
      </c>
      <c r="K30" s="66">
        <v>1383787.99</v>
      </c>
    </row>
    <row r="31" spans="1:11" x14ac:dyDescent="0.25">
      <c r="A31" t="s">
        <v>567</v>
      </c>
      <c r="B31" t="s">
        <v>568</v>
      </c>
      <c r="C31" t="s">
        <v>540</v>
      </c>
      <c r="D31" t="s">
        <v>569</v>
      </c>
      <c r="E31">
        <v>0</v>
      </c>
      <c r="F31" t="s">
        <v>570</v>
      </c>
      <c r="G31">
        <v>1827342</v>
      </c>
      <c r="H31">
        <v>0</v>
      </c>
      <c r="I31">
        <v>0</v>
      </c>
      <c r="J31">
        <v>0</v>
      </c>
      <c r="K31" s="66">
        <v>1827342</v>
      </c>
    </row>
    <row r="32" spans="1:11" x14ac:dyDescent="0.25">
      <c r="A32" t="s">
        <v>202</v>
      </c>
      <c r="B32" t="s">
        <v>203</v>
      </c>
      <c r="C32" t="s">
        <v>540</v>
      </c>
      <c r="D32" t="s">
        <v>571</v>
      </c>
      <c r="E32">
        <v>2458236</v>
      </c>
      <c r="F32" t="s">
        <v>572</v>
      </c>
      <c r="G32">
        <v>0</v>
      </c>
      <c r="H32">
        <v>0</v>
      </c>
      <c r="I32">
        <v>0</v>
      </c>
      <c r="J32">
        <v>0</v>
      </c>
      <c r="K32" s="66">
        <v>2458236</v>
      </c>
    </row>
    <row r="33" spans="1:11" x14ac:dyDescent="0.25">
      <c r="A33" t="s">
        <v>204</v>
      </c>
      <c r="B33" t="s">
        <v>205</v>
      </c>
      <c r="C33" t="s">
        <v>540</v>
      </c>
      <c r="D33" t="s">
        <v>573</v>
      </c>
      <c r="E33">
        <v>0</v>
      </c>
      <c r="F33" t="s">
        <v>574</v>
      </c>
      <c r="G33">
        <v>629999.93000000005</v>
      </c>
      <c r="H33">
        <v>0</v>
      </c>
      <c r="I33">
        <v>0</v>
      </c>
      <c r="J33">
        <v>0</v>
      </c>
      <c r="K33" s="66">
        <v>629999.93000000005</v>
      </c>
    </row>
    <row r="34" spans="1:11" x14ac:dyDescent="0.25">
      <c r="A34" t="s">
        <v>728</v>
      </c>
      <c r="B34" t="s">
        <v>729</v>
      </c>
      <c r="C34" t="s">
        <v>540</v>
      </c>
      <c r="D34" t="s">
        <v>553</v>
      </c>
      <c r="E34">
        <v>397800</v>
      </c>
      <c r="F34" t="s">
        <v>554</v>
      </c>
      <c r="G34">
        <v>0</v>
      </c>
      <c r="H34">
        <v>0</v>
      </c>
      <c r="I34">
        <v>0</v>
      </c>
      <c r="J34">
        <v>0</v>
      </c>
      <c r="K34" s="66">
        <v>397800</v>
      </c>
    </row>
    <row r="35" spans="1:11" x14ac:dyDescent="0.25">
      <c r="A35" t="s">
        <v>206</v>
      </c>
      <c r="B35" t="s">
        <v>207</v>
      </c>
      <c r="C35" t="s">
        <v>540</v>
      </c>
      <c r="D35" t="s">
        <v>575</v>
      </c>
      <c r="E35">
        <v>0</v>
      </c>
      <c r="F35" t="s">
        <v>576</v>
      </c>
      <c r="G35">
        <v>0</v>
      </c>
      <c r="H35">
        <v>3000000</v>
      </c>
      <c r="I35">
        <v>0</v>
      </c>
      <c r="J35">
        <v>0</v>
      </c>
      <c r="K35" s="66">
        <v>3000000</v>
      </c>
    </row>
    <row r="36" spans="1:11" x14ac:dyDescent="0.25">
      <c r="A36" t="s">
        <v>489</v>
      </c>
      <c r="B36" t="s">
        <v>490</v>
      </c>
      <c r="C36" t="s">
        <v>540</v>
      </c>
      <c r="D36" t="s">
        <v>563</v>
      </c>
      <c r="E36">
        <v>51888.19</v>
      </c>
      <c r="F36" t="s">
        <v>564</v>
      </c>
      <c r="G36">
        <v>148474.76</v>
      </c>
      <c r="H36">
        <v>0</v>
      </c>
      <c r="I36">
        <v>0</v>
      </c>
      <c r="J36">
        <v>0</v>
      </c>
      <c r="K36" s="66">
        <v>200362.95</v>
      </c>
    </row>
    <row r="37" spans="1:11" x14ac:dyDescent="0.25">
      <c r="A37" t="s">
        <v>208</v>
      </c>
      <c r="B37" t="s">
        <v>209</v>
      </c>
      <c r="C37" t="s">
        <v>540</v>
      </c>
      <c r="D37" t="s">
        <v>577</v>
      </c>
      <c r="E37">
        <v>10050803.279999999</v>
      </c>
      <c r="F37" t="s">
        <v>578</v>
      </c>
      <c r="G37">
        <v>4276801.08</v>
      </c>
      <c r="H37">
        <v>0</v>
      </c>
      <c r="I37">
        <v>0</v>
      </c>
      <c r="J37">
        <v>0</v>
      </c>
      <c r="K37" s="66">
        <v>14327604.359999999</v>
      </c>
    </row>
    <row r="38" spans="1:11" x14ac:dyDescent="0.25">
      <c r="A38" t="s">
        <v>851</v>
      </c>
      <c r="B38" t="s">
        <v>852</v>
      </c>
      <c r="C38" t="s">
        <v>540</v>
      </c>
      <c r="D38" t="s">
        <v>553</v>
      </c>
      <c r="E38">
        <v>0</v>
      </c>
      <c r="F38" t="s">
        <v>554</v>
      </c>
      <c r="G38">
        <v>-424211.37</v>
      </c>
      <c r="H38">
        <v>0</v>
      </c>
      <c r="I38">
        <v>0</v>
      </c>
      <c r="J38">
        <v>0</v>
      </c>
      <c r="K38" s="66">
        <v>-424211.37</v>
      </c>
    </row>
    <row r="39" spans="1:11" x14ac:dyDescent="0.25">
      <c r="A39" t="s">
        <v>210</v>
      </c>
      <c r="B39" t="s">
        <v>211</v>
      </c>
      <c r="C39" t="s">
        <v>540</v>
      </c>
      <c r="D39" t="s">
        <v>579</v>
      </c>
      <c r="E39">
        <v>767607.06</v>
      </c>
      <c r="F39" t="s">
        <v>580</v>
      </c>
      <c r="G39">
        <v>1038252.6</v>
      </c>
      <c r="H39">
        <v>0</v>
      </c>
      <c r="I39">
        <v>0</v>
      </c>
      <c r="J39">
        <v>0</v>
      </c>
      <c r="K39" s="66">
        <v>1805859.66</v>
      </c>
    </row>
    <row r="40" spans="1:11" x14ac:dyDescent="0.25">
      <c r="A40" t="s">
        <v>212</v>
      </c>
      <c r="B40" t="s">
        <v>213</v>
      </c>
      <c r="C40" t="s">
        <v>540</v>
      </c>
      <c r="D40" t="s">
        <v>545</v>
      </c>
      <c r="E40">
        <v>3045478.47</v>
      </c>
      <c r="F40" t="s">
        <v>546</v>
      </c>
      <c r="G40">
        <v>3633671.36</v>
      </c>
      <c r="H40">
        <v>0</v>
      </c>
      <c r="I40">
        <v>0</v>
      </c>
      <c r="J40">
        <v>0</v>
      </c>
      <c r="K40" s="66">
        <v>6679149.8300000001</v>
      </c>
    </row>
    <row r="41" spans="1:11" x14ac:dyDescent="0.25">
      <c r="A41" t="s">
        <v>214</v>
      </c>
      <c r="B41" t="s">
        <v>215</v>
      </c>
      <c r="C41" t="s">
        <v>540</v>
      </c>
      <c r="D41" t="s">
        <v>563</v>
      </c>
      <c r="E41">
        <v>3139097.63</v>
      </c>
      <c r="F41" t="s">
        <v>564</v>
      </c>
      <c r="G41">
        <v>0</v>
      </c>
      <c r="H41">
        <v>0</v>
      </c>
      <c r="I41">
        <v>0</v>
      </c>
      <c r="J41">
        <v>-0.01</v>
      </c>
      <c r="K41" s="66">
        <v>3139097.62</v>
      </c>
    </row>
    <row r="42" spans="1:11" x14ac:dyDescent="0.25">
      <c r="A42" t="s">
        <v>730</v>
      </c>
      <c r="B42" t="s">
        <v>731</v>
      </c>
      <c r="C42" t="s">
        <v>540</v>
      </c>
      <c r="D42" t="s">
        <v>627</v>
      </c>
      <c r="E42">
        <v>121714404.05</v>
      </c>
      <c r="F42" t="s">
        <v>628</v>
      </c>
      <c r="G42">
        <v>0</v>
      </c>
      <c r="H42">
        <v>0</v>
      </c>
      <c r="I42">
        <v>0</v>
      </c>
      <c r="J42">
        <v>0</v>
      </c>
      <c r="K42" s="66">
        <v>121714404.05</v>
      </c>
    </row>
    <row r="43" spans="1:11" x14ac:dyDescent="0.25">
      <c r="A43" t="s">
        <v>216</v>
      </c>
      <c r="B43" t="s">
        <v>217</v>
      </c>
      <c r="C43" t="s">
        <v>540</v>
      </c>
      <c r="D43" t="s">
        <v>581</v>
      </c>
      <c r="E43">
        <v>4416287.26</v>
      </c>
      <c r="F43" t="s">
        <v>582</v>
      </c>
      <c r="G43">
        <v>7297185.5099999998</v>
      </c>
      <c r="H43">
        <v>63141.47</v>
      </c>
      <c r="I43">
        <v>0</v>
      </c>
      <c r="J43">
        <v>0</v>
      </c>
      <c r="K43" s="66">
        <v>11776614.24</v>
      </c>
    </row>
    <row r="44" spans="1:11" x14ac:dyDescent="0.25">
      <c r="A44" t="s">
        <v>583</v>
      </c>
      <c r="B44" t="s">
        <v>584</v>
      </c>
      <c r="C44" t="s">
        <v>540</v>
      </c>
      <c r="D44" t="s">
        <v>585</v>
      </c>
      <c r="E44">
        <v>0</v>
      </c>
      <c r="F44" t="s">
        <v>586</v>
      </c>
      <c r="G44">
        <v>1268511.24</v>
      </c>
      <c r="H44">
        <v>0</v>
      </c>
      <c r="I44">
        <v>0</v>
      </c>
      <c r="J44">
        <v>0</v>
      </c>
      <c r="K44" s="66">
        <v>1268511.24</v>
      </c>
    </row>
    <row r="45" spans="1:11" x14ac:dyDescent="0.25">
      <c r="A45" t="s">
        <v>853</v>
      </c>
      <c r="B45" t="s">
        <v>854</v>
      </c>
      <c r="C45" t="s">
        <v>540</v>
      </c>
      <c r="D45" t="s">
        <v>631</v>
      </c>
      <c r="E45">
        <v>659654.56000000006</v>
      </c>
      <c r="F45" t="s">
        <v>632</v>
      </c>
      <c r="G45">
        <v>0</v>
      </c>
      <c r="H45">
        <v>0</v>
      </c>
      <c r="I45">
        <v>0</v>
      </c>
      <c r="J45">
        <v>0</v>
      </c>
      <c r="K45" s="66">
        <v>659654.56000000006</v>
      </c>
    </row>
    <row r="46" spans="1:11" x14ac:dyDescent="0.25">
      <c r="A46" t="s">
        <v>855</v>
      </c>
      <c r="B46" t="s">
        <v>856</v>
      </c>
      <c r="C46" t="s">
        <v>540</v>
      </c>
      <c r="D46" t="s">
        <v>857</v>
      </c>
      <c r="E46">
        <v>398000</v>
      </c>
      <c r="F46" t="s">
        <v>858</v>
      </c>
      <c r="G46">
        <v>0</v>
      </c>
      <c r="H46">
        <v>0</v>
      </c>
      <c r="I46">
        <v>0</v>
      </c>
      <c r="J46">
        <v>0</v>
      </c>
      <c r="K46" s="66">
        <v>398000</v>
      </c>
    </row>
    <row r="47" spans="1:11" x14ac:dyDescent="0.25">
      <c r="A47" t="s">
        <v>218</v>
      </c>
      <c r="B47" t="s">
        <v>219</v>
      </c>
      <c r="C47" t="s">
        <v>540</v>
      </c>
      <c r="D47" t="s">
        <v>563</v>
      </c>
      <c r="E47">
        <v>0</v>
      </c>
      <c r="F47" t="s">
        <v>564</v>
      </c>
      <c r="G47">
        <v>0</v>
      </c>
      <c r="H47">
        <v>0</v>
      </c>
      <c r="I47">
        <v>0</v>
      </c>
      <c r="J47">
        <v>217</v>
      </c>
      <c r="K47" s="66">
        <v>217</v>
      </c>
    </row>
    <row r="48" spans="1:11" x14ac:dyDescent="0.25">
      <c r="A48" t="s">
        <v>859</v>
      </c>
      <c r="B48" t="s">
        <v>860</v>
      </c>
      <c r="C48" t="s">
        <v>540</v>
      </c>
      <c r="D48" t="s">
        <v>601</v>
      </c>
      <c r="E48">
        <v>2853851.55</v>
      </c>
      <c r="F48" t="s">
        <v>602</v>
      </c>
      <c r="G48">
        <v>0</v>
      </c>
      <c r="H48">
        <v>0</v>
      </c>
      <c r="I48">
        <v>0</v>
      </c>
      <c r="J48">
        <v>0</v>
      </c>
      <c r="K48" s="66">
        <v>2853851.55</v>
      </c>
    </row>
    <row r="49" spans="1:11" x14ac:dyDescent="0.25">
      <c r="A49" t="s">
        <v>491</v>
      </c>
      <c r="B49" t="s">
        <v>492</v>
      </c>
      <c r="C49" t="s">
        <v>540</v>
      </c>
      <c r="D49" t="s">
        <v>587</v>
      </c>
      <c r="E49">
        <v>0</v>
      </c>
      <c r="F49" t="s">
        <v>588</v>
      </c>
      <c r="G49">
        <v>268800</v>
      </c>
      <c r="H49">
        <v>0</v>
      </c>
      <c r="I49">
        <v>0</v>
      </c>
      <c r="J49">
        <v>0</v>
      </c>
      <c r="K49" s="66">
        <v>268800</v>
      </c>
    </row>
    <row r="50" spans="1:11" x14ac:dyDescent="0.25">
      <c r="A50" t="s">
        <v>220</v>
      </c>
      <c r="B50" t="s">
        <v>221</v>
      </c>
      <c r="C50" t="s">
        <v>540</v>
      </c>
      <c r="D50" t="s">
        <v>589</v>
      </c>
      <c r="E50">
        <v>624243.84</v>
      </c>
      <c r="F50" t="s">
        <v>590</v>
      </c>
      <c r="G50">
        <v>347086.08000000002</v>
      </c>
      <c r="H50">
        <v>0</v>
      </c>
      <c r="I50">
        <v>0</v>
      </c>
      <c r="J50">
        <v>0</v>
      </c>
      <c r="K50" s="66">
        <v>971329.92</v>
      </c>
    </row>
    <row r="51" spans="1:11" x14ac:dyDescent="0.25">
      <c r="A51" t="s">
        <v>222</v>
      </c>
      <c r="B51" t="s">
        <v>223</v>
      </c>
      <c r="C51" t="s">
        <v>540</v>
      </c>
      <c r="D51" t="s">
        <v>591</v>
      </c>
      <c r="E51">
        <v>14943526.52</v>
      </c>
      <c r="F51" t="s">
        <v>592</v>
      </c>
      <c r="G51">
        <v>0</v>
      </c>
      <c r="H51">
        <v>0</v>
      </c>
      <c r="I51">
        <v>0</v>
      </c>
      <c r="J51">
        <v>0</v>
      </c>
      <c r="K51" s="66">
        <v>14943526.52</v>
      </c>
    </row>
    <row r="52" spans="1:11" x14ac:dyDescent="0.25">
      <c r="A52" t="s">
        <v>732</v>
      </c>
      <c r="B52" t="s">
        <v>733</v>
      </c>
      <c r="C52" t="s">
        <v>540</v>
      </c>
      <c r="D52" t="s">
        <v>691</v>
      </c>
      <c r="E52">
        <v>1817783</v>
      </c>
      <c r="F52" t="s">
        <v>692</v>
      </c>
      <c r="G52">
        <v>0</v>
      </c>
      <c r="H52">
        <v>0</v>
      </c>
      <c r="I52">
        <v>0</v>
      </c>
      <c r="J52">
        <v>0</v>
      </c>
      <c r="K52" s="66">
        <v>1817783</v>
      </c>
    </row>
    <row r="53" spans="1:11" x14ac:dyDescent="0.25">
      <c r="A53" t="s">
        <v>224</v>
      </c>
      <c r="B53" t="s">
        <v>225</v>
      </c>
      <c r="C53" t="s">
        <v>540</v>
      </c>
      <c r="D53" t="s">
        <v>595</v>
      </c>
      <c r="E53">
        <v>100206000</v>
      </c>
      <c r="F53" t="s">
        <v>596</v>
      </c>
      <c r="G53">
        <v>25496800</v>
      </c>
      <c r="H53">
        <v>0</v>
      </c>
      <c r="I53">
        <v>100000000</v>
      </c>
      <c r="J53">
        <v>0</v>
      </c>
      <c r="K53" s="66">
        <v>225702800</v>
      </c>
    </row>
    <row r="54" spans="1:11" x14ac:dyDescent="0.25">
      <c r="A54" t="s">
        <v>226</v>
      </c>
      <c r="B54" t="s">
        <v>227</v>
      </c>
      <c r="C54" t="s">
        <v>540</v>
      </c>
      <c r="D54" t="s">
        <v>597</v>
      </c>
      <c r="E54">
        <v>10933251.08</v>
      </c>
      <c r="F54" t="s">
        <v>598</v>
      </c>
      <c r="G54">
        <v>173328118.06999999</v>
      </c>
      <c r="H54">
        <v>262289423.06</v>
      </c>
      <c r="I54">
        <v>0</v>
      </c>
      <c r="J54">
        <v>0</v>
      </c>
      <c r="K54" s="66">
        <v>446550792.20999998</v>
      </c>
    </row>
    <row r="55" spans="1:11" x14ac:dyDescent="0.25">
      <c r="A55" t="s">
        <v>228</v>
      </c>
      <c r="B55" t="s">
        <v>227</v>
      </c>
      <c r="C55" t="s">
        <v>540</v>
      </c>
      <c r="D55" t="s">
        <v>597</v>
      </c>
      <c r="E55">
        <v>217425068.44</v>
      </c>
      <c r="F55" t="s">
        <v>598</v>
      </c>
      <c r="G55">
        <v>0</v>
      </c>
      <c r="H55">
        <v>0</v>
      </c>
      <c r="I55">
        <v>0</v>
      </c>
      <c r="J55">
        <v>0</v>
      </c>
      <c r="K55" s="66">
        <v>217425068.44</v>
      </c>
    </row>
    <row r="56" spans="1:11" x14ac:dyDescent="0.25">
      <c r="A56" t="s">
        <v>229</v>
      </c>
      <c r="B56" t="s">
        <v>227</v>
      </c>
      <c r="C56" t="s">
        <v>540</v>
      </c>
      <c r="D56" t="s">
        <v>597</v>
      </c>
      <c r="E56">
        <v>144931118.84999999</v>
      </c>
      <c r="F56" t="s">
        <v>598</v>
      </c>
      <c r="G56">
        <v>66715242.869999997</v>
      </c>
      <c r="H56">
        <v>0</v>
      </c>
      <c r="I56">
        <v>0</v>
      </c>
      <c r="J56">
        <v>0</v>
      </c>
      <c r="K56" s="66">
        <v>211646361.72</v>
      </c>
    </row>
    <row r="57" spans="1:11" x14ac:dyDescent="0.25">
      <c r="A57" t="s">
        <v>230</v>
      </c>
      <c r="B57" t="s">
        <v>231</v>
      </c>
      <c r="C57" t="s">
        <v>540</v>
      </c>
      <c r="D57" t="s">
        <v>599</v>
      </c>
      <c r="E57">
        <v>0</v>
      </c>
      <c r="F57" t="s">
        <v>600</v>
      </c>
      <c r="G57">
        <v>0</v>
      </c>
      <c r="H57">
        <v>0</v>
      </c>
      <c r="I57">
        <v>0</v>
      </c>
      <c r="J57">
        <v>4157535.95</v>
      </c>
      <c r="K57" s="66">
        <v>4157535.95</v>
      </c>
    </row>
    <row r="58" spans="1:11" x14ac:dyDescent="0.25">
      <c r="A58" t="s">
        <v>734</v>
      </c>
      <c r="B58" t="s">
        <v>735</v>
      </c>
      <c r="C58" t="s">
        <v>540</v>
      </c>
      <c r="D58" t="s">
        <v>599</v>
      </c>
      <c r="E58">
        <v>157300</v>
      </c>
      <c r="F58" t="s">
        <v>600</v>
      </c>
      <c r="G58">
        <v>0</v>
      </c>
      <c r="H58">
        <v>0</v>
      </c>
      <c r="I58">
        <v>0</v>
      </c>
      <c r="J58">
        <v>0</v>
      </c>
      <c r="K58" s="66">
        <v>157300</v>
      </c>
    </row>
    <row r="59" spans="1:11" x14ac:dyDescent="0.25">
      <c r="A59" t="s">
        <v>861</v>
      </c>
      <c r="B59" t="s">
        <v>862</v>
      </c>
      <c r="C59" t="s">
        <v>540</v>
      </c>
      <c r="D59" t="s">
        <v>863</v>
      </c>
      <c r="E59">
        <v>34724217</v>
      </c>
      <c r="F59" t="s">
        <v>864</v>
      </c>
      <c r="G59">
        <v>0</v>
      </c>
      <c r="H59">
        <v>0</v>
      </c>
      <c r="I59">
        <v>0</v>
      </c>
      <c r="J59">
        <v>0</v>
      </c>
      <c r="K59" s="66">
        <v>34724217</v>
      </c>
    </row>
    <row r="60" spans="1:11" x14ac:dyDescent="0.25">
      <c r="A60" t="s">
        <v>232</v>
      </c>
      <c r="B60" t="s">
        <v>233</v>
      </c>
      <c r="C60" t="s">
        <v>540</v>
      </c>
      <c r="D60" t="s">
        <v>601</v>
      </c>
      <c r="E60">
        <v>273411.59999999998</v>
      </c>
      <c r="F60" t="s">
        <v>602</v>
      </c>
      <c r="G60">
        <v>2031096.08</v>
      </c>
      <c r="H60">
        <v>0</v>
      </c>
      <c r="I60">
        <v>0</v>
      </c>
      <c r="J60">
        <v>0</v>
      </c>
      <c r="K60" s="66">
        <v>2304507.6800000002</v>
      </c>
    </row>
    <row r="61" spans="1:11" x14ac:dyDescent="0.25">
      <c r="A61" t="s">
        <v>234</v>
      </c>
      <c r="B61" t="s">
        <v>235</v>
      </c>
      <c r="C61" t="s">
        <v>540</v>
      </c>
      <c r="D61" t="s">
        <v>603</v>
      </c>
      <c r="E61">
        <v>0</v>
      </c>
      <c r="F61" t="s">
        <v>604</v>
      </c>
      <c r="G61">
        <v>0</v>
      </c>
      <c r="H61">
        <v>0</v>
      </c>
      <c r="I61">
        <v>0</v>
      </c>
      <c r="J61">
        <v>-204.43</v>
      </c>
      <c r="K61" s="66">
        <v>-204.43</v>
      </c>
    </row>
    <row r="62" spans="1:11" x14ac:dyDescent="0.25">
      <c r="A62" t="s">
        <v>236</v>
      </c>
      <c r="B62" t="s">
        <v>237</v>
      </c>
      <c r="C62" t="s">
        <v>540</v>
      </c>
      <c r="D62" t="s">
        <v>553</v>
      </c>
      <c r="E62">
        <v>11636924.289999999</v>
      </c>
      <c r="F62" t="s">
        <v>554</v>
      </c>
      <c r="G62">
        <v>12946346.07</v>
      </c>
      <c r="H62">
        <v>0</v>
      </c>
      <c r="I62">
        <v>0</v>
      </c>
      <c r="J62">
        <v>0</v>
      </c>
      <c r="K62" s="66">
        <v>24583270.359999999</v>
      </c>
    </row>
    <row r="63" spans="1:11" x14ac:dyDescent="0.25">
      <c r="A63" t="s">
        <v>238</v>
      </c>
      <c r="B63" t="s">
        <v>239</v>
      </c>
      <c r="C63" t="s">
        <v>540</v>
      </c>
      <c r="D63" t="s">
        <v>605</v>
      </c>
      <c r="E63">
        <v>3767831.12</v>
      </c>
      <c r="F63" t="s">
        <v>606</v>
      </c>
      <c r="G63">
        <v>0</v>
      </c>
      <c r="H63">
        <v>0</v>
      </c>
      <c r="I63">
        <v>0</v>
      </c>
      <c r="J63">
        <v>0</v>
      </c>
      <c r="K63" s="66">
        <v>3767831.12</v>
      </c>
    </row>
    <row r="64" spans="1:11" x14ac:dyDescent="0.25">
      <c r="A64" t="s">
        <v>240</v>
      </c>
      <c r="B64" t="s">
        <v>241</v>
      </c>
      <c r="C64" t="s">
        <v>540</v>
      </c>
      <c r="D64" t="s">
        <v>607</v>
      </c>
      <c r="E64">
        <v>2701796.84</v>
      </c>
      <c r="F64" t="s">
        <v>608</v>
      </c>
      <c r="G64">
        <v>0</v>
      </c>
      <c r="H64">
        <v>0</v>
      </c>
      <c r="I64">
        <v>0</v>
      </c>
      <c r="J64">
        <v>0</v>
      </c>
      <c r="K64" s="66">
        <v>2701796.84</v>
      </c>
    </row>
    <row r="65" spans="1:11" x14ac:dyDescent="0.25">
      <c r="A65" t="s">
        <v>242</v>
      </c>
      <c r="B65" t="s">
        <v>243</v>
      </c>
      <c r="C65" t="s">
        <v>540</v>
      </c>
      <c r="D65" t="s">
        <v>609</v>
      </c>
      <c r="E65">
        <v>4019778.01</v>
      </c>
      <c r="F65" t="s">
        <v>610</v>
      </c>
      <c r="G65">
        <v>0</v>
      </c>
      <c r="H65">
        <v>0</v>
      </c>
      <c r="I65">
        <v>0</v>
      </c>
      <c r="J65">
        <v>0</v>
      </c>
      <c r="K65" s="66">
        <v>4019778.01</v>
      </c>
    </row>
    <row r="66" spans="1:11" x14ac:dyDescent="0.25">
      <c r="A66" t="s">
        <v>804</v>
      </c>
      <c r="B66" t="s">
        <v>805</v>
      </c>
      <c r="C66" t="s">
        <v>540</v>
      </c>
      <c r="D66" t="s">
        <v>563</v>
      </c>
      <c r="E66">
        <v>8483654.8499999996</v>
      </c>
      <c r="F66" t="s">
        <v>564</v>
      </c>
      <c r="G66">
        <v>0</v>
      </c>
      <c r="H66">
        <v>0</v>
      </c>
      <c r="I66">
        <v>0</v>
      </c>
      <c r="J66">
        <v>0</v>
      </c>
      <c r="K66" s="66">
        <v>8483654.8499999996</v>
      </c>
    </row>
    <row r="67" spans="1:11" x14ac:dyDescent="0.25">
      <c r="A67" t="s">
        <v>244</v>
      </c>
      <c r="B67" t="s">
        <v>245</v>
      </c>
      <c r="C67" t="s">
        <v>540</v>
      </c>
      <c r="D67" t="s">
        <v>573</v>
      </c>
      <c r="E67">
        <v>1569811.4</v>
      </c>
      <c r="F67" t="s">
        <v>574</v>
      </c>
      <c r="G67">
        <v>1246324.94</v>
      </c>
      <c r="H67">
        <v>0</v>
      </c>
      <c r="I67">
        <v>0</v>
      </c>
      <c r="J67">
        <v>0</v>
      </c>
      <c r="K67" s="66">
        <v>2816136.34</v>
      </c>
    </row>
    <row r="68" spans="1:11" x14ac:dyDescent="0.25">
      <c r="A68" t="s">
        <v>493</v>
      </c>
      <c r="B68" t="s">
        <v>494</v>
      </c>
      <c r="C68" t="s">
        <v>540</v>
      </c>
      <c r="D68" t="s">
        <v>611</v>
      </c>
      <c r="E68">
        <v>149979.5</v>
      </c>
      <c r="F68" t="s">
        <v>612</v>
      </c>
      <c r="G68">
        <v>0</v>
      </c>
      <c r="H68">
        <v>0</v>
      </c>
      <c r="I68">
        <v>0</v>
      </c>
      <c r="J68">
        <v>0</v>
      </c>
      <c r="K68" s="66">
        <v>149979.5</v>
      </c>
    </row>
    <row r="69" spans="1:11" x14ac:dyDescent="0.25">
      <c r="A69" t="s">
        <v>246</v>
      </c>
      <c r="B69" t="s">
        <v>247</v>
      </c>
      <c r="C69" t="s">
        <v>540</v>
      </c>
      <c r="D69" t="s">
        <v>553</v>
      </c>
      <c r="E69">
        <v>1050349.8999999999</v>
      </c>
      <c r="F69" t="s">
        <v>554</v>
      </c>
      <c r="G69">
        <v>0</v>
      </c>
      <c r="H69">
        <v>0</v>
      </c>
      <c r="I69">
        <v>0</v>
      </c>
      <c r="J69">
        <v>0</v>
      </c>
      <c r="K69" s="66">
        <v>1050349.8999999999</v>
      </c>
    </row>
    <row r="70" spans="1:11" x14ac:dyDescent="0.25">
      <c r="A70" t="s">
        <v>248</v>
      </c>
      <c r="B70" t="s">
        <v>249</v>
      </c>
      <c r="C70" t="s">
        <v>540</v>
      </c>
      <c r="D70" t="s">
        <v>553</v>
      </c>
      <c r="E70">
        <v>3486831.57</v>
      </c>
      <c r="F70" t="s">
        <v>554</v>
      </c>
      <c r="G70">
        <v>0</v>
      </c>
      <c r="H70">
        <v>0</v>
      </c>
      <c r="I70">
        <v>0</v>
      </c>
      <c r="J70">
        <v>0</v>
      </c>
      <c r="K70" s="66">
        <v>3486831.57</v>
      </c>
    </row>
    <row r="71" spans="1:11" x14ac:dyDescent="0.25">
      <c r="A71" t="s">
        <v>736</v>
      </c>
      <c r="B71" t="s">
        <v>737</v>
      </c>
      <c r="C71" t="s">
        <v>540</v>
      </c>
      <c r="D71" t="s">
        <v>679</v>
      </c>
      <c r="E71">
        <v>384232742.85000002</v>
      </c>
      <c r="F71" t="s">
        <v>680</v>
      </c>
      <c r="G71">
        <v>0</v>
      </c>
      <c r="H71">
        <v>0</v>
      </c>
      <c r="I71">
        <v>0</v>
      </c>
      <c r="J71">
        <v>0</v>
      </c>
      <c r="K71" s="66">
        <v>384232742.85000002</v>
      </c>
    </row>
    <row r="72" spans="1:11" x14ac:dyDescent="0.25">
      <c r="A72" t="s">
        <v>613</v>
      </c>
      <c r="B72" t="s">
        <v>614</v>
      </c>
      <c r="C72" t="s">
        <v>540</v>
      </c>
      <c r="D72" t="s">
        <v>615</v>
      </c>
      <c r="E72">
        <v>6696400</v>
      </c>
      <c r="F72" t="s">
        <v>616</v>
      </c>
      <c r="G72">
        <v>5800000</v>
      </c>
      <c r="H72">
        <v>0</v>
      </c>
      <c r="I72">
        <v>0</v>
      </c>
      <c r="J72">
        <v>0</v>
      </c>
      <c r="K72" s="66">
        <v>12496400</v>
      </c>
    </row>
    <row r="73" spans="1:11" x14ac:dyDescent="0.25">
      <c r="A73" t="s">
        <v>806</v>
      </c>
      <c r="B73" t="s">
        <v>807</v>
      </c>
      <c r="C73" t="s">
        <v>540</v>
      </c>
      <c r="D73" t="s">
        <v>643</v>
      </c>
      <c r="E73">
        <v>8800000</v>
      </c>
      <c r="F73" t="s">
        <v>644</v>
      </c>
      <c r="G73">
        <v>0</v>
      </c>
      <c r="H73">
        <v>0</v>
      </c>
      <c r="I73">
        <v>0</v>
      </c>
      <c r="J73">
        <v>0</v>
      </c>
      <c r="K73" s="66">
        <v>8800000</v>
      </c>
    </row>
    <row r="74" spans="1:11" x14ac:dyDescent="0.25">
      <c r="A74" t="s">
        <v>250</v>
      </c>
      <c r="B74" t="s">
        <v>251</v>
      </c>
      <c r="C74" t="s">
        <v>540</v>
      </c>
      <c r="D74" t="s">
        <v>617</v>
      </c>
      <c r="E74">
        <v>22990</v>
      </c>
      <c r="F74" t="s">
        <v>618</v>
      </c>
      <c r="G74">
        <v>30551934.989999998</v>
      </c>
      <c r="H74">
        <v>0</v>
      </c>
      <c r="I74">
        <v>0</v>
      </c>
      <c r="J74">
        <v>0</v>
      </c>
      <c r="K74" s="66">
        <v>30574924.989999998</v>
      </c>
    </row>
    <row r="75" spans="1:11" x14ac:dyDescent="0.25">
      <c r="A75" t="s">
        <v>865</v>
      </c>
      <c r="B75" t="s">
        <v>866</v>
      </c>
      <c r="C75" t="s">
        <v>540</v>
      </c>
      <c r="D75" t="s">
        <v>553</v>
      </c>
      <c r="E75">
        <v>422290</v>
      </c>
      <c r="F75" t="s">
        <v>554</v>
      </c>
      <c r="G75">
        <v>0</v>
      </c>
      <c r="H75">
        <v>0</v>
      </c>
      <c r="I75">
        <v>0</v>
      </c>
      <c r="J75">
        <v>0</v>
      </c>
      <c r="K75" s="66">
        <v>422290</v>
      </c>
    </row>
    <row r="76" spans="1:11" x14ac:dyDescent="0.25">
      <c r="A76" t="s">
        <v>252</v>
      </c>
      <c r="B76" t="s">
        <v>253</v>
      </c>
      <c r="C76" t="s">
        <v>540</v>
      </c>
      <c r="D76" t="s">
        <v>619</v>
      </c>
      <c r="E76">
        <v>2240000</v>
      </c>
      <c r="F76" t="s">
        <v>620</v>
      </c>
      <c r="G76">
        <v>1180000</v>
      </c>
      <c r="H76">
        <v>0</v>
      </c>
      <c r="I76">
        <v>0</v>
      </c>
      <c r="J76">
        <v>0</v>
      </c>
      <c r="K76" s="66">
        <v>3420000</v>
      </c>
    </row>
    <row r="77" spans="1:11" x14ac:dyDescent="0.25">
      <c r="A77" t="s">
        <v>254</v>
      </c>
      <c r="B77" t="s">
        <v>255</v>
      </c>
      <c r="C77" t="s">
        <v>540</v>
      </c>
      <c r="D77" t="s">
        <v>605</v>
      </c>
      <c r="E77">
        <v>667266.6</v>
      </c>
      <c r="F77" t="s">
        <v>606</v>
      </c>
      <c r="G77">
        <v>2112860.86</v>
      </c>
      <c r="H77">
        <v>0</v>
      </c>
      <c r="I77">
        <v>0</v>
      </c>
      <c r="J77">
        <v>0</v>
      </c>
      <c r="K77" s="66">
        <v>2780127.46</v>
      </c>
    </row>
    <row r="78" spans="1:11" x14ac:dyDescent="0.25">
      <c r="A78" t="s">
        <v>738</v>
      </c>
      <c r="B78" t="s">
        <v>739</v>
      </c>
      <c r="C78" t="s">
        <v>540</v>
      </c>
      <c r="D78" t="s">
        <v>740</v>
      </c>
      <c r="E78">
        <v>66005.97</v>
      </c>
      <c r="F78" t="s">
        <v>741</v>
      </c>
      <c r="G78">
        <v>124011.22</v>
      </c>
      <c r="H78">
        <v>0</v>
      </c>
      <c r="I78">
        <v>0</v>
      </c>
      <c r="J78">
        <v>0</v>
      </c>
      <c r="K78" s="66">
        <v>190017.19</v>
      </c>
    </row>
    <row r="79" spans="1:11" x14ac:dyDescent="0.25">
      <c r="A79" t="s">
        <v>256</v>
      </c>
      <c r="B79" t="s">
        <v>257</v>
      </c>
      <c r="C79" t="s">
        <v>540</v>
      </c>
      <c r="D79" t="s">
        <v>585</v>
      </c>
      <c r="E79">
        <v>29352180</v>
      </c>
      <c r="F79" t="s">
        <v>586</v>
      </c>
      <c r="G79">
        <v>0</v>
      </c>
      <c r="H79">
        <v>0</v>
      </c>
      <c r="I79">
        <v>0</v>
      </c>
      <c r="J79">
        <v>0</v>
      </c>
      <c r="K79" s="66">
        <v>29352180</v>
      </c>
    </row>
    <row r="80" spans="1:11" x14ac:dyDescent="0.25">
      <c r="A80" t="s">
        <v>258</v>
      </c>
      <c r="B80" t="s">
        <v>259</v>
      </c>
      <c r="C80" t="s">
        <v>540</v>
      </c>
      <c r="D80" t="s">
        <v>563</v>
      </c>
      <c r="E80">
        <v>0</v>
      </c>
      <c r="F80" t="s">
        <v>564</v>
      </c>
      <c r="G80">
        <v>2090000</v>
      </c>
      <c r="H80">
        <v>0</v>
      </c>
      <c r="I80">
        <v>0</v>
      </c>
      <c r="J80">
        <v>0</v>
      </c>
      <c r="K80" s="66">
        <v>2090000</v>
      </c>
    </row>
    <row r="81" spans="1:11" x14ac:dyDescent="0.25">
      <c r="A81" t="s">
        <v>260</v>
      </c>
      <c r="B81" t="s">
        <v>261</v>
      </c>
      <c r="C81" t="s">
        <v>540</v>
      </c>
      <c r="D81" t="s">
        <v>615</v>
      </c>
      <c r="E81">
        <v>6865001.5499999998</v>
      </c>
      <c r="F81" t="s">
        <v>616</v>
      </c>
      <c r="G81">
        <v>15218202.67</v>
      </c>
      <c r="H81">
        <v>0</v>
      </c>
      <c r="I81">
        <v>0</v>
      </c>
      <c r="J81">
        <v>0</v>
      </c>
      <c r="K81" s="66">
        <v>22083204.219999999</v>
      </c>
    </row>
    <row r="82" spans="1:11" x14ac:dyDescent="0.25">
      <c r="A82" t="s">
        <v>262</v>
      </c>
      <c r="B82" t="s">
        <v>263</v>
      </c>
      <c r="C82" t="s">
        <v>540</v>
      </c>
      <c r="D82" t="s">
        <v>621</v>
      </c>
      <c r="E82">
        <v>8809154.5299999993</v>
      </c>
      <c r="F82" t="s">
        <v>622</v>
      </c>
      <c r="G82">
        <v>7091309.0599999996</v>
      </c>
      <c r="H82">
        <v>0</v>
      </c>
      <c r="I82">
        <v>0</v>
      </c>
      <c r="J82">
        <v>0</v>
      </c>
      <c r="K82" s="66">
        <v>15900463.59</v>
      </c>
    </row>
    <row r="83" spans="1:11" x14ac:dyDescent="0.25">
      <c r="A83" t="s">
        <v>808</v>
      </c>
      <c r="B83" t="s">
        <v>809</v>
      </c>
      <c r="C83" t="s">
        <v>540</v>
      </c>
      <c r="D83" t="s">
        <v>659</v>
      </c>
      <c r="E83">
        <v>85739352.450000003</v>
      </c>
      <c r="F83" t="s">
        <v>660</v>
      </c>
      <c r="G83">
        <v>0</v>
      </c>
      <c r="H83">
        <v>0</v>
      </c>
      <c r="I83">
        <v>0</v>
      </c>
      <c r="J83">
        <v>0</v>
      </c>
      <c r="K83" s="66">
        <v>85739352.450000003</v>
      </c>
    </row>
    <row r="84" spans="1:11" x14ac:dyDescent="0.25">
      <c r="A84" t="s">
        <v>264</v>
      </c>
      <c r="B84" t="s">
        <v>265</v>
      </c>
      <c r="C84" t="s">
        <v>540</v>
      </c>
      <c r="D84" t="s">
        <v>623</v>
      </c>
      <c r="E84">
        <v>14835256.99</v>
      </c>
      <c r="F84" t="s">
        <v>624</v>
      </c>
      <c r="G84">
        <v>0</v>
      </c>
      <c r="H84">
        <v>0</v>
      </c>
      <c r="I84">
        <v>0</v>
      </c>
      <c r="J84">
        <v>0</v>
      </c>
      <c r="K84" s="66">
        <v>14835256.99</v>
      </c>
    </row>
    <row r="85" spans="1:11" x14ac:dyDescent="0.25">
      <c r="A85" t="s">
        <v>266</v>
      </c>
      <c r="B85" t="s">
        <v>267</v>
      </c>
      <c r="C85" t="s">
        <v>540</v>
      </c>
      <c r="D85" t="s">
        <v>545</v>
      </c>
      <c r="E85">
        <v>539691</v>
      </c>
      <c r="F85" t="s">
        <v>546</v>
      </c>
      <c r="G85">
        <v>1615718.04</v>
      </c>
      <c r="H85">
        <v>0</v>
      </c>
      <c r="I85">
        <v>0</v>
      </c>
      <c r="J85">
        <v>0</v>
      </c>
      <c r="K85" s="66">
        <v>2155409.04</v>
      </c>
    </row>
    <row r="86" spans="1:11" x14ac:dyDescent="0.25">
      <c r="A86" t="s">
        <v>495</v>
      </c>
      <c r="B86" t="s">
        <v>496</v>
      </c>
      <c r="C86" t="s">
        <v>540</v>
      </c>
      <c r="D86" t="s">
        <v>625</v>
      </c>
      <c r="E86">
        <v>167999.99</v>
      </c>
      <c r="F86" t="s">
        <v>626</v>
      </c>
      <c r="G86">
        <v>223999.99</v>
      </c>
      <c r="H86">
        <v>0</v>
      </c>
      <c r="I86">
        <v>0</v>
      </c>
      <c r="J86">
        <v>0</v>
      </c>
      <c r="K86" s="66">
        <v>391999.98</v>
      </c>
    </row>
    <row r="87" spans="1:11" x14ac:dyDescent="0.25">
      <c r="A87" t="s">
        <v>867</v>
      </c>
      <c r="B87" t="s">
        <v>868</v>
      </c>
      <c r="C87" t="s">
        <v>540</v>
      </c>
      <c r="D87" t="s">
        <v>869</v>
      </c>
      <c r="E87">
        <v>1113964.82</v>
      </c>
      <c r="F87" t="s">
        <v>870</v>
      </c>
      <c r="G87">
        <v>0</v>
      </c>
      <c r="H87">
        <v>0</v>
      </c>
      <c r="I87">
        <v>0</v>
      </c>
      <c r="J87">
        <v>0</v>
      </c>
      <c r="K87" s="66">
        <v>1113964.82</v>
      </c>
    </row>
    <row r="88" spans="1:11" x14ac:dyDescent="0.25">
      <c r="A88" t="s">
        <v>268</v>
      </c>
      <c r="B88" t="s">
        <v>269</v>
      </c>
      <c r="C88" t="s">
        <v>540</v>
      </c>
      <c r="D88" t="s">
        <v>541</v>
      </c>
      <c r="E88">
        <v>715981.2</v>
      </c>
      <c r="F88" t="s">
        <v>542</v>
      </c>
      <c r="G88">
        <v>0</v>
      </c>
      <c r="H88">
        <v>0</v>
      </c>
      <c r="I88">
        <v>0</v>
      </c>
      <c r="J88">
        <v>0</v>
      </c>
      <c r="K88" s="66">
        <v>715981.2</v>
      </c>
    </row>
    <row r="89" spans="1:11" x14ac:dyDescent="0.25">
      <c r="A89" t="s">
        <v>270</v>
      </c>
      <c r="B89" t="s">
        <v>271</v>
      </c>
      <c r="C89" t="s">
        <v>540</v>
      </c>
      <c r="D89" t="s">
        <v>601</v>
      </c>
      <c r="E89">
        <v>0</v>
      </c>
      <c r="F89" t="s">
        <v>602</v>
      </c>
      <c r="G89">
        <v>0</v>
      </c>
      <c r="H89">
        <v>0</v>
      </c>
      <c r="I89">
        <v>290181.01</v>
      </c>
      <c r="J89">
        <v>0</v>
      </c>
      <c r="K89" s="66">
        <v>290181.01</v>
      </c>
    </row>
    <row r="90" spans="1:11" x14ac:dyDescent="0.25">
      <c r="A90" t="s">
        <v>272</v>
      </c>
      <c r="B90" t="s">
        <v>273</v>
      </c>
      <c r="C90" t="s">
        <v>540</v>
      </c>
      <c r="D90" t="s">
        <v>573</v>
      </c>
      <c r="E90">
        <v>0</v>
      </c>
      <c r="F90" t="s">
        <v>574</v>
      </c>
      <c r="G90">
        <v>6409121.7400000002</v>
      </c>
      <c r="H90">
        <v>0</v>
      </c>
      <c r="I90">
        <v>0</v>
      </c>
      <c r="J90">
        <v>0</v>
      </c>
      <c r="K90" s="66">
        <v>6409121.7400000002</v>
      </c>
    </row>
    <row r="91" spans="1:11" x14ac:dyDescent="0.25">
      <c r="A91" t="s">
        <v>274</v>
      </c>
      <c r="B91" t="s">
        <v>275</v>
      </c>
      <c r="C91" t="s">
        <v>540</v>
      </c>
      <c r="D91" t="s">
        <v>577</v>
      </c>
      <c r="E91">
        <v>1159012.69</v>
      </c>
      <c r="F91" t="s">
        <v>578</v>
      </c>
      <c r="G91">
        <v>1005421.38</v>
      </c>
      <c r="H91">
        <v>0</v>
      </c>
      <c r="I91">
        <v>0</v>
      </c>
      <c r="J91">
        <v>0</v>
      </c>
      <c r="K91" s="66">
        <v>2164434.0699999998</v>
      </c>
    </row>
    <row r="92" spans="1:11" x14ac:dyDescent="0.25">
      <c r="A92" t="s">
        <v>276</v>
      </c>
      <c r="B92" t="s">
        <v>277</v>
      </c>
      <c r="C92" t="s">
        <v>540</v>
      </c>
      <c r="D92" t="s">
        <v>627</v>
      </c>
      <c r="E92">
        <v>77740612.709999993</v>
      </c>
      <c r="F92" t="s">
        <v>628</v>
      </c>
      <c r="G92">
        <v>44178654.509999998</v>
      </c>
      <c r="H92">
        <v>0</v>
      </c>
      <c r="I92">
        <v>0</v>
      </c>
      <c r="J92">
        <v>0</v>
      </c>
      <c r="K92" s="66">
        <v>121919267.22</v>
      </c>
    </row>
    <row r="93" spans="1:11" x14ac:dyDescent="0.25">
      <c r="A93" t="s">
        <v>810</v>
      </c>
      <c r="B93" t="s">
        <v>811</v>
      </c>
      <c r="C93" t="s">
        <v>540</v>
      </c>
      <c r="D93" t="s">
        <v>589</v>
      </c>
      <c r="E93">
        <v>507795</v>
      </c>
      <c r="F93" t="s">
        <v>590</v>
      </c>
      <c r="G93">
        <v>0</v>
      </c>
      <c r="H93">
        <v>0</v>
      </c>
      <c r="I93">
        <v>0</v>
      </c>
      <c r="J93">
        <v>0</v>
      </c>
      <c r="K93" s="66">
        <v>507795</v>
      </c>
    </row>
    <row r="94" spans="1:11" x14ac:dyDescent="0.25">
      <c r="A94" t="s">
        <v>278</v>
      </c>
      <c r="B94" t="s">
        <v>279</v>
      </c>
      <c r="C94" t="s">
        <v>540</v>
      </c>
      <c r="D94" t="s">
        <v>629</v>
      </c>
      <c r="E94">
        <v>563200</v>
      </c>
      <c r="F94" t="s">
        <v>630</v>
      </c>
      <c r="G94">
        <v>3103880.01</v>
      </c>
      <c r="H94">
        <v>0</v>
      </c>
      <c r="I94">
        <v>0</v>
      </c>
      <c r="J94">
        <v>0</v>
      </c>
      <c r="K94" s="66">
        <v>3667080.01</v>
      </c>
    </row>
    <row r="95" spans="1:11" x14ac:dyDescent="0.25">
      <c r="A95" t="s">
        <v>742</v>
      </c>
      <c r="B95" t="s">
        <v>743</v>
      </c>
      <c r="C95" t="s">
        <v>540</v>
      </c>
      <c r="D95" t="s">
        <v>623</v>
      </c>
      <c r="E95">
        <v>2330185.2999999998</v>
      </c>
      <c r="F95" t="s">
        <v>624</v>
      </c>
      <c r="G95">
        <v>0</v>
      </c>
      <c r="H95">
        <v>0</v>
      </c>
      <c r="I95">
        <v>0</v>
      </c>
      <c r="J95">
        <v>0</v>
      </c>
      <c r="K95" s="66">
        <v>2330185.2999999998</v>
      </c>
    </row>
    <row r="96" spans="1:11" x14ac:dyDescent="0.25">
      <c r="A96" t="s">
        <v>280</v>
      </c>
      <c r="B96" t="s">
        <v>281</v>
      </c>
      <c r="C96" t="s">
        <v>540</v>
      </c>
      <c r="D96" t="s">
        <v>559</v>
      </c>
      <c r="E96">
        <v>780000</v>
      </c>
      <c r="F96" t="s">
        <v>560</v>
      </c>
      <c r="G96">
        <v>780000</v>
      </c>
      <c r="H96">
        <v>0</v>
      </c>
      <c r="I96">
        <v>0</v>
      </c>
      <c r="J96">
        <v>0</v>
      </c>
      <c r="K96" s="66">
        <v>1560000</v>
      </c>
    </row>
    <row r="97" spans="1:11" x14ac:dyDescent="0.25">
      <c r="A97" t="s">
        <v>282</v>
      </c>
      <c r="B97" t="s">
        <v>283</v>
      </c>
      <c r="C97" t="s">
        <v>540</v>
      </c>
      <c r="D97" t="s">
        <v>631</v>
      </c>
      <c r="E97">
        <v>0</v>
      </c>
      <c r="F97" t="s">
        <v>632</v>
      </c>
      <c r="G97">
        <v>180000</v>
      </c>
      <c r="H97">
        <v>0</v>
      </c>
      <c r="I97">
        <v>0</v>
      </c>
      <c r="J97">
        <v>0</v>
      </c>
      <c r="K97" s="66">
        <v>180000</v>
      </c>
    </row>
    <row r="98" spans="1:11" x14ac:dyDescent="0.25">
      <c r="A98" t="s">
        <v>284</v>
      </c>
      <c r="B98" t="s">
        <v>285</v>
      </c>
      <c r="C98" t="s">
        <v>540</v>
      </c>
      <c r="D98" t="s">
        <v>633</v>
      </c>
      <c r="E98">
        <v>0</v>
      </c>
      <c r="F98" t="s">
        <v>634</v>
      </c>
      <c r="G98">
        <v>0</v>
      </c>
      <c r="H98">
        <v>0</v>
      </c>
      <c r="I98">
        <v>0.02</v>
      </c>
      <c r="J98">
        <v>0</v>
      </c>
      <c r="K98" s="66">
        <v>0.02</v>
      </c>
    </row>
    <row r="99" spans="1:11" x14ac:dyDescent="0.25">
      <c r="A99" t="s">
        <v>286</v>
      </c>
      <c r="B99" t="s">
        <v>287</v>
      </c>
      <c r="C99" t="s">
        <v>540</v>
      </c>
      <c r="D99" t="s">
        <v>635</v>
      </c>
      <c r="E99">
        <v>264506</v>
      </c>
      <c r="F99" t="s">
        <v>636</v>
      </c>
      <c r="G99">
        <v>755040</v>
      </c>
      <c r="H99">
        <v>2633081</v>
      </c>
      <c r="I99">
        <v>0</v>
      </c>
      <c r="J99">
        <v>0</v>
      </c>
      <c r="K99" s="66">
        <v>3652627</v>
      </c>
    </row>
    <row r="100" spans="1:11" x14ac:dyDescent="0.25">
      <c r="A100" t="s">
        <v>744</v>
      </c>
      <c r="B100" t="s">
        <v>745</v>
      </c>
      <c r="C100" t="s">
        <v>540</v>
      </c>
      <c r="D100" t="s">
        <v>585</v>
      </c>
      <c r="E100">
        <v>4147260.48</v>
      </c>
      <c r="F100" t="s">
        <v>586</v>
      </c>
      <c r="G100">
        <v>0</v>
      </c>
      <c r="H100">
        <v>0</v>
      </c>
      <c r="I100">
        <v>0</v>
      </c>
      <c r="J100">
        <v>0</v>
      </c>
      <c r="K100" s="66">
        <v>4147260.48</v>
      </c>
    </row>
    <row r="101" spans="1:11" x14ac:dyDescent="0.25">
      <c r="A101" t="s">
        <v>288</v>
      </c>
      <c r="B101" t="s">
        <v>289</v>
      </c>
      <c r="C101" t="s">
        <v>540</v>
      </c>
      <c r="D101" t="s">
        <v>619</v>
      </c>
      <c r="E101">
        <v>4484707.7</v>
      </c>
      <c r="F101" t="s">
        <v>620</v>
      </c>
      <c r="G101">
        <v>332750</v>
      </c>
      <c r="H101">
        <v>0</v>
      </c>
      <c r="I101">
        <v>0</v>
      </c>
      <c r="J101">
        <v>0</v>
      </c>
      <c r="K101" s="66">
        <v>4817457.7</v>
      </c>
    </row>
    <row r="102" spans="1:11" x14ac:dyDescent="0.25">
      <c r="A102" t="s">
        <v>290</v>
      </c>
      <c r="B102" t="s">
        <v>291</v>
      </c>
      <c r="C102" t="s">
        <v>540</v>
      </c>
      <c r="D102" t="s">
        <v>623</v>
      </c>
      <c r="E102">
        <v>108787.99</v>
      </c>
      <c r="F102" t="s">
        <v>624</v>
      </c>
      <c r="G102">
        <v>0</v>
      </c>
      <c r="H102">
        <v>0</v>
      </c>
      <c r="I102">
        <v>0</v>
      </c>
      <c r="J102">
        <v>0</v>
      </c>
      <c r="K102" s="66">
        <v>108787.99</v>
      </c>
    </row>
    <row r="103" spans="1:11" x14ac:dyDescent="0.25">
      <c r="A103" t="s">
        <v>497</v>
      </c>
      <c r="B103" t="s">
        <v>498</v>
      </c>
      <c r="C103" t="s">
        <v>540</v>
      </c>
      <c r="D103" t="s">
        <v>637</v>
      </c>
      <c r="E103">
        <v>0</v>
      </c>
      <c r="F103" t="s">
        <v>638</v>
      </c>
      <c r="G103">
        <v>790000</v>
      </c>
      <c r="H103">
        <v>0</v>
      </c>
      <c r="I103">
        <v>0</v>
      </c>
      <c r="J103">
        <v>0</v>
      </c>
      <c r="K103" s="66">
        <v>790000</v>
      </c>
    </row>
    <row r="104" spans="1:11" x14ac:dyDescent="0.25">
      <c r="A104" t="s">
        <v>746</v>
      </c>
      <c r="B104" t="s">
        <v>747</v>
      </c>
      <c r="C104" t="s">
        <v>540</v>
      </c>
      <c r="D104" t="s">
        <v>589</v>
      </c>
      <c r="E104">
        <v>2710526.29</v>
      </c>
      <c r="F104" t="s">
        <v>590</v>
      </c>
      <c r="G104">
        <v>0</v>
      </c>
      <c r="H104">
        <v>0</v>
      </c>
      <c r="I104">
        <v>0</v>
      </c>
      <c r="J104">
        <v>0</v>
      </c>
      <c r="K104" s="66">
        <v>2710526.29</v>
      </c>
    </row>
    <row r="105" spans="1:11" x14ac:dyDescent="0.25">
      <c r="A105" t="s">
        <v>292</v>
      </c>
      <c r="B105" t="s">
        <v>293</v>
      </c>
      <c r="C105" t="s">
        <v>540</v>
      </c>
      <c r="D105" t="s">
        <v>551</v>
      </c>
      <c r="E105">
        <v>384417</v>
      </c>
      <c r="F105" t="s">
        <v>552</v>
      </c>
      <c r="G105">
        <v>5712894</v>
      </c>
      <c r="H105">
        <v>0</v>
      </c>
      <c r="I105">
        <v>0</v>
      </c>
      <c r="J105">
        <v>0</v>
      </c>
      <c r="K105" s="66">
        <v>6097311</v>
      </c>
    </row>
    <row r="106" spans="1:11" x14ac:dyDescent="0.25">
      <c r="A106" t="s">
        <v>294</v>
      </c>
      <c r="B106" t="s">
        <v>295</v>
      </c>
      <c r="C106" t="s">
        <v>540</v>
      </c>
      <c r="D106" t="s">
        <v>589</v>
      </c>
      <c r="E106">
        <v>0</v>
      </c>
      <c r="F106" t="s">
        <v>590</v>
      </c>
      <c r="G106">
        <v>0</v>
      </c>
      <c r="H106">
        <v>0</v>
      </c>
      <c r="I106">
        <v>0</v>
      </c>
      <c r="J106">
        <v>-3904.38</v>
      </c>
      <c r="K106" s="66">
        <v>-3904.38</v>
      </c>
    </row>
    <row r="107" spans="1:11" x14ac:dyDescent="0.25">
      <c r="A107" t="s">
        <v>296</v>
      </c>
      <c r="B107" t="s">
        <v>297</v>
      </c>
      <c r="C107" t="s">
        <v>540</v>
      </c>
      <c r="D107" t="s">
        <v>585</v>
      </c>
      <c r="E107">
        <v>765121.72</v>
      </c>
      <c r="F107" t="s">
        <v>586</v>
      </c>
      <c r="G107">
        <v>0</v>
      </c>
      <c r="H107">
        <v>0</v>
      </c>
      <c r="I107">
        <v>0</v>
      </c>
      <c r="J107">
        <v>0</v>
      </c>
      <c r="K107" s="66">
        <v>765121.72</v>
      </c>
    </row>
    <row r="108" spans="1:11" x14ac:dyDescent="0.25">
      <c r="A108" t="s">
        <v>298</v>
      </c>
      <c r="B108" t="s">
        <v>299</v>
      </c>
      <c r="C108" t="s">
        <v>540</v>
      </c>
      <c r="D108" t="s">
        <v>553</v>
      </c>
      <c r="E108">
        <v>0</v>
      </c>
      <c r="F108" t="s">
        <v>554</v>
      </c>
      <c r="G108">
        <v>0</v>
      </c>
      <c r="H108">
        <v>1728535.96</v>
      </c>
      <c r="I108">
        <v>0</v>
      </c>
      <c r="J108">
        <v>0</v>
      </c>
      <c r="K108" s="66">
        <v>1728535.96</v>
      </c>
    </row>
    <row r="109" spans="1:11" x14ac:dyDescent="0.25">
      <c r="A109" t="s">
        <v>748</v>
      </c>
      <c r="B109" t="s">
        <v>749</v>
      </c>
      <c r="C109" t="s">
        <v>540</v>
      </c>
      <c r="D109" t="s">
        <v>681</v>
      </c>
      <c r="E109">
        <v>108137.34</v>
      </c>
      <c r="F109" t="s">
        <v>682</v>
      </c>
      <c r="G109">
        <v>0</v>
      </c>
      <c r="H109">
        <v>0</v>
      </c>
      <c r="I109">
        <v>0</v>
      </c>
      <c r="J109">
        <v>0</v>
      </c>
      <c r="K109" s="66">
        <v>108137.34</v>
      </c>
    </row>
    <row r="110" spans="1:11" x14ac:dyDescent="0.25">
      <c r="A110" t="s">
        <v>300</v>
      </c>
      <c r="B110" t="s">
        <v>301</v>
      </c>
      <c r="C110" t="s">
        <v>540</v>
      </c>
      <c r="D110" t="s">
        <v>641</v>
      </c>
      <c r="E110">
        <v>0</v>
      </c>
      <c r="F110" t="s">
        <v>642</v>
      </c>
      <c r="G110">
        <v>0</v>
      </c>
      <c r="H110">
        <v>0</v>
      </c>
      <c r="I110">
        <v>0</v>
      </c>
      <c r="J110">
        <v>40367.35</v>
      </c>
      <c r="K110" s="66">
        <v>40367.35</v>
      </c>
    </row>
    <row r="111" spans="1:11" x14ac:dyDescent="0.25">
      <c r="A111" t="s">
        <v>499</v>
      </c>
      <c r="B111" t="s">
        <v>500</v>
      </c>
      <c r="C111" t="s">
        <v>540</v>
      </c>
      <c r="D111" t="s">
        <v>639</v>
      </c>
      <c r="E111">
        <v>0</v>
      </c>
      <c r="F111" t="s">
        <v>640</v>
      </c>
      <c r="G111">
        <v>418660</v>
      </c>
      <c r="H111">
        <v>0</v>
      </c>
      <c r="I111">
        <v>0</v>
      </c>
      <c r="J111">
        <v>0</v>
      </c>
      <c r="K111" s="66">
        <v>418660</v>
      </c>
    </row>
    <row r="112" spans="1:11" x14ac:dyDescent="0.25">
      <c r="A112" t="s">
        <v>302</v>
      </c>
      <c r="B112" t="s">
        <v>303</v>
      </c>
      <c r="C112" t="s">
        <v>540</v>
      </c>
      <c r="D112" t="s">
        <v>577</v>
      </c>
      <c r="E112">
        <v>20576946.300000001</v>
      </c>
      <c r="F112" t="s">
        <v>578</v>
      </c>
      <c r="G112">
        <v>210995.48</v>
      </c>
      <c r="H112">
        <v>0</v>
      </c>
      <c r="I112">
        <v>0</v>
      </c>
      <c r="J112">
        <v>0</v>
      </c>
      <c r="K112" s="66">
        <v>20787941.780000001</v>
      </c>
    </row>
    <row r="113" spans="1:11" x14ac:dyDescent="0.25">
      <c r="A113" t="s">
        <v>304</v>
      </c>
      <c r="B113" t="s">
        <v>305</v>
      </c>
      <c r="C113" t="s">
        <v>540</v>
      </c>
      <c r="D113" t="s">
        <v>631</v>
      </c>
      <c r="E113">
        <v>848788.46</v>
      </c>
      <c r="F113" t="s">
        <v>632</v>
      </c>
      <c r="G113">
        <v>0</v>
      </c>
      <c r="H113">
        <v>0</v>
      </c>
      <c r="I113">
        <v>0</v>
      </c>
      <c r="J113">
        <v>0</v>
      </c>
      <c r="K113" s="66">
        <v>848788.46</v>
      </c>
    </row>
    <row r="114" spans="1:11" x14ac:dyDescent="0.25">
      <c r="A114" t="s">
        <v>306</v>
      </c>
      <c r="B114" t="s">
        <v>307</v>
      </c>
      <c r="C114" t="s">
        <v>540</v>
      </c>
      <c r="D114" t="s">
        <v>621</v>
      </c>
      <c r="E114">
        <v>0</v>
      </c>
      <c r="F114" t="s">
        <v>622</v>
      </c>
      <c r="G114">
        <v>0</v>
      </c>
      <c r="H114">
        <v>0</v>
      </c>
      <c r="I114">
        <v>0</v>
      </c>
      <c r="J114">
        <v>-387219.15</v>
      </c>
      <c r="K114" s="66">
        <v>-387219.15</v>
      </c>
    </row>
    <row r="115" spans="1:11" x14ac:dyDescent="0.25">
      <c r="A115" t="s">
        <v>308</v>
      </c>
      <c r="B115" t="s">
        <v>309</v>
      </c>
      <c r="C115" t="s">
        <v>540</v>
      </c>
      <c r="D115" t="s">
        <v>563</v>
      </c>
      <c r="E115">
        <v>1788399.36</v>
      </c>
      <c r="F115" t="s">
        <v>564</v>
      </c>
      <c r="G115">
        <v>0</v>
      </c>
      <c r="H115">
        <v>0</v>
      </c>
      <c r="I115">
        <v>0</v>
      </c>
      <c r="J115">
        <v>0</v>
      </c>
      <c r="K115" s="66">
        <v>1788399.36</v>
      </c>
    </row>
    <row r="116" spans="1:11" x14ac:dyDescent="0.25">
      <c r="A116" t="s">
        <v>310</v>
      </c>
      <c r="B116" t="s">
        <v>311</v>
      </c>
      <c r="C116" t="s">
        <v>540</v>
      </c>
      <c r="D116" t="s">
        <v>553</v>
      </c>
      <c r="E116">
        <v>0</v>
      </c>
      <c r="F116" t="s">
        <v>554</v>
      </c>
      <c r="G116">
        <v>871200</v>
      </c>
      <c r="H116">
        <v>0</v>
      </c>
      <c r="I116">
        <v>0</v>
      </c>
      <c r="J116">
        <v>0</v>
      </c>
      <c r="K116" s="66">
        <v>871200</v>
      </c>
    </row>
    <row r="117" spans="1:11" x14ac:dyDescent="0.25">
      <c r="A117" t="s">
        <v>312</v>
      </c>
      <c r="B117" t="s">
        <v>313</v>
      </c>
      <c r="C117" t="s">
        <v>540</v>
      </c>
      <c r="D117" t="s">
        <v>643</v>
      </c>
      <c r="E117">
        <v>1880708.08</v>
      </c>
      <c r="F117" t="s">
        <v>644</v>
      </c>
      <c r="G117">
        <v>1684434.93</v>
      </c>
      <c r="H117">
        <v>0</v>
      </c>
      <c r="I117">
        <v>0</v>
      </c>
      <c r="J117">
        <v>0</v>
      </c>
      <c r="K117" s="66">
        <v>3565143.01</v>
      </c>
    </row>
    <row r="118" spans="1:11" x14ac:dyDescent="0.25">
      <c r="A118" t="s">
        <v>812</v>
      </c>
      <c r="B118" t="s">
        <v>813</v>
      </c>
      <c r="C118" t="s">
        <v>540</v>
      </c>
      <c r="D118" t="s">
        <v>545</v>
      </c>
      <c r="E118">
        <v>373534.14</v>
      </c>
      <c r="F118" t="s">
        <v>546</v>
      </c>
      <c r="G118">
        <v>0</v>
      </c>
      <c r="H118">
        <v>0</v>
      </c>
      <c r="I118">
        <v>0</v>
      </c>
      <c r="J118">
        <v>0</v>
      </c>
      <c r="K118" s="66">
        <v>373534.14</v>
      </c>
    </row>
    <row r="119" spans="1:11" x14ac:dyDescent="0.25">
      <c r="A119" t="s">
        <v>501</v>
      </c>
      <c r="B119" t="s">
        <v>502</v>
      </c>
      <c r="C119" t="s">
        <v>540</v>
      </c>
      <c r="D119" t="s">
        <v>645</v>
      </c>
      <c r="E119">
        <v>0</v>
      </c>
      <c r="F119" t="s">
        <v>646</v>
      </c>
      <c r="G119">
        <v>78000</v>
      </c>
      <c r="H119">
        <v>0</v>
      </c>
      <c r="I119">
        <v>0</v>
      </c>
      <c r="J119">
        <v>0</v>
      </c>
      <c r="K119" s="66">
        <v>78000</v>
      </c>
    </row>
    <row r="120" spans="1:11" x14ac:dyDescent="0.25">
      <c r="A120" t="s">
        <v>314</v>
      </c>
      <c r="B120" t="s">
        <v>315</v>
      </c>
      <c r="C120" t="s">
        <v>540</v>
      </c>
      <c r="D120" t="s">
        <v>647</v>
      </c>
      <c r="E120">
        <v>0</v>
      </c>
      <c r="F120" t="s">
        <v>648</v>
      </c>
      <c r="G120">
        <v>33384000</v>
      </c>
      <c r="H120">
        <v>0</v>
      </c>
      <c r="I120">
        <v>0</v>
      </c>
      <c r="J120">
        <v>0</v>
      </c>
      <c r="K120" s="66">
        <v>33384000</v>
      </c>
    </row>
    <row r="121" spans="1:11" x14ac:dyDescent="0.25">
      <c r="A121" t="s">
        <v>316</v>
      </c>
      <c r="B121" t="s">
        <v>317</v>
      </c>
      <c r="C121" t="s">
        <v>540</v>
      </c>
      <c r="D121" t="s">
        <v>553</v>
      </c>
      <c r="E121">
        <v>713954.73</v>
      </c>
      <c r="F121" t="s">
        <v>554</v>
      </c>
      <c r="G121">
        <v>0</v>
      </c>
      <c r="H121">
        <v>0</v>
      </c>
      <c r="I121">
        <v>0</v>
      </c>
      <c r="J121">
        <v>0</v>
      </c>
      <c r="K121" s="66">
        <v>713954.73</v>
      </c>
    </row>
    <row r="122" spans="1:11" x14ac:dyDescent="0.25">
      <c r="A122" t="s">
        <v>318</v>
      </c>
      <c r="B122" t="s">
        <v>319</v>
      </c>
      <c r="C122" t="s">
        <v>540</v>
      </c>
      <c r="D122" t="s">
        <v>649</v>
      </c>
      <c r="E122">
        <v>6796710.4100000001</v>
      </c>
      <c r="F122" t="s">
        <v>650</v>
      </c>
      <c r="G122">
        <v>9519907.0099999998</v>
      </c>
      <c r="H122">
        <v>0</v>
      </c>
      <c r="I122">
        <v>0</v>
      </c>
      <c r="J122">
        <v>0</v>
      </c>
      <c r="K122" s="66">
        <v>16316617.42</v>
      </c>
    </row>
    <row r="123" spans="1:11" x14ac:dyDescent="0.25">
      <c r="A123" t="s">
        <v>750</v>
      </c>
      <c r="B123" t="s">
        <v>751</v>
      </c>
      <c r="C123" t="s">
        <v>540</v>
      </c>
      <c r="D123" t="s">
        <v>627</v>
      </c>
      <c r="E123">
        <v>320552502.60000002</v>
      </c>
      <c r="F123" t="s">
        <v>628</v>
      </c>
      <c r="G123">
        <v>0</v>
      </c>
      <c r="H123">
        <v>0</v>
      </c>
      <c r="I123">
        <v>0</v>
      </c>
      <c r="J123">
        <v>0</v>
      </c>
      <c r="K123" s="66">
        <v>320552502.60000002</v>
      </c>
    </row>
    <row r="124" spans="1:11" x14ac:dyDescent="0.25">
      <c r="A124" t="s">
        <v>871</v>
      </c>
      <c r="B124" t="s">
        <v>872</v>
      </c>
      <c r="C124" t="s">
        <v>540</v>
      </c>
      <c r="D124" t="s">
        <v>577</v>
      </c>
      <c r="E124">
        <v>647063.43000000005</v>
      </c>
      <c r="F124" t="s">
        <v>578</v>
      </c>
      <c r="G124">
        <v>0</v>
      </c>
      <c r="H124">
        <v>0</v>
      </c>
      <c r="I124">
        <v>0</v>
      </c>
      <c r="J124">
        <v>0</v>
      </c>
      <c r="K124" s="66">
        <v>647063.43000000005</v>
      </c>
    </row>
    <row r="125" spans="1:11" x14ac:dyDescent="0.25">
      <c r="A125" t="s">
        <v>651</v>
      </c>
      <c r="B125" t="s">
        <v>652</v>
      </c>
      <c r="C125" t="s">
        <v>540</v>
      </c>
      <c r="D125" t="s">
        <v>603</v>
      </c>
      <c r="E125">
        <v>0</v>
      </c>
      <c r="F125" t="s">
        <v>604</v>
      </c>
      <c r="G125">
        <v>6706404.4500000002</v>
      </c>
      <c r="H125">
        <v>0</v>
      </c>
      <c r="I125">
        <v>0</v>
      </c>
      <c r="J125">
        <v>0</v>
      </c>
      <c r="K125" s="66">
        <v>6706404.4500000002</v>
      </c>
    </row>
    <row r="126" spans="1:11" x14ac:dyDescent="0.25">
      <c r="A126" t="s">
        <v>503</v>
      </c>
      <c r="B126" t="s">
        <v>504</v>
      </c>
      <c r="C126" t="s">
        <v>540</v>
      </c>
      <c r="D126" t="s">
        <v>623</v>
      </c>
      <c r="E126">
        <v>1025248</v>
      </c>
      <c r="F126" t="s">
        <v>624</v>
      </c>
      <c r="G126">
        <v>0</v>
      </c>
      <c r="H126">
        <v>0</v>
      </c>
      <c r="I126">
        <v>0</v>
      </c>
      <c r="J126">
        <v>0</v>
      </c>
      <c r="K126" s="66">
        <v>1025248</v>
      </c>
    </row>
    <row r="127" spans="1:11" x14ac:dyDescent="0.25">
      <c r="A127" t="s">
        <v>320</v>
      </c>
      <c r="B127" t="s">
        <v>321</v>
      </c>
      <c r="C127" t="s">
        <v>540</v>
      </c>
      <c r="D127" t="s">
        <v>553</v>
      </c>
      <c r="E127">
        <v>1714392.45</v>
      </c>
      <c r="F127" t="s">
        <v>554</v>
      </c>
      <c r="G127">
        <v>2739940.81</v>
      </c>
      <c r="H127">
        <v>2691533.46</v>
      </c>
      <c r="I127">
        <v>0</v>
      </c>
      <c r="J127">
        <v>0</v>
      </c>
      <c r="K127" s="66">
        <v>7145866.7199999997</v>
      </c>
    </row>
    <row r="128" spans="1:11" x14ac:dyDescent="0.25">
      <c r="A128" t="s">
        <v>322</v>
      </c>
      <c r="B128" t="s">
        <v>323</v>
      </c>
      <c r="C128" t="s">
        <v>540</v>
      </c>
      <c r="D128" t="s">
        <v>589</v>
      </c>
      <c r="E128">
        <v>1945558.55</v>
      </c>
      <c r="F128" t="s">
        <v>590</v>
      </c>
      <c r="G128">
        <v>47766</v>
      </c>
      <c r="H128">
        <v>0</v>
      </c>
      <c r="I128">
        <v>0</v>
      </c>
      <c r="J128">
        <v>15006348</v>
      </c>
      <c r="K128" s="66">
        <v>16999672.550000001</v>
      </c>
    </row>
    <row r="129" spans="1:11" x14ac:dyDescent="0.25">
      <c r="A129" t="s">
        <v>324</v>
      </c>
      <c r="B129" t="s">
        <v>325</v>
      </c>
      <c r="C129" t="s">
        <v>540</v>
      </c>
      <c r="D129" t="s">
        <v>569</v>
      </c>
      <c r="E129">
        <v>0</v>
      </c>
      <c r="F129" t="s">
        <v>570</v>
      </c>
      <c r="G129">
        <v>0</v>
      </c>
      <c r="H129">
        <v>0</v>
      </c>
      <c r="I129">
        <v>0</v>
      </c>
      <c r="J129">
        <v>-258135.9</v>
      </c>
      <c r="K129" s="66">
        <v>-258135.9</v>
      </c>
    </row>
    <row r="130" spans="1:11" x14ac:dyDescent="0.25">
      <c r="A130" t="s">
        <v>326</v>
      </c>
      <c r="B130" t="s">
        <v>327</v>
      </c>
      <c r="C130" t="s">
        <v>540</v>
      </c>
      <c r="D130" t="s">
        <v>653</v>
      </c>
      <c r="E130">
        <v>2856478.21</v>
      </c>
      <c r="F130" t="s">
        <v>654</v>
      </c>
      <c r="G130">
        <v>5624155.21</v>
      </c>
      <c r="H130">
        <v>0</v>
      </c>
      <c r="I130">
        <v>0</v>
      </c>
      <c r="J130">
        <v>0</v>
      </c>
      <c r="K130" s="66">
        <v>8480633.4199999999</v>
      </c>
    </row>
    <row r="131" spans="1:11" x14ac:dyDescent="0.25">
      <c r="A131" t="s">
        <v>328</v>
      </c>
      <c r="B131" t="s">
        <v>329</v>
      </c>
      <c r="C131" t="s">
        <v>540</v>
      </c>
      <c r="D131" t="s">
        <v>655</v>
      </c>
      <c r="E131">
        <v>309760</v>
      </c>
      <c r="F131" t="s">
        <v>656</v>
      </c>
      <c r="G131">
        <v>0</v>
      </c>
      <c r="H131">
        <v>0</v>
      </c>
      <c r="I131">
        <v>0</v>
      </c>
      <c r="J131">
        <v>0</v>
      </c>
      <c r="K131" s="66">
        <v>309760</v>
      </c>
    </row>
    <row r="132" spans="1:11" x14ac:dyDescent="0.25">
      <c r="A132" t="s">
        <v>873</v>
      </c>
      <c r="B132" t="s">
        <v>874</v>
      </c>
      <c r="C132" t="s">
        <v>540</v>
      </c>
      <c r="D132" t="s">
        <v>545</v>
      </c>
      <c r="E132">
        <v>1402035.05</v>
      </c>
      <c r="F132" t="s">
        <v>546</v>
      </c>
      <c r="G132">
        <v>0</v>
      </c>
      <c r="H132">
        <v>0</v>
      </c>
      <c r="I132">
        <v>0</v>
      </c>
      <c r="J132">
        <v>0</v>
      </c>
      <c r="K132" s="66">
        <v>1402035.05</v>
      </c>
    </row>
    <row r="133" spans="1:11" x14ac:dyDescent="0.25">
      <c r="A133" t="s">
        <v>330</v>
      </c>
      <c r="B133" t="s">
        <v>331</v>
      </c>
      <c r="C133" t="s">
        <v>540</v>
      </c>
      <c r="D133" t="s">
        <v>603</v>
      </c>
      <c r="E133">
        <v>0</v>
      </c>
      <c r="F133" t="s">
        <v>604</v>
      </c>
      <c r="G133">
        <v>0</v>
      </c>
      <c r="H133">
        <v>0</v>
      </c>
      <c r="I133">
        <v>0</v>
      </c>
      <c r="J133">
        <v>88538261.290000007</v>
      </c>
      <c r="K133" s="66">
        <v>88538261.290000007</v>
      </c>
    </row>
    <row r="134" spans="1:11" x14ac:dyDescent="0.25">
      <c r="A134" t="s">
        <v>875</v>
      </c>
      <c r="B134" t="s">
        <v>876</v>
      </c>
      <c r="C134" t="s">
        <v>540</v>
      </c>
      <c r="D134" t="s">
        <v>589</v>
      </c>
      <c r="E134">
        <v>2391367.77</v>
      </c>
      <c r="F134" t="s">
        <v>590</v>
      </c>
      <c r="G134">
        <v>1570338</v>
      </c>
      <c r="H134">
        <v>0</v>
      </c>
      <c r="I134">
        <v>0</v>
      </c>
      <c r="J134">
        <v>0</v>
      </c>
      <c r="K134" s="66">
        <v>3961705.77</v>
      </c>
    </row>
    <row r="135" spans="1:11" x14ac:dyDescent="0.25">
      <c r="A135" t="s">
        <v>814</v>
      </c>
      <c r="B135" t="s">
        <v>815</v>
      </c>
      <c r="C135" t="s">
        <v>540</v>
      </c>
      <c r="D135" t="s">
        <v>607</v>
      </c>
      <c r="E135">
        <v>880275</v>
      </c>
      <c r="F135" t="s">
        <v>608</v>
      </c>
      <c r="G135">
        <v>0</v>
      </c>
      <c r="H135">
        <v>0</v>
      </c>
      <c r="I135">
        <v>0</v>
      </c>
      <c r="J135">
        <v>0</v>
      </c>
      <c r="K135" s="66">
        <v>880275</v>
      </c>
    </row>
    <row r="136" spans="1:11" x14ac:dyDescent="0.25">
      <c r="A136" t="s">
        <v>657</v>
      </c>
      <c r="B136" t="s">
        <v>658</v>
      </c>
      <c r="C136" t="s">
        <v>540</v>
      </c>
      <c r="D136" t="s">
        <v>649</v>
      </c>
      <c r="E136">
        <v>0</v>
      </c>
      <c r="F136" t="s">
        <v>650</v>
      </c>
      <c r="G136">
        <v>1173884.3700000001</v>
      </c>
      <c r="H136">
        <v>0</v>
      </c>
      <c r="I136">
        <v>0</v>
      </c>
      <c r="J136">
        <v>0</v>
      </c>
      <c r="K136" s="66">
        <v>1173884.3700000001</v>
      </c>
    </row>
    <row r="137" spans="1:11" x14ac:dyDescent="0.25">
      <c r="A137" t="s">
        <v>332</v>
      </c>
      <c r="B137" t="s">
        <v>333</v>
      </c>
      <c r="C137" t="s">
        <v>540</v>
      </c>
      <c r="D137" t="s">
        <v>603</v>
      </c>
      <c r="E137">
        <v>0</v>
      </c>
      <c r="F137" t="s">
        <v>604</v>
      </c>
      <c r="G137">
        <v>0</v>
      </c>
      <c r="H137">
        <v>0</v>
      </c>
      <c r="I137">
        <v>0</v>
      </c>
      <c r="J137">
        <v>5896891</v>
      </c>
      <c r="K137" s="66">
        <v>5896891</v>
      </c>
    </row>
    <row r="138" spans="1:11" x14ac:dyDescent="0.25">
      <c r="A138" t="s">
        <v>877</v>
      </c>
      <c r="B138" t="s">
        <v>878</v>
      </c>
      <c r="C138" t="s">
        <v>540</v>
      </c>
      <c r="D138" t="s">
        <v>681</v>
      </c>
      <c r="E138">
        <v>0</v>
      </c>
      <c r="F138" t="s">
        <v>682</v>
      </c>
      <c r="G138">
        <v>0</v>
      </c>
      <c r="H138">
        <v>0</v>
      </c>
      <c r="I138">
        <v>128094.81</v>
      </c>
      <c r="J138">
        <v>0</v>
      </c>
      <c r="K138" s="66">
        <v>128094.81</v>
      </c>
    </row>
    <row r="139" spans="1:11" x14ac:dyDescent="0.25">
      <c r="A139" t="s">
        <v>334</v>
      </c>
      <c r="B139" t="s">
        <v>335</v>
      </c>
      <c r="C139" t="s">
        <v>540</v>
      </c>
      <c r="D139" t="s">
        <v>659</v>
      </c>
      <c r="E139">
        <v>0</v>
      </c>
      <c r="F139" t="s">
        <v>660</v>
      </c>
      <c r="G139">
        <v>2354757.2599999998</v>
      </c>
      <c r="H139">
        <v>1678734.35</v>
      </c>
      <c r="I139">
        <v>0</v>
      </c>
      <c r="J139">
        <v>0</v>
      </c>
      <c r="K139" s="66">
        <v>4033491.61</v>
      </c>
    </row>
    <row r="140" spans="1:11" x14ac:dyDescent="0.25">
      <c r="A140" t="s">
        <v>752</v>
      </c>
      <c r="B140" t="s">
        <v>753</v>
      </c>
      <c r="C140" t="s">
        <v>540</v>
      </c>
      <c r="D140" t="s">
        <v>565</v>
      </c>
      <c r="E140">
        <v>71091009</v>
      </c>
      <c r="F140" t="s">
        <v>566</v>
      </c>
      <c r="G140">
        <v>0</v>
      </c>
      <c r="H140">
        <v>0</v>
      </c>
      <c r="I140">
        <v>0</v>
      </c>
      <c r="J140">
        <v>0</v>
      </c>
      <c r="K140" s="66">
        <v>71091009</v>
      </c>
    </row>
    <row r="141" spans="1:11" x14ac:dyDescent="0.25">
      <c r="A141" t="s">
        <v>754</v>
      </c>
      <c r="B141" t="s">
        <v>755</v>
      </c>
      <c r="C141" t="s">
        <v>540</v>
      </c>
      <c r="D141" t="s">
        <v>553</v>
      </c>
      <c r="E141">
        <v>576359.30000000005</v>
      </c>
      <c r="F141" t="s">
        <v>554</v>
      </c>
      <c r="G141">
        <v>0</v>
      </c>
      <c r="H141">
        <v>0</v>
      </c>
      <c r="I141">
        <v>0</v>
      </c>
      <c r="J141">
        <v>0</v>
      </c>
      <c r="K141" s="66">
        <v>576359.30000000005</v>
      </c>
    </row>
    <row r="142" spans="1:11" x14ac:dyDescent="0.25">
      <c r="A142" t="s">
        <v>336</v>
      </c>
      <c r="B142" t="s">
        <v>337</v>
      </c>
      <c r="C142" t="s">
        <v>540</v>
      </c>
      <c r="D142" t="s">
        <v>553</v>
      </c>
      <c r="E142">
        <v>0</v>
      </c>
      <c r="F142" t="s">
        <v>554</v>
      </c>
      <c r="G142">
        <v>0</v>
      </c>
      <c r="H142">
        <v>0</v>
      </c>
      <c r="I142">
        <v>0</v>
      </c>
      <c r="J142">
        <v>-0.01</v>
      </c>
      <c r="K142" s="66">
        <v>-0.01</v>
      </c>
    </row>
    <row r="143" spans="1:11" x14ac:dyDescent="0.25">
      <c r="A143" t="s">
        <v>879</v>
      </c>
      <c r="B143" t="s">
        <v>880</v>
      </c>
      <c r="C143" t="s">
        <v>540</v>
      </c>
      <c r="D143" t="s">
        <v>559</v>
      </c>
      <c r="E143">
        <v>178844.05</v>
      </c>
      <c r="F143" t="s">
        <v>560</v>
      </c>
      <c r="G143">
        <v>178844.05</v>
      </c>
      <c r="H143">
        <v>166368.95000000001</v>
      </c>
      <c r="I143">
        <v>0</v>
      </c>
      <c r="J143">
        <v>0</v>
      </c>
      <c r="K143" s="66">
        <v>524057.05</v>
      </c>
    </row>
    <row r="144" spans="1:11" x14ac:dyDescent="0.25">
      <c r="A144" t="s">
        <v>338</v>
      </c>
      <c r="B144" t="s">
        <v>339</v>
      </c>
      <c r="C144" t="s">
        <v>540</v>
      </c>
      <c r="D144" t="s">
        <v>601</v>
      </c>
      <c r="E144">
        <v>10285.85</v>
      </c>
      <c r="F144" t="s">
        <v>602</v>
      </c>
      <c r="G144">
        <v>7967137.2699999996</v>
      </c>
      <c r="H144">
        <v>299336.09999999998</v>
      </c>
      <c r="I144">
        <v>0</v>
      </c>
      <c r="J144">
        <v>0</v>
      </c>
      <c r="K144" s="66">
        <v>8276759.2199999997</v>
      </c>
    </row>
    <row r="145" spans="1:11" x14ac:dyDescent="0.25">
      <c r="A145" t="s">
        <v>340</v>
      </c>
      <c r="B145" t="s">
        <v>341</v>
      </c>
      <c r="C145" t="s">
        <v>540</v>
      </c>
      <c r="D145" t="s">
        <v>553</v>
      </c>
      <c r="E145">
        <v>6017851.04</v>
      </c>
      <c r="F145" t="s">
        <v>554</v>
      </c>
      <c r="G145">
        <v>8201007.8600000003</v>
      </c>
      <c r="H145">
        <v>0</v>
      </c>
      <c r="I145">
        <v>0</v>
      </c>
      <c r="J145">
        <v>0</v>
      </c>
      <c r="K145" s="66">
        <v>14218858.9</v>
      </c>
    </row>
    <row r="146" spans="1:11" x14ac:dyDescent="0.25">
      <c r="A146" t="s">
        <v>881</v>
      </c>
      <c r="B146" t="s">
        <v>882</v>
      </c>
      <c r="C146" t="s">
        <v>540</v>
      </c>
      <c r="D146" t="s">
        <v>639</v>
      </c>
      <c r="E146">
        <v>255310</v>
      </c>
      <c r="F146" t="s">
        <v>640</v>
      </c>
      <c r="G146">
        <v>0</v>
      </c>
      <c r="H146">
        <v>0</v>
      </c>
      <c r="I146">
        <v>0</v>
      </c>
      <c r="J146">
        <v>0</v>
      </c>
      <c r="K146" s="66">
        <v>255310</v>
      </c>
    </row>
    <row r="147" spans="1:11" x14ac:dyDescent="0.25">
      <c r="A147" t="s">
        <v>342</v>
      </c>
      <c r="B147" t="s">
        <v>343</v>
      </c>
      <c r="C147" t="s">
        <v>540</v>
      </c>
      <c r="D147" t="s">
        <v>663</v>
      </c>
      <c r="E147">
        <v>21972631.57</v>
      </c>
      <c r="F147" t="s">
        <v>664</v>
      </c>
      <c r="G147">
        <v>41199838.850000001</v>
      </c>
      <c r="H147">
        <v>0</v>
      </c>
      <c r="I147">
        <v>0</v>
      </c>
      <c r="J147">
        <v>1.17</v>
      </c>
      <c r="K147" s="66">
        <v>63172471.590000004</v>
      </c>
    </row>
    <row r="148" spans="1:11" x14ac:dyDescent="0.25">
      <c r="A148" t="s">
        <v>344</v>
      </c>
      <c r="B148" t="s">
        <v>345</v>
      </c>
      <c r="C148" t="s">
        <v>540</v>
      </c>
      <c r="D148" t="s">
        <v>603</v>
      </c>
      <c r="E148">
        <v>0</v>
      </c>
      <c r="F148" t="s">
        <v>604</v>
      </c>
      <c r="G148">
        <v>0</v>
      </c>
      <c r="H148">
        <v>0</v>
      </c>
      <c r="I148">
        <v>0</v>
      </c>
      <c r="J148">
        <v>335045.59999999998</v>
      </c>
      <c r="K148" s="66">
        <v>335045.59999999998</v>
      </c>
    </row>
    <row r="149" spans="1:11" x14ac:dyDescent="0.25">
      <c r="A149" t="s">
        <v>346</v>
      </c>
      <c r="B149" t="s">
        <v>347</v>
      </c>
      <c r="C149" t="s">
        <v>540</v>
      </c>
      <c r="D149" t="s">
        <v>603</v>
      </c>
      <c r="E149">
        <v>0</v>
      </c>
      <c r="F149" t="s">
        <v>604</v>
      </c>
      <c r="G149">
        <v>0</v>
      </c>
      <c r="H149">
        <v>0</v>
      </c>
      <c r="I149">
        <v>0</v>
      </c>
      <c r="J149">
        <v>1782642.4</v>
      </c>
      <c r="K149" s="66">
        <v>1782642.4</v>
      </c>
    </row>
    <row r="150" spans="1:11" x14ac:dyDescent="0.25">
      <c r="A150" t="s">
        <v>348</v>
      </c>
      <c r="B150" t="s">
        <v>349</v>
      </c>
      <c r="C150" t="s">
        <v>540</v>
      </c>
      <c r="D150" t="s">
        <v>665</v>
      </c>
      <c r="E150">
        <v>3400000</v>
      </c>
      <c r="F150" t="s">
        <v>666</v>
      </c>
      <c r="G150">
        <v>7800000</v>
      </c>
      <c r="H150">
        <v>0</v>
      </c>
      <c r="I150">
        <v>0</v>
      </c>
      <c r="J150">
        <v>0</v>
      </c>
      <c r="K150" s="66">
        <v>11200000</v>
      </c>
    </row>
    <row r="151" spans="1:11" x14ac:dyDescent="0.25">
      <c r="A151" t="s">
        <v>350</v>
      </c>
      <c r="B151" t="s">
        <v>351</v>
      </c>
      <c r="C151" t="s">
        <v>540</v>
      </c>
      <c r="D151" t="s">
        <v>551</v>
      </c>
      <c r="E151">
        <v>2231867</v>
      </c>
      <c r="F151" t="s">
        <v>552</v>
      </c>
      <c r="G151">
        <v>0</v>
      </c>
      <c r="H151">
        <v>0</v>
      </c>
      <c r="I151">
        <v>0</v>
      </c>
      <c r="J151">
        <v>0</v>
      </c>
      <c r="K151" s="66">
        <v>2231867</v>
      </c>
    </row>
    <row r="152" spans="1:11" x14ac:dyDescent="0.25">
      <c r="A152" t="s">
        <v>756</v>
      </c>
      <c r="B152" t="s">
        <v>757</v>
      </c>
      <c r="C152" t="s">
        <v>540</v>
      </c>
      <c r="D152" t="s">
        <v>758</v>
      </c>
      <c r="E152">
        <v>403616.75</v>
      </c>
      <c r="F152" t="s">
        <v>759</v>
      </c>
      <c r="G152">
        <v>298413.15999999997</v>
      </c>
      <c r="H152">
        <v>0</v>
      </c>
      <c r="I152">
        <v>0</v>
      </c>
      <c r="J152">
        <v>0</v>
      </c>
      <c r="K152" s="66">
        <v>702029.91</v>
      </c>
    </row>
    <row r="153" spans="1:11" x14ac:dyDescent="0.25">
      <c r="A153" t="s">
        <v>816</v>
      </c>
      <c r="B153" t="s">
        <v>817</v>
      </c>
      <c r="C153" t="s">
        <v>540</v>
      </c>
      <c r="D153" t="s">
        <v>559</v>
      </c>
      <c r="E153">
        <v>483504.47</v>
      </c>
      <c r="F153" t="s">
        <v>560</v>
      </c>
      <c r="G153">
        <v>0</v>
      </c>
      <c r="H153">
        <v>0</v>
      </c>
      <c r="I153">
        <v>0</v>
      </c>
      <c r="J153">
        <v>0</v>
      </c>
      <c r="K153" s="66">
        <v>483504.47</v>
      </c>
    </row>
    <row r="154" spans="1:11" x14ac:dyDescent="0.25">
      <c r="A154" t="s">
        <v>760</v>
      </c>
      <c r="B154" t="s">
        <v>761</v>
      </c>
      <c r="C154" t="s">
        <v>540</v>
      </c>
      <c r="D154" t="s">
        <v>563</v>
      </c>
      <c r="E154">
        <v>17955830.170000002</v>
      </c>
      <c r="F154" t="s">
        <v>564</v>
      </c>
      <c r="G154">
        <v>0</v>
      </c>
      <c r="H154">
        <v>0</v>
      </c>
      <c r="I154">
        <v>0</v>
      </c>
      <c r="J154">
        <v>0</v>
      </c>
      <c r="K154" s="66">
        <v>17955830.170000002</v>
      </c>
    </row>
    <row r="155" spans="1:11" x14ac:dyDescent="0.25">
      <c r="A155" t="s">
        <v>352</v>
      </c>
      <c r="B155" t="s">
        <v>353</v>
      </c>
      <c r="C155" t="s">
        <v>540</v>
      </c>
      <c r="D155" t="s">
        <v>633</v>
      </c>
      <c r="E155">
        <v>1805600</v>
      </c>
      <c r="F155" t="s">
        <v>634</v>
      </c>
      <c r="G155">
        <v>4054900</v>
      </c>
      <c r="H155">
        <v>4091000</v>
      </c>
      <c r="I155">
        <v>0</v>
      </c>
      <c r="J155">
        <v>0</v>
      </c>
      <c r="K155" s="66">
        <v>9951500</v>
      </c>
    </row>
    <row r="156" spans="1:11" x14ac:dyDescent="0.25">
      <c r="A156" t="s">
        <v>818</v>
      </c>
      <c r="B156" t="s">
        <v>819</v>
      </c>
      <c r="C156" t="s">
        <v>540</v>
      </c>
      <c r="D156" t="s">
        <v>565</v>
      </c>
      <c r="E156">
        <v>459050</v>
      </c>
      <c r="F156" t="s">
        <v>566</v>
      </c>
      <c r="G156">
        <v>0</v>
      </c>
      <c r="H156">
        <v>0</v>
      </c>
      <c r="I156">
        <v>0</v>
      </c>
      <c r="J156">
        <v>0</v>
      </c>
      <c r="K156" s="66">
        <v>459050</v>
      </c>
    </row>
    <row r="157" spans="1:11" x14ac:dyDescent="0.25">
      <c r="A157" t="s">
        <v>354</v>
      </c>
      <c r="B157" t="s">
        <v>355</v>
      </c>
      <c r="C157" t="s">
        <v>540</v>
      </c>
      <c r="D157" t="s">
        <v>635</v>
      </c>
      <c r="E157">
        <v>2401165.09</v>
      </c>
      <c r="F157" t="s">
        <v>636</v>
      </c>
      <c r="G157">
        <v>350521.73</v>
      </c>
      <c r="H157">
        <v>0</v>
      </c>
      <c r="I157">
        <v>0</v>
      </c>
      <c r="J157">
        <v>0</v>
      </c>
      <c r="K157" s="66">
        <v>2751686.82</v>
      </c>
    </row>
    <row r="158" spans="1:11" x14ac:dyDescent="0.25">
      <c r="A158" t="s">
        <v>356</v>
      </c>
      <c r="B158" t="s">
        <v>357</v>
      </c>
      <c r="C158" t="s">
        <v>540</v>
      </c>
      <c r="D158" t="s">
        <v>667</v>
      </c>
      <c r="E158">
        <v>1929279.66</v>
      </c>
      <c r="F158" t="s">
        <v>668</v>
      </c>
      <c r="G158">
        <v>12805230.470000001</v>
      </c>
      <c r="H158">
        <v>0</v>
      </c>
      <c r="I158">
        <v>0</v>
      </c>
      <c r="J158">
        <v>0</v>
      </c>
      <c r="K158" s="66">
        <v>14734510.130000001</v>
      </c>
    </row>
    <row r="159" spans="1:11" x14ac:dyDescent="0.25">
      <c r="A159" t="s">
        <v>358</v>
      </c>
      <c r="B159" t="s">
        <v>359</v>
      </c>
      <c r="C159" t="s">
        <v>540</v>
      </c>
      <c r="D159" t="s">
        <v>565</v>
      </c>
      <c r="E159">
        <v>102609</v>
      </c>
      <c r="F159" t="s">
        <v>566</v>
      </c>
      <c r="G159">
        <v>0</v>
      </c>
      <c r="H159">
        <v>0</v>
      </c>
      <c r="I159">
        <v>0</v>
      </c>
      <c r="J159">
        <v>0</v>
      </c>
      <c r="K159" s="66">
        <v>102609</v>
      </c>
    </row>
    <row r="160" spans="1:11" x14ac:dyDescent="0.25">
      <c r="A160" t="s">
        <v>883</v>
      </c>
      <c r="B160" t="s">
        <v>884</v>
      </c>
      <c r="C160" t="s">
        <v>540</v>
      </c>
      <c r="D160" t="s">
        <v>623</v>
      </c>
      <c r="E160">
        <v>666916.97</v>
      </c>
      <c r="F160" t="s">
        <v>624</v>
      </c>
      <c r="G160">
        <v>0</v>
      </c>
      <c r="H160">
        <v>0</v>
      </c>
      <c r="I160">
        <v>0</v>
      </c>
      <c r="J160">
        <v>0</v>
      </c>
      <c r="K160" s="66">
        <v>666916.97</v>
      </c>
    </row>
    <row r="161" spans="1:11" x14ac:dyDescent="0.25">
      <c r="A161" t="s">
        <v>885</v>
      </c>
      <c r="B161" t="s">
        <v>886</v>
      </c>
      <c r="C161" t="s">
        <v>540</v>
      </c>
      <c r="D161" t="s">
        <v>631</v>
      </c>
      <c r="E161">
        <v>265800</v>
      </c>
      <c r="F161" t="s">
        <v>632</v>
      </c>
      <c r="G161">
        <v>0</v>
      </c>
      <c r="H161">
        <v>0</v>
      </c>
      <c r="I161">
        <v>0</v>
      </c>
      <c r="J161">
        <v>0</v>
      </c>
      <c r="K161" s="66">
        <v>265800</v>
      </c>
    </row>
    <row r="162" spans="1:11" x14ac:dyDescent="0.25">
      <c r="A162" t="s">
        <v>887</v>
      </c>
      <c r="B162" t="s">
        <v>888</v>
      </c>
      <c r="C162" t="s">
        <v>540</v>
      </c>
      <c r="D162" t="s">
        <v>559</v>
      </c>
      <c r="E162">
        <v>2150000</v>
      </c>
      <c r="F162" t="s">
        <v>560</v>
      </c>
      <c r="G162">
        <v>0</v>
      </c>
      <c r="H162">
        <v>0</v>
      </c>
      <c r="I162">
        <v>0</v>
      </c>
      <c r="J162">
        <v>0</v>
      </c>
      <c r="K162" s="66">
        <v>2150000</v>
      </c>
    </row>
    <row r="163" spans="1:11" x14ac:dyDescent="0.25">
      <c r="A163" t="s">
        <v>360</v>
      </c>
      <c r="B163" t="s">
        <v>361</v>
      </c>
      <c r="C163" t="s">
        <v>540</v>
      </c>
      <c r="D163" t="s">
        <v>543</v>
      </c>
      <c r="E163">
        <v>0</v>
      </c>
      <c r="F163" t="s">
        <v>544</v>
      </c>
      <c r="G163">
        <v>11727544.720000001</v>
      </c>
      <c r="H163">
        <v>0</v>
      </c>
      <c r="I163">
        <v>0</v>
      </c>
      <c r="J163">
        <v>0</v>
      </c>
      <c r="K163" s="66">
        <v>11727544.720000001</v>
      </c>
    </row>
    <row r="164" spans="1:11" x14ac:dyDescent="0.25">
      <c r="A164" t="s">
        <v>362</v>
      </c>
      <c r="B164" t="s">
        <v>363</v>
      </c>
      <c r="C164" t="s">
        <v>540</v>
      </c>
      <c r="D164" t="s">
        <v>669</v>
      </c>
      <c r="E164">
        <v>3215308.7999999998</v>
      </c>
      <c r="F164" t="s">
        <v>670</v>
      </c>
      <c r="G164">
        <v>91567629.920000002</v>
      </c>
      <c r="H164">
        <v>80416494.129999995</v>
      </c>
      <c r="I164">
        <v>43979576.030000001</v>
      </c>
      <c r="J164">
        <v>0</v>
      </c>
      <c r="K164" s="66">
        <v>219179008.88</v>
      </c>
    </row>
    <row r="165" spans="1:11" x14ac:dyDescent="0.25">
      <c r="A165" t="s">
        <v>364</v>
      </c>
      <c r="B165" t="s">
        <v>365</v>
      </c>
      <c r="C165" t="s">
        <v>540</v>
      </c>
      <c r="D165" t="s">
        <v>553</v>
      </c>
      <c r="E165">
        <v>315206.05</v>
      </c>
      <c r="F165" t="s">
        <v>554</v>
      </c>
      <c r="G165">
        <v>570507.16</v>
      </c>
      <c r="H165">
        <v>0</v>
      </c>
      <c r="I165">
        <v>0</v>
      </c>
      <c r="J165">
        <v>0</v>
      </c>
      <c r="K165" s="66">
        <v>885713.21</v>
      </c>
    </row>
    <row r="166" spans="1:11" x14ac:dyDescent="0.25">
      <c r="A166" t="s">
        <v>366</v>
      </c>
      <c r="B166" t="s">
        <v>367</v>
      </c>
      <c r="C166" t="s">
        <v>540</v>
      </c>
      <c r="D166" t="s">
        <v>621</v>
      </c>
      <c r="E166">
        <v>0</v>
      </c>
      <c r="F166" t="s">
        <v>622</v>
      </c>
      <c r="G166">
        <v>0</v>
      </c>
      <c r="H166">
        <v>35645265</v>
      </c>
      <c r="I166">
        <v>0</v>
      </c>
      <c r="J166">
        <v>0</v>
      </c>
      <c r="K166" s="66">
        <v>35645265</v>
      </c>
    </row>
    <row r="167" spans="1:11" x14ac:dyDescent="0.25">
      <c r="A167" t="s">
        <v>762</v>
      </c>
      <c r="B167" t="s">
        <v>763</v>
      </c>
      <c r="C167" t="s">
        <v>540</v>
      </c>
      <c r="D167" t="s">
        <v>601</v>
      </c>
      <c r="E167">
        <v>0</v>
      </c>
      <c r="F167" t="s">
        <v>602</v>
      </c>
      <c r="G167">
        <v>10906681.5</v>
      </c>
      <c r="H167">
        <v>15397346.25</v>
      </c>
      <c r="I167">
        <v>0</v>
      </c>
      <c r="J167">
        <v>0</v>
      </c>
      <c r="K167" s="66">
        <v>26304027.75</v>
      </c>
    </row>
    <row r="168" spans="1:11" x14ac:dyDescent="0.25">
      <c r="A168" t="s">
        <v>764</v>
      </c>
      <c r="B168" t="s">
        <v>765</v>
      </c>
      <c r="C168" t="s">
        <v>540</v>
      </c>
      <c r="D168" t="s">
        <v>710</v>
      </c>
      <c r="E168">
        <v>4657000</v>
      </c>
      <c r="F168" t="s">
        <v>711</v>
      </c>
      <c r="G168">
        <v>0</v>
      </c>
      <c r="H168">
        <v>0</v>
      </c>
      <c r="I168">
        <v>0</v>
      </c>
      <c r="J168">
        <v>0</v>
      </c>
      <c r="K168" s="66">
        <v>4657000</v>
      </c>
    </row>
    <row r="169" spans="1:11" x14ac:dyDescent="0.25">
      <c r="A169" t="s">
        <v>889</v>
      </c>
      <c r="B169" t="s">
        <v>890</v>
      </c>
      <c r="C169" t="s">
        <v>540</v>
      </c>
      <c r="D169" t="s">
        <v>623</v>
      </c>
      <c r="E169">
        <v>0</v>
      </c>
      <c r="F169" t="s">
        <v>624</v>
      </c>
      <c r="G169">
        <v>0</v>
      </c>
      <c r="H169">
        <v>1919800.52</v>
      </c>
      <c r="I169">
        <v>0</v>
      </c>
      <c r="J169">
        <v>0</v>
      </c>
      <c r="K169" s="66">
        <v>1919800.52</v>
      </c>
    </row>
    <row r="170" spans="1:11" x14ac:dyDescent="0.25">
      <c r="A170" t="s">
        <v>368</v>
      </c>
      <c r="B170" t="s">
        <v>369</v>
      </c>
      <c r="C170" t="s">
        <v>540</v>
      </c>
      <c r="D170" t="s">
        <v>635</v>
      </c>
      <c r="E170">
        <v>0</v>
      </c>
      <c r="F170" t="s">
        <v>636</v>
      </c>
      <c r="G170">
        <v>82539.429999999993</v>
      </c>
      <c r="H170">
        <v>0</v>
      </c>
      <c r="I170">
        <v>0</v>
      </c>
      <c r="J170">
        <v>0</v>
      </c>
      <c r="K170" s="66">
        <v>82539.429999999993</v>
      </c>
    </row>
    <row r="171" spans="1:11" x14ac:dyDescent="0.25">
      <c r="A171" t="s">
        <v>820</v>
      </c>
      <c r="B171" t="s">
        <v>821</v>
      </c>
      <c r="C171" t="s">
        <v>540</v>
      </c>
      <c r="D171" t="s">
        <v>593</v>
      </c>
      <c r="E171">
        <v>679778</v>
      </c>
      <c r="F171" t="s">
        <v>594</v>
      </c>
      <c r="G171">
        <v>0</v>
      </c>
      <c r="H171">
        <v>0</v>
      </c>
      <c r="I171">
        <v>0</v>
      </c>
      <c r="J171">
        <v>0</v>
      </c>
      <c r="K171" s="66">
        <v>679778</v>
      </c>
    </row>
    <row r="172" spans="1:11" x14ac:dyDescent="0.25">
      <c r="A172" t="s">
        <v>505</v>
      </c>
      <c r="B172" t="s">
        <v>506</v>
      </c>
      <c r="C172" t="s">
        <v>540</v>
      </c>
      <c r="D172" t="s">
        <v>671</v>
      </c>
      <c r="E172">
        <v>689216</v>
      </c>
      <c r="F172" t="s">
        <v>672</v>
      </c>
      <c r="G172">
        <v>2640220</v>
      </c>
      <c r="H172">
        <v>0</v>
      </c>
      <c r="I172">
        <v>0</v>
      </c>
      <c r="J172">
        <v>0</v>
      </c>
      <c r="K172" s="66">
        <v>3329436</v>
      </c>
    </row>
    <row r="173" spans="1:11" x14ac:dyDescent="0.25">
      <c r="A173" t="s">
        <v>370</v>
      </c>
      <c r="B173" t="s">
        <v>371</v>
      </c>
      <c r="C173" t="s">
        <v>540</v>
      </c>
      <c r="D173" t="s">
        <v>639</v>
      </c>
      <c r="E173">
        <v>0</v>
      </c>
      <c r="F173" t="s">
        <v>640</v>
      </c>
      <c r="G173">
        <v>1101100</v>
      </c>
      <c r="H173">
        <v>0</v>
      </c>
      <c r="I173">
        <v>0</v>
      </c>
      <c r="J173">
        <v>0</v>
      </c>
      <c r="K173" s="66">
        <v>1101100</v>
      </c>
    </row>
    <row r="174" spans="1:11" x14ac:dyDescent="0.25">
      <c r="A174" t="s">
        <v>891</v>
      </c>
      <c r="B174" t="s">
        <v>892</v>
      </c>
      <c r="C174" t="s">
        <v>540</v>
      </c>
      <c r="D174" t="s">
        <v>615</v>
      </c>
      <c r="E174">
        <v>31847161.949999999</v>
      </c>
      <c r="F174" t="s">
        <v>616</v>
      </c>
      <c r="G174">
        <v>0</v>
      </c>
      <c r="H174">
        <v>0</v>
      </c>
      <c r="I174">
        <v>0</v>
      </c>
      <c r="J174">
        <v>0</v>
      </c>
      <c r="K174" s="66">
        <v>31847161.949999999</v>
      </c>
    </row>
    <row r="175" spans="1:11" x14ac:dyDescent="0.25">
      <c r="A175" t="s">
        <v>372</v>
      </c>
      <c r="B175" t="s">
        <v>373</v>
      </c>
      <c r="C175" t="s">
        <v>540</v>
      </c>
      <c r="D175" t="s">
        <v>589</v>
      </c>
      <c r="E175">
        <v>0</v>
      </c>
      <c r="F175" t="s">
        <v>590</v>
      </c>
      <c r="G175">
        <v>13623137.300000001</v>
      </c>
      <c r="H175">
        <v>0</v>
      </c>
      <c r="I175">
        <v>0</v>
      </c>
      <c r="J175">
        <v>0</v>
      </c>
      <c r="K175" s="66">
        <v>13623137.300000001</v>
      </c>
    </row>
    <row r="176" spans="1:11" x14ac:dyDescent="0.25">
      <c r="A176" t="s">
        <v>374</v>
      </c>
      <c r="B176" t="s">
        <v>375</v>
      </c>
      <c r="C176" t="s">
        <v>540</v>
      </c>
      <c r="D176" t="s">
        <v>577</v>
      </c>
      <c r="E176">
        <v>7141914.2400000002</v>
      </c>
      <c r="F176" t="s">
        <v>578</v>
      </c>
      <c r="G176">
        <v>0</v>
      </c>
      <c r="H176">
        <v>2725845.78</v>
      </c>
      <c r="I176">
        <v>0</v>
      </c>
      <c r="J176">
        <v>0</v>
      </c>
      <c r="K176" s="66">
        <v>9867760.0199999996</v>
      </c>
    </row>
    <row r="177" spans="1:11" x14ac:dyDescent="0.25">
      <c r="A177" t="s">
        <v>376</v>
      </c>
      <c r="B177" t="s">
        <v>377</v>
      </c>
      <c r="C177" t="s">
        <v>540</v>
      </c>
      <c r="D177" t="s">
        <v>575</v>
      </c>
      <c r="E177">
        <v>4096000</v>
      </c>
      <c r="F177" t="s">
        <v>576</v>
      </c>
      <c r="G177">
        <v>2184000</v>
      </c>
      <c r="H177">
        <v>0</v>
      </c>
      <c r="I177">
        <v>0</v>
      </c>
      <c r="J177">
        <v>0</v>
      </c>
      <c r="K177" s="66">
        <v>6280000</v>
      </c>
    </row>
    <row r="178" spans="1:11" x14ac:dyDescent="0.25">
      <c r="A178" t="s">
        <v>378</v>
      </c>
      <c r="B178" t="s">
        <v>379</v>
      </c>
      <c r="C178" t="s">
        <v>540</v>
      </c>
      <c r="D178" t="s">
        <v>563</v>
      </c>
      <c r="E178">
        <v>0</v>
      </c>
      <c r="F178" t="s">
        <v>564</v>
      </c>
      <c r="G178">
        <v>0</v>
      </c>
      <c r="H178">
        <v>0</v>
      </c>
      <c r="I178">
        <v>0</v>
      </c>
      <c r="J178">
        <v>58760</v>
      </c>
      <c r="K178" s="66">
        <v>58760</v>
      </c>
    </row>
    <row r="179" spans="1:11" x14ac:dyDescent="0.25">
      <c r="A179" t="s">
        <v>380</v>
      </c>
      <c r="B179" t="s">
        <v>381</v>
      </c>
      <c r="C179" t="s">
        <v>540</v>
      </c>
      <c r="D179" t="s">
        <v>617</v>
      </c>
      <c r="E179">
        <v>0</v>
      </c>
      <c r="F179" t="s">
        <v>618</v>
      </c>
      <c r="G179">
        <v>0</v>
      </c>
      <c r="H179">
        <v>0</v>
      </c>
      <c r="I179">
        <v>0</v>
      </c>
      <c r="J179">
        <v>0.01</v>
      </c>
      <c r="K179" s="66">
        <v>0.01</v>
      </c>
    </row>
    <row r="180" spans="1:11" x14ac:dyDescent="0.25">
      <c r="A180" t="s">
        <v>507</v>
      </c>
      <c r="B180" t="s">
        <v>508</v>
      </c>
      <c r="C180" t="s">
        <v>540</v>
      </c>
      <c r="D180" t="s">
        <v>551</v>
      </c>
      <c r="E180">
        <v>0</v>
      </c>
      <c r="F180" t="s">
        <v>552</v>
      </c>
      <c r="G180">
        <v>2255142.36</v>
      </c>
      <c r="H180">
        <v>0</v>
      </c>
      <c r="I180">
        <v>0</v>
      </c>
      <c r="J180">
        <v>0</v>
      </c>
      <c r="K180" s="66">
        <v>2255142.36</v>
      </c>
    </row>
    <row r="181" spans="1:11" x14ac:dyDescent="0.25">
      <c r="A181" t="s">
        <v>382</v>
      </c>
      <c r="B181" t="s">
        <v>383</v>
      </c>
      <c r="C181" t="s">
        <v>540</v>
      </c>
      <c r="D181" t="s">
        <v>577</v>
      </c>
      <c r="E181">
        <v>23250722.390000001</v>
      </c>
      <c r="F181" t="s">
        <v>578</v>
      </c>
      <c r="G181">
        <v>0</v>
      </c>
      <c r="H181">
        <v>0</v>
      </c>
      <c r="I181">
        <v>0</v>
      </c>
      <c r="J181">
        <v>0</v>
      </c>
      <c r="K181" s="66">
        <v>23250722.390000001</v>
      </c>
    </row>
    <row r="182" spans="1:11" x14ac:dyDescent="0.25">
      <c r="A182" t="s">
        <v>384</v>
      </c>
      <c r="B182" t="s">
        <v>385</v>
      </c>
      <c r="C182" t="s">
        <v>540</v>
      </c>
      <c r="D182" t="s">
        <v>673</v>
      </c>
      <c r="E182">
        <v>54134624.219999999</v>
      </c>
      <c r="F182" t="s">
        <v>674</v>
      </c>
      <c r="G182">
        <v>53028393.32</v>
      </c>
      <c r="H182">
        <v>0</v>
      </c>
      <c r="I182">
        <v>0</v>
      </c>
      <c r="J182">
        <v>0</v>
      </c>
      <c r="K182" s="66">
        <v>107163017.54000001</v>
      </c>
    </row>
    <row r="183" spans="1:11" x14ac:dyDescent="0.25">
      <c r="A183" t="s">
        <v>675</v>
      </c>
      <c r="B183" t="s">
        <v>676</v>
      </c>
      <c r="C183" t="s">
        <v>540</v>
      </c>
      <c r="D183" t="s">
        <v>569</v>
      </c>
      <c r="E183">
        <v>0</v>
      </c>
      <c r="F183" t="s">
        <v>570</v>
      </c>
      <c r="G183">
        <v>0</v>
      </c>
      <c r="H183">
        <v>617100</v>
      </c>
      <c r="I183">
        <v>0</v>
      </c>
      <c r="J183">
        <v>0</v>
      </c>
      <c r="K183" s="66">
        <v>617100</v>
      </c>
    </row>
    <row r="184" spans="1:11" x14ac:dyDescent="0.25">
      <c r="A184" t="s">
        <v>766</v>
      </c>
      <c r="B184" t="s">
        <v>767</v>
      </c>
      <c r="C184" t="s">
        <v>540</v>
      </c>
      <c r="D184" t="s">
        <v>545</v>
      </c>
      <c r="E184">
        <v>89999.98</v>
      </c>
      <c r="F184" t="s">
        <v>546</v>
      </c>
      <c r="G184">
        <v>0</v>
      </c>
      <c r="H184">
        <v>0</v>
      </c>
      <c r="I184">
        <v>0</v>
      </c>
      <c r="J184">
        <v>0</v>
      </c>
      <c r="K184" s="66">
        <v>89999.98</v>
      </c>
    </row>
    <row r="185" spans="1:11" x14ac:dyDescent="0.25">
      <c r="A185" t="s">
        <v>822</v>
      </c>
      <c r="B185" t="s">
        <v>823</v>
      </c>
      <c r="C185" t="s">
        <v>540</v>
      </c>
      <c r="D185" t="s">
        <v>639</v>
      </c>
      <c r="E185">
        <v>34922.400000000001</v>
      </c>
      <c r="F185" t="s">
        <v>640</v>
      </c>
      <c r="G185">
        <v>0</v>
      </c>
      <c r="H185">
        <v>0</v>
      </c>
      <c r="I185">
        <v>0</v>
      </c>
      <c r="J185">
        <v>0</v>
      </c>
      <c r="K185" s="66">
        <v>34922.400000000001</v>
      </c>
    </row>
    <row r="186" spans="1:11" x14ac:dyDescent="0.25">
      <c r="A186" t="s">
        <v>386</v>
      </c>
      <c r="B186" t="s">
        <v>387</v>
      </c>
      <c r="C186" t="s">
        <v>540</v>
      </c>
      <c r="D186" t="s">
        <v>659</v>
      </c>
      <c r="E186">
        <v>3415563.8</v>
      </c>
      <c r="F186" t="s">
        <v>660</v>
      </c>
      <c r="G186">
        <v>3991536.45</v>
      </c>
      <c r="H186">
        <v>0</v>
      </c>
      <c r="I186">
        <v>0</v>
      </c>
      <c r="J186">
        <v>0</v>
      </c>
      <c r="K186" s="66">
        <v>7407100.25</v>
      </c>
    </row>
    <row r="187" spans="1:11" x14ac:dyDescent="0.25">
      <c r="A187" t="s">
        <v>388</v>
      </c>
      <c r="B187" t="s">
        <v>389</v>
      </c>
      <c r="C187" t="s">
        <v>540</v>
      </c>
      <c r="D187" t="s">
        <v>603</v>
      </c>
      <c r="E187">
        <v>0</v>
      </c>
      <c r="F187" t="s">
        <v>604</v>
      </c>
      <c r="G187">
        <v>0</v>
      </c>
      <c r="H187">
        <v>0</v>
      </c>
      <c r="I187">
        <v>0</v>
      </c>
      <c r="J187">
        <v>13351649.470000001</v>
      </c>
      <c r="K187" s="66">
        <v>13351649.470000001</v>
      </c>
    </row>
    <row r="188" spans="1:11" x14ac:dyDescent="0.25">
      <c r="A188" t="s">
        <v>390</v>
      </c>
      <c r="B188" t="s">
        <v>391</v>
      </c>
      <c r="C188" t="s">
        <v>540</v>
      </c>
      <c r="D188" t="s">
        <v>553</v>
      </c>
      <c r="E188">
        <v>0</v>
      </c>
      <c r="F188" t="s">
        <v>554</v>
      </c>
      <c r="G188">
        <v>1579156.25</v>
      </c>
      <c r="H188">
        <v>0</v>
      </c>
      <c r="I188">
        <v>0</v>
      </c>
      <c r="J188">
        <v>0</v>
      </c>
      <c r="K188" s="66">
        <v>1579156.25</v>
      </c>
    </row>
    <row r="189" spans="1:11" x14ac:dyDescent="0.25">
      <c r="A189" t="s">
        <v>893</v>
      </c>
      <c r="B189" t="s">
        <v>894</v>
      </c>
      <c r="C189" t="s">
        <v>540</v>
      </c>
      <c r="D189" t="s">
        <v>591</v>
      </c>
      <c r="E189">
        <v>6104752.5</v>
      </c>
      <c r="F189" t="s">
        <v>592</v>
      </c>
      <c r="G189">
        <v>0</v>
      </c>
      <c r="H189">
        <v>0</v>
      </c>
      <c r="I189">
        <v>0</v>
      </c>
      <c r="J189">
        <v>0</v>
      </c>
      <c r="K189" s="66">
        <v>6104752.5</v>
      </c>
    </row>
    <row r="190" spans="1:11" x14ac:dyDescent="0.25">
      <c r="A190" t="s">
        <v>392</v>
      </c>
      <c r="B190" t="s">
        <v>393</v>
      </c>
      <c r="C190" t="s">
        <v>540</v>
      </c>
      <c r="D190" t="s">
        <v>601</v>
      </c>
      <c r="E190">
        <v>15619977.85</v>
      </c>
      <c r="F190" t="s">
        <v>602</v>
      </c>
      <c r="G190">
        <v>17465927.859999999</v>
      </c>
      <c r="H190">
        <v>0</v>
      </c>
      <c r="I190">
        <v>0</v>
      </c>
      <c r="J190">
        <v>0</v>
      </c>
      <c r="K190" s="66">
        <v>33085905.710000001</v>
      </c>
    </row>
    <row r="191" spans="1:11" x14ac:dyDescent="0.25">
      <c r="A191" t="s">
        <v>394</v>
      </c>
      <c r="B191" t="s">
        <v>395</v>
      </c>
      <c r="C191" t="s">
        <v>540</v>
      </c>
      <c r="D191" t="s">
        <v>629</v>
      </c>
      <c r="E191">
        <v>6297963.7300000004</v>
      </c>
      <c r="F191" t="s">
        <v>630</v>
      </c>
      <c r="G191">
        <v>7809125.5099999998</v>
      </c>
      <c r="H191">
        <v>0</v>
      </c>
      <c r="I191">
        <v>0</v>
      </c>
      <c r="J191">
        <v>0</v>
      </c>
      <c r="K191" s="66">
        <v>14107089.24</v>
      </c>
    </row>
    <row r="192" spans="1:11" x14ac:dyDescent="0.25">
      <c r="A192" t="s">
        <v>895</v>
      </c>
      <c r="B192" t="s">
        <v>896</v>
      </c>
      <c r="C192" t="s">
        <v>540</v>
      </c>
      <c r="D192" t="s">
        <v>559</v>
      </c>
      <c r="E192">
        <v>2027300</v>
      </c>
      <c r="F192" t="s">
        <v>560</v>
      </c>
      <c r="G192">
        <v>0</v>
      </c>
      <c r="H192">
        <v>0</v>
      </c>
      <c r="I192">
        <v>0</v>
      </c>
      <c r="J192">
        <v>0</v>
      </c>
      <c r="K192" s="66">
        <v>2027300</v>
      </c>
    </row>
    <row r="193" spans="1:11" x14ac:dyDescent="0.25">
      <c r="A193" t="s">
        <v>396</v>
      </c>
      <c r="B193" t="s">
        <v>397</v>
      </c>
      <c r="C193" t="s">
        <v>540</v>
      </c>
      <c r="D193" t="s">
        <v>677</v>
      </c>
      <c r="E193">
        <v>452473.24</v>
      </c>
      <c r="F193" t="s">
        <v>678</v>
      </c>
      <c r="G193">
        <v>18935390.66</v>
      </c>
      <c r="H193">
        <v>2929297.71</v>
      </c>
      <c r="I193">
        <v>0</v>
      </c>
      <c r="J193">
        <v>0.05</v>
      </c>
      <c r="K193" s="66">
        <v>22317161.66</v>
      </c>
    </row>
    <row r="194" spans="1:11" x14ac:dyDescent="0.25">
      <c r="A194" t="s">
        <v>768</v>
      </c>
      <c r="B194" t="s">
        <v>769</v>
      </c>
      <c r="C194" t="s">
        <v>540</v>
      </c>
      <c r="D194" t="s">
        <v>609</v>
      </c>
      <c r="E194">
        <v>0</v>
      </c>
      <c r="F194" t="s">
        <v>610</v>
      </c>
      <c r="G194">
        <v>572785.81999999995</v>
      </c>
      <c r="H194">
        <v>0</v>
      </c>
      <c r="I194">
        <v>0</v>
      </c>
      <c r="J194">
        <v>0</v>
      </c>
      <c r="K194" s="66">
        <v>572785.81999999995</v>
      </c>
    </row>
    <row r="195" spans="1:11" x14ac:dyDescent="0.25">
      <c r="A195" t="s">
        <v>398</v>
      </c>
      <c r="B195" t="s">
        <v>399</v>
      </c>
      <c r="C195" t="s">
        <v>540</v>
      </c>
      <c r="D195" t="s">
        <v>559</v>
      </c>
      <c r="E195">
        <v>0</v>
      </c>
      <c r="F195" t="s">
        <v>560</v>
      </c>
      <c r="G195">
        <v>0</v>
      </c>
      <c r="H195">
        <v>0</v>
      </c>
      <c r="I195">
        <v>0</v>
      </c>
      <c r="J195">
        <v>-2698.26</v>
      </c>
      <c r="K195" s="66">
        <v>-2698.26</v>
      </c>
    </row>
    <row r="196" spans="1:11" x14ac:dyDescent="0.25">
      <c r="A196" t="s">
        <v>770</v>
      </c>
      <c r="B196" t="s">
        <v>771</v>
      </c>
      <c r="C196" t="s">
        <v>540</v>
      </c>
      <c r="D196" t="s">
        <v>772</v>
      </c>
      <c r="E196">
        <v>98313350.5</v>
      </c>
      <c r="F196" t="s">
        <v>773</v>
      </c>
      <c r="G196">
        <v>0</v>
      </c>
      <c r="H196">
        <v>0</v>
      </c>
      <c r="I196">
        <v>0</v>
      </c>
      <c r="J196">
        <v>0</v>
      </c>
      <c r="K196" s="66">
        <v>98313350.5</v>
      </c>
    </row>
    <row r="197" spans="1:11" x14ac:dyDescent="0.25">
      <c r="A197" t="s">
        <v>897</v>
      </c>
      <c r="B197" t="s">
        <v>898</v>
      </c>
      <c r="C197" t="s">
        <v>540</v>
      </c>
      <c r="D197" t="s">
        <v>899</v>
      </c>
      <c r="E197">
        <v>12414600</v>
      </c>
      <c r="F197" t="s">
        <v>900</v>
      </c>
      <c r="G197">
        <v>0</v>
      </c>
      <c r="H197">
        <v>0</v>
      </c>
      <c r="I197">
        <v>0</v>
      </c>
      <c r="J197">
        <v>0</v>
      </c>
      <c r="K197" s="66">
        <v>12414600</v>
      </c>
    </row>
    <row r="198" spans="1:11" x14ac:dyDescent="0.25">
      <c r="A198" t="s">
        <v>824</v>
      </c>
      <c r="B198" t="s">
        <v>825</v>
      </c>
      <c r="C198" t="s">
        <v>540</v>
      </c>
      <c r="D198" t="s">
        <v>563</v>
      </c>
      <c r="E198">
        <v>114330362.40000001</v>
      </c>
      <c r="F198" t="s">
        <v>564</v>
      </c>
      <c r="G198">
        <v>0</v>
      </c>
      <c r="H198">
        <v>0</v>
      </c>
      <c r="I198">
        <v>0</v>
      </c>
      <c r="J198">
        <v>0</v>
      </c>
      <c r="K198" s="66">
        <v>114330362.40000001</v>
      </c>
    </row>
    <row r="199" spans="1:11" x14ac:dyDescent="0.25">
      <c r="A199" t="s">
        <v>509</v>
      </c>
      <c r="B199" t="s">
        <v>510</v>
      </c>
      <c r="C199" t="s">
        <v>540</v>
      </c>
      <c r="D199" t="s">
        <v>585</v>
      </c>
      <c r="E199">
        <v>0</v>
      </c>
      <c r="F199" t="s">
        <v>586</v>
      </c>
      <c r="G199">
        <v>1676977.72</v>
      </c>
      <c r="H199">
        <v>0</v>
      </c>
      <c r="I199">
        <v>0</v>
      </c>
      <c r="J199">
        <v>0</v>
      </c>
      <c r="K199" s="66">
        <v>1676977.72</v>
      </c>
    </row>
    <row r="200" spans="1:11" x14ac:dyDescent="0.25">
      <c r="A200" t="s">
        <v>901</v>
      </c>
      <c r="B200" t="s">
        <v>902</v>
      </c>
      <c r="C200" t="s">
        <v>540</v>
      </c>
      <c r="D200" t="s">
        <v>551</v>
      </c>
      <c r="E200">
        <v>540130</v>
      </c>
      <c r="F200" t="s">
        <v>552</v>
      </c>
      <c r="G200">
        <v>0</v>
      </c>
      <c r="H200">
        <v>0</v>
      </c>
      <c r="I200">
        <v>0</v>
      </c>
      <c r="J200">
        <v>0</v>
      </c>
      <c r="K200" s="66">
        <v>540130</v>
      </c>
    </row>
    <row r="201" spans="1:11" x14ac:dyDescent="0.25">
      <c r="A201" t="s">
        <v>774</v>
      </c>
      <c r="B201" t="s">
        <v>775</v>
      </c>
      <c r="C201" t="s">
        <v>540</v>
      </c>
      <c r="D201" t="s">
        <v>776</v>
      </c>
      <c r="E201">
        <v>546816.86</v>
      </c>
      <c r="F201" t="s">
        <v>777</v>
      </c>
      <c r="G201">
        <v>0</v>
      </c>
      <c r="H201">
        <v>0</v>
      </c>
      <c r="I201">
        <v>0</v>
      </c>
      <c r="J201">
        <v>0</v>
      </c>
      <c r="K201" s="66">
        <v>546816.86</v>
      </c>
    </row>
    <row r="202" spans="1:11" x14ac:dyDescent="0.25">
      <c r="A202" t="s">
        <v>400</v>
      </c>
      <c r="B202" t="s">
        <v>401</v>
      </c>
      <c r="C202" t="s">
        <v>540</v>
      </c>
      <c r="D202" t="s">
        <v>679</v>
      </c>
      <c r="E202">
        <v>0</v>
      </c>
      <c r="F202" t="s">
        <v>680</v>
      </c>
      <c r="G202">
        <v>18168570</v>
      </c>
      <c r="H202">
        <v>0</v>
      </c>
      <c r="I202">
        <v>0</v>
      </c>
      <c r="J202">
        <v>0</v>
      </c>
      <c r="K202" s="66">
        <v>18168570</v>
      </c>
    </row>
    <row r="203" spans="1:11" x14ac:dyDescent="0.25">
      <c r="A203" t="s">
        <v>903</v>
      </c>
      <c r="B203" t="s">
        <v>904</v>
      </c>
      <c r="C203" t="s">
        <v>540</v>
      </c>
      <c r="D203" t="s">
        <v>603</v>
      </c>
      <c r="E203">
        <v>143755021.91999999</v>
      </c>
      <c r="F203" t="s">
        <v>604</v>
      </c>
      <c r="G203">
        <v>0</v>
      </c>
      <c r="H203">
        <v>0</v>
      </c>
      <c r="I203">
        <v>0</v>
      </c>
      <c r="J203">
        <v>0</v>
      </c>
      <c r="K203" s="66">
        <v>143755021.91999999</v>
      </c>
    </row>
    <row r="204" spans="1:11" x14ac:dyDescent="0.25">
      <c r="A204" t="s">
        <v>905</v>
      </c>
      <c r="B204" t="s">
        <v>906</v>
      </c>
      <c r="C204" t="s">
        <v>540</v>
      </c>
      <c r="D204" t="s">
        <v>559</v>
      </c>
      <c r="E204">
        <v>690000</v>
      </c>
      <c r="F204" t="s">
        <v>560</v>
      </c>
      <c r="G204">
        <v>0</v>
      </c>
      <c r="H204">
        <v>0</v>
      </c>
      <c r="I204">
        <v>0</v>
      </c>
      <c r="J204">
        <v>0</v>
      </c>
      <c r="K204" s="66">
        <v>690000</v>
      </c>
    </row>
    <row r="205" spans="1:11" x14ac:dyDescent="0.25">
      <c r="A205" t="s">
        <v>402</v>
      </c>
      <c r="B205" t="s">
        <v>403</v>
      </c>
      <c r="C205" t="s">
        <v>540</v>
      </c>
      <c r="D205" t="s">
        <v>681</v>
      </c>
      <c r="E205">
        <v>7520326.6600000001</v>
      </c>
      <c r="F205" t="s">
        <v>682</v>
      </c>
      <c r="G205">
        <v>22360357.140000001</v>
      </c>
      <c r="H205">
        <v>0</v>
      </c>
      <c r="I205">
        <v>0</v>
      </c>
      <c r="J205">
        <v>0</v>
      </c>
      <c r="K205" s="66">
        <v>29880683.800000001</v>
      </c>
    </row>
    <row r="206" spans="1:11" x14ac:dyDescent="0.25">
      <c r="A206" t="s">
        <v>683</v>
      </c>
      <c r="B206" t="s">
        <v>684</v>
      </c>
      <c r="C206" t="s">
        <v>540</v>
      </c>
      <c r="D206" t="s">
        <v>685</v>
      </c>
      <c r="E206">
        <v>1926618.02</v>
      </c>
      <c r="F206" t="s">
        <v>686</v>
      </c>
      <c r="G206">
        <v>0</v>
      </c>
      <c r="H206">
        <v>0</v>
      </c>
      <c r="I206">
        <v>0</v>
      </c>
      <c r="J206">
        <v>0</v>
      </c>
      <c r="K206" s="66">
        <v>1926618.02</v>
      </c>
    </row>
    <row r="207" spans="1:11" x14ac:dyDescent="0.25">
      <c r="A207" t="s">
        <v>404</v>
      </c>
      <c r="B207" t="s">
        <v>405</v>
      </c>
      <c r="C207" t="s">
        <v>540</v>
      </c>
      <c r="D207" t="s">
        <v>615</v>
      </c>
      <c r="E207">
        <v>1207699.52</v>
      </c>
      <c r="F207" t="s">
        <v>616</v>
      </c>
      <c r="G207">
        <v>2143138.83</v>
      </c>
      <c r="H207">
        <v>0</v>
      </c>
      <c r="I207">
        <v>0</v>
      </c>
      <c r="J207">
        <v>0</v>
      </c>
      <c r="K207" s="66">
        <v>3350838.35</v>
      </c>
    </row>
    <row r="208" spans="1:11" x14ac:dyDescent="0.25">
      <c r="A208" t="s">
        <v>907</v>
      </c>
      <c r="B208" t="s">
        <v>908</v>
      </c>
      <c r="C208" t="s">
        <v>540</v>
      </c>
      <c r="D208" t="s">
        <v>909</v>
      </c>
      <c r="E208">
        <v>11968048.970000001</v>
      </c>
      <c r="F208" t="s">
        <v>910</v>
      </c>
      <c r="G208">
        <v>0</v>
      </c>
      <c r="H208">
        <v>0</v>
      </c>
      <c r="I208">
        <v>0</v>
      </c>
      <c r="J208">
        <v>0</v>
      </c>
      <c r="K208" s="66">
        <v>11968048.970000001</v>
      </c>
    </row>
    <row r="209" spans="1:11" x14ac:dyDescent="0.25">
      <c r="A209" t="s">
        <v>406</v>
      </c>
      <c r="B209" t="s">
        <v>407</v>
      </c>
      <c r="C209" t="s">
        <v>540</v>
      </c>
      <c r="D209" t="s">
        <v>681</v>
      </c>
      <c r="E209">
        <v>1080465.1200000001</v>
      </c>
      <c r="F209" t="s">
        <v>682</v>
      </c>
      <c r="G209">
        <v>2235996.2999999998</v>
      </c>
      <c r="H209">
        <v>0</v>
      </c>
      <c r="I209">
        <v>0</v>
      </c>
      <c r="J209">
        <v>0</v>
      </c>
      <c r="K209" s="66">
        <v>3316461.42</v>
      </c>
    </row>
    <row r="210" spans="1:11" x14ac:dyDescent="0.25">
      <c r="A210" t="s">
        <v>778</v>
      </c>
      <c r="B210" t="s">
        <v>779</v>
      </c>
      <c r="C210" t="s">
        <v>540</v>
      </c>
      <c r="D210" t="s">
        <v>780</v>
      </c>
      <c r="E210">
        <v>1496673.58</v>
      </c>
      <c r="F210" t="s">
        <v>781</v>
      </c>
      <c r="G210">
        <v>0</v>
      </c>
      <c r="H210">
        <v>26926.65</v>
      </c>
      <c r="I210">
        <v>-26926.65</v>
      </c>
      <c r="J210">
        <v>0</v>
      </c>
      <c r="K210" s="66">
        <v>1496673.58</v>
      </c>
    </row>
    <row r="211" spans="1:11" x14ac:dyDescent="0.25">
      <c r="A211" t="s">
        <v>782</v>
      </c>
      <c r="B211" t="s">
        <v>783</v>
      </c>
      <c r="C211" t="s">
        <v>540</v>
      </c>
      <c r="D211" t="s">
        <v>784</v>
      </c>
      <c r="E211">
        <v>515000.01</v>
      </c>
      <c r="F211" t="s">
        <v>785</v>
      </c>
      <c r="G211">
        <v>0</v>
      </c>
      <c r="H211">
        <v>0</v>
      </c>
      <c r="I211">
        <v>0</v>
      </c>
      <c r="J211">
        <v>0</v>
      </c>
      <c r="K211" s="66">
        <v>515000.01</v>
      </c>
    </row>
    <row r="212" spans="1:11" x14ac:dyDescent="0.25">
      <c r="A212" t="s">
        <v>408</v>
      </c>
      <c r="B212" t="s">
        <v>409</v>
      </c>
      <c r="C212" t="s">
        <v>540</v>
      </c>
      <c r="D212" t="s">
        <v>677</v>
      </c>
      <c r="E212">
        <v>6507600</v>
      </c>
      <c r="F212" t="s">
        <v>678</v>
      </c>
      <c r="G212">
        <v>0</v>
      </c>
      <c r="H212">
        <v>0</v>
      </c>
      <c r="I212">
        <v>0</v>
      </c>
      <c r="J212">
        <v>0</v>
      </c>
      <c r="K212" s="66">
        <v>6507600</v>
      </c>
    </row>
    <row r="213" spans="1:11" x14ac:dyDescent="0.25">
      <c r="A213" t="s">
        <v>826</v>
      </c>
      <c r="B213" t="s">
        <v>827</v>
      </c>
      <c r="C213" t="s">
        <v>540</v>
      </c>
      <c r="D213" t="s">
        <v>671</v>
      </c>
      <c r="E213">
        <v>0</v>
      </c>
      <c r="F213" t="s">
        <v>672</v>
      </c>
      <c r="G213">
        <v>790258.26</v>
      </c>
      <c r="H213">
        <v>0</v>
      </c>
      <c r="I213">
        <v>0</v>
      </c>
      <c r="J213">
        <v>0</v>
      </c>
      <c r="K213" s="66">
        <v>790258.26</v>
      </c>
    </row>
    <row r="214" spans="1:11" x14ac:dyDescent="0.25">
      <c r="A214" t="s">
        <v>511</v>
      </c>
      <c r="B214" t="s">
        <v>512</v>
      </c>
      <c r="C214" t="s">
        <v>540</v>
      </c>
      <c r="D214" t="s">
        <v>631</v>
      </c>
      <c r="E214">
        <v>326700</v>
      </c>
      <c r="F214" t="s">
        <v>632</v>
      </c>
      <c r="G214">
        <v>0</v>
      </c>
      <c r="H214">
        <v>0</v>
      </c>
      <c r="I214">
        <v>0</v>
      </c>
      <c r="J214">
        <v>0</v>
      </c>
      <c r="K214" s="66">
        <v>326700</v>
      </c>
    </row>
    <row r="215" spans="1:11" x14ac:dyDescent="0.25">
      <c r="A215" t="s">
        <v>911</v>
      </c>
      <c r="B215" t="s">
        <v>912</v>
      </c>
      <c r="C215" t="s">
        <v>540</v>
      </c>
      <c r="D215" t="s">
        <v>553</v>
      </c>
      <c r="E215">
        <v>1340141.77</v>
      </c>
      <c r="F215" t="s">
        <v>554</v>
      </c>
      <c r="G215">
        <v>0</v>
      </c>
      <c r="H215">
        <v>0</v>
      </c>
      <c r="I215">
        <v>0</v>
      </c>
      <c r="J215">
        <v>0</v>
      </c>
      <c r="K215" s="66">
        <v>1340141.77</v>
      </c>
    </row>
    <row r="216" spans="1:11" x14ac:dyDescent="0.25">
      <c r="A216" t="s">
        <v>410</v>
      </c>
      <c r="B216" t="s">
        <v>411</v>
      </c>
      <c r="C216" t="s">
        <v>540</v>
      </c>
      <c r="D216" t="s">
        <v>559</v>
      </c>
      <c r="E216">
        <v>0</v>
      </c>
      <c r="F216" t="s">
        <v>560</v>
      </c>
      <c r="G216">
        <v>15326344</v>
      </c>
      <c r="H216">
        <v>2560844</v>
      </c>
      <c r="I216">
        <v>0</v>
      </c>
      <c r="J216">
        <v>0</v>
      </c>
      <c r="K216" s="66">
        <v>17887188</v>
      </c>
    </row>
    <row r="217" spans="1:11" x14ac:dyDescent="0.25">
      <c r="A217" t="s">
        <v>828</v>
      </c>
      <c r="B217" t="s">
        <v>829</v>
      </c>
      <c r="C217" t="s">
        <v>540</v>
      </c>
      <c r="D217" t="s">
        <v>561</v>
      </c>
      <c r="E217">
        <v>1440000</v>
      </c>
      <c r="F217" t="s">
        <v>562</v>
      </c>
      <c r="G217">
        <v>0</v>
      </c>
      <c r="H217">
        <v>0</v>
      </c>
      <c r="I217">
        <v>0</v>
      </c>
      <c r="J217">
        <v>0</v>
      </c>
      <c r="K217" s="66">
        <v>1440000</v>
      </c>
    </row>
    <row r="218" spans="1:11" x14ac:dyDescent="0.25">
      <c r="A218" t="s">
        <v>412</v>
      </c>
      <c r="B218" t="s">
        <v>413</v>
      </c>
      <c r="C218" t="s">
        <v>540</v>
      </c>
      <c r="D218" t="s">
        <v>677</v>
      </c>
      <c r="E218">
        <v>1554850</v>
      </c>
      <c r="F218" t="s">
        <v>678</v>
      </c>
      <c r="G218">
        <v>3551488.68</v>
      </c>
      <c r="H218">
        <v>0</v>
      </c>
      <c r="I218">
        <v>0</v>
      </c>
      <c r="J218">
        <v>0</v>
      </c>
      <c r="K218" s="66">
        <v>5106338.68</v>
      </c>
    </row>
    <row r="219" spans="1:11" x14ac:dyDescent="0.25">
      <c r="A219" t="s">
        <v>414</v>
      </c>
      <c r="B219" t="s">
        <v>415</v>
      </c>
      <c r="C219" t="s">
        <v>540</v>
      </c>
      <c r="D219" t="s">
        <v>553</v>
      </c>
      <c r="E219">
        <v>1272518</v>
      </c>
      <c r="F219" t="s">
        <v>554</v>
      </c>
      <c r="G219">
        <v>25545588.899999999</v>
      </c>
      <c r="H219">
        <v>0</v>
      </c>
      <c r="I219">
        <v>0</v>
      </c>
      <c r="J219">
        <v>0</v>
      </c>
      <c r="K219" s="66">
        <v>26818106.899999999</v>
      </c>
    </row>
    <row r="220" spans="1:11" x14ac:dyDescent="0.25">
      <c r="A220" t="s">
        <v>513</v>
      </c>
      <c r="B220" t="s">
        <v>514</v>
      </c>
      <c r="C220" t="s">
        <v>540</v>
      </c>
      <c r="D220" t="s">
        <v>687</v>
      </c>
      <c r="E220">
        <v>42200</v>
      </c>
      <c r="F220" t="s">
        <v>688</v>
      </c>
      <c r="G220">
        <v>144499.99</v>
      </c>
      <c r="H220">
        <v>0</v>
      </c>
      <c r="I220">
        <v>0</v>
      </c>
      <c r="J220">
        <v>0</v>
      </c>
      <c r="K220" s="66">
        <v>186699.99</v>
      </c>
    </row>
    <row r="221" spans="1:11" x14ac:dyDescent="0.25">
      <c r="A221" t="s">
        <v>416</v>
      </c>
      <c r="B221" t="s">
        <v>417</v>
      </c>
      <c r="C221" t="s">
        <v>540</v>
      </c>
      <c r="D221" t="s">
        <v>585</v>
      </c>
      <c r="E221">
        <v>1754984</v>
      </c>
      <c r="F221" t="s">
        <v>586</v>
      </c>
      <c r="G221">
        <v>6468021.1200000001</v>
      </c>
      <c r="H221">
        <v>0</v>
      </c>
      <c r="I221">
        <v>0</v>
      </c>
      <c r="J221">
        <v>0</v>
      </c>
      <c r="K221" s="66">
        <v>8223005.1200000001</v>
      </c>
    </row>
    <row r="222" spans="1:11" x14ac:dyDescent="0.25">
      <c r="A222" t="s">
        <v>830</v>
      </c>
      <c r="B222" t="s">
        <v>831</v>
      </c>
      <c r="C222" t="s">
        <v>540</v>
      </c>
      <c r="D222" t="s">
        <v>605</v>
      </c>
      <c r="E222">
        <v>580800</v>
      </c>
      <c r="F222" t="s">
        <v>606</v>
      </c>
      <c r="G222">
        <v>0</v>
      </c>
      <c r="H222">
        <v>0</v>
      </c>
      <c r="I222">
        <v>0</v>
      </c>
      <c r="J222">
        <v>0</v>
      </c>
      <c r="K222" s="66">
        <v>580800</v>
      </c>
    </row>
    <row r="223" spans="1:11" x14ac:dyDescent="0.25">
      <c r="A223" t="s">
        <v>418</v>
      </c>
      <c r="B223" t="s">
        <v>419</v>
      </c>
      <c r="C223" t="s">
        <v>540</v>
      </c>
      <c r="D223" t="s">
        <v>643</v>
      </c>
      <c r="E223">
        <v>320026.46000000002</v>
      </c>
      <c r="F223" t="s">
        <v>644</v>
      </c>
      <c r="G223">
        <v>1280105.83</v>
      </c>
      <c r="H223">
        <v>0</v>
      </c>
      <c r="I223">
        <v>0</v>
      </c>
      <c r="J223">
        <v>0</v>
      </c>
      <c r="K223" s="66">
        <v>1600132.29</v>
      </c>
    </row>
    <row r="224" spans="1:11" x14ac:dyDescent="0.25">
      <c r="A224" t="s">
        <v>420</v>
      </c>
      <c r="B224" t="s">
        <v>421</v>
      </c>
      <c r="C224" t="s">
        <v>540</v>
      </c>
      <c r="D224" t="s">
        <v>689</v>
      </c>
      <c r="E224">
        <v>0</v>
      </c>
      <c r="F224" t="s">
        <v>690</v>
      </c>
      <c r="G224">
        <v>0</v>
      </c>
      <c r="H224">
        <v>16855300</v>
      </c>
      <c r="I224">
        <v>0</v>
      </c>
      <c r="J224">
        <v>0</v>
      </c>
      <c r="K224" s="66">
        <v>16855300</v>
      </c>
    </row>
    <row r="225" spans="1:11" x14ac:dyDescent="0.25">
      <c r="A225" t="s">
        <v>422</v>
      </c>
      <c r="B225" t="s">
        <v>423</v>
      </c>
      <c r="C225" t="s">
        <v>540</v>
      </c>
      <c r="D225" t="s">
        <v>553</v>
      </c>
      <c r="E225">
        <v>74600</v>
      </c>
      <c r="F225" t="s">
        <v>554</v>
      </c>
      <c r="G225">
        <v>987525</v>
      </c>
      <c r="H225">
        <v>0</v>
      </c>
      <c r="I225">
        <v>0</v>
      </c>
      <c r="J225">
        <v>0</v>
      </c>
      <c r="K225" s="66">
        <v>1062125</v>
      </c>
    </row>
    <row r="226" spans="1:11" x14ac:dyDescent="0.25">
      <c r="A226" t="s">
        <v>424</v>
      </c>
      <c r="B226" t="s">
        <v>425</v>
      </c>
      <c r="C226" t="s">
        <v>540</v>
      </c>
      <c r="D226" t="s">
        <v>617</v>
      </c>
      <c r="E226">
        <v>0</v>
      </c>
      <c r="F226" t="s">
        <v>618</v>
      </c>
      <c r="G226">
        <v>9029998</v>
      </c>
      <c r="H226">
        <v>0</v>
      </c>
      <c r="I226">
        <v>0</v>
      </c>
      <c r="J226">
        <v>0</v>
      </c>
      <c r="K226" s="66">
        <v>9029998</v>
      </c>
    </row>
    <row r="227" spans="1:11" x14ac:dyDescent="0.25">
      <c r="A227" t="s">
        <v>913</v>
      </c>
      <c r="B227" t="s">
        <v>914</v>
      </c>
      <c r="C227" t="s">
        <v>540</v>
      </c>
      <c r="D227" t="s">
        <v>563</v>
      </c>
      <c r="E227">
        <v>1694000</v>
      </c>
      <c r="F227" t="s">
        <v>564</v>
      </c>
      <c r="G227">
        <v>0</v>
      </c>
      <c r="H227">
        <v>0</v>
      </c>
      <c r="I227">
        <v>0</v>
      </c>
      <c r="J227">
        <v>0</v>
      </c>
      <c r="K227" s="66">
        <v>1694000</v>
      </c>
    </row>
    <row r="228" spans="1:11" x14ac:dyDescent="0.25">
      <c r="A228" t="s">
        <v>426</v>
      </c>
      <c r="B228" t="s">
        <v>427</v>
      </c>
      <c r="C228" t="s">
        <v>540</v>
      </c>
      <c r="D228" t="s">
        <v>659</v>
      </c>
      <c r="E228">
        <v>0</v>
      </c>
      <c r="F228" t="s">
        <v>660</v>
      </c>
      <c r="G228">
        <v>1596554</v>
      </c>
      <c r="H228">
        <v>0</v>
      </c>
      <c r="I228">
        <v>0</v>
      </c>
      <c r="J228">
        <v>0</v>
      </c>
      <c r="K228" s="66">
        <v>1596554</v>
      </c>
    </row>
    <row r="229" spans="1:11" x14ac:dyDescent="0.25">
      <c r="A229" t="s">
        <v>428</v>
      </c>
      <c r="B229" t="s">
        <v>429</v>
      </c>
      <c r="C229" t="s">
        <v>540</v>
      </c>
      <c r="D229" t="s">
        <v>691</v>
      </c>
      <c r="E229">
        <v>771919</v>
      </c>
      <c r="F229" t="s">
        <v>692</v>
      </c>
      <c r="G229">
        <v>1851080</v>
      </c>
      <c r="H229">
        <v>1851080</v>
      </c>
      <c r="I229">
        <v>0</v>
      </c>
      <c r="J229">
        <v>0</v>
      </c>
      <c r="K229" s="66">
        <v>4474079</v>
      </c>
    </row>
    <row r="230" spans="1:11" x14ac:dyDescent="0.25">
      <c r="A230" t="s">
        <v>430</v>
      </c>
      <c r="B230" t="s">
        <v>431</v>
      </c>
      <c r="C230" t="s">
        <v>540</v>
      </c>
      <c r="D230" t="s">
        <v>551</v>
      </c>
      <c r="E230">
        <v>0</v>
      </c>
      <c r="F230" t="s">
        <v>552</v>
      </c>
      <c r="G230">
        <v>0</v>
      </c>
      <c r="H230">
        <v>3978739.91</v>
      </c>
      <c r="I230">
        <v>0</v>
      </c>
      <c r="J230">
        <v>0</v>
      </c>
      <c r="K230" s="66">
        <v>3978739.91</v>
      </c>
    </row>
    <row r="231" spans="1:11" x14ac:dyDescent="0.25">
      <c r="A231" t="s">
        <v>432</v>
      </c>
      <c r="B231" t="s">
        <v>433</v>
      </c>
      <c r="C231" t="s">
        <v>540</v>
      </c>
      <c r="D231" t="s">
        <v>603</v>
      </c>
      <c r="E231">
        <v>0</v>
      </c>
      <c r="F231" t="s">
        <v>604</v>
      </c>
      <c r="G231">
        <v>0</v>
      </c>
      <c r="H231">
        <v>0</v>
      </c>
      <c r="I231">
        <v>0</v>
      </c>
      <c r="J231">
        <v>1074310</v>
      </c>
      <c r="K231" s="66">
        <v>1074310</v>
      </c>
    </row>
    <row r="232" spans="1:11" x14ac:dyDescent="0.25">
      <c r="A232" t="s">
        <v>786</v>
      </c>
      <c r="B232" t="s">
        <v>787</v>
      </c>
      <c r="C232" t="s">
        <v>540</v>
      </c>
      <c r="D232" t="s">
        <v>559</v>
      </c>
      <c r="E232">
        <v>139000.34</v>
      </c>
      <c r="F232" t="s">
        <v>560</v>
      </c>
      <c r="G232">
        <v>0</v>
      </c>
      <c r="H232">
        <v>0</v>
      </c>
      <c r="I232">
        <v>0</v>
      </c>
      <c r="J232">
        <v>0</v>
      </c>
      <c r="K232" s="66">
        <v>139000.34</v>
      </c>
    </row>
    <row r="233" spans="1:11" x14ac:dyDescent="0.25">
      <c r="A233" t="s">
        <v>788</v>
      </c>
      <c r="B233" t="s">
        <v>789</v>
      </c>
      <c r="C233" t="s">
        <v>540</v>
      </c>
      <c r="D233" t="s">
        <v>559</v>
      </c>
      <c r="E233">
        <v>24647700</v>
      </c>
      <c r="F233" t="s">
        <v>560</v>
      </c>
      <c r="G233">
        <v>0</v>
      </c>
      <c r="H233">
        <v>0</v>
      </c>
      <c r="I233">
        <v>0</v>
      </c>
      <c r="J233">
        <v>0</v>
      </c>
      <c r="K233" s="66">
        <v>24647700</v>
      </c>
    </row>
    <row r="234" spans="1:11" x14ac:dyDescent="0.25">
      <c r="A234" t="s">
        <v>515</v>
      </c>
      <c r="B234" t="s">
        <v>516</v>
      </c>
      <c r="C234" t="s">
        <v>540</v>
      </c>
      <c r="D234" t="s">
        <v>693</v>
      </c>
      <c r="E234">
        <v>0</v>
      </c>
      <c r="F234" t="s">
        <v>694</v>
      </c>
      <c r="G234">
        <v>3228555.27</v>
      </c>
      <c r="H234">
        <v>248261.75</v>
      </c>
      <c r="I234">
        <v>0</v>
      </c>
      <c r="J234">
        <v>0</v>
      </c>
      <c r="K234" s="66">
        <v>3476817.02</v>
      </c>
    </row>
    <row r="235" spans="1:11" x14ac:dyDescent="0.25">
      <c r="A235" t="s">
        <v>434</v>
      </c>
      <c r="B235" t="s">
        <v>435</v>
      </c>
      <c r="C235" t="s">
        <v>540</v>
      </c>
      <c r="D235" t="s">
        <v>623</v>
      </c>
      <c r="E235">
        <v>1147798.55</v>
      </c>
      <c r="F235" t="s">
        <v>624</v>
      </c>
      <c r="G235">
        <v>332715.71999999997</v>
      </c>
      <c r="H235">
        <v>0</v>
      </c>
      <c r="I235">
        <v>0</v>
      </c>
      <c r="J235">
        <v>0</v>
      </c>
      <c r="K235" s="66">
        <v>1480514.27</v>
      </c>
    </row>
    <row r="236" spans="1:11" x14ac:dyDescent="0.25">
      <c r="A236" t="s">
        <v>436</v>
      </c>
      <c r="B236" t="s">
        <v>437</v>
      </c>
      <c r="C236" t="s">
        <v>540</v>
      </c>
      <c r="D236" t="s">
        <v>561</v>
      </c>
      <c r="E236">
        <v>4810000</v>
      </c>
      <c r="F236" t="s">
        <v>562</v>
      </c>
      <c r="G236">
        <v>43990000</v>
      </c>
      <c r="H236">
        <v>0</v>
      </c>
      <c r="I236">
        <v>0</v>
      </c>
      <c r="J236">
        <v>0</v>
      </c>
      <c r="K236" s="66">
        <v>48800000</v>
      </c>
    </row>
    <row r="237" spans="1:11" x14ac:dyDescent="0.25">
      <c r="A237" t="s">
        <v>438</v>
      </c>
      <c r="B237" t="s">
        <v>439</v>
      </c>
      <c r="C237" t="s">
        <v>540</v>
      </c>
      <c r="D237" t="s">
        <v>603</v>
      </c>
      <c r="E237">
        <v>0</v>
      </c>
      <c r="F237" t="s">
        <v>604</v>
      </c>
      <c r="G237">
        <v>0</v>
      </c>
      <c r="H237">
        <v>0</v>
      </c>
      <c r="I237">
        <v>0</v>
      </c>
      <c r="J237">
        <v>8115779.6100000003</v>
      </c>
      <c r="K237" s="66">
        <v>8115779.6100000003</v>
      </c>
    </row>
    <row r="238" spans="1:11" x14ac:dyDescent="0.25">
      <c r="A238" t="s">
        <v>440</v>
      </c>
      <c r="B238" t="s">
        <v>441</v>
      </c>
      <c r="C238" t="s">
        <v>540</v>
      </c>
      <c r="D238" t="s">
        <v>601</v>
      </c>
      <c r="E238">
        <v>0</v>
      </c>
      <c r="F238" t="s">
        <v>602</v>
      </c>
      <c r="G238">
        <v>8361100</v>
      </c>
      <c r="H238">
        <v>0</v>
      </c>
      <c r="I238">
        <v>0</v>
      </c>
      <c r="J238">
        <v>0</v>
      </c>
      <c r="K238" s="66">
        <v>8361100</v>
      </c>
    </row>
    <row r="239" spans="1:11" x14ac:dyDescent="0.25">
      <c r="A239" t="s">
        <v>442</v>
      </c>
      <c r="B239" t="s">
        <v>443</v>
      </c>
      <c r="C239" t="s">
        <v>540</v>
      </c>
      <c r="D239" t="s">
        <v>585</v>
      </c>
      <c r="E239">
        <v>0</v>
      </c>
      <c r="F239" t="s">
        <v>586</v>
      </c>
      <c r="G239">
        <v>0</v>
      </c>
      <c r="H239">
        <v>2998380</v>
      </c>
      <c r="I239">
        <v>0</v>
      </c>
      <c r="J239">
        <v>0</v>
      </c>
      <c r="K239" s="66">
        <v>2998380</v>
      </c>
    </row>
    <row r="240" spans="1:11" x14ac:dyDescent="0.25">
      <c r="A240" t="s">
        <v>517</v>
      </c>
      <c r="B240" t="s">
        <v>518</v>
      </c>
      <c r="C240" t="s">
        <v>540</v>
      </c>
      <c r="D240" t="s">
        <v>575</v>
      </c>
      <c r="E240">
        <v>0</v>
      </c>
      <c r="F240" t="s">
        <v>576</v>
      </c>
      <c r="G240">
        <v>33011550</v>
      </c>
      <c r="H240">
        <v>0</v>
      </c>
      <c r="I240">
        <v>0</v>
      </c>
      <c r="J240">
        <v>0</v>
      </c>
      <c r="K240" s="66">
        <v>33011550</v>
      </c>
    </row>
    <row r="241" spans="1:11" x14ac:dyDescent="0.25">
      <c r="A241" t="s">
        <v>444</v>
      </c>
      <c r="B241" t="s">
        <v>445</v>
      </c>
      <c r="C241" t="s">
        <v>540</v>
      </c>
      <c r="D241" t="s">
        <v>603</v>
      </c>
      <c r="E241">
        <v>0</v>
      </c>
      <c r="F241" t="s">
        <v>604</v>
      </c>
      <c r="G241">
        <v>0</v>
      </c>
      <c r="H241">
        <v>0</v>
      </c>
      <c r="I241">
        <v>0</v>
      </c>
      <c r="J241">
        <v>25876207.34</v>
      </c>
      <c r="K241" s="66">
        <v>25876207.34</v>
      </c>
    </row>
    <row r="242" spans="1:11" x14ac:dyDescent="0.25">
      <c r="A242" t="s">
        <v>519</v>
      </c>
      <c r="B242" t="s">
        <v>520</v>
      </c>
      <c r="C242" t="s">
        <v>540</v>
      </c>
      <c r="D242" t="s">
        <v>695</v>
      </c>
      <c r="E242">
        <v>0</v>
      </c>
      <c r="F242" t="s">
        <v>696</v>
      </c>
      <c r="G242">
        <v>3618300</v>
      </c>
      <c r="H242">
        <v>0</v>
      </c>
      <c r="I242">
        <v>0</v>
      </c>
      <c r="J242">
        <v>0</v>
      </c>
      <c r="K242" s="66">
        <v>3618300</v>
      </c>
    </row>
    <row r="243" spans="1:11" x14ac:dyDescent="0.25">
      <c r="A243" t="s">
        <v>446</v>
      </c>
      <c r="B243" t="s">
        <v>447</v>
      </c>
      <c r="C243" t="s">
        <v>540</v>
      </c>
      <c r="D243" t="s">
        <v>633</v>
      </c>
      <c r="E243">
        <v>0</v>
      </c>
      <c r="F243" t="s">
        <v>634</v>
      </c>
      <c r="G243">
        <v>0</v>
      </c>
      <c r="H243">
        <v>0</v>
      </c>
      <c r="I243">
        <v>0</v>
      </c>
      <c r="J243">
        <v>1331</v>
      </c>
      <c r="K243" s="66">
        <v>1331</v>
      </c>
    </row>
    <row r="244" spans="1:11" x14ac:dyDescent="0.25">
      <c r="A244" t="s">
        <v>790</v>
      </c>
      <c r="B244" t="s">
        <v>791</v>
      </c>
      <c r="C244" t="s">
        <v>540</v>
      </c>
      <c r="D244" t="s">
        <v>698</v>
      </c>
      <c r="E244">
        <v>411400</v>
      </c>
      <c r="F244" t="s">
        <v>699</v>
      </c>
      <c r="G244">
        <v>0</v>
      </c>
      <c r="H244">
        <v>0</v>
      </c>
      <c r="I244">
        <v>0</v>
      </c>
      <c r="J244">
        <v>0</v>
      </c>
      <c r="K244" s="66">
        <v>411400</v>
      </c>
    </row>
    <row r="245" spans="1:11" x14ac:dyDescent="0.25">
      <c r="A245" t="s">
        <v>915</v>
      </c>
      <c r="B245" t="s">
        <v>916</v>
      </c>
      <c r="C245" t="s">
        <v>540</v>
      </c>
      <c r="D245" t="s">
        <v>585</v>
      </c>
      <c r="E245">
        <v>553212</v>
      </c>
      <c r="F245" t="s">
        <v>586</v>
      </c>
      <c r="G245">
        <v>0</v>
      </c>
      <c r="H245">
        <v>0</v>
      </c>
      <c r="I245">
        <v>0</v>
      </c>
      <c r="J245">
        <v>0</v>
      </c>
      <c r="K245" s="66">
        <v>553212</v>
      </c>
    </row>
    <row r="246" spans="1:11" x14ac:dyDescent="0.25">
      <c r="A246" t="s">
        <v>448</v>
      </c>
      <c r="B246" t="s">
        <v>449</v>
      </c>
      <c r="C246" t="s">
        <v>540</v>
      </c>
      <c r="D246" t="s">
        <v>611</v>
      </c>
      <c r="E246">
        <v>823149.73</v>
      </c>
      <c r="F246" t="s">
        <v>612</v>
      </c>
      <c r="G246">
        <v>0</v>
      </c>
      <c r="H246">
        <v>0</v>
      </c>
      <c r="I246">
        <v>0</v>
      </c>
      <c r="J246">
        <v>0</v>
      </c>
      <c r="K246" s="66">
        <v>823149.73</v>
      </c>
    </row>
    <row r="247" spans="1:11" x14ac:dyDescent="0.25">
      <c r="A247" t="s">
        <v>832</v>
      </c>
      <c r="B247" t="s">
        <v>833</v>
      </c>
      <c r="C247" t="s">
        <v>540</v>
      </c>
      <c r="D247" t="s">
        <v>708</v>
      </c>
      <c r="E247">
        <v>12838737.470000001</v>
      </c>
      <c r="F247" t="s">
        <v>709</v>
      </c>
      <c r="G247">
        <v>0</v>
      </c>
      <c r="H247">
        <v>0</v>
      </c>
      <c r="I247">
        <v>0</v>
      </c>
      <c r="J247">
        <v>0</v>
      </c>
      <c r="K247" s="66">
        <v>12838737.470000001</v>
      </c>
    </row>
    <row r="248" spans="1:11" x14ac:dyDescent="0.25">
      <c r="A248" t="s">
        <v>450</v>
      </c>
      <c r="B248" t="s">
        <v>451</v>
      </c>
      <c r="C248" t="s">
        <v>540</v>
      </c>
      <c r="D248" t="s">
        <v>671</v>
      </c>
      <c r="E248">
        <v>1376980</v>
      </c>
      <c r="F248" t="s">
        <v>697</v>
      </c>
      <c r="G248">
        <v>4089800</v>
      </c>
      <c r="H248">
        <v>0</v>
      </c>
      <c r="I248">
        <v>0</v>
      </c>
      <c r="J248">
        <v>0</v>
      </c>
      <c r="K248" s="66">
        <v>5466780</v>
      </c>
    </row>
    <row r="249" spans="1:11" x14ac:dyDescent="0.25">
      <c r="A249" t="s">
        <v>452</v>
      </c>
      <c r="B249" t="s">
        <v>453</v>
      </c>
      <c r="C249" t="s">
        <v>540</v>
      </c>
      <c r="D249" t="s">
        <v>653</v>
      </c>
      <c r="E249">
        <v>20370000</v>
      </c>
      <c r="F249" t="s">
        <v>654</v>
      </c>
      <c r="G249">
        <v>16443900</v>
      </c>
      <c r="H249">
        <v>0</v>
      </c>
      <c r="I249">
        <v>0</v>
      </c>
      <c r="J249">
        <v>0</v>
      </c>
      <c r="K249" s="66">
        <v>36813900</v>
      </c>
    </row>
    <row r="250" spans="1:11" x14ac:dyDescent="0.25">
      <c r="A250" t="s">
        <v>792</v>
      </c>
      <c r="B250" t="s">
        <v>793</v>
      </c>
      <c r="C250" t="s">
        <v>540</v>
      </c>
      <c r="D250" t="s">
        <v>653</v>
      </c>
      <c r="E250">
        <v>1262028.42</v>
      </c>
      <c r="F250" t="s">
        <v>654</v>
      </c>
      <c r="G250">
        <v>0</v>
      </c>
      <c r="H250">
        <v>0</v>
      </c>
      <c r="I250">
        <v>0</v>
      </c>
      <c r="J250">
        <v>0</v>
      </c>
      <c r="K250" s="66">
        <v>1262028.42</v>
      </c>
    </row>
    <row r="251" spans="1:11" x14ac:dyDescent="0.25">
      <c r="A251" t="s">
        <v>794</v>
      </c>
      <c r="B251" t="s">
        <v>795</v>
      </c>
      <c r="C251" t="s">
        <v>540</v>
      </c>
      <c r="D251" t="s">
        <v>545</v>
      </c>
      <c r="E251">
        <v>215118.9</v>
      </c>
      <c r="F251" t="s">
        <v>546</v>
      </c>
      <c r="G251">
        <v>0</v>
      </c>
      <c r="H251">
        <v>0</v>
      </c>
      <c r="I251">
        <v>0</v>
      </c>
      <c r="J251">
        <v>0</v>
      </c>
      <c r="K251" s="66">
        <v>215118.9</v>
      </c>
    </row>
    <row r="252" spans="1:11" x14ac:dyDescent="0.25">
      <c r="A252" t="s">
        <v>521</v>
      </c>
      <c r="B252" t="s">
        <v>522</v>
      </c>
      <c r="C252" t="s">
        <v>540</v>
      </c>
      <c r="D252" t="s">
        <v>585</v>
      </c>
      <c r="E252">
        <v>0</v>
      </c>
      <c r="F252" t="s">
        <v>586</v>
      </c>
      <c r="G252">
        <v>4471155.84</v>
      </c>
      <c r="H252">
        <v>0</v>
      </c>
      <c r="I252">
        <v>0</v>
      </c>
      <c r="J252">
        <v>0</v>
      </c>
      <c r="K252" s="66">
        <v>4471155.84</v>
      </c>
    </row>
    <row r="253" spans="1:11" x14ac:dyDescent="0.25">
      <c r="A253" t="s">
        <v>454</v>
      </c>
      <c r="B253" t="s">
        <v>455</v>
      </c>
      <c r="C253" t="s">
        <v>540</v>
      </c>
      <c r="D253" t="s">
        <v>679</v>
      </c>
      <c r="E253">
        <v>63100</v>
      </c>
      <c r="F253" t="s">
        <v>680</v>
      </c>
      <c r="G253">
        <v>0</v>
      </c>
      <c r="H253">
        <v>0</v>
      </c>
      <c r="I253">
        <v>0</v>
      </c>
      <c r="J253">
        <v>0</v>
      </c>
      <c r="K253" s="66">
        <v>63100</v>
      </c>
    </row>
    <row r="254" spans="1:11" x14ac:dyDescent="0.25">
      <c r="A254" t="s">
        <v>456</v>
      </c>
      <c r="B254" t="s">
        <v>457</v>
      </c>
      <c r="C254" t="s">
        <v>540</v>
      </c>
      <c r="D254" t="s">
        <v>549</v>
      </c>
      <c r="E254">
        <v>679714.2</v>
      </c>
      <c r="F254" t="s">
        <v>550</v>
      </c>
      <c r="G254">
        <v>5454380.2699999996</v>
      </c>
      <c r="H254">
        <v>0</v>
      </c>
      <c r="I254">
        <v>0</v>
      </c>
      <c r="J254">
        <v>0</v>
      </c>
      <c r="K254" s="66">
        <v>6134094.4699999997</v>
      </c>
    </row>
    <row r="255" spans="1:11" x14ac:dyDescent="0.25">
      <c r="A255" t="s">
        <v>458</v>
      </c>
      <c r="B255" t="s">
        <v>459</v>
      </c>
      <c r="C255" t="s">
        <v>540</v>
      </c>
      <c r="D255" t="s">
        <v>677</v>
      </c>
      <c r="E255">
        <v>10753280.289999999</v>
      </c>
      <c r="F255" t="s">
        <v>678</v>
      </c>
      <c r="G255">
        <v>263780</v>
      </c>
      <c r="H255">
        <v>7000000</v>
      </c>
      <c r="I255">
        <v>0</v>
      </c>
      <c r="J255">
        <v>0</v>
      </c>
      <c r="K255" s="66">
        <v>18017060.289999999</v>
      </c>
    </row>
    <row r="256" spans="1:11" x14ac:dyDescent="0.25">
      <c r="A256" t="s">
        <v>523</v>
      </c>
      <c r="B256" t="s">
        <v>524</v>
      </c>
      <c r="C256" t="s">
        <v>540</v>
      </c>
      <c r="D256" t="s">
        <v>555</v>
      </c>
      <c r="E256">
        <v>1480773.96</v>
      </c>
      <c r="F256" t="s">
        <v>556</v>
      </c>
      <c r="G256">
        <v>0</v>
      </c>
      <c r="H256">
        <v>0</v>
      </c>
      <c r="I256">
        <v>0</v>
      </c>
      <c r="J256">
        <v>0</v>
      </c>
      <c r="K256" s="66">
        <v>1480773.96</v>
      </c>
    </row>
    <row r="257" spans="1:11" x14ac:dyDescent="0.25">
      <c r="A257" t="s">
        <v>917</v>
      </c>
      <c r="B257" t="s">
        <v>918</v>
      </c>
      <c r="C257" t="s">
        <v>540</v>
      </c>
      <c r="D257" t="s">
        <v>698</v>
      </c>
      <c r="E257">
        <v>0</v>
      </c>
      <c r="F257" t="s">
        <v>699</v>
      </c>
      <c r="G257">
        <v>69000</v>
      </c>
      <c r="H257">
        <v>0</v>
      </c>
      <c r="I257">
        <v>0</v>
      </c>
      <c r="J257">
        <v>0</v>
      </c>
      <c r="K257" s="66">
        <v>69000</v>
      </c>
    </row>
    <row r="258" spans="1:11" x14ac:dyDescent="0.25">
      <c r="A258" t="s">
        <v>460</v>
      </c>
      <c r="B258" t="s">
        <v>461</v>
      </c>
      <c r="C258" t="s">
        <v>540</v>
      </c>
      <c r="D258" t="s">
        <v>559</v>
      </c>
      <c r="E258">
        <v>420000</v>
      </c>
      <c r="F258" t="s">
        <v>560</v>
      </c>
      <c r="G258">
        <v>0</v>
      </c>
      <c r="H258">
        <v>0</v>
      </c>
      <c r="I258">
        <v>0</v>
      </c>
      <c r="J258">
        <v>0</v>
      </c>
      <c r="K258" s="66">
        <v>420000</v>
      </c>
    </row>
    <row r="259" spans="1:11" x14ac:dyDescent="0.25">
      <c r="A259" t="s">
        <v>700</v>
      </c>
      <c r="B259" t="s">
        <v>701</v>
      </c>
      <c r="C259" t="s">
        <v>540</v>
      </c>
      <c r="D259" t="s">
        <v>589</v>
      </c>
      <c r="E259">
        <v>0</v>
      </c>
      <c r="F259" t="s">
        <v>590</v>
      </c>
      <c r="G259">
        <v>657417.41</v>
      </c>
      <c r="H259">
        <v>0</v>
      </c>
      <c r="I259">
        <v>0</v>
      </c>
      <c r="J259">
        <v>0</v>
      </c>
      <c r="K259" s="66">
        <v>657417.41</v>
      </c>
    </row>
    <row r="260" spans="1:11" x14ac:dyDescent="0.25">
      <c r="A260" t="s">
        <v>462</v>
      </c>
      <c r="B260" t="s">
        <v>463</v>
      </c>
      <c r="C260" t="s">
        <v>540</v>
      </c>
      <c r="D260" t="s">
        <v>702</v>
      </c>
      <c r="E260">
        <v>2125947.85</v>
      </c>
      <c r="F260" t="s">
        <v>703</v>
      </c>
      <c r="G260">
        <v>2669255.2400000002</v>
      </c>
      <c r="H260">
        <v>0</v>
      </c>
      <c r="I260">
        <v>0</v>
      </c>
      <c r="J260">
        <v>0</v>
      </c>
      <c r="K260" s="66">
        <v>4795203.09</v>
      </c>
    </row>
    <row r="261" spans="1:11" x14ac:dyDescent="0.25">
      <c r="A261" t="s">
        <v>464</v>
      </c>
      <c r="B261" t="s">
        <v>465</v>
      </c>
      <c r="C261" t="s">
        <v>540</v>
      </c>
      <c r="D261" t="s">
        <v>661</v>
      </c>
      <c r="E261">
        <v>1891250</v>
      </c>
      <c r="F261" t="s">
        <v>662</v>
      </c>
      <c r="G261">
        <v>0</v>
      </c>
      <c r="H261">
        <v>-0.01</v>
      </c>
      <c r="I261">
        <v>0</v>
      </c>
      <c r="J261">
        <v>0</v>
      </c>
      <c r="K261" s="66">
        <v>1891249.99</v>
      </c>
    </row>
    <row r="262" spans="1:11" x14ac:dyDescent="0.25">
      <c r="A262" t="s">
        <v>466</v>
      </c>
      <c r="B262" t="s">
        <v>467</v>
      </c>
      <c r="C262" t="s">
        <v>540</v>
      </c>
      <c r="D262" t="s">
        <v>589</v>
      </c>
      <c r="E262">
        <v>856680</v>
      </c>
      <c r="F262" t="s">
        <v>590</v>
      </c>
      <c r="G262">
        <v>1098438</v>
      </c>
      <c r="H262">
        <v>0</v>
      </c>
      <c r="I262">
        <v>0</v>
      </c>
      <c r="J262">
        <v>0</v>
      </c>
      <c r="K262" s="66">
        <v>1955118</v>
      </c>
    </row>
    <row r="263" spans="1:11" x14ac:dyDescent="0.25">
      <c r="A263" t="s">
        <v>919</v>
      </c>
      <c r="B263" t="s">
        <v>920</v>
      </c>
      <c r="C263" t="s">
        <v>540</v>
      </c>
      <c r="D263" t="s">
        <v>563</v>
      </c>
      <c r="E263">
        <v>52514000</v>
      </c>
      <c r="F263" t="s">
        <v>564</v>
      </c>
      <c r="G263">
        <v>0</v>
      </c>
      <c r="H263">
        <v>0</v>
      </c>
      <c r="I263">
        <v>0</v>
      </c>
      <c r="J263">
        <v>0</v>
      </c>
      <c r="K263" s="66">
        <v>52514000</v>
      </c>
    </row>
    <row r="264" spans="1:11" x14ac:dyDescent="0.25">
      <c r="A264" t="s">
        <v>525</v>
      </c>
      <c r="B264" t="s">
        <v>526</v>
      </c>
      <c r="C264" t="s">
        <v>540</v>
      </c>
      <c r="D264" t="s">
        <v>553</v>
      </c>
      <c r="E264">
        <v>5323398.57</v>
      </c>
      <c r="F264" t="s">
        <v>554</v>
      </c>
      <c r="G264">
        <v>0</v>
      </c>
      <c r="H264">
        <v>0</v>
      </c>
      <c r="I264">
        <v>0</v>
      </c>
      <c r="J264">
        <v>0</v>
      </c>
      <c r="K264" s="66">
        <v>5323398.57</v>
      </c>
    </row>
    <row r="265" spans="1:11" x14ac:dyDescent="0.25">
      <c r="A265" t="s">
        <v>468</v>
      </c>
      <c r="B265" t="s">
        <v>469</v>
      </c>
      <c r="C265" t="s">
        <v>540</v>
      </c>
      <c r="D265" t="s">
        <v>607</v>
      </c>
      <c r="E265">
        <v>0</v>
      </c>
      <c r="F265" t="s">
        <v>608</v>
      </c>
      <c r="G265">
        <v>17500</v>
      </c>
      <c r="H265">
        <v>0</v>
      </c>
      <c r="I265">
        <v>0</v>
      </c>
      <c r="J265">
        <v>-671301.14</v>
      </c>
      <c r="K265" s="66">
        <v>-653801.14</v>
      </c>
    </row>
    <row r="266" spans="1:11" x14ac:dyDescent="0.25">
      <c r="A266" t="s">
        <v>527</v>
      </c>
      <c r="B266" t="s">
        <v>528</v>
      </c>
      <c r="C266" t="s">
        <v>540</v>
      </c>
      <c r="D266" t="s">
        <v>603</v>
      </c>
      <c r="E266">
        <v>1848700.12</v>
      </c>
      <c r="F266" t="s">
        <v>604</v>
      </c>
      <c r="G266">
        <v>0</v>
      </c>
      <c r="H266">
        <v>0</v>
      </c>
      <c r="I266">
        <v>0</v>
      </c>
      <c r="J266">
        <v>0</v>
      </c>
      <c r="K266" s="66">
        <v>1848700.12</v>
      </c>
    </row>
    <row r="267" spans="1:11" x14ac:dyDescent="0.25">
      <c r="A267" t="s">
        <v>470</v>
      </c>
      <c r="B267" t="s">
        <v>471</v>
      </c>
      <c r="C267" t="s">
        <v>540</v>
      </c>
      <c r="D267" t="s">
        <v>704</v>
      </c>
      <c r="E267">
        <v>3350076.18</v>
      </c>
      <c r="F267" t="s">
        <v>705</v>
      </c>
      <c r="G267">
        <v>2267022.12</v>
      </c>
      <c r="H267">
        <v>0</v>
      </c>
      <c r="I267">
        <v>0</v>
      </c>
      <c r="J267">
        <v>0</v>
      </c>
      <c r="K267" s="66">
        <v>5617098.2999999998</v>
      </c>
    </row>
    <row r="268" spans="1:11" x14ac:dyDescent="0.25">
      <c r="A268" t="s">
        <v>472</v>
      </c>
      <c r="B268" t="s">
        <v>473</v>
      </c>
      <c r="C268" t="s">
        <v>540</v>
      </c>
      <c r="D268" t="s">
        <v>706</v>
      </c>
      <c r="E268">
        <v>44982025.560000002</v>
      </c>
      <c r="F268" t="s">
        <v>707</v>
      </c>
      <c r="G268">
        <v>0</v>
      </c>
      <c r="H268">
        <v>43200964.079999998</v>
      </c>
      <c r="I268">
        <v>0</v>
      </c>
      <c r="J268">
        <v>0</v>
      </c>
      <c r="K268" s="66">
        <v>88182989.640000001</v>
      </c>
    </row>
    <row r="269" spans="1:11" x14ac:dyDescent="0.25">
      <c r="A269" t="s">
        <v>796</v>
      </c>
      <c r="B269" t="s">
        <v>797</v>
      </c>
      <c r="C269" t="s">
        <v>540</v>
      </c>
      <c r="D269" t="s">
        <v>603</v>
      </c>
      <c r="E269">
        <v>2890206</v>
      </c>
      <c r="F269" t="s">
        <v>604</v>
      </c>
      <c r="G269">
        <v>0</v>
      </c>
      <c r="H269">
        <v>0</v>
      </c>
      <c r="I269">
        <v>0</v>
      </c>
      <c r="J269">
        <v>0</v>
      </c>
      <c r="K269" s="66">
        <v>2890206</v>
      </c>
    </row>
    <row r="270" spans="1:11" x14ac:dyDescent="0.25">
      <c r="A270" t="s">
        <v>798</v>
      </c>
      <c r="B270" t="s">
        <v>799</v>
      </c>
      <c r="C270" t="s">
        <v>540</v>
      </c>
      <c r="D270" t="s">
        <v>589</v>
      </c>
      <c r="E270">
        <v>182226</v>
      </c>
      <c r="F270" t="s">
        <v>590</v>
      </c>
      <c r="G270">
        <v>820340.43</v>
      </c>
      <c r="H270">
        <v>0</v>
      </c>
      <c r="I270">
        <v>0</v>
      </c>
      <c r="J270">
        <v>0</v>
      </c>
      <c r="K270" s="66">
        <v>1002566.43</v>
      </c>
    </row>
    <row r="271" spans="1:11" x14ac:dyDescent="0.25">
      <c r="A271" t="s">
        <v>921</v>
      </c>
      <c r="B271" t="s">
        <v>922</v>
      </c>
      <c r="C271" t="s">
        <v>540</v>
      </c>
      <c r="D271" t="s">
        <v>589</v>
      </c>
      <c r="E271">
        <v>204840.9</v>
      </c>
      <c r="F271" t="s">
        <v>590</v>
      </c>
      <c r="G271">
        <v>0</v>
      </c>
      <c r="H271">
        <v>0</v>
      </c>
      <c r="I271">
        <v>0</v>
      </c>
      <c r="J271">
        <v>0</v>
      </c>
      <c r="K271" s="66">
        <v>204840.9</v>
      </c>
    </row>
    <row r="272" spans="1:11" x14ac:dyDescent="0.25">
      <c r="A272" t="s">
        <v>474</v>
      </c>
      <c r="B272" t="s">
        <v>475</v>
      </c>
      <c r="C272" t="s">
        <v>540</v>
      </c>
      <c r="D272" t="s">
        <v>708</v>
      </c>
      <c r="E272">
        <v>130323238.02</v>
      </c>
      <c r="F272" t="s">
        <v>709</v>
      </c>
      <c r="G272">
        <v>0</v>
      </c>
      <c r="H272">
        <v>0</v>
      </c>
      <c r="I272">
        <v>0</v>
      </c>
      <c r="J272">
        <v>0</v>
      </c>
      <c r="K272" s="66">
        <v>130323238.02</v>
      </c>
    </row>
    <row r="273" spans="1:11" x14ac:dyDescent="0.25">
      <c r="A273" t="s">
        <v>476</v>
      </c>
      <c r="B273" t="s">
        <v>477</v>
      </c>
      <c r="C273" t="s">
        <v>540</v>
      </c>
      <c r="D273" t="s">
        <v>563</v>
      </c>
      <c r="E273">
        <v>0</v>
      </c>
      <c r="F273" t="s">
        <v>564</v>
      </c>
      <c r="G273">
        <v>0</v>
      </c>
      <c r="H273">
        <v>0</v>
      </c>
      <c r="I273">
        <v>0</v>
      </c>
      <c r="J273">
        <v>-1.1100000000000001</v>
      </c>
      <c r="K273" s="66">
        <v>-1.1100000000000001</v>
      </c>
    </row>
    <row r="274" spans="1:11" x14ac:dyDescent="0.25">
      <c r="A274" t="s">
        <v>478</v>
      </c>
      <c r="B274" t="s">
        <v>479</v>
      </c>
      <c r="C274" t="s">
        <v>540</v>
      </c>
      <c r="D274" t="s">
        <v>553</v>
      </c>
      <c r="E274">
        <v>172788</v>
      </c>
      <c r="F274" t="s">
        <v>554</v>
      </c>
      <c r="G274">
        <v>0</v>
      </c>
      <c r="H274">
        <v>0</v>
      </c>
      <c r="I274">
        <v>0</v>
      </c>
      <c r="J274">
        <v>0</v>
      </c>
      <c r="K274" s="66">
        <v>172788</v>
      </c>
    </row>
    <row r="275" spans="1:11" x14ac:dyDescent="0.25">
      <c r="A275" t="s">
        <v>529</v>
      </c>
      <c r="B275" t="s">
        <v>530</v>
      </c>
      <c r="C275" t="s">
        <v>540</v>
      </c>
      <c r="D275" t="s">
        <v>573</v>
      </c>
      <c r="E275">
        <v>0</v>
      </c>
      <c r="F275" t="s">
        <v>574</v>
      </c>
      <c r="G275">
        <v>1577601.83</v>
      </c>
      <c r="H275">
        <v>0</v>
      </c>
      <c r="I275">
        <v>0</v>
      </c>
      <c r="J275">
        <v>0</v>
      </c>
      <c r="K275" s="66">
        <v>1577601.83</v>
      </c>
    </row>
    <row r="276" spans="1:11" x14ac:dyDescent="0.25">
      <c r="A276" t="s">
        <v>480</v>
      </c>
      <c r="B276" t="s">
        <v>834</v>
      </c>
      <c r="C276" t="s">
        <v>540</v>
      </c>
      <c r="D276" t="s">
        <v>677</v>
      </c>
      <c r="E276">
        <v>2447164.5</v>
      </c>
      <c r="F276" t="s">
        <v>678</v>
      </c>
      <c r="G276">
        <v>1666724.4</v>
      </c>
      <c r="H276">
        <v>0</v>
      </c>
      <c r="I276">
        <v>0</v>
      </c>
      <c r="J276">
        <v>0</v>
      </c>
      <c r="K276" s="66">
        <v>4113888.9</v>
      </c>
    </row>
    <row r="277" spans="1:11" x14ac:dyDescent="0.25">
      <c r="A277" t="s">
        <v>481</v>
      </c>
      <c r="B277" t="s">
        <v>482</v>
      </c>
      <c r="C277" t="s">
        <v>540</v>
      </c>
      <c r="D277" t="s">
        <v>633</v>
      </c>
      <c r="E277">
        <v>0</v>
      </c>
      <c r="F277" t="s">
        <v>634</v>
      </c>
      <c r="G277">
        <v>0</v>
      </c>
      <c r="H277">
        <v>1485120</v>
      </c>
      <c r="I277">
        <v>0</v>
      </c>
      <c r="J277">
        <v>0</v>
      </c>
      <c r="K277" s="66">
        <v>1485120</v>
      </c>
    </row>
    <row r="278" spans="1:11" x14ac:dyDescent="0.25">
      <c r="A278" t="s">
        <v>483</v>
      </c>
      <c r="B278" t="s">
        <v>484</v>
      </c>
      <c r="C278" t="s">
        <v>540</v>
      </c>
      <c r="D278" t="s">
        <v>679</v>
      </c>
      <c r="E278">
        <v>452119776.25</v>
      </c>
      <c r="F278" t="s">
        <v>680</v>
      </c>
      <c r="G278">
        <v>157821551.25999999</v>
      </c>
      <c r="H278">
        <v>0</v>
      </c>
      <c r="I278">
        <v>0</v>
      </c>
      <c r="J278">
        <v>0</v>
      </c>
      <c r="K278" s="66">
        <v>609941327.50999999</v>
      </c>
    </row>
    <row r="279" spans="1:11" x14ac:dyDescent="0.25">
      <c r="A279" t="s">
        <v>923</v>
      </c>
      <c r="B279" t="s">
        <v>924</v>
      </c>
      <c r="C279" t="s">
        <v>540</v>
      </c>
      <c r="D279" t="s">
        <v>925</v>
      </c>
      <c r="E279">
        <v>1350000</v>
      </c>
      <c r="F279" t="s">
        <v>926</v>
      </c>
      <c r="G279">
        <v>0</v>
      </c>
      <c r="H279">
        <v>0</v>
      </c>
      <c r="I279">
        <v>0</v>
      </c>
      <c r="J279">
        <v>0</v>
      </c>
      <c r="K279" s="66">
        <v>1350000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3"/>
  <sheetViews>
    <sheetView showGridLines="0" zoomScaleNormal="100" workbookViewId="0">
      <pane ySplit="4" topLeftCell="A5" activePane="bottomLeft" state="frozen"/>
      <selection pane="bottomLeft" activeCell="A22" sqref="A22:XFD22"/>
    </sheetView>
  </sheetViews>
  <sheetFormatPr baseColWidth="10" defaultColWidth="8.7109375" defaultRowHeight="15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18" customWidth="1"/>
    <col min="6" max="6" width="12" customWidth="1"/>
    <col min="7" max="8" width="20" customWidth="1"/>
    <col min="9" max="9" width="16" customWidth="1"/>
    <col min="10" max="10" width="28" customWidth="1"/>
  </cols>
  <sheetData>
    <row r="1" spans="1:10" ht="27.75" customHeight="1" x14ac:dyDescent="0.25">
      <c r="A1" s="72" t="s">
        <v>168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5.75" customHeight="1" x14ac:dyDescent="0.25">
      <c r="A2" s="82" t="s">
        <v>169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19.5" customHeight="1" x14ac:dyDescent="0.25">
      <c r="A3" s="41" t="s">
        <v>170</v>
      </c>
      <c r="B3" s="48">
        <v>46314</v>
      </c>
      <c r="C3" s="42"/>
      <c r="D3" s="42"/>
      <c r="E3" s="42"/>
      <c r="F3" s="42"/>
      <c r="G3" s="42"/>
      <c r="H3" s="42"/>
      <c r="I3" s="42"/>
      <c r="J3" s="42"/>
    </row>
    <row r="4" spans="1:10" ht="30" customHeight="1" x14ac:dyDescent="0.25">
      <c r="A4" s="19" t="s">
        <v>171</v>
      </c>
      <c r="B4" s="19" t="s">
        <v>102</v>
      </c>
      <c r="C4" s="19" t="s">
        <v>172</v>
      </c>
      <c r="D4" s="19" t="s">
        <v>173</v>
      </c>
      <c r="E4" s="19" t="s">
        <v>174</v>
      </c>
      <c r="F4" s="19" t="s">
        <v>175</v>
      </c>
      <c r="G4" s="19" t="s">
        <v>176</v>
      </c>
      <c r="H4" s="19" t="s">
        <v>177</v>
      </c>
      <c r="I4" s="19" t="s">
        <v>178</v>
      </c>
      <c r="J4" s="19" t="s">
        <v>154</v>
      </c>
    </row>
    <row r="5" spans="1:10" ht="18" customHeight="1" x14ac:dyDescent="0.25">
      <c r="A5" s="53" t="s">
        <v>179</v>
      </c>
      <c r="B5" s="14">
        <v>1000000</v>
      </c>
      <c r="C5" s="67">
        <v>3.9E-2</v>
      </c>
      <c r="D5" s="68">
        <v>46281</v>
      </c>
      <c r="E5" s="68">
        <v>46451</v>
      </c>
      <c r="F5" s="54">
        <f>IFERROR(E5-D5,0)</f>
        <v>170</v>
      </c>
      <c r="G5" s="55">
        <f>IFERROR(B5*(C5/365)*F5,0)</f>
        <v>18164.383561643837</v>
      </c>
      <c r="H5" s="56">
        <f>IFERROR(B5+G5,0)</f>
        <v>1018164.3835616439</v>
      </c>
      <c r="I5" s="57">
        <f ca="1">IFERROR(E5-TODAY(),"Vencido")</f>
        <v>130</v>
      </c>
      <c r="J5" s="52"/>
    </row>
    <row r="6" spans="1:10" ht="18" customHeight="1" x14ac:dyDescent="0.25">
      <c r="A6" s="53" t="s">
        <v>179</v>
      </c>
      <c r="B6" s="14">
        <v>1000000</v>
      </c>
      <c r="C6" s="67">
        <v>3.9E-2</v>
      </c>
      <c r="D6" s="68">
        <v>46300</v>
      </c>
      <c r="E6" s="68">
        <v>46469</v>
      </c>
      <c r="F6" s="54">
        <f t="shared" ref="F6:F21" si="0">IFERROR(E6-D6,0)</f>
        <v>169</v>
      </c>
      <c r="G6" s="55">
        <f>IFERROR(B6*(C6/365)*F6,0)</f>
        <v>18057.534246575342</v>
      </c>
      <c r="H6" s="56">
        <f>IFERROR(B6+G6,0)</f>
        <v>1018057.5342465753</v>
      </c>
      <c r="I6" s="57">
        <f ca="1">IFERROR(E6-TODAY(),"Vencido")</f>
        <v>148</v>
      </c>
      <c r="J6" s="51"/>
    </row>
    <row r="7" spans="1:10" ht="18" customHeight="1" x14ac:dyDescent="0.25">
      <c r="A7" s="53" t="s">
        <v>179</v>
      </c>
      <c r="B7" s="14">
        <v>1000000</v>
      </c>
      <c r="C7" s="67">
        <v>3.9E-2</v>
      </c>
      <c r="D7" s="68">
        <v>46260</v>
      </c>
      <c r="E7" s="68">
        <v>46434</v>
      </c>
      <c r="F7" s="54">
        <f t="shared" si="0"/>
        <v>174</v>
      </c>
      <c r="G7" s="55">
        <f>IFERROR(B7*(C7/365)*F7,0)</f>
        <v>18591.780821917808</v>
      </c>
      <c r="H7" s="56">
        <f>IFERROR(B7+G7,0)</f>
        <v>1018591.7808219178</v>
      </c>
      <c r="I7" s="57">
        <f ca="1">IFERROR(E7-TODAY(),"Vencido")</f>
        <v>113</v>
      </c>
      <c r="J7" s="52"/>
    </row>
    <row r="8" spans="1:10" ht="18" customHeight="1" x14ac:dyDescent="0.25">
      <c r="A8" s="53" t="s">
        <v>179</v>
      </c>
      <c r="B8" s="14">
        <v>1000000</v>
      </c>
      <c r="C8" s="67">
        <v>3.7999999999999999E-2</v>
      </c>
      <c r="D8" s="68">
        <v>46153</v>
      </c>
      <c r="E8" s="68">
        <v>46323</v>
      </c>
      <c r="F8" s="54">
        <f t="shared" si="0"/>
        <v>170</v>
      </c>
      <c r="G8" s="55">
        <f>IFERROR(B8*(C8/365)*F8,0)</f>
        <v>17698.630136986299</v>
      </c>
      <c r="H8" s="56">
        <f>IFERROR(B8+G8,0)</f>
        <v>1017698.6301369863</v>
      </c>
      <c r="I8" s="57">
        <f ca="1">IFERROR(E8-TODAY(),"Vencido")</f>
        <v>2</v>
      </c>
      <c r="J8" s="52"/>
    </row>
    <row r="9" spans="1:10" ht="18" customHeight="1" x14ac:dyDescent="0.25">
      <c r="A9" s="53" t="s">
        <v>179</v>
      </c>
      <c r="B9" s="14">
        <v>1000000</v>
      </c>
      <c r="C9" s="67">
        <v>3.1E-2</v>
      </c>
      <c r="D9" s="68">
        <v>46191</v>
      </c>
      <c r="E9" s="68">
        <v>46366</v>
      </c>
      <c r="F9" s="54">
        <f t="shared" si="0"/>
        <v>175</v>
      </c>
      <c r="G9" s="55">
        <f>IFERROR(B9*(C9/365)*F9,0)</f>
        <v>14863.013698630137</v>
      </c>
      <c r="H9" s="56">
        <f>IFERROR(B9+G9,0)</f>
        <v>1014863.0136986302</v>
      </c>
      <c r="I9" s="57">
        <f ca="1">IFERROR(E9-TODAY(),"Vencido")</f>
        <v>45</v>
      </c>
      <c r="J9" s="52"/>
    </row>
    <row r="10" spans="1:10" ht="18" customHeight="1" x14ac:dyDescent="0.25">
      <c r="A10" s="53" t="s">
        <v>181</v>
      </c>
      <c r="B10" s="14">
        <v>1000000</v>
      </c>
      <c r="C10" s="67">
        <v>3.49E-2</v>
      </c>
      <c r="D10" s="68">
        <v>46227</v>
      </c>
      <c r="E10" s="68">
        <v>46407</v>
      </c>
      <c r="F10" s="54">
        <f t="shared" si="0"/>
        <v>180</v>
      </c>
      <c r="G10" s="55">
        <f t="shared" ref="G10:G12" si="1">IFERROR(B10*(C10/365)*F10,0)</f>
        <v>17210.95890410959</v>
      </c>
      <c r="H10" s="56">
        <f t="shared" ref="H10:H12" si="2">IFERROR(B10+G10,0)</f>
        <v>1017210.9589041095</v>
      </c>
      <c r="I10" s="57">
        <f t="shared" ref="I10:I12" ca="1" si="3">IFERROR(E10-TODAY(),"Vencido")</f>
        <v>86</v>
      </c>
      <c r="J10" s="52"/>
    </row>
    <row r="11" spans="1:10" ht="18" customHeight="1" x14ac:dyDescent="0.25">
      <c r="A11" s="53" t="s">
        <v>181</v>
      </c>
      <c r="B11" s="14">
        <v>1000000</v>
      </c>
      <c r="C11" s="67">
        <v>3.2300000000000002E-2</v>
      </c>
      <c r="D11" s="68">
        <v>46178</v>
      </c>
      <c r="E11" s="68">
        <v>46358</v>
      </c>
      <c r="F11" s="54">
        <f t="shared" si="0"/>
        <v>180</v>
      </c>
      <c r="G11" s="55">
        <f t="shared" si="1"/>
        <v>15928.767123287671</v>
      </c>
      <c r="H11" s="56">
        <f t="shared" si="2"/>
        <v>1015928.7671232877</v>
      </c>
      <c r="I11" s="57">
        <f t="shared" ca="1" si="3"/>
        <v>37</v>
      </c>
      <c r="J11" s="52"/>
    </row>
    <row r="12" spans="1:10" ht="18" customHeight="1" x14ac:dyDescent="0.25">
      <c r="A12" s="53" t="s">
        <v>181</v>
      </c>
      <c r="B12" s="14">
        <v>1000000</v>
      </c>
      <c r="C12" s="67">
        <v>3.2300000000000002E-2</v>
      </c>
      <c r="D12" s="68">
        <v>46183</v>
      </c>
      <c r="E12" s="68">
        <v>46360</v>
      </c>
      <c r="F12" s="54">
        <f t="shared" si="0"/>
        <v>177</v>
      </c>
      <c r="G12" s="55">
        <f t="shared" si="1"/>
        <v>15663.287671232876</v>
      </c>
      <c r="H12" s="56">
        <f t="shared" si="2"/>
        <v>1015663.2876712328</v>
      </c>
      <c r="I12" s="57">
        <f t="shared" ca="1" si="3"/>
        <v>39</v>
      </c>
      <c r="J12" s="52"/>
    </row>
    <row r="13" spans="1:10" ht="18" customHeight="1" x14ac:dyDescent="0.25">
      <c r="A13" s="53" t="s">
        <v>181</v>
      </c>
      <c r="B13" s="14">
        <v>1000000</v>
      </c>
      <c r="C13" s="67">
        <v>0.04</v>
      </c>
      <c r="D13" s="68">
        <v>46255</v>
      </c>
      <c r="E13" s="68">
        <v>46434</v>
      </c>
      <c r="F13" s="54">
        <f t="shared" si="0"/>
        <v>179</v>
      </c>
      <c r="G13" s="55">
        <f t="shared" ref="G13:G21" si="4">IFERROR(B13*(C13/365)*F13,0)</f>
        <v>19616.438356164384</v>
      </c>
      <c r="H13" s="56">
        <f t="shared" ref="H13:H21" si="5">IFERROR(B13+G13,0)</f>
        <v>1019616.4383561644</v>
      </c>
      <c r="I13" s="57">
        <f t="shared" ref="I13:I21" ca="1" si="6">IFERROR(E13-TODAY(),"Vencido")</f>
        <v>113</v>
      </c>
      <c r="J13" s="52"/>
    </row>
    <row r="14" spans="1:10" ht="18" customHeight="1" x14ac:dyDescent="0.25">
      <c r="A14" s="53" t="s">
        <v>181</v>
      </c>
      <c r="B14" s="14">
        <v>1000000</v>
      </c>
      <c r="C14" s="67">
        <v>3.9E-2</v>
      </c>
      <c r="D14" s="68">
        <v>46269</v>
      </c>
      <c r="E14" s="68">
        <v>46449</v>
      </c>
      <c r="F14" s="54">
        <f t="shared" si="0"/>
        <v>180</v>
      </c>
      <c r="G14" s="55">
        <f t="shared" si="4"/>
        <v>19232.876712328769</v>
      </c>
      <c r="H14" s="56">
        <f t="shared" si="5"/>
        <v>1019232.8767123288</v>
      </c>
      <c r="I14" s="57">
        <f t="shared" ca="1" si="6"/>
        <v>128</v>
      </c>
      <c r="J14" s="52"/>
    </row>
    <row r="15" spans="1:10" ht="18" customHeight="1" x14ac:dyDescent="0.25">
      <c r="A15" s="53" t="s">
        <v>181</v>
      </c>
      <c r="B15" s="14">
        <v>1000000</v>
      </c>
      <c r="C15" s="67">
        <v>3.39E-2</v>
      </c>
      <c r="D15" s="68">
        <v>46202</v>
      </c>
      <c r="E15" s="68">
        <v>46379</v>
      </c>
      <c r="F15" s="54">
        <f t="shared" si="0"/>
        <v>177</v>
      </c>
      <c r="G15" s="55">
        <f t="shared" si="4"/>
        <v>16439.178082191782</v>
      </c>
      <c r="H15" s="56">
        <f t="shared" si="5"/>
        <v>1016439.1780821917</v>
      </c>
      <c r="I15" s="57">
        <f t="shared" ca="1" si="6"/>
        <v>58</v>
      </c>
      <c r="J15" s="52"/>
    </row>
    <row r="16" spans="1:10" ht="18" customHeight="1" x14ac:dyDescent="0.25">
      <c r="A16" s="53" t="s">
        <v>181</v>
      </c>
      <c r="B16" s="14">
        <v>1000000</v>
      </c>
      <c r="C16" s="67">
        <v>3.6499999999999998E-2</v>
      </c>
      <c r="D16" s="68">
        <v>46255</v>
      </c>
      <c r="E16" s="68">
        <v>46435</v>
      </c>
      <c r="F16" s="54">
        <f t="shared" si="0"/>
        <v>180</v>
      </c>
      <c r="G16" s="55">
        <f t="shared" si="4"/>
        <v>17999.999999999996</v>
      </c>
      <c r="H16" s="56">
        <f t="shared" si="5"/>
        <v>1018000</v>
      </c>
      <c r="I16" s="57">
        <f t="shared" ca="1" si="6"/>
        <v>114</v>
      </c>
      <c r="J16" s="52"/>
    </row>
    <row r="17" spans="1:10" ht="18" customHeight="1" x14ac:dyDescent="0.25">
      <c r="A17" s="53" t="s">
        <v>929</v>
      </c>
      <c r="B17" s="14">
        <v>2000000</v>
      </c>
      <c r="C17" s="67">
        <v>3.85E-2</v>
      </c>
      <c r="D17" s="68">
        <v>46205</v>
      </c>
      <c r="E17" s="68">
        <v>46385</v>
      </c>
      <c r="F17" s="54">
        <f t="shared" si="0"/>
        <v>180</v>
      </c>
      <c r="G17" s="55">
        <f t="shared" si="4"/>
        <v>37972.602739726026</v>
      </c>
      <c r="H17" s="56">
        <f t="shared" si="5"/>
        <v>2037972.602739726</v>
      </c>
      <c r="I17" s="57">
        <f t="shared" ca="1" si="6"/>
        <v>64</v>
      </c>
      <c r="J17" s="52"/>
    </row>
    <row r="18" spans="1:10" ht="18" customHeight="1" x14ac:dyDescent="0.25">
      <c r="A18" s="53" t="s">
        <v>929</v>
      </c>
      <c r="B18" s="14">
        <v>1000000</v>
      </c>
      <c r="C18" s="67">
        <v>0.04</v>
      </c>
      <c r="D18" s="68">
        <v>46231</v>
      </c>
      <c r="E18" s="68">
        <v>46384</v>
      </c>
      <c r="F18" s="54">
        <f t="shared" si="0"/>
        <v>153</v>
      </c>
      <c r="G18" s="55">
        <f t="shared" si="4"/>
        <v>16767.123287671231</v>
      </c>
      <c r="H18" s="56">
        <f t="shared" si="5"/>
        <v>1016767.1232876712</v>
      </c>
      <c r="I18" s="57">
        <f t="shared" ca="1" si="6"/>
        <v>63</v>
      </c>
      <c r="J18" s="52"/>
    </row>
    <row r="19" spans="1:10" ht="18" customHeight="1" x14ac:dyDescent="0.25">
      <c r="A19" s="53" t="s">
        <v>929</v>
      </c>
      <c r="B19" s="14">
        <v>1000000</v>
      </c>
      <c r="C19" s="67">
        <v>3.5000000000000003E-2</v>
      </c>
      <c r="D19" s="68">
        <v>46244</v>
      </c>
      <c r="E19" s="68">
        <v>46331</v>
      </c>
      <c r="F19" s="54">
        <f t="shared" si="0"/>
        <v>87</v>
      </c>
      <c r="G19" s="55">
        <f t="shared" si="4"/>
        <v>8342.465753424658</v>
      </c>
      <c r="H19" s="56">
        <f t="shared" si="5"/>
        <v>1008342.4657534247</v>
      </c>
      <c r="I19" s="57">
        <f t="shared" ca="1" si="6"/>
        <v>10</v>
      </c>
      <c r="J19" s="52"/>
    </row>
    <row r="20" spans="1:10" ht="18" customHeight="1" x14ac:dyDescent="0.25">
      <c r="A20" s="53" t="s">
        <v>953</v>
      </c>
      <c r="B20" s="14">
        <v>913342</v>
      </c>
      <c r="C20" s="67">
        <v>3.5000000000000003E-2</v>
      </c>
      <c r="D20" s="68">
        <v>46269</v>
      </c>
      <c r="E20" s="68">
        <v>46603</v>
      </c>
      <c r="F20" s="54">
        <f t="shared" si="0"/>
        <v>334</v>
      </c>
      <c r="G20" s="55">
        <f t="shared" si="4"/>
        <v>29251.967068493152</v>
      </c>
      <c r="H20" s="56">
        <f t="shared" si="5"/>
        <v>942593.96706849313</v>
      </c>
      <c r="I20" s="57">
        <f t="shared" ca="1" si="6"/>
        <v>282</v>
      </c>
      <c r="J20" s="52" t="s">
        <v>1234</v>
      </c>
    </row>
    <row r="21" spans="1:10" ht="18" customHeight="1" x14ac:dyDescent="0.25">
      <c r="A21" s="53" t="s">
        <v>953</v>
      </c>
      <c r="B21" s="14">
        <v>733333</v>
      </c>
      <c r="C21" s="67">
        <v>3.5000000000000003E-2</v>
      </c>
      <c r="D21" s="68">
        <v>46286</v>
      </c>
      <c r="E21" s="68">
        <v>46620</v>
      </c>
      <c r="F21" s="54">
        <f t="shared" si="0"/>
        <v>334</v>
      </c>
      <c r="G21" s="55">
        <f t="shared" si="4"/>
        <v>23486.747315068496</v>
      </c>
      <c r="H21" s="56">
        <f t="shared" si="5"/>
        <v>756819.7473150685</v>
      </c>
      <c r="I21" s="57">
        <f t="shared" ca="1" si="6"/>
        <v>299</v>
      </c>
      <c r="J21" s="52" t="s">
        <v>1234</v>
      </c>
    </row>
    <row r="22" spans="1:10" ht="19.5" customHeight="1" x14ac:dyDescent="0.25">
      <c r="A22" s="41" t="s">
        <v>155</v>
      </c>
      <c r="B22" s="58">
        <f>SUM(B5:B21)</f>
        <v>17646675</v>
      </c>
      <c r="C22" s="42"/>
      <c r="D22" s="42"/>
      <c r="E22" s="42"/>
      <c r="F22" s="42"/>
      <c r="G22" s="58">
        <f>SUM(G5:G21)</f>
        <v>325287.75547945208</v>
      </c>
      <c r="H22" s="58">
        <f>SUM(H5:H21)</f>
        <v>17971962.755479451</v>
      </c>
      <c r="I22" s="42"/>
      <c r="J22" s="42"/>
    </row>
    <row r="23" spans="1:10" ht="18" customHeight="1" x14ac:dyDescent="0.25">
      <c r="A23" s="44"/>
      <c r="B23" s="59"/>
      <c r="C23" s="60"/>
      <c r="D23" s="46"/>
      <c r="E23" s="46"/>
      <c r="F23" s="61">
        <f>IFERROR(E23-D23,0)</f>
        <v>0</v>
      </c>
      <c r="G23" s="62">
        <f>IFERROR(B23*(C23/365)*F23,0)</f>
        <v>0</v>
      </c>
      <c r="H23" s="62">
        <f>IFERROR(B23+G23,0)</f>
        <v>0</v>
      </c>
      <c r="I23" s="61">
        <f ca="1">IFERROR(E23-TODAY(),"")</f>
        <v>-46321</v>
      </c>
      <c r="J23" s="44"/>
    </row>
    <row r="24" spans="1:10" ht="18" customHeight="1" x14ac:dyDescent="0.25">
      <c r="A24" s="44"/>
      <c r="B24" s="59"/>
      <c r="C24" s="60"/>
      <c r="D24" s="46"/>
      <c r="E24" s="46"/>
      <c r="F24" s="61">
        <f>IFERROR(E24-D24,0)</f>
        <v>0</v>
      </c>
      <c r="G24" s="62">
        <f>IFERROR(B24*(C24/365)*F24,0)</f>
        <v>0</v>
      </c>
      <c r="H24" s="62">
        <f>IFERROR(B24+G24,0)</f>
        <v>0</v>
      </c>
      <c r="I24" s="61">
        <f ca="1">IFERROR(E24-TODAY(),"")</f>
        <v>-46321</v>
      </c>
      <c r="J24" s="44"/>
    </row>
    <row r="25" spans="1:10" ht="18" customHeight="1" x14ac:dyDescent="0.25">
      <c r="A25" s="44"/>
      <c r="B25" s="59"/>
      <c r="C25" s="60"/>
      <c r="D25" s="46"/>
      <c r="E25" s="46"/>
      <c r="F25" s="61">
        <f>IFERROR(E25-D25,0)</f>
        <v>0</v>
      </c>
      <c r="G25" s="62">
        <f>IFERROR(B25*(C25/365)*F25,0)</f>
        <v>0</v>
      </c>
      <c r="H25" s="62">
        <f>IFERROR(B25+G25,0)</f>
        <v>0</v>
      </c>
      <c r="I25" s="61">
        <f ca="1">IFERROR(E25-TODAY(),"")</f>
        <v>-46321</v>
      </c>
      <c r="J25" s="44"/>
    </row>
    <row r="26" spans="1:10" ht="18" customHeight="1" x14ac:dyDescent="0.25">
      <c r="A26" s="44"/>
      <c r="B26" s="59"/>
      <c r="C26" s="60"/>
      <c r="D26" s="46"/>
      <c r="E26" s="46"/>
      <c r="F26" s="61">
        <f>IFERROR(E26-D26,0)</f>
        <v>0</v>
      </c>
      <c r="G26" s="62">
        <f>IFERROR(B26*(C26/365)*F26,0)</f>
        <v>0</v>
      </c>
      <c r="H26" s="62">
        <f>IFERROR(B26+G26,0)</f>
        <v>0</v>
      </c>
      <c r="I26" s="61">
        <f ca="1">IFERROR(E26-TODAY(),"")</f>
        <v>-46321</v>
      </c>
      <c r="J26" s="44"/>
    </row>
    <row r="27" spans="1:10" ht="18" customHeight="1" x14ac:dyDescent="0.25">
      <c r="A27" s="44"/>
      <c r="B27" s="59"/>
      <c r="C27" s="60"/>
      <c r="D27" s="46"/>
      <c r="E27" s="46"/>
      <c r="F27" s="61">
        <f>IFERROR(E27-D27,0)</f>
        <v>0</v>
      </c>
      <c r="G27" s="62">
        <f>IFERROR(B27*(C27/365)*F27,0)</f>
        <v>0</v>
      </c>
      <c r="H27" s="62">
        <f>IFERROR(B27+G27,0)</f>
        <v>0</v>
      </c>
      <c r="I27" s="61">
        <f ca="1">IFERROR(E27-TODAY(),"")</f>
        <v>-46321</v>
      </c>
      <c r="J27" s="44"/>
    </row>
    <row r="29" spans="1:10" x14ac:dyDescent="0.25">
      <c r="A29" s="83" t="s">
        <v>180</v>
      </c>
      <c r="B29" s="83"/>
      <c r="C29" s="83"/>
      <c r="D29" s="83"/>
      <c r="E29" s="83"/>
      <c r="F29" s="83"/>
      <c r="G29" s="83"/>
      <c r="H29" s="83"/>
      <c r="I29" s="83"/>
      <c r="J29" s="83"/>
    </row>
    <row r="33" spans="4:4" x14ac:dyDescent="0.25">
      <c r="D33" s="64"/>
    </row>
  </sheetData>
  <mergeCells count="3">
    <mergeCell ref="A1:J1"/>
    <mergeCell ref="A2:J2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CARGA_DIARIA</vt:lpstr>
      <vt:lpstr>CREDITOS_EXTERIOR</vt:lpstr>
      <vt:lpstr>DIVISAS</vt:lpstr>
      <vt:lpstr>VENCIMIENTOS</vt:lpstr>
      <vt:lpstr>POSICION_NETA</vt:lpstr>
      <vt:lpstr>CHEQUES</vt:lpstr>
      <vt:lpstr>PROVEEDORES_LOCALES</vt:lpstr>
      <vt:lpstr>Hoja1</vt:lpstr>
      <vt:lpstr>PRESTAMOS_USD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 Vellini</cp:lastModifiedBy>
  <cp:revision>0</cp:revision>
  <dcterms:created xsi:type="dcterms:W3CDTF">2026-05-06T18:33:43Z</dcterms:created>
  <dcterms:modified xsi:type="dcterms:W3CDTF">2026-10-26T19:41:05Z</dcterms:modified>
  <dc:language>en-US</dc:language>
</cp:coreProperties>
</file>