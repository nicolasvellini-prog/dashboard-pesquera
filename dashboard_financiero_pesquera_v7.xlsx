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66BD52E8-EDD6-402D-9BE9-B5C66EB4617B}" xr6:coauthVersionLast="47" xr6:coauthVersionMax="47" xr10:uidLastSave="{00000000-0000-0000-0000-000000000000}"/>
  <bookViews>
    <workbookView xWindow="-120" yWindow="-120" windowWidth="29040" windowHeight="15720" tabRatio="500" firstSheet="5" activeTab="7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8" l="1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279" i="8"/>
  <c r="E280" i="8"/>
  <c r="E281" i="8"/>
  <c r="E5" i="8"/>
  <c r="D282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279" i="8"/>
  <c r="C280" i="8"/>
  <c r="C281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A281" i="8"/>
  <c r="A278" i="8"/>
  <c r="A279" i="8"/>
  <c r="A280" i="8"/>
  <c r="A273" i="8"/>
  <c r="A274" i="8"/>
  <c r="A275" i="8"/>
  <c r="A276" i="8"/>
  <c r="A277" i="8"/>
  <c r="A265" i="8"/>
  <c r="A266" i="8"/>
  <c r="A267" i="8"/>
  <c r="A268" i="8"/>
  <c r="A269" i="8"/>
  <c r="A270" i="8"/>
  <c r="A271" i="8"/>
  <c r="A272" i="8"/>
  <c r="A264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5" i="8"/>
  <c r="AJ105" i="2"/>
  <c r="AI105" i="2"/>
  <c r="AH105" i="2"/>
  <c r="AF105" i="2"/>
  <c r="AE105" i="2"/>
  <c r="AD105" i="2"/>
  <c r="AC105" i="2"/>
  <c r="AB105" i="2"/>
  <c r="AA105" i="2"/>
  <c r="Y105" i="2"/>
  <c r="X105" i="2"/>
  <c r="U105" i="2"/>
  <c r="Q105" i="2"/>
  <c r="P105" i="2"/>
  <c r="L105" i="2"/>
  <c r="J105" i="2"/>
  <c r="I105" i="2"/>
  <c r="H105" i="2"/>
  <c r="G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D6" i="8" l="1"/>
  <c r="D9" i="8"/>
  <c r="D12" i="8"/>
  <c r="D15" i="8"/>
  <c r="D18" i="8"/>
  <c r="D21" i="8"/>
  <c r="D24" i="8"/>
  <c r="D26" i="8"/>
  <c r="D29" i="8"/>
  <c r="D62" i="8"/>
  <c r="D65" i="8"/>
  <c r="D68" i="8"/>
  <c r="D194" i="8"/>
  <c r="D196" i="8"/>
  <c r="D199" i="8"/>
  <c r="D202" i="8"/>
  <c r="D205" i="8"/>
  <c r="D209" i="8"/>
  <c r="D211" i="8"/>
  <c r="D214" i="8"/>
  <c r="D217" i="8"/>
  <c r="D220" i="8"/>
  <c r="D223" i="8"/>
  <c r="D226" i="8"/>
  <c r="D228" i="8"/>
  <c r="D231" i="8"/>
  <c r="D235" i="8"/>
  <c r="D238" i="8"/>
  <c r="D243" i="8"/>
  <c r="D247" i="8"/>
  <c r="D254" i="8"/>
  <c r="D258" i="8"/>
  <c r="D261" i="8"/>
  <c r="D5" i="8"/>
  <c r="D203" i="8"/>
  <c r="D234" i="8"/>
  <c r="D239" i="8"/>
  <c r="D245" i="8"/>
  <c r="D249" i="8"/>
  <c r="D252" i="8"/>
  <c r="D257" i="8"/>
  <c r="D260" i="8"/>
  <c r="D10" i="8"/>
  <c r="D14" i="8"/>
  <c r="D17" i="8"/>
  <c r="D20" i="8"/>
  <c r="D23" i="8"/>
  <c r="D27" i="8"/>
  <c r="D30" i="8"/>
  <c r="D32" i="8"/>
  <c r="D61" i="8"/>
  <c r="D64" i="8"/>
  <c r="D67" i="8"/>
  <c r="D192" i="8"/>
  <c r="D197" i="8"/>
  <c r="D200" i="8"/>
  <c r="D206" i="8"/>
  <c r="D208" i="8"/>
  <c r="D213" i="8"/>
  <c r="D215" i="8"/>
  <c r="D218" i="8"/>
  <c r="D221" i="8"/>
  <c r="D224" i="8"/>
  <c r="D227" i="8"/>
  <c r="D230" i="8"/>
  <c r="D233" i="8"/>
  <c r="D237" i="8"/>
  <c r="D240" i="8"/>
  <c r="D242" i="8"/>
  <c r="D246" i="8"/>
  <c r="D250" i="8"/>
  <c r="D253" i="8"/>
  <c r="D256" i="8"/>
  <c r="D262" i="8"/>
  <c r="D7" i="8"/>
  <c r="D8" i="8"/>
  <c r="D11" i="8"/>
  <c r="D13" i="8"/>
  <c r="D16" i="8"/>
  <c r="D19" i="8"/>
  <c r="D22" i="8"/>
  <c r="D25" i="8"/>
  <c r="D28" i="8"/>
  <c r="D31" i="8"/>
  <c r="D60" i="8"/>
  <c r="D63" i="8"/>
  <c r="D66" i="8"/>
  <c r="D69" i="8"/>
  <c r="D193" i="8"/>
  <c r="D195" i="8"/>
  <c r="D198" i="8"/>
  <c r="D201" i="8"/>
  <c r="D204" i="8"/>
  <c r="D207" i="8"/>
  <c r="D210" i="8"/>
  <c r="D212" i="8"/>
  <c r="D216" i="8"/>
  <c r="D219" i="8"/>
  <c r="D222" i="8"/>
  <c r="D225" i="8"/>
  <c r="D229" i="8"/>
  <c r="D232" i="8"/>
  <c r="D236" i="8"/>
  <c r="D241" i="8"/>
  <c r="D244" i="8"/>
  <c r="D248" i="8"/>
  <c r="D251" i="8"/>
  <c r="D255" i="8"/>
  <c r="D259" i="8"/>
  <c r="D263" i="8"/>
  <c r="C282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176" i="8"/>
  <c r="D104" i="2"/>
  <c r="D105" i="2" s="1"/>
  <c r="G14" i="9"/>
  <c r="Z100" i="2"/>
  <c r="Z101" i="2" s="1"/>
  <c r="Z102" i="2" s="1"/>
  <c r="Z103" i="2" s="1"/>
  <c r="Z104" i="2" s="1"/>
  <c r="Z105" i="2" s="1"/>
  <c r="H99" i="2"/>
  <c r="H100" i="2" s="1"/>
  <c r="H101" i="2" s="1"/>
  <c r="H102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G102" i="2" s="1"/>
  <c r="AG103" i="2" s="1"/>
  <c r="AG104" i="2" s="1"/>
  <c r="AG105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2" i="9"/>
  <c r="G12" i="9" s="1"/>
  <c r="H12" i="9" s="1"/>
  <c r="I12" i="9"/>
  <c r="F10" i="9"/>
  <c r="G10" i="9"/>
  <c r="H10" i="9" s="1"/>
  <c r="I10" i="9"/>
  <c r="I11" i="9"/>
  <c r="F11" i="9"/>
  <c r="G11" i="9" s="1"/>
  <c r="H11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282" i="8" l="1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05" i="6" l="1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<sst xmlns="http://schemas.openxmlformats.org/spreadsheetml/2006/main" count="4387" uniqueCount="1312">
  <si>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</si>
  <si>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</si>
  <si>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</si>
  <si>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</si>
  <si>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</si>
  <si>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</si>
  <si>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</si>
  <si>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</si>
  <si>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</si>
  <si>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</si>
  <si>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</si>
  <si>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</si>
  <si>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</si>
  <si>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</si>
  <si>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</si>
  <si>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</si>
  <si>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</si>
  <si>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</si>
  <si>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</si>
  <si>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</si>
  <si>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</si>
  <si>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</si>
  <si>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</si>
  <si>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</si>
  <si>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</si>
  <si>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</si>
  <si>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</si>
  <si>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</si>
  <si>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</si>
  <si>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</si>
  <si>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</si>
  <si>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</si>
  <si>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</si>
  <si>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</si>
  <si>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</si>
  <si>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</si>
  <si>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</si>
  <si>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</si>
  <si>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</si>
  <si>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</si>
  <si>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</si>
  <si>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</si>
  <si>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</si>
  <si>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</si>
  <si>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</si>
  <si>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</si>
  <si>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</si>
  <si>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</si>
  <si>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</si>
  <si>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</si>
  <si>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</si>
  <si>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</si>
  <si>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</si>
  <si>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</si>
  <si>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</si>
  <si>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</si>
  <si>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</si>
  <si>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</si>
  <si>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</si>
  <si>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</si>
  <si>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</si>
  <si>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</si>
  <si>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</si>
  <si>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</si>
  <si>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</si>
  <si>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</si>
  <si>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</si>
  <si>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</si>
  <si>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</si>
  <si>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</si>
  <si>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</si>
  <si>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</si>
  <si>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</si>
  <si>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</si>
  <si>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</si>
  <si>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</si>
  <si>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</si>
  <si>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</si>
  <si>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</si>
  <si>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</si>
  <si>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</si>
  <si>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</si>
  <si>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</si>
  <si>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</si>
  <si>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</si>
  <si>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</si>
  <si>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</si>
  <si>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</si>
  <si>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</si>
  <si>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</si>
  <si>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</si>
  <si>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</si>
  <si>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</si>
  <si>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</si>
  <si>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</si>
  <si>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</si>
  <si>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</si>
  <si>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</si>
  <si>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</si>
  <si>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</si>
  <si>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</si>
  <si>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</si>
  <si>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</si>
  <si>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</si>
  <si>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</si>
  <si>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</si>
  <si>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</si>
  <si>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</si>
  <si>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</si>
  <si>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</si>
  <si>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</si>
  <si>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</si>
  <si>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</si>
  <si>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</si>
  <si>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</si>
  <si>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</si>
  <si>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</si>
  <si>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</si>
  <si>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</si>
  <si>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</si>
  <si>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</si>
  <si>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</si>
  <si>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</si>
  <si>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</si>
  <si>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</si>
  <si>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</si>
  <si>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</si>
  <si>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</si>
  <si>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</si>
  <si>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</si>
  <si>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</si>
  <si>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</si>
  <si>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</si>
  <si>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</si>
  <si>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</si>
  <si>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</si>
  <si>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</si>
  <si>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</si>
  <si>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</si>
  <si>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</si>
  <si>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</si>
  <si>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</si>
  <si>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</si>
  <si>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</si>
  <si>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</si>
  <si>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</si>
  <si>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</si>
  <si>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</si>
  <si>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</si>
  <si>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</si>
  <si>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</si>
  <si>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</si>
  <si>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</si>
  <si>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</si>
  <si>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</si>
  <si>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</si>
  <si>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</si>
  <si>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</si>
  <si>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</si>
  <si>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</si>
  <si>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</si>
  <si>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</si>
  <si>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</si>
  <si>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</si>
  <si>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</si>
  <si>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</si>
  <si>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</si>
  <si>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</si>
  <si>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</si>
  <si>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</si>
  <si>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</si>
  <si>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</si>
  <si>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</si>
  <si>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</si>
  <si>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</si>
  <si>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</si>
  <si>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</si>
  <si>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</si>
  <si>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</si>
  <si>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</si>
  <si>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</si>
  <si>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</si>
  <si>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08053</t>
  </si>
  <si>
    <t> ARG SEAMAN ELECTRONICS S.A.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</si>
  <si>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</si>
  <si>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</si>
  <si>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</si>
  <si>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</si>
  <si>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</si>
  <si>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</si>
  <si>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</si>
  <si>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</si>
  <si>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</si>
  <si>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</si>
  <si>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</si>
  <si>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</si>
  <si>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</si>
  <si>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</si>
  <si>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</si>
  <si>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</si>
  <si>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</si>
  <si>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</si>
  <si>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</si>
  <si>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</si>
  <si>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07910</t>
  </si>
  <si>
    <t>BALIÑA GERARDO DANIEL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</si>
  <si>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</si>
  <si>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</si>
  <si>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</si>
  <si>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</si>
  <si>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</si>
  <si>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</si>
  <si>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</si>
  <si>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</si>
  <si>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</si>
  <si>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</si>
  <si>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</si>
  <si>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</si>
  <si>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</si>
  <si>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</si>
  <si>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</si>
  <si>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</si>
  <si>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</si>
  <si>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</si>
  <si>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</si>
  <si>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</si>
  <si>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</si>
  <si>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</si>
  <si>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</si>
  <si>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</si>
  <si>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</si>
  <si>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</si>
  <si>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</si>
  <si>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</si>
  <si>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</si>
  <si>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</si>
  <si>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</si>
  <si>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</si>
  <si>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05983</t>
  </si>
  <si>
    <t>COOPERATIVA DE TRABAJO PROVISION DE SERVICIOS DE ESTIBAJE PUERTO MADRYN LTDA</t>
  </si>
  <si>
    <t>01118</t>
  </si>
  <si>
    <t>CROCE HNOS. AGENTES MARITIMOS S.R.L.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</si>
  <si>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</si>
  <si>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</si>
  <si>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</si>
  <si>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</si>
  <si>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</si>
  <si>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</si>
  <si>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</si>
  <si>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</si>
  <si>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</si>
  <si>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</si>
  <si>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</si>
  <si>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</si>
  <si>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</si>
  <si>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</si>
  <si>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</si>
  <si>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</si>
  <si>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</si>
  <si>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</si>
  <si>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</si>
  <si>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</si>
  <si>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</si>
  <si>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</si>
  <si>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</si>
  <si>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</si>
  <si>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</si>
  <si>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</si>
  <si>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</si>
  <si>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</si>
  <si>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</si>
  <si>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</si>
  <si>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</si>
  <si>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</si>
  <si>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</si>
  <si>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</si>
  <si>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</si>
  <si>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</si>
  <si>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</si>
  <si>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</si>
  <si>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</si>
  <si>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</si>
  <si>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</si>
  <si>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</si>
  <si>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</si>
  <si>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</si>
  <si>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</si>
  <si>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</si>
  <si>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</si>
  <si>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</si>
  <si>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</si>
  <si>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</si>
  <si>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</si>
  <si>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</si>
  <si>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</si>
  <si>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</si>
  <si>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</si>
  <si>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</si>
  <si>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</si>
  <si>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</si>
  <si>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</si>
  <si>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</si>
  <si>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</si>
  <si>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</si>
  <si>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</si>
  <si>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</si>
  <si>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</si>
  <si>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</si>
  <si>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</si>
  <si>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</si>
  <si>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</si>
  <si>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</si>
  <si>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</si>
  <si>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</si>
  <si>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</si>
  <si>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</si>
  <si>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</si>
  <si>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</si>
  <si>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</si>
  <si>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</si>
  <si>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</si>
  <si>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</si>
  <si>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</si>
  <si>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</si>
  <si>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</si>
  <si>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</si>
  <si>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09053</t>
  </si>
  <si>
    <t>GERAHARD HNOS SOCIEDAD DE RESPONSABILIDAD LIMITADA EN FORMACION</t>
  </si>
  <si>
    <t>03748</t>
  </si>
  <si>
    <t>GIAMBARTOLOMEI ROSANA NATALIA</t>
  </si>
  <si>
    <t>07680</t>
  </si>
  <si>
    <t>GINIAMO SA</t>
  </si>
  <si>
    <t>05571</t>
  </si>
  <si>
    <t>GOGNIAT SOLDADURA SA</t>
  </si>
  <si>
    <t>08744</t>
  </si>
  <si>
    <t>GRAMAJO PABLO MARTIN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</si>
  <si>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</si>
  <si>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</si>
  <si>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</si>
  <si>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</si>
  <si>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</si>
  <si>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</si>
  <si>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</si>
  <si>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</si>
  <si>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</si>
  <si>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</si>
  <si>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</si>
  <si>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</si>
  <si>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</si>
  <si>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</si>
  <si>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</si>
  <si>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</si>
  <si>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</si>
  <si>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</si>
  <si>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</si>
  <si>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</si>
  <si>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</si>
  <si>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</si>
  <si>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</si>
  <si>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</si>
  <si>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</si>
  <si>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</si>
  <si>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</si>
  <si>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</si>
  <si>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</si>
  <si>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</si>
  <si>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</si>
  <si>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</si>
  <si>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</si>
  <si>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</si>
  <si>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</si>
  <si>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</si>
  <si>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</si>
  <si>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</si>
  <si>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</si>
  <si>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</si>
  <si>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</si>
  <si>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</si>
  <si>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</si>
  <si>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</si>
  <si>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</si>
  <si>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</si>
  <si>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</si>
  <si>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</si>
  <si>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</si>
  <si>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</si>
  <si>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</si>
  <si>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</si>
  <si>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</si>
  <si>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</si>
  <si>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</si>
  <si>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</si>
  <si>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</si>
  <si>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</si>
  <si>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</si>
  <si>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</si>
  <si>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</si>
  <si>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</si>
  <si>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</si>
  <si>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</si>
  <si>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</si>
  <si>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</si>
  <si>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</si>
  <si>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</si>
  <si>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</si>
  <si>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</si>
  <si>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</si>
  <si>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</si>
  <si>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</si>
  <si>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</si>
  <si>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</si>
  <si>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</si>
  <si>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</si>
  <si>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</si>
  <si>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09470</t>
  </si>
  <si>
    <t>MOURESEANU LEANDRO JOSE</t>
  </si>
  <si>
    <t>05186</t>
  </si>
  <si>
    <t>MPE S.A.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</si>
  <si>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</si>
  <si>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</si>
  <si>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</si>
  <si>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</si>
  <si>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</si>
  <si>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</si>
  <si>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</si>
  <si>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</si>
  <si>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07735</t>
  </si>
  <si>
    <t>NAVARRO EDUARDO MARCELO</t>
  </si>
  <si>
    <t>06121</t>
  </si>
  <si>
    <t>NICLAU DESPACHANTES DE ADUANA S.A.</t>
  </si>
  <si>
    <t>05410</t>
  </si>
  <si>
    <t>NUEVA EDISON FARMACEUTICA SCS</t>
  </si>
  <si>
    <t>06923</t>
  </si>
  <si>
    <t>NUÑEZ JORGE DANIEL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</si>
  <si>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</si>
  <si>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</si>
  <si>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</si>
  <si>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</si>
  <si>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</si>
  <si>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</si>
  <si>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</si>
  <si>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</si>
  <si>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</si>
  <si>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</si>
  <si>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</si>
  <si>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</si>
  <si>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</si>
  <si>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</si>
  <si>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07732</t>
  </si>
  <si>
    <t>PUNTO TRUCK S.A.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</si>
  <si>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</si>
  <si>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</si>
  <si>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</si>
  <si>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</si>
  <si>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</si>
  <si>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</si>
  <si>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</si>
  <si>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</si>
  <si>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</si>
  <si>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</si>
  <si>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</si>
  <si>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</si>
  <si>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</si>
  <si>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</si>
  <si>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</si>
  <si>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</si>
  <si>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</si>
  <si>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</si>
  <si>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</si>
  <si>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</si>
  <si>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</si>
  <si>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</si>
  <si>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</si>
  <si>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</si>
  <si>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</si>
  <si>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</si>
  <si>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</si>
  <si>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</si>
  <si>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</si>
  <si>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</si>
  <si>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</si>
  <si>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</si>
  <si>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</si>
  <si>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</si>
  <si>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</si>
  <si>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</si>
  <si>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</si>
  <si>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</si>
  <si>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</si>
  <si>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</si>
  <si>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</si>
  <si>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</si>
  <si>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</si>
  <si>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</si>
  <si>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</si>
  <si>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</si>
  <si>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</si>
  <si>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</si>
  <si>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</si>
  <si>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</si>
  <si>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</si>
  <si>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</si>
  <si>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</si>
  <si>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</si>
  <si>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</si>
  <si>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</si>
  <si>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</si>
  <si>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</si>
  <si>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</si>
  <si>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</si>
  <si>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</si>
  <si>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</si>
  <si>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</si>
  <si>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</si>
  <si>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</si>
  <si>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</si>
  <si>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01953</t>
  </si>
  <si>
    <t>TROMBA SA</t>
  </si>
  <si>
    <t>09510</t>
  </si>
  <si>
    <t>TRUCHI RUBEN ANGEL</t>
  </si>
  <si>
    <t>07448</t>
  </si>
  <si>
    <t>URK SA</t>
  </si>
  <si>
    <t>04035</t>
  </si>
  <si>
    <t>VAZQUEZ DANIEL NORBERTO</t>
  </si>
  <si>
    <t>08414</t>
  </si>
  <si>
    <t>VERA STRACCIATELLA S. A.</t>
  </si>
  <si>
    <t>07004</t>
  </si>
  <si>
    <t>VES ARG S.R.L.</t>
  </si>
  <si>
    <t>05474</t>
  </si>
  <si>
    <t>VILLAMAGNA HNOS SRL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</si>
  <si>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</si>
  <si>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</si>
  <si>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</si>
  <si>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</si>
  <si>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</si>
  <si>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</si>
  <si>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</si>
  <si>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WATER NAVAL</t>
  </si>
  <si>
    <t>08729</t>
  </si>
  <si>
    <t>Y.C. ARMO-CAS S. A.</t>
  </si>
  <si>
    <t>02429</t>
  </si>
  <si>
    <t>YPF S.A.</t>
  </si>
  <si>
    <t>08677</t>
  </si>
  <si>
    <t>ZAGAS PROFESIONAL SA</t>
  </si>
  <si>
    <t>Usuario: NICOLAS VELLINI</t>
  </si>
  <si>
    <t> </t>
  </si>
  <si>
    <t>Parámetros</t>
  </si>
  <si>
    <t>00504</t>
  </si>
  <si>
    <t>ADOLFO FORTIER S A C I F I A</t>
  </si>
  <si>
    <t>04288</t>
  </si>
  <si>
    <t>ASSISTANCE FOOD ARGENTINA SA</t>
  </si>
  <si>
    <t>00089</t>
  </si>
  <si>
    <t>ASTILLERO NAVAL FEDERICO CONTESSI Y CIA SA.</t>
  </si>
  <si>
    <t>05004</t>
  </si>
  <si>
    <t>BENEDETTO PELOSI S. 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</si>
  <si>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</si>
  <si>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</si>
  <si>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</si>
  <si>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</si>
  <si>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</si>
  <si>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</si>
  <si>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</si>
  <si>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</si>
  <si>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</si>
  <si>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</si>
  <si>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08225</t>
  </si>
  <si>
    <t>FIREFISH SA</t>
  </si>
  <si>
    <t>08161</t>
  </si>
  <si>
    <t>GANACA7 S.R.L.</t>
  </si>
  <si>
    <t>08661</t>
  </si>
  <si>
    <t>GOROSITO ALEJO ALONCIO</t>
  </si>
  <si>
    <t>04686</t>
  </si>
  <si>
    <t>HAUNOLD VIVIANA</t>
  </si>
  <si>
    <t>07587</t>
  </si>
  <si>
    <t>INDUSTRIAL PUERTO S.A</t>
  </si>
  <si>
    <t>01336</t>
  </si>
  <si>
    <t>LA NUEVA ASTURIANA S.A.</t>
  </si>
  <si>
    <t>05378</t>
  </si>
  <si>
    <t>LASER DIGITAL SRL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</si>
  <si>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</si>
  <si>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</si>
  <si>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</si>
  <si>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</si>
  <si>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</si>
  <si>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</si>
  <si>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</si>
  <si>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</si>
  <si>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</si>
  <si>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</si>
  <si>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03820</t>
  </si>
  <si>
    <t>REGINALD LEE S.A.</t>
  </si>
  <si>
    <t>06400</t>
  </si>
  <si>
    <t>RIVERA LUIS GUILLERMO</t>
  </si>
  <si>
    <t>06636</t>
  </si>
  <si>
    <t>SETEIN PRODUCTOS INDUSTRIALES S.A.</t>
  </si>
  <si>
    <t>04769</t>
  </si>
  <si>
    <t>SIMMONS DE ARGENTINA SAIC</t>
  </si>
  <si>
    <t>07987</t>
  </si>
  <si>
    <t>SIRO HUGO CESAR</t>
  </si>
  <si>
    <t>09434</t>
  </si>
  <si>
    <t>SOLARI JOSE JESUS</t>
  </si>
  <si>
    <t>02288</t>
  </si>
  <si>
    <t>TALLARICO JOSE LUIS</t>
  </si>
  <si>
    <t>09462</t>
  </si>
  <si>
    <t>TECH SAFE S.A.</t>
  </si>
  <si>
    <t>03695</t>
  </si>
  <si>
    <t>TELECOM ARGENTINA SA</t>
  </si>
  <si>
    <t>04989</t>
  </si>
  <si>
    <t>TRANSPORTADORA "EL DIRECTO" S.R.L.</t>
  </si>
  <si>
    <t>08782</t>
  </si>
  <si>
    <t>TRANSPORTE LCD E HIJOS S. R. L.</t>
  </si>
  <si>
    <t>06375</t>
  </si>
  <si>
    <t>TREMBLAY S.R.L.</t>
  </si>
  <si>
    <t>07686</t>
  </si>
  <si>
    <t>URIARTE MARCELO OSVALDO</t>
  </si>
  <si>
    <t>09557</t>
  </si>
  <si>
    <t>VILLAGRA DAVID ERNESTO</t>
  </si>
  <si>
    <t>09576</t>
  </si>
  <si>
    <t>WANBARU ICE S.A.</t>
  </si>
  <si>
    <t>PV - Análisis de Vencimientos 30-60-90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</si>
  <si>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</si>
  <si>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</si>
  <si>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</si>
  <si>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</si>
  <si>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</si>
  <si>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</si>
  <si>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</si>
  <si>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</si>
  <si>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</si>
  <si>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08938</t>
  </si>
  <si>
    <t> AGROLOG S.A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</si>
  <si>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</si>
  <si>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</si>
  <si>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</si>
  <si>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</si>
  <si>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</si>
  <si>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</si>
  <si>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</si>
  <si>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</si>
  <si>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</si>
  <si>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</si>
  <si>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</si>
  <si>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</si>
  <si>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</si>
  <si>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00182</t>
  </si>
  <si>
    <t>ABB S.A.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</si>
  <si>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</si>
  <si>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</si>
  <si>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</si>
  <si>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</si>
  <si>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</si>
  <si>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</si>
  <si>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</si>
  <si>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</si>
  <si>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08847</t>
  </si>
  <si>
    <t>AGUILERA GLADYS ELIZABETH</t>
  </si>
  <si>
    <t>HONORARIOS PROFESIONALES</t>
  </si>
  <si>
    <t>PR027</t>
  </si>
  <si>
    <t>PROVEEDURIA - INSUMOS PARA BUQUES</t>
  </si>
  <si>
    <t>PR041</t>
  </si>
  <si>
    <t>SERVICIOS DE TELEFONIA</t>
  </si>
  <si>
    <t>PR053</t>
  </si>
  <si>
    <t>07309</t>
  </si>
  <si>
    <t>ANGLADA ALFONSO</t>
  </si>
  <si>
    <t>SERVICIOS ADMINISTRATIVOS</t>
  </si>
  <si>
    <t>PR158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</si>
  <si>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</si>
  <si>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</si>
  <si>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</si>
  <si>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</si>
  <si>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</si>
  <si>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</si>
  <si>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09607</t>
  </si>
  <si>
    <t>ASTRADA LUCA</t>
  </si>
  <si>
    <t>BIDONES DE AGUA</t>
  </si>
  <si>
    <t>PR105</t>
  </si>
  <si>
    <t>TRANSPORTES Y FLETES</t>
  </si>
  <si>
    <t>PR054</t>
  </si>
  <si>
    <t>REPARACIONES RODADOS</t>
  </si>
  <si>
    <t>PR188</t>
  </si>
  <si>
    <t>08159</t>
  </si>
  <si>
    <t>BENEDETTI JORGE ALEJANDRO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</si>
  <si>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</si>
  <si>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</si>
  <si>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</si>
  <si>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</si>
  <si>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</si>
  <si>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</si>
  <si>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09605</t>
  </si>
  <si>
    <t>BERGEON MARTIN RAMON</t>
  </si>
  <si>
    <t>SERVICIOS DE TERCEROS-ALQUILER</t>
  </si>
  <si>
    <t>PR0101</t>
  </si>
  <si>
    <t>MANTEN. Y DEPURACION POZOS DE AGUA</t>
  </si>
  <si>
    <t>PR085</t>
  </si>
  <si>
    <t>PROVEEDURIA-LACTEOS P/ BUQUES</t>
  </si>
  <si>
    <t>PR109</t>
  </si>
  <si>
    <t>09568</t>
  </si>
  <si>
    <t>BOSCH CESAR MARCELO</t>
  </si>
  <si>
    <t>REPARACIONES Y MANTENIMIENTO FRIGORIFICO</t>
  </si>
  <si>
    <t>PR171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</si>
  <si>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</si>
  <si>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</si>
  <si>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</si>
  <si>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</si>
  <si>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</si>
  <si>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</si>
  <si>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07670</t>
  </si>
  <si>
    <t>CAPORELLA NICOLAS EZEQUIEL</t>
  </si>
  <si>
    <t>08147</t>
  </si>
  <si>
    <t>CARLOS JORGE DIEGO</t>
  </si>
  <si>
    <t>00098</t>
  </si>
  <si>
    <t>CARMELO GARRIDO E HIJOS S R L</t>
  </si>
  <si>
    <t>TALLER y CARPINTERIA NAVAL</t>
  </si>
  <si>
    <t>PR052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</si>
  <si>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</si>
  <si>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</si>
  <si>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</si>
  <si>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</si>
  <si>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</si>
  <si>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</si>
  <si>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05344</t>
  </si>
  <si>
    <t>CASIMIRO FELIX TOYOS E HIJOS SA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</si>
  <si>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</si>
  <si>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</si>
  <si>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</si>
  <si>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</si>
  <si>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</si>
  <si>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</si>
  <si>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09173</t>
  </si>
  <si>
    <t>CONTRERAS PONCE LISETTE ROSANA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</si>
  <si>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</si>
  <si>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</si>
  <si>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</si>
  <si>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</si>
  <si>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</si>
  <si>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</si>
  <si>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</si>
  <si>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</si>
  <si>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</si>
  <si>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</si>
  <si>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</si>
  <si>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</si>
  <si>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</si>
  <si>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</si>
  <si>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09612</t>
  </si>
  <si>
    <t>DEBONI ALEJANDRO MARTIN</t>
  </si>
  <si>
    <t>ALQUILERES</t>
  </si>
  <si>
    <t>8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</si>
  <si>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</si>
  <si>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</si>
  <si>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</si>
  <si>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</si>
  <si>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</si>
  <si>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</si>
  <si>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</si>
  <si>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</si>
  <si>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</si>
  <si>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</si>
  <si>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</si>
  <si>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</si>
  <si>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</si>
  <si>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</si>
  <si>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</si>
  <si>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</si>
  <si>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</si>
  <si>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</si>
  <si>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</si>
  <si>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</si>
  <si>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06004</t>
  </si>
  <si>
    <t>EUROPATAGONICA S A</t>
  </si>
  <si>
    <t>GARRAFAS DE FREON</t>
  </si>
  <si>
    <t>PR185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</si>
  <si>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</si>
  <si>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</si>
  <si>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</si>
  <si>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</si>
  <si>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</si>
  <si>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</si>
  <si>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</si>
  <si>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</si>
  <si>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</si>
  <si>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</si>
  <si>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</si>
  <si>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</si>
  <si>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07752</t>
  </si>
  <si>
    <t>FIGUEROA SILVIA GRACIELA</t>
  </si>
  <si>
    <t>MATAFUEGOS Y ELEMNTOS DE SEGURIDAD BUQUES/EMPRESA</t>
  </si>
  <si>
    <t>PR089</t>
  </si>
  <si>
    <t>Empresas del Grupo</t>
  </si>
  <si>
    <t>0</t>
  </si>
  <si>
    <t>05733</t>
  </si>
  <si>
    <t>GARCIA ALBERTO OMAR</t>
  </si>
  <si>
    <t>PROVEEDURIA-POLLERIA/GRANJA P/ BUQUES</t>
  </si>
  <si>
    <t>PR108</t>
  </si>
  <si>
    <t>09094</t>
  </si>
  <si>
    <t>GLARIA ANABELA</t>
  </si>
  <si>
    <t>09613</t>
  </si>
  <si>
    <t>GONZALEZ JORGE ANDRES</t>
  </si>
  <si>
    <t>CARPINTERIA DE ALUMINIO</t>
  </si>
  <si>
    <t>PR009</t>
  </si>
  <si>
    <t>SERVICIO DE LAVADO</t>
  </si>
  <si>
    <t>PR002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</si>
  <si>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</si>
  <si>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</si>
  <si>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</si>
  <si>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</si>
  <si>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</si>
  <si>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</si>
  <si>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</si>
  <si>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</si>
  <si>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</si>
  <si>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</si>
  <si>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</si>
  <si>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</si>
  <si>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</si>
  <si>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</si>
  <si>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08640</t>
  </si>
  <si>
    <t>JARDINES DE LA FACULTAD SA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</si>
  <si>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</si>
  <si>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</si>
  <si>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</si>
  <si>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</si>
  <si>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</si>
  <si>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</si>
  <si>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</si>
  <si>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</si>
  <si>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</si>
  <si>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</si>
  <si>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</si>
  <si>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</si>
  <si>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09016</t>
  </si>
  <si>
    <t>MELLADO CEBALLOS RUBEN MARCOS</t>
  </si>
  <si>
    <t>09043</t>
  </si>
  <si>
    <t>MONCADA MARIA DEL CARMEN</t>
  </si>
  <si>
    <t>SEGURIDAD-VIGILANCIA EMPRESA</t>
  </si>
  <si>
    <t>PR073</t>
  </si>
  <si>
    <t>08887</t>
  </si>
  <si>
    <t>MONTENEGRO MARIA VIVIANA</t>
  </si>
  <si>
    <t>REPARACIONES Y MANTENIMIENTO BUQUES</t>
  </si>
  <si>
    <t>PR186</t>
  </si>
  <si>
    <t>EMERGENCIA MEDICA</t>
  </si>
  <si>
    <t>PR097</t>
  </si>
  <si>
    <t>MATERIALES Y EQUIPOS PARA SALVAMENTO</t>
  </si>
  <si>
    <t>PR033</t>
  </si>
  <si>
    <t>05807</t>
  </si>
  <si>
    <t>NISENBAUM CARLOS DANIEL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</si>
  <si>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</si>
  <si>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</si>
  <si>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</si>
  <si>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</si>
  <si>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</si>
  <si>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</si>
  <si>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</si>
  <si>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</si>
  <si>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09502</t>
  </si>
  <si>
    <t>PIJUAN JUAN IGNACIO</t>
  </si>
  <si>
    <t>09598</t>
  </si>
  <si>
    <t>PINO FABIAN FERNANDO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</si>
  <si>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</si>
  <si>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</si>
  <si>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</si>
  <si>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</si>
  <si>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</si>
  <si>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</si>
  <si>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</si>
  <si>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</si>
  <si>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07390</t>
  </si>
  <si>
    <t>ROBERTS OSCAR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</si>
  <si>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</si>
  <si>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</si>
  <si>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</si>
  <si>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</si>
  <si>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</si>
  <si>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</si>
  <si>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08597</t>
  </si>
  <si>
    <t>SEMAVE S R L</t>
  </si>
  <si>
    <t>REPARACIONES ELECTRICAS BUQUE/PLANTA</t>
  </si>
  <si>
    <t>PR083</t>
  </si>
  <si>
    <t>MAT. Y EQUIPOS PARA BUQUES</t>
  </si>
  <si>
    <t>PR203</t>
  </si>
  <si>
    <t>09330</t>
  </si>
  <si>
    <t>STRUVAY NANCY VIVIANA</t>
  </si>
  <si>
    <t>PR165</t>
  </si>
  <si>
    <t>05092</t>
  </si>
  <si>
    <t>TENES S.A.</t>
  </si>
  <si>
    <t>GOMERIA</t>
  </si>
  <si>
    <t>PR080</t>
  </si>
  <si>
    <t>08953</t>
  </si>
  <si>
    <t>TODO BOMBAS S. R. L.</t>
  </si>
  <si>
    <t>SUPERMERCADO-PROVEEDURIA</t>
  </si>
  <si>
    <t>CL007</t>
  </si>
  <si>
    <t>00084</t>
  </si>
  <si>
    <t>TORRES Y LIVA SACIF</t>
  </si>
  <si>
    <t>PROVEEDURIA:BAZAR P/BUQUES</t>
  </si>
  <si>
    <t>PR069</t>
  </si>
  <si>
    <t>TRANSPORTE DE PASAJEROS</t>
  </si>
  <si>
    <t>PR001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</si>
  <si>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</si>
  <si>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</si>
  <si>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</si>
  <si>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</si>
  <si>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</si>
  <si>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</si>
  <si>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</si>
  <si>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</si>
  <si>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ROLLOS DE ETIQUETAS PARA CONTENEDORES</t>
  </si>
  <si>
    <t>PR212</t>
  </si>
  <si>
    <t>POLIETILENO P/ EXPORTACION</t>
  </si>
  <si>
    <t>PR038</t>
  </si>
  <si>
    <t>08158</t>
  </si>
  <si>
    <t>VIVAS MARIA INES</t>
  </si>
  <si>
    <t>Código de proveedor   desde:     hasta: </t>
  </si>
  <si>
    <t>Deuda al día   valor: 20260602</t>
  </si>
  <si>
    <t>No incluye   valor: PR006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</si>
  <si>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</si>
  <si>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</si>
  <si>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</si>
  <si>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</si>
  <si>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</si>
  <si>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</si>
  <si>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</si>
  <si>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</si>
  <si>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</si>
  <si>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</si>
  <si>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</si>
  <si>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</si>
  <si>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</si>
  <si>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</si>
  <si>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</si>
  <si>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</si>
  <si>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</si>
  <si>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</si>
  <si>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</si>
  <si>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</si>
  <si>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</si>
  <si>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</si>
  <si>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</si>
  <si>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</si>
  <si>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</si>
  <si>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</si>
  <si>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</si>
  <si>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</si>
  <si>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</si>
  <si>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</si>
  <si>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</si>
  <si>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</si>
  <si>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</si>
  <si>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</si>
  <si>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</si>
  <si>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</si>
  <si>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</si>
  <si>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</si>
  <si>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</si>
  <si>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</si>
  <si>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</si>
  <si>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</si>
  <si>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</si>
  <si>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</si>
  <si>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</si>
  <si>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</si>
  <si>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</si>
  <si>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</si>
  <si>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</si>
  <si>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</si>
  <si>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</si>
  <si>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</si>
  <si>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</si>
  <si>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</si>
  <si>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</si>
  <si>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</si>
  <si>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</si>
  <si>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</si>
  <si>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</si>
  <si>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</si>
  <si>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</si>
  <si>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</si>
  <si>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</si>
  <si>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</si>
  <si>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</si>
  <si>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</si>
  <si>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</si>
  <si>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</si>
  <si>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</si>
  <si>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</si>
  <si>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</si>
  <si>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</si>
  <si>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</si>
  <si>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</si>
  <si>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</si>
  <si>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</si>
  <si>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</si>
  <si>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</si>
  <si>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</si>
  <si>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</si>
  <si>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</si>
  <si>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</si>
  <si>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</si>
  <si>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</si>
  <si>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</si>
  <si>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</si>
  <si>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</si>
  <si>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</si>
  <si>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</si>
  <si>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</si>
  <si>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</si>
  <si>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</si>
  <si>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</si>
  <si>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</si>
  <si>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</si>
  <si>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</si>
  <si>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</si>
  <si>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</si>
  <si>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</si>
  <si>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</si>
  <si>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</si>
  <si>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</si>
  <si>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</si>
  <si>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</si>
  <si>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</si>
  <si>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</si>
  <si>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</si>
  <si>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</si>
  <si>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</si>
  <si>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</si>
  <si>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</si>
  <si>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</si>
  <si>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</si>
  <si>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</si>
  <si>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</si>
  <si>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</si>
  <si>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</si>
  <si>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</si>
  <si>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</si>
  <si>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</si>
  <si>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</si>
  <si>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</si>
  <si>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</si>
  <si>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</si>
  <si>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</si>
  <si>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</si>
  <si>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</si>
  <si>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</si>
  <si>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</si>
  <si>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</si>
  <si>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</si>
  <si>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</si>
  <si>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</si>
  <si>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</si>
  <si>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</si>
  <si>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</si>
  <si>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</si>
  <si>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</si>
  <si>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</si>
  <si>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</si>
  <si>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</si>
  <si>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</si>
  <si>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</si>
  <si>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</si>
  <si>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</si>
  <si>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</si>
  <si>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</si>
  <si>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</si>
  <si>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</si>
  <si>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</si>
  <si>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</si>
  <si>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</si>
  <si>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</si>
  <si>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</si>
  <si>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</si>
  <si>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</si>
  <si>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</si>
  <si>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</si>
  <si>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</si>
  <si>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</si>
  <si>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</si>
  <si>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</si>
  <si>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</si>
  <si>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</si>
  <si>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</si>
  <si>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</si>
  <si>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</si>
  <si>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</si>
  <si>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</si>
  <si>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</si>
  <si>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</si>
  <si>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</si>
  <si>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</si>
  <si>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</si>
  <si>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</si>
  <si>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</si>
  <si>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</si>
  <si>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</si>
  <si>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</si>
  <si>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</si>
  <si>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</si>
  <si>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</si>
  <si>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</si>
  <si>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</si>
  <si>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</si>
  <si>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</si>
  <si>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</si>
  <si>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</si>
  <si>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</si>
  <si>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</si>
  <si>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</si>
  <si>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</si>
  <si>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</si>
  <si>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</si>
  <si>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</si>
  <si>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</si>
  <si>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</si>
  <si>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</si>
  <si>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</si>
  <si>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</si>
  <si>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</si>
  <si>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</si>
  <si>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</si>
  <si>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</si>
  <si>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</si>
  <si>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</si>
  <si>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</si>
  <si>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</si>
  <si>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</si>
  <si>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</si>
  <si>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</si>
  <si>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</si>
  <si>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</si>
  <si>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</si>
  <si>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</si>
  <si>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</si>
  <si>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</si>
  <si>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</si>
  <si>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</si>
  <si>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</si>
  <si>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</si>
  <si>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</si>
  <si>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</si>
  <si>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</si>
  <si>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</si>
  <si>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</si>
  <si>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</si>
  <si>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</si>
  <si>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</si>
  <si>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</si>
  <si>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</si>
  <si>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</si>
  <si>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</si>
  <si>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</si>
  <si>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</si>
  <si>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</si>
  <si>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</si>
  <si>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</si>
  <si>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</si>
  <si>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</si>
  <si>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</si>
  <si>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</si>
  <si>
    <t>09552</t>
  </si>
  <si>
    <t> MARITIMA OBISPO COMERCIO EXTERIOR SAS</t>
  </si>
  <si>
    <t>SERVICIOS MARITIMOS</t>
  </si>
  <si>
    <t>PR148</t>
  </si>
  <si>
    <t>08250</t>
  </si>
  <si>
    <t> NALDO LOMBARDI S A</t>
  </si>
  <si>
    <t>07598</t>
  </si>
  <si>
    <t>ABREU JOSE LUIS</t>
  </si>
  <si>
    <t>08457</t>
  </si>
  <si>
    <t>ACCELLERON ARGENTINA S. A.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</si>
  <si>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</si>
  <si>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</si>
  <si>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</si>
  <si>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</si>
  <si>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</si>
  <si>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</si>
  <si>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</si>
  <si>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</si>
  <si>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06699</t>
  </si>
  <si>
    <t>ALTIUS ARGENTINA S.A</t>
  </si>
  <si>
    <t>04187</t>
  </si>
  <si>
    <t>ASOCIACION CAMARA DE LA INDUSTRIA PESQUERA ARGENTINA</t>
  </si>
  <si>
    <t>09199</t>
  </si>
  <si>
    <t>ATL CARGO S.R.L.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</si>
  <si>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</si>
  <si>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</si>
  <si>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</si>
  <si>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</si>
  <si>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</si>
  <si>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</si>
  <si>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08179</t>
  </si>
  <si>
    <t>BIOSEGUR SRL</t>
  </si>
  <si>
    <t> 8968</t>
  </si>
  <si>
    <t>BIRAS JONATAN EDGARDO</t>
  </si>
  <si>
    <t>07977</t>
  </si>
  <si>
    <t>BIRCHER DELIA MARISA</t>
  </si>
  <si>
    <t>06759</t>
  </si>
  <si>
    <t>BLOCK PABLO DANIEL Y BLOCK MIGUEL ANGEL S H</t>
  </si>
  <si>
    <t>07780</t>
  </si>
  <si>
    <t>BONIFACIO MARIA CECILIA</t>
  </si>
  <si>
    <t>08426</t>
  </si>
  <si>
    <t>BRAC MDQ CORPORATION SA</t>
  </si>
  <si>
    <t>08399</t>
  </si>
  <si>
    <t>BRASAS JUAN IGNACIO</t>
  </si>
  <si>
    <t>01006</t>
  </si>
  <si>
    <t>CARTONERIA ACEVEDO SACI</t>
  </si>
  <si>
    <t>00020</t>
  </si>
  <si>
    <t>CERROSUD S.A. (CAE)</t>
  </si>
  <si>
    <t>05510</t>
  </si>
  <si>
    <t>COMERCIAL DEL MAR S.A.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</si>
  <si>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</si>
  <si>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</si>
  <si>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</si>
  <si>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</si>
  <si>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</si>
  <si>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</si>
  <si>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</si>
  <si>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</si>
  <si>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</si>
  <si>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</si>
  <si>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</si>
  <si>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</si>
  <si>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07017</t>
  </si>
  <si>
    <t>FEADAR S.A.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</si>
  <si>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</si>
  <si>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</si>
  <si>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</si>
  <si>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</si>
  <si>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</si>
  <si>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</si>
  <si>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</si>
  <si>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</si>
  <si>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07485</t>
  </si>
  <si>
    <t>HERNANDEZ CORTES MIGUEL</t>
  </si>
  <si>
    <t>INSTALACIONES PLANTA FRIGORIFICA</t>
  </si>
  <si>
    <t>PR029</t>
  </si>
  <si>
    <t>09521</t>
  </si>
  <si>
    <t>INDUSTRIAS CONTARDO S A I Y C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</si>
  <si>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</si>
  <si>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</si>
  <si>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</si>
  <si>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</si>
  <si>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</si>
  <si>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</si>
  <si>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</si>
  <si>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</si>
  <si>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</si>
  <si>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</si>
  <si>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08582</t>
  </si>
  <si>
    <t>MANNA JORGE LUIS</t>
  </si>
  <si>
    <t>07240</t>
  </si>
  <si>
    <t>MARITIMA GITAN SA</t>
  </si>
  <si>
    <t>07968</t>
  </si>
  <si>
    <t>MARITIMA OBISPO S.A.S.</t>
  </si>
  <si>
    <t>01973</t>
  </si>
  <si>
    <t>MONTERO S.A.</t>
  </si>
  <si>
    <t>09070</t>
  </si>
  <si>
    <t>MORALES ADRIAN LINDOR</t>
  </si>
  <si>
    <t>06006</t>
  </si>
  <si>
    <t>MOREIRA ROLANDO RAMON</t>
  </si>
  <si>
    <t>06902</t>
  </si>
  <si>
    <t>MUÑIZ HNOS S R L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</si>
  <si>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</si>
  <si>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</si>
  <si>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</si>
  <si>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</si>
  <si>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</si>
  <si>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</si>
  <si>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05446</t>
  </si>
  <si>
    <t>PARTES INFORMATICAS . COM   S.A.</t>
  </si>
  <si>
    <t>05838</t>
  </si>
  <si>
    <t>PEREZ RIVERA E HIJOS SRL</t>
  </si>
  <si>
    <t>MATERIALES DE CONSTRUCCION FRIGORIFICO</t>
  </si>
  <si>
    <t>PR034</t>
  </si>
  <si>
    <t>05770</t>
  </si>
  <si>
    <t>PESQUERA SAN CAYETANO S.A.</t>
  </si>
  <si>
    <t>06216</t>
  </si>
  <si>
    <t>PMDP SA</t>
  </si>
  <si>
    <t>COMBUSTIBLES Y LUBRICANTES RODADOS</t>
  </si>
  <si>
    <t>PR161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</si>
  <si>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</si>
  <si>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</si>
  <si>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</si>
  <si>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</si>
  <si>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</si>
  <si>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</si>
  <si>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</si>
  <si>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</si>
  <si>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07335</t>
  </si>
  <si>
    <t>RICARDO PABLO ANDRADE</t>
  </si>
  <si>
    <t>08419</t>
  </si>
  <si>
    <t>SAN MARCOS E. S.A.</t>
  </si>
  <si>
    <t>08377</t>
  </si>
  <si>
    <t>SELEC ELECTRICIDAD Y ELECTRONICA S.R.L</t>
  </si>
  <si>
    <t>05848</t>
  </si>
  <si>
    <t>SER AMBIENT SRL</t>
  </si>
  <si>
    <t>08736</t>
  </si>
  <si>
    <t>SERRANO LEONARDO DAVID</t>
  </si>
  <si>
    <t>06858</t>
  </si>
  <si>
    <t>SIDER GROUP S.A.</t>
  </si>
  <si>
    <t>07426</t>
  </si>
  <si>
    <t>STELLA DANIEL GENARO</t>
  </si>
  <si>
    <t>00145</t>
  </si>
  <si>
    <t>TALLERES CARMONA S.A.</t>
  </si>
  <si>
    <t>08747</t>
  </si>
  <si>
    <t>TALLONE ALEJANDRO ULISES</t>
  </si>
  <si>
    <t>05683</t>
  </si>
  <si>
    <t>TELMEX ARGENTINA SA</t>
  </si>
  <si>
    <t>05028</t>
  </si>
  <si>
    <t>VIENTOS DE LUNA S.A.</t>
  </si>
  <si>
    <t>06385</t>
  </si>
  <si>
    <t>VILGOM ARGENTINA S.A.</t>
  </si>
  <si>
    <t>07795</t>
  </si>
  <si>
    <t>VIORFI SOCIEDAD ANONIMA</t>
  </si>
  <si>
    <t>09600</t>
  </si>
  <si>
    <t>WANCHESE ARGENTINA S R 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</si>
</sst>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0" fontId="11" fillId="10" borderId="4" xfId="0" applyNumberFormat="1" applyFont="1" applyFill="1" applyBorder="1" applyAlignment="1">
      <alignment horizontal="right" vertical="center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  <xf numFmtId="9" fontId="7" fillId="2" borderId="1" xfId="4" applyFont="1" applyFill="1" applyBorder="1" applyAlignment="1">
      <alignment horizontal="right" vertical="center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6865695997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5" t="s">
        <v>0</v>
      </c>
      <c r="B1" s="75"/>
      <c r="C1" s="75"/>
      <c r="D1" s="75"/>
      <c r="E1" s="75"/>
      <c r="F1" s="75"/>
    </row>
    <row r="2" spans="1:6" ht="19.5" customHeight="1" x14ac:dyDescent="0.25">
      <c r="A2" s="76" t="s">
        <v>1</v>
      </c>
      <c r="B2" s="76"/>
      <c r="C2" s="76"/>
      <c r="D2" s="76"/>
      <c r="E2" s="76"/>
      <c r="F2" s="76"/>
    </row>
    <row r="5" spans="1:6" ht="15" customHeight="1" x14ac:dyDescent="0.25">
      <c r="A5" s="2"/>
      <c r="B5" s="3"/>
    </row>
    <row r="6" spans="1:6" ht="15" customHeight="1" x14ac:dyDescent="0.25">
      <c r="A6" s="74" t="s">
        <v>2</v>
      </c>
      <c r="B6" s="74"/>
      <c r="C6" s="74"/>
      <c r="D6" s="74"/>
      <c r="E6" s="74"/>
      <c r="F6" s="74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4" t="s">
        <v>21</v>
      </c>
      <c r="B17" s="74"/>
      <c r="C17" s="74"/>
      <c r="D17" s="74"/>
      <c r="E17" s="74"/>
      <c r="F17" s="74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4" t="s">
        <v>32</v>
      </c>
      <c r="B24" s="74"/>
      <c r="C24" s="74"/>
      <c r="D24" s="74"/>
      <c r="E24" s="74"/>
      <c r="F24" s="74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4" t="s">
        <v>47</v>
      </c>
      <c r="B33" s="74"/>
      <c r="C33" s="74"/>
      <c r="D33" s="74"/>
      <c r="E33" s="74"/>
      <c r="F33" s="74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opLeftCell="A3" zoomScaleNormal="100" workbookViewId="0">
      <pane ySplit="1" topLeftCell="A86" activePane="bottomLeft" state="frozen"/>
      <selection activeCell="A3" sqref="A3"/>
      <selection pane="bottomLeft" activeCell="A105" sqref="A105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69" t="s">
        <v>54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spans="1:37" ht="21.75" hidden="1" customHeight="1" x14ac:dyDescent="0.25">
      <c r="A2" s="5" t="s">
        <v>55</v>
      </c>
      <c r="B2" s="5" t="s">
        <v>56</v>
      </c>
      <c r="C2" s="70" t="s">
        <v>57</v>
      </c>
      <c r="D2" s="70"/>
      <c r="E2" s="70"/>
      <c r="F2" s="70"/>
      <c r="G2" s="70"/>
      <c r="H2" s="70"/>
      <c r="I2" s="70"/>
      <c r="J2" s="71" t="s">
        <v>58</v>
      </c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2" t="s">
        <v>59</v>
      </c>
      <c r="X2" s="72"/>
      <c r="Y2" s="72"/>
      <c r="Z2" s="72"/>
      <c r="AA2" s="72"/>
      <c r="AB2" s="72"/>
      <c r="AC2" s="72"/>
      <c r="AD2" s="72"/>
      <c r="AE2" s="72"/>
      <c r="AF2" s="1"/>
      <c r="AG2" s="73"/>
      <c r="AH2" s="73"/>
      <c r="AI2" s="73"/>
      <c r="AJ2" s="73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4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4">
        <v>2600000</v>
      </c>
      <c r="AC4" s="64">
        <v>6975000</v>
      </c>
      <c r="AD4" s="64">
        <v>159934</v>
      </c>
      <c r="AE4" s="64">
        <v>2044803</v>
      </c>
      <c r="AF4" s="64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4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4">
        <v>2600000</v>
      </c>
      <c r="AC5" s="64">
        <v>6975000</v>
      </c>
      <c r="AD5" s="64">
        <v>159934</v>
      </c>
      <c r="AE5" s="64">
        <v>2044803</v>
      </c>
      <c r="AF5" s="64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4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4">
        <v>2600000</v>
      </c>
      <c r="AC6" s="64">
        <v>6975000</v>
      </c>
      <c r="AD6" s="64">
        <v>159934</v>
      </c>
      <c r="AE6" s="64">
        <v>2044803</v>
      </c>
      <c r="AF6" s="64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4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4">
        <v>2600000</v>
      </c>
      <c r="AC7" s="64">
        <v>6975000</v>
      </c>
      <c r="AD7" s="64">
        <v>159934</v>
      </c>
      <c r="AE7" s="64">
        <v>2344803</v>
      </c>
      <c r="AF7" s="64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4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4">
        <v>2600000</v>
      </c>
      <c r="AC8" s="64">
        <v>6975000</v>
      </c>
      <c r="AD8" s="64">
        <v>159934</v>
      </c>
      <c r="AE8" s="64">
        <v>2344803</v>
      </c>
      <c r="AF8" s="64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4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4">
        <v>2600000</v>
      </c>
      <c r="AC9" s="64">
        <v>6975000</v>
      </c>
      <c r="AD9" s="64">
        <v>159934</v>
      </c>
      <c r="AE9" s="64">
        <v>2344803</v>
      </c>
      <c r="AF9" s="64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4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4">
        <v>2600000</v>
      </c>
      <c r="AC10" s="64">
        <v>6975000</v>
      </c>
      <c r="AD10" s="64">
        <v>159934</v>
      </c>
      <c r="AE10" s="64">
        <v>2344803</v>
      </c>
      <c r="AF10" s="64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4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4">
        <v>2600000</v>
      </c>
      <c r="AC11" s="64">
        <v>6975000</v>
      </c>
      <c r="AD11" s="64">
        <v>159934</v>
      </c>
      <c r="AE11" s="64">
        <v>2344803</v>
      </c>
      <c r="AF11" s="64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4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4">
        <v>2600000</v>
      </c>
      <c r="AC12" s="64">
        <v>6975000</v>
      </c>
      <c r="AD12" s="64">
        <v>159934</v>
      </c>
      <c r="AE12" s="64">
        <v>2194803</v>
      </c>
      <c r="AF12" s="64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4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4">
        <v>2600000</v>
      </c>
      <c r="AC13" s="64">
        <v>6975000</v>
      </c>
      <c r="AD13" s="64">
        <v>159934</v>
      </c>
      <c r="AE13" s="64">
        <v>2194803</v>
      </c>
      <c r="AF13" s="64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4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4">
        <v>2600000</v>
      </c>
      <c r="AC14" s="64">
        <v>6975000</v>
      </c>
      <c r="AD14" s="64">
        <v>159934</v>
      </c>
      <c r="AE14" s="64">
        <v>2194803</v>
      </c>
      <c r="AF14" s="64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4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4">
        <v>2600000</v>
      </c>
      <c r="AC15" s="64">
        <v>6975000</v>
      </c>
      <c r="AD15" s="64">
        <v>159934</v>
      </c>
      <c r="AE15" s="64">
        <v>2194803</v>
      </c>
      <c r="AF15" s="64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4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4">
        <v>2600000</v>
      </c>
      <c r="AC16" s="64">
        <v>6975000</v>
      </c>
      <c r="AD16" s="64">
        <v>159934</v>
      </c>
      <c r="AE16" s="64">
        <v>2194803</v>
      </c>
      <c r="AF16" s="64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4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4">
        <v>2600000</v>
      </c>
      <c r="AC17" s="64">
        <v>6975000</v>
      </c>
      <c r="AD17" s="64">
        <v>159934</v>
      </c>
      <c r="AE17" s="64">
        <v>2194803</v>
      </c>
      <c r="AF17" s="64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4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4">
        <v>2600000</v>
      </c>
      <c r="AC18" s="64">
        <v>8975000</v>
      </c>
      <c r="AD18" s="64">
        <v>159934</v>
      </c>
      <c r="AE18" s="64">
        <v>2194803</v>
      </c>
      <c r="AF18" s="64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4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4">
        <v>2600000</v>
      </c>
      <c r="AC19" s="64">
        <v>7975000</v>
      </c>
      <c r="AD19" s="64">
        <v>159934</v>
      </c>
      <c r="AE19" s="64">
        <v>2194803</v>
      </c>
      <c r="AF19" s="64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4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4">
        <v>2600000</v>
      </c>
      <c r="AC20" s="64">
        <v>7975000</v>
      </c>
      <c r="AD20" s="64">
        <v>159934</v>
      </c>
      <c r="AE20" s="64">
        <v>2194803</v>
      </c>
      <c r="AF20" s="64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4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4">
        <v>2600000</v>
      </c>
      <c r="AC21" s="64">
        <v>7000000</v>
      </c>
      <c r="AD21" s="64">
        <v>159934</v>
      </c>
      <c r="AE21" s="64">
        <v>340000</v>
      </c>
      <c r="AF21" s="64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4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4">
        <v>2600000</v>
      </c>
      <c r="AC22" s="64">
        <v>7000000</v>
      </c>
      <c r="AD22" s="64">
        <v>159934</v>
      </c>
      <c r="AE22" s="64">
        <v>2194803</v>
      </c>
      <c r="AF22" s="64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4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4">
        <v>2600000</v>
      </c>
      <c r="AC23" s="64">
        <v>7000000</v>
      </c>
      <c r="AD23" s="64">
        <v>159934</v>
      </c>
      <c r="AE23" s="64">
        <v>2194803</v>
      </c>
      <c r="AF23" s="64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4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4">
        <v>2600000</v>
      </c>
      <c r="AC24" s="64">
        <v>7000000</v>
      </c>
      <c r="AD24" s="64">
        <v>159934</v>
      </c>
      <c r="AE24" s="64">
        <v>2194803</v>
      </c>
      <c r="AF24" s="64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4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4">
        <v>2600000</v>
      </c>
      <c r="AC25" s="64">
        <v>7000000</v>
      </c>
      <c r="AD25" s="64">
        <v>159934</v>
      </c>
      <c r="AE25" s="64">
        <v>2194803</v>
      </c>
      <c r="AF25" s="64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4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4">
        <v>2600000</v>
      </c>
      <c r="AC26" s="64">
        <v>7000000</v>
      </c>
      <c r="AD26" s="64">
        <v>159934</v>
      </c>
      <c r="AE26" s="64">
        <v>2194803</v>
      </c>
      <c r="AF26" s="64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4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4">
        <v>2600000</v>
      </c>
      <c r="AC27" s="64">
        <v>7000000</v>
      </c>
      <c r="AD27" s="64">
        <v>159934</v>
      </c>
      <c r="AE27" s="64">
        <v>340000</v>
      </c>
      <c r="AF27" s="64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4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4">
        <v>2600000</v>
      </c>
      <c r="AC28" s="64">
        <v>7000000</v>
      </c>
      <c r="AD28" s="64">
        <v>159934</v>
      </c>
      <c r="AE28" s="64">
        <v>340000</v>
      </c>
      <c r="AF28" s="64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4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4">
        <v>1891000</v>
      </c>
      <c r="AC29" s="64">
        <v>7000000</v>
      </c>
      <c r="AD29" s="64">
        <v>159934</v>
      </c>
      <c r="AE29" s="64">
        <v>340000</v>
      </c>
      <c r="AF29" s="64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4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4">
        <v>1891000</v>
      </c>
      <c r="AC30" s="64">
        <v>7000000</v>
      </c>
      <c r="AD30" s="64">
        <v>159934</v>
      </c>
      <c r="AE30" s="64">
        <v>340000</v>
      </c>
      <c r="AF30" s="64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4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4">
        <v>1891000</v>
      </c>
      <c r="AC31" s="64">
        <v>7000000</v>
      </c>
      <c r="AD31" s="64">
        <v>159934</v>
      </c>
      <c r="AE31" s="64">
        <v>340000</v>
      </c>
      <c r="AF31" s="64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4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4">
        <v>2069775.5603799999</v>
      </c>
      <c r="AC32" s="64">
        <v>7000000</v>
      </c>
      <c r="AD32" s="64">
        <v>159934</v>
      </c>
      <c r="AE32" s="64">
        <v>160000</v>
      </c>
      <c r="AF32" s="64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4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4">
        <v>2069775.5603799999</v>
      </c>
      <c r="AC33" s="64">
        <v>7000000</v>
      </c>
      <c r="AD33" s="64">
        <v>159934</v>
      </c>
      <c r="AE33" s="64">
        <v>160000</v>
      </c>
      <c r="AF33" s="64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4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4">
        <v>2069775.5603799999</v>
      </c>
      <c r="AC34" s="64">
        <v>7000000</v>
      </c>
      <c r="AD34" s="64">
        <v>159934</v>
      </c>
      <c r="AE34" s="64">
        <v>160000</v>
      </c>
      <c r="AF34" s="64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4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4">
        <v>2069775.5603799999</v>
      </c>
      <c r="AC35" s="64">
        <v>7000000</v>
      </c>
      <c r="AD35" s="64">
        <v>159934</v>
      </c>
      <c r="AE35" s="64">
        <v>160000</v>
      </c>
      <c r="AF35" s="64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4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4">
        <v>2069775.5603799999</v>
      </c>
      <c r="AC36" s="64">
        <v>7000000</v>
      </c>
      <c r="AD36" s="64">
        <v>91766.133942161294</v>
      </c>
      <c r="AE36" s="64">
        <v>160000</v>
      </c>
      <c r="AF36" s="64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4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4">
        <v>2069775.5603799999</v>
      </c>
      <c r="AC37" s="64">
        <v>7000000</v>
      </c>
      <c r="AD37" s="64">
        <v>91766.133942161294</v>
      </c>
      <c r="AE37" s="64">
        <v>160000</v>
      </c>
      <c r="AF37" s="64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4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4">
        <v>2069775.5603799999</v>
      </c>
      <c r="AC38" s="64">
        <v>7000000</v>
      </c>
      <c r="AD38" s="64">
        <v>91766.133942161294</v>
      </c>
      <c r="AE38" s="64">
        <v>160000</v>
      </c>
      <c r="AF38" s="64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4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4">
        <v>2069775.5603799999</v>
      </c>
      <c r="AC39" s="64">
        <v>7000000</v>
      </c>
      <c r="AD39" s="64">
        <v>91766.133942161294</v>
      </c>
      <c r="AE39" s="64">
        <v>160000</v>
      </c>
      <c r="AF39" s="64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4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4">
        <v>2069775.5603799999</v>
      </c>
      <c r="AC40" s="64">
        <v>8000000</v>
      </c>
      <c r="AD40" s="64">
        <v>121516.133942161</v>
      </c>
      <c r="AE40" s="64">
        <v>160000</v>
      </c>
      <c r="AF40" s="64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4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4">
        <v>2069775.5603799999</v>
      </c>
      <c r="AC41" s="64">
        <v>8000000</v>
      </c>
      <c r="AD41" s="64">
        <v>121516.133942161</v>
      </c>
      <c r="AE41" s="64">
        <v>160000</v>
      </c>
      <c r="AF41" s="64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4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4">
        <v>2069775.5603799999</v>
      </c>
      <c r="AC42" s="64">
        <v>8000000</v>
      </c>
      <c r="AD42" s="64">
        <v>121516.133942161</v>
      </c>
      <c r="AE42" s="64">
        <v>160000</v>
      </c>
      <c r="AF42" s="64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4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4">
        <v>2069775.5603799999</v>
      </c>
      <c r="AC43" s="64">
        <v>8000000</v>
      </c>
      <c r="AD43" s="64">
        <v>121807.80060882799</v>
      </c>
      <c r="AE43" s="64">
        <v>160000</v>
      </c>
      <c r="AF43" s="64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4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4">
        <v>2069775.5603799999</v>
      </c>
      <c r="AC44" s="64">
        <v>8000000</v>
      </c>
      <c r="AD44" s="64">
        <v>121807.80060882799</v>
      </c>
      <c r="AE44" s="64">
        <v>160000</v>
      </c>
      <c r="AF44" s="64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4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4">
        <v>2069775.5603799999</v>
      </c>
      <c r="AC45" s="64">
        <v>8000000</v>
      </c>
      <c r="AD45" s="64">
        <v>121807.80060882799</v>
      </c>
      <c r="AE45" s="64">
        <v>160000</v>
      </c>
      <c r="AF45" s="64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4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4">
        <v>2069775.5603799999</v>
      </c>
      <c r="AC46" s="64">
        <v>9000000</v>
      </c>
      <c r="AD46" s="64">
        <v>121807.80060882799</v>
      </c>
      <c r="AE46" s="64">
        <v>160000</v>
      </c>
      <c r="AF46" s="64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4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4">
        <v>2069775.5603799999</v>
      </c>
      <c r="AC47" s="64">
        <v>9000000</v>
      </c>
      <c r="AD47" s="64">
        <v>141199.467275495</v>
      </c>
      <c r="AE47" s="64">
        <v>160000</v>
      </c>
      <c r="AF47" s="64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4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4">
        <v>2069775.5603799999</v>
      </c>
      <c r="AC48" s="64">
        <v>9000000</v>
      </c>
      <c r="AD48" s="64">
        <v>141199.467275495</v>
      </c>
      <c r="AE48" s="64">
        <v>160000</v>
      </c>
      <c r="AF48" s="64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4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4">
        <v>1250975</v>
      </c>
      <c r="AC49" s="64">
        <v>9000000</v>
      </c>
      <c r="AD49" s="64">
        <v>141199.467275495</v>
      </c>
      <c r="AE49" s="64">
        <v>160000</v>
      </c>
      <c r="AF49" s="64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4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4">
        <v>1250975</v>
      </c>
      <c r="AC50" s="64">
        <v>9000000</v>
      </c>
      <c r="AD50" s="64">
        <v>141199.467275495</v>
      </c>
      <c r="AE50" s="64">
        <v>160000</v>
      </c>
      <c r="AF50" s="64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4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4">
        <v>1228556.9603800001</v>
      </c>
      <c r="AC51" s="64">
        <v>9000000</v>
      </c>
      <c r="AD51" s="64">
        <v>141199.467275495</v>
      </c>
      <c r="AE51" s="64">
        <v>160000</v>
      </c>
      <c r="AF51" s="64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4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4">
        <v>1228556.9603800001</v>
      </c>
      <c r="AC52" s="64">
        <v>9000000</v>
      </c>
      <c r="AD52" s="64">
        <v>141199.467275495</v>
      </c>
      <c r="AE52" s="64">
        <v>160000</v>
      </c>
      <c r="AF52" s="64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4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4">
        <v>1228556.9603800001</v>
      </c>
      <c r="AC53" s="64">
        <v>9000000</v>
      </c>
      <c r="AD53" s="64">
        <v>141199.467275495</v>
      </c>
      <c r="AE53" s="64">
        <v>160000</v>
      </c>
      <c r="AF53" s="64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4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4">
        <v>1228556.9603800001</v>
      </c>
      <c r="AC54" s="64">
        <v>9000000</v>
      </c>
      <c r="AD54" s="64">
        <v>141199.467275495</v>
      </c>
      <c r="AE54" s="64">
        <v>160000</v>
      </c>
      <c r="AF54" s="64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4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4">
        <v>1228556.9603800001</v>
      </c>
      <c r="AC55" s="64">
        <v>9000000</v>
      </c>
      <c r="AD55" s="64">
        <v>141199.467275495</v>
      </c>
      <c r="AE55" s="64">
        <v>160000</v>
      </c>
      <c r="AF55" s="64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4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4">
        <v>1186423.85038</v>
      </c>
      <c r="AC56" s="64">
        <v>9000000</v>
      </c>
      <c r="AD56" s="64">
        <v>141199.467275495</v>
      </c>
      <c r="AE56" s="64">
        <v>160000</v>
      </c>
      <c r="AF56" s="64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4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4">
        <v>1186423.85038</v>
      </c>
      <c r="AC57" s="64">
        <v>9000000</v>
      </c>
      <c r="AD57" s="64">
        <v>141199.467275495</v>
      </c>
      <c r="AE57" s="64">
        <v>160000</v>
      </c>
      <c r="AF57" s="64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4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4">
        <v>1261501.4325300001</v>
      </c>
      <c r="AC58" s="64">
        <v>9000000</v>
      </c>
      <c r="AD58" s="64">
        <v>141199.467275495</v>
      </c>
      <c r="AE58" s="64">
        <v>160000</v>
      </c>
      <c r="AF58" s="64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4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4">
        <v>1173173.7125299999</v>
      </c>
      <c r="AC59" s="64">
        <v>9000000</v>
      </c>
      <c r="AD59" s="64">
        <v>141199.467275495</v>
      </c>
      <c r="AE59" s="64">
        <v>160000</v>
      </c>
      <c r="AF59" s="64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4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4">
        <v>1043837.65169</v>
      </c>
      <c r="AC60" s="64">
        <v>9000000</v>
      </c>
      <c r="AD60" s="64">
        <v>141199.467275495</v>
      </c>
      <c r="AE60" s="64">
        <v>160000</v>
      </c>
      <c r="AF60" s="64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4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4">
        <v>1043837.65169</v>
      </c>
      <c r="AC61" s="64">
        <v>9000000</v>
      </c>
      <c r="AD61" s="64">
        <v>141199.467275495</v>
      </c>
      <c r="AE61" s="64">
        <v>160000</v>
      </c>
      <c r="AF61" s="64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4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4">
        <v>1043837.65169</v>
      </c>
      <c r="AC62" s="64">
        <v>9000000</v>
      </c>
      <c r="AD62" s="64">
        <v>141199.467275495</v>
      </c>
      <c r="AE62" s="64">
        <v>160000</v>
      </c>
      <c r="AF62" s="64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4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4">
        <v>1043837.65169</v>
      </c>
      <c r="AC63" s="64">
        <v>9000000</v>
      </c>
      <c r="AD63" s="64">
        <v>141199.467275495</v>
      </c>
      <c r="AE63" s="64">
        <v>160000</v>
      </c>
      <c r="AF63" s="64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4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4">
        <v>1043837.65169</v>
      </c>
      <c r="AC64" s="64">
        <v>9000000</v>
      </c>
      <c r="AD64" s="64">
        <v>141199.467275495</v>
      </c>
      <c r="AE64" s="64">
        <v>160000</v>
      </c>
      <c r="AF64" s="64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4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4">
        <v>1043837.65169</v>
      </c>
      <c r="AC65" s="64">
        <v>9000000</v>
      </c>
      <c r="AD65" s="64">
        <v>141199.467275495</v>
      </c>
      <c r="AE65" s="64">
        <v>160000</v>
      </c>
      <c r="AF65" s="64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4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4">
        <v>5323936474</v>
      </c>
      <c r="AB66" s="64">
        <v>1043837.65169</v>
      </c>
      <c r="AC66" s="64">
        <v>9000000</v>
      </c>
      <c r="AD66" s="64">
        <v>141199.467275495</v>
      </c>
      <c r="AE66" s="64">
        <v>160000</v>
      </c>
      <c r="AF66" s="64">
        <v>15805699.747</v>
      </c>
      <c r="AG66" s="64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4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4">
        <v>5326477214</v>
      </c>
      <c r="AB67" s="64">
        <v>1043837.65169</v>
      </c>
      <c r="AC67" s="64">
        <v>9000000</v>
      </c>
      <c r="AD67" s="64">
        <v>141199.467275495</v>
      </c>
      <c r="AE67" s="64">
        <v>160000</v>
      </c>
      <c r="AF67" s="64">
        <v>14987064.137</v>
      </c>
      <c r="AG67" s="64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4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4">
        <v>5326477214</v>
      </c>
      <c r="AB68" s="64">
        <v>1073356.5716899999</v>
      </c>
      <c r="AC68" s="64">
        <v>9000000</v>
      </c>
      <c r="AD68" s="64">
        <v>141199.467275495</v>
      </c>
      <c r="AE68" s="64">
        <v>160000</v>
      </c>
      <c r="AF68" s="64">
        <v>15105321.484999999</v>
      </c>
      <c r="AG68" s="64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4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4">
        <v>4452570427</v>
      </c>
      <c r="AB69" s="64">
        <v>1073356.5716899999</v>
      </c>
      <c r="AC69" s="64">
        <v>9000000</v>
      </c>
      <c r="AD69" s="64">
        <v>141199.467275495</v>
      </c>
      <c r="AE69" s="64">
        <v>160000</v>
      </c>
      <c r="AF69" s="64">
        <v>15276296.839</v>
      </c>
      <c r="AG69" s="64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4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4">
        <v>4251587803</v>
      </c>
      <c r="AB70" s="64">
        <v>1073356.5716899999</v>
      </c>
      <c r="AC70" s="64">
        <v>9000000</v>
      </c>
      <c r="AD70" s="64">
        <v>141199.467275495</v>
      </c>
      <c r="AE70" s="64">
        <v>160000</v>
      </c>
      <c r="AF70" s="64">
        <v>15276296.839</v>
      </c>
      <c r="AG70" s="64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4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4">
        <v>4290166643</v>
      </c>
      <c r="AB71" s="64">
        <v>1146353.5376899999</v>
      </c>
      <c r="AC71" s="64">
        <v>9000000</v>
      </c>
      <c r="AD71" s="64">
        <v>141199.467275495</v>
      </c>
      <c r="AE71" s="64">
        <v>160000</v>
      </c>
      <c r="AF71" s="64">
        <v>16078914.694499999</v>
      </c>
      <c r="AG71" s="64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4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4">
        <v>4379298833</v>
      </c>
      <c r="AB72" s="64">
        <v>1146353.5376899999</v>
      </c>
      <c r="AC72" s="64">
        <v>9000000</v>
      </c>
      <c r="AD72" s="64">
        <v>141199.467275495</v>
      </c>
      <c r="AE72" s="64">
        <v>160000</v>
      </c>
      <c r="AF72" s="64">
        <v>16224100.4625</v>
      </c>
      <c r="AG72" s="64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4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4">
        <v>4712030319</v>
      </c>
      <c r="AB73" s="64">
        <v>1146353.5376899999</v>
      </c>
      <c r="AC73" s="64">
        <v>9000000</v>
      </c>
      <c r="AD73" s="64">
        <v>141199.467275495</v>
      </c>
      <c r="AE73" s="64">
        <v>160000</v>
      </c>
      <c r="AF73" s="64">
        <v>16778257.956500001</v>
      </c>
      <c r="AG73" s="64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4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4">
        <v>4694734694</v>
      </c>
      <c r="AB74" s="64">
        <v>1197403.0916899999</v>
      </c>
      <c r="AC74" s="64">
        <v>9000000</v>
      </c>
      <c r="AD74" s="64">
        <v>141199.467275495</v>
      </c>
      <c r="AE74" s="64">
        <v>160000</v>
      </c>
      <c r="AF74" s="64">
        <v>17866546.067499999</v>
      </c>
      <c r="AG74" s="64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4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4">
        <v>5547195047</v>
      </c>
      <c r="AB75" s="64">
        <v>1197403.0916899999</v>
      </c>
      <c r="AC75" s="64">
        <v>9000000</v>
      </c>
      <c r="AD75" s="64">
        <v>141199.467275495</v>
      </c>
      <c r="AE75" s="64">
        <v>160000</v>
      </c>
      <c r="AF75" s="64">
        <v>19735952.995499998</v>
      </c>
      <c r="AG75" s="64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4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4">
        <v>5696016937</v>
      </c>
      <c r="AB76" s="64">
        <v>1197403.0916899999</v>
      </c>
      <c r="AC76" s="64">
        <v>9000000</v>
      </c>
      <c r="AD76" s="64">
        <v>141199.467275495</v>
      </c>
      <c r="AE76" s="64">
        <v>160000</v>
      </c>
      <c r="AF76" s="64">
        <v>20113367.468499999</v>
      </c>
      <c r="AG76" s="64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4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4">
        <v>6059237792</v>
      </c>
      <c r="AB77" s="64">
        <v>1197403.0916899999</v>
      </c>
      <c r="AC77" s="64">
        <v>9000000</v>
      </c>
      <c r="AD77" s="64">
        <v>141199.467275495</v>
      </c>
      <c r="AE77" s="64">
        <v>160000</v>
      </c>
      <c r="AF77" s="64">
        <v>20113367.468499999</v>
      </c>
      <c r="AG77" s="64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4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4">
        <v>6734890193</v>
      </c>
      <c r="AB78" s="64">
        <v>1197403.0916899999</v>
      </c>
      <c r="AC78" s="64">
        <v>9000000</v>
      </c>
      <c r="AD78" s="64">
        <v>141199.467275495</v>
      </c>
      <c r="AE78" s="64">
        <v>160000</v>
      </c>
      <c r="AF78" s="64">
        <v>10799849.478499999</v>
      </c>
      <c r="AG78" s="64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4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4">
        <v>6714755409</v>
      </c>
      <c r="AB79" s="64">
        <v>1197403.0916899999</v>
      </c>
      <c r="AC79" s="64">
        <v>9000000</v>
      </c>
      <c r="AD79" s="64">
        <v>141199.467275495</v>
      </c>
      <c r="AE79" s="64">
        <v>280000</v>
      </c>
      <c r="AF79" s="64">
        <v>11061867.478499999</v>
      </c>
      <c r="AG79" s="64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4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4">
        <v>6871897895</v>
      </c>
      <c r="AB80" s="64">
        <v>1196248.61769</v>
      </c>
      <c r="AC80" s="64">
        <v>9000000</v>
      </c>
      <c r="AD80" s="64">
        <v>141199.467275495</v>
      </c>
      <c r="AE80" s="64">
        <v>280000</v>
      </c>
      <c r="AF80" s="64">
        <v>11210473.578500001</v>
      </c>
      <c r="AG80" s="64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4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4">
        <v>7025155800</v>
      </c>
      <c r="AB81" s="64">
        <v>1196248.61769</v>
      </c>
      <c r="AC81" s="64">
        <v>9000000</v>
      </c>
      <c r="AD81" s="64">
        <v>141199.467275495</v>
      </c>
      <c r="AE81" s="64">
        <v>280000</v>
      </c>
      <c r="AF81" s="64">
        <v>12797567.936000001</v>
      </c>
      <c r="AG81" s="64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4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4">
        <v>7174765725</v>
      </c>
      <c r="AB82" s="64">
        <v>1196248.61769</v>
      </c>
      <c r="AC82" s="64">
        <v>9000000</v>
      </c>
      <c r="AD82" s="64">
        <v>141199.467275495</v>
      </c>
      <c r="AE82" s="64">
        <v>280000</v>
      </c>
      <c r="AF82" s="64">
        <v>12657303.614</v>
      </c>
      <c r="AG82" s="64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4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4">
        <v>6689223249</v>
      </c>
      <c r="AB83" s="64">
        <v>1196248.61769</v>
      </c>
      <c r="AC83" s="64">
        <v>9000000</v>
      </c>
      <c r="AD83" s="64">
        <v>141199.47</v>
      </c>
      <c r="AE83" s="64">
        <v>280000</v>
      </c>
      <c r="AF83" s="64">
        <v>12737370.011500001</v>
      </c>
      <c r="AG83" s="64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4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4">
        <v>6649944967</v>
      </c>
      <c r="AB84" s="64">
        <v>1196248.61769</v>
      </c>
      <c r="AC84" s="64">
        <v>10000000</v>
      </c>
      <c r="AD84" s="64">
        <v>141199.47</v>
      </c>
      <c r="AE84" s="64">
        <v>280000</v>
      </c>
      <c r="AF84" s="64">
        <v>12946008.067500001</v>
      </c>
      <c r="AG84" s="64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4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4">
        <v>5996923699</v>
      </c>
      <c r="AB85" s="64">
        <v>1100365.03789</v>
      </c>
      <c r="AC85" s="64">
        <v>10000000</v>
      </c>
      <c r="AD85" s="64">
        <v>141199.47</v>
      </c>
      <c r="AE85" s="64">
        <v>280000</v>
      </c>
      <c r="AF85" s="64">
        <v>12953741.867500002</v>
      </c>
      <c r="AG85" s="64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4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4">
        <v>6063339939</v>
      </c>
      <c r="AB86" s="64">
        <v>1100365.03789</v>
      </c>
      <c r="AC86" s="64">
        <v>10000000</v>
      </c>
      <c r="AD86" s="64">
        <v>141199.47</v>
      </c>
      <c r="AE86" s="64">
        <v>280000</v>
      </c>
      <c r="AF86" s="64">
        <v>12416677.031000001</v>
      </c>
      <c r="AG86" s="64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4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4">
        <f>+'[1]CF Dia V1'!$CJ$102</f>
        <v>6063777655</v>
      </c>
      <c r="AB87" s="64">
        <f>+'[1]CF Dia V1'!$CJ$103</f>
        <v>1100365.03789</v>
      </c>
      <c r="AC87" s="64">
        <f>+'[1]CF Dia V1'!$CJ$105</f>
        <v>10000000</v>
      </c>
      <c r="AD87" s="64">
        <f>+'[1]CF Dia V1'!$CJ$106</f>
        <v>141199.46727549468</v>
      </c>
      <c r="AE87" s="64">
        <f>+'[1]CF Dia V1'!$CJ$107</f>
        <v>280000</v>
      </c>
      <c r="AF87" s="64">
        <f>+'[1]CF Dia V1'!$CJ$97</f>
        <v>12457096.382999999</v>
      </c>
      <c r="AG87" s="64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4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4">
        <f>+'[1]CF Dia V1'!$CK$102</f>
        <v>5851473775</v>
      </c>
      <c r="AB88" s="64">
        <f>+'[1]CF Dia V1'!$CK$103</f>
        <v>1100365.03789</v>
      </c>
      <c r="AC88" s="64">
        <f>+'[1]CF Dia V1'!$CK$105</f>
        <v>10000000</v>
      </c>
      <c r="AD88" s="64">
        <v>220000</v>
      </c>
      <c r="AE88" s="64">
        <f>+'[1]CF Dia V1'!$CK$107</f>
        <v>280000</v>
      </c>
      <c r="AF88" s="64">
        <f>+'[1]CF Dia V1'!$CK$97</f>
        <v>13310282.683</v>
      </c>
      <c r="AG88" s="64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4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4">
        <v>5792810924</v>
      </c>
      <c r="AB89" s="64">
        <v>1048306.3957399999</v>
      </c>
      <c r="AC89" s="64">
        <v>10000000</v>
      </c>
      <c r="AD89" s="64">
        <v>220000</v>
      </c>
      <c r="AE89" s="64">
        <v>280000</v>
      </c>
      <c r="AF89" s="64">
        <v>11256610.555</v>
      </c>
      <c r="AG89" s="64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4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4">
        <v>6003601474</v>
      </c>
      <c r="AB90" s="64">
        <f t="shared" ref="AB90:AB95" si="0">+AB89</f>
        <v>1048306.3957399999</v>
      </c>
      <c r="AC90" s="64">
        <v>10000000</v>
      </c>
      <c r="AD90" s="64">
        <v>220000</v>
      </c>
      <c r="AE90" s="64">
        <v>280000</v>
      </c>
      <c r="AF90" s="64">
        <v>9237646.2980000023</v>
      </c>
      <c r="AG90" s="64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4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4">
        <f>+'[1]CF Dia V1'!$CN$102</f>
        <v>6003847969</v>
      </c>
      <c r="AB91" s="64">
        <f t="shared" si="0"/>
        <v>1048306.3957399999</v>
      </c>
      <c r="AC91" s="64">
        <f t="shared" ref="AC91:AE92" si="2">+AC90</f>
        <v>10000000</v>
      </c>
      <c r="AD91" s="64">
        <f t="shared" si="2"/>
        <v>220000</v>
      </c>
      <c r="AE91" s="64">
        <f t="shared" si="2"/>
        <v>280000</v>
      </c>
      <c r="AF91" s="64">
        <f>+'[1]CF Dia V1'!$CN$97</f>
        <v>9255314.4630000032</v>
      </c>
      <c r="AG91" s="64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4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4">
        <f>+'[1]CF Dia V1'!$CO$102</f>
        <v>6263281746</v>
      </c>
      <c r="AB92" s="64">
        <f t="shared" si="0"/>
        <v>1048306.3957399999</v>
      </c>
      <c r="AC92" s="64">
        <f t="shared" si="2"/>
        <v>10000000</v>
      </c>
      <c r="AD92" s="64">
        <f t="shared" si="2"/>
        <v>220000</v>
      </c>
      <c r="AE92" s="64">
        <f t="shared" si="2"/>
        <v>280000</v>
      </c>
      <c r="AF92" s="64">
        <f>+'[1]CF Dia V1'!$CO$97</f>
        <v>9079082.2650000025</v>
      </c>
      <c r="AG92" s="64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4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4">
        <f>+'[1]CF Dia V1'!$CP$102</f>
        <v>5815616379</v>
      </c>
      <c r="AB93" s="64">
        <f t="shared" si="0"/>
        <v>1048306.3957399999</v>
      </c>
      <c r="AC93" s="64">
        <f t="shared" ref="AC93:AE94" si="3">+AC92</f>
        <v>10000000</v>
      </c>
      <c r="AD93" s="64">
        <f t="shared" si="3"/>
        <v>220000</v>
      </c>
      <c r="AE93" s="64">
        <f t="shared" si="3"/>
        <v>280000</v>
      </c>
      <c r="AF93" s="64">
        <f>+'[1]CF Dia V1'!$CP$97</f>
        <v>10753652</v>
      </c>
      <c r="AG93" s="64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4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4">
        <f>+'[1]CF Dia V1'!$CQ$102</f>
        <v>5807216200</v>
      </c>
      <c r="AB94" s="64">
        <f t="shared" si="0"/>
        <v>1048306.3957399999</v>
      </c>
      <c r="AC94" s="64">
        <f t="shared" si="3"/>
        <v>10000000</v>
      </c>
      <c r="AD94" s="64">
        <f t="shared" si="3"/>
        <v>220000</v>
      </c>
      <c r="AE94" s="64">
        <f t="shared" si="3"/>
        <v>280000</v>
      </c>
      <c r="AF94" s="64">
        <f>+'[1]CF Dia V1'!$CQ$97</f>
        <v>10972527.037500003</v>
      </c>
      <c r="AG94" s="64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4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4">
        <f>+'[1]CF Dia V1'!$CR$102</f>
        <v>5719924121</v>
      </c>
      <c r="AB95" s="64">
        <f t="shared" si="0"/>
        <v>1048306.3957399999</v>
      </c>
      <c r="AC95" s="64">
        <f t="shared" ref="AC95:AE96" si="4">+AC94</f>
        <v>10000000</v>
      </c>
      <c r="AD95" s="64">
        <f t="shared" si="4"/>
        <v>220000</v>
      </c>
      <c r="AE95" s="64">
        <f t="shared" si="4"/>
        <v>280000</v>
      </c>
      <c r="AF95" s="64">
        <f>+'[1]CF Dia V1'!$CR$97</f>
        <v>10949887.950000001</v>
      </c>
      <c r="AG95" s="64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4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4">
        <f>+'[1]CF Dia V1'!$CS$102</f>
        <v>4896254184</v>
      </c>
      <c r="AB96" s="64">
        <f>+AB95</f>
        <v>1048306.3957399999</v>
      </c>
      <c r="AC96" s="64">
        <f t="shared" si="4"/>
        <v>10000000</v>
      </c>
      <c r="AD96" s="64">
        <f t="shared" si="4"/>
        <v>220000</v>
      </c>
      <c r="AE96" s="64">
        <f t="shared" si="4"/>
        <v>280000</v>
      </c>
      <c r="AF96" s="64">
        <f>+'[1]CF Dia V1'!$CS$97</f>
        <v>11250560.032</v>
      </c>
      <c r="AG96" s="64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4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4">
        <f>+'[1]CF Dia V1'!$CT$102</f>
        <v>4628913889</v>
      </c>
      <c r="AB97" s="64">
        <f>+AB96</f>
        <v>1048306.3957399999</v>
      </c>
      <c r="AC97" s="64">
        <f t="shared" ref="AC97:AE98" si="5">+AC96</f>
        <v>10000000</v>
      </c>
      <c r="AD97" s="64">
        <f t="shared" si="5"/>
        <v>220000</v>
      </c>
      <c r="AE97" s="64">
        <f t="shared" si="5"/>
        <v>280000</v>
      </c>
      <c r="AF97" s="64">
        <f>+'[1]CF Dia V1'!$CT$97</f>
        <v>10968761.151000001</v>
      </c>
      <c r="AG97" s="64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4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4">
        <f>+'[1]CF Dia V1'!$CU$102</f>
        <v>4562436968</v>
      </c>
      <c r="AB98" s="64">
        <f>+'[1]CF Dia V1'!$CU$103</f>
        <v>1028533.4021649999</v>
      </c>
      <c r="AC98" s="64">
        <f t="shared" si="5"/>
        <v>10000000</v>
      </c>
      <c r="AD98" s="64">
        <f t="shared" si="5"/>
        <v>220000</v>
      </c>
      <c r="AE98" s="64">
        <f t="shared" si="5"/>
        <v>280000</v>
      </c>
      <c r="AF98" s="64">
        <f>+'[1]CF Dia V1'!$CU$97</f>
        <v>11754724.031500001</v>
      </c>
      <c r="AG98" s="64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4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4">
        <f>+'[1]CF Dia V1'!$CV$102</f>
        <v>4496965997</v>
      </c>
      <c r="AB99" s="64">
        <f t="shared" ref="AB99:AE100" si="7">+AB98</f>
        <v>1028533.4021649999</v>
      </c>
      <c r="AC99" s="64">
        <f t="shared" si="7"/>
        <v>10000000</v>
      </c>
      <c r="AD99" s="64">
        <f t="shared" si="7"/>
        <v>220000</v>
      </c>
      <c r="AE99" s="64">
        <f t="shared" si="7"/>
        <v>280000</v>
      </c>
      <c r="AF99" s="64">
        <f>+'[1]CF Dia V1'!$CV$97</f>
        <v>12774427.1315</v>
      </c>
      <c r="AG99" s="64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4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4">
        <f>+'[1]CF Dia V1'!$CW$102</f>
        <v>4472804706</v>
      </c>
      <c r="AB100" s="64">
        <f t="shared" si="7"/>
        <v>1028533.4021649999</v>
      </c>
      <c r="AC100" s="64">
        <f t="shared" si="7"/>
        <v>10000000</v>
      </c>
      <c r="AD100" s="64">
        <f t="shared" si="7"/>
        <v>220000</v>
      </c>
      <c r="AE100" s="64">
        <f t="shared" si="7"/>
        <v>280000</v>
      </c>
      <c r="AF100" s="64">
        <f>+'[1]CF Dia V1'!$CW$97</f>
        <v>12799702.291499998</v>
      </c>
      <c r="AG100" s="64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4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4">
        <f>+'[1]CF Dia V1'!$CX$102</f>
        <v>4799416274</v>
      </c>
      <c r="AB101" s="64">
        <f t="shared" ref="AB101:AE102" si="10">+AB100</f>
        <v>1028533.4021649999</v>
      </c>
      <c r="AC101" s="64">
        <f t="shared" si="10"/>
        <v>10000000</v>
      </c>
      <c r="AD101" s="64">
        <f t="shared" si="10"/>
        <v>220000</v>
      </c>
      <c r="AE101" s="64">
        <f t="shared" si="10"/>
        <v>280000</v>
      </c>
      <c r="AF101" s="64">
        <f>+'[1]CF Dia V1'!$CX$97</f>
        <v>13832646.739500001</v>
      </c>
      <c r="AG101" s="64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4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4">
        <f>+'[1]CF Dia V1'!$CY$102</f>
        <v>4744842059</v>
      </c>
      <c r="AB102" s="64">
        <f t="shared" si="10"/>
        <v>1028533.4021649999</v>
      </c>
      <c r="AC102" s="64">
        <f t="shared" si="10"/>
        <v>10000000</v>
      </c>
      <c r="AD102" s="64">
        <f t="shared" si="10"/>
        <v>220000</v>
      </c>
      <c r="AE102" s="64">
        <f t="shared" si="10"/>
        <v>280000</v>
      </c>
      <c r="AF102" s="64">
        <f>+'[1]CF Dia V1'!$CY$97</f>
        <v>14177312.419500001</v>
      </c>
      <c r="AG102" s="64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4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4">
        <f>+'[1]CF Dia V1'!$CZ$102</f>
        <v>5023890065</v>
      </c>
      <c r="AB103" s="64">
        <v>1202455.9875649996</v>
      </c>
      <c r="AC103" s="64">
        <f t="shared" ref="AC103:AE105" si="11">+AC102</f>
        <v>10000000</v>
      </c>
      <c r="AD103" s="64">
        <f t="shared" si="11"/>
        <v>220000</v>
      </c>
      <c r="AE103" s="64">
        <f t="shared" si="11"/>
        <v>280000</v>
      </c>
      <c r="AF103" s="64">
        <f>+'[1]CF Dia V1'!$CZ$97</f>
        <v>15757126.767000001</v>
      </c>
      <c r="AG103" s="64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4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4">
        <f>+'[1]CF Dia V1'!$DA$102</f>
        <v>5329656243.5</v>
      </c>
      <c r="AB104" s="64">
        <f>+AB103</f>
        <v>1202455.9875649996</v>
      </c>
      <c r="AC104" s="64">
        <f t="shared" si="11"/>
        <v>10000000</v>
      </c>
      <c r="AD104" s="64">
        <f t="shared" si="11"/>
        <v>220000</v>
      </c>
      <c r="AE104" s="64">
        <f t="shared" si="11"/>
        <v>280000</v>
      </c>
      <c r="AF104" s="64">
        <f>+'[1]CF Dia V1'!$DA$97</f>
        <v>16549621.550000001</v>
      </c>
      <c r="AG104" s="64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4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4">
        <f>+'[1]CF Dia V1'!$DB$102</f>
        <v>6865695997</v>
      </c>
      <c r="AB105" s="64">
        <f>+AB104</f>
        <v>1202455.9875649996</v>
      </c>
      <c r="AC105" s="64">
        <f t="shared" si="11"/>
        <v>10000000</v>
      </c>
      <c r="AD105" s="64">
        <f t="shared" si="11"/>
        <v>220000</v>
      </c>
      <c r="AE105" s="64">
        <f t="shared" si="11"/>
        <v>280000</v>
      </c>
      <c r="AF105" s="64">
        <f>+'[1]CF Dia V1'!$DB$97</f>
        <v>17096376.949999999</v>
      </c>
      <c r="AG105" s="64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/>
      <c r="B106" s="17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8"/>
      <c r="AB106" s="18"/>
      <c r="AC106" s="18"/>
      <c r="AD106" s="18"/>
      <c r="AE106" s="18"/>
      <c r="AF106" s="15"/>
      <c r="AG106" s="15"/>
      <c r="AH106" s="15"/>
      <c r="AI106" s="15"/>
      <c r="AJ106" s="15"/>
      <c r="AK106" s="16"/>
    </row>
    <row r="107" spans="1:37" ht="15.75" customHeight="1" x14ac:dyDescent="0.25">
      <c r="A107" s="13"/>
      <c r="B107" s="17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8"/>
      <c r="AB107" s="18"/>
      <c r="AC107" s="18"/>
      <c r="AD107" s="18"/>
      <c r="AE107" s="18"/>
      <c r="AF107" s="15"/>
      <c r="AG107" s="15"/>
      <c r="AH107" s="15"/>
      <c r="AI107" s="15"/>
      <c r="AJ107" s="15"/>
      <c r="AK107" s="16"/>
    </row>
    <row r="108" spans="1:37" ht="15.75" customHeight="1" x14ac:dyDescent="0.25">
      <c r="A108" s="13"/>
      <c r="B108" s="17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8"/>
      <c r="AB108" s="18"/>
      <c r="AC108" s="18"/>
      <c r="AD108" s="18"/>
      <c r="AE108" s="18"/>
      <c r="AF108" s="15"/>
      <c r="AG108" s="15"/>
      <c r="AH108" s="15"/>
      <c r="AI108" s="15"/>
      <c r="AJ108" s="15"/>
      <c r="AK108" s="16"/>
    </row>
    <row r="109" spans="1:37" ht="15.75" customHeight="1" x14ac:dyDescent="0.25">
      <c r="A109" s="13"/>
      <c r="B109" s="17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8"/>
      <c r="AB109" s="18"/>
      <c r="AC109" s="18"/>
      <c r="AD109" s="18"/>
      <c r="AE109" s="18"/>
      <c r="AF109" s="15"/>
      <c r="AG109" s="15"/>
      <c r="AH109" s="15"/>
      <c r="AI109" s="15"/>
      <c r="AJ109" s="15"/>
      <c r="AK109" s="16"/>
    </row>
    <row r="110" spans="1:37" ht="15.75" customHeight="1" x14ac:dyDescent="0.25">
      <c r="A110" s="13"/>
      <c r="B110" s="17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8"/>
      <c r="AB110" s="18"/>
      <c r="AC110" s="18"/>
      <c r="AD110" s="18"/>
      <c r="AE110" s="18"/>
      <c r="AF110" s="15"/>
      <c r="AG110" s="15"/>
      <c r="AH110" s="15"/>
      <c r="AI110" s="15"/>
      <c r="AJ110" s="15"/>
      <c r="AK110" s="16"/>
    </row>
    <row r="111" spans="1:37" ht="15.75" customHeight="1" x14ac:dyDescent="0.25">
      <c r="A111" s="13"/>
      <c r="B111" s="17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8"/>
      <c r="AB111" s="18"/>
      <c r="AC111" s="18"/>
      <c r="AD111" s="18"/>
      <c r="AE111" s="18"/>
      <c r="AF111" s="15"/>
      <c r="AG111" s="15"/>
      <c r="AH111" s="15"/>
      <c r="AI111" s="15"/>
      <c r="AJ111" s="15"/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69" t="s">
        <v>96</v>
      </c>
      <c r="B1" s="69"/>
      <c r="C1" s="69"/>
      <c r="D1" s="69"/>
      <c r="E1" s="69"/>
      <c r="F1" s="69"/>
      <c r="G1" s="69"/>
      <c r="H1" s="69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-26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-11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0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10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69" t="s">
        <v>115</v>
      </c>
      <c r="B1" s="69"/>
      <c r="C1" s="69"/>
      <c r="D1" s="69"/>
      <c r="E1" s="69"/>
      <c r="F1" s="69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69" t="s">
        <v>121</v>
      </c>
      <c r="B1" s="69"/>
      <c r="C1" s="69"/>
      <c r="D1" s="69"/>
      <c r="E1" s="69"/>
      <c r="F1" s="69"/>
      <c r="G1" s="69"/>
    </row>
    <row r="2" spans="1:7" ht="15.75" customHeight="1" x14ac:dyDescent="0.25">
      <c r="A2" s="77" t="s">
        <v>122</v>
      </c>
      <c r="B2" s="77"/>
      <c r="C2" s="77"/>
      <c r="D2" s="77"/>
      <c r="E2" s="77"/>
      <c r="F2" s="77"/>
      <c r="G2" s="77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69" t="s">
        <v>138</v>
      </c>
      <c r="B1" s="69"/>
      <c r="C1" s="69"/>
      <c r="D1" s="69"/>
      <c r="E1" s="69"/>
      <c r="F1" s="69"/>
      <c r="G1" s="69"/>
      <c r="H1" s="69"/>
    </row>
    <row r="2" spans="1:8" ht="18" customHeight="1" x14ac:dyDescent="0.25">
      <c r="A2" s="78" t="s">
        <v>139</v>
      </c>
      <c r="B2" s="78"/>
      <c r="C2" s="78"/>
      <c r="D2" s="78"/>
      <c r="E2" s="78"/>
      <c r="F2" s="78"/>
      <c r="G2" s="78"/>
      <c r="H2" s="78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19430152.940464273</v>
      </c>
      <c r="F105" s="39" t="s">
        <v>146</v>
      </c>
      <c r="G105" s="39" t="s">
        <v>146</v>
      </c>
      <c r="H105" s="38">
        <f>IF(CARGA_DIARIA!A105="","",C105-D105-E105)</f>
        <v>12122125.06915484</v>
      </c>
    </row>
    <row r="106" spans="1:8" ht="15.75" customHeight="1" x14ac:dyDescent="0.25">
      <c r="A106" s="33" t="str">
        <f>IF(CARGA_DIARIA!A106="","",CARGA_DIARIA!A106)</f>
        <v/>
      </c>
      <c r="B106" s="34" t="str">
        <f>IF(CARGA_DIARIA!A106="","",CARGA_DIARIA!B106)</f>
        <v/>
      </c>
      <c r="C106" s="35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6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6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9" t="s">
        <v>146</v>
      </c>
      <c r="G106" s="39" t="s">
        <v>146</v>
      </c>
      <c r="H106" s="38" t="str">
        <f>IF(CARGA_DIARIA!A106="","",C106-D106-E106)</f>
        <v/>
      </c>
    </row>
    <row r="107" spans="1:8" ht="15.75" customHeight="1" x14ac:dyDescent="0.25">
      <c r="A107" s="33" t="str">
        <f>IF(CARGA_DIARIA!A107="","",CARGA_DIARIA!A107)</f>
        <v/>
      </c>
      <c r="B107" s="34" t="str">
        <f>IF(CARGA_DIARIA!A107="","",CARGA_DIARIA!B107)</f>
        <v/>
      </c>
      <c r="C107" s="35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6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6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9" t="s">
        <v>146</v>
      </c>
      <c r="G107" s="39" t="s">
        <v>146</v>
      </c>
      <c r="H107" s="38" t="str">
        <f>IF(CARGA_DIARIA!A107="","",C107-D107-E107)</f>
        <v/>
      </c>
    </row>
    <row r="108" spans="1:8" ht="15.75" customHeight="1" x14ac:dyDescent="0.25">
      <c r="A108" s="33" t="str">
        <f>IF(CARGA_DIARIA!A108="","",CARGA_DIARIA!A108)</f>
        <v/>
      </c>
      <c r="B108" s="34" t="str">
        <f>IF(CARGA_DIARIA!A108="","",CARGA_DIARIA!B108)</f>
        <v/>
      </c>
      <c r="C108" s="35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6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6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9" t="s">
        <v>146</v>
      </c>
      <c r="G108" s="39" t="s">
        <v>146</v>
      </c>
      <c r="H108" s="38" t="str">
        <f>IF(CARGA_DIARIA!A108="","",C108-D108-E108)</f>
        <v/>
      </c>
    </row>
    <row r="109" spans="1:8" ht="15.75" customHeight="1" x14ac:dyDescent="0.25">
      <c r="A109" s="33" t="str">
        <f>IF(CARGA_DIARIA!A109="","",CARGA_DIARIA!A109)</f>
        <v/>
      </c>
      <c r="B109" s="34" t="str">
        <f>IF(CARGA_DIARIA!A109="","",CARGA_DIARIA!B109)</f>
        <v/>
      </c>
      <c r="C109" s="35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6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6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9" t="s">
        <v>146</v>
      </c>
      <c r="G109" s="39" t="s">
        <v>146</v>
      </c>
      <c r="H109" s="38" t="str">
        <f>IF(CARGA_DIARIA!A109="","",C109-D109-E109)</f>
        <v/>
      </c>
    </row>
    <row r="110" spans="1:8" ht="15.75" customHeight="1" x14ac:dyDescent="0.25">
      <c r="A110" s="33" t="str">
        <f>IF(CARGA_DIARIA!A110="","",CARGA_DIARIA!A110)</f>
        <v/>
      </c>
      <c r="B110" s="34" t="str">
        <f>IF(CARGA_DIARIA!A110="","",CARGA_DIARIA!B110)</f>
        <v/>
      </c>
      <c r="C110" s="35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6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6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9" t="s">
        <v>146</v>
      </c>
      <c r="G110" s="39" t="s">
        <v>146</v>
      </c>
      <c r="H110" s="38" t="str">
        <f>IF(CARGA_DIARIA!A110="","",C110-D110-E110)</f>
        <v/>
      </c>
    </row>
    <row r="111" spans="1:8" ht="15.75" customHeight="1" x14ac:dyDescent="0.25">
      <c r="A111" s="33" t="str">
        <f>IF(CARGA_DIARIA!A111="","",CARGA_DIARIA!A111)</f>
        <v/>
      </c>
      <c r="B111" s="34" t="str">
        <f>IF(CARGA_DIARIA!A111="","",CARGA_DIARIA!B111)</f>
        <v/>
      </c>
      <c r="C111" s="35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6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6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9" t="s">
        <v>146</v>
      </c>
      <c r="G111" s="39" t="s">
        <v>146</v>
      </c>
      <c r="H111" s="38" t="str">
        <f>IF(CARGA_DIARIA!A111="","",C111-D111-E111)</f>
        <v/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69" t="s">
        <v>147</v>
      </c>
      <c r="B1" s="69"/>
      <c r="C1" s="69"/>
      <c r="D1" s="69"/>
      <c r="E1" s="69"/>
      <c r="F1" s="69"/>
      <c r="G1" s="69"/>
    </row>
    <row r="2" spans="1:7" ht="15.75" customHeight="1" x14ac:dyDescent="0.25">
      <c r="A2" s="79" t="s">
        <v>148</v>
      </c>
      <c r="B2" s="79"/>
      <c r="C2" s="79"/>
      <c r="D2" s="79"/>
      <c r="E2" s="79"/>
      <c r="F2" s="79"/>
      <c r="G2" s="79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914</v>
      </c>
      <c r="B4" t="s">
        <v>935</v>
      </c>
      <c r="C4" s="68">
        <v>1934482.85</v>
      </c>
      <c r="D4" s="13">
        <v>46168</v>
      </c>
      <c r="E4" s="65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915</v>
      </c>
      <c r="B5" t="s">
        <v>936</v>
      </c>
      <c r="C5" s="68">
        <v>4000000</v>
      </c>
      <c r="D5" s="13">
        <v>46169</v>
      </c>
      <c r="E5" s="65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915</v>
      </c>
      <c r="B6" t="s">
        <v>937</v>
      </c>
      <c r="C6" s="68">
        <v>4000000</v>
      </c>
      <c r="D6" s="13">
        <v>46170</v>
      </c>
      <c r="E6" s="65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916</v>
      </c>
      <c r="B7" t="s">
        <v>938</v>
      </c>
      <c r="C7" s="68">
        <v>5000000</v>
      </c>
      <c r="D7" s="13">
        <v>46171</v>
      </c>
      <c r="E7" s="65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915</v>
      </c>
      <c r="B8" t="s">
        <v>939</v>
      </c>
      <c r="C8" s="68">
        <v>4000000</v>
      </c>
      <c r="D8" s="13">
        <v>46172</v>
      </c>
      <c r="E8" s="65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917</v>
      </c>
      <c r="B9" t="s">
        <v>940</v>
      </c>
      <c r="C9" s="68">
        <v>3099000</v>
      </c>
      <c r="D9" s="13">
        <v>46173</v>
      </c>
      <c r="E9" s="65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916</v>
      </c>
      <c r="B10" t="s">
        <v>941</v>
      </c>
      <c r="C10" s="68">
        <v>4322000</v>
      </c>
      <c r="D10" s="13">
        <v>46174</v>
      </c>
      <c r="E10" s="65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917</v>
      </c>
      <c r="B11" t="s">
        <v>942</v>
      </c>
      <c r="C11" s="68">
        <v>2600000</v>
      </c>
      <c r="D11" s="13">
        <v>46175</v>
      </c>
      <c r="E11" s="65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917</v>
      </c>
      <c r="B12" t="s">
        <v>943</v>
      </c>
      <c r="C12" s="68">
        <v>3000600</v>
      </c>
      <c r="D12" s="13">
        <v>46176</v>
      </c>
      <c r="E12" s="65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917</v>
      </c>
      <c r="B13" t="s">
        <v>944</v>
      </c>
      <c r="C13" s="68">
        <v>3000040</v>
      </c>
      <c r="D13" s="13">
        <v>46177</v>
      </c>
      <c r="E13" s="65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915</v>
      </c>
      <c r="B14" t="s">
        <v>945</v>
      </c>
      <c r="C14" s="68">
        <v>4000000</v>
      </c>
      <c r="D14" s="13">
        <v>46178</v>
      </c>
      <c r="E14" s="65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915</v>
      </c>
      <c r="B15" t="s">
        <v>946</v>
      </c>
      <c r="C15" s="68">
        <v>4000000</v>
      </c>
      <c r="D15" s="13">
        <v>46179</v>
      </c>
      <c r="E15" s="65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918</v>
      </c>
      <c r="B16" t="s">
        <v>947</v>
      </c>
      <c r="C16" s="68">
        <v>4074325</v>
      </c>
      <c r="D16" s="13">
        <v>46180</v>
      </c>
      <c r="E16" s="65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916</v>
      </c>
      <c r="B17" t="s">
        <v>948</v>
      </c>
      <c r="C17" s="68">
        <v>5000000</v>
      </c>
      <c r="D17" s="13">
        <v>46181</v>
      </c>
      <c r="E17" s="65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918</v>
      </c>
      <c r="B18" t="s">
        <v>949</v>
      </c>
      <c r="C18" s="68">
        <v>5000000</v>
      </c>
      <c r="D18" s="13">
        <v>46182</v>
      </c>
      <c r="E18" s="65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918</v>
      </c>
      <c r="B19" t="s">
        <v>950</v>
      </c>
      <c r="C19" s="68">
        <v>5000000</v>
      </c>
      <c r="D19" s="13">
        <v>46183</v>
      </c>
      <c r="E19" s="65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918</v>
      </c>
      <c r="B20" t="s">
        <v>951</v>
      </c>
      <c r="C20" s="68">
        <v>5000000</v>
      </c>
      <c r="D20" s="13">
        <v>46184</v>
      </c>
      <c r="E20" s="65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918</v>
      </c>
      <c r="B21" t="s">
        <v>952</v>
      </c>
      <c r="C21" s="68">
        <v>5000000</v>
      </c>
      <c r="D21" s="13">
        <v>46185</v>
      </c>
      <c r="E21" s="65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915</v>
      </c>
      <c r="B22" t="s">
        <v>953</v>
      </c>
      <c r="C22" s="68">
        <v>3977525</v>
      </c>
      <c r="D22" s="13">
        <v>46186</v>
      </c>
      <c r="E22" s="65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917</v>
      </c>
      <c r="B23" t="s">
        <v>954</v>
      </c>
      <c r="C23" s="68">
        <v>1000100</v>
      </c>
      <c r="D23" s="13">
        <v>46187</v>
      </c>
      <c r="E23" s="65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917</v>
      </c>
      <c r="B24" t="s">
        <v>955</v>
      </c>
      <c r="C24" s="68">
        <v>3000100</v>
      </c>
      <c r="D24" s="13">
        <v>46188</v>
      </c>
      <c r="E24" s="65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917</v>
      </c>
      <c r="B25" t="s">
        <v>956</v>
      </c>
      <c r="C25" s="68">
        <v>3000100</v>
      </c>
      <c r="D25" s="13">
        <v>46189</v>
      </c>
      <c r="E25" s="65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917</v>
      </c>
      <c r="B26" t="s">
        <v>957</v>
      </c>
      <c r="C26" s="68">
        <v>3032000</v>
      </c>
      <c r="D26" s="13">
        <v>46190</v>
      </c>
      <c r="E26" s="65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919</v>
      </c>
      <c r="B27" t="s">
        <v>958</v>
      </c>
      <c r="C27" s="68">
        <v>28607040</v>
      </c>
      <c r="D27" s="13">
        <v>46191</v>
      </c>
      <c r="E27" s="65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920</v>
      </c>
      <c r="B28" t="s">
        <v>959</v>
      </c>
      <c r="C28" s="68">
        <v>1479937.5</v>
      </c>
      <c r="D28" s="13">
        <v>46192</v>
      </c>
      <c r="E28" s="65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916</v>
      </c>
      <c r="B29" t="s">
        <v>960</v>
      </c>
      <c r="C29" s="68">
        <v>5000000</v>
      </c>
      <c r="D29" s="13">
        <v>46193</v>
      </c>
      <c r="E29" s="65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921</v>
      </c>
      <c r="B30" t="s">
        <v>961</v>
      </c>
      <c r="C30" s="68">
        <v>843325</v>
      </c>
      <c r="D30" s="13">
        <v>46194</v>
      </c>
      <c r="E30" s="65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920</v>
      </c>
      <c r="B31" t="s">
        <v>962</v>
      </c>
      <c r="C31" s="68">
        <v>1500000</v>
      </c>
      <c r="D31" s="13">
        <v>46195</v>
      </c>
      <c r="E31" s="65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920</v>
      </c>
      <c r="B32" t="s">
        <v>963</v>
      </c>
      <c r="C32" s="68">
        <v>1381275</v>
      </c>
      <c r="D32" s="13">
        <v>46196</v>
      </c>
      <c r="E32" s="65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916</v>
      </c>
      <c r="B33" t="s">
        <v>964</v>
      </c>
      <c r="C33" s="68">
        <v>5000000</v>
      </c>
      <c r="D33" s="13">
        <v>46197</v>
      </c>
      <c r="E33" s="65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921</v>
      </c>
      <c r="B34" t="s">
        <v>965</v>
      </c>
      <c r="C34" s="68">
        <v>1300000</v>
      </c>
      <c r="D34" s="13">
        <v>46198</v>
      </c>
      <c r="E34" s="65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920</v>
      </c>
      <c r="B35" t="s">
        <v>966</v>
      </c>
      <c r="C35" s="68">
        <v>1400000</v>
      </c>
      <c r="D35" s="13">
        <v>46199</v>
      </c>
      <c r="E35" s="65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920</v>
      </c>
      <c r="B36" t="s">
        <v>967</v>
      </c>
      <c r="C36" s="68">
        <v>1500000</v>
      </c>
      <c r="D36" s="13">
        <v>46200</v>
      </c>
      <c r="E36" s="65">
        <v>46202.000138888892</v>
      </c>
      <c r="F36" s="40">
        <f t="shared" si="0"/>
        <v>46204.000138888892</v>
      </c>
      <c r="G36" s="27"/>
      <c r="L36" s="66"/>
    </row>
    <row r="37" spans="1:12" ht="15.75" customHeight="1" x14ac:dyDescent="0.25">
      <c r="A37" t="s">
        <v>916</v>
      </c>
      <c r="B37" t="s">
        <v>968</v>
      </c>
      <c r="C37" s="68">
        <v>5000000</v>
      </c>
      <c r="D37" s="13">
        <v>46201</v>
      </c>
      <c r="E37" s="65">
        <v>46201.000138888892</v>
      </c>
      <c r="F37" s="40">
        <f t="shared" si="0"/>
        <v>46203.000138888892</v>
      </c>
      <c r="G37" s="27"/>
      <c r="L37" s="66"/>
    </row>
    <row r="38" spans="1:12" ht="15.75" customHeight="1" x14ac:dyDescent="0.25">
      <c r="A38" t="s">
        <v>917</v>
      </c>
      <c r="B38" t="s">
        <v>969</v>
      </c>
      <c r="C38" s="68">
        <v>3000040</v>
      </c>
      <c r="D38" s="13">
        <v>46202</v>
      </c>
      <c r="E38" s="65">
        <v>46201.000138888892</v>
      </c>
      <c r="F38" s="40">
        <f t="shared" si="0"/>
        <v>46203.000138888892</v>
      </c>
      <c r="G38" s="27"/>
      <c r="L38" s="66"/>
    </row>
    <row r="39" spans="1:12" ht="15.75" customHeight="1" x14ac:dyDescent="0.25">
      <c r="A39" t="s">
        <v>917</v>
      </c>
      <c r="B39" t="s">
        <v>970</v>
      </c>
      <c r="C39" s="68">
        <v>3000400</v>
      </c>
      <c r="D39" s="13">
        <v>46203</v>
      </c>
      <c r="E39" s="65">
        <v>46201.000138888892</v>
      </c>
      <c r="F39" s="40">
        <f t="shared" si="0"/>
        <v>46203.000138888892</v>
      </c>
      <c r="G39" s="27"/>
      <c r="L39" s="66"/>
    </row>
    <row r="40" spans="1:12" ht="15.75" customHeight="1" x14ac:dyDescent="0.25">
      <c r="A40" t="s">
        <v>917</v>
      </c>
      <c r="B40" t="s">
        <v>971</v>
      </c>
      <c r="C40" s="68">
        <v>3047000</v>
      </c>
      <c r="D40" s="13">
        <v>46204</v>
      </c>
      <c r="E40" s="65">
        <v>46201.000138888892</v>
      </c>
      <c r="F40" s="40">
        <f t="shared" si="0"/>
        <v>46203.000138888892</v>
      </c>
      <c r="G40" s="27"/>
      <c r="L40" s="66"/>
    </row>
    <row r="41" spans="1:12" ht="15.75" customHeight="1" x14ac:dyDescent="0.25">
      <c r="A41" t="s">
        <v>917</v>
      </c>
      <c r="B41" t="s">
        <v>972</v>
      </c>
      <c r="C41" s="68">
        <v>3500000</v>
      </c>
      <c r="D41" s="13">
        <v>46205</v>
      </c>
      <c r="E41" s="65">
        <v>46201.000138888892</v>
      </c>
      <c r="F41" s="40">
        <f t="shared" si="0"/>
        <v>46203.000138888892</v>
      </c>
      <c r="G41" s="27"/>
      <c r="L41" s="66"/>
    </row>
    <row r="42" spans="1:12" ht="15.75" customHeight="1" x14ac:dyDescent="0.25">
      <c r="A42" t="s">
        <v>916</v>
      </c>
      <c r="B42" t="s">
        <v>973</v>
      </c>
      <c r="C42" s="68">
        <v>5000000</v>
      </c>
      <c r="D42" s="13">
        <v>46206</v>
      </c>
      <c r="E42" s="65">
        <v>46200.000138888892</v>
      </c>
      <c r="F42" s="40">
        <f t="shared" si="0"/>
        <v>46202.000138888892</v>
      </c>
      <c r="G42" s="27"/>
      <c r="L42" s="66"/>
    </row>
    <row r="43" spans="1:12" ht="15.75" customHeight="1" x14ac:dyDescent="0.25">
      <c r="A43" t="s">
        <v>916</v>
      </c>
      <c r="B43" t="s">
        <v>974</v>
      </c>
      <c r="C43" s="68">
        <v>5000000</v>
      </c>
      <c r="D43" s="13">
        <v>46207</v>
      </c>
      <c r="E43" s="65">
        <v>46200.000138888892</v>
      </c>
      <c r="F43" s="40">
        <f t="shared" si="0"/>
        <v>46202.000138888892</v>
      </c>
      <c r="G43" s="27"/>
      <c r="L43" s="66"/>
    </row>
    <row r="44" spans="1:12" ht="15.75" customHeight="1" x14ac:dyDescent="0.25">
      <c r="A44" t="s">
        <v>922</v>
      </c>
      <c r="B44" t="s">
        <v>975</v>
      </c>
      <c r="C44" s="68">
        <v>14107155</v>
      </c>
      <c r="D44" s="13">
        <v>46208</v>
      </c>
      <c r="E44" s="65">
        <v>46200.000138888892</v>
      </c>
      <c r="F44" s="40">
        <f t="shared" si="0"/>
        <v>46202.000138888892</v>
      </c>
      <c r="G44" s="27"/>
      <c r="L44" s="66"/>
    </row>
    <row r="45" spans="1:12" ht="15.75" customHeight="1" x14ac:dyDescent="0.25">
      <c r="A45" t="s">
        <v>922</v>
      </c>
      <c r="B45" t="s">
        <v>976</v>
      </c>
      <c r="C45" s="68">
        <v>15000000</v>
      </c>
      <c r="D45" s="13">
        <v>46209</v>
      </c>
      <c r="E45" s="65">
        <v>46200.000138888892</v>
      </c>
      <c r="F45" s="40">
        <f t="shared" si="0"/>
        <v>46202.000138888892</v>
      </c>
      <c r="G45" s="27"/>
      <c r="L45" s="66"/>
    </row>
    <row r="46" spans="1:12" ht="15.75" customHeight="1" x14ac:dyDescent="0.25">
      <c r="A46" t="s">
        <v>923</v>
      </c>
      <c r="B46" t="s">
        <v>977</v>
      </c>
      <c r="C46" s="68">
        <v>23687070</v>
      </c>
      <c r="D46" s="13">
        <v>46210</v>
      </c>
      <c r="E46" s="65">
        <v>46200.000138888892</v>
      </c>
      <c r="F46" s="40">
        <f t="shared" si="0"/>
        <v>46202.000138888892</v>
      </c>
      <c r="G46" s="27"/>
      <c r="L46" s="66"/>
    </row>
    <row r="47" spans="1:12" ht="15.75" customHeight="1" x14ac:dyDescent="0.25">
      <c r="A47" t="s">
        <v>917</v>
      </c>
      <c r="B47" t="s">
        <v>978</v>
      </c>
      <c r="C47" s="68">
        <v>2600000</v>
      </c>
      <c r="D47" s="13">
        <v>46211</v>
      </c>
      <c r="E47" s="65">
        <v>46200.000138888892</v>
      </c>
      <c r="F47" s="40">
        <f t="shared" si="0"/>
        <v>46202.000138888892</v>
      </c>
      <c r="G47" s="27"/>
      <c r="L47" s="66"/>
    </row>
    <row r="48" spans="1:12" ht="15.75" customHeight="1" x14ac:dyDescent="0.25">
      <c r="A48" t="s">
        <v>917</v>
      </c>
      <c r="B48" t="s">
        <v>979</v>
      </c>
      <c r="C48" s="68">
        <v>3000720</v>
      </c>
      <c r="D48" s="13">
        <v>46212</v>
      </c>
      <c r="E48" s="65">
        <v>46200.000138888892</v>
      </c>
      <c r="F48" s="40">
        <f t="shared" si="0"/>
        <v>46202.000138888892</v>
      </c>
      <c r="G48" s="27"/>
      <c r="L48" s="66"/>
    </row>
    <row r="49" spans="1:12" ht="15.75" customHeight="1" x14ac:dyDescent="0.25">
      <c r="A49" t="s">
        <v>917</v>
      </c>
      <c r="B49" t="s">
        <v>980</v>
      </c>
      <c r="C49" s="68">
        <v>2086000</v>
      </c>
      <c r="D49" s="13">
        <v>46213</v>
      </c>
      <c r="E49" s="65">
        <v>46200.000138888892</v>
      </c>
      <c r="F49" s="40">
        <f t="shared" si="0"/>
        <v>46202.000138888892</v>
      </c>
      <c r="G49" s="27"/>
      <c r="L49" s="66"/>
    </row>
    <row r="50" spans="1:12" ht="15.75" customHeight="1" x14ac:dyDescent="0.25">
      <c r="A50" t="s">
        <v>916</v>
      </c>
      <c r="B50" t="s">
        <v>981</v>
      </c>
      <c r="C50" s="68">
        <v>5690000</v>
      </c>
      <c r="D50" s="13">
        <v>46214</v>
      </c>
      <c r="E50" s="65">
        <v>46199.000138888892</v>
      </c>
      <c r="F50" s="40">
        <f t="shared" si="0"/>
        <v>46201.000138888892</v>
      </c>
      <c r="G50" s="27"/>
      <c r="L50" s="66"/>
    </row>
    <row r="51" spans="1:12" ht="15.75" customHeight="1" x14ac:dyDescent="0.25">
      <c r="A51" t="s">
        <v>921</v>
      </c>
      <c r="B51" t="s">
        <v>982</v>
      </c>
      <c r="C51" s="68">
        <v>1300000</v>
      </c>
      <c r="D51" s="13">
        <v>46215</v>
      </c>
      <c r="E51" s="65">
        <v>46199.000138888892</v>
      </c>
      <c r="F51" s="40">
        <f t="shared" si="0"/>
        <v>46201.000138888892</v>
      </c>
      <c r="G51" s="27"/>
      <c r="L51" s="66"/>
    </row>
    <row r="52" spans="1:12" ht="15.75" customHeight="1" x14ac:dyDescent="0.25">
      <c r="A52" t="s">
        <v>924</v>
      </c>
      <c r="B52" t="s">
        <v>983</v>
      </c>
      <c r="C52" s="68">
        <v>17304197.5</v>
      </c>
      <c r="D52" s="13">
        <v>46216</v>
      </c>
      <c r="E52" s="65">
        <v>46199.000138888892</v>
      </c>
      <c r="F52" s="40">
        <f t="shared" si="0"/>
        <v>46201.000138888892</v>
      </c>
      <c r="G52" s="27"/>
      <c r="L52" s="66"/>
    </row>
    <row r="53" spans="1:12" ht="15.75" customHeight="1" x14ac:dyDescent="0.25">
      <c r="A53" t="s">
        <v>920</v>
      </c>
      <c r="B53" t="s">
        <v>984</v>
      </c>
      <c r="C53" s="68">
        <v>1500000</v>
      </c>
      <c r="D53" s="13">
        <v>46217</v>
      </c>
      <c r="E53" s="65">
        <v>46199.000138888892</v>
      </c>
      <c r="F53" s="40">
        <f t="shared" si="0"/>
        <v>46201.000138888892</v>
      </c>
      <c r="G53" s="27"/>
      <c r="L53" s="66"/>
    </row>
    <row r="54" spans="1:12" ht="15.75" customHeight="1" x14ac:dyDescent="0.25">
      <c r="A54" t="s">
        <v>924</v>
      </c>
      <c r="B54" t="s">
        <v>985</v>
      </c>
      <c r="C54" s="68">
        <v>16500000</v>
      </c>
      <c r="D54" s="13">
        <v>46218</v>
      </c>
      <c r="E54" s="65">
        <v>46199.000138888892</v>
      </c>
      <c r="F54" s="40">
        <f t="shared" si="0"/>
        <v>46201.000138888892</v>
      </c>
      <c r="G54" s="27"/>
      <c r="L54" s="66"/>
    </row>
    <row r="55" spans="1:12" ht="15.75" customHeight="1" x14ac:dyDescent="0.25">
      <c r="A55" t="s">
        <v>920</v>
      </c>
      <c r="B55" t="s">
        <v>986</v>
      </c>
      <c r="C55" s="68">
        <v>1400000</v>
      </c>
      <c r="D55" s="13">
        <v>46219</v>
      </c>
      <c r="E55" s="65">
        <v>46199.000138888892</v>
      </c>
      <c r="F55" s="40">
        <f t="shared" si="0"/>
        <v>46201.000138888892</v>
      </c>
      <c r="G55" s="27"/>
      <c r="L55" s="66"/>
    </row>
    <row r="56" spans="1:12" ht="15.75" customHeight="1" x14ac:dyDescent="0.25">
      <c r="A56" t="s">
        <v>921</v>
      </c>
      <c r="B56" t="s">
        <v>987</v>
      </c>
      <c r="C56" s="68">
        <v>1700000</v>
      </c>
      <c r="D56" s="13">
        <v>46220</v>
      </c>
      <c r="E56" s="65">
        <v>46199.000138888892</v>
      </c>
      <c r="F56" s="40">
        <f t="shared" si="0"/>
        <v>46201.000138888892</v>
      </c>
      <c r="G56" s="27"/>
      <c r="L56" s="66"/>
    </row>
    <row r="57" spans="1:12" ht="15.75" customHeight="1" x14ac:dyDescent="0.25">
      <c r="A57" t="s">
        <v>919</v>
      </c>
      <c r="B57" t="s">
        <v>988</v>
      </c>
      <c r="C57" s="68">
        <v>23839200</v>
      </c>
      <c r="D57" s="13">
        <v>46221</v>
      </c>
      <c r="E57" s="65">
        <v>46199.000138888892</v>
      </c>
      <c r="F57" s="40">
        <f t="shared" si="0"/>
        <v>46201.000138888892</v>
      </c>
      <c r="G57" s="27"/>
      <c r="L57" s="66"/>
    </row>
    <row r="58" spans="1:12" ht="15.75" customHeight="1" x14ac:dyDescent="0.25">
      <c r="A58" t="s">
        <v>920</v>
      </c>
      <c r="B58" t="s">
        <v>989</v>
      </c>
      <c r="C58" s="68">
        <v>1400000</v>
      </c>
      <c r="D58" s="13">
        <v>46222</v>
      </c>
      <c r="E58" s="65">
        <v>46198.000138888892</v>
      </c>
      <c r="F58" s="40">
        <f t="shared" si="0"/>
        <v>46200.000138888892</v>
      </c>
      <c r="G58" s="27"/>
      <c r="L58" s="66"/>
    </row>
    <row r="59" spans="1:12" ht="15.75" customHeight="1" x14ac:dyDescent="0.25">
      <c r="A59" t="s">
        <v>920</v>
      </c>
      <c r="B59" t="s">
        <v>990</v>
      </c>
      <c r="C59" s="68">
        <v>1500000</v>
      </c>
      <c r="D59" s="13">
        <v>46223</v>
      </c>
      <c r="E59" s="65">
        <v>46198.000138888892</v>
      </c>
      <c r="F59" s="40">
        <f t="shared" si="0"/>
        <v>46200.000138888892</v>
      </c>
      <c r="G59" s="27"/>
      <c r="L59" s="66"/>
    </row>
    <row r="60" spans="1:12" ht="15.75" customHeight="1" x14ac:dyDescent="0.25">
      <c r="A60" t="s">
        <v>921</v>
      </c>
      <c r="B60" t="s">
        <v>991</v>
      </c>
      <c r="C60" s="68">
        <v>1300000</v>
      </c>
      <c r="D60" s="13">
        <v>46224</v>
      </c>
      <c r="E60" s="65">
        <v>46197.000138888892</v>
      </c>
      <c r="F60" s="40">
        <f t="shared" si="0"/>
        <v>46199.000138888892</v>
      </c>
      <c r="G60" s="27"/>
      <c r="L60" s="66"/>
    </row>
    <row r="61" spans="1:12" ht="15.75" customHeight="1" x14ac:dyDescent="0.25">
      <c r="A61" t="s">
        <v>921</v>
      </c>
      <c r="B61" t="s">
        <v>992</v>
      </c>
      <c r="C61" s="68">
        <v>1433000</v>
      </c>
      <c r="D61" s="13">
        <v>46225</v>
      </c>
      <c r="E61" s="65">
        <v>46197.000138888892</v>
      </c>
      <c r="F61" s="40">
        <f t="shared" si="0"/>
        <v>46199.000138888892</v>
      </c>
      <c r="G61" s="27"/>
      <c r="L61" s="66"/>
    </row>
    <row r="62" spans="1:12" ht="15.75" customHeight="1" x14ac:dyDescent="0.25">
      <c r="A62" t="s">
        <v>925</v>
      </c>
      <c r="B62" t="s">
        <v>993</v>
      </c>
      <c r="C62" s="68">
        <v>9609600</v>
      </c>
      <c r="D62" s="13">
        <v>46226</v>
      </c>
      <c r="E62" s="65">
        <v>46197.000138888892</v>
      </c>
      <c r="F62" s="40">
        <f t="shared" si="0"/>
        <v>46199.000138888892</v>
      </c>
      <c r="G62" s="27"/>
      <c r="L62" s="66"/>
    </row>
    <row r="63" spans="1:12" ht="15.75" customHeight="1" x14ac:dyDescent="0.25">
      <c r="A63" t="s">
        <v>921</v>
      </c>
      <c r="B63" t="s">
        <v>994</v>
      </c>
      <c r="C63" s="68">
        <v>949750</v>
      </c>
      <c r="D63" s="13">
        <v>46227</v>
      </c>
      <c r="E63" s="65">
        <v>46197.000138888892</v>
      </c>
      <c r="F63" s="40">
        <f t="shared" si="0"/>
        <v>46199.000138888892</v>
      </c>
      <c r="G63" s="27"/>
      <c r="L63" s="66"/>
    </row>
    <row r="64" spans="1:12" ht="15.75" customHeight="1" x14ac:dyDescent="0.25">
      <c r="A64" t="s">
        <v>915</v>
      </c>
      <c r="B64" t="s">
        <v>995</v>
      </c>
      <c r="C64" s="68">
        <v>3050000</v>
      </c>
      <c r="D64" s="13">
        <v>46228</v>
      </c>
      <c r="E64" s="65">
        <v>46197.000138888892</v>
      </c>
      <c r="F64" s="40">
        <f t="shared" si="0"/>
        <v>46199.000138888892</v>
      </c>
      <c r="G64" s="27"/>
      <c r="L64" s="66"/>
    </row>
    <row r="65" spans="1:12" ht="15.75" customHeight="1" x14ac:dyDescent="0.25">
      <c r="A65" t="s">
        <v>921</v>
      </c>
      <c r="B65" t="s">
        <v>996</v>
      </c>
      <c r="C65" s="68">
        <v>1300000</v>
      </c>
      <c r="D65" s="13">
        <v>46229</v>
      </c>
      <c r="E65" s="65">
        <v>46196.000138888892</v>
      </c>
      <c r="F65" s="40">
        <f t="shared" si="0"/>
        <v>46198.000138888892</v>
      </c>
      <c r="G65" s="27"/>
      <c r="L65" s="66"/>
    </row>
    <row r="66" spans="1:12" ht="15.75" customHeight="1" x14ac:dyDescent="0.25">
      <c r="A66" t="s">
        <v>920</v>
      </c>
      <c r="B66" t="s">
        <v>997</v>
      </c>
      <c r="C66" s="68">
        <v>1500000</v>
      </c>
      <c r="D66" s="13">
        <v>46230</v>
      </c>
      <c r="E66" s="65">
        <v>46196.000138888892</v>
      </c>
      <c r="F66" s="40">
        <f t="shared" si="0"/>
        <v>46198.000138888892</v>
      </c>
      <c r="G66" s="27"/>
      <c r="L66" s="66"/>
    </row>
    <row r="67" spans="1:12" ht="15.75" customHeight="1" x14ac:dyDescent="0.25">
      <c r="A67" t="s">
        <v>920</v>
      </c>
      <c r="B67" t="s">
        <v>998</v>
      </c>
      <c r="C67" s="68">
        <v>1400000</v>
      </c>
      <c r="D67" s="13">
        <v>46231</v>
      </c>
      <c r="E67" s="65">
        <v>46196.000138888892</v>
      </c>
      <c r="F67" s="40">
        <f t="shared" si="0"/>
        <v>46198.000138888892</v>
      </c>
      <c r="G67" s="27"/>
      <c r="L67" s="66"/>
    </row>
    <row r="68" spans="1:12" ht="15.75" customHeight="1" x14ac:dyDescent="0.25">
      <c r="A68" t="s">
        <v>921</v>
      </c>
      <c r="B68" t="s">
        <v>999</v>
      </c>
      <c r="C68" s="68">
        <v>1700000</v>
      </c>
      <c r="D68" s="13">
        <v>46232</v>
      </c>
      <c r="E68" s="65">
        <v>46196.000138888892</v>
      </c>
      <c r="F68" s="40">
        <f t="shared" si="0"/>
        <v>46198.000138888892</v>
      </c>
      <c r="G68" s="27"/>
      <c r="L68" s="66"/>
    </row>
    <row r="69" spans="1:12" ht="15.75" customHeight="1" x14ac:dyDescent="0.25">
      <c r="A69" t="s">
        <v>921</v>
      </c>
      <c r="B69" t="s">
        <v>1000</v>
      </c>
      <c r="C69" s="68">
        <v>1300000</v>
      </c>
      <c r="D69" s="13">
        <v>46233</v>
      </c>
      <c r="E69" s="65">
        <v>46196.000138888892</v>
      </c>
      <c r="F69" s="40">
        <f t="shared" ref="F69:F132" si="1">+E69+2</f>
        <v>46198.000138888892</v>
      </c>
      <c r="G69" s="27"/>
      <c r="L69" s="66"/>
    </row>
    <row r="70" spans="1:12" ht="15.75" customHeight="1" x14ac:dyDescent="0.25">
      <c r="A70" t="s">
        <v>915</v>
      </c>
      <c r="B70" t="s">
        <v>1001</v>
      </c>
      <c r="C70" s="68">
        <v>3050000</v>
      </c>
      <c r="D70" s="13">
        <v>46234</v>
      </c>
      <c r="E70" s="65">
        <v>46196.000138888892</v>
      </c>
      <c r="F70" s="40">
        <f t="shared" si="1"/>
        <v>46198.000138888892</v>
      </c>
      <c r="G70" s="27"/>
      <c r="L70" s="66"/>
    </row>
    <row r="71" spans="1:12" ht="15.75" customHeight="1" x14ac:dyDescent="0.25">
      <c r="A71" t="s">
        <v>921</v>
      </c>
      <c r="B71" t="s">
        <v>1002</v>
      </c>
      <c r="C71" s="68">
        <v>1300000</v>
      </c>
      <c r="D71" s="13">
        <v>46235</v>
      </c>
      <c r="E71" s="65">
        <v>46195.000138888892</v>
      </c>
      <c r="F71" s="40">
        <f t="shared" si="1"/>
        <v>46197.000138888892</v>
      </c>
      <c r="G71" s="27"/>
      <c r="L71" s="66"/>
    </row>
    <row r="72" spans="1:12" ht="15.75" customHeight="1" x14ac:dyDescent="0.25">
      <c r="A72" t="s">
        <v>920</v>
      </c>
      <c r="B72" t="s">
        <v>1003</v>
      </c>
      <c r="C72" s="68">
        <v>1400000</v>
      </c>
      <c r="D72" s="13">
        <v>46236</v>
      </c>
      <c r="E72" s="65">
        <v>46195.000138888892</v>
      </c>
      <c r="F72" s="40">
        <f t="shared" si="1"/>
        <v>46197.000138888892</v>
      </c>
      <c r="G72" s="27"/>
      <c r="L72" s="66"/>
    </row>
    <row r="73" spans="1:12" ht="15.75" customHeight="1" x14ac:dyDescent="0.25">
      <c r="A73" t="s">
        <v>920</v>
      </c>
      <c r="B73" t="s">
        <v>1004</v>
      </c>
      <c r="C73" s="68">
        <v>1500000</v>
      </c>
      <c r="D73" s="13">
        <v>46237</v>
      </c>
      <c r="E73" s="65">
        <v>46195.000138888892</v>
      </c>
      <c r="F73" s="40">
        <f t="shared" si="1"/>
        <v>46197.000138888892</v>
      </c>
      <c r="G73" s="27"/>
      <c r="L73" s="66"/>
    </row>
    <row r="74" spans="1:12" ht="15.75" customHeight="1" x14ac:dyDescent="0.25">
      <c r="A74" t="s">
        <v>921</v>
      </c>
      <c r="B74" t="s">
        <v>1005</v>
      </c>
      <c r="C74" s="68">
        <v>1700000</v>
      </c>
      <c r="D74" s="13">
        <v>46238</v>
      </c>
      <c r="E74" s="65">
        <v>46195.000138888892</v>
      </c>
      <c r="F74" s="40">
        <f t="shared" si="1"/>
        <v>46197.000138888892</v>
      </c>
      <c r="G74" s="27"/>
      <c r="L74" s="66"/>
    </row>
    <row r="75" spans="1:12" ht="15.75" customHeight="1" x14ac:dyDescent="0.25">
      <c r="A75" t="s">
        <v>926</v>
      </c>
      <c r="B75" t="s">
        <v>1006</v>
      </c>
      <c r="C75" s="68">
        <v>32881480.800000001</v>
      </c>
      <c r="D75" s="13">
        <v>46239</v>
      </c>
      <c r="E75" s="65">
        <v>46195.000138888892</v>
      </c>
      <c r="F75" s="40">
        <f t="shared" si="1"/>
        <v>46197.000138888892</v>
      </c>
      <c r="G75" s="27"/>
      <c r="L75" s="66"/>
    </row>
    <row r="76" spans="1:12" ht="15.75" customHeight="1" x14ac:dyDescent="0.25">
      <c r="A76" t="s">
        <v>921</v>
      </c>
      <c r="B76" t="s">
        <v>1007</v>
      </c>
      <c r="C76" s="68">
        <v>1300000</v>
      </c>
      <c r="D76" s="13">
        <v>46240</v>
      </c>
      <c r="E76" s="65">
        <v>46195.000138888892</v>
      </c>
      <c r="F76" s="40">
        <f t="shared" si="1"/>
        <v>46197.000138888892</v>
      </c>
      <c r="G76" s="27"/>
      <c r="L76" s="66"/>
    </row>
    <row r="77" spans="1:12" ht="15.75" customHeight="1" x14ac:dyDescent="0.25">
      <c r="A77" t="s">
        <v>915</v>
      </c>
      <c r="B77" t="s">
        <v>1008</v>
      </c>
      <c r="C77" s="68">
        <v>3050000</v>
      </c>
      <c r="D77" s="13">
        <v>46241</v>
      </c>
      <c r="E77" s="65">
        <v>46195.000138888892</v>
      </c>
      <c r="F77" s="40">
        <f t="shared" si="1"/>
        <v>46197.000138888892</v>
      </c>
      <c r="G77" s="27"/>
      <c r="L77" s="66"/>
    </row>
    <row r="78" spans="1:12" ht="15.75" customHeight="1" x14ac:dyDescent="0.25">
      <c r="A78" t="s">
        <v>915</v>
      </c>
      <c r="B78" t="s">
        <v>1009</v>
      </c>
      <c r="C78" s="68">
        <v>3050000</v>
      </c>
      <c r="D78" s="13">
        <v>46242</v>
      </c>
      <c r="E78" s="65">
        <v>46194.000138888892</v>
      </c>
      <c r="F78" s="40">
        <f t="shared" si="1"/>
        <v>46196.000138888892</v>
      </c>
      <c r="G78" s="27"/>
      <c r="L78" s="66"/>
    </row>
    <row r="79" spans="1:12" ht="15.75" customHeight="1" x14ac:dyDescent="0.25">
      <c r="A79" t="s">
        <v>927</v>
      </c>
      <c r="B79" t="s">
        <v>1010</v>
      </c>
      <c r="C79" s="68">
        <v>14000000</v>
      </c>
      <c r="D79" s="13">
        <v>46243</v>
      </c>
      <c r="E79" s="65">
        <v>46193.000138888892</v>
      </c>
      <c r="F79" s="40">
        <f t="shared" si="1"/>
        <v>46195.000138888892</v>
      </c>
      <c r="G79" s="27"/>
      <c r="L79" s="66"/>
    </row>
    <row r="80" spans="1:12" ht="15.75" customHeight="1" x14ac:dyDescent="0.25">
      <c r="A80" t="s">
        <v>927</v>
      </c>
      <c r="B80" t="s">
        <v>1011</v>
      </c>
      <c r="C80" s="68">
        <v>12277397.439999999</v>
      </c>
      <c r="D80" s="13">
        <v>46244</v>
      </c>
      <c r="E80" s="65">
        <v>46193.000138888892</v>
      </c>
      <c r="F80" s="40">
        <f t="shared" si="1"/>
        <v>46195.000138888892</v>
      </c>
      <c r="G80" s="27"/>
      <c r="L80" s="66"/>
    </row>
    <row r="81" spans="1:12" ht="15.75" customHeight="1" x14ac:dyDescent="0.25">
      <c r="A81" t="s">
        <v>926</v>
      </c>
      <c r="B81" t="s">
        <v>1012</v>
      </c>
      <c r="C81" s="68">
        <v>28000000</v>
      </c>
      <c r="D81" s="13">
        <v>46245</v>
      </c>
      <c r="E81" s="65">
        <v>46193.000138888892</v>
      </c>
      <c r="F81" s="40">
        <f t="shared" si="1"/>
        <v>46195.000138888892</v>
      </c>
      <c r="G81" s="27"/>
      <c r="L81" s="66"/>
    </row>
    <row r="82" spans="1:12" ht="15.75" customHeight="1" x14ac:dyDescent="0.25">
      <c r="A82" t="s">
        <v>918</v>
      </c>
      <c r="B82" t="s">
        <v>1013</v>
      </c>
      <c r="C82" s="68">
        <v>6526515</v>
      </c>
      <c r="D82" s="13">
        <v>46246</v>
      </c>
      <c r="E82" s="65">
        <v>46193.000138888892</v>
      </c>
      <c r="F82" s="40">
        <f t="shared" si="1"/>
        <v>46195.000138888892</v>
      </c>
      <c r="G82" s="27"/>
      <c r="L82" s="66"/>
    </row>
    <row r="83" spans="1:12" ht="15.75" customHeight="1" x14ac:dyDescent="0.25">
      <c r="A83" t="s">
        <v>918</v>
      </c>
      <c r="B83" t="s">
        <v>1014</v>
      </c>
      <c r="C83" s="68">
        <v>10000000</v>
      </c>
      <c r="D83" s="13">
        <v>46247</v>
      </c>
      <c r="E83" s="65">
        <v>46193.000138888892</v>
      </c>
      <c r="F83" s="40">
        <f t="shared" si="1"/>
        <v>46195.000138888892</v>
      </c>
      <c r="G83" s="27"/>
      <c r="L83" s="66"/>
    </row>
    <row r="84" spans="1:12" ht="15.75" customHeight="1" x14ac:dyDescent="0.25">
      <c r="A84" t="s">
        <v>918</v>
      </c>
      <c r="B84" t="s">
        <v>1015</v>
      </c>
      <c r="C84" s="68">
        <v>10000000</v>
      </c>
      <c r="D84" s="13">
        <v>46248</v>
      </c>
      <c r="E84" s="65">
        <v>46193.000138888892</v>
      </c>
      <c r="F84" s="40">
        <f t="shared" si="1"/>
        <v>46195.000138888892</v>
      </c>
      <c r="G84" s="27"/>
      <c r="L84" s="66"/>
    </row>
    <row r="85" spans="1:12" ht="15.75" customHeight="1" x14ac:dyDescent="0.25">
      <c r="A85" t="s">
        <v>918</v>
      </c>
      <c r="B85" t="s">
        <v>1016</v>
      </c>
      <c r="C85" s="68">
        <v>10000000</v>
      </c>
      <c r="D85" s="13">
        <v>46249</v>
      </c>
      <c r="E85" s="65">
        <v>46193.000138888892</v>
      </c>
      <c r="F85" s="40">
        <f t="shared" si="1"/>
        <v>46195.000138888892</v>
      </c>
      <c r="G85" s="27"/>
      <c r="L85" s="66"/>
    </row>
    <row r="86" spans="1:12" ht="15.75" customHeight="1" x14ac:dyDescent="0.25">
      <c r="A86" t="s">
        <v>918</v>
      </c>
      <c r="B86" t="s">
        <v>1017</v>
      </c>
      <c r="C86" s="68">
        <v>10000000</v>
      </c>
      <c r="D86" s="13">
        <v>46250</v>
      </c>
      <c r="E86" s="65">
        <v>46193.000138888892</v>
      </c>
      <c r="F86" s="40">
        <f t="shared" si="1"/>
        <v>46195.000138888892</v>
      </c>
      <c r="G86" s="27"/>
      <c r="L86" s="66"/>
    </row>
    <row r="87" spans="1:12" ht="15.75" customHeight="1" x14ac:dyDescent="0.25">
      <c r="A87" t="s">
        <v>922</v>
      </c>
      <c r="B87" t="s">
        <v>1018</v>
      </c>
      <c r="C87" s="68">
        <v>14268870</v>
      </c>
      <c r="D87" s="13">
        <v>46251</v>
      </c>
      <c r="E87" s="65">
        <v>46193.000138888892</v>
      </c>
      <c r="F87" s="40">
        <f t="shared" si="1"/>
        <v>46195.000138888892</v>
      </c>
      <c r="G87" s="27"/>
      <c r="L87" s="66"/>
    </row>
    <row r="88" spans="1:12" ht="15.75" customHeight="1" x14ac:dyDescent="0.25">
      <c r="A88" t="s">
        <v>918</v>
      </c>
      <c r="B88" t="s">
        <v>1019</v>
      </c>
      <c r="C88" s="68">
        <v>10000000</v>
      </c>
      <c r="D88" s="13">
        <v>46252</v>
      </c>
      <c r="E88" s="65">
        <v>46193.000138888892</v>
      </c>
      <c r="F88" s="40">
        <f t="shared" si="1"/>
        <v>46195.000138888892</v>
      </c>
      <c r="G88" s="27"/>
      <c r="L88" s="66"/>
    </row>
    <row r="89" spans="1:12" ht="15.75" customHeight="1" x14ac:dyDescent="0.25">
      <c r="A89" t="s">
        <v>918</v>
      </c>
      <c r="B89" t="s">
        <v>1020</v>
      </c>
      <c r="C89" s="68">
        <v>10000000</v>
      </c>
      <c r="D89" s="13">
        <v>46253</v>
      </c>
      <c r="E89" s="65">
        <v>46193.000138888892</v>
      </c>
      <c r="F89" s="40">
        <f t="shared" si="1"/>
        <v>46195.000138888892</v>
      </c>
      <c r="G89" s="27"/>
      <c r="L89" s="66"/>
    </row>
    <row r="90" spans="1:12" ht="15.75" customHeight="1" x14ac:dyDescent="0.25">
      <c r="A90" t="s">
        <v>917</v>
      </c>
      <c r="B90" t="s">
        <v>1021</v>
      </c>
      <c r="C90" s="68">
        <v>3000380</v>
      </c>
      <c r="D90" s="13">
        <v>46254</v>
      </c>
      <c r="E90" s="65">
        <v>46193.000138888892</v>
      </c>
      <c r="F90" s="40">
        <f t="shared" si="1"/>
        <v>46195.000138888892</v>
      </c>
      <c r="G90" s="27"/>
      <c r="L90" s="66"/>
    </row>
    <row r="91" spans="1:12" ht="15.75" customHeight="1" x14ac:dyDescent="0.25">
      <c r="A91" t="s">
        <v>917</v>
      </c>
      <c r="B91" t="s">
        <v>1022</v>
      </c>
      <c r="C91" s="68">
        <v>3019000</v>
      </c>
      <c r="D91" s="13">
        <v>46255</v>
      </c>
      <c r="E91" s="65">
        <v>46193.000138888892</v>
      </c>
      <c r="F91" s="40">
        <f t="shared" si="1"/>
        <v>46195.000138888892</v>
      </c>
      <c r="G91" s="27"/>
      <c r="L91" s="66"/>
    </row>
    <row r="92" spans="1:12" ht="15.75" customHeight="1" x14ac:dyDescent="0.25">
      <c r="A92" t="s">
        <v>915</v>
      </c>
      <c r="B92" t="s">
        <v>1023</v>
      </c>
      <c r="C92" s="68">
        <v>3050000</v>
      </c>
      <c r="D92" s="13">
        <v>46256</v>
      </c>
      <c r="E92" s="65">
        <v>46193.000138888892</v>
      </c>
      <c r="F92" s="40">
        <f t="shared" si="1"/>
        <v>46195.000138888892</v>
      </c>
      <c r="G92" s="27"/>
      <c r="L92" s="66"/>
    </row>
    <row r="93" spans="1:12" ht="15.75" customHeight="1" x14ac:dyDescent="0.25">
      <c r="A93" t="s">
        <v>920</v>
      </c>
      <c r="B93" t="s">
        <v>1024</v>
      </c>
      <c r="C93" s="68">
        <v>1400000</v>
      </c>
      <c r="D93" s="13">
        <v>46257</v>
      </c>
      <c r="E93" s="65">
        <v>46192.000138888892</v>
      </c>
      <c r="F93" s="40">
        <f t="shared" si="1"/>
        <v>46194.000138888892</v>
      </c>
      <c r="G93" s="27"/>
      <c r="L93" s="66"/>
    </row>
    <row r="94" spans="1:12" ht="15.75" customHeight="1" x14ac:dyDescent="0.25">
      <c r="A94" t="s">
        <v>920</v>
      </c>
      <c r="B94" t="s">
        <v>1025</v>
      </c>
      <c r="C94" s="68">
        <v>1500000</v>
      </c>
      <c r="D94" s="13">
        <v>46258</v>
      </c>
      <c r="E94" s="65">
        <v>46192.000138888892</v>
      </c>
      <c r="F94" s="40">
        <f t="shared" si="1"/>
        <v>46194.000138888892</v>
      </c>
      <c r="G94" s="27"/>
      <c r="L94" s="66"/>
    </row>
    <row r="95" spans="1:12" ht="15.75" customHeight="1" x14ac:dyDescent="0.25">
      <c r="A95" t="s">
        <v>921</v>
      </c>
      <c r="B95" t="s">
        <v>1026</v>
      </c>
      <c r="C95" s="68">
        <v>1700000</v>
      </c>
      <c r="D95" s="13">
        <v>46259</v>
      </c>
      <c r="E95" s="65">
        <v>46192.000138888892</v>
      </c>
      <c r="F95" s="40">
        <f t="shared" si="1"/>
        <v>46194.000138888892</v>
      </c>
      <c r="G95" s="27"/>
      <c r="L95" s="66"/>
    </row>
    <row r="96" spans="1:12" ht="15.75" customHeight="1" x14ac:dyDescent="0.25">
      <c r="A96" t="s">
        <v>921</v>
      </c>
      <c r="B96" t="s">
        <v>1027</v>
      </c>
      <c r="C96" s="68">
        <v>1300000</v>
      </c>
      <c r="D96" s="13">
        <v>46260</v>
      </c>
      <c r="E96" s="65">
        <v>46192.000138888892</v>
      </c>
      <c r="F96" s="40">
        <f t="shared" si="1"/>
        <v>46194.000138888892</v>
      </c>
      <c r="G96" s="27"/>
      <c r="L96" s="66"/>
    </row>
    <row r="97" spans="1:12" ht="15.75" customHeight="1" x14ac:dyDescent="0.25">
      <c r="A97" t="s">
        <v>924</v>
      </c>
      <c r="B97" t="s">
        <v>1028</v>
      </c>
      <c r="C97" s="68">
        <v>21096432.5</v>
      </c>
      <c r="D97" s="13">
        <v>46261</v>
      </c>
      <c r="E97" s="65">
        <v>46192.000138888892</v>
      </c>
      <c r="F97" s="40">
        <f t="shared" si="1"/>
        <v>46194.000138888892</v>
      </c>
      <c r="G97" s="27"/>
      <c r="L97" s="66"/>
    </row>
    <row r="98" spans="1:12" ht="15.75" customHeight="1" x14ac:dyDescent="0.25">
      <c r="A98" t="s">
        <v>917</v>
      </c>
      <c r="B98" t="s">
        <v>1029</v>
      </c>
      <c r="C98" s="68">
        <v>3000060</v>
      </c>
      <c r="D98" s="13">
        <v>46262</v>
      </c>
      <c r="E98" s="65">
        <v>46192.000138888892</v>
      </c>
      <c r="F98" s="40">
        <f t="shared" si="1"/>
        <v>46194.000138888892</v>
      </c>
      <c r="G98" s="27"/>
      <c r="L98" s="66"/>
    </row>
    <row r="99" spans="1:12" ht="15.75" customHeight="1" x14ac:dyDescent="0.25">
      <c r="A99" t="s">
        <v>917</v>
      </c>
      <c r="B99" t="s">
        <v>1030</v>
      </c>
      <c r="C99" s="68">
        <v>2364000</v>
      </c>
      <c r="D99" s="13">
        <v>46263</v>
      </c>
      <c r="E99" s="65">
        <v>46192.000138888892</v>
      </c>
      <c r="F99" s="40">
        <f t="shared" si="1"/>
        <v>46194.000138888892</v>
      </c>
      <c r="G99" s="27"/>
      <c r="L99" s="66"/>
    </row>
    <row r="100" spans="1:12" ht="15.75" customHeight="1" x14ac:dyDescent="0.25">
      <c r="A100" t="s">
        <v>917</v>
      </c>
      <c r="B100" t="s">
        <v>1031</v>
      </c>
      <c r="C100" s="68">
        <v>3000900</v>
      </c>
      <c r="D100" s="13">
        <v>46264</v>
      </c>
      <c r="E100" s="65">
        <v>46192.000138888892</v>
      </c>
      <c r="F100" s="40">
        <f t="shared" si="1"/>
        <v>46194.000138888892</v>
      </c>
      <c r="G100" s="27"/>
      <c r="L100" s="66"/>
    </row>
    <row r="101" spans="1:12" ht="15.75" customHeight="1" x14ac:dyDescent="0.25">
      <c r="A101" t="s">
        <v>928</v>
      </c>
      <c r="B101" t="s">
        <v>1032</v>
      </c>
      <c r="C101" s="68">
        <v>1339800</v>
      </c>
      <c r="D101" s="13">
        <v>46265</v>
      </c>
      <c r="E101" s="65">
        <v>46192.000138888892</v>
      </c>
      <c r="F101" s="40">
        <f t="shared" si="1"/>
        <v>46194.000138888892</v>
      </c>
      <c r="G101" s="27"/>
      <c r="L101" s="66"/>
    </row>
    <row r="102" spans="1:12" ht="15.75" customHeight="1" x14ac:dyDescent="0.25">
      <c r="A102" t="s">
        <v>915</v>
      </c>
      <c r="B102" t="s">
        <v>1033</v>
      </c>
      <c r="C102" s="68">
        <v>3050000</v>
      </c>
      <c r="D102" s="13">
        <v>46266</v>
      </c>
      <c r="E102" s="65">
        <v>46192.000138888892</v>
      </c>
      <c r="F102" s="40">
        <f t="shared" si="1"/>
        <v>46194.000138888892</v>
      </c>
      <c r="G102" s="27"/>
      <c r="L102" s="66"/>
    </row>
    <row r="103" spans="1:12" ht="15.75" customHeight="1" x14ac:dyDescent="0.25">
      <c r="A103" t="s">
        <v>919</v>
      </c>
      <c r="B103" t="s">
        <v>1034</v>
      </c>
      <c r="C103" s="68">
        <v>28375270</v>
      </c>
      <c r="D103" s="13">
        <v>46267</v>
      </c>
      <c r="E103" s="65">
        <v>46192.000138888892</v>
      </c>
      <c r="F103" s="40">
        <f t="shared" si="1"/>
        <v>46194.000138888892</v>
      </c>
      <c r="G103" s="27"/>
      <c r="L103" s="66"/>
    </row>
    <row r="104" spans="1:12" ht="15.75" customHeight="1" x14ac:dyDescent="0.25">
      <c r="A104" t="s">
        <v>920</v>
      </c>
      <c r="B104" t="s">
        <v>1035</v>
      </c>
      <c r="C104" s="68">
        <v>1400000</v>
      </c>
      <c r="D104" s="13">
        <v>46268</v>
      </c>
      <c r="E104" s="65">
        <v>46191.000138888892</v>
      </c>
      <c r="F104" s="40">
        <f t="shared" si="1"/>
        <v>46193.000138888892</v>
      </c>
      <c r="G104" s="27"/>
      <c r="L104" s="66"/>
    </row>
    <row r="105" spans="1:12" ht="15.75" customHeight="1" x14ac:dyDescent="0.25">
      <c r="A105" t="s">
        <v>920</v>
      </c>
      <c r="B105" t="s">
        <v>1036</v>
      </c>
      <c r="C105" s="68">
        <v>1420740</v>
      </c>
      <c r="D105" s="13">
        <v>46269</v>
      </c>
      <c r="E105" s="65">
        <v>46191.000138888892</v>
      </c>
      <c r="F105" s="40">
        <f t="shared" si="1"/>
        <v>46193.000138888892</v>
      </c>
      <c r="G105" s="27"/>
      <c r="L105" s="66"/>
    </row>
    <row r="106" spans="1:12" ht="15.75" customHeight="1" x14ac:dyDescent="0.25">
      <c r="A106" t="s">
        <v>915</v>
      </c>
      <c r="B106" t="s">
        <v>1037</v>
      </c>
      <c r="C106" s="68">
        <v>3050000</v>
      </c>
      <c r="D106" s="13">
        <v>46270</v>
      </c>
      <c r="E106" s="65">
        <v>46191.000138888892</v>
      </c>
      <c r="F106" s="40">
        <f t="shared" si="1"/>
        <v>46193.000138888892</v>
      </c>
      <c r="G106" s="27"/>
      <c r="L106" s="66"/>
    </row>
    <row r="107" spans="1:12" ht="15.75" customHeight="1" x14ac:dyDescent="0.25">
      <c r="A107" t="s">
        <v>920</v>
      </c>
      <c r="B107" t="s">
        <v>1038</v>
      </c>
      <c r="C107" s="68">
        <v>1460205</v>
      </c>
      <c r="D107" s="13">
        <v>46271</v>
      </c>
      <c r="E107" s="65">
        <v>46191.000138888892</v>
      </c>
      <c r="F107" s="40">
        <f t="shared" si="1"/>
        <v>46193.000138888892</v>
      </c>
      <c r="G107" s="27"/>
      <c r="L107" s="66"/>
    </row>
    <row r="108" spans="1:12" ht="15.75" customHeight="1" x14ac:dyDescent="0.25">
      <c r="A108" t="s">
        <v>920</v>
      </c>
      <c r="B108" t="s">
        <v>1039</v>
      </c>
      <c r="C108" s="68">
        <v>1500000</v>
      </c>
      <c r="D108" s="13">
        <v>46272</v>
      </c>
      <c r="E108" s="65">
        <v>46190.000138888892</v>
      </c>
      <c r="F108" s="40">
        <f t="shared" si="1"/>
        <v>46192.000138888892</v>
      </c>
      <c r="G108" s="27"/>
      <c r="L108" s="66"/>
    </row>
    <row r="109" spans="1:12" ht="15.75" customHeight="1" x14ac:dyDescent="0.25">
      <c r="A109" t="s">
        <v>920</v>
      </c>
      <c r="B109" t="s">
        <v>1040</v>
      </c>
      <c r="C109" s="68">
        <v>1400000</v>
      </c>
      <c r="D109" s="13">
        <v>46273</v>
      </c>
      <c r="E109" s="65">
        <v>46190.000138888892</v>
      </c>
      <c r="F109" s="40">
        <f t="shared" si="1"/>
        <v>46192.000138888892</v>
      </c>
      <c r="G109" s="27"/>
      <c r="L109" s="66"/>
    </row>
    <row r="110" spans="1:12" ht="15.75" customHeight="1" x14ac:dyDescent="0.25">
      <c r="A110" t="s">
        <v>924</v>
      </c>
      <c r="B110" t="s">
        <v>1041</v>
      </c>
      <c r="C110" s="68">
        <v>18000000</v>
      </c>
      <c r="D110" s="13">
        <v>46274</v>
      </c>
      <c r="E110" s="65">
        <v>46190.000138888892</v>
      </c>
      <c r="F110" s="40">
        <f t="shared" si="1"/>
        <v>46192.000138888892</v>
      </c>
      <c r="G110" s="27"/>
      <c r="L110" s="66"/>
    </row>
    <row r="111" spans="1:12" ht="15.75" customHeight="1" x14ac:dyDescent="0.25">
      <c r="A111" t="s">
        <v>921</v>
      </c>
      <c r="B111" t="s">
        <v>1042</v>
      </c>
      <c r="C111" s="68">
        <v>1700000</v>
      </c>
      <c r="D111" s="13">
        <v>46275</v>
      </c>
      <c r="E111" s="65">
        <v>46190.000138888892</v>
      </c>
      <c r="F111" s="40">
        <f t="shared" si="1"/>
        <v>46192.000138888892</v>
      </c>
      <c r="G111" s="27"/>
      <c r="L111" s="66"/>
    </row>
    <row r="112" spans="1:12" ht="15.75" customHeight="1" x14ac:dyDescent="0.25">
      <c r="A112" t="s">
        <v>921</v>
      </c>
      <c r="B112" t="s">
        <v>1043</v>
      </c>
      <c r="C112" s="68">
        <v>1300000</v>
      </c>
      <c r="D112" s="13">
        <v>46276</v>
      </c>
      <c r="E112" s="65">
        <v>46190.000138888892</v>
      </c>
      <c r="F112" s="40">
        <f t="shared" si="1"/>
        <v>46192.000138888892</v>
      </c>
      <c r="G112" s="27"/>
      <c r="L112" s="66"/>
    </row>
    <row r="113" spans="1:12" ht="15.75" customHeight="1" x14ac:dyDescent="0.25">
      <c r="A113" t="s">
        <v>920</v>
      </c>
      <c r="B113" t="s">
        <v>1044</v>
      </c>
      <c r="C113" s="68">
        <v>1440000</v>
      </c>
      <c r="D113" s="13">
        <v>46277</v>
      </c>
      <c r="E113" s="65">
        <v>46190.000138888892</v>
      </c>
      <c r="F113" s="40">
        <f t="shared" si="1"/>
        <v>46192.000138888892</v>
      </c>
      <c r="G113" s="27"/>
      <c r="L113" s="66"/>
    </row>
    <row r="114" spans="1:12" ht="15.75" customHeight="1" x14ac:dyDescent="0.25">
      <c r="A114" t="s">
        <v>915</v>
      </c>
      <c r="B114" t="s">
        <v>1045</v>
      </c>
      <c r="C114" s="68">
        <v>3050000</v>
      </c>
      <c r="D114" s="13">
        <v>46278</v>
      </c>
      <c r="E114" s="65">
        <v>46190.000138888892</v>
      </c>
      <c r="F114" s="40">
        <f t="shared" si="1"/>
        <v>46192.000138888892</v>
      </c>
      <c r="G114" s="27"/>
      <c r="L114" s="66"/>
    </row>
    <row r="115" spans="1:12" ht="15.75" customHeight="1" x14ac:dyDescent="0.25">
      <c r="A115" t="s">
        <v>920</v>
      </c>
      <c r="B115" t="s">
        <v>1046</v>
      </c>
      <c r="C115" s="68">
        <v>1480000</v>
      </c>
      <c r="D115" s="13">
        <v>46279</v>
      </c>
      <c r="E115" s="65">
        <v>46190.000138888892</v>
      </c>
      <c r="F115" s="40">
        <f t="shared" si="1"/>
        <v>46192.000138888892</v>
      </c>
      <c r="G115" s="27"/>
      <c r="L115" s="66"/>
    </row>
    <row r="116" spans="1:12" ht="15.75" customHeight="1" x14ac:dyDescent="0.25">
      <c r="A116" t="s">
        <v>920</v>
      </c>
      <c r="B116" t="s">
        <v>1047</v>
      </c>
      <c r="C116" s="68">
        <v>1400000</v>
      </c>
      <c r="D116" s="13">
        <v>46280</v>
      </c>
      <c r="E116" s="65">
        <v>46189.000138888892</v>
      </c>
      <c r="F116" s="40">
        <f t="shared" si="1"/>
        <v>46191.000138888892</v>
      </c>
      <c r="G116" s="27"/>
      <c r="L116" s="66"/>
    </row>
    <row r="117" spans="1:12" ht="15.75" customHeight="1" x14ac:dyDescent="0.25">
      <c r="A117" t="s">
        <v>920</v>
      </c>
      <c r="B117" t="s">
        <v>1048</v>
      </c>
      <c r="C117" s="68">
        <v>1500000</v>
      </c>
      <c r="D117" s="13">
        <v>46281</v>
      </c>
      <c r="E117" s="65">
        <v>46189.000138888892</v>
      </c>
      <c r="F117" s="40">
        <f t="shared" si="1"/>
        <v>46191.000138888892</v>
      </c>
      <c r="G117" s="27"/>
      <c r="L117" s="66"/>
    </row>
    <row r="118" spans="1:12" ht="15.75" customHeight="1" x14ac:dyDescent="0.25">
      <c r="A118" t="s">
        <v>921</v>
      </c>
      <c r="B118" t="s">
        <v>1049</v>
      </c>
      <c r="C118" s="68">
        <v>1300000</v>
      </c>
      <c r="D118" s="13">
        <v>46282</v>
      </c>
      <c r="E118" s="65">
        <v>46189.000138888892</v>
      </c>
      <c r="F118" s="40">
        <f t="shared" si="1"/>
        <v>46191.000138888892</v>
      </c>
      <c r="G118" s="27"/>
      <c r="L118" s="66"/>
    </row>
    <row r="119" spans="1:12" ht="15.75" customHeight="1" x14ac:dyDescent="0.25">
      <c r="A119" t="s">
        <v>920</v>
      </c>
      <c r="B119" t="s">
        <v>1050</v>
      </c>
      <c r="C119" s="68">
        <v>1440000</v>
      </c>
      <c r="D119" s="13">
        <v>46283</v>
      </c>
      <c r="E119" s="65">
        <v>46189.000138888892</v>
      </c>
      <c r="F119" s="40">
        <f t="shared" si="1"/>
        <v>46191.000138888892</v>
      </c>
      <c r="G119" s="27"/>
      <c r="L119" s="66"/>
    </row>
    <row r="120" spans="1:12" ht="15.75" customHeight="1" x14ac:dyDescent="0.25">
      <c r="A120" t="s">
        <v>920</v>
      </c>
      <c r="B120" t="s">
        <v>1051</v>
      </c>
      <c r="C120" s="68">
        <v>1480000</v>
      </c>
      <c r="D120" s="13">
        <v>46284</v>
      </c>
      <c r="E120" s="65">
        <v>46189.000138888892</v>
      </c>
      <c r="F120" s="40">
        <f t="shared" si="1"/>
        <v>46191.000138888892</v>
      </c>
      <c r="G120" s="27"/>
      <c r="L120" s="66"/>
    </row>
    <row r="121" spans="1:12" ht="15.75" customHeight="1" x14ac:dyDescent="0.25">
      <c r="A121" t="s">
        <v>915</v>
      </c>
      <c r="B121" t="s">
        <v>1052</v>
      </c>
      <c r="C121" s="68">
        <v>2983045</v>
      </c>
      <c r="D121" s="13">
        <v>46285</v>
      </c>
      <c r="E121" s="65">
        <v>46189.000138888892</v>
      </c>
      <c r="F121" s="40">
        <f t="shared" si="1"/>
        <v>46191.000138888892</v>
      </c>
      <c r="G121" s="27"/>
      <c r="L121" s="66"/>
    </row>
    <row r="122" spans="1:12" ht="15.75" customHeight="1" x14ac:dyDescent="0.25">
      <c r="A122" t="s">
        <v>923</v>
      </c>
      <c r="B122" t="s">
        <v>1053</v>
      </c>
      <c r="C122" s="68">
        <v>11744287.5</v>
      </c>
      <c r="D122" s="13">
        <v>46286</v>
      </c>
      <c r="E122" s="65">
        <v>46189.000138888892</v>
      </c>
      <c r="F122" s="40">
        <f t="shared" si="1"/>
        <v>46191.000138888892</v>
      </c>
      <c r="G122" s="27"/>
      <c r="L122" s="66"/>
    </row>
    <row r="123" spans="1:12" ht="15.75" customHeight="1" x14ac:dyDescent="0.25">
      <c r="A123" t="s">
        <v>929</v>
      </c>
      <c r="B123" t="s">
        <v>1054</v>
      </c>
      <c r="C123" s="68">
        <v>6000000</v>
      </c>
      <c r="D123" s="13">
        <v>46287</v>
      </c>
      <c r="E123" s="65">
        <v>46188.000138888892</v>
      </c>
      <c r="F123" s="40">
        <f t="shared" si="1"/>
        <v>46190.000138888892</v>
      </c>
      <c r="G123" s="27"/>
      <c r="L123" s="66"/>
    </row>
    <row r="124" spans="1:12" ht="15.75" customHeight="1" x14ac:dyDescent="0.25">
      <c r="A124" t="s">
        <v>929</v>
      </c>
      <c r="B124" t="s">
        <v>1055</v>
      </c>
      <c r="C124" s="68">
        <v>6000000</v>
      </c>
      <c r="D124" s="13">
        <v>46288</v>
      </c>
      <c r="E124" s="65">
        <v>46188.000138888892</v>
      </c>
      <c r="F124" s="40">
        <f t="shared" si="1"/>
        <v>46190.000138888892</v>
      </c>
      <c r="G124" s="27"/>
      <c r="L124" s="66"/>
    </row>
    <row r="125" spans="1:12" ht="15.75" customHeight="1" x14ac:dyDescent="0.25">
      <c r="A125" t="s">
        <v>929</v>
      </c>
      <c r="B125" t="s">
        <v>1056</v>
      </c>
      <c r="C125" s="68">
        <v>4658569</v>
      </c>
      <c r="D125" s="13">
        <v>46289</v>
      </c>
      <c r="E125" s="65">
        <v>46188.000138888892</v>
      </c>
      <c r="F125" s="40">
        <f t="shared" si="1"/>
        <v>46190.000138888892</v>
      </c>
      <c r="G125" s="27"/>
      <c r="L125" s="66"/>
    </row>
    <row r="126" spans="1:12" ht="15.75" customHeight="1" x14ac:dyDescent="0.25">
      <c r="A126" t="s">
        <v>917</v>
      </c>
      <c r="B126" t="s">
        <v>1057</v>
      </c>
      <c r="C126" s="68">
        <v>3004000</v>
      </c>
      <c r="D126" s="13">
        <v>46290</v>
      </c>
      <c r="E126" s="65">
        <v>46187.000138888892</v>
      </c>
      <c r="F126" s="40">
        <f t="shared" si="1"/>
        <v>46189.000138888892</v>
      </c>
      <c r="G126" s="27"/>
      <c r="L126" s="66"/>
    </row>
    <row r="127" spans="1:12" ht="15.75" customHeight="1" x14ac:dyDescent="0.25">
      <c r="A127" t="s">
        <v>917</v>
      </c>
      <c r="B127" t="s">
        <v>1058</v>
      </c>
      <c r="C127" s="68">
        <v>1200000</v>
      </c>
      <c r="D127" s="13">
        <v>46291</v>
      </c>
      <c r="E127" s="65">
        <v>46187.000138888892</v>
      </c>
      <c r="F127" s="40">
        <f t="shared" si="1"/>
        <v>46189.000138888892</v>
      </c>
      <c r="G127" s="27"/>
      <c r="L127" s="66"/>
    </row>
    <row r="128" spans="1:12" ht="15.75" customHeight="1" x14ac:dyDescent="0.25">
      <c r="A128" t="s">
        <v>917</v>
      </c>
      <c r="B128" t="s">
        <v>1059</v>
      </c>
      <c r="C128" s="68">
        <v>3050000</v>
      </c>
      <c r="D128" s="13">
        <v>46292</v>
      </c>
      <c r="E128" s="65">
        <v>46187.000138888892</v>
      </c>
      <c r="F128" s="40">
        <f t="shared" si="1"/>
        <v>46189.000138888892</v>
      </c>
      <c r="G128" s="27"/>
      <c r="L128" s="66"/>
    </row>
    <row r="129" spans="1:12" ht="15.75" customHeight="1" x14ac:dyDescent="0.25">
      <c r="A129" t="s">
        <v>927</v>
      </c>
      <c r="B129" t="s">
        <v>1060</v>
      </c>
      <c r="C129" s="68">
        <v>10000000</v>
      </c>
      <c r="D129" s="13">
        <v>46293</v>
      </c>
      <c r="E129" s="65">
        <v>46186.000138888892</v>
      </c>
      <c r="F129" s="40">
        <f t="shared" si="1"/>
        <v>46188.000138888892</v>
      </c>
      <c r="G129" s="27"/>
      <c r="L129" s="66"/>
    </row>
    <row r="130" spans="1:12" ht="15.75" customHeight="1" x14ac:dyDescent="0.25">
      <c r="A130" t="s">
        <v>927</v>
      </c>
      <c r="B130" t="s">
        <v>1061</v>
      </c>
      <c r="C130" s="68">
        <v>14000000</v>
      </c>
      <c r="D130" s="13">
        <v>46294</v>
      </c>
      <c r="E130" s="65">
        <v>46186.000138888892</v>
      </c>
      <c r="F130" s="40">
        <f t="shared" si="1"/>
        <v>46188.000138888892</v>
      </c>
      <c r="G130" s="27"/>
      <c r="L130" s="66"/>
    </row>
    <row r="131" spans="1:12" ht="15.75" customHeight="1" x14ac:dyDescent="0.25">
      <c r="A131" t="s">
        <v>923</v>
      </c>
      <c r="B131" t="s">
        <v>1062</v>
      </c>
      <c r="C131" s="68">
        <v>9263100</v>
      </c>
      <c r="D131" s="13">
        <v>46295</v>
      </c>
      <c r="E131" s="65">
        <v>46186.000138888892</v>
      </c>
      <c r="F131" s="40">
        <f t="shared" si="1"/>
        <v>46188.000138888892</v>
      </c>
      <c r="G131" s="27"/>
      <c r="L131" s="66"/>
    </row>
    <row r="132" spans="1:12" ht="15.75" customHeight="1" x14ac:dyDescent="0.25">
      <c r="A132" t="s">
        <v>930</v>
      </c>
      <c r="B132" t="s">
        <v>1063</v>
      </c>
      <c r="C132" s="68">
        <v>12240330</v>
      </c>
      <c r="D132" s="13">
        <v>46296</v>
      </c>
      <c r="E132" s="65">
        <v>46185.000138888892</v>
      </c>
      <c r="F132" s="40">
        <f t="shared" si="1"/>
        <v>46187.000138888892</v>
      </c>
      <c r="G132" s="27"/>
      <c r="L132" s="66"/>
    </row>
    <row r="133" spans="1:12" ht="15.75" customHeight="1" x14ac:dyDescent="0.25">
      <c r="A133" t="s">
        <v>930</v>
      </c>
      <c r="B133" t="s">
        <v>1064</v>
      </c>
      <c r="C133" s="68">
        <v>12295800</v>
      </c>
      <c r="D133" s="13">
        <v>46297</v>
      </c>
      <c r="E133" s="65">
        <v>46185.000138888892</v>
      </c>
      <c r="F133" s="40">
        <f t="shared" ref="F133:F196" si="2">+E133+2</f>
        <v>46187.000138888892</v>
      </c>
      <c r="G133" s="27"/>
      <c r="L133" s="66"/>
    </row>
    <row r="134" spans="1:12" ht="15.75" customHeight="1" x14ac:dyDescent="0.25">
      <c r="A134" t="s">
        <v>931</v>
      </c>
      <c r="B134" t="s">
        <v>1065</v>
      </c>
      <c r="C134" s="68">
        <v>7286515</v>
      </c>
      <c r="D134" s="13">
        <v>46298</v>
      </c>
      <c r="E134" s="65">
        <v>46185.000138888892</v>
      </c>
      <c r="F134" s="40">
        <f t="shared" si="2"/>
        <v>46187.000138888892</v>
      </c>
      <c r="G134" s="27"/>
      <c r="L134" s="66"/>
    </row>
    <row r="135" spans="1:12" ht="15.75" customHeight="1" x14ac:dyDescent="0.25">
      <c r="A135" t="s">
        <v>924</v>
      </c>
      <c r="B135" t="s">
        <v>1066</v>
      </c>
      <c r="C135" s="68">
        <v>21500000</v>
      </c>
      <c r="D135" s="13">
        <v>46299</v>
      </c>
      <c r="E135" s="65">
        <v>46185.000138888892</v>
      </c>
      <c r="F135" s="40">
        <f t="shared" si="2"/>
        <v>46187.000138888892</v>
      </c>
      <c r="G135" s="27"/>
      <c r="L135" s="66"/>
    </row>
    <row r="136" spans="1:12" ht="15.75" customHeight="1" x14ac:dyDescent="0.25">
      <c r="A136" t="s">
        <v>928</v>
      </c>
      <c r="B136" t="s">
        <v>1067</v>
      </c>
      <c r="C136" s="68">
        <v>1339800</v>
      </c>
      <c r="D136" s="13">
        <v>46300</v>
      </c>
      <c r="E136" s="65">
        <v>46185.000138888892</v>
      </c>
      <c r="F136" s="40">
        <f t="shared" si="2"/>
        <v>46187.000138888892</v>
      </c>
      <c r="G136" s="27"/>
      <c r="L136" s="66"/>
    </row>
    <row r="137" spans="1:12" ht="15.75" customHeight="1" x14ac:dyDescent="0.25">
      <c r="A137" t="s">
        <v>920</v>
      </c>
      <c r="B137" t="s">
        <v>1068</v>
      </c>
      <c r="C137" s="68">
        <v>1440000</v>
      </c>
      <c r="D137" s="13">
        <v>46301</v>
      </c>
      <c r="E137" s="65">
        <v>46185.000138888892</v>
      </c>
      <c r="F137" s="40">
        <f t="shared" si="2"/>
        <v>46187.000138888892</v>
      </c>
      <c r="G137" s="27"/>
      <c r="L137" s="66"/>
    </row>
    <row r="138" spans="1:12" ht="15.75" customHeight="1" x14ac:dyDescent="0.25">
      <c r="A138" t="s">
        <v>920</v>
      </c>
      <c r="B138" t="s">
        <v>1069</v>
      </c>
      <c r="C138" s="68">
        <v>1480000</v>
      </c>
      <c r="D138" s="13">
        <v>46302</v>
      </c>
      <c r="E138" s="65">
        <v>46185.000138888892</v>
      </c>
      <c r="F138" s="40">
        <f t="shared" si="2"/>
        <v>46187.000138888892</v>
      </c>
      <c r="G138" s="27"/>
      <c r="L138" s="66"/>
    </row>
    <row r="139" spans="1:12" ht="15.75" customHeight="1" x14ac:dyDescent="0.25">
      <c r="A139" t="s">
        <v>920</v>
      </c>
      <c r="B139" t="s">
        <v>1070</v>
      </c>
      <c r="C139" s="68">
        <v>1148175</v>
      </c>
      <c r="D139" s="13">
        <v>46303</v>
      </c>
      <c r="E139" s="65">
        <v>46185.000138888892</v>
      </c>
      <c r="F139" s="40">
        <f t="shared" si="2"/>
        <v>46187.000138888892</v>
      </c>
      <c r="G139" s="27"/>
      <c r="L139" s="66"/>
    </row>
    <row r="140" spans="1:12" ht="15.75" customHeight="1" x14ac:dyDescent="0.25">
      <c r="A140" t="s">
        <v>916</v>
      </c>
      <c r="B140" t="s">
        <v>1071</v>
      </c>
      <c r="C140" s="68">
        <v>4000000</v>
      </c>
      <c r="D140" s="13">
        <v>46304</v>
      </c>
      <c r="E140" s="65">
        <v>46185.000138888892</v>
      </c>
      <c r="F140" s="40">
        <f t="shared" si="2"/>
        <v>46187.000138888892</v>
      </c>
      <c r="G140" s="27"/>
      <c r="L140" s="66"/>
    </row>
    <row r="141" spans="1:12" ht="15.75" customHeight="1" x14ac:dyDescent="0.25">
      <c r="A141" t="s">
        <v>919</v>
      </c>
      <c r="B141" t="s">
        <v>1072</v>
      </c>
      <c r="C141" s="68">
        <v>43814020</v>
      </c>
      <c r="D141" s="13">
        <v>46305</v>
      </c>
      <c r="E141" s="65">
        <v>46185.000138888892</v>
      </c>
      <c r="F141" s="40">
        <f t="shared" si="2"/>
        <v>46187.000138888892</v>
      </c>
      <c r="G141" s="27"/>
      <c r="L141" s="66"/>
    </row>
    <row r="142" spans="1:12" ht="15.75" customHeight="1" x14ac:dyDescent="0.25">
      <c r="A142" t="s">
        <v>916</v>
      </c>
      <c r="B142" t="s">
        <v>1073</v>
      </c>
      <c r="C142" s="68">
        <v>250230</v>
      </c>
      <c r="D142" s="13">
        <v>46306</v>
      </c>
      <c r="E142" s="65">
        <v>46185.000138888892</v>
      </c>
      <c r="F142" s="40">
        <f t="shared" si="2"/>
        <v>46187.000138888892</v>
      </c>
      <c r="G142" s="27"/>
      <c r="L142" s="66"/>
    </row>
    <row r="143" spans="1:12" ht="15.75" customHeight="1" x14ac:dyDescent="0.25">
      <c r="A143" t="s">
        <v>921</v>
      </c>
      <c r="B143" t="s">
        <v>1074</v>
      </c>
      <c r="C143" s="68">
        <v>1269025</v>
      </c>
      <c r="D143" s="13">
        <v>46307</v>
      </c>
      <c r="E143" s="65">
        <v>46185.000138888892</v>
      </c>
      <c r="F143" s="40">
        <f t="shared" si="2"/>
        <v>46187.000138888892</v>
      </c>
      <c r="G143" s="27"/>
      <c r="L143" s="66"/>
    </row>
    <row r="144" spans="1:12" ht="15.75" customHeight="1" x14ac:dyDescent="0.25">
      <c r="A144" t="s">
        <v>932</v>
      </c>
      <c r="B144" t="s">
        <v>1075</v>
      </c>
      <c r="C144" s="68">
        <v>40518212.380000003</v>
      </c>
      <c r="D144" s="13">
        <v>46308</v>
      </c>
      <c r="E144" s="65">
        <v>46184.000138888892</v>
      </c>
      <c r="F144" s="40">
        <f t="shared" si="2"/>
        <v>46186.000138888892</v>
      </c>
      <c r="G144" s="27"/>
      <c r="L144" s="66"/>
    </row>
    <row r="145" spans="1:12" ht="15.75" customHeight="1" x14ac:dyDescent="0.25">
      <c r="A145" t="s">
        <v>920</v>
      </c>
      <c r="B145" t="s">
        <v>1076</v>
      </c>
      <c r="C145" s="68">
        <v>1440000</v>
      </c>
      <c r="D145" s="13">
        <v>46309</v>
      </c>
      <c r="E145" s="65">
        <v>46184.000138888892</v>
      </c>
      <c r="F145" s="40">
        <f t="shared" si="2"/>
        <v>46186.000138888892</v>
      </c>
      <c r="G145" s="27"/>
      <c r="L145" s="66"/>
    </row>
    <row r="146" spans="1:12" ht="15.75" customHeight="1" x14ac:dyDescent="0.25">
      <c r="A146" t="s">
        <v>920</v>
      </c>
      <c r="B146" t="s">
        <v>1077</v>
      </c>
      <c r="C146" s="68">
        <v>1130000</v>
      </c>
      <c r="D146" s="13">
        <v>46310</v>
      </c>
      <c r="E146" s="65">
        <v>46184.000138888892</v>
      </c>
      <c r="F146" s="40">
        <f t="shared" si="2"/>
        <v>46186.000138888892</v>
      </c>
      <c r="G146" s="27"/>
      <c r="L146" s="66"/>
    </row>
    <row r="147" spans="1:12" ht="15.75" customHeight="1" x14ac:dyDescent="0.25">
      <c r="A147" t="s">
        <v>920</v>
      </c>
      <c r="B147" t="s">
        <v>1078</v>
      </c>
      <c r="C147" s="68">
        <v>1480000</v>
      </c>
      <c r="D147" s="13">
        <v>46311</v>
      </c>
      <c r="E147" s="65">
        <v>46184.000138888892</v>
      </c>
      <c r="F147" s="40">
        <f t="shared" si="2"/>
        <v>46186.000138888892</v>
      </c>
      <c r="G147" s="27"/>
      <c r="L147" s="66"/>
    </row>
    <row r="148" spans="1:12" ht="15.75" customHeight="1" x14ac:dyDescent="0.25">
      <c r="A148" t="s">
        <v>932</v>
      </c>
      <c r="B148" t="s">
        <v>1079</v>
      </c>
      <c r="C148" s="68">
        <v>7500000</v>
      </c>
      <c r="D148" s="13">
        <v>46312</v>
      </c>
      <c r="E148" s="65">
        <v>46183.000138888892</v>
      </c>
      <c r="F148" s="40">
        <f t="shared" si="2"/>
        <v>46185.000138888892</v>
      </c>
      <c r="G148" s="27"/>
      <c r="L148" s="66"/>
    </row>
    <row r="149" spans="1:12" ht="15.75" customHeight="1" x14ac:dyDescent="0.25">
      <c r="A149" t="s">
        <v>924</v>
      </c>
      <c r="B149" t="s">
        <v>1080</v>
      </c>
      <c r="C149" s="68">
        <v>22500000</v>
      </c>
      <c r="D149" s="13">
        <v>46313</v>
      </c>
      <c r="E149" s="65">
        <v>46183.000138888892</v>
      </c>
      <c r="F149" s="40">
        <f t="shared" si="2"/>
        <v>46185.000138888892</v>
      </c>
      <c r="G149" s="27"/>
      <c r="L149" s="66"/>
    </row>
    <row r="150" spans="1:12" ht="15.75" customHeight="1" x14ac:dyDescent="0.25">
      <c r="A150" t="s">
        <v>922</v>
      </c>
      <c r="B150" t="s">
        <v>1081</v>
      </c>
      <c r="C150" s="68">
        <v>26628525</v>
      </c>
      <c r="D150" s="13">
        <v>46314</v>
      </c>
      <c r="E150" s="65">
        <v>46183.000138888892</v>
      </c>
      <c r="F150" s="40">
        <f t="shared" si="2"/>
        <v>46185.000138888892</v>
      </c>
      <c r="G150" s="27"/>
      <c r="L150" s="66"/>
    </row>
    <row r="151" spans="1:12" ht="15.75" customHeight="1" x14ac:dyDescent="0.25">
      <c r="A151" t="s">
        <v>922</v>
      </c>
      <c r="B151" t="s">
        <v>1082</v>
      </c>
      <c r="C151" s="68">
        <v>26628525</v>
      </c>
      <c r="D151" s="13">
        <v>46315</v>
      </c>
      <c r="E151" s="65">
        <v>46183.000138888892</v>
      </c>
      <c r="F151" s="40">
        <f t="shared" si="2"/>
        <v>46185.000138888892</v>
      </c>
      <c r="G151" s="27"/>
      <c r="L151" s="66"/>
    </row>
    <row r="152" spans="1:12" ht="15.75" customHeight="1" x14ac:dyDescent="0.25">
      <c r="A152" t="s">
        <v>921</v>
      </c>
      <c r="B152" t="s">
        <v>1083</v>
      </c>
      <c r="C152" s="68">
        <v>1162600</v>
      </c>
      <c r="D152" s="13">
        <v>46316</v>
      </c>
      <c r="E152" s="65">
        <v>46183.000138888892</v>
      </c>
      <c r="F152" s="40">
        <f t="shared" si="2"/>
        <v>46185.000138888892</v>
      </c>
      <c r="G152" s="27"/>
      <c r="L152" s="66"/>
    </row>
    <row r="153" spans="1:12" ht="15.75" customHeight="1" x14ac:dyDescent="0.25">
      <c r="A153" t="s">
        <v>916</v>
      </c>
      <c r="B153" t="s">
        <v>1084</v>
      </c>
      <c r="C153" s="68">
        <v>4000000</v>
      </c>
      <c r="D153" s="13">
        <v>46317</v>
      </c>
      <c r="E153" s="65">
        <v>46183.000138888892</v>
      </c>
      <c r="F153" s="40">
        <f t="shared" si="2"/>
        <v>46185.000138888892</v>
      </c>
      <c r="G153" s="27"/>
      <c r="L153" s="66"/>
    </row>
    <row r="154" spans="1:12" ht="15.75" customHeight="1" x14ac:dyDescent="0.25">
      <c r="A154" t="s">
        <v>921</v>
      </c>
      <c r="B154" t="s">
        <v>1085</v>
      </c>
      <c r="C154" s="68">
        <v>1300000</v>
      </c>
      <c r="D154" s="13">
        <v>46318</v>
      </c>
      <c r="E154" s="65">
        <v>46183.000138888892</v>
      </c>
      <c r="F154" s="40">
        <f t="shared" si="2"/>
        <v>46185.000138888892</v>
      </c>
      <c r="G154" s="27"/>
      <c r="L154" s="66"/>
    </row>
    <row r="155" spans="1:12" ht="15.75" customHeight="1" x14ac:dyDescent="0.25">
      <c r="A155" t="s">
        <v>920</v>
      </c>
      <c r="B155" t="s">
        <v>1086</v>
      </c>
      <c r="C155" s="68">
        <v>1440000</v>
      </c>
      <c r="D155" s="13">
        <v>46319</v>
      </c>
      <c r="E155" s="65">
        <v>46182.000138888892</v>
      </c>
      <c r="F155" s="40">
        <f t="shared" si="2"/>
        <v>46184.000138888892</v>
      </c>
      <c r="G155" s="27"/>
      <c r="L155" s="66"/>
    </row>
    <row r="156" spans="1:12" ht="15.75" customHeight="1" x14ac:dyDescent="0.25">
      <c r="A156" t="s">
        <v>920</v>
      </c>
      <c r="B156" t="s">
        <v>1087</v>
      </c>
      <c r="C156" s="68">
        <v>1480000</v>
      </c>
      <c r="D156" s="13">
        <v>46320</v>
      </c>
      <c r="E156" s="65">
        <v>46182.000138888892</v>
      </c>
      <c r="F156" s="40">
        <f t="shared" si="2"/>
        <v>46184.000138888892</v>
      </c>
      <c r="G156" s="27"/>
      <c r="L156" s="66"/>
    </row>
    <row r="157" spans="1:12" ht="15.75" customHeight="1" x14ac:dyDescent="0.25">
      <c r="A157" t="s">
        <v>920</v>
      </c>
      <c r="B157" t="s">
        <v>1088</v>
      </c>
      <c r="C157" s="68">
        <v>1130000</v>
      </c>
      <c r="D157" s="13">
        <v>46321</v>
      </c>
      <c r="E157" s="65">
        <v>46182.000138888892</v>
      </c>
      <c r="F157" s="40">
        <f t="shared" si="2"/>
        <v>46184.000138888892</v>
      </c>
      <c r="G157" s="27"/>
      <c r="L157" s="66"/>
    </row>
    <row r="158" spans="1:12" ht="15.75" customHeight="1" x14ac:dyDescent="0.25">
      <c r="A158" t="s">
        <v>921</v>
      </c>
      <c r="B158" t="s">
        <v>1089</v>
      </c>
      <c r="C158" s="68">
        <v>1300000</v>
      </c>
      <c r="D158" s="13">
        <v>46322</v>
      </c>
      <c r="E158" s="65">
        <v>46182.000138888892</v>
      </c>
      <c r="F158" s="40">
        <f t="shared" si="2"/>
        <v>46184.000138888892</v>
      </c>
      <c r="G158" s="27"/>
      <c r="L158" s="66"/>
    </row>
    <row r="159" spans="1:12" ht="15.75" customHeight="1" x14ac:dyDescent="0.25">
      <c r="A159" t="s">
        <v>920</v>
      </c>
      <c r="B159" t="s">
        <v>1090</v>
      </c>
      <c r="C159" s="68">
        <v>1143500</v>
      </c>
      <c r="D159" s="13">
        <v>46323</v>
      </c>
      <c r="E159" s="65">
        <v>46182.000138888892</v>
      </c>
      <c r="F159" s="40">
        <f t="shared" si="2"/>
        <v>46184.000138888892</v>
      </c>
      <c r="G159" s="27"/>
      <c r="L159" s="66"/>
    </row>
    <row r="160" spans="1:12" ht="15.75" customHeight="1" x14ac:dyDescent="0.25">
      <c r="A160" t="s">
        <v>921</v>
      </c>
      <c r="B160" t="s">
        <v>1091</v>
      </c>
      <c r="C160" s="68">
        <v>1300000</v>
      </c>
      <c r="D160" s="13">
        <v>46324</v>
      </c>
      <c r="E160" s="65">
        <v>46182.000138888892</v>
      </c>
      <c r="F160" s="40">
        <f t="shared" si="2"/>
        <v>46184.000138888892</v>
      </c>
      <c r="G160" s="27"/>
      <c r="L160" s="66"/>
    </row>
    <row r="161" spans="1:12" ht="15.75" customHeight="1" x14ac:dyDescent="0.25">
      <c r="A161" t="s">
        <v>926</v>
      </c>
      <c r="B161" t="s">
        <v>1092</v>
      </c>
      <c r="C161" s="68">
        <v>31000000</v>
      </c>
      <c r="D161" s="13">
        <v>46325</v>
      </c>
      <c r="E161" s="65">
        <v>46181.000138888892</v>
      </c>
      <c r="F161" s="40">
        <f t="shared" si="2"/>
        <v>46183.000138888892</v>
      </c>
      <c r="G161" s="27"/>
      <c r="L161" s="66"/>
    </row>
    <row r="162" spans="1:12" ht="15.75" customHeight="1" x14ac:dyDescent="0.25">
      <c r="A162" t="s">
        <v>920</v>
      </c>
      <c r="B162" t="s">
        <v>1093</v>
      </c>
      <c r="C162" s="68">
        <v>1440000</v>
      </c>
      <c r="D162" s="13">
        <v>46326</v>
      </c>
      <c r="E162" s="65">
        <v>46181.000138888892</v>
      </c>
      <c r="F162" s="40">
        <f t="shared" si="2"/>
        <v>46183.000138888892</v>
      </c>
      <c r="G162" s="27"/>
      <c r="L162" s="66"/>
    </row>
    <row r="163" spans="1:12" ht="15.75" customHeight="1" x14ac:dyDescent="0.25">
      <c r="A163" t="s">
        <v>920</v>
      </c>
      <c r="B163" t="s">
        <v>1094</v>
      </c>
      <c r="C163" s="68">
        <v>1130000</v>
      </c>
      <c r="D163" s="13">
        <v>46327</v>
      </c>
      <c r="E163" s="65">
        <v>46181.000138888892</v>
      </c>
      <c r="F163" s="40">
        <f t="shared" si="2"/>
        <v>46183.000138888892</v>
      </c>
      <c r="G163" s="27"/>
      <c r="L163" s="66"/>
    </row>
    <row r="164" spans="1:12" ht="15.75" customHeight="1" x14ac:dyDescent="0.25">
      <c r="A164" t="s">
        <v>920</v>
      </c>
      <c r="B164" t="s">
        <v>1095</v>
      </c>
      <c r="C164" s="68">
        <v>1480000</v>
      </c>
      <c r="D164" s="13">
        <v>46328</v>
      </c>
      <c r="E164" s="65">
        <v>46181.000138888892</v>
      </c>
      <c r="F164" s="40">
        <f t="shared" si="2"/>
        <v>46183.000138888892</v>
      </c>
      <c r="G164" s="27"/>
      <c r="L164" s="66"/>
    </row>
    <row r="165" spans="1:12" ht="15.75" customHeight="1" x14ac:dyDescent="0.25">
      <c r="A165" t="s">
        <v>921</v>
      </c>
      <c r="B165" t="s">
        <v>1096</v>
      </c>
      <c r="C165" s="68">
        <v>1300000</v>
      </c>
      <c r="D165" s="13">
        <v>46329</v>
      </c>
      <c r="E165" s="65">
        <v>46181.000138888892</v>
      </c>
      <c r="F165" s="40">
        <f t="shared" si="2"/>
        <v>46183.000138888892</v>
      </c>
      <c r="G165" s="27"/>
      <c r="L165" s="66"/>
    </row>
    <row r="166" spans="1:12" ht="15.75" customHeight="1" x14ac:dyDescent="0.25">
      <c r="A166" t="s">
        <v>920</v>
      </c>
      <c r="B166" t="s">
        <v>1097</v>
      </c>
      <c r="C166" s="68">
        <v>1130000</v>
      </c>
      <c r="D166" s="13">
        <v>46330</v>
      </c>
      <c r="E166" s="65">
        <v>46181.000138888892</v>
      </c>
      <c r="F166" s="40">
        <f t="shared" si="2"/>
        <v>46183.000138888892</v>
      </c>
      <c r="G166" s="27"/>
      <c r="L166" s="66"/>
    </row>
    <row r="167" spans="1:12" ht="15.75" customHeight="1" x14ac:dyDescent="0.25">
      <c r="A167" t="s">
        <v>921</v>
      </c>
      <c r="B167" t="s">
        <v>1098</v>
      </c>
      <c r="C167" s="68">
        <v>1300000</v>
      </c>
      <c r="D167" s="13">
        <v>46331</v>
      </c>
      <c r="E167" s="65">
        <v>46181.000138888892</v>
      </c>
      <c r="F167" s="40">
        <f t="shared" si="2"/>
        <v>46183.000138888892</v>
      </c>
      <c r="G167" s="27"/>
      <c r="L167" s="66"/>
    </row>
    <row r="168" spans="1:12" ht="15.75" customHeight="1" x14ac:dyDescent="0.25">
      <c r="A168" t="s">
        <v>921</v>
      </c>
      <c r="B168" t="s">
        <v>1099</v>
      </c>
      <c r="C168" s="68">
        <v>949750</v>
      </c>
      <c r="D168" s="13">
        <v>46332</v>
      </c>
      <c r="E168" s="65">
        <v>46181.000138888892</v>
      </c>
      <c r="F168" s="40">
        <f t="shared" si="2"/>
        <v>46183.000138888892</v>
      </c>
      <c r="G168" s="27"/>
      <c r="L168" s="66"/>
    </row>
    <row r="169" spans="1:12" ht="15.75" customHeight="1" x14ac:dyDescent="0.25">
      <c r="A169" t="s">
        <v>917</v>
      </c>
      <c r="B169" t="s">
        <v>1100</v>
      </c>
      <c r="C169" s="68">
        <v>3000070</v>
      </c>
      <c r="D169" s="13">
        <v>46333</v>
      </c>
      <c r="E169" s="65">
        <v>46181.000138888892</v>
      </c>
      <c r="F169" s="40">
        <f t="shared" si="2"/>
        <v>46183.000138888892</v>
      </c>
      <c r="G169" s="27"/>
      <c r="L169" s="66"/>
    </row>
    <row r="170" spans="1:12" ht="15.75" customHeight="1" x14ac:dyDescent="0.25">
      <c r="A170" t="s">
        <v>917</v>
      </c>
      <c r="B170" t="s">
        <v>1101</v>
      </c>
      <c r="C170" s="68">
        <v>3000007.69</v>
      </c>
      <c r="D170" s="13">
        <v>46334</v>
      </c>
      <c r="E170" s="65">
        <v>46181.000138888892</v>
      </c>
      <c r="F170" s="40">
        <f t="shared" si="2"/>
        <v>46183.000138888892</v>
      </c>
      <c r="G170" s="27"/>
      <c r="L170" s="66"/>
    </row>
    <row r="171" spans="1:12" ht="15.75" customHeight="1" x14ac:dyDescent="0.25">
      <c r="A171" t="s">
        <v>917</v>
      </c>
      <c r="B171" t="s">
        <v>1102</v>
      </c>
      <c r="C171" s="68">
        <v>2000100</v>
      </c>
      <c r="D171" s="13">
        <v>46335</v>
      </c>
      <c r="E171" s="65">
        <v>46181.000138888892</v>
      </c>
      <c r="F171" s="40">
        <f t="shared" si="2"/>
        <v>46183.000138888892</v>
      </c>
      <c r="G171" s="27"/>
      <c r="L171" s="66"/>
    </row>
    <row r="172" spans="1:12" ht="15.75" customHeight="1" x14ac:dyDescent="0.25">
      <c r="A172" t="s">
        <v>917</v>
      </c>
      <c r="B172" t="s">
        <v>1103</v>
      </c>
      <c r="C172" s="68">
        <v>2015000</v>
      </c>
      <c r="D172" s="13">
        <v>46336</v>
      </c>
      <c r="E172" s="65">
        <v>46181.000138888892</v>
      </c>
      <c r="F172" s="40">
        <f t="shared" si="2"/>
        <v>46183.000138888892</v>
      </c>
      <c r="G172" s="27"/>
      <c r="L172" s="66"/>
    </row>
    <row r="173" spans="1:12" ht="15.75" customHeight="1" x14ac:dyDescent="0.25">
      <c r="A173" t="s">
        <v>932</v>
      </c>
      <c r="B173" t="s">
        <v>1104</v>
      </c>
      <c r="C173" s="68">
        <v>5540000</v>
      </c>
      <c r="D173" s="13">
        <v>46337</v>
      </c>
      <c r="E173" s="65">
        <v>46180.000138888892</v>
      </c>
      <c r="F173" s="40">
        <f t="shared" si="2"/>
        <v>46182.000138888892</v>
      </c>
      <c r="G173" s="27"/>
      <c r="L173" s="66"/>
    </row>
    <row r="174" spans="1:12" ht="15.75" customHeight="1" x14ac:dyDescent="0.25">
      <c r="A174" t="s">
        <v>915</v>
      </c>
      <c r="B174" t="s">
        <v>1105</v>
      </c>
      <c r="C174" s="68">
        <v>2250000</v>
      </c>
      <c r="D174" s="13">
        <v>46338</v>
      </c>
      <c r="E174" s="65">
        <v>46180.000138888892</v>
      </c>
      <c r="F174" s="40">
        <f t="shared" si="2"/>
        <v>46182.000138888892</v>
      </c>
      <c r="G174" s="27"/>
      <c r="L174" s="66"/>
    </row>
    <row r="175" spans="1:12" ht="15.75" customHeight="1" x14ac:dyDescent="0.25">
      <c r="A175" t="s">
        <v>925</v>
      </c>
      <c r="B175" t="s">
        <v>1106</v>
      </c>
      <c r="C175" s="68">
        <v>14826240</v>
      </c>
      <c r="D175" s="13">
        <v>46339</v>
      </c>
      <c r="E175" s="65">
        <v>46180.000138888892</v>
      </c>
      <c r="F175" s="40">
        <f t="shared" si="2"/>
        <v>46182.000138888892</v>
      </c>
      <c r="G175" s="27"/>
      <c r="L175" s="66"/>
    </row>
    <row r="176" spans="1:12" ht="15.75" customHeight="1" x14ac:dyDescent="0.25">
      <c r="A176" t="s">
        <v>916</v>
      </c>
      <c r="B176" t="s">
        <v>1107</v>
      </c>
      <c r="C176" s="68">
        <v>4000000</v>
      </c>
      <c r="D176" s="13">
        <v>46340</v>
      </c>
      <c r="E176" s="65">
        <v>46180.000138888892</v>
      </c>
      <c r="F176" s="40">
        <f t="shared" si="2"/>
        <v>46182.000138888892</v>
      </c>
      <c r="G176" s="27"/>
      <c r="L176" s="66"/>
    </row>
    <row r="177" spans="1:12" ht="15.75" customHeight="1" x14ac:dyDescent="0.25">
      <c r="A177" t="s">
        <v>926</v>
      </c>
      <c r="B177" t="s">
        <v>1108</v>
      </c>
      <c r="C177" s="68">
        <v>24000000</v>
      </c>
      <c r="D177" s="13">
        <v>46341</v>
      </c>
      <c r="E177" s="65">
        <v>46179.000138888892</v>
      </c>
      <c r="F177" s="40">
        <f t="shared" si="2"/>
        <v>46181.000138888892</v>
      </c>
      <c r="G177" s="27"/>
      <c r="L177" s="66"/>
    </row>
    <row r="178" spans="1:12" ht="15.75" customHeight="1" x14ac:dyDescent="0.25">
      <c r="A178" t="s">
        <v>927</v>
      </c>
      <c r="B178" t="s">
        <v>1109</v>
      </c>
      <c r="C178" s="68">
        <v>10503121.210000001</v>
      </c>
      <c r="D178" s="13">
        <v>46342</v>
      </c>
      <c r="E178" s="65">
        <v>46179.000138888892</v>
      </c>
      <c r="F178" s="40">
        <f t="shared" si="2"/>
        <v>46181.000138888892</v>
      </c>
      <c r="G178" s="27"/>
      <c r="L178" s="66"/>
    </row>
    <row r="179" spans="1:12" ht="15.75" customHeight="1" x14ac:dyDescent="0.25">
      <c r="A179" t="s">
        <v>915</v>
      </c>
      <c r="B179" t="s">
        <v>1110</v>
      </c>
      <c r="C179" s="68">
        <v>2250000</v>
      </c>
      <c r="D179" s="13">
        <v>46343</v>
      </c>
      <c r="E179" s="65">
        <v>46179.000138888892</v>
      </c>
      <c r="F179" s="40">
        <f t="shared" si="2"/>
        <v>46181.000138888892</v>
      </c>
      <c r="G179" s="27"/>
      <c r="L179" s="66"/>
    </row>
    <row r="180" spans="1:12" ht="15.75" customHeight="1" x14ac:dyDescent="0.25">
      <c r="A180" t="s">
        <v>918</v>
      </c>
      <c r="B180" t="s">
        <v>1111</v>
      </c>
      <c r="C180" s="68">
        <v>6348840</v>
      </c>
      <c r="D180" s="13">
        <v>46344</v>
      </c>
      <c r="E180" s="65">
        <v>46179.000138888892</v>
      </c>
      <c r="F180" s="40">
        <f t="shared" si="2"/>
        <v>46181.000138888892</v>
      </c>
      <c r="G180" s="27"/>
      <c r="L180" s="66"/>
    </row>
    <row r="181" spans="1:12" ht="15.75" customHeight="1" x14ac:dyDescent="0.25">
      <c r="A181" t="s">
        <v>918</v>
      </c>
      <c r="B181" t="s">
        <v>1112</v>
      </c>
      <c r="C181" s="68">
        <v>6000000</v>
      </c>
      <c r="D181" s="13">
        <v>46345</v>
      </c>
      <c r="E181" s="65">
        <v>46179.000138888892</v>
      </c>
      <c r="F181" s="40">
        <f t="shared" si="2"/>
        <v>46181.000138888892</v>
      </c>
      <c r="G181" s="27"/>
      <c r="L181" s="66"/>
    </row>
    <row r="182" spans="1:12" ht="15.75" customHeight="1" x14ac:dyDescent="0.25">
      <c r="A182" t="s">
        <v>918</v>
      </c>
      <c r="B182" t="s">
        <v>1113</v>
      </c>
      <c r="C182" s="68">
        <v>6000000</v>
      </c>
      <c r="D182" s="13">
        <v>46346</v>
      </c>
      <c r="E182" s="65">
        <v>46179.000138888892</v>
      </c>
      <c r="F182" s="40">
        <f t="shared" si="2"/>
        <v>46181.000138888892</v>
      </c>
      <c r="G182" s="27"/>
      <c r="L182" s="66"/>
    </row>
    <row r="183" spans="1:12" ht="15.75" customHeight="1" x14ac:dyDescent="0.25">
      <c r="A183" t="s">
        <v>918</v>
      </c>
      <c r="B183" t="s">
        <v>1114</v>
      </c>
      <c r="C183" s="68">
        <v>6000000</v>
      </c>
      <c r="D183" s="13">
        <v>46347</v>
      </c>
      <c r="E183" s="65">
        <v>46179.000138888892</v>
      </c>
      <c r="F183" s="40">
        <f t="shared" si="2"/>
        <v>46181.000138888892</v>
      </c>
      <c r="G183" s="27"/>
      <c r="L183" s="66"/>
    </row>
    <row r="184" spans="1:12" ht="15.75" customHeight="1" x14ac:dyDescent="0.25">
      <c r="A184" t="s">
        <v>918</v>
      </c>
      <c r="B184" t="s">
        <v>1115</v>
      </c>
      <c r="C184" s="68">
        <v>6000000</v>
      </c>
      <c r="D184" s="13">
        <v>46348</v>
      </c>
      <c r="E184" s="65">
        <v>46179.000138888892</v>
      </c>
      <c r="F184" s="40">
        <f t="shared" si="2"/>
        <v>46181.000138888892</v>
      </c>
      <c r="G184" s="27"/>
      <c r="L184" s="66"/>
    </row>
    <row r="185" spans="1:12" ht="15.75" customHeight="1" x14ac:dyDescent="0.25">
      <c r="A185" t="s">
        <v>918</v>
      </c>
      <c r="B185" t="s">
        <v>1116</v>
      </c>
      <c r="C185" s="68">
        <v>6000000</v>
      </c>
      <c r="D185" s="13">
        <v>46349</v>
      </c>
      <c r="E185" s="65">
        <v>46179.000138888892</v>
      </c>
      <c r="F185" s="40">
        <f t="shared" si="2"/>
        <v>46181.000138888892</v>
      </c>
      <c r="G185" s="27"/>
      <c r="L185" s="66"/>
    </row>
    <row r="186" spans="1:12" ht="15.75" customHeight="1" x14ac:dyDescent="0.25">
      <c r="A186" t="s">
        <v>922</v>
      </c>
      <c r="B186" t="s">
        <v>1117</v>
      </c>
      <c r="C186" s="68">
        <v>18288270</v>
      </c>
      <c r="D186" s="13">
        <v>46350</v>
      </c>
      <c r="E186" s="65">
        <v>46179.000138888892</v>
      </c>
      <c r="F186" s="40">
        <f t="shared" si="2"/>
        <v>46181.000138888892</v>
      </c>
      <c r="G186" s="27"/>
      <c r="L186" s="66"/>
    </row>
    <row r="187" spans="1:12" ht="15.75" customHeight="1" x14ac:dyDescent="0.25">
      <c r="A187" t="s">
        <v>933</v>
      </c>
      <c r="B187" t="s">
        <v>1118</v>
      </c>
      <c r="C187" s="68">
        <v>13467723.99</v>
      </c>
      <c r="D187" s="13">
        <v>46351</v>
      </c>
      <c r="E187" s="65">
        <v>46179.000138888892</v>
      </c>
      <c r="F187" s="40">
        <f t="shared" si="2"/>
        <v>46181.000138888892</v>
      </c>
      <c r="G187" s="27"/>
      <c r="L187" s="66"/>
    </row>
    <row r="188" spans="1:12" ht="15.75" customHeight="1" x14ac:dyDescent="0.25">
      <c r="A188" t="s">
        <v>918</v>
      </c>
      <c r="B188" t="s">
        <v>1119</v>
      </c>
      <c r="C188" s="68">
        <v>4700000</v>
      </c>
      <c r="D188" s="13">
        <v>46352</v>
      </c>
      <c r="E188" s="65">
        <v>46179.000138888892</v>
      </c>
      <c r="F188" s="40">
        <f t="shared" si="2"/>
        <v>46181.000138888892</v>
      </c>
      <c r="G188" s="27"/>
      <c r="L188" s="66"/>
    </row>
    <row r="189" spans="1:12" ht="15.75" customHeight="1" x14ac:dyDescent="0.25">
      <c r="A189" t="s">
        <v>918</v>
      </c>
      <c r="B189" t="s">
        <v>1120</v>
      </c>
      <c r="C189" s="68">
        <v>4851540</v>
      </c>
      <c r="D189" s="13">
        <v>46353</v>
      </c>
      <c r="E189" s="65">
        <v>46179.000138888892</v>
      </c>
      <c r="F189" s="40">
        <f t="shared" si="2"/>
        <v>46181.000138888892</v>
      </c>
      <c r="G189" s="27"/>
      <c r="L189" s="66"/>
    </row>
    <row r="190" spans="1:12" ht="15.75" customHeight="1" x14ac:dyDescent="0.25">
      <c r="A190" t="s">
        <v>918</v>
      </c>
      <c r="B190" t="s">
        <v>1121</v>
      </c>
      <c r="C190" s="68">
        <v>4700000</v>
      </c>
      <c r="D190" s="13">
        <v>46354</v>
      </c>
      <c r="E190" s="65">
        <v>46179.000138888892</v>
      </c>
      <c r="F190" s="40">
        <f t="shared" si="2"/>
        <v>46181.000138888892</v>
      </c>
      <c r="G190" s="27"/>
      <c r="L190" s="66"/>
    </row>
    <row r="191" spans="1:12" ht="15.75" customHeight="1" x14ac:dyDescent="0.25">
      <c r="A191" t="s">
        <v>918</v>
      </c>
      <c r="B191" t="s">
        <v>1122</v>
      </c>
      <c r="C191" s="68">
        <v>4700000</v>
      </c>
      <c r="D191" s="13">
        <v>46355</v>
      </c>
      <c r="E191" s="65">
        <v>46179.000138888892</v>
      </c>
      <c r="F191" s="40">
        <f t="shared" si="2"/>
        <v>46181.000138888892</v>
      </c>
      <c r="G191" s="27"/>
      <c r="L191" s="66"/>
    </row>
    <row r="192" spans="1:12" ht="15.75" customHeight="1" x14ac:dyDescent="0.25">
      <c r="A192" t="s">
        <v>917</v>
      </c>
      <c r="B192" t="s">
        <v>1123</v>
      </c>
      <c r="C192" s="68">
        <v>3004000</v>
      </c>
      <c r="D192" s="13">
        <v>46356</v>
      </c>
      <c r="E192" s="65">
        <v>46179.000138888892</v>
      </c>
      <c r="F192" s="40">
        <f t="shared" si="2"/>
        <v>46181.000138888892</v>
      </c>
      <c r="G192" s="27"/>
      <c r="L192" s="66"/>
    </row>
    <row r="193" spans="1:12" ht="15.75" customHeight="1" x14ac:dyDescent="0.25">
      <c r="A193" t="s">
        <v>917</v>
      </c>
      <c r="B193" t="s">
        <v>1124</v>
      </c>
      <c r="C193" s="68">
        <v>3000818.18</v>
      </c>
      <c r="D193" s="13">
        <v>46357</v>
      </c>
      <c r="E193" s="65">
        <v>46179.000138888892</v>
      </c>
      <c r="F193" s="40">
        <f t="shared" si="2"/>
        <v>46181.000138888892</v>
      </c>
      <c r="G193" s="27"/>
      <c r="L193" s="66"/>
    </row>
    <row r="194" spans="1:12" ht="15.75" customHeight="1" x14ac:dyDescent="0.25">
      <c r="A194" t="s">
        <v>917</v>
      </c>
      <c r="B194" t="s">
        <v>1125</v>
      </c>
      <c r="C194" s="68">
        <v>3050000</v>
      </c>
      <c r="D194" s="13">
        <v>46358</v>
      </c>
      <c r="E194" s="65">
        <v>46179.000138888892</v>
      </c>
      <c r="F194" s="40">
        <f t="shared" si="2"/>
        <v>46181.000138888892</v>
      </c>
      <c r="G194" s="27"/>
      <c r="L194" s="66"/>
    </row>
    <row r="195" spans="1:12" ht="15.75" customHeight="1" x14ac:dyDescent="0.25">
      <c r="A195" t="s">
        <v>931</v>
      </c>
      <c r="B195" t="s">
        <v>1126</v>
      </c>
      <c r="C195" s="68">
        <v>7200000</v>
      </c>
      <c r="D195" s="13">
        <v>46359</v>
      </c>
      <c r="E195" s="65">
        <v>46178.000138888892</v>
      </c>
      <c r="F195" s="40">
        <f t="shared" si="2"/>
        <v>46180.000138888892</v>
      </c>
      <c r="G195" s="27"/>
      <c r="L195" s="66"/>
    </row>
    <row r="196" spans="1:12" ht="15.75" customHeight="1" x14ac:dyDescent="0.25">
      <c r="A196" t="s">
        <v>915</v>
      </c>
      <c r="B196" t="s">
        <v>1127</v>
      </c>
      <c r="C196" s="68">
        <v>2250000</v>
      </c>
      <c r="D196" s="13">
        <v>46360</v>
      </c>
      <c r="E196" s="65">
        <v>46178.000138888892</v>
      </c>
      <c r="F196" s="40">
        <f t="shared" si="2"/>
        <v>46180.000138888892</v>
      </c>
      <c r="G196" s="27"/>
      <c r="L196" s="66"/>
    </row>
    <row r="197" spans="1:12" ht="15.75" customHeight="1" x14ac:dyDescent="0.25">
      <c r="A197" t="s">
        <v>920</v>
      </c>
      <c r="B197" t="s">
        <v>1128</v>
      </c>
      <c r="C197" s="68">
        <v>1440000</v>
      </c>
      <c r="D197" s="13">
        <v>46361</v>
      </c>
      <c r="E197" s="65">
        <v>46178.000138888892</v>
      </c>
      <c r="F197" s="40">
        <f t="shared" ref="F197:F224" si="3">+E197+2</f>
        <v>46180.000138888892</v>
      </c>
      <c r="G197" s="27"/>
      <c r="L197" s="66"/>
    </row>
    <row r="198" spans="1:12" ht="15.75" customHeight="1" x14ac:dyDescent="0.25">
      <c r="A198" t="s">
        <v>934</v>
      </c>
      <c r="B198" t="s">
        <v>1129</v>
      </c>
      <c r="C198" s="68">
        <v>465356.51</v>
      </c>
      <c r="D198" s="13">
        <v>46362</v>
      </c>
      <c r="E198" s="65">
        <v>46178.000138888892</v>
      </c>
      <c r="F198" s="40">
        <f t="shared" si="3"/>
        <v>46180.000138888892</v>
      </c>
      <c r="G198" s="27"/>
      <c r="L198" s="66"/>
    </row>
    <row r="199" spans="1:12" ht="15.75" customHeight="1" x14ac:dyDescent="0.25">
      <c r="A199" t="s">
        <v>920</v>
      </c>
      <c r="B199" t="s">
        <v>1130</v>
      </c>
      <c r="C199" s="68">
        <v>1130000</v>
      </c>
      <c r="D199" s="13">
        <v>46363</v>
      </c>
      <c r="E199" s="65">
        <v>46178.000138888892</v>
      </c>
      <c r="F199" s="40">
        <f t="shared" si="3"/>
        <v>46180.000138888892</v>
      </c>
      <c r="G199" s="27"/>
      <c r="L199" s="66"/>
    </row>
    <row r="200" spans="1:12" ht="15.75" customHeight="1" x14ac:dyDescent="0.25">
      <c r="A200" t="s">
        <v>920</v>
      </c>
      <c r="B200" t="s">
        <v>1131</v>
      </c>
      <c r="C200" s="68">
        <v>1480000</v>
      </c>
      <c r="D200" s="13">
        <v>46364</v>
      </c>
      <c r="E200" s="65">
        <v>46178.000138888892</v>
      </c>
      <c r="F200" s="40">
        <f t="shared" si="3"/>
        <v>46180.000138888892</v>
      </c>
      <c r="G200" s="27"/>
      <c r="L200" s="66"/>
    </row>
    <row r="201" spans="1:12" ht="15.75" customHeight="1" x14ac:dyDescent="0.25">
      <c r="A201" t="s">
        <v>925</v>
      </c>
      <c r="B201" t="s">
        <v>1132</v>
      </c>
      <c r="C201" s="68">
        <v>10296000</v>
      </c>
      <c r="D201" s="13">
        <v>46365</v>
      </c>
      <c r="E201" s="65">
        <v>46178.000138888892</v>
      </c>
      <c r="F201" s="40">
        <f t="shared" si="3"/>
        <v>46180.000138888892</v>
      </c>
      <c r="G201" s="27"/>
      <c r="L201" s="66"/>
    </row>
    <row r="202" spans="1:12" ht="15.75" customHeight="1" x14ac:dyDescent="0.25">
      <c r="A202" t="s">
        <v>921</v>
      </c>
      <c r="B202" t="s">
        <v>1133</v>
      </c>
      <c r="C202" s="68">
        <v>953100</v>
      </c>
      <c r="D202" s="13">
        <v>46366</v>
      </c>
      <c r="E202" s="65">
        <v>46178.000138888892</v>
      </c>
      <c r="F202" s="40">
        <f t="shared" si="3"/>
        <v>46180.000138888892</v>
      </c>
      <c r="G202" s="27"/>
      <c r="L202" s="66"/>
    </row>
    <row r="203" spans="1:12" ht="15.75" customHeight="1" x14ac:dyDescent="0.25">
      <c r="A203" t="s">
        <v>920</v>
      </c>
      <c r="B203" t="s">
        <v>1134</v>
      </c>
      <c r="C203" s="68">
        <v>1130000</v>
      </c>
      <c r="D203" s="13">
        <v>46367</v>
      </c>
      <c r="E203" s="65">
        <v>46178.000138888892</v>
      </c>
      <c r="F203" s="40">
        <f t="shared" si="3"/>
        <v>46180.000138888892</v>
      </c>
      <c r="G203" s="27"/>
      <c r="L203" s="66"/>
    </row>
    <row r="204" spans="1:12" ht="15.75" customHeight="1" x14ac:dyDescent="0.25">
      <c r="A204" t="s">
        <v>934</v>
      </c>
      <c r="B204" t="s">
        <v>1135</v>
      </c>
      <c r="C204" s="68">
        <v>8077630</v>
      </c>
      <c r="D204" s="13">
        <v>46368</v>
      </c>
      <c r="E204" s="65">
        <v>46178.000138888892</v>
      </c>
      <c r="F204" s="40">
        <f t="shared" si="3"/>
        <v>46180.000138888892</v>
      </c>
      <c r="G204" s="27"/>
      <c r="L204" s="66"/>
    </row>
    <row r="205" spans="1:12" ht="15.75" customHeight="1" x14ac:dyDescent="0.25">
      <c r="A205" t="s">
        <v>919</v>
      </c>
      <c r="B205" t="s">
        <v>1136</v>
      </c>
      <c r="C205" s="68">
        <v>17842880</v>
      </c>
      <c r="D205" s="13">
        <v>46369</v>
      </c>
      <c r="E205" s="65">
        <v>46178.000138888892</v>
      </c>
      <c r="F205" s="40">
        <f t="shared" si="3"/>
        <v>46180.000138888892</v>
      </c>
      <c r="G205" s="27"/>
      <c r="L205" s="66"/>
    </row>
    <row r="206" spans="1:12" ht="15.75" customHeight="1" x14ac:dyDescent="0.25">
      <c r="A206" t="s">
        <v>921</v>
      </c>
      <c r="B206" t="s">
        <v>1137</v>
      </c>
      <c r="C206" s="68">
        <v>1300000</v>
      </c>
      <c r="D206" s="13">
        <v>46370</v>
      </c>
      <c r="E206" s="65">
        <v>46178.000138888892</v>
      </c>
      <c r="F206" s="40">
        <f t="shared" si="3"/>
        <v>46180.000138888892</v>
      </c>
      <c r="G206" s="27"/>
      <c r="L206" s="66"/>
    </row>
    <row r="207" spans="1:12" ht="15.75" customHeight="1" x14ac:dyDescent="0.25">
      <c r="A207" t="s">
        <v>915</v>
      </c>
      <c r="B207" t="s">
        <v>1138</v>
      </c>
      <c r="C207" s="68">
        <v>2342680</v>
      </c>
      <c r="D207" s="13">
        <v>46371</v>
      </c>
      <c r="E207" s="65">
        <v>46177.000138888892</v>
      </c>
      <c r="F207" s="40">
        <f t="shared" si="3"/>
        <v>46179.000138888892</v>
      </c>
      <c r="G207" s="27"/>
      <c r="L207" s="66"/>
    </row>
    <row r="208" spans="1:12" ht="15.75" customHeight="1" x14ac:dyDescent="0.25">
      <c r="A208" t="s">
        <v>920</v>
      </c>
      <c r="B208" t="s">
        <v>1139</v>
      </c>
      <c r="C208" s="68">
        <v>1440000</v>
      </c>
      <c r="D208" s="13">
        <v>46372</v>
      </c>
      <c r="E208" s="65">
        <v>46177.000138888892</v>
      </c>
      <c r="F208" s="40">
        <f t="shared" si="3"/>
        <v>46179.000138888892</v>
      </c>
      <c r="G208" s="27"/>
      <c r="L208" s="66"/>
    </row>
    <row r="209" spans="1:12" ht="15.75" customHeight="1" x14ac:dyDescent="0.25">
      <c r="A209" t="s">
        <v>920</v>
      </c>
      <c r="B209" t="s">
        <v>1140</v>
      </c>
      <c r="C209" s="68">
        <v>1130000</v>
      </c>
      <c r="D209" s="13">
        <v>46373</v>
      </c>
      <c r="E209" s="65">
        <v>46177.000138888892</v>
      </c>
      <c r="F209" s="40">
        <f t="shared" si="3"/>
        <v>46179.000138888892</v>
      </c>
      <c r="G209" s="27"/>
      <c r="L209" s="66"/>
    </row>
    <row r="210" spans="1:12" ht="15.75" customHeight="1" x14ac:dyDescent="0.25">
      <c r="A210" t="s">
        <v>920</v>
      </c>
      <c r="B210" t="s">
        <v>1141</v>
      </c>
      <c r="C210" s="68">
        <v>1480000</v>
      </c>
      <c r="D210" s="13">
        <v>46374</v>
      </c>
      <c r="E210" s="65">
        <v>46177.000138888892</v>
      </c>
      <c r="F210" s="40">
        <f t="shared" si="3"/>
        <v>46179.000138888892</v>
      </c>
      <c r="G210" s="27"/>
      <c r="L210" s="66"/>
    </row>
    <row r="211" spans="1:12" ht="15.75" customHeight="1" x14ac:dyDescent="0.25">
      <c r="A211" t="s">
        <v>920</v>
      </c>
      <c r="B211" t="s">
        <v>1142</v>
      </c>
      <c r="C211" s="68">
        <v>1130000</v>
      </c>
      <c r="D211" s="13">
        <v>46375</v>
      </c>
      <c r="E211" s="65">
        <v>46177.000138888892</v>
      </c>
      <c r="F211" s="40">
        <f t="shared" si="3"/>
        <v>46179.000138888892</v>
      </c>
      <c r="G211" s="27"/>
      <c r="L211" s="66"/>
    </row>
    <row r="212" spans="1:12" ht="15.75" customHeight="1" x14ac:dyDescent="0.25">
      <c r="A212" t="s">
        <v>921</v>
      </c>
      <c r="B212" t="s">
        <v>1143</v>
      </c>
      <c r="C212" s="68">
        <v>1200000</v>
      </c>
      <c r="D212" s="13">
        <v>46376</v>
      </c>
      <c r="E212" s="65">
        <v>46177.000138888892</v>
      </c>
      <c r="F212" s="40">
        <f t="shared" si="3"/>
        <v>46179.000138888892</v>
      </c>
      <c r="G212" s="27"/>
      <c r="L212" s="66"/>
    </row>
    <row r="213" spans="1:12" ht="15.75" customHeight="1" x14ac:dyDescent="0.25">
      <c r="A213" t="s">
        <v>934</v>
      </c>
      <c r="B213" t="s">
        <v>1144</v>
      </c>
      <c r="C213" s="68">
        <v>10000000</v>
      </c>
      <c r="D213" s="13">
        <v>46377</v>
      </c>
      <c r="E213" s="65">
        <v>46177.000138888892</v>
      </c>
      <c r="F213" s="40">
        <f t="shared" si="3"/>
        <v>46179.000138888892</v>
      </c>
      <c r="G213" s="27"/>
      <c r="L213" s="66"/>
    </row>
    <row r="214" spans="1:12" ht="15.75" customHeight="1" x14ac:dyDescent="0.25">
      <c r="A214" t="s">
        <v>921</v>
      </c>
      <c r="B214" t="s">
        <v>1145</v>
      </c>
      <c r="C214" s="68">
        <v>1300000</v>
      </c>
      <c r="D214" s="13">
        <v>46378</v>
      </c>
      <c r="E214" s="65">
        <v>46176.000138888892</v>
      </c>
      <c r="F214" s="40">
        <f t="shared" si="3"/>
        <v>46178.000138888892</v>
      </c>
      <c r="G214" s="27"/>
      <c r="L214" s="66"/>
    </row>
    <row r="215" spans="1:12" ht="15.75" customHeight="1" x14ac:dyDescent="0.25">
      <c r="A215" t="s">
        <v>925</v>
      </c>
      <c r="B215" t="s">
        <v>1146</v>
      </c>
      <c r="C215" s="68">
        <v>11202048</v>
      </c>
      <c r="D215" s="13">
        <v>46379</v>
      </c>
      <c r="E215" s="65">
        <v>46176.000138888892</v>
      </c>
      <c r="F215" s="40">
        <f t="shared" si="3"/>
        <v>46178.000138888892</v>
      </c>
      <c r="G215" s="27"/>
      <c r="L215" s="66"/>
    </row>
    <row r="216" spans="1:12" ht="15.75" customHeight="1" x14ac:dyDescent="0.25">
      <c r="A216" t="s">
        <v>921</v>
      </c>
      <c r="B216" t="s">
        <v>1147</v>
      </c>
      <c r="C216" s="68">
        <v>1200000</v>
      </c>
      <c r="D216" s="13">
        <v>46380</v>
      </c>
      <c r="E216" s="65">
        <v>46176.000138888892</v>
      </c>
      <c r="F216" s="40">
        <f t="shared" si="3"/>
        <v>46178.000138888892</v>
      </c>
      <c r="G216" s="27"/>
      <c r="L216" s="66"/>
    </row>
    <row r="217" spans="1:12" ht="15.75" customHeight="1" x14ac:dyDescent="0.25">
      <c r="A217" t="s">
        <v>916</v>
      </c>
      <c r="B217" t="s">
        <v>1148</v>
      </c>
      <c r="C217" s="68">
        <v>4400000</v>
      </c>
      <c r="D217" s="13">
        <v>46381</v>
      </c>
      <c r="E217" s="65">
        <v>46176.000138888892</v>
      </c>
      <c r="F217" s="40">
        <f t="shared" si="3"/>
        <v>46178.000138888892</v>
      </c>
      <c r="G217" s="27"/>
      <c r="L217" s="66"/>
    </row>
    <row r="218" spans="1:12" ht="15.75" customHeight="1" x14ac:dyDescent="0.25">
      <c r="A218" t="s">
        <v>920</v>
      </c>
      <c r="B218" t="s">
        <v>1149</v>
      </c>
      <c r="C218" s="68">
        <v>1440000</v>
      </c>
      <c r="D218" s="13">
        <v>46382</v>
      </c>
      <c r="E218" s="65">
        <v>46175.000138888892</v>
      </c>
      <c r="F218" s="40">
        <f t="shared" si="3"/>
        <v>46177.000138888892</v>
      </c>
      <c r="G218" s="27"/>
      <c r="L218" s="66"/>
    </row>
    <row r="219" spans="1:12" ht="15.75" customHeight="1" x14ac:dyDescent="0.25">
      <c r="A219" t="s">
        <v>920</v>
      </c>
      <c r="B219" t="s">
        <v>1150</v>
      </c>
      <c r="C219" s="68">
        <v>1480000</v>
      </c>
      <c r="D219" s="13">
        <v>46383</v>
      </c>
      <c r="E219" s="65">
        <v>46175.000138888892</v>
      </c>
      <c r="F219" s="40">
        <f t="shared" si="3"/>
        <v>46177.000138888892</v>
      </c>
      <c r="G219" s="27"/>
      <c r="L219" s="66"/>
    </row>
    <row r="220" spans="1:12" ht="15.75" customHeight="1" x14ac:dyDescent="0.25">
      <c r="A220" t="s">
        <v>920</v>
      </c>
      <c r="B220" t="s">
        <v>1151</v>
      </c>
      <c r="C220" s="68">
        <v>1130000</v>
      </c>
      <c r="D220" s="13">
        <v>46384</v>
      </c>
      <c r="E220" s="65">
        <v>46175.000138888892</v>
      </c>
      <c r="F220" s="40">
        <f t="shared" si="3"/>
        <v>46177.000138888892</v>
      </c>
      <c r="G220" s="27"/>
      <c r="L220" s="66"/>
    </row>
    <row r="221" spans="1:12" ht="15.75" customHeight="1" x14ac:dyDescent="0.25">
      <c r="A221" t="s">
        <v>921</v>
      </c>
      <c r="B221" t="s">
        <v>1152</v>
      </c>
      <c r="C221" s="68">
        <v>1300000</v>
      </c>
      <c r="D221" s="13">
        <v>46385</v>
      </c>
      <c r="E221" s="65">
        <v>46175.000138888892</v>
      </c>
      <c r="F221" s="40">
        <f t="shared" si="3"/>
        <v>46177.000138888892</v>
      </c>
      <c r="G221" s="27"/>
      <c r="L221" s="66"/>
    </row>
    <row r="222" spans="1:12" ht="15.75" customHeight="1" x14ac:dyDescent="0.25">
      <c r="A222" t="s">
        <v>920</v>
      </c>
      <c r="B222" t="s">
        <v>1153</v>
      </c>
      <c r="C222" s="68">
        <v>1130000</v>
      </c>
      <c r="D222" s="13">
        <v>46386</v>
      </c>
      <c r="E222" s="65">
        <v>46175.000138888892</v>
      </c>
      <c r="F222" s="40">
        <f t="shared" si="3"/>
        <v>46177.000138888892</v>
      </c>
      <c r="G222" s="27"/>
      <c r="L222" s="66"/>
    </row>
    <row r="223" spans="1:12" ht="15.75" customHeight="1" x14ac:dyDescent="0.25">
      <c r="A223" t="s">
        <v>916</v>
      </c>
      <c r="B223" t="s">
        <v>1154</v>
      </c>
      <c r="C223" s="68">
        <v>4457800</v>
      </c>
      <c r="D223" s="13">
        <v>46387</v>
      </c>
      <c r="E223" s="65">
        <v>46175.000138888892</v>
      </c>
      <c r="F223" s="40">
        <f t="shared" si="3"/>
        <v>46177.000138888892</v>
      </c>
      <c r="G223" s="27"/>
      <c r="L223" s="66"/>
    </row>
    <row r="224" spans="1:12" ht="15.75" customHeight="1" x14ac:dyDescent="0.25">
      <c r="A224" t="s">
        <v>920</v>
      </c>
      <c r="B224" t="s">
        <v>1155</v>
      </c>
      <c r="C224" s="68">
        <v>943200</v>
      </c>
      <c r="D224" s="13">
        <v>46388</v>
      </c>
      <c r="E224" s="65">
        <v>46175.000138888892</v>
      </c>
      <c r="F224" s="40">
        <f t="shared" si="3"/>
        <v>46177.000138888892</v>
      </c>
      <c r="G224" s="27"/>
      <c r="L224" s="66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80" t="s">
        <v>156</v>
      </c>
      <c r="B232" s="80"/>
      <c r="C232" s="80"/>
      <c r="D232" s="80"/>
      <c r="E232" s="80"/>
      <c r="F232" s="80"/>
      <c r="G232" s="80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768"/>
  <sheetViews>
    <sheetView showGridLines="0" tabSelected="1" zoomScaleNormal="100" workbookViewId="0">
      <pane ySplit="4" topLeftCell="A271" activePane="bottomLeft" state="frozen"/>
      <selection pane="bottomLeft" activeCell="E289" sqref="E289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69" t="s">
        <v>157</v>
      </c>
      <c r="B1" s="69"/>
      <c r="C1" s="69"/>
      <c r="D1" s="69"/>
      <c r="E1" s="69"/>
      <c r="F1" s="69"/>
    </row>
    <row r="2" spans="1:6" ht="15.75" customHeight="1" x14ac:dyDescent="0.25">
      <c r="A2" s="79" t="s">
        <v>158</v>
      </c>
      <c r="B2" s="79"/>
      <c r="C2" s="79"/>
      <c r="D2" s="79"/>
      <c r="E2" s="79"/>
      <c r="F2" s="79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AGROLOG S.A</v>
      </c>
      <c r="B5" t="str">
        <f>+Hoja1!A2</f>
        <v>08938</v>
      </c>
      <c r="C5" s="67">
        <f>+Hoja1!K2</f>
        <v>185493</v>
      </c>
      <c r="D5" s="24">
        <f>+C5/$D$3</f>
        <v>127.92620689655172</v>
      </c>
      <c r="E5" s="50">
        <f>+D5/$D$282</f>
        <v>3.2784681354928136E-5</v>
      </c>
      <c r="F5" s="51"/>
    </row>
    <row r="6" spans="1:6" ht="15.75" customHeight="1" x14ac:dyDescent="0.25">
      <c r="A6" t="str">
        <f>+Hoja1!B3</f>
        <v> ARG SEAMAN ELECTRONICS S.A.</v>
      </c>
      <c r="B6" t="str">
        <f>+Hoja1!A3</f>
        <v>08053</v>
      </c>
      <c r="C6" s="67">
        <f>+Hoja1!K3</f>
        <v>11514934.75</v>
      </c>
      <c r="D6" s="24">
        <f t="shared" ref="D6:D69" si="0">+C6/$D$3</f>
        <v>7941.3343103448278</v>
      </c>
      <c r="E6" s="50">
        <f t="shared" ref="E6:E69" si="1">+D6/$D$282</f>
        <v>2.0351898271176757E-3</v>
      </c>
      <c r="F6" s="51"/>
    </row>
    <row r="7" spans="1:6" ht="15.75" customHeight="1" x14ac:dyDescent="0.25">
      <c r="A7" t="str">
        <f>+Hoja1!B4</f>
        <v> CLEANING IN PACE S.R.L.</v>
      </c>
      <c r="B7" t="str">
        <f>+Hoja1!A4</f>
        <v>09021</v>
      </c>
      <c r="C7" s="67">
        <f>+Hoja1!K4</f>
        <v>9750000.0099999998</v>
      </c>
      <c r="D7" s="24">
        <f t="shared" si="0"/>
        <v>6724.1379379310347</v>
      </c>
      <c r="E7" s="50">
        <f t="shared" si="1"/>
        <v>1.7232490904691613E-3</v>
      </c>
      <c r="F7" s="51"/>
    </row>
    <row r="8" spans="1:6" ht="15.75" customHeight="1" x14ac:dyDescent="0.25">
      <c r="A8" t="str">
        <f>+Hoja1!B5</f>
        <v> LA INDUSTRIAL ELECTRICA S A</v>
      </c>
      <c r="B8" t="str">
        <f>+Hoja1!A5</f>
        <v>09007</v>
      </c>
      <c r="C8" s="67">
        <f>+Hoja1!K5</f>
        <v>1.08</v>
      </c>
      <c r="D8" s="24">
        <f t="shared" si="0"/>
        <v>7.448275862068966E-4</v>
      </c>
      <c r="E8" s="50">
        <f t="shared" si="1"/>
        <v>1.9088297597926814E-10</v>
      </c>
      <c r="F8" s="51"/>
    </row>
    <row r="9" spans="1:6" ht="15.75" customHeight="1" x14ac:dyDescent="0.25">
      <c r="A9" t="str">
        <f>+Hoja1!B6</f>
        <v> MARITIMA OBISPO COMERCIO EXTERIOR SAS</v>
      </c>
      <c r="B9" t="str">
        <f>+Hoja1!A6</f>
        <v>09552</v>
      </c>
      <c r="C9" s="67">
        <f>+Hoja1!K6</f>
        <v>660000</v>
      </c>
      <c r="D9" s="24">
        <f t="shared" si="0"/>
        <v>455.17241379310343</v>
      </c>
      <c r="E9" s="50">
        <f t="shared" si="1"/>
        <v>1.1665070754288609E-4</v>
      </c>
      <c r="F9" s="51"/>
    </row>
    <row r="10" spans="1:6" ht="15.75" customHeight="1" x14ac:dyDescent="0.25">
      <c r="A10" t="str">
        <f>+Hoja1!B7</f>
        <v> MODOC S.A</v>
      </c>
      <c r="B10" t="str">
        <f>+Hoja1!A7</f>
        <v>08859</v>
      </c>
      <c r="C10" s="67">
        <f>+Hoja1!K7</f>
        <v>1248084.75</v>
      </c>
      <c r="D10" s="24">
        <f t="shared" si="0"/>
        <v>860.74810344827586</v>
      </c>
      <c r="E10" s="50">
        <f t="shared" si="1"/>
        <v>2.2059086236513045E-4</v>
      </c>
      <c r="F10" s="51"/>
    </row>
    <row r="11" spans="1:6" ht="15.75" customHeight="1" x14ac:dyDescent="0.25">
      <c r="A11" t="str">
        <f>+Hoja1!B8</f>
        <v> NALDO LOMBARDI S A</v>
      </c>
      <c r="B11" t="str">
        <f>+Hoja1!A8</f>
        <v>08250</v>
      </c>
      <c r="C11" s="67">
        <f>+Hoja1!K8</f>
        <v>520000</v>
      </c>
      <c r="D11" s="24">
        <f t="shared" si="0"/>
        <v>358.62068965517244</v>
      </c>
      <c r="E11" s="50">
        <f t="shared" si="1"/>
        <v>9.1906618064092077E-5</v>
      </c>
      <c r="F11" s="51"/>
    </row>
    <row r="12" spans="1:6" ht="15.75" customHeight="1" x14ac:dyDescent="0.25">
      <c r="A12" t="str">
        <f>+Hoja1!B9</f>
        <v> SALEM ALDO ALBERTO Y AICARDI DERNANDO SEBASTIAN S H</v>
      </c>
      <c r="B12" t="str">
        <f>+Hoja1!A9</f>
        <v>05594</v>
      </c>
      <c r="C12" s="67">
        <f>+Hoja1!K9</f>
        <v>8383134.0999999996</v>
      </c>
      <c r="D12" s="24">
        <f t="shared" si="0"/>
        <v>5781.4717931034484</v>
      </c>
      <c r="E12" s="50">
        <f t="shared" si="1"/>
        <v>1.4816644305937811E-3</v>
      </c>
      <c r="F12" s="51"/>
    </row>
    <row r="13" spans="1:6" ht="15.75" customHeight="1" x14ac:dyDescent="0.25">
      <c r="A13" t="str">
        <f>+Hoja1!B10</f>
        <v>A LONEIRA S.A.</v>
      </c>
      <c r="B13" t="str">
        <f>+Hoja1!A10</f>
        <v>07467</v>
      </c>
      <c r="C13" s="67">
        <f>+Hoja1!K10</f>
        <v>560000</v>
      </c>
      <c r="D13" s="24">
        <f t="shared" si="0"/>
        <v>386.20689655172413</v>
      </c>
      <c r="E13" s="50">
        <f t="shared" si="1"/>
        <v>9.8976357915176076E-5</v>
      </c>
      <c r="F13" s="51"/>
    </row>
    <row r="14" spans="1:6" ht="15.75" customHeight="1" x14ac:dyDescent="0.25">
      <c r="A14" t="str">
        <f>+Hoja1!B11</f>
        <v>ABBOUD MARCELO BANAIOT</v>
      </c>
      <c r="B14" t="str">
        <f>+Hoja1!A11</f>
        <v>07137</v>
      </c>
      <c r="C14" s="67">
        <f>+Hoja1!K11</f>
        <v>8763369.8200000003</v>
      </c>
      <c r="D14" s="24">
        <f t="shared" si="0"/>
        <v>6043.7033241379313</v>
      </c>
      <c r="E14" s="50">
        <f t="shared" si="1"/>
        <v>1.5488686211560217E-3</v>
      </c>
      <c r="F14" s="51"/>
    </row>
    <row r="15" spans="1:6" ht="15.75" customHeight="1" x14ac:dyDescent="0.25">
      <c r="A15" t="str">
        <f>+Hoja1!B12</f>
        <v>ABETE Y CIA. S.A.</v>
      </c>
      <c r="B15" t="str">
        <f>+Hoja1!A12</f>
        <v>00128</v>
      </c>
      <c r="C15" s="67">
        <f>+Hoja1!K12</f>
        <v>3491194.14</v>
      </c>
      <c r="D15" s="24">
        <f t="shared" si="0"/>
        <v>2407.7200965517241</v>
      </c>
      <c r="E15" s="50">
        <f t="shared" si="1"/>
        <v>6.1704585848572379E-4</v>
      </c>
      <c r="F15" s="51"/>
    </row>
    <row r="16" spans="1:6" ht="15.75" customHeight="1" x14ac:dyDescent="0.25">
      <c r="A16" t="str">
        <f>+Hoja1!B13</f>
        <v>ABREU JOSE LUIS</v>
      </c>
      <c r="B16" t="str">
        <f>+Hoja1!A13</f>
        <v>07598</v>
      </c>
      <c r="C16" s="67">
        <f>+Hoja1!K13</f>
        <v>508267.1</v>
      </c>
      <c r="D16" s="24">
        <f t="shared" si="0"/>
        <v>350.52903448275862</v>
      </c>
      <c r="E16" s="50">
        <f t="shared" si="1"/>
        <v>8.9832904296622477E-5</v>
      </c>
      <c r="F16" s="51"/>
    </row>
    <row r="17" spans="1:6" ht="15.75" customHeight="1" x14ac:dyDescent="0.25">
      <c r="A17" t="str">
        <f>+Hoja1!B14</f>
        <v>ACCELLERON ARGENTINA S. A.</v>
      </c>
      <c r="B17" t="str">
        <f>+Hoja1!A14</f>
        <v>08457</v>
      </c>
      <c r="C17" s="67">
        <f>+Hoja1!K14</f>
        <v>182706167.53999999</v>
      </c>
      <c r="D17" s="24">
        <f t="shared" si="0"/>
        <v>126004.25347586206</v>
      </c>
      <c r="E17" s="50">
        <f t="shared" si="1"/>
        <v>3.2292126842409223E-2</v>
      </c>
      <c r="F17" s="51"/>
    </row>
    <row r="18" spans="1:6" ht="15.75" customHeight="1" x14ac:dyDescent="0.25">
      <c r="A18" t="str">
        <f>+Hoja1!B15</f>
        <v>ADECCO ARGENTINA SA</v>
      </c>
      <c r="B18" t="str">
        <f>+Hoja1!A15</f>
        <v>08892</v>
      </c>
      <c r="C18" s="67">
        <f>+Hoja1!K15</f>
        <v>4280207.53</v>
      </c>
      <c r="D18" s="24">
        <f t="shared" si="0"/>
        <v>2951.8672620689658</v>
      </c>
      <c r="E18" s="50">
        <f t="shared" si="1"/>
        <v>7.5649884364377103E-4</v>
      </c>
      <c r="F18" s="51"/>
    </row>
    <row r="19" spans="1:6" ht="15.75" customHeight="1" x14ac:dyDescent="0.25">
      <c r="A19" t="str">
        <f>+Hoja1!B16</f>
        <v>ADMINISTRACION PORTUARIA DE PUERTO MADRYN</v>
      </c>
      <c r="B19" t="str">
        <f>+Hoja1!A16</f>
        <v>03315</v>
      </c>
      <c r="C19" s="67">
        <f>+Hoja1!K16</f>
        <v>1908774.8</v>
      </c>
      <c r="D19" s="24">
        <f t="shared" si="0"/>
        <v>1316.3964137931034</v>
      </c>
      <c r="E19" s="50">
        <f t="shared" si="1"/>
        <v>3.3736353175762256E-4</v>
      </c>
      <c r="F19" s="51"/>
    </row>
    <row r="20" spans="1:6" ht="15.75" customHeight="1" x14ac:dyDescent="0.25">
      <c r="A20" t="str">
        <f>+Hoja1!B17</f>
        <v>ADOLFO FORTIER S A C I F I A</v>
      </c>
      <c r="B20" t="str">
        <f>+Hoja1!A17</f>
        <v>00504</v>
      </c>
      <c r="C20" s="67">
        <f>+Hoja1!K17</f>
        <v>861101.34</v>
      </c>
      <c r="D20" s="24">
        <f t="shared" si="0"/>
        <v>593.86299310344828</v>
      </c>
      <c r="E20" s="50">
        <f t="shared" si="1"/>
        <v>1.5219406148049593E-4</v>
      </c>
      <c r="F20" s="51"/>
    </row>
    <row r="21" spans="1:6" ht="15.75" customHeight="1" x14ac:dyDescent="0.25">
      <c r="A21" t="str">
        <f>+Hoja1!B18</f>
        <v>ALEM LISANDRO</v>
      </c>
      <c r="B21" t="str">
        <f>+Hoja1!A18</f>
        <v>09524</v>
      </c>
      <c r="C21" s="67">
        <f>+Hoja1!K18</f>
        <v>951000</v>
      </c>
      <c r="D21" s="24">
        <f t="shared" si="0"/>
        <v>655.86206896551721</v>
      </c>
      <c r="E21" s="50">
        <f t="shared" si="1"/>
        <v>1.6808306495952221E-4</v>
      </c>
      <c r="F21" s="51"/>
    </row>
    <row r="22" spans="1:6" ht="15.75" customHeight="1" x14ac:dyDescent="0.25">
      <c r="A22" t="str">
        <f>+Hoja1!B19</f>
        <v>ALTA DISTRIBUCION SA</v>
      </c>
      <c r="B22" t="str">
        <f>+Hoja1!A19</f>
        <v>06176</v>
      </c>
      <c r="C22" s="67">
        <f>+Hoja1!K19</f>
        <v>1430621.27</v>
      </c>
      <c r="D22" s="24">
        <f t="shared" si="0"/>
        <v>986.63535862068966</v>
      </c>
      <c r="E22" s="50">
        <f t="shared" si="1"/>
        <v>2.5285300510818524E-4</v>
      </c>
      <c r="F22" s="51"/>
    </row>
    <row r="23" spans="1:6" ht="15.75" customHeight="1" x14ac:dyDescent="0.25">
      <c r="A23" t="str">
        <f>+Hoja1!B20</f>
        <v>ALTAVILLA S.R.L.</v>
      </c>
      <c r="B23" t="str">
        <f>+Hoja1!A20</f>
        <v>07867</v>
      </c>
      <c r="C23" s="67">
        <f>+Hoja1!K20</f>
        <v>266057.08</v>
      </c>
      <c r="D23" s="24">
        <f t="shared" si="0"/>
        <v>183.48764137931036</v>
      </c>
      <c r="E23" s="50">
        <f t="shared" si="1"/>
        <v>4.7023858528476135E-5</v>
      </c>
      <c r="F23" s="51"/>
    </row>
    <row r="24" spans="1:6" ht="15.75" customHeight="1" x14ac:dyDescent="0.25">
      <c r="A24" t="str">
        <f>+Hoja1!B21</f>
        <v>ALTIUS ARGENTINA S.A</v>
      </c>
      <c r="B24" t="str">
        <f>+Hoja1!A21</f>
        <v>06699</v>
      </c>
      <c r="C24" s="67">
        <f>+Hoja1!K21</f>
        <v>178596</v>
      </c>
      <c r="D24" s="24">
        <f t="shared" si="0"/>
        <v>123.1696551724138</v>
      </c>
      <c r="E24" s="50">
        <f t="shared" si="1"/>
        <v>3.1565681461104973E-5</v>
      </c>
      <c r="F24" s="51"/>
    </row>
    <row r="25" spans="1:6" ht="15.75" customHeight="1" x14ac:dyDescent="0.25">
      <c r="A25" t="str">
        <f>+Hoja1!B22</f>
        <v>AMX ARGENTINA S.A. (CAE)</v>
      </c>
      <c r="B25" t="str">
        <f>+Hoja1!A22</f>
        <v>00240</v>
      </c>
      <c r="C25" s="67">
        <f>+Hoja1!K22</f>
        <v>899271.11</v>
      </c>
      <c r="D25" s="24">
        <f t="shared" si="0"/>
        <v>620.18697241379311</v>
      </c>
      <c r="E25" s="50">
        <f t="shared" si="1"/>
        <v>1.589403200823887E-4</v>
      </c>
      <c r="F25" s="51"/>
    </row>
    <row r="26" spans="1:6" ht="15.75" customHeight="1" x14ac:dyDescent="0.25">
      <c r="A26" t="str">
        <f>+Hoja1!B23</f>
        <v>ARCAMONE ANA</v>
      </c>
      <c r="B26" t="str">
        <f>+Hoja1!A23</f>
        <v>07039</v>
      </c>
      <c r="C26" s="67">
        <f>+Hoja1!K23</f>
        <v>6499000</v>
      </c>
      <c r="D26" s="24">
        <f t="shared" si="0"/>
        <v>4482.0689655172409</v>
      </c>
      <c r="E26" s="50">
        <f t="shared" si="1"/>
        <v>1.1486559823048737E-3</v>
      </c>
      <c r="F26" s="51"/>
    </row>
    <row r="27" spans="1:6" ht="15.75" customHeight="1" x14ac:dyDescent="0.25">
      <c r="A27" t="str">
        <f>+Hoja1!B24</f>
        <v>ASOCIACION CAMARA DE LA INDUSTRIA PESQUERA ARGENTINA</v>
      </c>
      <c r="B27" t="str">
        <f>+Hoja1!A24</f>
        <v>04187</v>
      </c>
      <c r="C27" s="67">
        <f>+Hoja1!K24</f>
        <v>2392500</v>
      </c>
      <c r="D27" s="24">
        <f t="shared" si="0"/>
        <v>1650</v>
      </c>
      <c r="E27" s="50">
        <f t="shared" si="1"/>
        <v>4.2285881484296206E-4</v>
      </c>
      <c r="F27" s="51"/>
    </row>
    <row r="28" spans="1:6" ht="15.75" customHeight="1" x14ac:dyDescent="0.25">
      <c r="A28" t="str">
        <f>+Hoja1!B25</f>
        <v>ASSISTANCE FOOD ARGENTINA SA</v>
      </c>
      <c r="B28" t="str">
        <f>+Hoja1!A25</f>
        <v>04288</v>
      </c>
      <c r="C28" s="67">
        <f>+Hoja1!K25</f>
        <v>343156</v>
      </c>
      <c r="D28" s="24">
        <f t="shared" si="0"/>
        <v>236.65931034482759</v>
      </c>
      <c r="E28" s="50">
        <f t="shared" si="1"/>
        <v>6.0650591208464573E-5</v>
      </c>
      <c r="F28" s="51"/>
    </row>
    <row r="29" spans="1:6" ht="15.75" customHeight="1" x14ac:dyDescent="0.25">
      <c r="A29" t="str">
        <f>+Hoja1!B26</f>
        <v>ASTRADA LUCA</v>
      </c>
      <c r="B29" t="str">
        <f>+Hoja1!A26</f>
        <v>09607</v>
      </c>
      <c r="C29" s="67">
        <f>+Hoja1!K26</f>
        <v>48000</v>
      </c>
      <c r="D29" s="24">
        <f t="shared" si="0"/>
        <v>33.103448275862071</v>
      </c>
      <c r="E29" s="50">
        <f t="shared" si="1"/>
        <v>8.4836878213008072E-6</v>
      </c>
      <c r="F29" s="51"/>
    </row>
    <row r="30" spans="1:6" ht="15.75" customHeight="1" x14ac:dyDescent="0.25">
      <c r="A30" t="str">
        <f>+Hoja1!B27</f>
        <v>ATL CARGO S.R.L.</v>
      </c>
      <c r="B30" t="str">
        <f>+Hoja1!A27</f>
        <v>09199</v>
      </c>
      <c r="C30" s="67">
        <f>+Hoja1!K27</f>
        <v>416724</v>
      </c>
      <c r="D30" s="24">
        <f t="shared" si="0"/>
        <v>287.39586206896553</v>
      </c>
      <c r="E30" s="50">
        <f t="shared" si="1"/>
        <v>7.3653256742578282E-5</v>
      </c>
      <c r="F30" s="51"/>
    </row>
    <row r="31" spans="1:6" ht="15.75" customHeight="1" x14ac:dyDescent="0.25">
      <c r="A31" t="str">
        <f>+Hoja1!B28</f>
        <v>ATLANTIS ELECTRONICS CORP</v>
      </c>
      <c r="B31" t="str">
        <f>+Hoja1!A28</f>
        <v>08001</v>
      </c>
      <c r="C31" s="67">
        <f>+Hoja1!K28</f>
        <v>50234536.960000001</v>
      </c>
      <c r="D31" s="24">
        <f t="shared" si="0"/>
        <v>34644.508248275866</v>
      </c>
      <c r="E31" s="50">
        <f t="shared" si="1"/>
        <v>8.87862769617161E-3</v>
      </c>
      <c r="F31" s="51"/>
    </row>
    <row r="32" spans="1:6" ht="15.75" customHeight="1" x14ac:dyDescent="0.25">
      <c r="A32" t="str">
        <f>+Hoja1!B29</f>
        <v>AUTOVIA 3 S.A.</v>
      </c>
      <c r="B32" t="str">
        <f>+Hoja1!A29</f>
        <v>07846</v>
      </c>
      <c r="C32" s="67">
        <f>+Hoja1!K29</f>
        <v>2408015.9700000002</v>
      </c>
      <c r="D32" s="24">
        <f t="shared" si="0"/>
        <v>1660.7006689655175</v>
      </c>
      <c r="E32" s="50">
        <f t="shared" si="1"/>
        <v>4.2560116162889273E-4</v>
      </c>
      <c r="F32" s="51"/>
    </row>
    <row r="33" spans="1:6" ht="15.75" customHeight="1" x14ac:dyDescent="0.25">
      <c r="A33" t="str">
        <f>+Hoja1!B30</f>
        <v>BASUALDO MATIAS RAFAEL</v>
      </c>
      <c r="B33" t="str">
        <f>+Hoja1!A30</f>
        <v>09093</v>
      </c>
      <c r="C33" s="67">
        <f>+Hoja1!K30</f>
        <v>75000</v>
      </c>
      <c r="D33" s="24">
        <f t="shared" si="0"/>
        <v>51.724137931034484</v>
      </c>
      <c r="E33" s="50">
        <f t="shared" si="1"/>
        <v>1.3255762220782509E-5</v>
      </c>
      <c r="F33" s="51"/>
    </row>
    <row r="34" spans="1:6" ht="15.75" customHeight="1" x14ac:dyDescent="0.25">
      <c r="A34" t="str">
        <f>+Hoja1!B31</f>
        <v>BELARMINI LISANDRO ANGEL</v>
      </c>
      <c r="B34" t="str">
        <f>+Hoja1!A31</f>
        <v>05727</v>
      </c>
      <c r="C34" s="67">
        <f>+Hoja1!K31</f>
        <v>4477000</v>
      </c>
      <c r="D34" s="24">
        <f t="shared" si="0"/>
        <v>3087.5862068965516</v>
      </c>
      <c r="E34" s="50">
        <f t="shared" si="1"/>
        <v>7.9128063283257725E-4</v>
      </c>
      <c r="F34" s="51"/>
    </row>
    <row r="35" spans="1:6" ht="15.75" customHeight="1" x14ac:dyDescent="0.25">
      <c r="A35" t="str">
        <f>+Hoja1!B32</f>
        <v>BELLA VISTA DEL MAR MDQ S.R.L.</v>
      </c>
      <c r="B35" t="str">
        <f>+Hoja1!A32</f>
        <v>08997</v>
      </c>
      <c r="C35" s="67">
        <f>+Hoja1!K32</f>
        <v>609843.53</v>
      </c>
      <c r="D35" s="24">
        <f t="shared" si="0"/>
        <v>420.58174482758625</v>
      </c>
      <c r="E35" s="50">
        <f t="shared" si="1"/>
        <v>1.0778587767416861E-4</v>
      </c>
      <c r="F35" s="51"/>
    </row>
    <row r="36" spans="1:6" ht="15.75" customHeight="1" x14ac:dyDescent="0.25">
      <c r="A36" t="str">
        <f>+Hoja1!B33</f>
        <v>BENEDETTI JORGE ALEJANDRO</v>
      </c>
      <c r="B36" t="str">
        <f>+Hoja1!A33</f>
        <v>08159</v>
      </c>
      <c r="C36" s="67">
        <f>+Hoja1!K33</f>
        <v>349929</v>
      </c>
      <c r="D36" s="24">
        <f t="shared" si="0"/>
        <v>241.3303448275862</v>
      </c>
      <c r="E36" s="50">
        <f t="shared" si="1"/>
        <v>6.1847674908749363E-5</v>
      </c>
      <c r="F36" s="51"/>
    </row>
    <row r="37" spans="1:6" ht="15.75" customHeight="1" x14ac:dyDescent="0.25">
      <c r="A37" t="str">
        <f>+Hoja1!B34</f>
        <v>BENEDETTO PELOSI S. A</v>
      </c>
      <c r="B37" t="str">
        <f>+Hoja1!A34</f>
        <v>05004</v>
      </c>
      <c r="C37" s="67">
        <f>+Hoja1!K34</f>
        <v>5397392.4000000004</v>
      </c>
      <c r="D37" s="24">
        <f t="shared" si="0"/>
        <v>3722.3395862068969</v>
      </c>
      <c r="E37" s="50">
        <f t="shared" si="1"/>
        <v>9.539540035554486E-4</v>
      </c>
      <c r="F37" s="51"/>
    </row>
    <row r="38" spans="1:6" ht="15.75" customHeight="1" x14ac:dyDescent="0.25">
      <c r="A38" t="str">
        <f>+Hoja1!B35</f>
        <v>BENGOCHEA JORGE GABRIEL</v>
      </c>
      <c r="B38" t="str">
        <f>+Hoja1!A35</f>
        <v>03774</v>
      </c>
      <c r="C38" s="67">
        <f>+Hoja1!K35</f>
        <v>1827342</v>
      </c>
      <c r="D38" s="24">
        <f t="shared" si="0"/>
        <v>1260.2358620689656</v>
      </c>
      <c r="E38" s="50">
        <f t="shared" si="1"/>
        <v>3.2297081397398875E-4</v>
      </c>
      <c r="F38" s="51"/>
    </row>
    <row r="39" spans="1:6" ht="15.75" customHeight="1" x14ac:dyDescent="0.25">
      <c r="A39" t="str">
        <f>+Hoja1!B36</f>
        <v>BERNABEU SONIA</v>
      </c>
      <c r="B39" t="str">
        <f>+Hoja1!A36</f>
        <v>05738</v>
      </c>
      <c r="C39" s="67">
        <f>+Hoja1!K36</f>
        <v>4190472</v>
      </c>
      <c r="D39" s="24">
        <f t="shared" si="0"/>
        <v>2889.9806896551722</v>
      </c>
      <c r="E39" s="50">
        <f t="shared" si="1"/>
        <v>7.4063867233129226E-4</v>
      </c>
      <c r="F39" s="51"/>
    </row>
    <row r="40" spans="1:6" ht="15.75" customHeight="1" x14ac:dyDescent="0.25">
      <c r="A40" t="str">
        <f>+Hoja1!B37</f>
        <v>BIANCHI LUCIA DEL CARMEN</v>
      </c>
      <c r="B40" t="str">
        <f>+Hoja1!A37</f>
        <v>07931</v>
      </c>
      <c r="C40" s="67">
        <f>+Hoja1!K37</f>
        <v>1259999.8600000001</v>
      </c>
      <c r="D40" s="24">
        <f t="shared" si="0"/>
        <v>868.96542068965528</v>
      </c>
      <c r="E40" s="50">
        <f t="shared" si="1"/>
        <v>2.2269678056505672E-4</v>
      </c>
      <c r="F40" s="51"/>
    </row>
    <row r="41" spans="1:6" ht="15.75" customHeight="1" x14ac:dyDescent="0.25">
      <c r="A41" t="str">
        <f>+Hoja1!B38</f>
        <v>BIOSEGUR SRL</v>
      </c>
      <c r="B41" t="str">
        <f>+Hoja1!A38</f>
        <v>08179</v>
      </c>
      <c r="C41" s="67">
        <f>+Hoja1!K38</f>
        <v>4204376.5999999996</v>
      </c>
      <c r="D41" s="24">
        <f t="shared" si="0"/>
        <v>2899.5700689655168</v>
      </c>
      <c r="E41" s="50">
        <f t="shared" si="1"/>
        <v>7.4309621994962682E-4</v>
      </c>
      <c r="F41" s="51"/>
    </row>
    <row r="42" spans="1:6" ht="15.75" customHeight="1" x14ac:dyDescent="0.25">
      <c r="A42" t="str">
        <f>+Hoja1!B39</f>
        <v>BIRAS JONATAN EDGARDO</v>
      </c>
      <c r="B42" t="str">
        <f>+Hoja1!A39</f>
        <v> 8968</v>
      </c>
      <c r="C42" s="67">
        <f>+Hoja1!K39</f>
        <v>559451.87</v>
      </c>
      <c r="D42" s="24">
        <f t="shared" si="0"/>
        <v>385.82887586206897</v>
      </c>
      <c r="E42" s="50">
        <f t="shared" si="1"/>
        <v>9.8879479502561707E-5</v>
      </c>
      <c r="F42" s="51"/>
    </row>
    <row r="43" spans="1:6" ht="15.75" customHeight="1" x14ac:dyDescent="0.25">
      <c r="A43" t="str">
        <f>+Hoja1!B40</f>
        <v>BIRCHER DELIA MARISA</v>
      </c>
      <c r="B43" t="str">
        <f>+Hoja1!A40</f>
        <v>07977</v>
      </c>
      <c r="C43" s="67">
        <f>+Hoja1!K40</f>
        <v>2666840</v>
      </c>
      <c r="D43" s="24">
        <f t="shared" si="0"/>
        <v>1839.2</v>
      </c>
      <c r="E43" s="50">
        <f t="shared" si="1"/>
        <v>4.7134662561162174E-4</v>
      </c>
      <c r="F43" s="51"/>
    </row>
    <row r="44" spans="1:6" ht="15.75" customHeight="1" x14ac:dyDescent="0.25">
      <c r="A44" t="str">
        <f>+Hoja1!B41</f>
        <v>BLOCK PABLO DANIEL Y BLOCK MIGUEL ANGEL S H</v>
      </c>
      <c r="B44" t="str">
        <f>+Hoja1!A41</f>
        <v>06759</v>
      </c>
      <c r="C44" s="67">
        <f>+Hoja1!K41</f>
        <v>71516929</v>
      </c>
      <c r="D44" s="24">
        <f t="shared" si="0"/>
        <v>49322.02</v>
      </c>
      <c r="E44" s="50">
        <f t="shared" si="1"/>
        <v>1.2640152074461133E-2</v>
      </c>
      <c r="F44" s="51"/>
    </row>
    <row r="45" spans="1:6" ht="15.75" customHeight="1" x14ac:dyDescent="0.25">
      <c r="A45" t="str">
        <f>+Hoja1!B42</f>
        <v>BONIFACIO MARIA CECILIA</v>
      </c>
      <c r="B45" t="str">
        <f>+Hoja1!A42</f>
        <v>07780</v>
      </c>
      <c r="C45" s="67">
        <f>+Hoja1!K42</f>
        <v>220000</v>
      </c>
      <c r="D45" s="24">
        <f t="shared" si="0"/>
        <v>151.72413793103448</v>
      </c>
      <c r="E45" s="50">
        <f t="shared" si="1"/>
        <v>3.8883569180962026E-5</v>
      </c>
      <c r="F45" s="51"/>
    </row>
    <row r="46" spans="1:6" ht="15.75" customHeight="1" x14ac:dyDescent="0.25">
      <c r="A46" t="str">
        <f>+Hoja1!B43</f>
        <v>BRAC MDQ CORPORATION SA</v>
      </c>
      <c r="B46" t="str">
        <f>+Hoja1!A43</f>
        <v>08426</v>
      </c>
      <c r="C46" s="67">
        <f>+Hoja1!K43</f>
        <v>1400000</v>
      </c>
      <c r="D46" s="24">
        <f t="shared" si="0"/>
        <v>965.51724137931035</v>
      </c>
      <c r="E46" s="50">
        <f t="shared" si="1"/>
        <v>2.4744089478794017E-4</v>
      </c>
      <c r="F46" s="51"/>
    </row>
    <row r="47" spans="1:6" ht="15.75" customHeight="1" x14ac:dyDescent="0.25">
      <c r="A47" t="str">
        <f>+Hoja1!B44</f>
        <v>BRASAS JUAN IGNACIO</v>
      </c>
      <c r="B47" t="str">
        <f>+Hoja1!A44</f>
        <v>08399</v>
      </c>
      <c r="C47" s="67">
        <f>+Hoja1!K44</f>
        <v>397800</v>
      </c>
      <c r="D47" s="24">
        <f t="shared" si="0"/>
        <v>274.34482758620692</v>
      </c>
      <c r="E47" s="50">
        <f t="shared" si="1"/>
        <v>7.030856281903044E-5</v>
      </c>
      <c r="F47" s="51"/>
    </row>
    <row r="48" spans="1:6" ht="15.75" customHeight="1" x14ac:dyDescent="0.25">
      <c r="A48" t="str">
        <f>+Hoja1!B45</f>
        <v>BRAVO MINNUCCI MDQ SOCIEDAD DE RESPONSABILIDAD LIMITADA</v>
      </c>
      <c r="B48" t="str">
        <f>+Hoja1!A45</f>
        <v>09060</v>
      </c>
      <c r="C48" s="67">
        <f>+Hoja1!K45</f>
        <v>3000000</v>
      </c>
      <c r="D48" s="24">
        <f t="shared" si="0"/>
        <v>2068.9655172413795</v>
      </c>
      <c r="E48" s="50">
        <f t="shared" si="1"/>
        <v>5.3023048883130044E-4</v>
      </c>
      <c r="F48" s="51"/>
    </row>
    <row r="49" spans="1:6" ht="15.75" customHeight="1" x14ac:dyDescent="0.25">
      <c r="A49" t="str">
        <f>+Hoja1!B46</f>
        <v>BUENOS AIRES EXPRESS S.R.L.</v>
      </c>
      <c r="B49" t="str">
        <f>+Hoja1!A46</f>
        <v>08035</v>
      </c>
      <c r="C49" s="67">
        <f>+Hoja1!K46</f>
        <v>118465.57</v>
      </c>
      <c r="D49" s="24">
        <f t="shared" si="0"/>
        <v>81.700393103448278</v>
      </c>
      <c r="E49" s="50">
        <f t="shared" si="1"/>
        <v>2.0938019030259544E-5</v>
      </c>
      <c r="F49" s="51"/>
    </row>
    <row r="50" spans="1:6" ht="15.75" customHeight="1" x14ac:dyDescent="0.25">
      <c r="A50" t="str">
        <f>+Hoja1!B47</f>
        <v>BULLBLACK SA</v>
      </c>
      <c r="B50" t="str">
        <f>+Hoja1!A47</f>
        <v>07597</v>
      </c>
      <c r="C50" s="67">
        <f>+Hoja1!K47</f>
        <v>19908029.899999999</v>
      </c>
      <c r="D50" s="24">
        <f t="shared" si="0"/>
        <v>13729.675793103448</v>
      </c>
      <c r="E50" s="50">
        <f t="shared" si="1"/>
        <v>3.5186148085150481E-3</v>
      </c>
      <c r="F50" s="51"/>
    </row>
    <row r="51" spans="1:6" ht="15.75" customHeight="1" x14ac:dyDescent="0.25">
      <c r="A51" t="str">
        <f>+Hoja1!B48</f>
        <v>CAJIDE JAVIER</v>
      </c>
      <c r="B51" t="str">
        <f>+Hoja1!A48</f>
        <v>08594</v>
      </c>
      <c r="C51" s="67">
        <f>+Hoja1!K48</f>
        <v>1805859.66</v>
      </c>
      <c r="D51" s="24">
        <f t="shared" si="0"/>
        <v>1245.4204551724138</v>
      </c>
      <c r="E51" s="50">
        <f t="shared" si="1"/>
        <v>3.1917395009417528E-4</v>
      </c>
      <c r="F51" s="51"/>
    </row>
    <row r="52" spans="1:6" ht="15.75" customHeight="1" x14ac:dyDescent="0.25">
      <c r="A52" t="str">
        <f>+Hoja1!B49</f>
        <v>CANALES ARIEL CESAR LUIS</v>
      </c>
      <c r="B52" t="str">
        <f>+Hoja1!A49</f>
        <v>06728</v>
      </c>
      <c r="C52" s="67">
        <f>+Hoja1!K49</f>
        <v>4798389.13</v>
      </c>
      <c r="D52" s="24">
        <f t="shared" si="0"/>
        <v>3309.2338827586204</v>
      </c>
      <c r="E52" s="50">
        <f t="shared" si="1"/>
        <v>8.4808407133423261E-4</v>
      </c>
      <c r="F52" s="51"/>
    </row>
    <row r="53" spans="1:6" ht="15.75" customHeight="1" x14ac:dyDescent="0.25">
      <c r="A53" t="str">
        <f>+Hoja1!B50</f>
        <v>CARGO NET LOGISTIC S A</v>
      </c>
      <c r="B53" t="str">
        <f>+Hoja1!A50</f>
        <v>09170</v>
      </c>
      <c r="C53" s="67">
        <f>+Hoja1!K50</f>
        <v>-0.01</v>
      </c>
      <c r="D53" s="24">
        <f t="shared" si="0"/>
        <v>-6.8965517241379308E-6</v>
      </c>
      <c r="E53" s="50">
        <f t="shared" si="1"/>
        <v>-1.7674349627710013E-12</v>
      </c>
      <c r="F53" s="51"/>
    </row>
    <row r="54" spans="1:6" ht="15.75" customHeight="1" x14ac:dyDescent="0.25">
      <c r="A54" t="str">
        <f>+Hoja1!B51</f>
        <v>CARTONERIA ACEVEDO SACI</v>
      </c>
      <c r="B54" t="str">
        <f>+Hoja1!A51</f>
        <v>01006</v>
      </c>
      <c r="C54" s="67">
        <f>+Hoja1!K51</f>
        <v>22095215.899999999</v>
      </c>
      <c r="D54" s="24">
        <f t="shared" si="0"/>
        <v>15238.079931034481</v>
      </c>
      <c r="E54" s="50">
        <f t="shared" si="1"/>
        <v>3.9051857091633732E-3</v>
      </c>
      <c r="F54" s="51"/>
    </row>
    <row r="55" spans="1:6" ht="15.75" customHeight="1" x14ac:dyDescent="0.25">
      <c r="A55" t="str">
        <f>+Hoja1!B52</f>
        <v>CASA BLANCO S.A.</v>
      </c>
      <c r="B55" t="str">
        <f>+Hoja1!A52</f>
        <v>00073</v>
      </c>
      <c r="C55" s="67">
        <f>+Hoja1!K52</f>
        <v>9268991.0500000007</v>
      </c>
      <c r="D55" s="24">
        <f t="shared" si="0"/>
        <v>6392.4076206896552</v>
      </c>
      <c r="E55" s="50">
        <f t="shared" si="1"/>
        <v>1.6382338851381494E-3</v>
      </c>
      <c r="F55" s="51"/>
    </row>
    <row r="56" spans="1:6" ht="15.75" customHeight="1" x14ac:dyDescent="0.25">
      <c r="A56" t="str">
        <f>+Hoja1!B53</f>
        <v>CASA MINGO S.R.L.</v>
      </c>
      <c r="B56" t="str">
        <f>+Hoja1!A53</f>
        <v>01849</v>
      </c>
      <c r="C56" s="67">
        <f>+Hoja1!K53</f>
        <v>1268511.24</v>
      </c>
      <c r="D56" s="24">
        <f t="shared" si="0"/>
        <v>874.83533793103447</v>
      </c>
      <c r="E56" s="50">
        <f t="shared" si="1"/>
        <v>2.2420111162439966E-4</v>
      </c>
      <c r="F56" s="51"/>
    </row>
    <row r="57" spans="1:6" ht="15.75" customHeight="1" x14ac:dyDescent="0.25">
      <c r="A57" t="str">
        <f>+Hoja1!B54</f>
        <v>CERROSUD S.A. (CAE)</v>
      </c>
      <c r="B57" t="str">
        <f>+Hoja1!A54</f>
        <v>00020</v>
      </c>
      <c r="C57" s="67">
        <f>+Hoja1!K54</f>
        <v>1224509.94</v>
      </c>
      <c r="D57" s="24">
        <f t="shared" si="0"/>
        <v>844.48961379310344</v>
      </c>
      <c r="E57" s="50">
        <f t="shared" si="1"/>
        <v>2.1642416802166209E-4</v>
      </c>
      <c r="F57" s="51"/>
    </row>
    <row r="58" spans="1:6" ht="15.75" customHeight="1" x14ac:dyDescent="0.25">
      <c r="A58" t="str">
        <f>+Hoja1!B55</f>
        <v>CMA CGM ARGENTINA S.A.</v>
      </c>
      <c r="B58" t="str">
        <f>+Hoja1!A55</f>
        <v>05707</v>
      </c>
      <c r="C58" s="67">
        <f>+Hoja1!K55</f>
        <v>217</v>
      </c>
      <c r="D58" s="24">
        <f t="shared" si="0"/>
        <v>0.14965517241379311</v>
      </c>
      <c r="E58" s="50">
        <f t="shared" si="1"/>
        <v>3.8353338692130733E-8</v>
      </c>
      <c r="F58" s="51"/>
    </row>
    <row r="59" spans="1:6" ht="15.75" customHeight="1" x14ac:dyDescent="0.25">
      <c r="A59" t="str">
        <f>+Hoja1!B56</f>
        <v>COCCO HERNAN PABLO</v>
      </c>
      <c r="B59" t="str">
        <f>+Hoja1!A56</f>
        <v>08210</v>
      </c>
      <c r="C59" s="67">
        <f>+Hoja1!K56</f>
        <v>268800</v>
      </c>
      <c r="D59" s="24">
        <f t="shared" si="0"/>
        <v>185.37931034482759</v>
      </c>
      <c r="E59" s="50">
        <f t="shared" si="1"/>
        <v>4.7508651799284515E-5</v>
      </c>
      <c r="F59" s="51"/>
    </row>
    <row r="60" spans="1:6" ht="15.75" customHeight="1" x14ac:dyDescent="0.25">
      <c r="A60" t="str">
        <f>+Hoja1!B57</f>
        <v>COMERCIAL DEL MAR S.A.</v>
      </c>
      <c r="B60" t="str">
        <f>+Hoja1!A57</f>
        <v>05510</v>
      </c>
      <c r="C60" s="67">
        <f>+Hoja1!K57</f>
        <v>1061714.83</v>
      </c>
      <c r="D60" s="24">
        <f t="shared" si="0"/>
        <v>732.21712413793114</v>
      </c>
      <c r="E60" s="50">
        <f t="shared" si="1"/>
        <v>1.8765119110344703E-4</v>
      </c>
      <c r="F60" s="51"/>
    </row>
    <row r="61" spans="1:6" ht="15.75" customHeight="1" x14ac:dyDescent="0.25">
      <c r="A61" t="str">
        <f>+Hoja1!B58</f>
        <v>CONCA HUGO CESAR</v>
      </c>
      <c r="B61" t="str">
        <f>+Hoja1!A58</f>
        <v>00448</v>
      </c>
      <c r="C61" s="67">
        <f>+Hoja1!K58</f>
        <v>454979.36</v>
      </c>
      <c r="D61" s="24">
        <f t="shared" si="0"/>
        <v>313.77886896551723</v>
      </c>
      <c r="E61" s="50">
        <f t="shared" si="1"/>
        <v>8.0414642820317395E-5</v>
      </c>
      <c r="F61" s="51"/>
    </row>
    <row r="62" spans="1:6" ht="15.75" customHeight="1" x14ac:dyDescent="0.25">
      <c r="A62" t="str">
        <f>+Hoja1!B59</f>
        <v>CONSORCIO PORTUARIO REGIONAL DE MAR DEL PLATA</v>
      </c>
      <c r="B62" t="str">
        <f>+Hoja1!A59</f>
        <v>03848</v>
      </c>
      <c r="C62" s="67">
        <f>+Hoja1!K59</f>
        <v>50522701.799999997</v>
      </c>
      <c r="D62" s="24">
        <f t="shared" si="0"/>
        <v>34843.242620689656</v>
      </c>
      <c r="E62" s="50">
        <f t="shared" si="1"/>
        <v>8.9295589574973407E-3</v>
      </c>
      <c r="F62" s="51"/>
    </row>
    <row r="63" spans="1:6" ht="15.75" customHeight="1" x14ac:dyDescent="0.25">
      <c r="A63" t="str">
        <f>+Hoja1!B60</f>
        <v>CONSULTORA GESTAM MDP SA</v>
      </c>
      <c r="B63" t="str">
        <f>+Hoja1!A60</f>
        <v>08526</v>
      </c>
      <c r="C63" s="67">
        <f>+Hoja1!K60</f>
        <v>1817783</v>
      </c>
      <c r="D63" s="24">
        <f t="shared" si="0"/>
        <v>1253.6434482758621</v>
      </c>
      <c r="E63" s="50">
        <f t="shared" si="1"/>
        <v>3.2128132289307591E-4</v>
      </c>
      <c r="F63" s="51"/>
    </row>
    <row r="64" spans="1:6" ht="15.75" customHeight="1" x14ac:dyDescent="0.25">
      <c r="A64" t="str">
        <f>+Hoja1!B61</f>
        <v>COOP. DE TRABAJO PUCARA LIMITADA</v>
      </c>
      <c r="B64" t="str">
        <f>+Hoja1!A61</f>
        <v>05924</v>
      </c>
      <c r="C64" s="67">
        <f>+Hoja1!K61</f>
        <v>125496800</v>
      </c>
      <c r="D64" s="24">
        <f t="shared" si="0"/>
        <v>86549.517241379304</v>
      </c>
      <c r="E64" s="50">
        <f t="shared" si="1"/>
        <v>2.2180743203587979E-2</v>
      </c>
      <c r="F64" s="51"/>
    </row>
    <row r="65" spans="1:6" ht="15.75" customHeight="1" x14ac:dyDescent="0.25">
      <c r="A65" t="str">
        <f>+Hoja1!B62</f>
        <v>COOPERATIVA DE TRABAJO DE ESTIBAJE HIPOCOOP LTDA</v>
      </c>
      <c r="B65" t="str">
        <f>+Hoja1!A62</f>
        <v>03950</v>
      </c>
      <c r="C65" s="67">
        <f>+Hoja1!K62</f>
        <v>527671126</v>
      </c>
      <c r="D65" s="24">
        <f t="shared" si="0"/>
        <v>363911.12137931032</v>
      </c>
      <c r="E65" s="50">
        <f t="shared" si="1"/>
        <v>9.3262439693714227E-2</v>
      </c>
      <c r="F65" s="51"/>
    </row>
    <row r="66" spans="1:6" ht="15.75" customHeight="1" x14ac:dyDescent="0.25">
      <c r="A66" t="str">
        <f>+Hoja1!B63</f>
        <v>COOPERATIVA DE TRABAJO DE ESTIBAJE HIPOCOOP LTDA</v>
      </c>
      <c r="B66" t="str">
        <f>+Hoja1!A63</f>
        <v>00350</v>
      </c>
      <c r="C66" s="67">
        <f>+Hoja1!K63</f>
        <v>151322438.68000001</v>
      </c>
      <c r="D66" s="24">
        <f t="shared" si="0"/>
        <v>104360.30253793104</v>
      </c>
      <c r="E66" s="50">
        <f t="shared" si="1"/>
        <v>2.6745256877480295E-2</v>
      </c>
      <c r="F66" s="51"/>
    </row>
    <row r="67" spans="1:6" ht="15.75" customHeight="1" x14ac:dyDescent="0.25">
      <c r="A67" t="str">
        <f>+Hoja1!B64</f>
        <v>COOPERATIVA DE TRABAJO DE ESTIBAJE HIPOCOOP LTDA</v>
      </c>
      <c r="B67" t="str">
        <f>+Hoja1!A64</f>
        <v>03951</v>
      </c>
      <c r="C67" s="67">
        <f>+Hoja1!K64</f>
        <v>125798980.42</v>
      </c>
      <c r="D67" s="24">
        <f t="shared" si="0"/>
        <v>86757.917531034487</v>
      </c>
      <c r="E67" s="50">
        <f t="shared" si="1"/>
        <v>2.2234151627525262E-2</v>
      </c>
      <c r="F67" s="51"/>
    </row>
    <row r="68" spans="1:6" ht="15.75" customHeight="1" x14ac:dyDescent="0.25">
      <c r="A68" t="str">
        <f>+Hoja1!B65</f>
        <v>COOPERATIVA DE TRABAJO LOS TRES AMIGOS LIMITADA</v>
      </c>
      <c r="B68" t="str">
        <f>+Hoja1!A65</f>
        <v>04331</v>
      </c>
      <c r="C68" s="67">
        <f>+Hoja1!K65</f>
        <v>4157535.95</v>
      </c>
      <c r="D68" s="24">
        <f t="shared" si="0"/>
        <v>2867.2661724137934</v>
      </c>
      <c r="E68" s="50">
        <f t="shared" si="1"/>
        <v>7.3481743970073505E-4</v>
      </c>
      <c r="F68" s="51"/>
    </row>
    <row r="69" spans="1:6" ht="15.75" customHeight="1" x14ac:dyDescent="0.25">
      <c r="A69" t="str">
        <f>+Hoja1!B66</f>
        <v>COOPERATIVA DE TRABAJO PARA ACTIVIDADES DEL ESTIBAJE LIMITADA</v>
      </c>
      <c r="B69" t="str">
        <f>+Hoja1!A66</f>
        <v>06380</v>
      </c>
      <c r="C69" s="67">
        <f>+Hoja1!K66</f>
        <v>157300</v>
      </c>
      <c r="D69" s="24">
        <f t="shared" si="0"/>
        <v>108.48275862068965</v>
      </c>
      <c r="E69" s="50">
        <f t="shared" si="1"/>
        <v>2.7801751964387849E-5</v>
      </c>
      <c r="F69" s="51"/>
    </row>
    <row r="70" spans="1:6" ht="15.75" customHeight="1" x14ac:dyDescent="0.25">
      <c r="A70" t="str">
        <f>+Hoja1!B67</f>
        <v>COOPERATIVA DE TRABAJO PROVISION DE SERVICIOS DE ESTIBAJE PUERTO MADRYN LTDA</v>
      </c>
      <c r="B70" t="str">
        <f>+Hoja1!A67</f>
        <v>05983</v>
      </c>
      <c r="C70" s="67">
        <f>+Hoja1!K67</f>
        <v>5436365.2400000002</v>
      </c>
      <c r="D70" s="24">
        <f t="shared" ref="D70:D133" si="2">+C70/$D$3</f>
        <v>3749.2174068965519</v>
      </c>
      <c r="E70" s="50">
        <f t="shared" ref="E70:E133" si="3">+D70/$D$282</f>
        <v>9.6084219955689656E-4</v>
      </c>
      <c r="F70" s="51"/>
    </row>
    <row r="71" spans="1:6" ht="15.75" customHeight="1" x14ac:dyDescent="0.25">
      <c r="A71" t="str">
        <f>+Hoja1!B68</f>
        <v>CROCE HNOS. AGENTES MARITIMOS S.R.L.</v>
      </c>
      <c r="B71" t="str">
        <f>+Hoja1!A68</f>
        <v>01118</v>
      </c>
      <c r="C71" s="67">
        <f>+Hoja1!K68</f>
        <v>2031096.08</v>
      </c>
      <c r="D71" s="24">
        <f t="shared" si="2"/>
        <v>1400.7559172413794</v>
      </c>
      <c r="E71" s="50">
        <f t="shared" si="3"/>
        <v>3.589830224539127E-4</v>
      </c>
      <c r="F71" s="51"/>
    </row>
    <row r="72" spans="1:6" ht="15.75" customHeight="1" x14ac:dyDescent="0.25">
      <c r="A72" t="str">
        <f>+Hoja1!B69</f>
        <v>CURITIBA SRL</v>
      </c>
      <c r="B72" t="str">
        <f>+Hoja1!A69</f>
        <v>08135</v>
      </c>
      <c r="C72" s="67">
        <f>+Hoja1!K69</f>
        <v>-204.43</v>
      </c>
      <c r="D72" s="24">
        <f t="shared" si="2"/>
        <v>-0.14098620689655172</v>
      </c>
      <c r="E72" s="50">
        <f t="shared" si="3"/>
        <v>-3.6131672943927577E-8</v>
      </c>
      <c r="F72" s="51"/>
    </row>
    <row r="73" spans="1:6" ht="15.75" customHeight="1" x14ac:dyDescent="0.25">
      <c r="A73" t="str">
        <f>+Hoja1!B70</f>
        <v>DANODIS S.A.</v>
      </c>
      <c r="B73" t="str">
        <f>+Hoja1!A70</f>
        <v>07289</v>
      </c>
      <c r="C73" s="67">
        <f>+Hoja1!K70</f>
        <v>27006416.66</v>
      </c>
      <c r="D73" s="24">
        <f t="shared" si="2"/>
        <v>18625.114937931034</v>
      </c>
      <c r="E73" s="50">
        <f t="shared" si="3"/>
        <v>4.7732085024045244E-3</v>
      </c>
      <c r="F73" s="51"/>
    </row>
    <row r="74" spans="1:6" ht="15.75" customHeight="1" x14ac:dyDescent="0.25">
      <c r="A74" t="str">
        <f>+Hoja1!B71</f>
        <v>DAUVERNE LUIS MARIA JULIAN</v>
      </c>
      <c r="B74" t="str">
        <f>+Hoja1!A71</f>
        <v>09027</v>
      </c>
      <c r="C74" s="67">
        <f>+Hoja1!K71</f>
        <v>3323791.37</v>
      </c>
      <c r="D74" s="24">
        <f t="shared" si="2"/>
        <v>2292.2699103448276</v>
      </c>
      <c r="E74" s="50">
        <f t="shared" si="3"/>
        <v>5.8745850762945259E-4</v>
      </c>
      <c r="F74" s="51"/>
    </row>
    <row r="75" spans="1:6" ht="15.75" customHeight="1" x14ac:dyDescent="0.25">
      <c r="A75" t="str">
        <f>+Hoja1!B72</f>
        <v>DEVOMP SRL</v>
      </c>
      <c r="B75" t="str">
        <f>+Hoja1!A72</f>
        <v>04109</v>
      </c>
      <c r="C75" s="67">
        <f>+Hoja1!K72</f>
        <v>10733711.16</v>
      </c>
      <c r="D75" s="24">
        <f t="shared" si="2"/>
        <v>7402.5594206896549</v>
      </c>
      <c r="E75" s="50">
        <f t="shared" si="3"/>
        <v>1.8971136384469281E-3</v>
      </c>
      <c r="F75" s="51"/>
    </row>
    <row r="76" spans="1:6" ht="15.75" customHeight="1" x14ac:dyDescent="0.25">
      <c r="A76" t="str">
        <f>+Hoja1!B73</f>
        <v>DHL EXPRESS (ARGENTINA) S.A.</v>
      </c>
      <c r="B76" t="str">
        <f>+Hoja1!A73</f>
        <v>00271</v>
      </c>
      <c r="C76" s="67">
        <f>+Hoja1!K73</f>
        <v>3845715.03</v>
      </c>
      <c r="D76" s="24">
        <f t="shared" si="2"/>
        <v>2652.2172620689653</v>
      </c>
      <c r="E76" s="50">
        <f t="shared" si="3"/>
        <v>6.7970512008759293E-4</v>
      </c>
      <c r="F76" s="51"/>
    </row>
    <row r="77" spans="1:6" ht="15.75" customHeight="1" x14ac:dyDescent="0.25">
      <c r="A77" t="str">
        <f>+Hoja1!B74</f>
        <v>DISTRIBUCION Y PROFESIONALISMO S.A.</v>
      </c>
      <c r="B77" t="str">
        <f>+Hoja1!A74</f>
        <v>07644</v>
      </c>
      <c r="C77" s="67">
        <f>+Hoja1!K74</f>
        <v>3459053.89</v>
      </c>
      <c r="D77" s="24">
        <f t="shared" si="2"/>
        <v>2385.5544068965519</v>
      </c>
      <c r="E77" s="50">
        <f t="shared" si="3"/>
        <v>6.1136527832950376E-4</v>
      </c>
      <c r="F77" s="51"/>
    </row>
    <row r="78" spans="1:6" ht="15.75" customHeight="1" x14ac:dyDescent="0.25">
      <c r="A78" t="str">
        <f>+Hoja1!B75</f>
        <v>DISTRIBUIDORA ARIES SRL</v>
      </c>
      <c r="B78" t="str">
        <f>+Hoja1!A75</f>
        <v>04590</v>
      </c>
      <c r="C78" s="67">
        <f>+Hoja1!K75</f>
        <v>50444.9</v>
      </c>
      <c r="D78" s="24">
        <f t="shared" si="2"/>
        <v>34.789586206896551</v>
      </c>
      <c r="E78" s="50">
        <f t="shared" si="3"/>
        <v>8.9158079953486885E-6</v>
      </c>
      <c r="F78" s="51"/>
    </row>
    <row r="79" spans="1:6" ht="15.75" customHeight="1" x14ac:dyDescent="0.25">
      <c r="A79" t="str">
        <f>+Hoja1!B76</f>
        <v>DISTRIBUIDORA COSIMI SRL</v>
      </c>
      <c r="B79" t="str">
        <f>+Hoja1!A76</f>
        <v>05593</v>
      </c>
      <c r="C79" s="67">
        <f>+Hoja1!K76</f>
        <v>863525.95</v>
      </c>
      <c r="D79" s="24">
        <f t="shared" si="2"/>
        <v>595.53513793103446</v>
      </c>
      <c r="E79" s="50">
        <f t="shared" si="3"/>
        <v>1.5262259552900436E-4</v>
      </c>
      <c r="F79" s="51"/>
    </row>
    <row r="80" spans="1:6" ht="15.75" customHeight="1" x14ac:dyDescent="0.25">
      <c r="A80" t="str">
        <f>+Hoja1!B77</f>
        <v>DISTRIBUIDORA DIKAR SRL</v>
      </c>
      <c r="B80" t="str">
        <f>+Hoja1!A77</f>
        <v>03739</v>
      </c>
      <c r="C80" s="67">
        <f>+Hoja1!K77</f>
        <v>6914706.4800000004</v>
      </c>
      <c r="D80" s="24">
        <f t="shared" si="2"/>
        <v>4768.7630896551727</v>
      </c>
      <c r="E80" s="50">
        <f t="shared" si="3"/>
        <v>1.2221293990051201E-3</v>
      </c>
      <c r="F80" s="51"/>
    </row>
    <row r="81" spans="1:6" ht="15.75" customHeight="1" x14ac:dyDescent="0.25">
      <c r="A81" t="str">
        <f>+Hoja1!B78</f>
        <v>DISTRIBUIDORA EL FARO SA</v>
      </c>
      <c r="B81" t="str">
        <f>+Hoja1!A78</f>
        <v>01355</v>
      </c>
      <c r="C81" s="67">
        <f>+Hoja1!K78</f>
        <v>248511895.97999999</v>
      </c>
      <c r="D81" s="24">
        <f t="shared" si="2"/>
        <v>171387.5144689655</v>
      </c>
      <c r="E81" s="50">
        <f t="shared" si="3"/>
        <v>4.3922861361956222E-2</v>
      </c>
      <c r="F81" s="51"/>
    </row>
    <row r="82" spans="1:6" ht="15.75" customHeight="1" x14ac:dyDescent="0.25">
      <c r="A82" t="str">
        <f>+Hoja1!B79</f>
        <v>DISTRIBUIDORA WALLY S. R. L.</v>
      </c>
      <c r="B82" t="str">
        <f>+Hoja1!A79</f>
        <v>07319</v>
      </c>
      <c r="C82" s="67">
        <f>+Hoja1!K79</f>
        <v>5800000</v>
      </c>
      <c r="D82" s="24">
        <f t="shared" si="2"/>
        <v>4000</v>
      </c>
      <c r="E82" s="50">
        <f t="shared" si="3"/>
        <v>1.0251122784071807E-3</v>
      </c>
      <c r="F82" s="51"/>
    </row>
    <row r="83" spans="1:6" ht="15.75" customHeight="1" x14ac:dyDescent="0.25">
      <c r="A83" t="str">
        <f>+Hoja1!B80</f>
        <v>DOMINGUEZ ROSENDE JOSE DOMINGUEZ ARZONDO ALEJANDRO MARCELO SH</v>
      </c>
      <c r="B83" t="str">
        <f>+Hoja1!A80</f>
        <v>03119</v>
      </c>
      <c r="C83" s="67">
        <f>+Hoja1!K80</f>
        <v>58024614.920000002</v>
      </c>
      <c r="D83" s="24">
        <f t="shared" si="2"/>
        <v>40016.975806896553</v>
      </c>
      <c r="E83" s="50">
        <f t="shared" si="3"/>
        <v>1.0255473311093189E-2</v>
      </c>
      <c r="F83" s="51"/>
    </row>
    <row r="84" spans="1:6" ht="15.75" customHeight="1" x14ac:dyDescent="0.25">
      <c r="A84" t="str">
        <f>+Hoja1!B81</f>
        <v>DUARTE MARCELO LUIS RUFINO</v>
      </c>
      <c r="B84" t="str">
        <f>+Hoja1!A81</f>
        <v>06713</v>
      </c>
      <c r="C84" s="67">
        <f>+Hoja1!K81</f>
        <v>1180000</v>
      </c>
      <c r="D84" s="24">
        <f t="shared" si="2"/>
        <v>813.79310344827582</v>
      </c>
      <c r="E84" s="50">
        <f t="shared" si="3"/>
        <v>2.0855732560697815E-4</v>
      </c>
      <c r="F84" s="51"/>
    </row>
    <row r="85" spans="1:6" ht="15.75" customHeight="1" x14ac:dyDescent="0.25">
      <c r="A85" t="str">
        <f>+Hoja1!B82</f>
        <v>DUCOURNAU GUSTAVO FABIAN</v>
      </c>
      <c r="B85" t="str">
        <f>+Hoja1!A82</f>
        <v>04475</v>
      </c>
      <c r="C85" s="67">
        <f>+Hoja1!K82</f>
        <v>5816816.0599999996</v>
      </c>
      <c r="D85" s="24">
        <f t="shared" si="2"/>
        <v>4011.5972827586206</v>
      </c>
      <c r="E85" s="50">
        <f t="shared" si="3"/>
        <v>1.0280844076451861E-3</v>
      </c>
      <c r="F85" s="51"/>
    </row>
    <row r="86" spans="1:6" ht="15.75" customHeight="1" x14ac:dyDescent="0.25">
      <c r="A86" t="str">
        <f>+Hoja1!B83</f>
        <v>DUGAS S.R.L.</v>
      </c>
      <c r="B86" t="str">
        <f>+Hoja1!A83</f>
        <v>03905</v>
      </c>
      <c r="C86" s="67">
        <f>+Hoja1!K83</f>
        <v>124011.22</v>
      </c>
      <c r="D86" s="24">
        <f t="shared" si="2"/>
        <v>85.524979310344833</v>
      </c>
      <c r="E86" s="50">
        <f t="shared" si="3"/>
        <v>2.1918176600388646E-5</v>
      </c>
      <c r="F86" s="51"/>
    </row>
    <row r="87" spans="1:6" ht="15.75" customHeight="1" x14ac:dyDescent="0.25">
      <c r="A87" t="str">
        <f>+Hoja1!B84</f>
        <v>DURAGOM S.R.L.</v>
      </c>
      <c r="B87" t="str">
        <f>+Hoja1!A84</f>
        <v>09448</v>
      </c>
      <c r="C87" s="67">
        <f>+Hoja1!K84</f>
        <v>11499840</v>
      </c>
      <c r="D87" s="24">
        <f t="shared" si="2"/>
        <v>7930.9241379310342</v>
      </c>
      <c r="E87" s="50">
        <f t="shared" si="3"/>
        <v>2.032521928227247E-3</v>
      </c>
      <c r="F87" s="51"/>
    </row>
    <row r="88" spans="1:6" ht="15.75" customHeight="1" x14ac:dyDescent="0.25">
      <c r="A88" t="str">
        <f>+Hoja1!B85</f>
        <v>EGUREN JORGE ALBERTO</v>
      </c>
      <c r="B88" t="str">
        <f>+Hoja1!A85</f>
        <v>04911</v>
      </c>
      <c r="C88" s="67">
        <f>+Hoja1!K85</f>
        <v>2090000</v>
      </c>
      <c r="D88" s="24">
        <f t="shared" si="2"/>
        <v>1441.3793103448277</v>
      </c>
      <c r="E88" s="50">
        <f t="shared" si="3"/>
        <v>3.6939390721913931E-4</v>
      </c>
      <c r="F88" s="51"/>
    </row>
    <row r="89" spans="1:6" ht="15.75" customHeight="1" x14ac:dyDescent="0.25">
      <c r="A89" t="str">
        <f>+Hoja1!B86</f>
        <v>EL MEJOR CAFE DEL PUERTO S.R.L.</v>
      </c>
      <c r="B89" t="str">
        <f>+Hoja1!A86</f>
        <v>07602</v>
      </c>
      <c r="C89" s="67">
        <f>+Hoja1!K86</f>
        <v>18079202.899999999</v>
      </c>
      <c r="D89" s="24">
        <f t="shared" si="2"/>
        <v>12468.415793103448</v>
      </c>
      <c r="E89" s="50">
        <f t="shared" si="3"/>
        <v>3.1953815304490876E-3</v>
      </c>
      <c r="F89" s="51"/>
    </row>
    <row r="90" spans="1:6" ht="15.75" customHeight="1" x14ac:dyDescent="0.25">
      <c r="A90" t="str">
        <f>+Hoja1!B87</f>
        <v>ELECTRONICA NAVAL S.A.</v>
      </c>
      <c r="B90" t="str">
        <f>+Hoja1!A87</f>
        <v>00103</v>
      </c>
      <c r="C90" s="67">
        <f>+Hoja1!K87</f>
        <v>7112617.1600000001</v>
      </c>
      <c r="D90" s="24">
        <f t="shared" si="2"/>
        <v>4905.2532137931039</v>
      </c>
      <c r="E90" s="50">
        <f t="shared" si="3"/>
        <v>1.2571088245388986E-3</v>
      </c>
      <c r="F90" s="51"/>
    </row>
    <row r="91" spans="1:6" ht="15.75" customHeight="1" x14ac:dyDescent="0.25">
      <c r="A91" t="str">
        <f>+Hoja1!B88</f>
        <v>ERRIQUENZ HNOS S.R.L</v>
      </c>
      <c r="B91" t="str">
        <f>+Hoja1!A88</f>
        <v>01337</v>
      </c>
      <c r="C91" s="67">
        <f>+Hoja1!K88</f>
        <v>6057988.0599999996</v>
      </c>
      <c r="D91" s="24">
        <f t="shared" si="2"/>
        <v>4177.9227999999994</v>
      </c>
      <c r="E91" s="50">
        <f t="shared" si="3"/>
        <v>1.0707099901293268E-3</v>
      </c>
      <c r="F91" s="51"/>
    </row>
    <row r="92" spans="1:6" ht="15.75" customHeight="1" x14ac:dyDescent="0.25">
      <c r="A92" t="str">
        <f>+Hoja1!B89</f>
        <v>ESLABONES S.A.</v>
      </c>
      <c r="B92" t="str">
        <f>+Hoja1!A89</f>
        <v>00007</v>
      </c>
      <c r="C92" s="67">
        <f>+Hoja1!K89</f>
        <v>1834088.37</v>
      </c>
      <c r="D92" s="24">
        <f t="shared" si="2"/>
        <v>1264.8885310344829</v>
      </c>
      <c r="E92" s="50">
        <f t="shared" si="3"/>
        <v>3.2416319099496765E-4</v>
      </c>
      <c r="F92" s="51"/>
    </row>
    <row r="93" spans="1:6" ht="15.75" customHeight="1" x14ac:dyDescent="0.25">
      <c r="A93" t="str">
        <f>+Hoja1!B90</f>
        <v>ESQUIVEL MARCOS ALBERTO</v>
      </c>
      <c r="B93" t="str">
        <f>+Hoja1!A90</f>
        <v>06895</v>
      </c>
      <c r="C93" s="67">
        <f>+Hoja1!K90</f>
        <v>90750</v>
      </c>
      <c r="D93" s="24">
        <f t="shared" si="2"/>
        <v>62.586206896551722</v>
      </c>
      <c r="E93" s="50">
        <f t="shared" si="3"/>
        <v>1.6039472287146837E-5</v>
      </c>
      <c r="F93" s="51"/>
    </row>
    <row r="94" spans="1:6" ht="15.75" customHeight="1" x14ac:dyDescent="0.25">
      <c r="A94" t="str">
        <f>+Hoja1!B91</f>
        <v>EUROCAFE S.R.L.</v>
      </c>
      <c r="B94" t="str">
        <f>+Hoja1!A91</f>
        <v>05997</v>
      </c>
      <c r="C94" s="67">
        <f>+Hoja1!K91</f>
        <v>223999.99</v>
      </c>
      <c r="D94" s="24">
        <f t="shared" si="2"/>
        <v>154.48275172413793</v>
      </c>
      <c r="E94" s="50">
        <f t="shared" si="3"/>
        <v>3.9590541398635462E-5</v>
      </c>
      <c r="F94" s="51"/>
    </row>
    <row r="95" spans="1:6" ht="15.75" customHeight="1" x14ac:dyDescent="0.25">
      <c r="A95" t="str">
        <f>+Hoja1!B92</f>
        <v>EXACTIAN CONSULTING S.A.</v>
      </c>
      <c r="B95" t="str">
        <f>+Hoja1!A92</f>
        <v>08813</v>
      </c>
      <c r="C95" s="67">
        <f>+Hoja1!K92</f>
        <v>715981.2</v>
      </c>
      <c r="D95" s="24">
        <f t="shared" si="2"/>
        <v>493.78013793103446</v>
      </c>
      <c r="E95" s="50">
        <f t="shared" si="3"/>
        <v>1.2654502055667368E-4</v>
      </c>
      <c r="F95" s="51"/>
    </row>
    <row r="96" spans="1:6" ht="15.75" customHeight="1" x14ac:dyDescent="0.25">
      <c r="A96" t="str">
        <f>+Hoja1!B93</f>
        <v>EXOLGAN S.A.</v>
      </c>
      <c r="B96" t="str">
        <f>+Hoja1!A93</f>
        <v>01551</v>
      </c>
      <c r="C96" s="67">
        <f>+Hoja1!K93</f>
        <v>290181.01</v>
      </c>
      <c r="D96" s="24">
        <f t="shared" si="2"/>
        <v>200.12483448275862</v>
      </c>
      <c r="E96" s="50">
        <f t="shared" si="3"/>
        <v>5.1287606260620155E-5</v>
      </c>
      <c r="F96" s="51"/>
    </row>
    <row r="97" spans="1:6" ht="15.75" customHeight="1" x14ac:dyDescent="0.25">
      <c r="A97" t="str">
        <f>+Hoja1!B94</f>
        <v>EZEMAY REPRESENTACIONES S. R. L.</v>
      </c>
      <c r="B97" t="str">
        <f>+Hoja1!A94</f>
        <v>07452</v>
      </c>
      <c r="C97" s="67">
        <f>+Hoja1!K94</f>
        <v>6409121.7400000002</v>
      </c>
      <c r="D97" s="24">
        <f t="shared" si="2"/>
        <v>4420.0839586206894</v>
      </c>
      <c r="E97" s="50">
        <f t="shared" si="3"/>
        <v>1.1327705843931714E-3</v>
      </c>
      <c r="F97" s="51"/>
    </row>
    <row r="98" spans="1:6" ht="15.75" customHeight="1" x14ac:dyDescent="0.25">
      <c r="A98" t="str">
        <f>+Hoja1!B95</f>
        <v>FABRICA DE CHACINADOS MAR DEL PLATA SRL</v>
      </c>
      <c r="B98" t="str">
        <f>+Hoja1!A95</f>
        <v>07599</v>
      </c>
      <c r="C98" s="67">
        <f>+Hoja1!K95</f>
        <v>2164434.0699999998</v>
      </c>
      <c r="D98" s="24">
        <f t="shared" si="2"/>
        <v>1492.7131517241378</v>
      </c>
      <c r="E98" s="50">
        <f t="shared" si="3"/>
        <v>3.8254964499307364E-4</v>
      </c>
      <c r="F98" s="51"/>
    </row>
    <row r="99" spans="1:6" ht="15.75" customHeight="1" x14ac:dyDescent="0.25">
      <c r="A99" t="str">
        <f>+Hoja1!B96</f>
        <v>FADECCO S. A.</v>
      </c>
      <c r="B99" t="str">
        <f>+Hoja1!A96</f>
        <v>05124</v>
      </c>
      <c r="C99" s="67">
        <f>+Hoja1!K96</f>
        <v>145709209.22999999</v>
      </c>
      <c r="D99" s="24">
        <f t="shared" si="2"/>
        <v>100489.1098137931</v>
      </c>
      <c r="E99" s="50">
        <f t="shared" si="3"/>
        <v>2.5753155079081706E-2</v>
      </c>
      <c r="F99" s="51"/>
    </row>
    <row r="100" spans="1:6" ht="15.75" customHeight="1" x14ac:dyDescent="0.25">
      <c r="A100" t="str">
        <f>+Hoja1!B97</f>
        <v>FARMACIA PORTOLURO SOCIEDAD EN COMANDITA SIMPLE</v>
      </c>
      <c r="B100" t="str">
        <f>+Hoja1!A97</f>
        <v>08599</v>
      </c>
      <c r="C100" s="67">
        <f>+Hoja1!K97</f>
        <v>3667080.01</v>
      </c>
      <c r="D100" s="24">
        <f t="shared" si="2"/>
        <v>2529.0206965517241</v>
      </c>
      <c r="E100" s="50">
        <f t="shared" si="3"/>
        <v>6.4813254209526326E-4</v>
      </c>
      <c r="F100" s="51"/>
    </row>
    <row r="101" spans="1:6" ht="15.75" customHeight="1" x14ac:dyDescent="0.25">
      <c r="A101" t="str">
        <f>+Hoja1!B98</f>
        <v>FAUSZLEGER SA</v>
      </c>
      <c r="B101" t="str">
        <f>+Hoja1!A98</f>
        <v>05520</v>
      </c>
      <c r="C101" s="67">
        <f>+Hoja1!K98</f>
        <v>396095.42</v>
      </c>
      <c r="D101" s="24">
        <f t="shared" si="2"/>
        <v>273.16925517241378</v>
      </c>
      <c r="E101" s="50">
        <f t="shared" si="3"/>
        <v>7.0007289390146404E-5</v>
      </c>
      <c r="F101" s="51"/>
    </row>
    <row r="102" spans="1:6" ht="15.75" customHeight="1" x14ac:dyDescent="0.25">
      <c r="A102" t="str">
        <f>+Hoja1!B99</f>
        <v>FEADAR S.A.</v>
      </c>
      <c r="B102" t="str">
        <f>+Hoja1!A99</f>
        <v>07017</v>
      </c>
      <c r="C102" s="67">
        <f>+Hoja1!K99</f>
        <v>846600.7</v>
      </c>
      <c r="D102" s="24">
        <f t="shared" si="2"/>
        <v>583.86255172413792</v>
      </c>
      <c r="E102" s="50">
        <f t="shared" si="3"/>
        <v>1.4963116766864037E-4</v>
      </c>
      <c r="F102" s="51"/>
    </row>
    <row r="103" spans="1:6" ht="15.75" customHeight="1" x14ac:dyDescent="0.25">
      <c r="A103" t="str">
        <f>+Hoja1!B100</f>
        <v>FEIJO NICOLAS EDUARDO</v>
      </c>
      <c r="B103" t="str">
        <f>+Hoja1!A100</f>
        <v>08724</v>
      </c>
      <c r="C103" s="67">
        <f>+Hoja1!K100</f>
        <v>1560000</v>
      </c>
      <c r="D103" s="24">
        <f t="shared" si="2"/>
        <v>1075.8620689655172</v>
      </c>
      <c r="E103" s="50">
        <f t="shared" si="3"/>
        <v>2.7571985419227622E-4</v>
      </c>
      <c r="F103" s="51"/>
    </row>
    <row r="104" spans="1:6" ht="15.75" customHeight="1" x14ac:dyDescent="0.25">
      <c r="A104" t="str">
        <f>+Hoja1!B101</f>
        <v>FERNANDES GUSTAVO GABRIEL</v>
      </c>
      <c r="B104" t="str">
        <f>+Hoja1!A101</f>
        <v>06675</v>
      </c>
      <c r="C104" s="67">
        <f>+Hoja1!K101</f>
        <v>180000</v>
      </c>
      <c r="D104" s="24">
        <f t="shared" si="2"/>
        <v>124.13793103448276</v>
      </c>
      <c r="E104" s="50">
        <f t="shared" si="3"/>
        <v>3.1813829329878021E-5</v>
      </c>
      <c r="F104" s="51"/>
    </row>
    <row r="105" spans="1:6" ht="15.75" customHeight="1" x14ac:dyDescent="0.25">
      <c r="A105" t="str">
        <f>+Hoja1!B102</f>
        <v>FERRARI MARIO JOSE CARMELO</v>
      </c>
      <c r="B105" t="str">
        <f>+Hoja1!A102</f>
        <v>08709</v>
      </c>
      <c r="C105" s="67">
        <f>+Hoja1!K102</f>
        <v>0.02</v>
      </c>
      <c r="D105" s="24">
        <f t="shared" si="2"/>
        <v>1.3793103448275862E-5</v>
      </c>
      <c r="E105" s="50">
        <f t="shared" si="3"/>
        <v>3.5348699255420026E-12</v>
      </c>
      <c r="F105" s="51"/>
    </row>
    <row r="106" spans="1:6" ht="15.75" customHeight="1" x14ac:dyDescent="0.25">
      <c r="A106" t="str">
        <f>+Hoja1!B103</f>
        <v>FERRARO MARIANO ANDRES</v>
      </c>
      <c r="B106" t="str">
        <f>+Hoja1!A103</f>
        <v>03927</v>
      </c>
      <c r="C106" s="67">
        <f>+Hoja1!K103</f>
        <v>3388121</v>
      </c>
      <c r="D106" s="24">
        <f t="shared" si="2"/>
        <v>2336.635172413793</v>
      </c>
      <c r="E106" s="50">
        <f t="shared" si="3"/>
        <v>5.9882835134986471E-4</v>
      </c>
      <c r="F106" s="51"/>
    </row>
    <row r="107" spans="1:6" ht="15.75" customHeight="1" x14ac:dyDescent="0.25">
      <c r="A107" t="str">
        <f>+Hoja1!B104</f>
        <v>FERRECENTRO S.R.L.</v>
      </c>
      <c r="B107" t="str">
        <f>+Hoja1!A104</f>
        <v>09332</v>
      </c>
      <c r="C107" s="67">
        <f>+Hoja1!K104</f>
        <v>4147260.48</v>
      </c>
      <c r="D107" s="24">
        <f t="shared" si="2"/>
        <v>2860.1796413793104</v>
      </c>
      <c r="E107" s="50">
        <f t="shared" si="3"/>
        <v>7.3300131720704454E-4</v>
      </c>
      <c r="F107" s="51"/>
    </row>
    <row r="108" spans="1:6" ht="15.75" customHeight="1" x14ac:dyDescent="0.25">
      <c r="A108" t="str">
        <f>+Hoja1!B105</f>
        <v>FERREYRA ALVARO GERMAN</v>
      </c>
      <c r="B108" t="str">
        <f>+Hoja1!A105</f>
        <v>09495</v>
      </c>
      <c r="C108" s="67">
        <f>+Hoja1!K105</f>
        <v>4844114</v>
      </c>
      <c r="D108" s="24">
        <f t="shared" si="2"/>
        <v>3340.768275862069</v>
      </c>
      <c r="E108" s="50">
        <f t="shared" si="3"/>
        <v>8.5616564472484858E-4</v>
      </c>
      <c r="F108" s="51"/>
    </row>
    <row r="109" spans="1:6" ht="15.75" customHeight="1" x14ac:dyDescent="0.25">
      <c r="A109" t="str">
        <f>+Hoja1!B106</f>
        <v>FESCAP S.A.</v>
      </c>
      <c r="B109" t="str">
        <f>+Hoja1!A106</f>
        <v>04542</v>
      </c>
      <c r="C109" s="67">
        <f>+Hoja1!K106</f>
        <v>259372.83</v>
      </c>
      <c r="D109" s="24">
        <f t="shared" si="2"/>
        <v>178.87781379310343</v>
      </c>
      <c r="E109" s="50">
        <f t="shared" si="3"/>
        <v>4.584246081348592E-5</v>
      </c>
      <c r="F109" s="51"/>
    </row>
    <row r="110" spans="1:6" ht="15.75" customHeight="1" x14ac:dyDescent="0.25">
      <c r="A110" t="str">
        <f>+Hoja1!B107</f>
        <v>FIER LUCIANO DANIEL</v>
      </c>
      <c r="B110" t="str">
        <f>+Hoja1!A107</f>
        <v>08913</v>
      </c>
      <c r="C110" s="67">
        <f>+Hoja1!K107</f>
        <v>790000</v>
      </c>
      <c r="D110" s="24">
        <f t="shared" si="2"/>
        <v>544.82758620689651</v>
      </c>
      <c r="E110" s="50">
        <f t="shared" si="3"/>
        <v>1.3962736205890908E-4</v>
      </c>
      <c r="F110" s="51"/>
    </row>
    <row r="111" spans="1:6" ht="15.75" customHeight="1" x14ac:dyDescent="0.25">
      <c r="A111" t="str">
        <f>+Hoja1!B108</f>
        <v>FILIPPI FEDERICO ALEJANDRO</v>
      </c>
      <c r="B111" t="str">
        <f>+Hoja1!A108</f>
        <v>06040</v>
      </c>
      <c r="C111" s="67">
        <f>+Hoja1!K108</f>
        <v>1125805.95</v>
      </c>
      <c r="D111" s="24">
        <f t="shared" si="2"/>
        <v>776.41789655172408</v>
      </c>
      <c r="E111" s="50">
        <f t="shared" si="3"/>
        <v>1.9897887973256215E-4</v>
      </c>
      <c r="F111" s="51"/>
    </row>
    <row r="112" spans="1:6" ht="15.75" customHeight="1" x14ac:dyDescent="0.25">
      <c r="A112" t="str">
        <f>+Hoja1!B109</f>
        <v>FILTROS FILMAR SRL</v>
      </c>
      <c r="B112" t="str">
        <f>+Hoja1!A109</f>
        <v>04036</v>
      </c>
      <c r="C112" s="67">
        <f>+Hoja1!K109</f>
        <v>1633500</v>
      </c>
      <c r="D112" s="24">
        <f t="shared" si="2"/>
        <v>1126.5517241379309</v>
      </c>
      <c r="E112" s="50">
        <f t="shared" si="3"/>
        <v>2.8871050116864301E-4</v>
      </c>
      <c r="F112" s="51"/>
    </row>
    <row r="113" spans="1:6" ht="15.75" customHeight="1" x14ac:dyDescent="0.25">
      <c r="A113" t="str">
        <f>+Hoja1!B110</f>
        <v>FINNING ARGENTINA SA</v>
      </c>
      <c r="B113" t="str">
        <f>+Hoja1!A110</f>
        <v>05885</v>
      </c>
      <c r="C113" s="67">
        <f>+Hoja1!K110</f>
        <v>-3904.38</v>
      </c>
      <c r="D113" s="24">
        <f t="shared" si="2"/>
        <v>-2.6926758620689655</v>
      </c>
      <c r="E113" s="50">
        <f t="shared" si="3"/>
        <v>-6.9007377199438418E-7</v>
      </c>
      <c r="F113" s="51"/>
    </row>
    <row r="114" spans="1:6" ht="15.75" customHeight="1" x14ac:dyDescent="0.25">
      <c r="A114" t="str">
        <f>+Hoja1!B111</f>
        <v>FOOTWEAR SRL</v>
      </c>
      <c r="B114" t="str">
        <f>+Hoja1!A111</f>
        <v>07281</v>
      </c>
      <c r="C114" s="67">
        <f>+Hoja1!K111</f>
        <v>765121.72</v>
      </c>
      <c r="D114" s="24">
        <f t="shared" si="2"/>
        <v>527.6701517241379</v>
      </c>
      <c r="E114" s="50">
        <f t="shared" si="3"/>
        <v>1.3523028787034843E-4</v>
      </c>
      <c r="F114" s="51"/>
    </row>
    <row r="115" spans="1:6" ht="15.75" customHeight="1" x14ac:dyDescent="0.25">
      <c r="A115" t="str">
        <f>+Hoja1!B112</f>
        <v>FRANCISCO SALZANO SOCIEDAD ANONIMA INMOBILIARIA COMERCIAL INDUSTRIAL Y AGROP</v>
      </c>
      <c r="B115" t="str">
        <f>+Hoja1!A112</f>
        <v>03756</v>
      </c>
      <c r="C115" s="67">
        <f>+Hoja1!K112</f>
        <v>1728535.96</v>
      </c>
      <c r="D115" s="24">
        <f t="shared" si="2"/>
        <v>1192.0937655172413</v>
      </c>
      <c r="E115" s="50">
        <f t="shared" si="3"/>
        <v>3.0550748901109366E-4</v>
      </c>
      <c r="F115" s="51"/>
    </row>
    <row r="116" spans="1:6" ht="15.75" customHeight="1" x14ac:dyDescent="0.25">
      <c r="A116" t="str">
        <f>+Hoja1!B113</f>
        <v>FRESCO PABLO JAVIER</v>
      </c>
      <c r="B116" t="str">
        <f>+Hoja1!A113</f>
        <v>08596</v>
      </c>
      <c r="C116" s="67">
        <f>+Hoja1!K113</f>
        <v>108137.34</v>
      </c>
      <c r="D116" s="24">
        <f t="shared" si="2"/>
        <v>74.577475862068965</v>
      </c>
      <c r="E116" s="50">
        <f t="shared" si="3"/>
        <v>1.9112571549705512E-5</v>
      </c>
      <c r="F116" s="51"/>
    </row>
    <row r="117" spans="1:6" ht="15.75" customHeight="1" x14ac:dyDescent="0.25">
      <c r="A117" t="str">
        <f>+Hoja1!B114</f>
        <v>FRESCOMAR ARGENTINA SA</v>
      </c>
      <c r="B117" t="str">
        <f>+Hoja1!A114</f>
        <v>04685</v>
      </c>
      <c r="C117" s="67">
        <f>+Hoja1!K114</f>
        <v>40367.35</v>
      </c>
      <c r="D117" s="24">
        <f t="shared" si="2"/>
        <v>27.83955172413793</v>
      </c>
      <c r="E117" s="50">
        <f t="shared" si="3"/>
        <v>7.1346665744413979E-6</v>
      </c>
      <c r="F117" s="51"/>
    </row>
    <row r="118" spans="1:6" ht="15.75" customHeight="1" x14ac:dyDescent="0.25">
      <c r="A118" t="str">
        <f>+Hoja1!B115</f>
        <v>GANACA7 S.R.L.</v>
      </c>
      <c r="B118" t="str">
        <f>+Hoja1!A115</f>
        <v>08161</v>
      </c>
      <c r="C118" s="67">
        <f>+Hoja1!K115</f>
        <v>418660</v>
      </c>
      <c r="D118" s="24">
        <f t="shared" si="2"/>
        <v>288.73103448275862</v>
      </c>
      <c r="E118" s="50">
        <f t="shared" si="3"/>
        <v>7.3995432151370745E-5</v>
      </c>
      <c r="F118" s="51"/>
    </row>
    <row r="119" spans="1:6" ht="15.75" customHeight="1" x14ac:dyDescent="0.25">
      <c r="A119" t="str">
        <f>+Hoja1!B116</f>
        <v>GANADERA EL MUDO S.A.</v>
      </c>
      <c r="B119" t="str">
        <f>+Hoja1!A116</f>
        <v>09091</v>
      </c>
      <c r="C119" s="67">
        <f>+Hoja1!K116</f>
        <v>12559935.48</v>
      </c>
      <c r="D119" s="24">
        <f t="shared" si="2"/>
        <v>8662.0244689655174</v>
      </c>
      <c r="E119" s="50">
        <f t="shared" si="3"/>
        <v>2.2198869097499979E-3</v>
      </c>
      <c r="F119" s="51"/>
    </row>
    <row r="120" spans="1:6" ht="15.75" customHeight="1" x14ac:dyDescent="0.25">
      <c r="A120" t="str">
        <f>+Hoja1!B117</f>
        <v>GARCIA WALTER CARLOS - CAE</v>
      </c>
      <c r="B120" t="str">
        <f>+Hoja1!A117</f>
        <v>03189</v>
      </c>
      <c r="C120" s="67">
        <f>+Hoja1!K117</f>
        <v>2547619.6800000002</v>
      </c>
      <c r="D120" s="24">
        <f t="shared" si="2"/>
        <v>1756.9790896551726</v>
      </c>
      <c r="E120" s="50">
        <f t="shared" si="3"/>
        <v>4.5027520942754706E-4</v>
      </c>
      <c r="F120" s="51"/>
    </row>
    <row r="121" spans="1:6" ht="15.75" customHeight="1" x14ac:dyDescent="0.25">
      <c r="A121" t="str">
        <f>+Hoja1!B118</f>
        <v>GARMIN</v>
      </c>
      <c r="B121" t="str">
        <f>+Hoja1!A118</f>
        <v>09383</v>
      </c>
      <c r="C121" s="67">
        <f>+Hoja1!K118</f>
        <v>-387219.15</v>
      </c>
      <c r="D121" s="24">
        <f t="shared" si="2"/>
        <v>-267.04768965517241</v>
      </c>
      <c r="E121" s="50">
        <f t="shared" si="3"/>
        <v>-6.8438466396446879E-5</v>
      </c>
      <c r="F121" s="51"/>
    </row>
    <row r="122" spans="1:6" ht="15.75" customHeight="1" x14ac:dyDescent="0.25">
      <c r="A122" t="str">
        <f>+Hoja1!B119</f>
        <v>GASPRODUCT SRL</v>
      </c>
      <c r="B122" t="str">
        <f>+Hoja1!A119</f>
        <v>08170</v>
      </c>
      <c r="C122" s="67">
        <f>+Hoja1!K119</f>
        <v>44102.080000000002</v>
      </c>
      <c r="D122" s="24">
        <f t="shared" si="2"/>
        <v>30.415227586206896</v>
      </c>
      <c r="E122" s="50">
        <f t="shared" si="3"/>
        <v>7.7947558122923726E-6</v>
      </c>
      <c r="F122" s="51"/>
    </row>
    <row r="123" spans="1:6" ht="15.75" customHeight="1" x14ac:dyDescent="0.25">
      <c r="A123" t="str">
        <f>+Hoja1!B120</f>
        <v>GEMIN LUIS ALBERTO</v>
      </c>
      <c r="B123" t="str">
        <f>+Hoja1!A120</f>
        <v>06584</v>
      </c>
      <c r="C123" s="67">
        <f>+Hoja1!K120</f>
        <v>871200</v>
      </c>
      <c r="D123" s="24">
        <f t="shared" si="2"/>
        <v>600.82758620689651</v>
      </c>
      <c r="E123" s="50">
        <f t="shared" si="3"/>
        <v>1.5397893395660962E-4</v>
      </c>
      <c r="F123" s="51"/>
    </row>
    <row r="124" spans="1:6" ht="15.75" customHeight="1" x14ac:dyDescent="0.25">
      <c r="A124" t="str">
        <f>+Hoja1!B121</f>
        <v>GERAHARD HNOS SOCIEDAD DE RESPONSABILIDAD LIMITADA EN FORMACION</v>
      </c>
      <c r="B124" t="str">
        <f>+Hoja1!A121</f>
        <v>09053</v>
      </c>
      <c r="C124" s="67">
        <f>+Hoja1!K121</f>
        <v>1468168.93</v>
      </c>
      <c r="D124" s="24">
        <f t="shared" si="2"/>
        <v>1012.5302965517241</v>
      </c>
      <c r="E124" s="50">
        <f t="shared" si="3"/>
        <v>2.5948930981360908E-4</v>
      </c>
      <c r="F124" s="51"/>
    </row>
    <row r="125" spans="1:6" ht="15.75" customHeight="1" x14ac:dyDescent="0.25">
      <c r="A125" t="str">
        <f>+Hoja1!B122</f>
        <v>GIAMBARTOLOMEI ROSANA NATALIA</v>
      </c>
      <c r="B125" t="str">
        <f>+Hoja1!A122</f>
        <v>03748</v>
      </c>
      <c r="C125" s="67">
        <f>+Hoja1!K122</f>
        <v>21780</v>
      </c>
      <c r="D125" s="24">
        <f t="shared" si="2"/>
        <v>15.020689655172413</v>
      </c>
      <c r="E125" s="50">
        <f t="shared" si="3"/>
        <v>3.8494733489152407E-6</v>
      </c>
      <c r="F125" s="51"/>
    </row>
    <row r="126" spans="1:6" ht="15.75" customHeight="1" x14ac:dyDescent="0.25">
      <c r="A126" t="str">
        <f>+Hoja1!B123</f>
        <v>GINIAMO SA</v>
      </c>
      <c r="B126" t="str">
        <f>+Hoja1!A123</f>
        <v>07680</v>
      </c>
      <c r="C126" s="67">
        <f>+Hoja1!K123</f>
        <v>4867714.1399999997</v>
      </c>
      <c r="D126" s="24">
        <f t="shared" si="2"/>
        <v>3357.0442344827584</v>
      </c>
      <c r="E126" s="50">
        <f t="shared" si="3"/>
        <v>8.6033681598107759E-4</v>
      </c>
      <c r="F126" s="51"/>
    </row>
    <row r="127" spans="1:6" ht="15.75" customHeight="1" x14ac:dyDescent="0.25">
      <c r="A127" t="str">
        <f>+Hoja1!B124</f>
        <v>GLARIA ANABELA</v>
      </c>
      <c r="B127" t="str">
        <f>+Hoja1!A124</f>
        <v>09094</v>
      </c>
      <c r="C127" s="67">
        <f>+Hoja1!K124</f>
        <v>314600</v>
      </c>
      <c r="D127" s="24">
        <f t="shared" si="2"/>
        <v>216.9655172413793</v>
      </c>
      <c r="E127" s="50">
        <f t="shared" si="3"/>
        <v>5.5603503928775698E-5</v>
      </c>
      <c r="F127" s="51"/>
    </row>
    <row r="128" spans="1:6" ht="15.75" customHeight="1" x14ac:dyDescent="0.25">
      <c r="A128" t="str">
        <f>+Hoja1!B125</f>
        <v>GOGNIAT SOLDADURA SA</v>
      </c>
      <c r="B128" t="str">
        <f>+Hoja1!A125</f>
        <v>05571</v>
      </c>
      <c r="C128" s="67">
        <f>+Hoja1!K125</f>
        <v>535288.36</v>
      </c>
      <c r="D128" s="24">
        <f t="shared" si="2"/>
        <v>369.16438620689655</v>
      </c>
      <c r="E128" s="50">
        <f t="shared" si="3"/>
        <v>9.4608736262835028E-5</v>
      </c>
      <c r="F128" s="51"/>
    </row>
    <row r="129" spans="1:6" ht="15.75" customHeight="1" x14ac:dyDescent="0.25">
      <c r="A129" t="str">
        <f>+Hoja1!B126</f>
        <v>GOROSITO ALEJO ALONCIO</v>
      </c>
      <c r="B129" t="str">
        <f>+Hoja1!A126</f>
        <v>08661</v>
      </c>
      <c r="C129" s="67">
        <f>+Hoja1!K126</f>
        <v>78000</v>
      </c>
      <c r="D129" s="24">
        <f t="shared" si="2"/>
        <v>53.793103448275865</v>
      </c>
      <c r="E129" s="50">
        <f t="shared" si="3"/>
        <v>1.3785992709613811E-5</v>
      </c>
      <c r="F129" s="51"/>
    </row>
    <row r="130" spans="1:6" ht="15.75" customHeight="1" x14ac:dyDescent="0.25">
      <c r="A130" t="str">
        <f>+Hoja1!B127</f>
        <v>GRAMAJO PABLO MARTIN</v>
      </c>
      <c r="B130" t="str">
        <f>+Hoja1!A127</f>
        <v>08744</v>
      </c>
      <c r="C130" s="67">
        <f>+Hoja1!K127</f>
        <v>1332000</v>
      </c>
      <c r="D130" s="24">
        <f t="shared" si="2"/>
        <v>918.62068965517244</v>
      </c>
      <c r="E130" s="50">
        <f t="shared" si="3"/>
        <v>2.3542233704109737E-4</v>
      </c>
      <c r="F130" s="51"/>
    </row>
    <row r="131" spans="1:6" ht="15.75" customHeight="1" x14ac:dyDescent="0.25">
      <c r="A131" t="str">
        <f>+Hoja1!B128</f>
        <v>GRECO GUILLERMINA EDITH</v>
      </c>
      <c r="B131" t="str">
        <f>+Hoja1!A128</f>
        <v>05137</v>
      </c>
      <c r="C131" s="67">
        <f>+Hoja1!K128</f>
        <v>50076000</v>
      </c>
      <c r="D131" s="24">
        <f t="shared" si="2"/>
        <v>34535.172413793101</v>
      </c>
      <c r="E131" s="50">
        <f t="shared" si="3"/>
        <v>8.8506073195720649E-3</v>
      </c>
      <c r="F131" s="51"/>
    </row>
    <row r="132" spans="1:6" ht="15.75" customHeight="1" x14ac:dyDescent="0.25">
      <c r="A132" t="str">
        <f>+Hoja1!B129</f>
        <v>GRUPO HIGIENE CBA S.A.</v>
      </c>
      <c r="B132" t="str">
        <f>+Hoja1!A129</f>
        <v>09184</v>
      </c>
      <c r="C132" s="67">
        <f>+Hoja1!K129</f>
        <v>432493.7</v>
      </c>
      <c r="D132" s="24">
        <f t="shared" si="2"/>
        <v>298.27151724137934</v>
      </c>
      <c r="E132" s="50">
        <f t="shared" si="3"/>
        <v>7.6440448655819263E-5</v>
      </c>
      <c r="F132" s="51"/>
    </row>
    <row r="133" spans="1:6" ht="15.75" customHeight="1" x14ac:dyDescent="0.25">
      <c r="A133" t="str">
        <f>+Hoja1!B130</f>
        <v>GUANTES FLANDRIA S.A.</v>
      </c>
      <c r="B133" t="str">
        <f>+Hoja1!A130</f>
        <v>01451</v>
      </c>
      <c r="C133" s="67">
        <f>+Hoja1!K130</f>
        <v>12057327.08</v>
      </c>
      <c r="D133" s="24">
        <f t="shared" si="2"/>
        <v>8315.3979862068973</v>
      </c>
      <c r="E133" s="50">
        <f t="shared" si="3"/>
        <v>2.1310541438757588E-3</v>
      </c>
      <c r="F133" s="51"/>
    </row>
    <row r="134" spans="1:6" ht="15.75" customHeight="1" x14ac:dyDescent="0.25">
      <c r="A134" t="str">
        <f>+Hoja1!B131</f>
        <v>GUEDIKIAN IMPRESORES SA</v>
      </c>
      <c r="B134" t="str">
        <f>+Hoja1!A131</f>
        <v>06070</v>
      </c>
      <c r="C134" s="67">
        <f>+Hoja1!K131</f>
        <v>193174217.84999999</v>
      </c>
      <c r="D134" s="24">
        <f t="shared" ref="D134:D197" si="4">+C134/$D$3</f>
        <v>133223.59851724136</v>
      </c>
      <c r="E134" s="50">
        <f t="shared" ref="E134:E197" si="5">+D134/$D$282</f>
        <v>3.41422866534032E-2</v>
      </c>
      <c r="F134" s="51"/>
    </row>
    <row r="135" spans="1:6" ht="15.75" customHeight="1" x14ac:dyDescent="0.25">
      <c r="A135" t="str">
        <f>+Hoja1!B132</f>
        <v>HANDLER 04 MDP</v>
      </c>
      <c r="B135" t="str">
        <f>+Hoja1!A132</f>
        <v>08190</v>
      </c>
      <c r="C135" s="67">
        <f>+Hoja1!K132</f>
        <v>6706404.4500000002</v>
      </c>
      <c r="D135" s="24">
        <f t="shared" si="4"/>
        <v>4625.1065172413792</v>
      </c>
      <c r="E135" s="50">
        <f t="shared" si="5"/>
        <v>1.1853133699413028E-3</v>
      </c>
      <c r="F135" s="51"/>
    </row>
    <row r="136" spans="1:6" ht="15.75" customHeight="1" x14ac:dyDescent="0.25">
      <c r="A136" t="str">
        <f>+Hoja1!B133</f>
        <v>HAUNOLD VIVIANA</v>
      </c>
      <c r="B136" t="str">
        <f>+Hoja1!A133</f>
        <v>04686</v>
      </c>
      <c r="C136" s="67">
        <f>+Hoja1!K133</f>
        <v>18716219.5</v>
      </c>
      <c r="D136" s="24">
        <f t="shared" si="4"/>
        <v>12907.737586206897</v>
      </c>
      <c r="E136" s="50">
        <f t="shared" si="5"/>
        <v>3.3079700715196387E-3</v>
      </c>
      <c r="F136" s="51"/>
    </row>
    <row r="137" spans="1:6" ht="15.75" customHeight="1" x14ac:dyDescent="0.25">
      <c r="A137" t="str">
        <f>+Hoja1!B134</f>
        <v>HENNING JUAN FEDERICO</v>
      </c>
      <c r="B137" t="str">
        <f>+Hoja1!A134</f>
        <v>02968</v>
      </c>
      <c r="C137" s="67">
        <f>+Hoja1!K134</f>
        <v>7145866.7199999997</v>
      </c>
      <c r="D137" s="24">
        <f t="shared" si="4"/>
        <v>4928.1839448275859</v>
      </c>
      <c r="E137" s="50">
        <f t="shared" si="5"/>
        <v>1.2629854680229736E-3</v>
      </c>
      <c r="F137" s="51"/>
    </row>
    <row r="138" spans="1:6" ht="15.75" customHeight="1" x14ac:dyDescent="0.25">
      <c r="A138" t="str">
        <f>+Hoja1!B135</f>
        <v>HERNANDEZ CORTES MIGUEL</v>
      </c>
      <c r="B138" t="str">
        <f>+Hoja1!A135</f>
        <v>07485</v>
      </c>
      <c r="C138" s="67">
        <f>+Hoja1!K135</f>
        <v>3504000</v>
      </c>
      <c r="D138" s="24">
        <f t="shared" si="4"/>
        <v>2416.5517241379312</v>
      </c>
      <c r="E138" s="50">
        <f t="shared" si="5"/>
        <v>6.1930921095495887E-4</v>
      </c>
      <c r="F138" s="51"/>
    </row>
    <row r="139" spans="1:6" ht="15.75" customHeight="1" x14ac:dyDescent="0.25">
      <c r="A139" t="str">
        <f>+Hoja1!B136</f>
        <v>HERRAJES VERONA SRL</v>
      </c>
      <c r="B139" t="str">
        <f>+Hoja1!A136</f>
        <v>06085</v>
      </c>
      <c r="C139" s="67">
        <f>+Hoja1!K136</f>
        <v>22138.38</v>
      </c>
      <c r="D139" s="24">
        <f t="shared" si="4"/>
        <v>15.26784827586207</v>
      </c>
      <c r="E139" s="50">
        <f t="shared" si="5"/>
        <v>3.9128146831110283E-6</v>
      </c>
      <c r="F139" s="51"/>
    </row>
    <row r="140" spans="1:6" ht="15.75" customHeight="1" x14ac:dyDescent="0.25">
      <c r="A140" t="str">
        <f>+Hoja1!B137</f>
        <v>HIDRAMIC S.R.L.</v>
      </c>
      <c r="B140" t="str">
        <f>+Hoja1!A137</f>
        <v>01967</v>
      </c>
      <c r="C140" s="67">
        <f>+Hoja1!K137</f>
        <v>35981798.649999999</v>
      </c>
      <c r="D140" s="24">
        <f t="shared" si="4"/>
        <v>24815.033551724136</v>
      </c>
      <c r="E140" s="50">
        <f t="shared" si="5"/>
        <v>6.3595488957396409E-3</v>
      </c>
      <c r="F140" s="51"/>
    </row>
    <row r="141" spans="1:6" ht="15.75" customHeight="1" x14ac:dyDescent="0.25">
      <c r="A141" t="str">
        <f>+Hoja1!B138</f>
        <v>HIDRAULICA MAR DEL PLATA S.A.</v>
      </c>
      <c r="B141" t="str">
        <f>+Hoja1!A138</f>
        <v>06767</v>
      </c>
      <c r="C141" s="67">
        <f>+Hoja1!K138</f>
        <v>-258135.9</v>
      </c>
      <c r="D141" s="24">
        <f t="shared" si="4"/>
        <v>-178.02475862068965</v>
      </c>
      <c r="E141" s="50">
        <f t="shared" si="5"/>
        <v>-4.562384148063589E-5</v>
      </c>
      <c r="F141" s="51"/>
    </row>
    <row r="142" spans="1:6" ht="15.75" customHeight="1" x14ac:dyDescent="0.25">
      <c r="A142" t="str">
        <f>+Hoja1!B139</f>
        <v>HIDRAULICA Y NEUMATICA SRL</v>
      </c>
      <c r="B142" t="str">
        <f>+Hoja1!A139</f>
        <v>01255</v>
      </c>
      <c r="C142" s="67">
        <f>+Hoja1!K139</f>
        <v>15297762.58</v>
      </c>
      <c r="D142" s="24">
        <f t="shared" si="4"/>
        <v>10550.181089655172</v>
      </c>
      <c r="E142" s="50">
        <f t="shared" si="5"/>
        <v>2.7037800436061918E-3</v>
      </c>
      <c r="F142" s="51"/>
    </row>
    <row r="143" spans="1:6" ht="15.75" customHeight="1" x14ac:dyDescent="0.25">
      <c r="A143" t="str">
        <f>+Hoja1!B140</f>
        <v>HIELO DEYACOBBI S.A.</v>
      </c>
      <c r="B143" t="str">
        <f>+Hoja1!A140</f>
        <v>06159</v>
      </c>
      <c r="C143" s="67">
        <f>+Hoja1!K140</f>
        <v>688490</v>
      </c>
      <c r="D143" s="24">
        <f t="shared" si="4"/>
        <v>474.82068965517243</v>
      </c>
      <c r="E143" s="50">
        <f t="shared" si="5"/>
        <v>1.2168612975182067E-4</v>
      </c>
      <c r="F143" s="51"/>
    </row>
    <row r="144" spans="1:6" ht="15.75" customHeight="1" x14ac:dyDescent="0.25">
      <c r="A144" t="str">
        <f>+Hoja1!B141</f>
        <v>INDUGARVE S.L.</v>
      </c>
      <c r="B144" t="str">
        <f>+Hoja1!A141</f>
        <v>08688</v>
      </c>
      <c r="C144" s="67">
        <f>+Hoja1!K141</f>
        <v>88538261.290000007</v>
      </c>
      <c r="D144" s="24">
        <f t="shared" si="4"/>
        <v>61060.869855172416</v>
      </c>
      <c r="E144" s="50">
        <f t="shared" si="5"/>
        <v>1.5648561854690032E-2</v>
      </c>
      <c r="F144" s="51"/>
    </row>
    <row r="145" spans="1:6" ht="15.75" customHeight="1" x14ac:dyDescent="0.25">
      <c r="A145" t="str">
        <f>+Hoja1!B142</f>
        <v>INDUSTRIAS CONTARDO S A I Y C</v>
      </c>
      <c r="B145" t="str">
        <f>+Hoja1!A142</f>
        <v>09521</v>
      </c>
      <c r="C145" s="67">
        <f>+Hoja1!K142</f>
        <v>948778.91</v>
      </c>
      <c r="D145" s="24">
        <f t="shared" si="4"/>
        <v>654.33028275862068</v>
      </c>
      <c r="E145" s="50">
        <f t="shared" si="5"/>
        <v>1.6769050174737611E-4</v>
      </c>
      <c r="F145" s="51"/>
    </row>
    <row r="146" spans="1:6" ht="15.75" customHeight="1" x14ac:dyDescent="0.25">
      <c r="A146" t="str">
        <f>+Hoja1!B143</f>
        <v>INDUSTRIAS DE PASCALE S.A.</v>
      </c>
      <c r="B146" t="str">
        <f>+Hoja1!A143</f>
        <v>09359</v>
      </c>
      <c r="C146" s="67">
        <f>+Hoja1!K143</f>
        <v>1173884.3700000001</v>
      </c>
      <c r="D146" s="24">
        <f t="shared" si="4"/>
        <v>809.57542758620696</v>
      </c>
      <c r="E146" s="50">
        <f t="shared" si="5"/>
        <v>2.0747642777884105E-4</v>
      </c>
      <c r="F146" s="51"/>
    </row>
    <row r="147" spans="1:6" ht="15.75" customHeight="1" x14ac:dyDescent="0.25">
      <c r="A147" t="str">
        <f>+Hoja1!B144</f>
        <v>INDUSTRIAS FERRI</v>
      </c>
      <c r="B147" t="str">
        <f>+Hoja1!A144</f>
        <v>08689</v>
      </c>
      <c r="C147" s="67">
        <f>+Hoja1!K144</f>
        <v>5896891</v>
      </c>
      <c r="D147" s="24">
        <f t="shared" si="4"/>
        <v>4066.821379310345</v>
      </c>
      <c r="E147" s="50">
        <f t="shared" si="5"/>
        <v>1.0422371325049652E-3</v>
      </c>
      <c r="F147" s="51"/>
    </row>
    <row r="148" spans="1:6" ht="15.75" customHeight="1" x14ac:dyDescent="0.25">
      <c r="A148" t="str">
        <f>+Hoja1!B145</f>
        <v>INGENIEROS ELECTRONICOS ASOCIADOS SRL</v>
      </c>
      <c r="B148" t="str">
        <f>+Hoja1!A145</f>
        <v>03154</v>
      </c>
      <c r="C148" s="67">
        <f>+Hoja1!K145</f>
        <v>4033491.61</v>
      </c>
      <c r="D148" s="24">
        <f t="shared" si="4"/>
        <v>2781.7183517241378</v>
      </c>
      <c r="E148" s="50">
        <f t="shared" si="5"/>
        <v>7.1289340935574953E-4</v>
      </c>
      <c r="F148" s="51"/>
    </row>
    <row r="149" spans="1:6" ht="15.75" customHeight="1" x14ac:dyDescent="0.25">
      <c r="A149" t="str">
        <f>+Hoja1!B146</f>
        <v>INPROPE SA</v>
      </c>
      <c r="B149" t="str">
        <f>+Hoja1!A146</f>
        <v>05350</v>
      </c>
      <c r="C149" s="67">
        <f>+Hoja1!K146</f>
        <v>71091009</v>
      </c>
      <c r="D149" s="24">
        <f t="shared" si="4"/>
        <v>49028.28206896552</v>
      </c>
      <c r="E149" s="50">
        <f t="shared" si="5"/>
        <v>1.2564873484526793E-2</v>
      </c>
      <c r="F149" s="51"/>
    </row>
    <row r="150" spans="1:6" ht="15.75" customHeight="1" x14ac:dyDescent="0.25">
      <c r="A150" t="str">
        <f>+Hoja1!B147</f>
        <v>INTEGRACION DE ALIMENTOS Y SERVICIOS S.A.</v>
      </c>
      <c r="B150" t="str">
        <f>+Hoja1!A147</f>
        <v>07396</v>
      </c>
      <c r="C150" s="67">
        <f>+Hoja1!K147</f>
        <v>576359.30000000005</v>
      </c>
      <c r="D150" s="24">
        <f t="shared" si="4"/>
        <v>397.48917241379314</v>
      </c>
      <c r="E150" s="50">
        <f t="shared" si="5"/>
        <v>1.0186775779382204E-4</v>
      </c>
      <c r="F150" s="51"/>
    </row>
    <row r="151" spans="1:6" ht="15.75" customHeight="1" x14ac:dyDescent="0.25">
      <c r="A151" t="str">
        <f>+Hoja1!B148</f>
        <v>INTEGRAL PUERTO SANO S.R.L.</v>
      </c>
      <c r="B151" t="str">
        <f>+Hoja1!A148</f>
        <v>07021</v>
      </c>
      <c r="C151" s="67">
        <f>+Hoja1!K148</f>
        <v>-0.01</v>
      </c>
      <c r="D151" s="24">
        <f t="shared" si="4"/>
        <v>-6.8965517241379308E-6</v>
      </c>
      <c r="E151" s="50">
        <f t="shared" si="5"/>
        <v>-1.7674349627710013E-12</v>
      </c>
      <c r="F151" s="51"/>
    </row>
    <row r="152" spans="1:6" ht="15.75" customHeight="1" x14ac:dyDescent="0.25">
      <c r="A152" t="str">
        <f>+Hoja1!B149</f>
        <v>INTERLOG S.A.</v>
      </c>
      <c r="B152" t="str">
        <f>+Hoja1!A149</f>
        <v>01874</v>
      </c>
      <c r="C152" s="67">
        <f>+Hoja1!K149</f>
        <v>8276759.2199999997</v>
      </c>
      <c r="D152" s="24">
        <f t="shared" si="4"/>
        <v>5708.1098068965512</v>
      </c>
      <c r="E152" s="50">
        <f t="shared" si="5"/>
        <v>1.462863362386524E-3</v>
      </c>
      <c r="F152" s="51"/>
    </row>
    <row r="153" spans="1:6" ht="15.75" customHeight="1" x14ac:dyDescent="0.25">
      <c r="A153" t="str">
        <f>+Hoja1!B150</f>
        <v>J KOSTZER LIBRERIA LURO S R L</v>
      </c>
      <c r="B153" t="str">
        <f>+Hoja1!A150</f>
        <v>08048</v>
      </c>
      <c r="C153" s="67">
        <f>+Hoja1!K150</f>
        <v>824011.81</v>
      </c>
      <c r="D153" s="24">
        <f t="shared" si="4"/>
        <v>568.28400689655177</v>
      </c>
      <c r="E153" s="50">
        <f t="shared" si="5"/>
        <v>1.4563872827302155E-4</v>
      </c>
      <c r="F153" s="51"/>
    </row>
    <row r="154" spans="1:6" ht="15.75" customHeight="1" x14ac:dyDescent="0.25">
      <c r="A154" t="str">
        <f>+Hoja1!B151</f>
        <v>JAN-MARK SRL</v>
      </c>
      <c r="B154" t="str">
        <f>+Hoja1!A151</f>
        <v>05961</v>
      </c>
      <c r="C154" s="67">
        <f>+Hoja1!K151</f>
        <v>8475911.7699999996</v>
      </c>
      <c r="D154" s="24">
        <f t="shared" si="4"/>
        <v>5845.4563931034481</v>
      </c>
      <c r="E154" s="50">
        <f t="shared" si="5"/>
        <v>1.4980622803660241E-3</v>
      </c>
      <c r="F154" s="51"/>
    </row>
    <row r="155" spans="1:6" ht="15.75" customHeight="1" x14ac:dyDescent="0.25">
      <c r="A155" t="str">
        <f>+Hoja1!B152</f>
        <v>JOSE MOSCUZZA Y CIA SACI</v>
      </c>
      <c r="B155" t="str">
        <f>+Hoja1!A152</f>
        <v>00051</v>
      </c>
      <c r="C155" s="67">
        <f>+Hoja1!K152</f>
        <v>48698414.979999997</v>
      </c>
      <c r="D155" s="24">
        <f t="shared" si="4"/>
        <v>33585.113779310341</v>
      </c>
      <c r="E155" s="50">
        <f t="shared" si="5"/>
        <v>8.6071281267183063E-3</v>
      </c>
      <c r="F155" s="51"/>
    </row>
    <row r="156" spans="1:6" ht="15.75" customHeight="1" x14ac:dyDescent="0.25">
      <c r="A156" t="str">
        <f>+Hoja1!B153</f>
        <v>KIENE DIESEL</v>
      </c>
      <c r="B156" t="str">
        <f>+Hoja1!A153</f>
        <v>08704</v>
      </c>
      <c r="C156" s="67">
        <f>+Hoja1!K153</f>
        <v>335045.59999999998</v>
      </c>
      <c r="D156" s="24">
        <f t="shared" si="4"/>
        <v>231.06593103448273</v>
      </c>
      <c r="E156" s="50">
        <f t="shared" si="5"/>
        <v>5.9217130756258772E-5</v>
      </c>
      <c r="F156" s="51"/>
    </row>
    <row r="157" spans="1:6" ht="15.75" customHeight="1" x14ac:dyDescent="0.25">
      <c r="A157" t="str">
        <f>+Hoja1!B154</f>
        <v>KOREA MARINE INDUSTRIAL CO LTD</v>
      </c>
      <c r="B157" t="str">
        <f>+Hoja1!A154</f>
        <v>08706</v>
      </c>
      <c r="C157" s="67">
        <f>+Hoja1!K154</f>
        <v>1782642.4</v>
      </c>
      <c r="D157" s="24">
        <f t="shared" si="4"/>
        <v>1229.4085517241379</v>
      </c>
      <c r="E157" s="50">
        <f t="shared" si="5"/>
        <v>3.1507045038780082E-4</v>
      </c>
      <c r="F157" s="51"/>
    </row>
    <row r="158" spans="1:6" ht="15.75" customHeight="1" x14ac:dyDescent="0.25">
      <c r="A158" t="str">
        <f>+Hoja1!B155</f>
        <v>LA ACADEMIA 2001 SRL</v>
      </c>
      <c r="B158" t="str">
        <f>+Hoja1!A155</f>
        <v>07378</v>
      </c>
      <c r="C158" s="67">
        <f>+Hoja1!K155</f>
        <v>7800000</v>
      </c>
      <c r="D158" s="24">
        <f t="shared" si="4"/>
        <v>5379.3103448275861</v>
      </c>
      <c r="E158" s="50">
        <f t="shared" si="5"/>
        <v>1.378599270961381E-3</v>
      </c>
      <c r="F158" s="51"/>
    </row>
    <row r="159" spans="1:6" ht="15.75" customHeight="1" x14ac:dyDescent="0.25">
      <c r="A159" t="str">
        <f>+Hoja1!B156</f>
        <v>LA CASA DEL FLEXIBLE SRL.</v>
      </c>
      <c r="B159" t="str">
        <f>+Hoja1!A156</f>
        <v>00030</v>
      </c>
      <c r="C159" s="67">
        <f>+Hoja1!K156</f>
        <v>4842998</v>
      </c>
      <c r="D159" s="24">
        <f t="shared" si="4"/>
        <v>3339.9986206896551</v>
      </c>
      <c r="E159" s="50">
        <f t="shared" si="5"/>
        <v>8.5596839898300335E-4</v>
      </c>
      <c r="F159" s="51"/>
    </row>
    <row r="160" spans="1:6" ht="15.75" customHeight="1" x14ac:dyDescent="0.25">
      <c r="A160" t="str">
        <f>+Hoja1!B157</f>
        <v>LABORATORIO BIOQUIMICO MAR DEL PLATA  S.A.</v>
      </c>
      <c r="B160" t="str">
        <f>+Hoja1!A157</f>
        <v>05145</v>
      </c>
      <c r="C160" s="67">
        <f>+Hoja1!K157</f>
        <v>702029.91</v>
      </c>
      <c r="D160" s="24">
        <f t="shared" si="4"/>
        <v>484.15855862068969</v>
      </c>
      <c r="E160" s="50">
        <f t="shared" si="5"/>
        <v>1.2407922078449795E-4</v>
      </c>
      <c r="F160" s="51"/>
    </row>
    <row r="161" spans="1:6" ht="15.75" customHeight="1" x14ac:dyDescent="0.25">
      <c r="A161" t="str">
        <f>+Hoja1!B158</f>
        <v>LOAD SRL</v>
      </c>
      <c r="B161" t="str">
        <f>+Hoja1!A158</f>
        <v>07009</v>
      </c>
      <c r="C161" s="67">
        <f>+Hoja1!K158</f>
        <v>4930876.84</v>
      </c>
      <c r="D161" s="24">
        <f t="shared" si="4"/>
        <v>3400.6047172413791</v>
      </c>
      <c r="E161" s="50">
        <f t="shared" si="5"/>
        <v>8.7150041241337915E-4</v>
      </c>
      <c r="F161" s="51"/>
    </row>
    <row r="162" spans="1:6" ht="15.75" customHeight="1" x14ac:dyDescent="0.25">
      <c r="A162" t="str">
        <f>+Hoja1!B159</f>
        <v>LOY GUADALUPE ANAHI</v>
      </c>
      <c r="B162" t="str">
        <f>+Hoja1!A159</f>
        <v>09561</v>
      </c>
      <c r="C162" s="67">
        <f>+Hoja1!K159</f>
        <v>8949100</v>
      </c>
      <c r="D162" s="24">
        <f t="shared" si="4"/>
        <v>6171.7931034482763</v>
      </c>
      <c r="E162" s="50">
        <f t="shared" si="5"/>
        <v>1.5816952225333968E-3</v>
      </c>
      <c r="F162" s="51"/>
    </row>
    <row r="163" spans="1:6" ht="15.75" customHeight="1" x14ac:dyDescent="0.25">
      <c r="A163" t="str">
        <f>+Hoja1!B160</f>
        <v>M D Q QUIMICA GARVEY S A</v>
      </c>
      <c r="B163" t="str">
        <f>+Hoja1!A160</f>
        <v>03737</v>
      </c>
      <c r="C163" s="67">
        <f>+Hoja1!K160</f>
        <v>2050433.76</v>
      </c>
      <c r="D163" s="24">
        <f t="shared" si="4"/>
        <v>1414.0922482758622</v>
      </c>
      <c r="E163" s="50">
        <f t="shared" si="5"/>
        <v>3.6240083162700042E-4</v>
      </c>
      <c r="F163" s="51"/>
    </row>
    <row r="164" spans="1:6" ht="15.75" customHeight="1" x14ac:dyDescent="0.25">
      <c r="A164" t="str">
        <f>+Hoja1!B161</f>
        <v>M.F. S.A.</v>
      </c>
      <c r="B164" t="str">
        <f>+Hoja1!A161</f>
        <v>01505</v>
      </c>
      <c r="C164" s="67">
        <f>+Hoja1!K161</f>
        <v>12805230.470000001</v>
      </c>
      <c r="D164" s="24">
        <f t="shared" si="4"/>
        <v>8831.1934275862077</v>
      </c>
      <c r="E164" s="50">
        <f t="shared" si="5"/>
        <v>2.2632412039018542E-3</v>
      </c>
      <c r="F164" s="51"/>
    </row>
    <row r="165" spans="1:6" ht="15.75" customHeight="1" x14ac:dyDescent="0.25">
      <c r="A165" t="str">
        <f>+Hoja1!B162</f>
        <v>MANNA JORGE LUIS</v>
      </c>
      <c r="B165" t="str">
        <f>+Hoja1!A162</f>
        <v>08582</v>
      </c>
      <c r="C165" s="67">
        <f>+Hoja1!K162</f>
        <v>2200000</v>
      </c>
      <c r="D165" s="24">
        <f t="shared" si="4"/>
        <v>1517.2413793103449</v>
      </c>
      <c r="E165" s="50">
        <f t="shared" si="5"/>
        <v>3.8883569180962031E-4</v>
      </c>
      <c r="F165" s="51"/>
    </row>
    <row r="166" spans="1:6" ht="15.75" customHeight="1" x14ac:dyDescent="0.25">
      <c r="A166" t="str">
        <f>+Hoja1!B163</f>
        <v>MANTENIMIENTOS SUDESTE EMPRESA DE SERVICIOS SRL</v>
      </c>
      <c r="B166" t="str">
        <f>+Hoja1!A163</f>
        <v>01412</v>
      </c>
      <c r="C166" s="67">
        <f>+Hoja1!K163</f>
        <v>11727544.720000001</v>
      </c>
      <c r="D166" s="24">
        <f t="shared" si="4"/>
        <v>8087.9618758620691</v>
      </c>
      <c r="E166" s="50">
        <f t="shared" si="5"/>
        <v>2.0727672565588454E-3</v>
      </c>
      <c r="F166" s="51"/>
    </row>
    <row r="167" spans="1:6" ht="15.75" customHeight="1" x14ac:dyDescent="0.25">
      <c r="A167" t="str">
        <f>+Hoja1!B164</f>
        <v>MAR DEL PLATA PORT MANAGEMENT SRL</v>
      </c>
      <c r="B167" t="str">
        <f>+Hoja1!A164</f>
        <v>03772</v>
      </c>
      <c r="C167" s="67">
        <f>+Hoja1!K164</f>
        <v>222679983.94</v>
      </c>
      <c r="D167" s="24">
        <f t="shared" si="4"/>
        <v>153572.40271724138</v>
      </c>
      <c r="E167" s="50">
        <f t="shared" si="5"/>
        <v>3.9357238912484105E-2</v>
      </c>
      <c r="F167" s="51"/>
    </row>
    <row r="168" spans="1:6" ht="15.75" customHeight="1" x14ac:dyDescent="0.25">
      <c r="A168" t="str">
        <f>+Hoja1!B165</f>
        <v>MAR DEL PLATA SODA S A</v>
      </c>
      <c r="B168" t="str">
        <f>+Hoja1!A165</f>
        <v>08925</v>
      </c>
      <c r="C168" s="67">
        <f>+Hoja1!K165</f>
        <v>1359552.38</v>
      </c>
      <c r="D168" s="24">
        <f t="shared" si="4"/>
        <v>937.62233103448273</v>
      </c>
      <c r="E168" s="50">
        <f t="shared" si="5"/>
        <v>2.4029204101305262E-4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7">
        <f>+Hoja1!K166</f>
        <v>71039322.5</v>
      </c>
      <c r="D169" s="24">
        <f t="shared" si="4"/>
        <v>48992.636206896554</v>
      </c>
      <c r="E169" s="50">
        <f t="shared" si="5"/>
        <v>1.2555738231806467E-2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7">
        <f>+Hoja1!K167</f>
        <v>26304027.75</v>
      </c>
      <c r="D170" s="24">
        <f t="shared" si="4"/>
        <v>18140.708793103448</v>
      </c>
      <c r="E170" s="50">
        <f t="shared" si="5"/>
        <v>4.6490658307048634E-3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7">
        <f>+Hoja1!K168</f>
        <v>1482500</v>
      </c>
      <c r="D171" s="24">
        <f t="shared" si="4"/>
        <v>1022.4137931034483</v>
      </c>
      <c r="E171" s="50">
        <f t="shared" si="5"/>
        <v>2.6202223323080093E-4</v>
      </c>
      <c r="F171" s="51"/>
    </row>
    <row r="172" spans="1:6" ht="15.75" customHeight="1" x14ac:dyDescent="0.25">
      <c r="A172" t="str">
        <f>+Hoja1!B169</f>
        <v>MARTINEZ JUAN ALBERTO BENJAMIN</v>
      </c>
      <c r="B172" t="str">
        <f>+Hoja1!A169</f>
        <v>08045</v>
      </c>
      <c r="C172" s="67">
        <f>+Hoja1!K169</f>
        <v>82539.429999999993</v>
      </c>
      <c r="D172" s="24">
        <f t="shared" si="4"/>
        <v>56.923744827586205</v>
      </c>
      <c r="E172" s="50">
        <f t="shared" si="5"/>
        <v>1.4588307438918966E-5</v>
      </c>
      <c r="F172" s="51"/>
    </row>
    <row r="173" spans="1:6" ht="15.75" customHeight="1" x14ac:dyDescent="0.25">
      <c r="A173" t="str">
        <f>+Hoja1!B170</f>
        <v>MASSA LUIS ALEJANDRO</v>
      </c>
      <c r="B173" t="str">
        <f>+Hoja1!A170</f>
        <v>01566</v>
      </c>
      <c r="C173" s="67">
        <f>+Hoja1!K170</f>
        <v>2640220</v>
      </c>
      <c r="D173" s="24">
        <f t="shared" si="4"/>
        <v>1820.8413793103448</v>
      </c>
      <c r="E173" s="50">
        <f t="shared" si="5"/>
        <v>4.6664171374072527E-4</v>
      </c>
      <c r="F173" s="51"/>
    </row>
    <row r="174" spans="1:6" ht="15.75" customHeight="1" x14ac:dyDescent="0.25">
      <c r="A174" t="str">
        <f>+Hoja1!B171</f>
        <v>MATAFUEGOS IMPULSO SACIYF</v>
      </c>
      <c r="B174" t="str">
        <f>+Hoja1!A171</f>
        <v>04312</v>
      </c>
      <c r="C174" s="67">
        <f>+Hoja1!K171</f>
        <v>1101100</v>
      </c>
      <c r="D174" s="24">
        <f t="shared" si="4"/>
        <v>759.37931034482756</v>
      </c>
      <c r="E174" s="50">
        <f t="shared" si="5"/>
        <v>1.9461226375071494E-4</v>
      </c>
      <c r="F174" s="51"/>
    </row>
    <row r="175" spans="1:6" ht="15.75" customHeight="1" x14ac:dyDescent="0.25">
      <c r="A175" t="str">
        <f>+Hoja1!B172</f>
        <v>MAYEKAWA ARGENTINA S.A.</v>
      </c>
      <c r="B175" t="str">
        <f>+Hoja1!A172</f>
        <v>00612</v>
      </c>
      <c r="C175" s="67">
        <f>+Hoja1!K172</f>
        <v>13623137.300000001</v>
      </c>
      <c r="D175" s="24">
        <f t="shared" si="4"/>
        <v>9395.2671034482755</v>
      </c>
      <c r="E175" s="50">
        <f t="shared" si="5"/>
        <v>2.4078009166649738E-3</v>
      </c>
      <c r="F175" s="51"/>
    </row>
    <row r="176" spans="1:6" ht="15.75" customHeight="1" x14ac:dyDescent="0.25">
      <c r="A176" t="str">
        <f>+Hoja1!B173</f>
        <v>MDP 2020 REY MAYORISTA CARNICO S. A.</v>
      </c>
      <c r="B176" t="str">
        <f>+Hoja1!A173</f>
        <v>09003</v>
      </c>
      <c r="C176" s="67">
        <f>+Hoja1!K173</f>
        <v>2725845.78</v>
      </c>
      <c r="D176" s="24">
        <f t="shared" si="4"/>
        <v>1879.8936413793101</v>
      </c>
      <c r="E176" s="50">
        <f t="shared" si="5"/>
        <v>4.8177551346937904E-4</v>
      </c>
      <c r="F176" s="51"/>
    </row>
    <row r="177" spans="1:6" ht="15.75" customHeight="1" x14ac:dyDescent="0.25">
      <c r="A177" t="str">
        <f>+Hoja1!B174</f>
        <v>MEDINA LEONEL JESUS</v>
      </c>
      <c r="B177" t="str">
        <f>+Hoja1!A174</f>
        <v>06810</v>
      </c>
      <c r="C177" s="67">
        <f>+Hoja1!K174</f>
        <v>17680000</v>
      </c>
      <c r="D177" s="24">
        <f t="shared" si="4"/>
        <v>12193.103448275862</v>
      </c>
      <c r="E177" s="50">
        <f t="shared" si="5"/>
        <v>3.1248250141791304E-3</v>
      </c>
      <c r="F177" s="51"/>
    </row>
    <row r="178" spans="1:6" ht="15.75" customHeight="1" x14ac:dyDescent="0.25">
      <c r="A178" t="str">
        <f>+Hoja1!B175</f>
        <v>MEDITERRANEAN SHIPPING COMPANY S A</v>
      </c>
      <c r="B178" t="str">
        <f>+Hoja1!A175</f>
        <v>02641</v>
      </c>
      <c r="C178" s="67">
        <f>+Hoja1!K175</f>
        <v>58760</v>
      </c>
      <c r="D178" s="24">
        <f t="shared" si="4"/>
        <v>40.524137931034481</v>
      </c>
      <c r="E178" s="50">
        <f t="shared" si="5"/>
        <v>1.0385447841242404E-5</v>
      </c>
      <c r="F178" s="51"/>
    </row>
    <row r="179" spans="1:6" ht="15.75" customHeight="1" x14ac:dyDescent="0.25">
      <c r="A179" t="str">
        <f>+Hoja1!B176</f>
        <v>METALGEN FORJA SRL</v>
      </c>
      <c r="B179" t="str">
        <f>+Hoja1!A176</f>
        <v>07616</v>
      </c>
      <c r="C179" s="67">
        <f>+Hoja1!K176</f>
        <v>0.01</v>
      </c>
      <c r="D179" s="24">
        <f t="shared" si="4"/>
        <v>6.8965517241379308E-6</v>
      </c>
      <c r="E179" s="50">
        <f t="shared" si="5"/>
        <v>1.7674349627710013E-12</v>
      </c>
      <c r="F179" s="51"/>
    </row>
    <row r="180" spans="1:6" ht="15.75" customHeight="1" x14ac:dyDescent="0.25">
      <c r="A180" t="str">
        <f>+Hoja1!B177</f>
        <v>MEYER SACIF</v>
      </c>
      <c r="B180" t="str">
        <f>+Hoja1!A177</f>
        <v>05368</v>
      </c>
      <c r="C180" s="67">
        <f>+Hoja1!K177</f>
        <v>2255142.36</v>
      </c>
      <c r="D180" s="24">
        <f t="shared" si="4"/>
        <v>1555.2705931034482</v>
      </c>
      <c r="E180" s="50">
        <f t="shared" si="5"/>
        <v>3.9858174530899075E-4</v>
      </c>
      <c r="F180" s="51"/>
    </row>
    <row r="181" spans="1:6" ht="15.75" customHeight="1" x14ac:dyDescent="0.25">
      <c r="A181" t="str">
        <f>+Hoja1!B178</f>
        <v>MICCIO´S SOCIEDAD ANONIMA</v>
      </c>
      <c r="B181" t="str">
        <f>+Hoja1!A178</f>
        <v>03757</v>
      </c>
      <c r="C181" s="67">
        <f>+Hoja1!K178</f>
        <v>23660850.670000002</v>
      </c>
      <c r="D181" s="24">
        <f t="shared" si="4"/>
        <v>16317.828048275864</v>
      </c>
      <c r="E181" s="50">
        <f t="shared" si="5"/>
        <v>4.1819014723061673E-3</v>
      </c>
      <c r="F181" s="51"/>
    </row>
    <row r="182" spans="1:6" ht="15.75" customHeight="1" x14ac:dyDescent="0.25">
      <c r="A182" t="str">
        <f>+Hoja1!B179</f>
        <v>MONITOREO Y VIGILANCIA MEDINILLA S.A</v>
      </c>
      <c r="B182" t="str">
        <f>+Hoja1!A179</f>
        <v>06832</v>
      </c>
      <c r="C182" s="67">
        <f>+Hoja1!K179</f>
        <v>163166519.34999999</v>
      </c>
      <c r="D182" s="24">
        <f t="shared" si="4"/>
        <v>112528.63403448275</v>
      </c>
      <c r="E182" s="50">
        <f t="shared" si="5"/>
        <v>2.883862110528411E-2</v>
      </c>
      <c r="F182" s="51"/>
    </row>
    <row r="183" spans="1:6" ht="15.75" customHeight="1" x14ac:dyDescent="0.25">
      <c r="A183" t="str">
        <f>+Hoja1!B180</f>
        <v>MONTENEGRO MARIA VIVIANA</v>
      </c>
      <c r="B183" t="str">
        <f>+Hoja1!A180</f>
        <v>08887</v>
      </c>
      <c r="C183" s="67">
        <f>+Hoja1!K180</f>
        <v>617100</v>
      </c>
      <c r="D183" s="24">
        <f t="shared" si="4"/>
        <v>425.58620689655174</v>
      </c>
      <c r="E183" s="50">
        <f t="shared" si="5"/>
        <v>1.090684115525985E-4</v>
      </c>
      <c r="F183" s="51"/>
    </row>
    <row r="184" spans="1:6" ht="15.75" customHeight="1" x14ac:dyDescent="0.25">
      <c r="A184" t="str">
        <f>+Hoja1!B181</f>
        <v>MONTERO S.A.</v>
      </c>
      <c r="B184" t="str">
        <f>+Hoja1!A181</f>
        <v>01973</v>
      </c>
      <c r="C184" s="67">
        <f>+Hoja1!K181</f>
        <v>11966383.699999999</v>
      </c>
      <c r="D184" s="24">
        <f t="shared" si="4"/>
        <v>8252.6784137931027</v>
      </c>
      <c r="E184" s="50">
        <f t="shared" si="5"/>
        <v>2.1149804929313015E-3</v>
      </c>
      <c r="F184" s="51"/>
    </row>
    <row r="185" spans="1:6" ht="15.75" customHeight="1" x14ac:dyDescent="0.25">
      <c r="A185" t="str">
        <f>+Hoja1!B182</f>
        <v>MORALES ADRIAN LINDOR</v>
      </c>
      <c r="B185" t="str">
        <f>+Hoja1!A182</f>
        <v>09070</v>
      </c>
      <c r="C185" s="67">
        <f>+Hoja1!K182</f>
        <v>592454.72</v>
      </c>
      <c r="D185" s="24">
        <f t="shared" si="4"/>
        <v>408.58946206896547</v>
      </c>
      <c r="E185" s="50">
        <f t="shared" si="5"/>
        <v>1.0471251859867039E-4</v>
      </c>
      <c r="F185" s="51"/>
    </row>
    <row r="186" spans="1:6" ht="15.75" customHeight="1" x14ac:dyDescent="0.25">
      <c r="A186" t="str">
        <f>+Hoja1!B183</f>
        <v>MOREIRA ROLANDO RAMON</v>
      </c>
      <c r="B186" t="str">
        <f>+Hoja1!A183</f>
        <v>06006</v>
      </c>
      <c r="C186" s="67">
        <f>+Hoja1!K183</f>
        <v>89999.98</v>
      </c>
      <c r="D186" s="24">
        <f t="shared" si="4"/>
        <v>62.068951724137925</v>
      </c>
      <c r="E186" s="50">
        <f t="shared" si="5"/>
        <v>1.5906911130069084E-5</v>
      </c>
      <c r="F186" s="51"/>
    </row>
    <row r="187" spans="1:6" ht="15.75" customHeight="1" x14ac:dyDescent="0.25">
      <c r="A187" t="str">
        <f>+Hoja1!B184</f>
        <v>MOTORES ELECTRICOS MAR DEL PLATA S.R.L.</v>
      </c>
      <c r="B187" t="str">
        <f>+Hoja1!A184</f>
        <v>07248</v>
      </c>
      <c r="C187" s="67">
        <f>+Hoja1!K184</f>
        <v>9479092.1500000004</v>
      </c>
      <c r="D187" s="24">
        <f t="shared" si="4"/>
        <v>6537.3049310344832</v>
      </c>
      <c r="E187" s="50">
        <f t="shared" si="5"/>
        <v>1.6753678881238142E-3</v>
      </c>
      <c r="F187" s="51"/>
    </row>
    <row r="188" spans="1:6" ht="15.75" customHeight="1" x14ac:dyDescent="0.25">
      <c r="A188" t="str">
        <f>+Hoja1!B185</f>
        <v>MOURESEANU LEANDRO JOSE</v>
      </c>
      <c r="B188" t="str">
        <f>+Hoja1!A185</f>
        <v>09470</v>
      </c>
      <c r="C188" s="67">
        <f>+Hoja1!K185</f>
        <v>936000</v>
      </c>
      <c r="D188" s="24">
        <f t="shared" si="4"/>
        <v>645.51724137931035</v>
      </c>
      <c r="E188" s="50">
        <f t="shared" si="5"/>
        <v>1.6543191251536571E-4</v>
      </c>
      <c r="F188" s="51"/>
    </row>
    <row r="189" spans="1:6" ht="15.75" customHeight="1" x14ac:dyDescent="0.25">
      <c r="A189" t="str">
        <f>+Hoja1!B186</f>
        <v>MUÑIZ HNOS S R L</v>
      </c>
      <c r="B189" t="str">
        <f>+Hoja1!A186</f>
        <v>06902</v>
      </c>
      <c r="C189" s="67">
        <f>+Hoja1!K186</f>
        <v>992655.76</v>
      </c>
      <c r="D189" s="24">
        <f t="shared" si="4"/>
        <v>684.59017931034487</v>
      </c>
      <c r="E189" s="50">
        <f t="shared" si="5"/>
        <v>1.75445449622002E-4</v>
      </c>
      <c r="F189" s="51"/>
    </row>
    <row r="190" spans="1:6" ht="15.75" customHeight="1" x14ac:dyDescent="0.25">
      <c r="A190" t="str">
        <f>+Hoja1!B187</f>
        <v>N.M.A. NAUTIC TECH ENGINEERING SUPPORT SLU</v>
      </c>
      <c r="B190" t="str">
        <f>+Hoja1!A187</f>
        <v>08705</v>
      </c>
      <c r="C190" s="67">
        <f>+Hoja1!K187</f>
        <v>13351649.470000001</v>
      </c>
      <c r="D190" s="24">
        <f t="shared" si="4"/>
        <v>9208.0341172413791</v>
      </c>
      <c r="E190" s="50">
        <f t="shared" si="5"/>
        <v>2.3598172083940908E-3</v>
      </c>
      <c r="F190" s="51"/>
    </row>
    <row r="191" spans="1:6" ht="15.75" customHeight="1" x14ac:dyDescent="0.25">
      <c r="A191" t="str">
        <f>+Hoja1!B188</f>
        <v>NAGODE MARIA SOL</v>
      </c>
      <c r="B191" t="str">
        <f>+Hoja1!A188</f>
        <v>09408</v>
      </c>
      <c r="C191" s="67">
        <f>+Hoja1!K188</f>
        <v>1579156.25</v>
      </c>
      <c r="D191" s="24">
        <f t="shared" si="4"/>
        <v>1089.0732758620691</v>
      </c>
      <c r="E191" s="50">
        <f t="shared" si="5"/>
        <v>2.7910559679283442E-4</v>
      </c>
      <c r="F191" s="51"/>
    </row>
    <row r="192" spans="1:6" ht="15.75" customHeight="1" x14ac:dyDescent="0.25">
      <c r="A192" t="str">
        <f>+Hoja1!B189</f>
        <v>NAUTIQ SERVICE S.A.</v>
      </c>
      <c r="B192" t="str">
        <f>+Hoja1!A189</f>
        <v>01086</v>
      </c>
      <c r="C192" s="67">
        <f>+Hoja1!K189</f>
        <v>8211687.0700000003</v>
      </c>
      <c r="D192" s="24">
        <f t="shared" si="4"/>
        <v>5663.232462068966</v>
      </c>
      <c r="E192" s="50">
        <f t="shared" si="5"/>
        <v>1.4513622830852563E-3</v>
      </c>
      <c r="F192" s="51"/>
    </row>
    <row r="193" spans="1:6" ht="15.75" customHeight="1" x14ac:dyDescent="0.25">
      <c r="A193" t="str">
        <f>+Hoja1!B190</f>
        <v>NICLAU DESPACHANTES DE ADUANA S.A.</v>
      </c>
      <c r="B193" t="str">
        <f>+Hoja1!A190</f>
        <v>06121</v>
      </c>
      <c r="C193" s="67">
        <f>+Hoja1!K190</f>
        <v>23452184.670000002</v>
      </c>
      <c r="D193" s="24">
        <f t="shared" si="4"/>
        <v>16173.920462068967</v>
      </c>
      <c r="E193" s="50">
        <f t="shared" si="5"/>
        <v>4.1450211139120105E-3</v>
      </c>
      <c r="F193" s="51"/>
    </row>
    <row r="194" spans="1:6" ht="15.75" customHeight="1" x14ac:dyDescent="0.25">
      <c r="A194" t="str">
        <f>+Hoja1!B191</f>
        <v>NSM FOODS &amp; LOG S.R.L</v>
      </c>
      <c r="B194" t="str">
        <f>+Hoja1!A191</f>
        <v>08485</v>
      </c>
      <c r="C194" s="67">
        <f>+Hoja1!K191</f>
        <v>6689825.2000000002</v>
      </c>
      <c r="D194" s="24">
        <f t="shared" si="4"/>
        <v>4613.6725517241384</v>
      </c>
      <c r="E194" s="50">
        <f t="shared" si="5"/>
        <v>1.1823830953306507E-3</v>
      </c>
      <c r="F194" s="51"/>
    </row>
    <row r="195" spans="1:6" ht="15.75" customHeight="1" x14ac:dyDescent="0.25">
      <c r="A195" t="str">
        <f>+Hoja1!B192</f>
        <v>NUEVA EDISON FARMACEUTICA SCS</v>
      </c>
      <c r="B195" t="str">
        <f>+Hoja1!A192</f>
        <v>05410</v>
      </c>
      <c r="C195" s="67">
        <f>+Hoja1!K192</f>
        <v>11841989.48</v>
      </c>
      <c r="D195" s="24">
        <f t="shared" si="4"/>
        <v>8166.8892965517243</v>
      </c>
      <c r="E195" s="50">
        <f t="shared" si="5"/>
        <v>2.0929946235718391E-3</v>
      </c>
      <c r="F195" s="51"/>
    </row>
    <row r="196" spans="1:6" ht="15.75" customHeight="1" x14ac:dyDescent="0.25">
      <c r="A196" t="str">
        <f>+Hoja1!B193</f>
        <v>O.A.C.I. S.A.</v>
      </c>
      <c r="B196" t="str">
        <f>+Hoja1!A193</f>
        <v>01573</v>
      </c>
      <c r="C196" s="67">
        <f>+Hoja1!K193</f>
        <v>20517007.899999999</v>
      </c>
      <c r="D196" s="24">
        <f t="shared" si="4"/>
        <v>14149.660620689654</v>
      </c>
      <c r="E196" s="50">
        <f t="shared" si="5"/>
        <v>3.6262477093908837E-3</v>
      </c>
      <c r="F196" s="51"/>
    </row>
    <row r="197" spans="1:6" ht="15.75" customHeight="1" x14ac:dyDescent="0.25">
      <c r="A197" t="str">
        <f>+Hoja1!B194</f>
        <v>OCA LOG S.A</v>
      </c>
      <c r="B197" t="str">
        <f>+Hoja1!A194</f>
        <v>08373</v>
      </c>
      <c r="C197" s="67">
        <f>+Hoja1!K194</f>
        <v>572785.81999999995</v>
      </c>
      <c r="D197" s="24">
        <f t="shared" si="4"/>
        <v>395.02470344827583</v>
      </c>
      <c r="E197" s="50">
        <f t="shared" si="5"/>
        <v>1.0123616844474573E-4</v>
      </c>
      <c r="F197" s="51"/>
    </row>
    <row r="198" spans="1:6" ht="15.75" customHeight="1" x14ac:dyDescent="0.25">
      <c r="A198" t="str">
        <f>+Hoja1!B195</f>
        <v>OCCUPATIONAL MEDICINAE PUERTO MAR DEL PLATA S.R.L.</v>
      </c>
      <c r="B198" t="str">
        <f>+Hoja1!A195</f>
        <v>09197</v>
      </c>
      <c r="C198" s="67">
        <f>+Hoja1!K195</f>
        <v>3527150</v>
      </c>
      <c r="D198" s="24">
        <f t="shared" ref="D198:D261" si="6">+C198/$D$3</f>
        <v>2432.5172413793102</v>
      </c>
      <c r="E198" s="50">
        <f t="shared" ref="E198:E261" si="7">+D198/$D$282</f>
        <v>6.2340082289377371E-4</v>
      </c>
      <c r="F198" s="51"/>
    </row>
    <row r="199" spans="1:6" ht="15.75" customHeight="1" x14ac:dyDescent="0.25">
      <c r="A199" t="str">
        <f>+Hoja1!B196</f>
        <v>OMINT SOCIEDAD ANONIMA DE SERVICIOS</v>
      </c>
      <c r="B199" t="str">
        <f>+Hoja1!A196</f>
        <v>08977</v>
      </c>
      <c r="C199" s="67">
        <f>+Hoja1!K196</f>
        <v>-2698.26</v>
      </c>
      <c r="D199" s="24">
        <f t="shared" si="6"/>
        <v>-1.8608689655172415</v>
      </c>
      <c r="E199" s="50">
        <f t="shared" si="7"/>
        <v>-4.7689990626464826E-7</v>
      </c>
      <c r="F199" s="51"/>
    </row>
    <row r="200" spans="1:6" ht="15.75" customHeight="1" x14ac:dyDescent="0.25">
      <c r="A200" t="str">
        <f>+Hoja1!B197</f>
        <v>OTI INTERNACIONAL S.A.</v>
      </c>
      <c r="B200" t="str">
        <f>+Hoja1!A197</f>
        <v>04900</v>
      </c>
      <c r="C200" s="67">
        <f>+Hoja1!K197</f>
        <v>9950050</v>
      </c>
      <c r="D200" s="24">
        <f t="shared" si="6"/>
        <v>6862.1034482758623</v>
      </c>
      <c r="E200" s="50">
        <f t="shared" si="7"/>
        <v>1.7586066251319601E-3</v>
      </c>
      <c r="F200" s="51"/>
    </row>
    <row r="201" spans="1:6" ht="15.75" customHeight="1" x14ac:dyDescent="0.25">
      <c r="A201" t="str">
        <f>+Hoja1!B198</f>
        <v>PARTES INFORMATICAS . COM   S.A.</v>
      </c>
      <c r="B201" t="str">
        <f>+Hoja1!A198</f>
        <v>05446</v>
      </c>
      <c r="C201" s="67">
        <f>+Hoja1!K198</f>
        <v>544476.4</v>
      </c>
      <c r="D201" s="24">
        <f t="shared" si="6"/>
        <v>375.50096551724141</v>
      </c>
      <c r="E201" s="50">
        <f t="shared" si="7"/>
        <v>9.6232662576368889E-5</v>
      </c>
      <c r="F201" s="51"/>
    </row>
    <row r="202" spans="1:6" ht="15.75" customHeight="1" x14ac:dyDescent="0.25">
      <c r="A202" t="str">
        <f>+Hoja1!B199</f>
        <v>PATUTO ADRIAN ALEJANDRO</v>
      </c>
      <c r="B202" t="str">
        <f>+Hoja1!A199</f>
        <v>09594</v>
      </c>
      <c r="C202" s="67">
        <f>+Hoja1!K199</f>
        <v>1676977.72</v>
      </c>
      <c r="D202" s="24">
        <f t="shared" si="6"/>
        <v>1156.5363586206897</v>
      </c>
      <c r="E202" s="50">
        <f t="shared" si="7"/>
        <v>2.9639490541159987E-4</v>
      </c>
      <c r="F202" s="51"/>
    </row>
    <row r="203" spans="1:6" ht="15.75" customHeight="1" x14ac:dyDescent="0.25">
      <c r="A203" t="str">
        <f>+Hoja1!B200</f>
        <v>PEREZ RIVERA E HIJOS SRL</v>
      </c>
      <c r="B203" t="str">
        <f>+Hoja1!A200</f>
        <v>05838</v>
      </c>
      <c r="C203" s="67">
        <f>+Hoja1!K200</f>
        <v>546816.86</v>
      </c>
      <c r="D203" s="24">
        <f t="shared" si="6"/>
        <v>377.11507586206898</v>
      </c>
      <c r="E203" s="50">
        <f t="shared" si="7"/>
        <v>9.6646323659665579E-5</v>
      </c>
      <c r="F203" s="51"/>
    </row>
    <row r="204" spans="1:6" ht="15.75" customHeight="1" x14ac:dyDescent="0.25">
      <c r="A204" t="str">
        <f>+Hoja1!B201</f>
        <v>PESCE GRACIELA MARGARITA</v>
      </c>
      <c r="B204" t="str">
        <f>+Hoja1!A201</f>
        <v>00317</v>
      </c>
      <c r="C204" s="67">
        <f>+Hoja1!K201</f>
        <v>1277500</v>
      </c>
      <c r="D204" s="24">
        <f t="shared" si="6"/>
        <v>881.0344827586207</v>
      </c>
      <c r="E204" s="50">
        <f t="shared" si="7"/>
        <v>2.2578981649399541E-4</v>
      </c>
      <c r="F204" s="51"/>
    </row>
    <row r="205" spans="1:6" ht="15.75" customHeight="1" x14ac:dyDescent="0.25">
      <c r="A205" t="str">
        <f>+Hoja1!B202</f>
        <v>PESQUERA SAN CAYETANO S.A.</v>
      </c>
      <c r="B205" t="str">
        <f>+Hoja1!A202</f>
        <v>05770</v>
      </c>
      <c r="C205" s="67">
        <f>+Hoja1!K202</f>
        <v>57334663.579999998</v>
      </c>
      <c r="D205" s="24">
        <f t="shared" si="6"/>
        <v>39541.147296551724</v>
      </c>
      <c r="E205" s="50">
        <f t="shared" si="7"/>
        <v>1.0133528899000519E-2</v>
      </c>
      <c r="F205" s="51"/>
    </row>
    <row r="206" spans="1:6" ht="15.75" customHeight="1" x14ac:dyDescent="0.25">
      <c r="A206" t="str">
        <f>+Hoja1!B203</f>
        <v>PINTURERIA PLATERO JFJ S.A</v>
      </c>
      <c r="B206" t="str">
        <f>+Hoja1!A203</f>
        <v>08999</v>
      </c>
      <c r="C206" s="67">
        <f>+Hoja1!K203</f>
        <v>25683686.27</v>
      </c>
      <c r="D206" s="24">
        <f t="shared" si="6"/>
        <v>17712.887082758622</v>
      </c>
      <c r="E206" s="50">
        <f t="shared" si="7"/>
        <v>4.5394245086439527E-3</v>
      </c>
      <c r="F206" s="51"/>
    </row>
    <row r="207" spans="1:6" ht="15.75" customHeight="1" x14ac:dyDescent="0.25">
      <c r="A207" t="str">
        <f>+Hoja1!B204</f>
        <v>PIROTECNIA MBZ SA</v>
      </c>
      <c r="B207" t="str">
        <f>+Hoja1!A204</f>
        <v>05899</v>
      </c>
      <c r="C207" s="67">
        <f>+Hoja1!K204</f>
        <v>1926618.02</v>
      </c>
      <c r="D207" s="24">
        <f t="shared" si="6"/>
        <v>1328.7020827586207</v>
      </c>
      <c r="E207" s="50">
        <f t="shared" si="7"/>
        <v>3.4051720484526399E-4</v>
      </c>
      <c r="F207" s="51"/>
    </row>
    <row r="208" spans="1:6" ht="15.75" customHeight="1" x14ac:dyDescent="0.25">
      <c r="A208" t="str">
        <f>+Hoja1!B205</f>
        <v>PLUMIER S.R.L.</v>
      </c>
      <c r="B208" t="str">
        <f>+Hoja1!A205</f>
        <v>06957</v>
      </c>
      <c r="C208" s="67">
        <f>+Hoja1!K205</f>
        <v>5288342.3899999997</v>
      </c>
      <c r="D208" s="24">
        <f t="shared" si="6"/>
        <v>3647.1326827586204</v>
      </c>
      <c r="E208" s="50">
        <f t="shared" si="7"/>
        <v>9.3468012351899572E-4</v>
      </c>
      <c r="F208" s="51"/>
    </row>
    <row r="209" spans="1:6" ht="15.75" customHeight="1" x14ac:dyDescent="0.25">
      <c r="A209" t="str">
        <f>+Hoja1!B206</f>
        <v>PMDP SA</v>
      </c>
      <c r="B209" t="str">
        <f>+Hoja1!A206</f>
        <v>06216</v>
      </c>
      <c r="C209" s="67">
        <f>+Hoja1!K206</f>
        <v>11968048.970000001</v>
      </c>
      <c r="D209" s="24">
        <f t="shared" si="6"/>
        <v>8253.8268758620688</v>
      </c>
      <c r="E209" s="50">
        <f t="shared" si="7"/>
        <v>2.115274818573347E-3</v>
      </c>
      <c r="F209" s="51"/>
    </row>
    <row r="210" spans="1:6" ht="15.75" customHeight="1" x14ac:dyDescent="0.25">
      <c r="A210" t="str">
        <f>+Hoja1!B207</f>
        <v>PRESTIGIO SA</v>
      </c>
      <c r="B210" t="str">
        <f>+Hoja1!A207</f>
        <v>07301</v>
      </c>
      <c r="C210" s="67">
        <f>+Hoja1!K207</f>
        <v>4760213.09</v>
      </c>
      <c r="D210" s="24">
        <f t="shared" si="6"/>
        <v>3282.9055793103448</v>
      </c>
      <c r="E210" s="50">
        <f t="shared" si="7"/>
        <v>8.413367045506183E-4</v>
      </c>
      <c r="F210" s="51"/>
    </row>
    <row r="211" spans="1:6" ht="15.75" customHeight="1" x14ac:dyDescent="0.25">
      <c r="A211" t="str">
        <f>+Hoja1!B208</f>
        <v>PRODUCTOS PORCINOS SA</v>
      </c>
      <c r="B211" t="str">
        <f>+Hoja1!A208</f>
        <v>09074</v>
      </c>
      <c r="C211" s="67">
        <f>+Hoja1!K208</f>
        <v>1496673.58</v>
      </c>
      <c r="D211" s="24">
        <f t="shared" si="6"/>
        <v>1032.188675862069</v>
      </c>
      <c r="E211" s="50">
        <f t="shared" si="7"/>
        <v>2.645273213147641E-4</v>
      </c>
      <c r="F211" s="51"/>
    </row>
    <row r="212" spans="1:6" ht="15.75" customHeight="1" x14ac:dyDescent="0.25">
      <c r="A212" t="str">
        <f>+Hoja1!B209</f>
        <v>PROYECTO ORION SRL</v>
      </c>
      <c r="B212" t="str">
        <f>+Hoja1!A209</f>
        <v>06777</v>
      </c>
      <c r="C212" s="67">
        <f>+Hoja1!K209</f>
        <v>233500</v>
      </c>
      <c r="D212" s="24">
        <f t="shared" si="6"/>
        <v>161.0344827586207</v>
      </c>
      <c r="E212" s="50">
        <f t="shared" si="7"/>
        <v>4.126960638070288E-5</v>
      </c>
      <c r="F212" s="51"/>
    </row>
    <row r="213" spans="1:6" ht="15.75" customHeight="1" x14ac:dyDescent="0.25">
      <c r="A213" t="str">
        <f>+Hoja1!B210</f>
        <v>PUNTO TECNICO S.R.L.</v>
      </c>
      <c r="B213" t="str">
        <f>+Hoja1!A210</f>
        <v>05096</v>
      </c>
      <c r="C213" s="67">
        <f>+Hoja1!K210</f>
        <v>6507600</v>
      </c>
      <c r="D213" s="24">
        <f t="shared" si="6"/>
        <v>4488</v>
      </c>
      <c r="E213" s="50">
        <f t="shared" si="7"/>
        <v>1.1501759763728567E-3</v>
      </c>
      <c r="F213" s="51"/>
    </row>
    <row r="214" spans="1:6" ht="15.75" customHeight="1" x14ac:dyDescent="0.25">
      <c r="A214" t="str">
        <f>+Hoja1!B211</f>
        <v>QUINCI JUAN FRANCISCO</v>
      </c>
      <c r="B214" t="str">
        <f>+Hoja1!A211</f>
        <v>05412</v>
      </c>
      <c r="C214" s="67">
        <f>+Hoja1!K211</f>
        <v>531190</v>
      </c>
      <c r="D214" s="24">
        <f t="shared" si="6"/>
        <v>366.33793103448278</v>
      </c>
      <c r="E214" s="50">
        <f t="shared" si="7"/>
        <v>9.3884377787432818E-5</v>
      </c>
      <c r="F214" s="51"/>
    </row>
    <row r="215" spans="1:6" ht="15.75" customHeight="1" x14ac:dyDescent="0.25">
      <c r="A215" t="str">
        <f>+Hoja1!B212</f>
        <v>REGINALD LEE S.A.</v>
      </c>
      <c r="B215" t="str">
        <f>+Hoja1!A212</f>
        <v>03820</v>
      </c>
      <c r="C215" s="67">
        <f>+Hoja1!K212</f>
        <v>2733910.44</v>
      </c>
      <c r="D215" s="24">
        <f t="shared" si="6"/>
        <v>1885.4554758620689</v>
      </c>
      <c r="E215" s="50">
        <f t="shared" si="7"/>
        <v>4.8320088967406514E-4</v>
      </c>
      <c r="F215" s="51"/>
    </row>
    <row r="216" spans="1:6" ht="15.75" customHeight="1" x14ac:dyDescent="0.25">
      <c r="A216" t="str">
        <f>+Hoja1!B213</f>
        <v>REMOLCADORES MAR DEL PLATA S.A. UNION TRANSITORIA</v>
      </c>
      <c r="B216" t="str">
        <f>+Hoja1!A213</f>
        <v>07569</v>
      </c>
      <c r="C216" s="67">
        <f>+Hoja1!K213</f>
        <v>17887188</v>
      </c>
      <c r="D216" s="24">
        <f t="shared" si="6"/>
        <v>12335.991724137932</v>
      </c>
      <c r="E216" s="50">
        <f t="shared" si="7"/>
        <v>3.1614441456857901E-3</v>
      </c>
      <c r="F216" s="51"/>
    </row>
    <row r="217" spans="1:6" ht="15.75" customHeight="1" x14ac:dyDescent="0.25">
      <c r="A217" t="str">
        <f>+Hoja1!B214</f>
        <v>RESISTENCIAS MDP S.R.L.</v>
      </c>
      <c r="B217" t="str">
        <f>+Hoja1!A214</f>
        <v>05019</v>
      </c>
      <c r="C217" s="67">
        <f>+Hoja1!K214</f>
        <v>3551488.68</v>
      </c>
      <c r="D217" s="24">
        <f t="shared" si="6"/>
        <v>2449.3025379310347</v>
      </c>
      <c r="E217" s="50">
        <f t="shared" si="7"/>
        <v>6.2770252629174331E-4</v>
      </c>
      <c r="F217" s="51"/>
    </row>
    <row r="218" spans="1:6" ht="15.75" customHeight="1" x14ac:dyDescent="0.25">
      <c r="A218" t="str">
        <f>+Hoja1!B215</f>
        <v>RICARDO PABLO ANDRADE</v>
      </c>
      <c r="B218" t="str">
        <f>+Hoja1!A215</f>
        <v>07335</v>
      </c>
      <c r="C218" s="67">
        <f>+Hoja1!K215</f>
        <v>1400000</v>
      </c>
      <c r="D218" s="24">
        <f t="shared" si="6"/>
        <v>965.51724137931035</v>
      </c>
      <c r="E218" s="50">
        <f t="shared" si="7"/>
        <v>2.4744089478794017E-4</v>
      </c>
      <c r="F218" s="51"/>
    </row>
    <row r="219" spans="1:6" ht="15.75" customHeight="1" x14ac:dyDescent="0.25">
      <c r="A219" t="str">
        <f>+Hoja1!B216</f>
        <v>RICARTE PAMELA GISELE</v>
      </c>
      <c r="B219" t="str">
        <f>+Hoja1!A216</f>
        <v>06641</v>
      </c>
      <c r="C219" s="67">
        <f>+Hoja1!K216</f>
        <v>36815388.899999999</v>
      </c>
      <c r="D219" s="24">
        <f t="shared" si="6"/>
        <v>25389.923379310345</v>
      </c>
      <c r="E219" s="50">
        <f t="shared" si="7"/>
        <v>6.5068805509871435E-3</v>
      </c>
      <c r="F219" s="51"/>
    </row>
    <row r="220" spans="1:6" ht="15.75" customHeight="1" x14ac:dyDescent="0.25">
      <c r="A220" t="str">
        <f>+Hoja1!B217</f>
        <v>RIVERA LUIS GUILLERMO</v>
      </c>
      <c r="B220" t="str">
        <f>+Hoja1!A217</f>
        <v>06400</v>
      </c>
      <c r="C220" s="67">
        <f>+Hoja1!K217</f>
        <v>144499.99</v>
      </c>
      <c r="D220" s="24">
        <f t="shared" si="6"/>
        <v>99.655165517241372</v>
      </c>
      <c r="E220" s="50">
        <f t="shared" si="7"/>
        <v>2.5539433444606003E-5</v>
      </c>
      <c r="F220" s="51"/>
    </row>
    <row r="221" spans="1:6" ht="15.75" customHeight="1" x14ac:dyDescent="0.25">
      <c r="A221" t="str">
        <f>+Hoja1!B218</f>
        <v>RODINIA S.A.</v>
      </c>
      <c r="B221" t="str">
        <f>+Hoja1!A218</f>
        <v>09550</v>
      </c>
      <c r="C221" s="67">
        <f>+Hoja1!K218</f>
        <v>6468021.1200000001</v>
      </c>
      <c r="D221" s="24">
        <f t="shared" si="6"/>
        <v>4460.7042206896549</v>
      </c>
      <c r="E221" s="50">
        <f t="shared" si="7"/>
        <v>1.1431806667429249E-3</v>
      </c>
      <c r="F221" s="51"/>
    </row>
    <row r="222" spans="1:6" ht="15.75" customHeight="1" x14ac:dyDescent="0.25">
      <c r="A222" t="str">
        <f>+Hoja1!B219</f>
        <v>ROTH SRL</v>
      </c>
      <c r="B222" t="str">
        <f>+Hoja1!A219</f>
        <v>06364</v>
      </c>
      <c r="C222" s="67">
        <f>+Hoja1!K219</f>
        <v>1280105.83</v>
      </c>
      <c r="D222" s="24">
        <f t="shared" si="6"/>
        <v>882.83160689655176</v>
      </c>
      <c r="E222" s="50">
        <f t="shared" si="7"/>
        <v>2.2625037999889918E-4</v>
      </c>
      <c r="F222" s="51"/>
    </row>
    <row r="223" spans="1:6" ht="15.75" customHeight="1" x14ac:dyDescent="0.25">
      <c r="A223" t="str">
        <f>+Hoja1!B220</f>
        <v>S&amp;I CONSULTORA MARITIMA S.A</v>
      </c>
      <c r="B223" t="str">
        <f>+Hoja1!A220</f>
        <v>09140</v>
      </c>
      <c r="C223" s="67">
        <f>+Hoja1!K220</f>
        <v>16855300</v>
      </c>
      <c r="D223" s="24">
        <f t="shared" si="6"/>
        <v>11624.344827586207</v>
      </c>
      <c r="E223" s="50">
        <f t="shared" si="7"/>
        <v>2.9790646527994057E-3</v>
      </c>
      <c r="F223" s="51"/>
    </row>
    <row r="224" spans="1:6" ht="15.75" customHeight="1" x14ac:dyDescent="0.25">
      <c r="A224" t="str">
        <f>+Hoja1!B221</f>
        <v>SALAS OSCAR LISANDRO</v>
      </c>
      <c r="B224" t="str">
        <f>+Hoja1!A221</f>
        <v>09064</v>
      </c>
      <c r="C224" s="67">
        <f>+Hoja1!K221</f>
        <v>1527050</v>
      </c>
      <c r="D224" s="24">
        <f t="shared" si="6"/>
        <v>1053.1379310344828</v>
      </c>
      <c r="E224" s="50">
        <f t="shared" si="7"/>
        <v>2.6989615598994578E-4</v>
      </c>
      <c r="F224" s="51"/>
    </row>
    <row r="225" spans="1:6" ht="15.75" customHeight="1" x14ac:dyDescent="0.25">
      <c r="A225" t="str">
        <f>+Hoja1!B222</f>
        <v>SAMLOG S.R.L.</v>
      </c>
      <c r="B225" t="str">
        <f>+Hoja1!A222</f>
        <v>07655</v>
      </c>
      <c r="C225" s="67">
        <f>+Hoja1!K222</f>
        <v>1697121.5</v>
      </c>
      <c r="D225" s="24">
        <f t="shared" si="6"/>
        <v>1170.4286206896552</v>
      </c>
      <c r="E225" s="50">
        <f t="shared" si="7"/>
        <v>2.9995518751703659E-4</v>
      </c>
      <c r="F225" s="51"/>
    </row>
    <row r="226" spans="1:6" ht="15.75" customHeight="1" x14ac:dyDescent="0.25">
      <c r="A226" t="str">
        <f>+Hoja1!B223</f>
        <v>SAMULAK PAULO ARMANDO</v>
      </c>
      <c r="B226" t="str">
        <f>+Hoja1!A223</f>
        <v>08959</v>
      </c>
      <c r="C226" s="67">
        <f>+Hoja1!K223</f>
        <v>15020398</v>
      </c>
      <c r="D226" s="24">
        <f t="shared" si="6"/>
        <v>10358.895172413793</v>
      </c>
      <c r="E226" s="50">
        <f t="shared" si="7"/>
        <v>2.6547576579935622E-3</v>
      </c>
      <c r="F226" s="51"/>
    </row>
    <row r="227" spans="1:6" ht="15.75" customHeight="1" x14ac:dyDescent="0.25">
      <c r="A227" t="str">
        <f>+Hoja1!B224</f>
        <v>SAN MARCOS E. S.A.</v>
      </c>
      <c r="B227" t="str">
        <f>+Hoja1!A224</f>
        <v>08419</v>
      </c>
      <c r="C227" s="67">
        <f>+Hoja1!K224</f>
        <v>547500</v>
      </c>
      <c r="D227" s="24">
        <f t="shared" si="6"/>
        <v>377.58620689655174</v>
      </c>
      <c r="E227" s="50">
        <f t="shared" si="7"/>
        <v>9.6767064211712326E-5</v>
      </c>
      <c r="F227" s="51"/>
    </row>
    <row r="228" spans="1:6" ht="15.75" customHeight="1" x14ac:dyDescent="0.25">
      <c r="A228" t="str">
        <f>+Hoja1!B225</f>
        <v>SANKO ELECTRONICA S.R.L.</v>
      </c>
      <c r="B228" t="str">
        <f>+Hoja1!A225</f>
        <v>00061</v>
      </c>
      <c r="C228" s="67">
        <f>+Hoja1!K225</f>
        <v>4392801.55</v>
      </c>
      <c r="D228" s="24">
        <f t="shared" si="6"/>
        <v>3029.5183103448276</v>
      </c>
      <c r="E228" s="50">
        <f t="shared" si="7"/>
        <v>7.7639910439846469E-4</v>
      </c>
      <c r="F228" s="51"/>
    </row>
    <row r="229" spans="1:6" ht="15.75" customHeight="1" x14ac:dyDescent="0.25">
      <c r="A229" t="str">
        <f>+Hoja1!B226</f>
        <v>SAVE SRL</v>
      </c>
      <c r="B229" t="str">
        <f>+Hoja1!A226</f>
        <v>07225</v>
      </c>
      <c r="C229" s="67">
        <f>+Hoja1!K226</f>
        <v>3702160</v>
      </c>
      <c r="D229" s="24">
        <f t="shared" si="6"/>
        <v>2553.2137931034481</v>
      </c>
      <c r="E229" s="50">
        <f t="shared" si="7"/>
        <v>6.54332702177229E-4</v>
      </c>
      <c r="F229" s="51"/>
    </row>
    <row r="230" spans="1:6" ht="15.75" customHeight="1" x14ac:dyDescent="0.25">
      <c r="A230" t="str">
        <f>+Hoja1!B227</f>
        <v>SCANIA ARGENTINA SAU</v>
      </c>
      <c r="B230" t="str">
        <f>+Hoja1!A227</f>
        <v>03860</v>
      </c>
      <c r="C230" s="67">
        <f>+Hoja1!K227</f>
        <v>3978739.91</v>
      </c>
      <c r="D230" s="24">
        <f t="shared" si="6"/>
        <v>2743.9585586206899</v>
      </c>
      <c r="E230" s="50">
        <f t="shared" si="7"/>
        <v>7.0321640247063472E-4</v>
      </c>
      <c r="F230" s="51"/>
    </row>
    <row r="231" spans="1:6" ht="15.75" customHeight="1" x14ac:dyDescent="0.25">
      <c r="A231" t="str">
        <f>+Hoja1!B228</f>
        <v>SEA FOOD MEDIA GROUP LTD</v>
      </c>
      <c r="B231" t="str">
        <f>+Hoja1!A228</f>
        <v>08770</v>
      </c>
      <c r="C231" s="67">
        <f>+Hoja1!K228</f>
        <v>1074310</v>
      </c>
      <c r="D231" s="24">
        <f t="shared" si="6"/>
        <v>740.90344827586205</v>
      </c>
      <c r="E231" s="50">
        <f t="shared" si="7"/>
        <v>1.8987730548545144E-4</v>
      </c>
      <c r="F231" s="51"/>
    </row>
    <row r="232" spans="1:6" ht="15.75" customHeight="1" x14ac:dyDescent="0.25">
      <c r="A232" t="str">
        <f>+Hoja1!B229</f>
        <v>SELEC ELECTRICIDAD Y ELECTRONICA S.R.L</v>
      </c>
      <c r="B232" t="str">
        <f>+Hoja1!A229</f>
        <v>08377</v>
      </c>
      <c r="C232" s="67">
        <f>+Hoja1!K229</f>
        <v>456170</v>
      </c>
      <c r="D232" s="24">
        <f t="shared" si="6"/>
        <v>314.60000000000002</v>
      </c>
      <c r="E232" s="50">
        <f t="shared" si="7"/>
        <v>8.0625080696724769E-5</v>
      </c>
      <c r="F232" s="51"/>
    </row>
    <row r="233" spans="1:6" ht="15.75" customHeight="1" x14ac:dyDescent="0.25">
      <c r="A233" t="str">
        <f>+Hoja1!B230</f>
        <v>SEMLOP S.A.</v>
      </c>
      <c r="B233" t="str">
        <f>+Hoja1!A230</f>
        <v>09409</v>
      </c>
      <c r="C233" s="67">
        <f>+Hoja1!K230</f>
        <v>1271600</v>
      </c>
      <c r="D233" s="24">
        <f t="shared" si="6"/>
        <v>876.9655172413793</v>
      </c>
      <c r="E233" s="50">
        <f t="shared" si="7"/>
        <v>2.2474702986596053E-4</v>
      </c>
      <c r="F233" s="51"/>
    </row>
    <row r="234" spans="1:6" ht="15.75" customHeight="1" x14ac:dyDescent="0.25">
      <c r="A234" t="str">
        <f>+Hoja1!B231</f>
        <v>SER AMBIENT SRL</v>
      </c>
      <c r="B234" t="str">
        <f>+Hoja1!A231</f>
        <v>05848</v>
      </c>
      <c r="C234" s="67">
        <f>+Hoja1!K231</f>
        <v>139000.34</v>
      </c>
      <c r="D234" s="24">
        <f t="shared" si="6"/>
        <v>95.862303448275853</v>
      </c>
      <c r="E234" s="50">
        <f t="shared" si="7"/>
        <v>2.4567406075305648E-5</v>
      </c>
      <c r="F234" s="51"/>
    </row>
    <row r="235" spans="1:6" ht="15.75" customHeight="1" x14ac:dyDescent="0.25">
      <c r="A235" t="str">
        <f>+Hoja1!B232</f>
        <v>SERRANO LEONARDO DAVID</v>
      </c>
      <c r="B235" t="str">
        <f>+Hoja1!A232</f>
        <v>08736</v>
      </c>
      <c r="C235" s="67">
        <f>+Hoja1!K232</f>
        <v>24647700</v>
      </c>
      <c r="D235" s="24">
        <f t="shared" si="6"/>
        <v>16998.413793103449</v>
      </c>
      <c r="E235" s="50">
        <f t="shared" si="7"/>
        <v>4.3563206731890812E-3</v>
      </c>
      <c r="F235" s="51"/>
    </row>
    <row r="236" spans="1:6" ht="15.75" customHeight="1" x14ac:dyDescent="0.25">
      <c r="A236" t="str">
        <f>+Hoja1!B233</f>
        <v>SETEIN PRODUCTOS INDUSTRIALES S.A.</v>
      </c>
      <c r="B236" t="str">
        <f>+Hoja1!A233</f>
        <v>06636</v>
      </c>
      <c r="C236" s="67">
        <f>+Hoja1!K233</f>
        <v>3476817.02</v>
      </c>
      <c r="D236" s="24">
        <f t="shared" si="6"/>
        <v>2397.8048413793103</v>
      </c>
      <c r="E236" s="50">
        <f t="shared" si="7"/>
        <v>6.1450479603052837E-4</v>
      </c>
      <c r="F236" s="51"/>
    </row>
    <row r="237" spans="1:6" ht="15.75" customHeight="1" x14ac:dyDescent="0.25">
      <c r="A237" t="str">
        <f>+Hoja1!B234</f>
        <v>SEYCO S.A.C.I.F.</v>
      </c>
      <c r="B237" t="str">
        <f>+Hoja1!A234</f>
        <v>00181</v>
      </c>
      <c r="C237" s="67">
        <f>+Hoja1!K234</f>
        <v>600686.56999999995</v>
      </c>
      <c r="D237" s="24">
        <f t="shared" si="6"/>
        <v>414.26659999999998</v>
      </c>
      <c r="E237" s="50">
        <f t="shared" si="7"/>
        <v>1.0616744454849905E-4</v>
      </c>
      <c r="F237" s="51"/>
    </row>
    <row r="238" spans="1:6" ht="15.75" customHeight="1" x14ac:dyDescent="0.25">
      <c r="A238" t="str">
        <f>+Hoja1!B235</f>
        <v>SIDER GROUP S.A.</v>
      </c>
      <c r="B238" t="str">
        <f>+Hoja1!A235</f>
        <v>06858</v>
      </c>
      <c r="C238" s="67">
        <f>+Hoja1!K235</f>
        <v>517597.09</v>
      </c>
      <c r="D238" s="24">
        <f t="shared" si="6"/>
        <v>356.96351034482763</v>
      </c>
      <c r="E238" s="50">
        <f t="shared" si="7"/>
        <v>9.1481919349452876E-5</v>
      </c>
      <c r="F238" s="51"/>
    </row>
    <row r="239" spans="1:6" ht="15.75" customHeight="1" x14ac:dyDescent="0.25">
      <c r="A239" t="str">
        <f>+Hoja1!B236</f>
        <v>SIEBEN SANTIAGO NICOLAS</v>
      </c>
      <c r="B239" t="str">
        <f>+Hoja1!A236</f>
        <v>09102</v>
      </c>
      <c r="C239" s="67">
        <f>+Hoja1!K236</f>
        <v>48800000</v>
      </c>
      <c r="D239" s="24">
        <f t="shared" si="6"/>
        <v>33655.172413793101</v>
      </c>
      <c r="E239" s="50">
        <f t="shared" si="7"/>
        <v>8.6250826183224862E-3</v>
      </c>
      <c r="F239" s="51"/>
    </row>
    <row r="240" spans="1:6" ht="15.75" customHeight="1" x14ac:dyDescent="0.25">
      <c r="A240" t="str">
        <f>+Hoja1!B237</f>
        <v>SIGEVAL SA</v>
      </c>
      <c r="B240" t="str">
        <f>+Hoja1!A237</f>
        <v>08702</v>
      </c>
      <c r="C240" s="67">
        <f>+Hoja1!K237</f>
        <v>8115779.6100000003</v>
      </c>
      <c r="D240" s="24">
        <f t="shared" si="6"/>
        <v>5597.089386206897</v>
      </c>
      <c r="E240" s="50">
        <f t="shared" si="7"/>
        <v>1.4344112632858003E-3</v>
      </c>
      <c r="F240" s="51"/>
    </row>
    <row r="241" spans="1:6" ht="15.75" customHeight="1" x14ac:dyDescent="0.25">
      <c r="A241" t="str">
        <f>+Hoja1!B238</f>
        <v>SIMONAZZI HUGO OMAR</v>
      </c>
      <c r="B241" t="str">
        <f>+Hoja1!A238</f>
        <v>01127</v>
      </c>
      <c r="C241" s="67">
        <f>+Hoja1!K238</f>
        <v>8034400</v>
      </c>
      <c r="D241" s="24">
        <f t="shared" si="6"/>
        <v>5540.9655172413795</v>
      </c>
      <c r="E241" s="50">
        <f t="shared" si="7"/>
        <v>1.4200279464887332E-3</v>
      </c>
      <c r="F241" s="51"/>
    </row>
    <row r="242" spans="1:6" ht="15.75" customHeight="1" x14ac:dyDescent="0.25">
      <c r="A242" t="str">
        <f>+Hoja1!B239</f>
        <v>SINFID SA</v>
      </c>
      <c r="B242" t="str">
        <f>+Hoja1!A239</f>
        <v>06212</v>
      </c>
      <c r="C242" s="67">
        <f>+Hoja1!K239</f>
        <v>2998380</v>
      </c>
      <c r="D242" s="24">
        <f t="shared" si="6"/>
        <v>2067.8482758620689</v>
      </c>
      <c r="E242" s="50">
        <f t="shared" si="7"/>
        <v>5.2994416436733145E-4</v>
      </c>
      <c r="F242" s="51"/>
    </row>
    <row r="243" spans="1:6" ht="15.75" customHeight="1" x14ac:dyDescent="0.25">
      <c r="A243" t="str">
        <f>+Hoja1!B240</f>
        <v>SIRO HUGO CESAR</v>
      </c>
      <c r="B243" t="str">
        <f>+Hoja1!A240</f>
        <v>07987</v>
      </c>
      <c r="C243" s="67">
        <f>+Hoja1!K240</f>
        <v>33011550</v>
      </c>
      <c r="D243" s="24">
        <f t="shared" si="6"/>
        <v>22766.586206896551</v>
      </c>
      <c r="E243" s="50">
        <f t="shared" si="7"/>
        <v>5.8345767645263044E-3</v>
      </c>
      <c r="F243" s="51"/>
    </row>
    <row r="244" spans="1:6" ht="15.75" customHeight="1" x14ac:dyDescent="0.25">
      <c r="A244" t="str">
        <f>+Hoja1!B241</f>
        <v>SKV GROUP S.L.</v>
      </c>
      <c r="B244" t="str">
        <f>+Hoja1!A241</f>
        <v>08700</v>
      </c>
      <c r="C244" s="67">
        <f>+Hoja1!K241</f>
        <v>25876207.34</v>
      </c>
      <c r="D244" s="24">
        <f t="shared" si="6"/>
        <v>17845.660234482759</v>
      </c>
      <c r="E244" s="50">
        <f t="shared" si="7"/>
        <v>4.5734513556627615E-3</v>
      </c>
      <c r="F244" s="51"/>
    </row>
    <row r="245" spans="1:6" ht="15.75" customHeight="1" x14ac:dyDescent="0.25">
      <c r="A245" t="str">
        <f>+Hoja1!B242</f>
        <v>SOLARI JOSE JESUS</v>
      </c>
      <c r="B245" t="str">
        <f>+Hoja1!A242</f>
        <v>09434</v>
      </c>
      <c r="C245" s="67">
        <f>+Hoja1!K242</f>
        <v>3618300</v>
      </c>
      <c r="D245" s="24">
        <f t="shared" si="6"/>
        <v>2495.3793103448274</v>
      </c>
      <c r="E245" s="50">
        <f t="shared" si="7"/>
        <v>6.3951099257943133E-4</v>
      </c>
      <c r="F245" s="51"/>
    </row>
    <row r="246" spans="1:6" ht="15.75" customHeight="1" x14ac:dyDescent="0.25">
      <c r="A246" t="str">
        <f>+Hoja1!B243</f>
        <v>STAR - FISH S.A.</v>
      </c>
      <c r="B246" t="str">
        <f>+Hoja1!A243</f>
        <v>08379</v>
      </c>
      <c r="C246" s="67">
        <f>+Hoja1!K243</f>
        <v>1331</v>
      </c>
      <c r="D246" s="24">
        <f t="shared" si="6"/>
        <v>0.91793103448275859</v>
      </c>
      <c r="E246" s="50">
        <f t="shared" si="7"/>
        <v>2.3524559354482027E-7</v>
      </c>
      <c r="F246" s="51"/>
    </row>
    <row r="247" spans="1:6" ht="15.75" customHeight="1" x14ac:dyDescent="0.25">
      <c r="A247" t="str">
        <f>+Hoja1!B244</f>
        <v>STELLA DANIEL GENARO</v>
      </c>
      <c r="B247" t="str">
        <f>+Hoja1!A244</f>
        <v>07426</v>
      </c>
      <c r="C247" s="67">
        <f>+Hoja1!K244</f>
        <v>411400</v>
      </c>
      <c r="D247" s="24">
        <f t="shared" si="6"/>
        <v>283.72413793103448</v>
      </c>
      <c r="E247" s="50">
        <f t="shared" si="7"/>
        <v>7.271227436839899E-5</v>
      </c>
      <c r="F247" s="51"/>
    </row>
    <row r="248" spans="1:6" ht="15.75" customHeight="1" x14ac:dyDescent="0.25">
      <c r="A248" t="str">
        <f>+Hoja1!B245</f>
        <v>SUCESION DE BUONO FILIPPO</v>
      </c>
      <c r="B248" t="str">
        <f>+Hoja1!A245</f>
        <v>06956</v>
      </c>
      <c r="C248" s="67">
        <f>+Hoja1!K245</f>
        <v>1508995.54</v>
      </c>
      <c r="D248" s="24">
        <f t="shared" si="6"/>
        <v>1040.6865793103448</v>
      </c>
      <c r="E248" s="50">
        <f t="shared" si="7"/>
        <v>2.6670514760615067E-4</v>
      </c>
      <c r="F248" s="51"/>
    </row>
    <row r="249" spans="1:6" ht="15.75" customHeight="1" x14ac:dyDescent="0.25">
      <c r="A249" t="str">
        <f>+Hoja1!B246</f>
        <v>TAGLIARINI RUBEN OMAR</v>
      </c>
      <c r="B249" t="str">
        <f>+Hoja1!A246</f>
        <v>03151</v>
      </c>
      <c r="C249" s="67">
        <f>+Hoja1!K246</f>
        <v>4089800</v>
      </c>
      <c r="D249" s="24">
        <f t="shared" si="6"/>
        <v>2820.5517241379312</v>
      </c>
      <c r="E249" s="50">
        <f t="shared" si="7"/>
        <v>7.2284555107408411E-4</v>
      </c>
      <c r="F249" s="51"/>
    </row>
    <row r="250" spans="1:6" ht="15.75" customHeight="1" x14ac:dyDescent="0.25">
      <c r="A250" t="str">
        <f>+Hoja1!B247</f>
        <v>TALLER MCM S.R.L</v>
      </c>
      <c r="B250" t="str">
        <f>+Hoja1!A247</f>
        <v>07555</v>
      </c>
      <c r="C250" s="67">
        <f>+Hoja1!K247</f>
        <v>16443900</v>
      </c>
      <c r="D250" s="24">
        <f t="shared" si="6"/>
        <v>11340.620689655172</v>
      </c>
      <c r="E250" s="50">
        <f t="shared" si="7"/>
        <v>2.9063523784310067E-3</v>
      </c>
      <c r="F250" s="51"/>
    </row>
    <row r="251" spans="1:6" ht="15.75" customHeight="1" x14ac:dyDescent="0.25">
      <c r="A251" t="str">
        <f>+Hoja1!B248</f>
        <v>TALLERES CARMONA S.A.</v>
      </c>
      <c r="B251" t="str">
        <f>+Hoja1!A248</f>
        <v>00145</v>
      </c>
      <c r="C251" s="67">
        <f>+Hoja1!K248</f>
        <v>1793935538.1900001</v>
      </c>
      <c r="D251" s="24">
        <f t="shared" si="6"/>
        <v>1237196.9228896552</v>
      </c>
      <c r="E251" s="50">
        <f t="shared" si="7"/>
        <v>0.31706643911544191</v>
      </c>
      <c r="F251" s="51"/>
    </row>
    <row r="252" spans="1:6" ht="15.75" customHeight="1" x14ac:dyDescent="0.25">
      <c r="A252" t="str">
        <f>+Hoja1!B249</f>
        <v>TALLONE ALEJANDRO ULISES</v>
      </c>
      <c r="B252" t="str">
        <f>+Hoja1!A249</f>
        <v>08747</v>
      </c>
      <c r="C252" s="67">
        <f>+Hoja1!K249</f>
        <v>195817.46</v>
      </c>
      <c r="D252" s="24">
        <f t="shared" si="6"/>
        <v>135.04652413793102</v>
      </c>
      <c r="E252" s="50">
        <f t="shared" si="7"/>
        <v>3.4609462512501199E-5</v>
      </c>
      <c r="F252" s="51"/>
    </row>
    <row r="253" spans="1:6" ht="15.75" customHeight="1" x14ac:dyDescent="0.25">
      <c r="A253" t="str">
        <f>+Hoja1!B250</f>
        <v>TECH SAFE S.A.</v>
      </c>
      <c r="B253" t="str">
        <f>+Hoja1!A250</f>
        <v>09462</v>
      </c>
      <c r="C253" s="67">
        <f>+Hoja1!K250</f>
        <v>4471155.84</v>
      </c>
      <c r="D253" s="24">
        <f t="shared" si="6"/>
        <v>3083.5557517241377</v>
      </c>
      <c r="E253" s="50">
        <f t="shared" si="7"/>
        <v>7.9024771556137447E-4</v>
      </c>
      <c r="F253" s="51"/>
    </row>
    <row r="254" spans="1:6" ht="15.75" customHeight="1" x14ac:dyDescent="0.25">
      <c r="A254" t="str">
        <f>+Hoja1!B251</f>
        <v>TECNO LUBE S.A.</v>
      </c>
      <c r="B254" t="str">
        <f>+Hoja1!A251</f>
        <v>07095</v>
      </c>
      <c r="C254" s="67">
        <f>+Hoja1!K251</f>
        <v>94650</v>
      </c>
      <c r="D254" s="24">
        <f t="shared" si="6"/>
        <v>65.275862068965523</v>
      </c>
      <c r="E254" s="50">
        <f t="shared" si="7"/>
        <v>1.672877192262753E-5</v>
      </c>
      <c r="F254" s="51"/>
    </row>
    <row r="255" spans="1:6" ht="15.75" customHeight="1" x14ac:dyDescent="0.25">
      <c r="A255" t="str">
        <f>+Hoja1!B252</f>
        <v>TECNOPESCA ARGENTINA SA</v>
      </c>
      <c r="B255" t="str">
        <f>+Hoja1!A252</f>
        <v>02650</v>
      </c>
      <c r="C255" s="67">
        <f>+Hoja1!K252</f>
        <v>5454380.2699999996</v>
      </c>
      <c r="D255" s="24">
        <f t="shared" si="6"/>
        <v>3761.6415655172409</v>
      </c>
      <c r="E255" s="50">
        <f t="shared" si="7"/>
        <v>9.6402623894463327E-4</v>
      </c>
      <c r="F255" s="51"/>
    </row>
    <row r="256" spans="1:6" ht="15.75" customHeight="1" x14ac:dyDescent="0.25">
      <c r="A256" t="str">
        <f>+Hoja1!B253</f>
        <v>TECVOL S.R.L.</v>
      </c>
      <c r="B256" t="str">
        <f>+Hoja1!A253</f>
        <v>08667</v>
      </c>
      <c r="C256" s="67">
        <f>+Hoja1!K253</f>
        <v>18017060.289999999</v>
      </c>
      <c r="D256" s="24">
        <f t="shared" si="6"/>
        <v>12425.558820689654</v>
      </c>
      <c r="E256" s="50">
        <f t="shared" si="7"/>
        <v>3.1843982282899032E-3</v>
      </c>
      <c r="F256" s="51"/>
    </row>
    <row r="257" spans="1:6" ht="15.75" customHeight="1" x14ac:dyDescent="0.25">
      <c r="A257" t="str">
        <f>+Hoja1!B254</f>
        <v>TELECOM ARGENTINA SA</v>
      </c>
      <c r="B257" t="str">
        <f>+Hoja1!A254</f>
        <v>03695</v>
      </c>
      <c r="C257" s="67">
        <f>+Hoja1!K254</f>
        <v>1445042.13</v>
      </c>
      <c r="D257" s="24">
        <f t="shared" si="6"/>
        <v>996.58077931034472</v>
      </c>
      <c r="E257" s="50">
        <f t="shared" si="7"/>
        <v>2.5540179832390784E-4</v>
      </c>
      <c r="F257" s="51"/>
    </row>
    <row r="258" spans="1:6" ht="15.75" customHeight="1" x14ac:dyDescent="0.25">
      <c r="A258" t="str">
        <f>+Hoja1!B255</f>
        <v>TELMEX ARGENTINA SA</v>
      </c>
      <c r="B258" t="str">
        <f>+Hoja1!A255</f>
        <v>05683</v>
      </c>
      <c r="C258" s="67">
        <f>+Hoja1!K255</f>
        <v>2147168.08</v>
      </c>
      <c r="D258" s="24">
        <f t="shared" si="6"/>
        <v>1480.8055724137932</v>
      </c>
      <c r="E258" s="50">
        <f t="shared" si="7"/>
        <v>3.7949799355378825E-4</v>
      </c>
      <c r="F258" s="51"/>
    </row>
    <row r="259" spans="1:6" ht="15.75" customHeight="1" x14ac:dyDescent="0.25">
      <c r="A259" t="str">
        <f>+Hoja1!B256</f>
        <v>THEISEN SEBASTIAN</v>
      </c>
      <c r="B259" t="str">
        <f>+Hoja1!A256</f>
        <v>09167</v>
      </c>
      <c r="C259" s="67">
        <f>+Hoja1!K256</f>
        <v>420000</v>
      </c>
      <c r="D259" s="24">
        <f t="shared" si="6"/>
        <v>289.65517241379308</v>
      </c>
      <c r="E259" s="50">
        <f t="shared" si="7"/>
        <v>7.4232268436382054E-5</v>
      </c>
      <c r="F259" s="51"/>
    </row>
    <row r="260" spans="1:6" ht="15.75" customHeight="1" x14ac:dyDescent="0.25">
      <c r="A260" t="str">
        <f>+Hoja1!B257</f>
        <v>TODO BOMBAS S. R. L.</v>
      </c>
      <c r="B260" t="str">
        <f>+Hoja1!A257</f>
        <v>08953</v>
      </c>
      <c r="C260" s="67">
        <f>+Hoja1!K257</f>
        <v>657417.41</v>
      </c>
      <c r="D260" s="24">
        <f t="shared" si="6"/>
        <v>453.39131724137934</v>
      </c>
      <c r="E260" s="50">
        <f t="shared" si="7"/>
        <v>1.1619425155683582E-4</v>
      </c>
      <c r="F260" s="51"/>
    </row>
    <row r="261" spans="1:6" ht="15.75" customHeight="1" x14ac:dyDescent="0.25">
      <c r="A261" t="str">
        <f>+Hoja1!B258</f>
        <v>TODO PARA LA GASTRONOMIA S.A.</v>
      </c>
      <c r="B261" t="str">
        <f>+Hoja1!A258</f>
        <v>04016</v>
      </c>
      <c r="C261" s="67">
        <f>+Hoja1!K258</f>
        <v>3994645.17</v>
      </c>
      <c r="D261" s="24">
        <f t="shared" si="6"/>
        <v>2754.9277034482757</v>
      </c>
      <c r="E261" s="50">
        <f t="shared" si="7"/>
        <v>7.0602755373223099E-4</v>
      </c>
      <c r="F261" s="51"/>
    </row>
    <row r="262" spans="1:6" ht="15.75" customHeight="1" x14ac:dyDescent="0.25">
      <c r="A262" t="str">
        <f>+Hoja1!B259</f>
        <v>TOLOSA S.A.</v>
      </c>
      <c r="B262" t="str">
        <f>+Hoja1!A259</f>
        <v>06103</v>
      </c>
      <c r="C262" s="67">
        <f>+Hoja1!K259</f>
        <v>358999.99</v>
      </c>
      <c r="D262" s="24">
        <f t="shared" ref="D262:D281" si="8">+C262/$D$3</f>
        <v>247.58619999999999</v>
      </c>
      <c r="E262" s="50">
        <f t="shared" ref="E262:E281" si="9">+D262/$D$282</f>
        <v>6.3450913396043978E-5</v>
      </c>
      <c r="F262" s="51"/>
    </row>
    <row r="263" spans="1:6" ht="15.75" customHeight="1" x14ac:dyDescent="0.25">
      <c r="A263" t="str">
        <f>+Hoja1!B260</f>
        <v>TRANSMISIONES LORENZANI S.R.L</v>
      </c>
      <c r="B263" t="str">
        <f>+Hoja1!A260</f>
        <v>08757</v>
      </c>
      <c r="C263" s="67">
        <f>+Hoja1!K260</f>
        <v>1098438</v>
      </c>
      <c r="D263" s="24">
        <f t="shared" si="8"/>
        <v>757.54344827586203</v>
      </c>
      <c r="E263" s="50">
        <f t="shared" si="9"/>
        <v>1.9414177256362529E-4</v>
      </c>
      <c r="F263" s="51"/>
    </row>
    <row r="264" spans="1:6" ht="15.75" customHeight="1" x14ac:dyDescent="0.25">
      <c r="A264" t="str">
        <f>+Hoja1!B261</f>
        <v>TRANSPORTE FORTUNA DEL MAR SA</v>
      </c>
      <c r="B264" t="str">
        <f>+Hoja1!A261</f>
        <v>08076</v>
      </c>
      <c r="C264" s="67">
        <f>+Hoja1!K261</f>
        <v>8905600</v>
      </c>
      <c r="D264" s="24">
        <f t="shared" si="8"/>
        <v>6141.7931034482763</v>
      </c>
      <c r="E264" s="50">
        <f t="shared" si="9"/>
        <v>1.5740068804453429E-3</v>
      </c>
      <c r="F264" s="51"/>
    </row>
    <row r="265" spans="1:6" ht="15.75" customHeight="1" x14ac:dyDescent="0.25">
      <c r="A265" t="str">
        <f>+Hoja1!B262</f>
        <v>TRANSPORTES SCORDINA SA</v>
      </c>
      <c r="B265" t="str">
        <f>+Hoja1!A262</f>
        <v>00507</v>
      </c>
      <c r="C265" s="67">
        <f>+Hoja1!K262</f>
        <v>2595584.67</v>
      </c>
      <c r="D265" s="24">
        <f t="shared" si="8"/>
        <v>1790.0583931034482</v>
      </c>
      <c r="E265" s="50">
        <f t="shared" si="9"/>
        <v>4.5875270945904315E-4</v>
      </c>
      <c r="F265" s="51"/>
    </row>
    <row r="266" spans="1:6" ht="15.75" customHeight="1" x14ac:dyDescent="0.25">
      <c r="A266" t="str">
        <f>+Hoja1!B263</f>
        <v>TREMBLAY S.R.L.</v>
      </c>
      <c r="B266" t="str">
        <f>+Hoja1!A263</f>
        <v>06375</v>
      </c>
      <c r="C266" s="67">
        <f>+Hoja1!K263</f>
        <v>2007427.41</v>
      </c>
      <c r="D266" s="24">
        <f t="shared" si="8"/>
        <v>1384.4326965517241</v>
      </c>
      <c r="E266" s="50">
        <f t="shared" si="9"/>
        <v>3.5479973896588375E-4</v>
      </c>
      <c r="F266" s="51"/>
    </row>
    <row r="267" spans="1:6" ht="15.75" customHeight="1" x14ac:dyDescent="0.25">
      <c r="A267" t="str">
        <f>+Hoja1!B264</f>
        <v>TRUCHI RUBEN ANGEL</v>
      </c>
      <c r="B267" t="str">
        <f>+Hoja1!A264</f>
        <v>09510</v>
      </c>
      <c r="C267" s="67">
        <f>+Hoja1!K264</f>
        <v>-653801.14</v>
      </c>
      <c r="D267" s="24">
        <f t="shared" si="8"/>
        <v>-450.89733793103449</v>
      </c>
      <c r="E267" s="50">
        <f t="shared" si="9"/>
        <v>-1.1555509935355381E-4</v>
      </c>
      <c r="F267" s="51"/>
    </row>
    <row r="268" spans="1:6" ht="15.75" customHeight="1" x14ac:dyDescent="0.25">
      <c r="A268" t="str">
        <f>+Hoja1!B265</f>
        <v>URIARTE MARCELO OSVALDO</v>
      </c>
      <c r="B268" t="str">
        <f>+Hoja1!A265</f>
        <v>07686</v>
      </c>
      <c r="C268" s="67">
        <f>+Hoja1!K265</f>
        <v>1848700.12</v>
      </c>
      <c r="D268" s="24">
        <f t="shared" si="8"/>
        <v>1274.9656</v>
      </c>
      <c r="E268" s="50">
        <f t="shared" si="9"/>
        <v>3.2674572277669454E-4</v>
      </c>
      <c r="F268" s="51"/>
    </row>
    <row r="269" spans="1:6" ht="15.75" customHeight="1" x14ac:dyDescent="0.25">
      <c r="A269" t="str">
        <f>+Hoja1!B266</f>
        <v>URK SA</v>
      </c>
      <c r="B269" t="str">
        <f>+Hoja1!A266</f>
        <v>07448</v>
      </c>
      <c r="C269" s="67">
        <f>+Hoja1!K266</f>
        <v>3750820.92</v>
      </c>
      <c r="D269" s="24">
        <f t="shared" si="8"/>
        <v>2586.773048275862</v>
      </c>
      <c r="E269" s="50">
        <f t="shared" si="9"/>
        <v>6.6293320331008924E-4</v>
      </c>
      <c r="F269" s="51"/>
    </row>
    <row r="270" spans="1:6" ht="15.75" customHeight="1" x14ac:dyDescent="0.25">
      <c r="A270" t="str">
        <f>+Hoja1!B267</f>
        <v>VAZQUEZ DANIEL NORBERTO</v>
      </c>
      <c r="B270" t="str">
        <f>+Hoja1!A267</f>
        <v>04035</v>
      </c>
      <c r="C270" s="67">
        <f>+Hoja1!K267</f>
        <v>88182989.640000001</v>
      </c>
      <c r="D270" s="24">
        <f t="shared" si="8"/>
        <v>60815.85492413793</v>
      </c>
      <c r="E270" s="50">
        <f t="shared" si="9"/>
        <v>1.5585769901140899E-2</v>
      </c>
      <c r="F270" s="51"/>
    </row>
    <row r="271" spans="1:6" ht="15.75" customHeight="1" x14ac:dyDescent="0.25">
      <c r="A271" t="str">
        <f>+Hoja1!B268</f>
        <v>VERON VICTOR RAUL</v>
      </c>
      <c r="B271" t="str">
        <f>+Hoja1!A268</f>
        <v>03123</v>
      </c>
      <c r="C271" s="67">
        <f>+Hoja1!K268</f>
        <v>7118732.5</v>
      </c>
      <c r="D271" s="24">
        <f t="shared" si="8"/>
        <v>4909.4706896551725</v>
      </c>
      <c r="E271" s="50">
        <f t="shared" si="9"/>
        <v>1.2581896711114217E-3</v>
      </c>
      <c r="F271" s="51"/>
    </row>
    <row r="272" spans="1:6" ht="15.75" customHeight="1" x14ac:dyDescent="0.25">
      <c r="A272" t="str">
        <f>+Hoja1!B269</f>
        <v>VIENTOS DE LUNA S.A.</v>
      </c>
      <c r="B272" t="str">
        <f>+Hoja1!A269</f>
        <v>05028</v>
      </c>
      <c r="C272" s="67">
        <f>+Hoja1!K269</f>
        <v>2384426</v>
      </c>
      <c r="D272" s="24">
        <f t="shared" si="8"/>
        <v>1644.431724137931</v>
      </c>
      <c r="E272" s="50">
        <f t="shared" si="9"/>
        <v>4.2143178785402074E-4</v>
      </c>
      <c r="F272" s="51"/>
    </row>
    <row r="273" spans="1:6" ht="15.75" customHeight="1" x14ac:dyDescent="0.25">
      <c r="A273" t="str">
        <f>+Hoja1!B270</f>
        <v>VILGOM ARGENTINA S.A.</v>
      </c>
      <c r="B273" t="str">
        <f>+Hoja1!A270</f>
        <v>06385</v>
      </c>
      <c r="C273" s="67">
        <f>+Hoja1!K270</f>
        <v>820340.43</v>
      </c>
      <c r="D273" s="24">
        <f t="shared" si="8"/>
        <v>565.75202068965518</v>
      </c>
      <c r="E273" s="50">
        <f t="shared" si="9"/>
        <v>1.4498983573565973E-4</v>
      </c>
      <c r="F273" s="51"/>
    </row>
    <row r="274" spans="1:6" ht="15.75" customHeight="1" x14ac:dyDescent="0.25">
      <c r="A274" t="str">
        <f>+Hoja1!B271</f>
        <v>VIOMAR S.A.I.C.</v>
      </c>
      <c r="B274" t="str">
        <f>+Hoja1!A271</f>
        <v>00295</v>
      </c>
      <c r="C274" s="67">
        <f>+Hoja1!K271</f>
        <v>78597013.340000004</v>
      </c>
      <c r="D274" s="24">
        <f t="shared" si="8"/>
        <v>54204.836786206899</v>
      </c>
      <c r="E274" s="50">
        <f t="shared" si="9"/>
        <v>1.389151093464948E-2</v>
      </c>
      <c r="F274" s="51"/>
    </row>
    <row r="275" spans="1:6" ht="15.75" customHeight="1" x14ac:dyDescent="0.25">
      <c r="A275" t="str">
        <f>+Hoja1!B272</f>
        <v>VIORFI SOCIEDAD ANONIMA</v>
      </c>
      <c r="B275" t="str">
        <f>+Hoja1!A272</f>
        <v>07795</v>
      </c>
      <c r="C275" s="67">
        <f>+Hoja1!K272</f>
        <v>3630</v>
      </c>
      <c r="D275" s="24">
        <f t="shared" si="8"/>
        <v>2.5034482758620689</v>
      </c>
      <c r="E275" s="50">
        <f t="shared" si="9"/>
        <v>6.4157889148587346E-7</v>
      </c>
      <c r="F275" s="51"/>
    </row>
    <row r="276" spans="1:6" ht="15.75" customHeight="1" x14ac:dyDescent="0.25">
      <c r="A276" t="str">
        <f>+Hoja1!B273</f>
        <v>VISION LOGISTIC</v>
      </c>
      <c r="B276" t="str">
        <f>+Hoja1!A273</f>
        <v>08447</v>
      </c>
      <c r="C276" s="67">
        <f>+Hoja1!K273</f>
        <v>-1.1100000000000001</v>
      </c>
      <c r="D276" s="24">
        <f t="shared" si="8"/>
        <v>-7.6551724137931037E-4</v>
      </c>
      <c r="E276" s="50">
        <f t="shared" si="9"/>
        <v>-1.9618528086758116E-10</v>
      </c>
      <c r="F276" s="51"/>
    </row>
    <row r="277" spans="1:6" ht="15.75" customHeight="1" x14ac:dyDescent="0.25">
      <c r="A277" t="str">
        <f>+Hoja1!B274</f>
        <v>WANBARU ICE S.A.</v>
      </c>
      <c r="B277" t="str">
        <f>+Hoja1!A274</f>
        <v>09576</v>
      </c>
      <c r="C277" s="67">
        <f>+Hoja1!K274</f>
        <v>1577601.83</v>
      </c>
      <c r="D277" s="24">
        <f t="shared" si="8"/>
        <v>1088.0012620689656</v>
      </c>
      <c r="E277" s="50">
        <f t="shared" si="9"/>
        <v>2.7883086316735138E-4</v>
      </c>
      <c r="F277" s="51"/>
    </row>
    <row r="278" spans="1:6" ht="15.75" customHeight="1" x14ac:dyDescent="0.25">
      <c r="A278" t="str">
        <f>+Hoja1!B275</f>
        <v>WANCHESE ARGENTINA S R L</v>
      </c>
      <c r="B278" t="str">
        <f>+Hoja1!A275</f>
        <v>09600</v>
      </c>
      <c r="C278" s="67">
        <f>+Hoja1!K275</f>
        <v>19641398.210000001</v>
      </c>
      <c r="D278" s="24">
        <f t="shared" si="8"/>
        <v>13545.791868965518</v>
      </c>
      <c r="E278" s="50">
        <f t="shared" si="9"/>
        <v>3.4714893914061765E-3</v>
      </c>
      <c r="F278" s="51"/>
    </row>
    <row r="279" spans="1:6" ht="15.75" customHeight="1" x14ac:dyDescent="0.25">
      <c r="A279" t="str">
        <f>+Hoja1!B276</f>
        <v>WATER NAVAL</v>
      </c>
      <c r="B279" t="str">
        <f>+Hoja1!A276</f>
        <v>08554</v>
      </c>
      <c r="C279" s="67">
        <f>+Hoja1!K276</f>
        <v>8560835.2300000004</v>
      </c>
      <c r="D279" s="24">
        <f t="shared" si="8"/>
        <v>5904.0242965517245</v>
      </c>
      <c r="E279" s="50">
        <f t="shared" si="9"/>
        <v>1.5130719496023728E-3</v>
      </c>
      <c r="F279" s="51"/>
    </row>
    <row r="280" spans="1:6" ht="15.75" customHeight="1" x14ac:dyDescent="0.25">
      <c r="A280" t="str">
        <f>+Hoja1!B277</f>
        <v>Y.C. ARMO-CAS S. A.</v>
      </c>
      <c r="B280" t="str">
        <f>+Hoja1!A277</f>
        <v>08729</v>
      </c>
      <c r="C280" s="67">
        <f>+Hoja1!K277</f>
        <v>1485120</v>
      </c>
      <c r="D280" s="24">
        <f t="shared" si="8"/>
        <v>1024.2206896551725</v>
      </c>
      <c r="E280" s="50">
        <f t="shared" si="9"/>
        <v>2.6248530119104695E-4</v>
      </c>
      <c r="F280" s="51"/>
    </row>
    <row r="281" spans="1:6" ht="15.75" customHeight="1" x14ac:dyDescent="0.25">
      <c r="A281" t="str">
        <f>+Hoja1!B278</f>
        <v>YPF S.A.</v>
      </c>
      <c r="B281" t="str">
        <f>+Hoja1!A278</f>
        <v>02429</v>
      </c>
      <c r="C281" s="67">
        <f>+Hoja1!K278</f>
        <v>972431320.27999997</v>
      </c>
      <c r="D281" s="24">
        <f t="shared" si="8"/>
        <v>670642.28984827583</v>
      </c>
      <c r="E281" s="50">
        <f t="shared" si="9"/>
        <v>0.17187091143564373</v>
      </c>
      <c r="F281" s="51"/>
    </row>
    <row r="282" spans="1:6" ht="18" customHeight="1" x14ac:dyDescent="0.25">
      <c r="A282" s="41" t="s">
        <v>166</v>
      </c>
      <c r="B282" s="42"/>
      <c r="C282" s="43">
        <f>SUM(C5:C263)</f>
        <v>5657916817.6700001</v>
      </c>
      <c r="D282" s="43">
        <f t="shared" ref="D282:E282" si="10">SUM(D5:D263)</f>
        <v>3902011.598393104</v>
      </c>
      <c r="E282" s="81">
        <f t="shared" si="10"/>
        <v>1.0000000000000002</v>
      </c>
      <c r="F282" s="42"/>
    </row>
    <row r="284" spans="1:6" ht="15" customHeight="1" x14ac:dyDescent="0.25">
      <c r="A284" s="80" t="s">
        <v>167</v>
      </c>
      <c r="B284" s="80"/>
      <c r="C284" s="80"/>
      <c r="D284" s="80"/>
      <c r="E284" s="80"/>
      <c r="F284" s="80"/>
    </row>
    <row r="499" spans="1:10" x14ac:dyDescent="0.25">
      <c r="A499" t="s">
        <v>619</v>
      </c>
    </row>
    <row r="500" spans="1:10" x14ac:dyDescent="0.25">
      <c r="A500" t="s">
        <v>544</v>
      </c>
    </row>
    <row r="501" spans="1:10" x14ac:dyDescent="0.25">
      <c r="A501" t="s">
        <v>545</v>
      </c>
    </row>
    <row r="502" spans="1:10" x14ac:dyDescent="0.25">
      <c r="A502" t="s">
        <v>620</v>
      </c>
      <c r="B502" t="s">
        <v>621</v>
      </c>
      <c r="C502" t="s">
        <v>622</v>
      </c>
      <c r="D502" t="s">
        <v>4</v>
      </c>
      <c r="E502" t="s">
        <v>623</v>
      </c>
      <c r="F502" t="s">
        <v>624</v>
      </c>
      <c r="G502" t="s">
        <v>625</v>
      </c>
      <c r="H502" t="s">
        <v>626</v>
      </c>
      <c r="I502" t="s">
        <v>627</v>
      </c>
      <c r="J502" t="s">
        <v>628</v>
      </c>
    </row>
    <row r="503" spans="1:10" x14ac:dyDescent="0.25">
      <c r="A503" t="s">
        <v>629</v>
      </c>
      <c r="B503" t="s">
        <v>630</v>
      </c>
      <c r="C503" t="s">
        <v>631</v>
      </c>
      <c r="D503" t="s">
        <v>632</v>
      </c>
      <c r="E503">
        <v>0</v>
      </c>
      <c r="F503" t="s">
        <v>633</v>
      </c>
      <c r="G503">
        <v>26766.34</v>
      </c>
      <c r="H503">
        <v>0</v>
      </c>
      <c r="I503">
        <v>-327.93</v>
      </c>
      <c r="J503">
        <v>0</v>
      </c>
    </row>
    <row r="504" spans="1:10" x14ac:dyDescent="0.25">
      <c r="A504" t="s">
        <v>182</v>
      </c>
      <c r="B504" t="s">
        <v>183</v>
      </c>
      <c r="C504" t="s">
        <v>631</v>
      </c>
      <c r="D504" t="s">
        <v>634</v>
      </c>
      <c r="E504">
        <v>0</v>
      </c>
      <c r="F504" t="s">
        <v>635</v>
      </c>
      <c r="G504">
        <v>11514934.75</v>
      </c>
      <c r="H504">
        <v>15632622.85</v>
      </c>
      <c r="I504">
        <v>0</v>
      </c>
      <c r="J504">
        <v>0</v>
      </c>
    </row>
    <row r="505" spans="1:10" x14ac:dyDescent="0.25">
      <c r="A505" t="s">
        <v>184</v>
      </c>
      <c r="B505" t="s">
        <v>185</v>
      </c>
      <c r="C505" t="s">
        <v>631</v>
      </c>
      <c r="D505" t="s">
        <v>636</v>
      </c>
      <c r="E505">
        <v>0</v>
      </c>
      <c r="F505" t="s">
        <v>637</v>
      </c>
      <c r="G505">
        <v>9750000</v>
      </c>
      <c r="H505">
        <v>11639136.26</v>
      </c>
      <c r="I505">
        <v>0</v>
      </c>
      <c r="J505">
        <v>0</v>
      </c>
    </row>
    <row r="506" spans="1:10" x14ac:dyDescent="0.25">
      <c r="A506" t="s">
        <v>186</v>
      </c>
      <c r="B506" t="s">
        <v>187</v>
      </c>
      <c r="C506" t="s">
        <v>631</v>
      </c>
      <c r="D506" t="s">
        <v>638</v>
      </c>
      <c r="E506">
        <v>0</v>
      </c>
      <c r="F506" t="s">
        <v>639</v>
      </c>
      <c r="G506">
        <v>0</v>
      </c>
      <c r="H506">
        <v>0</v>
      </c>
      <c r="I506">
        <v>0</v>
      </c>
      <c r="J506">
        <v>1.08</v>
      </c>
    </row>
    <row r="507" spans="1:10" x14ac:dyDescent="0.25">
      <c r="A507" t="s">
        <v>188</v>
      </c>
      <c r="B507" t="s">
        <v>189</v>
      </c>
      <c r="C507" t="s">
        <v>631</v>
      </c>
      <c r="D507" t="s">
        <v>640</v>
      </c>
      <c r="E507">
        <v>0</v>
      </c>
      <c r="F507" t="s">
        <v>641</v>
      </c>
      <c r="G507">
        <v>990404.36</v>
      </c>
      <c r="H507">
        <v>0</v>
      </c>
      <c r="I507">
        <v>0</v>
      </c>
      <c r="J507">
        <v>0</v>
      </c>
    </row>
    <row r="508" spans="1:10" x14ac:dyDescent="0.25">
      <c r="A508" t="s">
        <v>190</v>
      </c>
      <c r="B508" t="s">
        <v>191</v>
      </c>
      <c r="C508" t="s">
        <v>631</v>
      </c>
      <c r="D508" t="s">
        <v>638</v>
      </c>
      <c r="E508">
        <v>0</v>
      </c>
      <c r="F508" t="s">
        <v>639</v>
      </c>
      <c r="G508">
        <v>5468655.5</v>
      </c>
      <c r="H508">
        <v>0</v>
      </c>
      <c r="I508">
        <v>0</v>
      </c>
      <c r="J508">
        <v>0</v>
      </c>
    </row>
    <row r="509" spans="1:10" x14ac:dyDescent="0.25">
      <c r="A509" t="s">
        <v>192</v>
      </c>
      <c r="B509" t="s">
        <v>193</v>
      </c>
      <c r="C509" t="s">
        <v>631</v>
      </c>
      <c r="D509" t="s">
        <v>642</v>
      </c>
      <c r="E509">
        <v>0</v>
      </c>
      <c r="F509" t="s">
        <v>643</v>
      </c>
      <c r="G509">
        <v>560000</v>
      </c>
      <c r="H509">
        <v>0</v>
      </c>
      <c r="I509">
        <v>0</v>
      </c>
      <c r="J509">
        <v>0</v>
      </c>
    </row>
    <row r="510" spans="1:10" x14ac:dyDescent="0.25">
      <c r="A510" t="s">
        <v>644</v>
      </c>
      <c r="B510" t="s">
        <v>645</v>
      </c>
      <c r="C510" t="s">
        <v>631</v>
      </c>
      <c r="D510" t="s">
        <v>646</v>
      </c>
      <c r="E510">
        <v>0</v>
      </c>
      <c r="F510" t="s">
        <v>647</v>
      </c>
      <c r="G510">
        <v>2611543</v>
      </c>
      <c r="H510">
        <v>0</v>
      </c>
      <c r="I510">
        <v>0</v>
      </c>
      <c r="J510">
        <v>0</v>
      </c>
    </row>
    <row r="511" spans="1:10" x14ac:dyDescent="0.25">
      <c r="A511" t="s">
        <v>648</v>
      </c>
      <c r="B511" t="s">
        <v>649</v>
      </c>
      <c r="C511" t="s">
        <v>631</v>
      </c>
      <c r="D511" t="s">
        <v>650</v>
      </c>
      <c r="E511">
        <v>0</v>
      </c>
      <c r="F511" t="s">
        <v>651</v>
      </c>
      <c r="G511">
        <v>8763369.8200000003</v>
      </c>
      <c r="H511">
        <v>0</v>
      </c>
      <c r="I511">
        <v>0</v>
      </c>
      <c r="J511">
        <v>0</v>
      </c>
    </row>
    <row r="512" spans="1:10" x14ac:dyDescent="0.25">
      <c r="A512" t="s">
        <v>194</v>
      </c>
      <c r="B512" t="s">
        <v>195</v>
      </c>
      <c r="C512" t="s">
        <v>631</v>
      </c>
      <c r="D512" t="s">
        <v>638</v>
      </c>
      <c r="E512">
        <v>0</v>
      </c>
      <c r="F512" t="s">
        <v>639</v>
      </c>
      <c r="G512">
        <v>1048053.67</v>
      </c>
      <c r="H512">
        <v>1376717.55</v>
      </c>
      <c r="I512">
        <v>0</v>
      </c>
      <c r="J512">
        <v>0</v>
      </c>
    </row>
    <row r="513" spans="1:10" x14ac:dyDescent="0.25">
      <c r="A513" t="s">
        <v>547</v>
      </c>
      <c r="B513" t="s">
        <v>548</v>
      </c>
      <c r="C513" t="s">
        <v>631</v>
      </c>
      <c r="D513" t="s">
        <v>652</v>
      </c>
      <c r="E513">
        <v>0</v>
      </c>
      <c r="F513" t="s">
        <v>653</v>
      </c>
      <c r="G513">
        <v>797673.14</v>
      </c>
      <c r="H513">
        <v>63428.2</v>
      </c>
      <c r="I513">
        <v>0</v>
      </c>
      <c r="J513">
        <v>0</v>
      </c>
    </row>
    <row r="514" spans="1:10" x14ac:dyDescent="0.25">
      <c r="A514" t="s">
        <v>654</v>
      </c>
      <c r="B514" t="s">
        <v>655</v>
      </c>
      <c r="C514" t="s">
        <v>631</v>
      </c>
      <c r="D514" t="s">
        <v>656</v>
      </c>
      <c r="E514">
        <v>0</v>
      </c>
      <c r="F514" t="s">
        <v>657</v>
      </c>
      <c r="G514">
        <v>508200</v>
      </c>
      <c r="H514">
        <v>0</v>
      </c>
      <c r="I514">
        <v>0</v>
      </c>
      <c r="J514">
        <v>0</v>
      </c>
    </row>
    <row r="515" spans="1:10" x14ac:dyDescent="0.25">
      <c r="A515" t="s">
        <v>196</v>
      </c>
      <c r="B515" t="s">
        <v>197</v>
      </c>
      <c r="C515" t="s">
        <v>631</v>
      </c>
      <c r="D515" t="s">
        <v>658</v>
      </c>
      <c r="E515">
        <v>0</v>
      </c>
      <c r="F515" t="s">
        <v>659</v>
      </c>
      <c r="G515">
        <v>267606.52</v>
      </c>
      <c r="H515">
        <v>0</v>
      </c>
      <c r="I515">
        <v>0</v>
      </c>
      <c r="J515">
        <v>0</v>
      </c>
    </row>
    <row r="516" spans="1:10" x14ac:dyDescent="0.25">
      <c r="A516" t="s">
        <v>198</v>
      </c>
      <c r="B516" t="s">
        <v>199</v>
      </c>
      <c r="C516" t="s">
        <v>631</v>
      </c>
      <c r="D516" t="s">
        <v>660</v>
      </c>
      <c r="E516">
        <v>0</v>
      </c>
      <c r="F516" t="s">
        <v>661</v>
      </c>
      <c r="G516">
        <v>204884.16</v>
      </c>
      <c r="H516">
        <v>0</v>
      </c>
      <c r="I516">
        <v>0</v>
      </c>
      <c r="J516">
        <v>0</v>
      </c>
    </row>
    <row r="517" spans="1:10" x14ac:dyDescent="0.25">
      <c r="A517" t="s">
        <v>662</v>
      </c>
      <c r="B517" t="s">
        <v>663</v>
      </c>
      <c r="C517" t="s">
        <v>631</v>
      </c>
      <c r="D517" t="s">
        <v>664</v>
      </c>
      <c r="E517">
        <v>4000000</v>
      </c>
      <c r="F517" t="s">
        <v>665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200</v>
      </c>
      <c r="B518" t="s">
        <v>201</v>
      </c>
      <c r="C518" t="s">
        <v>631</v>
      </c>
      <c r="D518" t="s">
        <v>666</v>
      </c>
      <c r="E518">
        <v>0</v>
      </c>
      <c r="F518" t="s">
        <v>667</v>
      </c>
      <c r="G518">
        <v>2299000</v>
      </c>
      <c r="H518">
        <v>1727000</v>
      </c>
      <c r="I518">
        <v>0</v>
      </c>
      <c r="J518">
        <v>0</v>
      </c>
    </row>
    <row r="519" spans="1:10" x14ac:dyDescent="0.25">
      <c r="A519" t="s">
        <v>549</v>
      </c>
      <c r="B519" t="s">
        <v>550</v>
      </c>
      <c r="C519" t="s">
        <v>631</v>
      </c>
      <c r="D519" t="s">
        <v>668</v>
      </c>
      <c r="E519">
        <v>0</v>
      </c>
      <c r="F519" t="s">
        <v>669</v>
      </c>
      <c r="G519">
        <v>343156</v>
      </c>
      <c r="H519">
        <v>0</v>
      </c>
      <c r="I519">
        <v>0</v>
      </c>
      <c r="J519">
        <v>0</v>
      </c>
    </row>
    <row r="520" spans="1:10" x14ac:dyDescent="0.25">
      <c r="A520" t="s">
        <v>551</v>
      </c>
      <c r="B520" t="s">
        <v>552</v>
      </c>
      <c r="C520" t="s">
        <v>631</v>
      </c>
      <c r="D520" t="s">
        <v>670</v>
      </c>
      <c r="E520">
        <v>0</v>
      </c>
      <c r="F520" t="s">
        <v>671</v>
      </c>
      <c r="G520">
        <v>13387941.35</v>
      </c>
      <c r="H520">
        <v>0</v>
      </c>
      <c r="I520">
        <v>0</v>
      </c>
      <c r="J520">
        <v>0</v>
      </c>
    </row>
    <row r="521" spans="1:10" x14ac:dyDescent="0.25">
      <c r="A521" t="s">
        <v>672</v>
      </c>
      <c r="B521" t="s">
        <v>673</v>
      </c>
      <c r="C521" t="s">
        <v>631</v>
      </c>
      <c r="D521" t="s">
        <v>674</v>
      </c>
      <c r="E521">
        <v>0</v>
      </c>
      <c r="F521" t="s">
        <v>675</v>
      </c>
      <c r="G521">
        <v>36000</v>
      </c>
      <c r="H521">
        <v>0</v>
      </c>
      <c r="I521">
        <v>0</v>
      </c>
      <c r="J521">
        <v>0</v>
      </c>
    </row>
    <row r="522" spans="1:10" x14ac:dyDescent="0.25">
      <c r="A522" t="s">
        <v>202</v>
      </c>
      <c r="B522" t="s">
        <v>203</v>
      </c>
      <c r="C522" t="s">
        <v>631</v>
      </c>
      <c r="D522" t="s">
        <v>676</v>
      </c>
      <c r="E522">
        <v>0</v>
      </c>
      <c r="F522" t="s">
        <v>677</v>
      </c>
      <c r="G522">
        <v>0</v>
      </c>
      <c r="H522">
        <v>0</v>
      </c>
      <c r="I522">
        <v>28043800</v>
      </c>
      <c r="J522">
        <v>26176.959999999999</v>
      </c>
    </row>
    <row r="523" spans="1:10" x14ac:dyDescent="0.25">
      <c r="A523" t="s">
        <v>204</v>
      </c>
      <c r="B523" t="s">
        <v>205</v>
      </c>
      <c r="C523" t="s">
        <v>631</v>
      </c>
      <c r="D523" t="s">
        <v>678</v>
      </c>
      <c r="E523">
        <v>70000</v>
      </c>
      <c r="F523" t="s">
        <v>679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206</v>
      </c>
      <c r="B524" t="s">
        <v>207</v>
      </c>
      <c r="C524" t="s">
        <v>631</v>
      </c>
      <c r="D524" t="s">
        <v>668</v>
      </c>
      <c r="E524">
        <v>10708500</v>
      </c>
      <c r="F524" t="s">
        <v>669</v>
      </c>
      <c r="G524">
        <v>0</v>
      </c>
      <c r="H524">
        <v>0</v>
      </c>
      <c r="I524">
        <v>0</v>
      </c>
      <c r="J524">
        <v>4477000</v>
      </c>
    </row>
    <row r="525" spans="1:10" x14ac:dyDescent="0.25">
      <c r="A525" t="s">
        <v>680</v>
      </c>
      <c r="B525" t="s">
        <v>681</v>
      </c>
      <c r="C525" t="s">
        <v>631</v>
      </c>
      <c r="D525" t="s">
        <v>668</v>
      </c>
      <c r="E525">
        <v>0</v>
      </c>
      <c r="F525" t="s">
        <v>669</v>
      </c>
      <c r="G525">
        <v>349929</v>
      </c>
      <c r="H525">
        <v>0</v>
      </c>
      <c r="I525">
        <v>0</v>
      </c>
      <c r="J525">
        <v>0</v>
      </c>
    </row>
    <row r="526" spans="1:10" x14ac:dyDescent="0.25">
      <c r="A526" t="s">
        <v>553</v>
      </c>
      <c r="B526" t="s">
        <v>554</v>
      </c>
      <c r="C526" t="s">
        <v>631</v>
      </c>
      <c r="D526" t="s">
        <v>682</v>
      </c>
      <c r="E526">
        <v>0</v>
      </c>
      <c r="F526" t="s">
        <v>683</v>
      </c>
      <c r="G526">
        <v>5397392.4000000004</v>
      </c>
      <c r="H526">
        <v>0</v>
      </c>
      <c r="I526">
        <v>0</v>
      </c>
      <c r="J526">
        <v>0</v>
      </c>
    </row>
    <row r="527" spans="1:10" x14ac:dyDescent="0.25">
      <c r="A527" t="s">
        <v>684</v>
      </c>
      <c r="B527" t="s">
        <v>685</v>
      </c>
      <c r="C527" t="s">
        <v>631</v>
      </c>
      <c r="D527" t="s">
        <v>686</v>
      </c>
      <c r="E527">
        <v>0</v>
      </c>
      <c r="F527" t="s">
        <v>687</v>
      </c>
      <c r="G527">
        <v>1827342</v>
      </c>
      <c r="H527">
        <v>0</v>
      </c>
      <c r="I527">
        <v>0</v>
      </c>
      <c r="J527">
        <v>0</v>
      </c>
    </row>
    <row r="528" spans="1:10" x14ac:dyDescent="0.25">
      <c r="A528" t="s">
        <v>688</v>
      </c>
      <c r="B528" t="s">
        <v>689</v>
      </c>
      <c r="C528" t="s">
        <v>631</v>
      </c>
      <c r="D528" t="s">
        <v>690</v>
      </c>
      <c r="E528">
        <v>0</v>
      </c>
      <c r="F528" t="s">
        <v>691</v>
      </c>
      <c r="G528">
        <v>245000</v>
      </c>
      <c r="H528">
        <v>0</v>
      </c>
      <c r="I528">
        <v>0</v>
      </c>
      <c r="J528">
        <v>0</v>
      </c>
    </row>
    <row r="529" spans="1:10" x14ac:dyDescent="0.25">
      <c r="A529" t="s">
        <v>208</v>
      </c>
      <c r="B529" t="s">
        <v>209</v>
      </c>
      <c r="C529" t="s">
        <v>631</v>
      </c>
      <c r="D529" t="s">
        <v>692</v>
      </c>
      <c r="E529">
        <v>0</v>
      </c>
      <c r="F529" t="s">
        <v>693</v>
      </c>
      <c r="G529">
        <v>2790260</v>
      </c>
      <c r="H529">
        <v>0</v>
      </c>
      <c r="I529">
        <v>0</v>
      </c>
      <c r="J529">
        <v>0</v>
      </c>
    </row>
    <row r="530" spans="1:10" x14ac:dyDescent="0.25">
      <c r="A530" t="s">
        <v>210</v>
      </c>
      <c r="B530" t="s">
        <v>211</v>
      </c>
      <c r="C530" t="s">
        <v>631</v>
      </c>
      <c r="D530" t="s">
        <v>694</v>
      </c>
      <c r="E530">
        <v>0</v>
      </c>
      <c r="F530" t="s">
        <v>695</v>
      </c>
      <c r="G530">
        <v>629999.93000000005</v>
      </c>
      <c r="H530">
        <v>629999.93000000005</v>
      </c>
      <c r="I530">
        <v>0</v>
      </c>
      <c r="J530">
        <v>0</v>
      </c>
    </row>
    <row r="531" spans="1:10" x14ac:dyDescent="0.25">
      <c r="A531" t="s">
        <v>696</v>
      </c>
      <c r="B531" t="s">
        <v>697</v>
      </c>
      <c r="C531" t="s">
        <v>631</v>
      </c>
      <c r="D531" t="s">
        <v>698</v>
      </c>
      <c r="E531">
        <v>500000</v>
      </c>
      <c r="F531" t="s">
        <v>699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212</v>
      </c>
      <c r="B532" t="s">
        <v>213</v>
      </c>
      <c r="C532" t="s">
        <v>631</v>
      </c>
      <c r="D532" t="s">
        <v>700</v>
      </c>
      <c r="E532">
        <v>0</v>
      </c>
      <c r="F532" t="s">
        <v>701</v>
      </c>
      <c r="G532">
        <v>0</v>
      </c>
      <c r="H532">
        <v>3000000</v>
      </c>
      <c r="I532">
        <v>0</v>
      </c>
      <c r="J532">
        <v>0</v>
      </c>
    </row>
    <row r="533" spans="1:10" x14ac:dyDescent="0.25">
      <c r="A533" t="s">
        <v>555</v>
      </c>
      <c r="B533" t="s">
        <v>556</v>
      </c>
      <c r="C533" t="s">
        <v>631</v>
      </c>
      <c r="D533" t="s">
        <v>676</v>
      </c>
      <c r="E533">
        <v>0</v>
      </c>
      <c r="F533" t="s">
        <v>677</v>
      </c>
      <c r="G533">
        <v>118465.57</v>
      </c>
      <c r="H533">
        <v>0</v>
      </c>
      <c r="I533">
        <v>0</v>
      </c>
      <c r="J533">
        <v>0</v>
      </c>
    </row>
    <row r="534" spans="1:10" x14ac:dyDescent="0.25">
      <c r="A534" t="s">
        <v>214</v>
      </c>
      <c r="B534" t="s">
        <v>215</v>
      </c>
      <c r="C534" t="s">
        <v>631</v>
      </c>
      <c r="D534" t="s">
        <v>702</v>
      </c>
      <c r="E534">
        <v>0</v>
      </c>
      <c r="F534" t="s">
        <v>703</v>
      </c>
      <c r="G534">
        <v>13716989.08</v>
      </c>
      <c r="H534">
        <v>3569288.98</v>
      </c>
      <c r="I534">
        <v>0</v>
      </c>
      <c r="J534">
        <v>0</v>
      </c>
    </row>
    <row r="535" spans="1:10" x14ac:dyDescent="0.25">
      <c r="A535" t="s">
        <v>216</v>
      </c>
      <c r="B535" t="s">
        <v>217</v>
      </c>
      <c r="C535" t="s">
        <v>631</v>
      </c>
      <c r="D535" t="s">
        <v>704</v>
      </c>
      <c r="E535">
        <v>0</v>
      </c>
      <c r="F535" t="s">
        <v>705</v>
      </c>
      <c r="G535">
        <v>1038252.6</v>
      </c>
      <c r="H535">
        <v>0</v>
      </c>
      <c r="I535">
        <v>0</v>
      </c>
      <c r="J535">
        <v>0</v>
      </c>
    </row>
    <row r="536" spans="1:10" x14ac:dyDescent="0.25">
      <c r="A536" t="s">
        <v>218</v>
      </c>
      <c r="B536" t="s">
        <v>219</v>
      </c>
      <c r="C536" t="s">
        <v>631</v>
      </c>
      <c r="D536" t="s">
        <v>638</v>
      </c>
      <c r="E536">
        <v>99816.71</v>
      </c>
      <c r="F536" t="s">
        <v>639</v>
      </c>
      <c r="G536">
        <v>3540472.32</v>
      </c>
      <c r="H536">
        <v>0</v>
      </c>
      <c r="I536">
        <v>0</v>
      </c>
      <c r="J536">
        <v>0</v>
      </c>
    </row>
    <row r="537" spans="1:10" x14ac:dyDescent="0.25">
      <c r="A537" t="s">
        <v>706</v>
      </c>
      <c r="B537" t="s">
        <v>707</v>
      </c>
      <c r="C537" t="s">
        <v>631</v>
      </c>
      <c r="D537" t="s">
        <v>704</v>
      </c>
      <c r="E537">
        <v>0</v>
      </c>
      <c r="F537" t="s">
        <v>705</v>
      </c>
      <c r="G537">
        <v>360000</v>
      </c>
      <c r="H537">
        <v>0</v>
      </c>
      <c r="I537">
        <v>0</v>
      </c>
      <c r="J537">
        <v>0</v>
      </c>
    </row>
    <row r="538" spans="1:10" x14ac:dyDescent="0.25">
      <c r="A538" t="s">
        <v>220</v>
      </c>
      <c r="B538" t="s">
        <v>221</v>
      </c>
      <c r="C538" t="s">
        <v>631</v>
      </c>
      <c r="D538" t="s">
        <v>676</v>
      </c>
      <c r="E538">
        <v>0</v>
      </c>
      <c r="F538" t="s">
        <v>677</v>
      </c>
      <c r="G538">
        <v>0</v>
      </c>
      <c r="H538">
        <v>0</v>
      </c>
      <c r="I538">
        <v>0</v>
      </c>
      <c r="J538">
        <v>-0.01</v>
      </c>
    </row>
    <row r="539" spans="1:10" x14ac:dyDescent="0.25">
      <c r="A539" t="s">
        <v>708</v>
      </c>
      <c r="B539" t="s">
        <v>709</v>
      </c>
      <c r="C539" t="s">
        <v>631</v>
      </c>
      <c r="D539" t="s">
        <v>676</v>
      </c>
      <c r="E539">
        <v>0</v>
      </c>
      <c r="F539" t="s">
        <v>677</v>
      </c>
      <c r="G539">
        <v>955400</v>
      </c>
      <c r="H539">
        <v>0</v>
      </c>
      <c r="I539">
        <v>0</v>
      </c>
      <c r="J539">
        <v>0</v>
      </c>
    </row>
    <row r="540" spans="1:10" x14ac:dyDescent="0.25">
      <c r="A540" t="s">
        <v>710</v>
      </c>
      <c r="B540" t="s">
        <v>711</v>
      </c>
      <c r="C540" t="s">
        <v>631</v>
      </c>
      <c r="D540" t="s">
        <v>712</v>
      </c>
      <c r="E540">
        <v>0</v>
      </c>
      <c r="F540" t="s">
        <v>713</v>
      </c>
      <c r="G540">
        <v>532400</v>
      </c>
      <c r="H540">
        <v>0</v>
      </c>
      <c r="I540">
        <v>0</v>
      </c>
      <c r="J540">
        <v>0</v>
      </c>
    </row>
    <row r="541" spans="1:10" x14ac:dyDescent="0.25">
      <c r="A541" t="s">
        <v>222</v>
      </c>
      <c r="B541" t="s">
        <v>223</v>
      </c>
      <c r="C541" t="s">
        <v>631</v>
      </c>
      <c r="D541" t="s">
        <v>714</v>
      </c>
      <c r="E541">
        <v>48549.43</v>
      </c>
      <c r="F541" t="s">
        <v>715</v>
      </c>
      <c r="G541">
        <v>7240552.2599999998</v>
      </c>
      <c r="H541">
        <v>0</v>
      </c>
      <c r="I541">
        <v>0</v>
      </c>
      <c r="J541">
        <v>0</v>
      </c>
    </row>
    <row r="542" spans="1:10" x14ac:dyDescent="0.25">
      <c r="A542" t="s">
        <v>716</v>
      </c>
      <c r="B542" t="s">
        <v>717</v>
      </c>
      <c r="C542" t="s">
        <v>631</v>
      </c>
      <c r="D542" t="s">
        <v>718</v>
      </c>
      <c r="E542">
        <v>0</v>
      </c>
      <c r="F542" t="s">
        <v>719</v>
      </c>
      <c r="G542">
        <v>154726.57</v>
      </c>
      <c r="H542">
        <v>0</v>
      </c>
      <c r="I542">
        <v>0</v>
      </c>
      <c r="J542">
        <v>0</v>
      </c>
    </row>
    <row r="543" spans="1:10" x14ac:dyDescent="0.25">
      <c r="A543" t="s">
        <v>720</v>
      </c>
      <c r="B543" t="s">
        <v>721</v>
      </c>
      <c r="C543" t="s">
        <v>631</v>
      </c>
      <c r="D543" t="s">
        <v>658</v>
      </c>
      <c r="E543">
        <v>0</v>
      </c>
      <c r="F543" t="s">
        <v>659</v>
      </c>
      <c r="G543">
        <v>899999</v>
      </c>
      <c r="H543">
        <v>0</v>
      </c>
      <c r="I543">
        <v>0</v>
      </c>
      <c r="J543">
        <v>0</v>
      </c>
    </row>
    <row r="544" spans="1:10" x14ac:dyDescent="0.25">
      <c r="A544" t="s">
        <v>224</v>
      </c>
      <c r="B544" t="s">
        <v>225</v>
      </c>
      <c r="C544" t="s">
        <v>631</v>
      </c>
      <c r="D544" t="s">
        <v>676</v>
      </c>
      <c r="E544">
        <v>0</v>
      </c>
      <c r="F544" t="s">
        <v>677</v>
      </c>
      <c r="G544">
        <v>0</v>
      </c>
      <c r="H544">
        <v>0</v>
      </c>
      <c r="I544">
        <v>0</v>
      </c>
      <c r="J544">
        <v>217</v>
      </c>
    </row>
    <row r="545" spans="1:10" x14ac:dyDescent="0.25">
      <c r="A545" t="s">
        <v>557</v>
      </c>
      <c r="B545" t="s">
        <v>558</v>
      </c>
      <c r="C545" t="s">
        <v>631</v>
      </c>
      <c r="D545" t="s">
        <v>722</v>
      </c>
      <c r="E545">
        <v>0</v>
      </c>
      <c r="F545" t="s">
        <v>723</v>
      </c>
      <c r="G545">
        <v>268800</v>
      </c>
      <c r="H545">
        <v>0</v>
      </c>
      <c r="I545">
        <v>0</v>
      </c>
      <c r="J545">
        <v>0</v>
      </c>
    </row>
    <row r="546" spans="1:10" x14ac:dyDescent="0.25">
      <c r="A546" t="s">
        <v>226</v>
      </c>
      <c r="B546" t="s">
        <v>227</v>
      </c>
      <c r="C546" t="s">
        <v>631</v>
      </c>
      <c r="D546" t="s">
        <v>724</v>
      </c>
      <c r="E546">
        <v>0</v>
      </c>
      <c r="F546" t="s">
        <v>725</v>
      </c>
      <c r="G546">
        <v>347086.08000000002</v>
      </c>
      <c r="H546">
        <v>0</v>
      </c>
      <c r="I546">
        <v>0</v>
      </c>
      <c r="J546">
        <v>0</v>
      </c>
    </row>
    <row r="547" spans="1:10" x14ac:dyDescent="0.25">
      <c r="A547" t="s">
        <v>228</v>
      </c>
      <c r="B547" t="s">
        <v>229</v>
      </c>
      <c r="C547" t="s">
        <v>631</v>
      </c>
      <c r="D547" t="s">
        <v>726</v>
      </c>
      <c r="E547">
        <v>0</v>
      </c>
      <c r="F547" t="s">
        <v>727</v>
      </c>
      <c r="G547">
        <v>37161117.090000004</v>
      </c>
      <c r="H547">
        <v>0</v>
      </c>
      <c r="I547">
        <v>0</v>
      </c>
      <c r="J547">
        <v>0</v>
      </c>
    </row>
    <row r="548" spans="1:10" x14ac:dyDescent="0.25">
      <c r="A548" t="s">
        <v>728</v>
      </c>
      <c r="B548" t="s">
        <v>729</v>
      </c>
      <c r="C548" t="s">
        <v>631</v>
      </c>
      <c r="D548" t="s">
        <v>730</v>
      </c>
      <c r="E548">
        <v>0</v>
      </c>
      <c r="F548" t="s">
        <v>731</v>
      </c>
      <c r="G548">
        <v>278300</v>
      </c>
      <c r="H548">
        <v>0</v>
      </c>
      <c r="I548">
        <v>0</v>
      </c>
      <c r="J548">
        <v>0</v>
      </c>
    </row>
    <row r="549" spans="1:10" x14ac:dyDescent="0.25">
      <c r="A549" t="s">
        <v>230</v>
      </c>
      <c r="B549" t="s">
        <v>231</v>
      </c>
      <c r="C549" t="s">
        <v>631</v>
      </c>
      <c r="D549" t="s">
        <v>732</v>
      </c>
      <c r="E549">
        <v>0</v>
      </c>
      <c r="F549" t="s">
        <v>733</v>
      </c>
      <c r="G549">
        <v>50140000</v>
      </c>
      <c r="H549">
        <v>51094750</v>
      </c>
      <c r="I549">
        <v>100000000</v>
      </c>
      <c r="J549">
        <v>0</v>
      </c>
    </row>
    <row r="550" spans="1:10" x14ac:dyDescent="0.25">
      <c r="A550" t="s">
        <v>232</v>
      </c>
      <c r="B550" t="s">
        <v>233</v>
      </c>
      <c r="C550" t="s">
        <v>631</v>
      </c>
      <c r="D550" t="s">
        <v>734</v>
      </c>
      <c r="E550">
        <v>0</v>
      </c>
      <c r="F550" t="s">
        <v>735</v>
      </c>
      <c r="G550">
        <v>173328118.06999999</v>
      </c>
      <c r="H550">
        <v>404951737.51999998</v>
      </c>
      <c r="I550">
        <v>0</v>
      </c>
      <c r="J550">
        <v>0</v>
      </c>
    </row>
    <row r="551" spans="1:10" x14ac:dyDescent="0.25">
      <c r="A551" t="s">
        <v>234</v>
      </c>
      <c r="B551" t="s">
        <v>233</v>
      </c>
      <c r="C551" t="s">
        <v>631</v>
      </c>
      <c r="D551" t="s">
        <v>734</v>
      </c>
      <c r="E551">
        <v>0</v>
      </c>
      <c r="F551" t="s">
        <v>735</v>
      </c>
      <c r="G551">
        <v>62399883.490000002</v>
      </c>
      <c r="H551">
        <v>0</v>
      </c>
      <c r="I551">
        <v>0</v>
      </c>
      <c r="J551">
        <v>0</v>
      </c>
    </row>
    <row r="552" spans="1:10" x14ac:dyDescent="0.25">
      <c r="A552" t="s">
        <v>235</v>
      </c>
      <c r="B552" t="s">
        <v>233</v>
      </c>
      <c r="C552" t="s">
        <v>631</v>
      </c>
      <c r="D552" t="s">
        <v>734</v>
      </c>
      <c r="E552">
        <v>0</v>
      </c>
      <c r="F552" t="s">
        <v>735</v>
      </c>
      <c r="G552">
        <v>66715242.869999997</v>
      </c>
      <c r="H552">
        <v>207442045.97</v>
      </c>
      <c r="I552">
        <v>0</v>
      </c>
      <c r="J552">
        <v>0</v>
      </c>
    </row>
    <row r="553" spans="1:10" x14ac:dyDescent="0.25">
      <c r="A553" t="s">
        <v>236</v>
      </c>
      <c r="B553" t="s">
        <v>237</v>
      </c>
      <c r="C553" t="s">
        <v>631</v>
      </c>
      <c r="D553" t="s">
        <v>736</v>
      </c>
      <c r="E553">
        <v>0</v>
      </c>
      <c r="F553" t="s">
        <v>737</v>
      </c>
      <c r="G553">
        <v>0</v>
      </c>
      <c r="H553">
        <v>0</v>
      </c>
      <c r="I553">
        <v>0</v>
      </c>
      <c r="J553">
        <v>4157535.95</v>
      </c>
    </row>
    <row r="554" spans="1:10" x14ac:dyDescent="0.25">
      <c r="A554" t="s">
        <v>238</v>
      </c>
      <c r="B554" t="s">
        <v>239</v>
      </c>
      <c r="C554" t="s">
        <v>631</v>
      </c>
      <c r="D554" t="s">
        <v>668</v>
      </c>
      <c r="E554">
        <v>0</v>
      </c>
      <c r="F554" t="s">
        <v>669</v>
      </c>
      <c r="G554">
        <v>508200</v>
      </c>
      <c r="H554">
        <v>4971931.2</v>
      </c>
      <c r="I554">
        <v>0</v>
      </c>
      <c r="J554">
        <v>0</v>
      </c>
    </row>
    <row r="555" spans="1:10" x14ac:dyDescent="0.25">
      <c r="A555" t="s">
        <v>240</v>
      </c>
      <c r="B555" t="s">
        <v>241</v>
      </c>
      <c r="C555" t="s">
        <v>631</v>
      </c>
      <c r="D555" t="s">
        <v>738</v>
      </c>
      <c r="E555">
        <v>0</v>
      </c>
      <c r="F555" t="s">
        <v>739</v>
      </c>
      <c r="G555">
        <v>1757684.48</v>
      </c>
      <c r="H555">
        <v>673400</v>
      </c>
      <c r="I555">
        <v>0</v>
      </c>
      <c r="J555">
        <v>0</v>
      </c>
    </row>
    <row r="556" spans="1:10" x14ac:dyDescent="0.25">
      <c r="A556" t="s">
        <v>242</v>
      </c>
      <c r="B556" t="s">
        <v>243</v>
      </c>
      <c r="C556" t="s">
        <v>631</v>
      </c>
      <c r="D556" t="s">
        <v>740</v>
      </c>
      <c r="E556">
        <v>0</v>
      </c>
      <c r="F556" t="s">
        <v>741</v>
      </c>
      <c r="G556">
        <v>0</v>
      </c>
      <c r="H556">
        <v>0</v>
      </c>
      <c r="I556">
        <v>0</v>
      </c>
      <c r="J556">
        <v>-204.43</v>
      </c>
    </row>
    <row r="557" spans="1:10" x14ac:dyDescent="0.25">
      <c r="A557" t="s">
        <v>244</v>
      </c>
      <c r="B557" t="s">
        <v>245</v>
      </c>
      <c r="C557" t="s">
        <v>631</v>
      </c>
      <c r="D557" t="s">
        <v>658</v>
      </c>
      <c r="E557">
        <v>0</v>
      </c>
      <c r="F557" t="s">
        <v>659</v>
      </c>
      <c r="G557">
        <v>-99244.2</v>
      </c>
      <c r="H557">
        <v>4766649.8</v>
      </c>
      <c r="I557">
        <v>0</v>
      </c>
      <c r="J557">
        <v>0</v>
      </c>
    </row>
    <row r="558" spans="1:10" x14ac:dyDescent="0.25">
      <c r="A558" t="s">
        <v>246</v>
      </c>
      <c r="B558" t="s">
        <v>247</v>
      </c>
      <c r="C558" t="s">
        <v>631</v>
      </c>
      <c r="D558" t="s">
        <v>658</v>
      </c>
      <c r="E558">
        <v>0</v>
      </c>
      <c r="F558" t="s">
        <v>659</v>
      </c>
      <c r="G558">
        <v>18715356.550000001</v>
      </c>
      <c r="H558">
        <v>0</v>
      </c>
      <c r="I558">
        <v>0</v>
      </c>
      <c r="J558">
        <v>0</v>
      </c>
    </row>
    <row r="559" spans="1:10" x14ac:dyDescent="0.25">
      <c r="A559" t="s">
        <v>248</v>
      </c>
      <c r="B559" t="s">
        <v>249</v>
      </c>
      <c r="C559" t="s">
        <v>631</v>
      </c>
      <c r="D559" t="s">
        <v>640</v>
      </c>
      <c r="E559">
        <v>0</v>
      </c>
      <c r="F559" t="s">
        <v>641</v>
      </c>
      <c r="G559">
        <v>3870971.5</v>
      </c>
      <c r="H559">
        <v>561739.11</v>
      </c>
      <c r="I559">
        <v>-8090168.9000000004</v>
      </c>
      <c r="J559">
        <v>3551350</v>
      </c>
    </row>
    <row r="560" spans="1:10" x14ac:dyDescent="0.25">
      <c r="A560" t="s">
        <v>250</v>
      </c>
      <c r="B560" t="s">
        <v>251</v>
      </c>
      <c r="C560" t="s">
        <v>631</v>
      </c>
      <c r="D560" t="s">
        <v>742</v>
      </c>
      <c r="E560">
        <v>1857725.12</v>
      </c>
      <c r="F560" t="s">
        <v>743</v>
      </c>
      <c r="G560">
        <v>0</v>
      </c>
      <c r="H560">
        <v>478343.25</v>
      </c>
      <c r="I560">
        <v>0</v>
      </c>
      <c r="J560">
        <v>0</v>
      </c>
    </row>
    <row r="561" spans="1:10" x14ac:dyDescent="0.25">
      <c r="A561" t="s">
        <v>744</v>
      </c>
      <c r="B561" t="s">
        <v>745</v>
      </c>
      <c r="C561" t="s">
        <v>631</v>
      </c>
      <c r="D561" t="s">
        <v>746</v>
      </c>
      <c r="E561">
        <v>3900000</v>
      </c>
      <c r="F561" t="s">
        <v>747</v>
      </c>
      <c r="G561">
        <v>1380000</v>
      </c>
      <c r="H561">
        <v>0</v>
      </c>
      <c r="I561">
        <v>0</v>
      </c>
      <c r="J561">
        <v>0</v>
      </c>
    </row>
    <row r="562" spans="1:10" x14ac:dyDescent="0.25">
      <c r="A562" t="s">
        <v>252</v>
      </c>
      <c r="B562" t="s">
        <v>253</v>
      </c>
      <c r="C562" t="s">
        <v>631</v>
      </c>
      <c r="D562" t="s">
        <v>748</v>
      </c>
      <c r="E562">
        <v>0</v>
      </c>
      <c r="F562" t="s">
        <v>749</v>
      </c>
      <c r="G562">
        <v>9962346.4399999995</v>
      </c>
      <c r="H562">
        <v>0</v>
      </c>
      <c r="I562">
        <v>0</v>
      </c>
      <c r="J562">
        <v>0</v>
      </c>
    </row>
    <row r="563" spans="1:10" x14ac:dyDescent="0.25">
      <c r="A563" t="s">
        <v>254</v>
      </c>
      <c r="B563" t="s">
        <v>255</v>
      </c>
      <c r="C563" t="s">
        <v>631</v>
      </c>
      <c r="D563" t="s">
        <v>750</v>
      </c>
      <c r="E563">
        <v>0</v>
      </c>
      <c r="F563" t="s">
        <v>751</v>
      </c>
      <c r="G563">
        <v>2306958.25</v>
      </c>
      <c r="H563">
        <v>0</v>
      </c>
      <c r="I563">
        <v>0</v>
      </c>
      <c r="J563">
        <v>0</v>
      </c>
    </row>
    <row r="564" spans="1:10" x14ac:dyDescent="0.25">
      <c r="A564" t="s">
        <v>256</v>
      </c>
      <c r="B564" t="s">
        <v>257</v>
      </c>
      <c r="C564" t="s">
        <v>631</v>
      </c>
      <c r="D564" t="s">
        <v>694</v>
      </c>
      <c r="E564">
        <v>0</v>
      </c>
      <c r="F564" t="s">
        <v>695</v>
      </c>
      <c r="G564">
        <v>1246324.94</v>
      </c>
      <c r="H564">
        <v>1493843.2</v>
      </c>
      <c r="I564">
        <v>0</v>
      </c>
      <c r="J564">
        <v>0</v>
      </c>
    </row>
    <row r="565" spans="1:10" x14ac:dyDescent="0.25">
      <c r="A565" t="s">
        <v>559</v>
      </c>
      <c r="B565" t="s">
        <v>560</v>
      </c>
      <c r="C565" t="s">
        <v>631</v>
      </c>
      <c r="D565" t="s">
        <v>752</v>
      </c>
      <c r="E565">
        <v>0</v>
      </c>
      <c r="F565" t="s">
        <v>753</v>
      </c>
      <c r="G565">
        <v>433107.4</v>
      </c>
      <c r="H565">
        <v>0</v>
      </c>
      <c r="I565">
        <v>0</v>
      </c>
      <c r="J565">
        <v>0</v>
      </c>
    </row>
    <row r="566" spans="1:10" x14ac:dyDescent="0.25">
      <c r="A566" t="s">
        <v>258</v>
      </c>
      <c r="B566" t="s">
        <v>259</v>
      </c>
      <c r="C566" t="s">
        <v>631</v>
      </c>
      <c r="D566" t="s">
        <v>658</v>
      </c>
      <c r="E566">
        <v>0</v>
      </c>
      <c r="F566" t="s">
        <v>659</v>
      </c>
      <c r="G566">
        <v>1308456.1100000001</v>
      </c>
      <c r="H566">
        <v>0</v>
      </c>
      <c r="I566">
        <v>0</v>
      </c>
      <c r="J566">
        <v>0</v>
      </c>
    </row>
    <row r="567" spans="1:10" x14ac:dyDescent="0.25">
      <c r="A567" t="s">
        <v>260</v>
      </c>
      <c r="B567" t="s">
        <v>261</v>
      </c>
      <c r="C567" t="s">
        <v>631</v>
      </c>
      <c r="D567" t="s">
        <v>658</v>
      </c>
      <c r="E567">
        <v>0</v>
      </c>
      <c r="F567" t="s">
        <v>659</v>
      </c>
      <c r="G567">
        <v>5189513.66</v>
      </c>
      <c r="H567">
        <v>0</v>
      </c>
      <c r="I567">
        <v>0</v>
      </c>
      <c r="J567">
        <v>0</v>
      </c>
    </row>
    <row r="568" spans="1:10" x14ac:dyDescent="0.25">
      <c r="A568" t="s">
        <v>754</v>
      </c>
      <c r="B568" t="s">
        <v>755</v>
      </c>
      <c r="C568" t="s">
        <v>631</v>
      </c>
      <c r="D568" t="s">
        <v>756</v>
      </c>
      <c r="E568">
        <v>0</v>
      </c>
      <c r="F568" t="s">
        <v>757</v>
      </c>
      <c r="G568">
        <v>0</v>
      </c>
      <c r="H568">
        <v>6174880</v>
      </c>
      <c r="I568">
        <v>0</v>
      </c>
      <c r="J568">
        <v>0</v>
      </c>
    </row>
    <row r="569" spans="1:10" x14ac:dyDescent="0.25">
      <c r="A569" t="s">
        <v>262</v>
      </c>
      <c r="B569" t="s">
        <v>263</v>
      </c>
      <c r="C569" t="s">
        <v>631</v>
      </c>
      <c r="D569" t="s">
        <v>758</v>
      </c>
      <c r="E569">
        <v>22990</v>
      </c>
      <c r="F569" t="s">
        <v>759</v>
      </c>
      <c r="G569">
        <v>27970384.989999998</v>
      </c>
      <c r="H569">
        <v>30031239.93</v>
      </c>
      <c r="I569">
        <v>0</v>
      </c>
      <c r="J569">
        <v>0</v>
      </c>
    </row>
    <row r="570" spans="1:10" x14ac:dyDescent="0.25">
      <c r="A570" t="s">
        <v>264</v>
      </c>
      <c r="B570" t="s">
        <v>265</v>
      </c>
      <c r="C570" t="s">
        <v>631</v>
      </c>
      <c r="D570" t="s">
        <v>760</v>
      </c>
      <c r="E570">
        <v>0</v>
      </c>
      <c r="F570" t="s">
        <v>761</v>
      </c>
      <c r="G570">
        <v>60000</v>
      </c>
      <c r="H570">
        <v>0</v>
      </c>
      <c r="I570">
        <v>0</v>
      </c>
      <c r="J570">
        <v>0</v>
      </c>
    </row>
    <row r="571" spans="1:10" x14ac:dyDescent="0.25">
      <c r="A571" t="s">
        <v>266</v>
      </c>
      <c r="B571" t="s">
        <v>267</v>
      </c>
      <c r="C571" t="s">
        <v>631</v>
      </c>
      <c r="D571" t="s">
        <v>742</v>
      </c>
      <c r="E571">
        <v>481096</v>
      </c>
      <c r="F571" t="s">
        <v>743</v>
      </c>
      <c r="G571">
        <v>3756645.86</v>
      </c>
      <c r="H571">
        <v>0</v>
      </c>
      <c r="I571">
        <v>0</v>
      </c>
      <c r="J571">
        <v>0</v>
      </c>
    </row>
    <row r="572" spans="1:10" x14ac:dyDescent="0.25">
      <c r="A572" t="s">
        <v>268</v>
      </c>
      <c r="B572" t="s">
        <v>269</v>
      </c>
      <c r="C572" t="s">
        <v>631</v>
      </c>
      <c r="D572" t="s">
        <v>718</v>
      </c>
      <c r="E572">
        <v>0</v>
      </c>
      <c r="F572" t="s">
        <v>719</v>
      </c>
      <c r="G572">
        <v>0</v>
      </c>
      <c r="H572">
        <v>11499840</v>
      </c>
      <c r="I572">
        <v>0</v>
      </c>
      <c r="J572">
        <v>0</v>
      </c>
    </row>
    <row r="573" spans="1:10" x14ac:dyDescent="0.25">
      <c r="A573" t="s">
        <v>270</v>
      </c>
      <c r="B573" t="s">
        <v>271</v>
      </c>
      <c r="C573" t="s">
        <v>631</v>
      </c>
      <c r="D573" t="s">
        <v>676</v>
      </c>
      <c r="E573">
        <v>0</v>
      </c>
      <c r="F573" t="s">
        <v>677</v>
      </c>
      <c r="G573">
        <v>2090000</v>
      </c>
      <c r="H573">
        <v>3080000</v>
      </c>
      <c r="I573">
        <v>0</v>
      </c>
      <c r="J573">
        <v>0</v>
      </c>
    </row>
    <row r="574" spans="1:10" x14ac:dyDescent="0.25">
      <c r="A574" t="s">
        <v>272</v>
      </c>
      <c r="B574" t="s">
        <v>273</v>
      </c>
      <c r="C574" t="s">
        <v>631</v>
      </c>
      <c r="D574" t="s">
        <v>756</v>
      </c>
      <c r="E574">
        <v>0</v>
      </c>
      <c r="F574" t="s">
        <v>757</v>
      </c>
      <c r="G574">
        <v>19514203.609999999</v>
      </c>
      <c r="H574">
        <v>4908000.79</v>
      </c>
      <c r="I574">
        <v>0</v>
      </c>
      <c r="J574">
        <v>0</v>
      </c>
    </row>
    <row r="575" spans="1:10" x14ac:dyDescent="0.25">
      <c r="A575" t="s">
        <v>274</v>
      </c>
      <c r="B575" t="s">
        <v>275</v>
      </c>
      <c r="C575" t="s">
        <v>631</v>
      </c>
      <c r="D575" t="s">
        <v>762</v>
      </c>
      <c r="E575">
        <v>0</v>
      </c>
      <c r="F575" t="s">
        <v>763</v>
      </c>
      <c r="G575">
        <v>10060882.66</v>
      </c>
      <c r="H575">
        <v>0</v>
      </c>
      <c r="I575">
        <v>0</v>
      </c>
      <c r="J575">
        <v>0</v>
      </c>
    </row>
    <row r="576" spans="1:10" x14ac:dyDescent="0.25">
      <c r="A576" t="s">
        <v>276</v>
      </c>
      <c r="B576" t="s">
        <v>277</v>
      </c>
      <c r="C576" t="s">
        <v>631</v>
      </c>
      <c r="D576" t="s">
        <v>764</v>
      </c>
      <c r="E576">
        <v>0</v>
      </c>
      <c r="F576" t="s">
        <v>765</v>
      </c>
      <c r="G576">
        <v>5314099.8</v>
      </c>
      <c r="H576">
        <v>0</v>
      </c>
      <c r="I576">
        <v>0</v>
      </c>
      <c r="J576">
        <v>0</v>
      </c>
    </row>
    <row r="577" spans="1:10" x14ac:dyDescent="0.25">
      <c r="A577" t="s">
        <v>278</v>
      </c>
      <c r="B577" t="s">
        <v>279</v>
      </c>
      <c r="C577" t="s">
        <v>631</v>
      </c>
      <c r="D577" t="s">
        <v>638</v>
      </c>
      <c r="E577">
        <v>0</v>
      </c>
      <c r="F577" t="s">
        <v>639</v>
      </c>
      <c r="G577">
        <v>1615718.04</v>
      </c>
      <c r="H577">
        <v>0</v>
      </c>
      <c r="I577">
        <v>0</v>
      </c>
      <c r="J577">
        <v>0</v>
      </c>
    </row>
    <row r="578" spans="1:10" x14ac:dyDescent="0.25">
      <c r="A578" t="s">
        <v>280</v>
      </c>
      <c r="B578" t="s">
        <v>281</v>
      </c>
      <c r="C578" t="s">
        <v>631</v>
      </c>
      <c r="D578" t="s">
        <v>676</v>
      </c>
      <c r="E578">
        <v>0</v>
      </c>
      <c r="F578" t="s">
        <v>677</v>
      </c>
      <c r="G578">
        <v>0</v>
      </c>
      <c r="H578">
        <v>90750</v>
      </c>
      <c r="I578">
        <v>0</v>
      </c>
      <c r="J578">
        <v>0</v>
      </c>
    </row>
    <row r="579" spans="1:10" x14ac:dyDescent="0.25">
      <c r="A579" t="s">
        <v>561</v>
      </c>
      <c r="B579" t="s">
        <v>562</v>
      </c>
      <c r="C579" t="s">
        <v>631</v>
      </c>
      <c r="D579" t="s">
        <v>766</v>
      </c>
      <c r="E579">
        <v>0</v>
      </c>
      <c r="F579" t="s">
        <v>767</v>
      </c>
      <c r="G579">
        <v>223999.99</v>
      </c>
      <c r="H579">
        <v>0</v>
      </c>
      <c r="I579">
        <v>0</v>
      </c>
      <c r="J579">
        <v>0</v>
      </c>
    </row>
    <row r="580" spans="1:10" x14ac:dyDescent="0.25">
      <c r="A580" t="s">
        <v>768</v>
      </c>
      <c r="B580" t="s">
        <v>769</v>
      </c>
      <c r="C580" t="s">
        <v>631</v>
      </c>
      <c r="D580" t="s">
        <v>770</v>
      </c>
      <c r="E580">
        <v>0</v>
      </c>
      <c r="F580" t="s">
        <v>771</v>
      </c>
      <c r="G580">
        <v>477348.15</v>
      </c>
      <c r="H580">
        <v>0</v>
      </c>
      <c r="I580">
        <v>0</v>
      </c>
      <c r="J580">
        <v>0</v>
      </c>
    </row>
    <row r="581" spans="1:10" x14ac:dyDescent="0.25">
      <c r="A581" t="s">
        <v>282</v>
      </c>
      <c r="B581" t="s">
        <v>283</v>
      </c>
      <c r="C581" t="s">
        <v>631</v>
      </c>
      <c r="D581" t="s">
        <v>634</v>
      </c>
      <c r="E581">
        <v>0</v>
      </c>
      <c r="F581" t="s">
        <v>635</v>
      </c>
      <c r="G581">
        <v>715981.2</v>
      </c>
      <c r="H581">
        <v>0</v>
      </c>
      <c r="I581">
        <v>0</v>
      </c>
      <c r="J581">
        <v>0</v>
      </c>
    </row>
    <row r="582" spans="1:10" x14ac:dyDescent="0.25">
      <c r="A582" t="s">
        <v>284</v>
      </c>
      <c r="B582" t="s">
        <v>285</v>
      </c>
      <c r="C582" t="s">
        <v>631</v>
      </c>
      <c r="D582" t="s">
        <v>738</v>
      </c>
      <c r="E582">
        <v>0</v>
      </c>
      <c r="F582" t="s">
        <v>739</v>
      </c>
      <c r="G582">
        <v>0</v>
      </c>
      <c r="H582">
        <v>0</v>
      </c>
      <c r="I582">
        <v>290181.01</v>
      </c>
      <c r="J582">
        <v>0</v>
      </c>
    </row>
    <row r="583" spans="1:10" x14ac:dyDescent="0.25">
      <c r="A583" t="s">
        <v>286</v>
      </c>
      <c r="B583" t="s">
        <v>287</v>
      </c>
      <c r="C583" t="s">
        <v>631</v>
      </c>
      <c r="D583" t="s">
        <v>694</v>
      </c>
      <c r="E583">
        <v>0</v>
      </c>
      <c r="F583" t="s">
        <v>695</v>
      </c>
      <c r="G583">
        <v>6409121.7400000002</v>
      </c>
      <c r="H583">
        <v>0</v>
      </c>
      <c r="I583">
        <v>0</v>
      </c>
      <c r="J583">
        <v>0</v>
      </c>
    </row>
    <row r="584" spans="1:10" x14ac:dyDescent="0.25">
      <c r="A584" t="s">
        <v>288</v>
      </c>
      <c r="B584" t="s">
        <v>289</v>
      </c>
      <c r="C584" t="s">
        <v>631</v>
      </c>
      <c r="D584" t="s">
        <v>702</v>
      </c>
      <c r="E584">
        <v>0</v>
      </c>
      <c r="F584" t="s">
        <v>703</v>
      </c>
      <c r="G584">
        <v>1005421.38</v>
      </c>
      <c r="H584">
        <v>0</v>
      </c>
      <c r="I584">
        <v>0</v>
      </c>
      <c r="J584">
        <v>0</v>
      </c>
    </row>
    <row r="585" spans="1:10" x14ac:dyDescent="0.25">
      <c r="A585" t="s">
        <v>290</v>
      </c>
      <c r="B585" t="s">
        <v>291</v>
      </c>
      <c r="C585" t="s">
        <v>631</v>
      </c>
      <c r="D585" t="s">
        <v>772</v>
      </c>
      <c r="E585">
        <v>0</v>
      </c>
      <c r="F585" t="s">
        <v>773</v>
      </c>
      <c r="G585">
        <v>86993905.680000007</v>
      </c>
      <c r="H585">
        <v>0</v>
      </c>
      <c r="I585">
        <v>0</v>
      </c>
      <c r="J585">
        <v>0</v>
      </c>
    </row>
    <row r="586" spans="1:10" x14ac:dyDescent="0.25">
      <c r="A586" t="s">
        <v>292</v>
      </c>
      <c r="B586" t="s">
        <v>293</v>
      </c>
      <c r="C586" t="s">
        <v>631</v>
      </c>
      <c r="D586" t="s">
        <v>774</v>
      </c>
      <c r="E586">
        <v>0</v>
      </c>
      <c r="F586" t="s">
        <v>775</v>
      </c>
      <c r="G586">
        <v>3103880.01</v>
      </c>
      <c r="H586">
        <v>0</v>
      </c>
      <c r="I586">
        <v>0</v>
      </c>
      <c r="J586">
        <v>0</v>
      </c>
    </row>
    <row r="587" spans="1:10" x14ac:dyDescent="0.25">
      <c r="A587" t="s">
        <v>294</v>
      </c>
      <c r="B587" t="s">
        <v>295</v>
      </c>
      <c r="C587" t="s">
        <v>631</v>
      </c>
      <c r="D587" t="s">
        <v>668</v>
      </c>
      <c r="E587">
        <v>0</v>
      </c>
      <c r="F587" t="s">
        <v>669</v>
      </c>
      <c r="G587">
        <v>780000</v>
      </c>
      <c r="H587">
        <v>0</v>
      </c>
      <c r="I587">
        <v>0</v>
      </c>
      <c r="J587">
        <v>0</v>
      </c>
    </row>
    <row r="588" spans="1:10" x14ac:dyDescent="0.25">
      <c r="A588" t="s">
        <v>296</v>
      </c>
      <c r="B588" t="s">
        <v>297</v>
      </c>
      <c r="C588" t="s">
        <v>631</v>
      </c>
      <c r="D588" t="s">
        <v>776</v>
      </c>
      <c r="E588">
        <v>0</v>
      </c>
      <c r="F588" t="s">
        <v>777</v>
      </c>
      <c r="G588">
        <v>180000</v>
      </c>
      <c r="H588">
        <v>0</v>
      </c>
      <c r="I588">
        <v>0</v>
      </c>
      <c r="J588">
        <v>0</v>
      </c>
    </row>
    <row r="589" spans="1:10" x14ac:dyDescent="0.25">
      <c r="A589" t="s">
        <v>298</v>
      </c>
      <c r="B589" t="s">
        <v>299</v>
      </c>
      <c r="C589" t="s">
        <v>631</v>
      </c>
      <c r="D589" t="s">
        <v>778</v>
      </c>
      <c r="E589">
        <v>0</v>
      </c>
      <c r="F589" t="s">
        <v>779</v>
      </c>
      <c r="G589">
        <v>0</v>
      </c>
      <c r="H589">
        <v>0</v>
      </c>
      <c r="I589">
        <v>0.02</v>
      </c>
      <c r="J589">
        <v>0</v>
      </c>
    </row>
    <row r="590" spans="1:10" x14ac:dyDescent="0.25">
      <c r="A590" t="s">
        <v>300</v>
      </c>
      <c r="B590" t="s">
        <v>301</v>
      </c>
      <c r="C590" t="s">
        <v>631</v>
      </c>
      <c r="D590" t="s">
        <v>780</v>
      </c>
      <c r="E590">
        <v>0</v>
      </c>
      <c r="F590" t="s">
        <v>781</v>
      </c>
      <c r="G590">
        <v>755040</v>
      </c>
      <c r="H590">
        <v>2633081</v>
      </c>
      <c r="I590">
        <v>0</v>
      </c>
      <c r="J590">
        <v>0</v>
      </c>
    </row>
    <row r="591" spans="1:10" x14ac:dyDescent="0.25">
      <c r="A591" t="s">
        <v>302</v>
      </c>
      <c r="B591" t="s">
        <v>303</v>
      </c>
      <c r="C591" t="s">
        <v>631</v>
      </c>
      <c r="D591" t="s">
        <v>760</v>
      </c>
      <c r="E591">
        <v>0</v>
      </c>
      <c r="F591" t="s">
        <v>761</v>
      </c>
      <c r="G591">
        <v>1089968</v>
      </c>
      <c r="H591">
        <v>1770230</v>
      </c>
      <c r="I591">
        <v>0</v>
      </c>
      <c r="J591">
        <v>0</v>
      </c>
    </row>
    <row r="592" spans="1:10" x14ac:dyDescent="0.25">
      <c r="A592" t="s">
        <v>304</v>
      </c>
      <c r="B592" t="s">
        <v>305</v>
      </c>
      <c r="C592" t="s">
        <v>631</v>
      </c>
      <c r="D592" t="s">
        <v>764</v>
      </c>
      <c r="E592">
        <v>0</v>
      </c>
      <c r="F592" t="s">
        <v>765</v>
      </c>
      <c r="G592">
        <v>196641.25</v>
      </c>
      <c r="H592">
        <v>62731.58</v>
      </c>
      <c r="I592">
        <v>0</v>
      </c>
      <c r="J592">
        <v>0</v>
      </c>
    </row>
    <row r="593" spans="1:10" x14ac:dyDescent="0.25">
      <c r="A593" t="s">
        <v>563</v>
      </c>
      <c r="B593" t="s">
        <v>564</v>
      </c>
      <c r="C593" t="s">
        <v>631</v>
      </c>
      <c r="D593" t="s">
        <v>782</v>
      </c>
      <c r="E593">
        <v>0</v>
      </c>
      <c r="F593" t="s">
        <v>783</v>
      </c>
      <c r="G593">
        <v>790000</v>
      </c>
      <c r="H593">
        <v>0</v>
      </c>
      <c r="I593">
        <v>0</v>
      </c>
      <c r="J593">
        <v>0</v>
      </c>
    </row>
    <row r="594" spans="1:10" x14ac:dyDescent="0.25">
      <c r="A594" t="s">
        <v>784</v>
      </c>
      <c r="B594" t="s">
        <v>785</v>
      </c>
      <c r="C594" t="s">
        <v>631</v>
      </c>
      <c r="D594" t="s">
        <v>668</v>
      </c>
      <c r="E594">
        <v>3100000</v>
      </c>
      <c r="F594" t="s">
        <v>669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306</v>
      </c>
      <c r="B595" t="s">
        <v>307</v>
      </c>
      <c r="C595" t="s">
        <v>631</v>
      </c>
      <c r="D595" t="s">
        <v>652</v>
      </c>
      <c r="E595">
        <v>0</v>
      </c>
      <c r="F595" t="s">
        <v>653</v>
      </c>
      <c r="G595">
        <v>1633500</v>
      </c>
      <c r="H595">
        <v>3570443.8</v>
      </c>
      <c r="I595">
        <v>0</v>
      </c>
      <c r="J595">
        <v>0</v>
      </c>
    </row>
    <row r="596" spans="1:10" x14ac:dyDescent="0.25">
      <c r="A596" t="s">
        <v>308</v>
      </c>
      <c r="B596" t="s">
        <v>309</v>
      </c>
      <c r="C596" t="s">
        <v>631</v>
      </c>
      <c r="D596" t="s">
        <v>724</v>
      </c>
      <c r="E596">
        <v>0</v>
      </c>
      <c r="F596" t="s">
        <v>725</v>
      </c>
      <c r="G596">
        <v>0</v>
      </c>
      <c r="H596">
        <v>0</v>
      </c>
      <c r="I596">
        <v>0</v>
      </c>
      <c r="J596">
        <v>-3904.38</v>
      </c>
    </row>
    <row r="597" spans="1:10" x14ac:dyDescent="0.25">
      <c r="A597" t="s">
        <v>565</v>
      </c>
      <c r="B597" t="s">
        <v>566</v>
      </c>
      <c r="C597" t="s">
        <v>631</v>
      </c>
      <c r="D597" t="s">
        <v>786</v>
      </c>
      <c r="E597">
        <v>0</v>
      </c>
      <c r="F597" t="s">
        <v>787</v>
      </c>
      <c r="G597">
        <v>125900.5</v>
      </c>
      <c r="H597">
        <v>533280.99</v>
      </c>
      <c r="I597">
        <v>0</v>
      </c>
      <c r="J597">
        <v>0</v>
      </c>
    </row>
    <row r="598" spans="1:10" x14ac:dyDescent="0.25">
      <c r="A598" t="s">
        <v>310</v>
      </c>
      <c r="B598" t="s">
        <v>311</v>
      </c>
      <c r="C598" t="s">
        <v>631</v>
      </c>
      <c r="D598" t="s">
        <v>718</v>
      </c>
      <c r="E598">
        <v>0</v>
      </c>
      <c r="F598" t="s">
        <v>719</v>
      </c>
      <c r="G598">
        <v>811093.25</v>
      </c>
      <c r="H598">
        <v>0</v>
      </c>
      <c r="I598">
        <v>0</v>
      </c>
      <c r="J598">
        <v>0</v>
      </c>
    </row>
    <row r="599" spans="1:10" x14ac:dyDescent="0.25">
      <c r="A599" t="s">
        <v>312</v>
      </c>
      <c r="B599" t="s">
        <v>313</v>
      </c>
      <c r="C599" t="s">
        <v>631</v>
      </c>
      <c r="D599" t="s">
        <v>658</v>
      </c>
      <c r="E599">
        <v>0</v>
      </c>
      <c r="F599" t="s">
        <v>659</v>
      </c>
      <c r="G599">
        <v>0</v>
      </c>
      <c r="H599">
        <v>1728535.96</v>
      </c>
      <c r="I599">
        <v>0</v>
      </c>
      <c r="J599">
        <v>0</v>
      </c>
    </row>
    <row r="600" spans="1:10" x14ac:dyDescent="0.25">
      <c r="A600" t="s">
        <v>314</v>
      </c>
      <c r="B600" t="s">
        <v>315</v>
      </c>
      <c r="C600" t="s">
        <v>631</v>
      </c>
      <c r="D600" t="s">
        <v>788</v>
      </c>
      <c r="E600">
        <v>0</v>
      </c>
      <c r="F600" t="s">
        <v>789</v>
      </c>
      <c r="G600">
        <v>0</v>
      </c>
      <c r="H600">
        <v>0</v>
      </c>
      <c r="I600">
        <v>0</v>
      </c>
      <c r="J600">
        <v>40367.35</v>
      </c>
    </row>
    <row r="601" spans="1:10" x14ac:dyDescent="0.25">
      <c r="A601" t="s">
        <v>567</v>
      </c>
      <c r="B601" t="s">
        <v>568</v>
      </c>
      <c r="C601" t="s">
        <v>631</v>
      </c>
      <c r="D601" t="s">
        <v>786</v>
      </c>
      <c r="E601">
        <v>0</v>
      </c>
      <c r="F601" t="s">
        <v>787</v>
      </c>
      <c r="G601">
        <v>152460</v>
      </c>
      <c r="H601">
        <v>0</v>
      </c>
      <c r="I601">
        <v>0</v>
      </c>
      <c r="J601">
        <v>0</v>
      </c>
    </row>
    <row r="602" spans="1:10" x14ac:dyDescent="0.25">
      <c r="A602" t="s">
        <v>316</v>
      </c>
      <c r="B602" t="s">
        <v>317</v>
      </c>
      <c r="C602" t="s">
        <v>631</v>
      </c>
      <c r="D602" t="s">
        <v>702</v>
      </c>
      <c r="E602">
        <v>0</v>
      </c>
      <c r="F602" t="s">
        <v>703</v>
      </c>
      <c r="G602">
        <v>210995.48</v>
      </c>
      <c r="H602">
        <v>0</v>
      </c>
      <c r="I602">
        <v>0</v>
      </c>
      <c r="J602">
        <v>0</v>
      </c>
    </row>
    <row r="603" spans="1:10" x14ac:dyDescent="0.25">
      <c r="A603" t="s">
        <v>790</v>
      </c>
      <c r="B603" t="s">
        <v>791</v>
      </c>
      <c r="C603" t="s">
        <v>631</v>
      </c>
      <c r="D603" t="s">
        <v>682</v>
      </c>
      <c r="E603">
        <v>0</v>
      </c>
      <c r="F603" t="s">
        <v>683</v>
      </c>
      <c r="G603">
        <v>1485325.16</v>
      </c>
      <c r="H603">
        <v>0</v>
      </c>
      <c r="I603">
        <v>0</v>
      </c>
      <c r="J603">
        <v>0</v>
      </c>
    </row>
    <row r="604" spans="1:10" x14ac:dyDescent="0.25">
      <c r="A604" t="s">
        <v>318</v>
      </c>
      <c r="B604" t="s">
        <v>319</v>
      </c>
      <c r="C604" t="s">
        <v>631</v>
      </c>
      <c r="D604" t="s">
        <v>776</v>
      </c>
      <c r="E604">
        <v>0</v>
      </c>
      <c r="F604" t="s">
        <v>777</v>
      </c>
      <c r="G604">
        <v>522544.55</v>
      </c>
      <c r="H604">
        <v>332638.37</v>
      </c>
      <c r="I604">
        <v>843648.3</v>
      </c>
      <c r="J604">
        <v>0</v>
      </c>
    </row>
    <row r="605" spans="1:10" x14ac:dyDescent="0.25">
      <c r="A605" t="s">
        <v>320</v>
      </c>
      <c r="B605" t="s">
        <v>321</v>
      </c>
      <c r="C605" t="s">
        <v>631</v>
      </c>
      <c r="D605" t="s">
        <v>762</v>
      </c>
      <c r="E605">
        <v>0</v>
      </c>
      <c r="F605" t="s">
        <v>763</v>
      </c>
      <c r="G605">
        <v>0</v>
      </c>
      <c r="H605">
        <v>0</v>
      </c>
      <c r="I605">
        <v>0</v>
      </c>
      <c r="J605">
        <v>-387219.15</v>
      </c>
    </row>
    <row r="606" spans="1:10" x14ac:dyDescent="0.25">
      <c r="A606" t="s">
        <v>322</v>
      </c>
      <c r="B606" t="s">
        <v>323</v>
      </c>
      <c r="C606" t="s">
        <v>631</v>
      </c>
      <c r="D606" t="s">
        <v>676</v>
      </c>
      <c r="E606">
        <v>0</v>
      </c>
      <c r="F606" t="s">
        <v>677</v>
      </c>
      <c r="G606">
        <v>0</v>
      </c>
      <c r="H606">
        <v>44102.080000000002</v>
      </c>
      <c r="I606">
        <v>0</v>
      </c>
      <c r="J606">
        <v>0</v>
      </c>
    </row>
    <row r="607" spans="1:10" x14ac:dyDescent="0.25">
      <c r="A607" t="s">
        <v>324</v>
      </c>
      <c r="B607" t="s">
        <v>325</v>
      </c>
      <c r="C607" t="s">
        <v>631</v>
      </c>
      <c r="D607" t="s">
        <v>658</v>
      </c>
      <c r="E607">
        <v>0</v>
      </c>
      <c r="F607" t="s">
        <v>659</v>
      </c>
      <c r="G607">
        <v>871200</v>
      </c>
      <c r="H607">
        <v>0</v>
      </c>
      <c r="I607">
        <v>0</v>
      </c>
      <c r="J607">
        <v>0</v>
      </c>
    </row>
    <row r="608" spans="1:10" x14ac:dyDescent="0.25">
      <c r="A608" t="s">
        <v>326</v>
      </c>
      <c r="B608" t="s">
        <v>327</v>
      </c>
      <c r="C608" t="s">
        <v>631</v>
      </c>
      <c r="D608" t="s">
        <v>646</v>
      </c>
      <c r="E608">
        <v>0</v>
      </c>
      <c r="F608" t="s">
        <v>647</v>
      </c>
      <c r="G608">
        <v>1468168.93</v>
      </c>
      <c r="H608">
        <v>2287582.5699999998</v>
      </c>
      <c r="I608">
        <v>0</v>
      </c>
      <c r="J608">
        <v>0</v>
      </c>
    </row>
    <row r="609" spans="1:10" x14ac:dyDescent="0.25">
      <c r="A609" t="s">
        <v>328</v>
      </c>
      <c r="B609" t="s">
        <v>329</v>
      </c>
      <c r="C609" t="s">
        <v>631</v>
      </c>
      <c r="D609" t="s">
        <v>668</v>
      </c>
      <c r="E609">
        <v>0</v>
      </c>
      <c r="F609" t="s">
        <v>669</v>
      </c>
      <c r="G609">
        <v>21780</v>
      </c>
      <c r="H609">
        <v>0</v>
      </c>
      <c r="I609">
        <v>0</v>
      </c>
      <c r="J609">
        <v>0</v>
      </c>
    </row>
    <row r="610" spans="1:10" x14ac:dyDescent="0.25">
      <c r="A610" t="s">
        <v>330</v>
      </c>
      <c r="B610" t="s">
        <v>331</v>
      </c>
      <c r="C610" t="s">
        <v>631</v>
      </c>
      <c r="D610" t="s">
        <v>792</v>
      </c>
      <c r="E610">
        <v>0</v>
      </c>
      <c r="F610" t="s">
        <v>793</v>
      </c>
      <c r="G610">
        <v>4102015.65</v>
      </c>
      <c r="H610">
        <v>0</v>
      </c>
      <c r="I610">
        <v>0</v>
      </c>
      <c r="J610">
        <v>0</v>
      </c>
    </row>
    <row r="611" spans="1:10" x14ac:dyDescent="0.25">
      <c r="A611" t="s">
        <v>794</v>
      </c>
      <c r="B611" t="s">
        <v>795</v>
      </c>
      <c r="C611" t="s">
        <v>631</v>
      </c>
      <c r="D611" t="s">
        <v>740</v>
      </c>
      <c r="E611">
        <v>0</v>
      </c>
      <c r="F611" t="s">
        <v>741</v>
      </c>
      <c r="G611">
        <v>314600</v>
      </c>
      <c r="H611">
        <v>0</v>
      </c>
      <c r="I611">
        <v>0</v>
      </c>
      <c r="J611">
        <v>0</v>
      </c>
    </row>
    <row r="612" spans="1:10" x14ac:dyDescent="0.25">
      <c r="A612" t="s">
        <v>332</v>
      </c>
      <c r="B612" t="s">
        <v>333</v>
      </c>
      <c r="C612" t="s">
        <v>631</v>
      </c>
      <c r="D612" t="s">
        <v>748</v>
      </c>
      <c r="E612">
        <v>0</v>
      </c>
      <c r="F612" t="s">
        <v>749</v>
      </c>
      <c r="G612">
        <v>205951.29</v>
      </c>
      <c r="H612">
        <v>27043.5</v>
      </c>
      <c r="I612">
        <v>0</v>
      </c>
      <c r="J612">
        <v>0</v>
      </c>
    </row>
    <row r="613" spans="1:10" x14ac:dyDescent="0.25">
      <c r="A613" t="s">
        <v>796</v>
      </c>
      <c r="B613" t="s">
        <v>797</v>
      </c>
      <c r="C613" t="s">
        <v>631</v>
      </c>
      <c r="D613" t="s">
        <v>690</v>
      </c>
      <c r="E613">
        <v>0</v>
      </c>
      <c r="F613" t="s">
        <v>691</v>
      </c>
      <c r="G613">
        <v>2800000</v>
      </c>
      <c r="H613">
        <v>0</v>
      </c>
      <c r="I613">
        <v>0</v>
      </c>
      <c r="J613">
        <v>0</v>
      </c>
    </row>
    <row r="614" spans="1:10" x14ac:dyDescent="0.25">
      <c r="A614" t="s">
        <v>569</v>
      </c>
      <c r="B614" t="s">
        <v>570</v>
      </c>
      <c r="C614" t="s">
        <v>631</v>
      </c>
      <c r="D614" t="s">
        <v>798</v>
      </c>
      <c r="E614">
        <v>0</v>
      </c>
      <c r="F614" t="s">
        <v>799</v>
      </c>
      <c r="G614">
        <v>78000</v>
      </c>
      <c r="H614">
        <v>0</v>
      </c>
      <c r="I614">
        <v>0</v>
      </c>
      <c r="J614">
        <v>0</v>
      </c>
    </row>
    <row r="615" spans="1:10" x14ac:dyDescent="0.25">
      <c r="A615" t="s">
        <v>334</v>
      </c>
      <c r="B615" t="s">
        <v>335</v>
      </c>
      <c r="C615" t="s">
        <v>631</v>
      </c>
      <c r="D615" t="s">
        <v>800</v>
      </c>
      <c r="E615">
        <v>0</v>
      </c>
      <c r="F615" t="s">
        <v>801</v>
      </c>
      <c r="G615">
        <v>1332000</v>
      </c>
      <c r="H615">
        <v>0</v>
      </c>
      <c r="I615">
        <v>0</v>
      </c>
      <c r="J615">
        <v>0</v>
      </c>
    </row>
    <row r="616" spans="1:10" x14ac:dyDescent="0.25">
      <c r="A616" t="s">
        <v>336</v>
      </c>
      <c r="B616" t="s">
        <v>337</v>
      </c>
      <c r="C616" t="s">
        <v>631</v>
      </c>
      <c r="D616" t="s">
        <v>802</v>
      </c>
      <c r="E616">
        <v>0</v>
      </c>
      <c r="F616" t="s">
        <v>803</v>
      </c>
      <c r="G616">
        <v>50076000</v>
      </c>
      <c r="H616">
        <v>155000.01</v>
      </c>
      <c r="I616">
        <v>0</v>
      </c>
      <c r="J616">
        <v>0</v>
      </c>
    </row>
    <row r="617" spans="1:10" x14ac:dyDescent="0.25">
      <c r="A617" t="s">
        <v>338</v>
      </c>
      <c r="B617" t="s">
        <v>339</v>
      </c>
      <c r="C617" t="s">
        <v>631</v>
      </c>
      <c r="D617" t="s">
        <v>658</v>
      </c>
      <c r="E617">
        <v>0</v>
      </c>
      <c r="F617" t="s">
        <v>659</v>
      </c>
      <c r="G617">
        <v>0</v>
      </c>
      <c r="H617">
        <v>701943.97</v>
      </c>
      <c r="I617">
        <v>0</v>
      </c>
      <c r="J617">
        <v>0</v>
      </c>
    </row>
    <row r="618" spans="1:10" x14ac:dyDescent="0.25">
      <c r="A618" t="s">
        <v>340</v>
      </c>
      <c r="B618" t="s">
        <v>341</v>
      </c>
      <c r="C618" t="s">
        <v>631</v>
      </c>
      <c r="D618" t="s">
        <v>804</v>
      </c>
      <c r="E618">
        <v>0</v>
      </c>
      <c r="F618" t="s">
        <v>805</v>
      </c>
      <c r="G618">
        <v>9519907.0099999998</v>
      </c>
      <c r="H618">
        <v>4444896.2300000004</v>
      </c>
      <c r="I618">
        <v>0</v>
      </c>
      <c r="J618">
        <v>0</v>
      </c>
    </row>
    <row r="619" spans="1:10" x14ac:dyDescent="0.25">
      <c r="A619" t="s">
        <v>806</v>
      </c>
      <c r="B619" t="s">
        <v>807</v>
      </c>
      <c r="C619" t="s">
        <v>631</v>
      </c>
      <c r="D619" t="s">
        <v>740</v>
      </c>
      <c r="E619">
        <v>0</v>
      </c>
      <c r="F619" t="s">
        <v>741</v>
      </c>
      <c r="G619">
        <v>6706404.4500000002</v>
      </c>
      <c r="H619">
        <v>0</v>
      </c>
      <c r="I619">
        <v>0</v>
      </c>
      <c r="J619">
        <v>0</v>
      </c>
    </row>
    <row r="620" spans="1:10" x14ac:dyDescent="0.25">
      <c r="A620" t="s">
        <v>571</v>
      </c>
      <c r="B620" t="s">
        <v>572</v>
      </c>
      <c r="C620" t="s">
        <v>631</v>
      </c>
      <c r="D620" t="s">
        <v>764</v>
      </c>
      <c r="E620">
        <v>0</v>
      </c>
      <c r="F620" t="s">
        <v>765</v>
      </c>
      <c r="G620">
        <v>4935696.3600000003</v>
      </c>
      <c r="H620">
        <v>0</v>
      </c>
      <c r="I620">
        <v>0</v>
      </c>
      <c r="J620">
        <v>0</v>
      </c>
    </row>
    <row r="621" spans="1:10" x14ac:dyDescent="0.25">
      <c r="A621" t="s">
        <v>342</v>
      </c>
      <c r="B621" t="s">
        <v>343</v>
      </c>
      <c r="C621" t="s">
        <v>631</v>
      </c>
      <c r="D621" t="s">
        <v>658</v>
      </c>
      <c r="E621">
        <v>0</v>
      </c>
      <c r="F621" t="s">
        <v>659</v>
      </c>
      <c r="G621">
        <v>2739940.81</v>
      </c>
      <c r="H621">
        <v>1164427.96</v>
      </c>
      <c r="I621">
        <v>0</v>
      </c>
      <c r="J621">
        <v>0</v>
      </c>
    </row>
    <row r="622" spans="1:10" x14ac:dyDescent="0.25">
      <c r="A622" t="s">
        <v>344</v>
      </c>
      <c r="B622" t="s">
        <v>345</v>
      </c>
      <c r="C622" t="s">
        <v>631</v>
      </c>
      <c r="D622" t="s">
        <v>748</v>
      </c>
      <c r="E622">
        <v>0</v>
      </c>
      <c r="F622" t="s">
        <v>749</v>
      </c>
      <c r="G622">
        <v>21886.18</v>
      </c>
      <c r="H622">
        <v>0</v>
      </c>
      <c r="I622">
        <v>0</v>
      </c>
      <c r="J622">
        <v>0</v>
      </c>
    </row>
    <row r="623" spans="1:10" x14ac:dyDescent="0.25">
      <c r="A623" t="s">
        <v>346</v>
      </c>
      <c r="B623" t="s">
        <v>347</v>
      </c>
      <c r="C623" t="s">
        <v>631</v>
      </c>
      <c r="D623" t="s">
        <v>724</v>
      </c>
      <c r="E623">
        <v>0</v>
      </c>
      <c r="F623" t="s">
        <v>725</v>
      </c>
      <c r="G623">
        <v>47766</v>
      </c>
      <c r="H623">
        <v>0</v>
      </c>
      <c r="I623">
        <v>0</v>
      </c>
      <c r="J623">
        <v>56726954.850000001</v>
      </c>
    </row>
    <row r="624" spans="1:10" x14ac:dyDescent="0.25">
      <c r="A624" t="s">
        <v>348</v>
      </c>
      <c r="B624" t="s">
        <v>349</v>
      </c>
      <c r="C624" t="s">
        <v>631</v>
      </c>
      <c r="D624" t="s">
        <v>686</v>
      </c>
      <c r="E624">
        <v>0</v>
      </c>
      <c r="F624" t="s">
        <v>687</v>
      </c>
      <c r="G624">
        <v>0</v>
      </c>
      <c r="H624">
        <v>0</v>
      </c>
      <c r="I624">
        <v>0</v>
      </c>
      <c r="J624">
        <v>-258135.9</v>
      </c>
    </row>
    <row r="625" spans="1:10" x14ac:dyDescent="0.25">
      <c r="A625" t="s">
        <v>350</v>
      </c>
      <c r="B625" t="s">
        <v>351</v>
      </c>
      <c r="C625" t="s">
        <v>631</v>
      </c>
      <c r="D625" t="s">
        <v>808</v>
      </c>
      <c r="E625">
        <v>0</v>
      </c>
      <c r="F625" t="s">
        <v>809</v>
      </c>
      <c r="G625">
        <v>11882120.890000001</v>
      </c>
      <c r="H625">
        <v>0</v>
      </c>
      <c r="I625">
        <v>0</v>
      </c>
      <c r="J625">
        <v>0</v>
      </c>
    </row>
    <row r="626" spans="1:10" x14ac:dyDescent="0.25">
      <c r="A626" t="s">
        <v>352</v>
      </c>
      <c r="B626" t="s">
        <v>353</v>
      </c>
      <c r="C626" t="s">
        <v>631</v>
      </c>
      <c r="D626" t="s">
        <v>810</v>
      </c>
      <c r="E626">
        <v>0</v>
      </c>
      <c r="F626" t="s">
        <v>811</v>
      </c>
      <c r="G626">
        <v>329120</v>
      </c>
      <c r="H626">
        <v>359370</v>
      </c>
      <c r="I626">
        <v>0</v>
      </c>
      <c r="J626">
        <v>0</v>
      </c>
    </row>
    <row r="627" spans="1:10" x14ac:dyDescent="0.25">
      <c r="A627" t="s">
        <v>354</v>
      </c>
      <c r="B627" t="s">
        <v>355</v>
      </c>
      <c r="C627" t="s">
        <v>631</v>
      </c>
      <c r="D627" t="s">
        <v>740</v>
      </c>
      <c r="E627">
        <v>0</v>
      </c>
      <c r="F627" t="s">
        <v>741</v>
      </c>
      <c r="G627">
        <v>0</v>
      </c>
      <c r="H627">
        <v>0</v>
      </c>
      <c r="I627">
        <v>0</v>
      </c>
      <c r="J627">
        <v>88538261.290000007</v>
      </c>
    </row>
    <row r="628" spans="1:10" x14ac:dyDescent="0.25">
      <c r="A628" t="s">
        <v>573</v>
      </c>
      <c r="B628" t="s">
        <v>574</v>
      </c>
      <c r="C628" t="s">
        <v>631</v>
      </c>
      <c r="D628" t="s">
        <v>724</v>
      </c>
      <c r="E628">
        <v>0</v>
      </c>
      <c r="F628" t="s">
        <v>725</v>
      </c>
      <c r="G628">
        <v>1130297.45</v>
      </c>
      <c r="H628">
        <v>0</v>
      </c>
      <c r="I628">
        <v>0</v>
      </c>
      <c r="J628">
        <v>0</v>
      </c>
    </row>
    <row r="629" spans="1:10" x14ac:dyDescent="0.25">
      <c r="A629" t="s">
        <v>812</v>
      </c>
      <c r="B629" t="s">
        <v>813</v>
      </c>
      <c r="C629" t="s">
        <v>631</v>
      </c>
      <c r="D629" t="s">
        <v>804</v>
      </c>
      <c r="E629">
        <v>0</v>
      </c>
      <c r="F629" t="s">
        <v>805</v>
      </c>
      <c r="G629">
        <v>1173884.3700000001</v>
      </c>
      <c r="H629">
        <v>0</v>
      </c>
      <c r="I629">
        <v>0</v>
      </c>
      <c r="J629">
        <v>0</v>
      </c>
    </row>
    <row r="630" spans="1:10" x14ac:dyDescent="0.25">
      <c r="A630" t="s">
        <v>356</v>
      </c>
      <c r="B630" t="s">
        <v>357</v>
      </c>
      <c r="C630" t="s">
        <v>631</v>
      </c>
      <c r="D630" t="s">
        <v>740</v>
      </c>
      <c r="E630">
        <v>0</v>
      </c>
      <c r="F630" t="s">
        <v>741</v>
      </c>
      <c r="G630">
        <v>0</v>
      </c>
      <c r="H630">
        <v>0</v>
      </c>
      <c r="I630">
        <v>0</v>
      </c>
      <c r="J630">
        <v>5896891</v>
      </c>
    </row>
    <row r="631" spans="1:10" x14ac:dyDescent="0.25">
      <c r="A631" t="s">
        <v>358</v>
      </c>
      <c r="B631" t="s">
        <v>359</v>
      </c>
      <c r="C631" t="s">
        <v>631</v>
      </c>
      <c r="D631" t="s">
        <v>814</v>
      </c>
      <c r="E631">
        <v>0</v>
      </c>
      <c r="F631" t="s">
        <v>815</v>
      </c>
      <c r="G631">
        <v>2354757.2599999998</v>
      </c>
      <c r="H631">
        <v>1678734.35</v>
      </c>
      <c r="I631">
        <v>0</v>
      </c>
      <c r="J631">
        <v>0</v>
      </c>
    </row>
    <row r="632" spans="1:10" x14ac:dyDescent="0.25">
      <c r="A632" t="s">
        <v>360</v>
      </c>
      <c r="B632" t="s">
        <v>361</v>
      </c>
      <c r="C632" t="s">
        <v>631</v>
      </c>
      <c r="D632" t="s">
        <v>658</v>
      </c>
      <c r="E632">
        <v>0</v>
      </c>
      <c r="F632" t="s">
        <v>659</v>
      </c>
      <c r="G632">
        <v>0</v>
      </c>
      <c r="H632">
        <v>0</v>
      </c>
      <c r="I632">
        <v>0</v>
      </c>
      <c r="J632">
        <v>-0.01</v>
      </c>
    </row>
    <row r="633" spans="1:10" x14ac:dyDescent="0.25">
      <c r="A633" t="s">
        <v>362</v>
      </c>
      <c r="B633" t="s">
        <v>363</v>
      </c>
      <c r="C633" t="s">
        <v>631</v>
      </c>
      <c r="D633" t="s">
        <v>738</v>
      </c>
      <c r="E633">
        <v>0</v>
      </c>
      <c r="F633" t="s">
        <v>739</v>
      </c>
      <c r="G633">
        <v>7967137.2699999996</v>
      </c>
      <c r="H633">
        <v>37524695.93</v>
      </c>
      <c r="I633">
        <v>0</v>
      </c>
      <c r="J633">
        <v>0</v>
      </c>
    </row>
    <row r="634" spans="1:10" x14ac:dyDescent="0.25">
      <c r="A634" t="s">
        <v>364</v>
      </c>
      <c r="B634" t="s">
        <v>365</v>
      </c>
      <c r="C634" t="s">
        <v>631</v>
      </c>
      <c r="D634" t="s">
        <v>752</v>
      </c>
      <c r="E634">
        <v>0</v>
      </c>
      <c r="F634" t="s">
        <v>753</v>
      </c>
      <c r="G634">
        <v>824011.81</v>
      </c>
      <c r="H634">
        <v>0</v>
      </c>
      <c r="I634">
        <v>0</v>
      </c>
      <c r="J634">
        <v>0</v>
      </c>
    </row>
    <row r="635" spans="1:10" x14ac:dyDescent="0.25">
      <c r="A635" t="s">
        <v>366</v>
      </c>
      <c r="B635" t="s">
        <v>367</v>
      </c>
      <c r="C635" t="s">
        <v>631</v>
      </c>
      <c r="D635" t="s">
        <v>658</v>
      </c>
      <c r="E635">
        <v>0</v>
      </c>
      <c r="F635" t="s">
        <v>659</v>
      </c>
      <c r="G635">
        <v>7793411.4699999997</v>
      </c>
      <c r="H635">
        <v>0</v>
      </c>
      <c r="I635">
        <v>0</v>
      </c>
      <c r="J635">
        <v>0</v>
      </c>
    </row>
    <row r="636" spans="1:10" x14ac:dyDescent="0.25">
      <c r="A636" t="s">
        <v>816</v>
      </c>
      <c r="B636" t="s">
        <v>817</v>
      </c>
      <c r="C636" t="s">
        <v>631</v>
      </c>
      <c r="D636" t="s">
        <v>818</v>
      </c>
      <c r="E636">
        <v>473715</v>
      </c>
      <c r="F636" t="s">
        <v>819</v>
      </c>
      <c r="G636">
        <v>0</v>
      </c>
      <c r="H636">
        <v>0</v>
      </c>
      <c r="I636">
        <v>0</v>
      </c>
      <c r="J636">
        <v>0</v>
      </c>
    </row>
    <row r="637" spans="1:10" x14ac:dyDescent="0.25">
      <c r="A637" t="s">
        <v>368</v>
      </c>
      <c r="B637" t="s">
        <v>369</v>
      </c>
      <c r="C637" t="s">
        <v>631</v>
      </c>
      <c r="D637" t="s">
        <v>820</v>
      </c>
      <c r="E637">
        <v>0</v>
      </c>
      <c r="F637" t="s">
        <v>821</v>
      </c>
      <c r="G637">
        <v>32887354.66</v>
      </c>
      <c r="H637">
        <v>24549964.350000001</v>
      </c>
      <c r="I637">
        <v>0</v>
      </c>
      <c r="J637">
        <v>1.17</v>
      </c>
    </row>
    <row r="638" spans="1:10" x14ac:dyDescent="0.25">
      <c r="A638" t="s">
        <v>370</v>
      </c>
      <c r="B638" t="s">
        <v>371</v>
      </c>
      <c r="C638" t="s">
        <v>631</v>
      </c>
      <c r="D638" t="s">
        <v>740</v>
      </c>
      <c r="E638">
        <v>0</v>
      </c>
      <c r="F638" t="s">
        <v>741</v>
      </c>
      <c r="G638">
        <v>0</v>
      </c>
      <c r="H638">
        <v>0</v>
      </c>
      <c r="I638">
        <v>0</v>
      </c>
      <c r="J638">
        <v>335045.59999999998</v>
      </c>
    </row>
    <row r="639" spans="1:10" x14ac:dyDescent="0.25">
      <c r="A639" t="s">
        <v>372</v>
      </c>
      <c r="B639" t="s">
        <v>373</v>
      </c>
      <c r="C639" t="s">
        <v>631</v>
      </c>
      <c r="D639" t="s">
        <v>740</v>
      </c>
      <c r="E639">
        <v>0</v>
      </c>
      <c r="F639" t="s">
        <v>741</v>
      </c>
      <c r="G639">
        <v>0</v>
      </c>
      <c r="H639">
        <v>0</v>
      </c>
      <c r="I639">
        <v>0</v>
      </c>
      <c r="J639">
        <v>1782642.4</v>
      </c>
    </row>
    <row r="640" spans="1:10" x14ac:dyDescent="0.25">
      <c r="A640" t="s">
        <v>374</v>
      </c>
      <c r="B640" t="s">
        <v>375</v>
      </c>
      <c r="C640" t="s">
        <v>631</v>
      </c>
      <c r="D640" t="s">
        <v>822</v>
      </c>
      <c r="E640">
        <v>0</v>
      </c>
      <c r="F640" t="s">
        <v>823</v>
      </c>
      <c r="G640">
        <v>7800000</v>
      </c>
      <c r="H640">
        <v>0</v>
      </c>
      <c r="I640">
        <v>0</v>
      </c>
      <c r="J640">
        <v>0</v>
      </c>
    </row>
    <row r="641" spans="1:10" x14ac:dyDescent="0.25">
      <c r="A641" t="s">
        <v>376</v>
      </c>
      <c r="B641" t="s">
        <v>377</v>
      </c>
      <c r="C641" t="s">
        <v>631</v>
      </c>
      <c r="D641" t="s">
        <v>652</v>
      </c>
      <c r="E641">
        <v>0</v>
      </c>
      <c r="F641" t="s">
        <v>653</v>
      </c>
      <c r="G641">
        <v>3927175</v>
      </c>
      <c r="H641">
        <v>0</v>
      </c>
      <c r="I641">
        <v>0</v>
      </c>
      <c r="J641">
        <v>0</v>
      </c>
    </row>
    <row r="642" spans="1:10" x14ac:dyDescent="0.25">
      <c r="A642" t="s">
        <v>575</v>
      </c>
      <c r="B642" t="s">
        <v>576</v>
      </c>
      <c r="C642" t="s">
        <v>631</v>
      </c>
      <c r="D642" t="s">
        <v>658</v>
      </c>
      <c r="E642">
        <v>0</v>
      </c>
      <c r="F642" t="s">
        <v>659</v>
      </c>
      <c r="G642">
        <v>1352938.87</v>
      </c>
      <c r="H642">
        <v>0</v>
      </c>
      <c r="I642">
        <v>0</v>
      </c>
      <c r="J642">
        <v>0</v>
      </c>
    </row>
    <row r="643" spans="1:10" x14ac:dyDescent="0.25">
      <c r="A643" t="s">
        <v>577</v>
      </c>
      <c r="B643" t="s">
        <v>578</v>
      </c>
      <c r="C643" t="s">
        <v>631</v>
      </c>
      <c r="D643" t="s">
        <v>634</v>
      </c>
      <c r="E643">
        <v>0</v>
      </c>
      <c r="F643" t="s">
        <v>635</v>
      </c>
      <c r="G643">
        <v>229900</v>
      </c>
      <c r="H643">
        <v>0</v>
      </c>
      <c r="I643">
        <v>0</v>
      </c>
      <c r="J643">
        <v>0</v>
      </c>
    </row>
    <row r="644" spans="1:10" x14ac:dyDescent="0.25">
      <c r="A644" t="s">
        <v>378</v>
      </c>
      <c r="B644" t="s">
        <v>379</v>
      </c>
      <c r="C644" t="s">
        <v>631</v>
      </c>
      <c r="D644" t="s">
        <v>778</v>
      </c>
      <c r="E644">
        <v>0</v>
      </c>
      <c r="F644" t="s">
        <v>779</v>
      </c>
      <c r="G644">
        <v>3526500</v>
      </c>
      <c r="H644">
        <v>4091000</v>
      </c>
      <c r="I644">
        <v>0</v>
      </c>
      <c r="J644">
        <v>0</v>
      </c>
    </row>
    <row r="645" spans="1:10" x14ac:dyDescent="0.25">
      <c r="A645" t="s">
        <v>380</v>
      </c>
      <c r="B645" t="s">
        <v>381</v>
      </c>
      <c r="C645" t="s">
        <v>631</v>
      </c>
      <c r="D645" t="s">
        <v>780</v>
      </c>
      <c r="E645">
        <v>0</v>
      </c>
      <c r="F645" t="s">
        <v>781</v>
      </c>
      <c r="G645">
        <v>304483.67</v>
      </c>
      <c r="H645">
        <v>0</v>
      </c>
      <c r="I645">
        <v>0</v>
      </c>
      <c r="J645">
        <v>0</v>
      </c>
    </row>
    <row r="646" spans="1:10" x14ac:dyDescent="0.25">
      <c r="A646" t="s">
        <v>382</v>
      </c>
      <c r="B646" t="s">
        <v>383</v>
      </c>
      <c r="C646" t="s">
        <v>631</v>
      </c>
      <c r="D646" t="s">
        <v>824</v>
      </c>
      <c r="E646">
        <v>0</v>
      </c>
      <c r="F646" t="s">
        <v>825</v>
      </c>
      <c r="G646">
        <v>7531931.04</v>
      </c>
      <c r="H646">
        <v>11907110.51</v>
      </c>
      <c r="I646">
        <v>0</v>
      </c>
      <c r="J646">
        <v>0</v>
      </c>
    </row>
    <row r="647" spans="1:10" x14ac:dyDescent="0.25">
      <c r="A647" t="s">
        <v>384</v>
      </c>
      <c r="B647" t="s">
        <v>385</v>
      </c>
      <c r="C647" t="s">
        <v>631</v>
      </c>
      <c r="D647" t="s">
        <v>682</v>
      </c>
      <c r="E647">
        <v>0</v>
      </c>
      <c r="F647" t="s">
        <v>683</v>
      </c>
      <c r="G647">
        <v>2915177</v>
      </c>
      <c r="H647">
        <v>0</v>
      </c>
      <c r="I647">
        <v>0</v>
      </c>
      <c r="J647">
        <v>0</v>
      </c>
    </row>
    <row r="648" spans="1:10" x14ac:dyDescent="0.25">
      <c r="A648" t="s">
        <v>386</v>
      </c>
      <c r="B648" t="s">
        <v>387</v>
      </c>
      <c r="C648" t="s">
        <v>631</v>
      </c>
      <c r="D648" t="s">
        <v>636</v>
      </c>
      <c r="E648">
        <v>0</v>
      </c>
      <c r="F648" t="s">
        <v>637</v>
      </c>
      <c r="G648">
        <v>11727544.720000001</v>
      </c>
      <c r="H648">
        <v>0</v>
      </c>
      <c r="I648">
        <v>0</v>
      </c>
      <c r="J648">
        <v>0</v>
      </c>
    </row>
    <row r="649" spans="1:10" x14ac:dyDescent="0.25">
      <c r="A649" t="s">
        <v>388</v>
      </c>
      <c r="B649" t="s">
        <v>389</v>
      </c>
      <c r="C649" t="s">
        <v>631</v>
      </c>
      <c r="D649" t="s">
        <v>826</v>
      </c>
      <c r="E649">
        <v>0</v>
      </c>
      <c r="F649" t="s">
        <v>827</v>
      </c>
      <c r="G649">
        <v>2546823.13</v>
      </c>
      <c r="H649">
        <v>10142295.630000001</v>
      </c>
      <c r="I649">
        <v>43979576.030000001</v>
      </c>
      <c r="J649">
        <v>90616446.269999996</v>
      </c>
    </row>
    <row r="650" spans="1:10" x14ac:dyDescent="0.25">
      <c r="A650" t="s">
        <v>390</v>
      </c>
      <c r="B650" t="s">
        <v>391</v>
      </c>
      <c r="C650" t="s">
        <v>631</v>
      </c>
      <c r="D650" t="s">
        <v>658</v>
      </c>
      <c r="E650">
        <v>0</v>
      </c>
      <c r="F650" t="s">
        <v>659</v>
      </c>
      <c r="G650">
        <v>156412.93</v>
      </c>
      <c r="H650">
        <v>473839.17</v>
      </c>
      <c r="I650">
        <v>0</v>
      </c>
      <c r="J650">
        <v>0</v>
      </c>
    </row>
    <row r="651" spans="1:10" x14ac:dyDescent="0.25">
      <c r="A651" t="s">
        <v>392</v>
      </c>
      <c r="B651" t="s">
        <v>393</v>
      </c>
      <c r="C651" t="s">
        <v>631</v>
      </c>
      <c r="D651" t="s">
        <v>762</v>
      </c>
      <c r="E651">
        <v>0</v>
      </c>
      <c r="F651" t="s">
        <v>763</v>
      </c>
      <c r="G651">
        <v>0</v>
      </c>
      <c r="H651">
        <v>0</v>
      </c>
      <c r="I651">
        <v>35394057.5</v>
      </c>
      <c r="J651">
        <v>0</v>
      </c>
    </row>
    <row r="652" spans="1:10" x14ac:dyDescent="0.25">
      <c r="A652" t="s">
        <v>394</v>
      </c>
      <c r="B652" t="s">
        <v>395</v>
      </c>
      <c r="C652" t="s">
        <v>631</v>
      </c>
      <c r="D652" t="s">
        <v>780</v>
      </c>
      <c r="E652">
        <v>0</v>
      </c>
      <c r="F652" t="s">
        <v>781</v>
      </c>
      <c r="G652">
        <v>82539.429999999993</v>
      </c>
      <c r="H652">
        <v>0</v>
      </c>
      <c r="I652">
        <v>0</v>
      </c>
      <c r="J652">
        <v>0</v>
      </c>
    </row>
    <row r="653" spans="1:10" x14ac:dyDescent="0.25">
      <c r="A653" t="s">
        <v>579</v>
      </c>
      <c r="B653" t="s">
        <v>580</v>
      </c>
      <c r="C653" t="s">
        <v>631</v>
      </c>
      <c r="D653" t="s">
        <v>828</v>
      </c>
      <c r="E653">
        <v>0</v>
      </c>
      <c r="F653" t="s">
        <v>829</v>
      </c>
      <c r="G653">
        <v>1207580</v>
      </c>
      <c r="H653">
        <v>1432640</v>
      </c>
      <c r="I653">
        <v>0</v>
      </c>
      <c r="J653">
        <v>0</v>
      </c>
    </row>
    <row r="654" spans="1:10" x14ac:dyDescent="0.25">
      <c r="A654" t="s">
        <v>396</v>
      </c>
      <c r="B654" t="s">
        <v>397</v>
      </c>
      <c r="C654" t="s">
        <v>631</v>
      </c>
      <c r="D654" t="s">
        <v>786</v>
      </c>
      <c r="E654">
        <v>0</v>
      </c>
      <c r="F654" t="s">
        <v>787</v>
      </c>
      <c r="G654">
        <v>1101100</v>
      </c>
      <c r="H654">
        <v>0</v>
      </c>
      <c r="I654">
        <v>0</v>
      </c>
      <c r="J654">
        <v>0</v>
      </c>
    </row>
    <row r="655" spans="1:10" x14ac:dyDescent="0.25">
      <c r="A655" t="s">
        <v>398</v>
      </c>
      <c r="B655" t="s">
        <v>399</v>
      </c>
      <c r="C655" t="s">
        <v>631</v>
      </c>
      <c r="D655" t="s">
        <v>724</v>
      </c>
      <c r="E655">
        <v>0</v>
      </c>
      <c r="F655" t="s">
        <v>725</v>
      </c>
      <c r="G655">
        <v>13623137.300000001</v>
      </c>
      <c r="H655">
        <v>0</v>
      </c>
      <c r="I655">
        <v>0</v>
      </c>
      <c r="J655">
        <v>0</v>
      </c>
    </row>
    <row r="656" spans="1:10" x14ac:dyDescent="0.25">
      <c r="A656" t="s">
        <v>400</v>
      </c>
      <c r="B656" t="s">
        <v>401</v>
      </c>
      <c r="C656" t="s">
        <v>631</v>
      </c>
      <c r="D656" t="s">
        <v>702</v>
      </c>
      <c r="E656">
        <v>0</v>
      </c>
      <c r="F656" t="s">
        <v>703</v>
      </c>
      <c r="G656">
        <v>0</v>
      </c>
      <c r="H656">
        <v>5729478.6200000001</v>
      </c>
      <c r="I656">
        <v>0</v>
      </c>
      <c r="J656">
        <v>-173949.94</v>
      </c>
    </row>
    <row r="657" spans="1:10" x14ac:dyDescent="0.25">
      <c r="A657" t="s">
        <v>402</v>
      </c>
      <c r="B657" t="s">
        <v>403</v>
      </c>
      <c r="C657" t="s">
        <v>631</v>
      </c>
      <c r="D657" t="s">
        <v>700</v>
      </c>
      <c r="E657">
        <v>0</v>
      </c>
      <c r="F657" t="s">
        <v>701</v>
      </c>
      <c r="G657">
        <v>16248000</v>
      </c>
      <c r="H657">
        <v>0</v>
      </c>
      <c r="I657">
        <v>0</v>
      </c>
      <c r="J657">
        <v>0</v>
      </c>
    </row>
    <row r="658" spans="1:10" x14ac:dyDescent="0.25">
      <c r="A658" t="s">
        <v>404</v>
      </c>
      <c r="B658" t="s">
        <v>405</v>
      </c>
      <c r="C658" t="s">
        <v>631</v>
      </c>
      <c r="D658" t="s">
        <v>676</v>
      </c>
      <c r="E658">
        <v>0</v>
      </c>
      <c r="F658" t="s">
        <v>677</v>
      </c>
      <c r="G658">
        <v>0</v>
      </c>
      <c r="H658">
        <v>0</v>
      </c>
      <c r="I658">
        <v>0</v>
      </c>
      <c r="J658">
        <v>58760</v>
      </c>
    </row>
    <row r="659" spans="1:10" x14ac:dyDescent="0.25">
      <c r="A659" t="s">
        <v>830</v>
      </c>
      <c r="B659" t="s">
        <v>831</v>
      </c>
      <c r="C659" t="s">
        <v>631</v>
      </c>
      <c r="D659" t="s">
        <v>668</v>
      </c>
      <c r="E659">
        <v>0</v>
      </c>
      <c r="F659" t="s">
        <v>669</v>
      </c>
      <c r="G659">
        <v>550000</v>
      </c>
      <c r="H659">
        <v>0</v>
      </c>
      <c r="I659">
        <v>0</v>
      </c>
      <c r="J659">
        <v>0</v>
      </c>
    </row>
    <row r="660" spans="1:10" x14ac:dyDescent="0.25">
      <c r="A660" t="s">
        <v>406</v>
      </c>
      <c r="B660" t="s">
        <v>407</v>
      </c>
      <c r="C660" t="s">
        <v>631</v>
      </c>
      <c r="D660" t="s">
        <v>758</v>
      </c>
      <c r="E660">
        <v>0</v>
      </c>
      <c r="F660" t="s">
        <v>759</v>
      </c>
      <c r="G660">
        <v>0</v>
      </c>
      <c r="H660">
        <v>0</v>
      </c>
      <c r="I660">
        <v>0</v>
      </c>
      <c r="J660">
        <v>0.01</v>
      </c>
    </row>
    <row r="661" spans="1:10" x14ac:dyDescent="0.25">
      <c r="A661" t="s">
        <v>581</v>
      </c>
      <c r="B661" t="s">
        <v>582</v>
      </c>
      <c r="C661" t="s">
        <v>631</v>
      </c>
      <c r="D661" t="s">
        <v>652</v>
      </c>
      <c r="E661">
        <v>0</v>
      </c>
      <c r="F661" t="s">
        <v>653</v>
      </c>
      <c r="G661">
        <v>2255142.36</v>
      </c>
      <c r="H661">
        <v>0</v>
      </c>
      <c r="I661">
        <v>0</v>
      </c>
      <c r="J661">
        <v>0</v>
      </c>
    </row>
    <row r="662" spans="1:10" x14ac:dyDescent="0.25">
      <c r="A662" t="s">
        <v>408</v>
      </c>
      <c r="B662" t="s">
        <v>409</v>
      </c>
      <c r="C662" t="s">
        <v>631</v>
      </c>
      <c r="D662" t="s">
        <v>702</v>
      </c>
      <c r="E662">
        <v>0</v>
      </c>
      <c r="F662" t="s">
        <v>703</v>
      </c>
      <c r="G662">
        <v>25119702.789999999</v>
      </c>
      <c r="H662">
        <v>6359168.3099999996</v>
      </c>
      <c r="I662">
        <v>0</v>
      </c>
      <c r="J662">
        <v>0</v>
      </c>
    </row>
    <row r="663" spans="1:10" x14ac:dyDescent="0.25">
      <c r="A663" t="s">
        <v>832</v>
      </c>
      <c r="B663" t="s">
        <v>833</v>
      </c>
      <c r="C663" t="s">
        <v>631</v>
      </c>
      <c r="D663" t="s">
        <v>664</v>
      </c>
      <c r="E663">
        <v>2638139</v>
      </c>
      <c r="F663" t="s">
        <v>665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410</v>
      </c>
      <c r="B664" t="s">
        <v>411</v>
      </c>
      <c r="C664" t="s">
        <v>631</v>
      </c>
      <c r="D664" t="s">
        <v>834</v>
      </c>
      <c r="E664">
        <v>0</v>
      </c>
      <c r="F664" t="s">
        <v>835</v>
      </c>
      <c r="G664">
        <v>53028393.32</v>
      </c>
      <c r="H664">
        <v>55976091.32</v>
      </c>
      <c r="I664">
        <v>0</v>
      </c>
      <c r="J664">
        <v>0</v>
      </c>
    </row>
    <row r="665" spans="1:10" x14ac:dyDescent="0.25">
      <c r="A665" t="s">
        <v>836</v>
      </c>
      <c r="B665" t="s">
        <v>837</v>
      </c>
      <c r="C665" t="s">
        <v>631</v>
      </c>
      <c r="D665" t="s">
        <v>686</v>
      </c>
      <c r="E665">
        <v>0</v>
      </c>
      <c r="F665" t="s">
        <v>687</v>
      </c>
      <c r="G665">
        <v>0</v>
      </c>
      <c r="H665">
        <v>617100</v>
      </c>
      <c r="I665">
        <v>0</v>
      </c>
      <c r="J665">
        <v>0</v>
      </c>
    </row>
    <row r="666" spans="1:10" x14ac:dyDescent="0.25">
      <c r="A666" t="s">
        <v>412</v>
      </c>
      <c r="B666" t="s">
        <v>413</v>
      </c>
      <c r="C666" t="s">
        <v>631</v>
      </c>
      <c r="D666" t="s">
        <v>814</v>
      </c>
      <c r="E666">
        <v>0</v>
      </c>
      <c r="F666" t="s">
        <v>815</v>
      </c>
      <c r="G666">
        <v>1783098.9</v>
      </c>
      <c r="H666">
        <v>3345008.7</v>
      </c>
      <c r="I666">
        <v>0</v>
      </c>
      <c r="J666">
        <v>0</v>
      </c>
    </row>
    <row r="667" spans="1:10" x14ac:dyDescent="0.25">
      <c r="A667" t="s">
        <v>414</v>
      </c>
      <c r="B667" t="s">
        <v>415</v>
      </c>
      <c r="C667" t="s">
        <v>631</v>
      </c>
      <c r="D667" t="s">
        <v>838</v>
      </c>
      <c r="E667">
        <v>0</v>
      </c>
      <c r="F667" t="s">
        <v>839</v>
      </c>
      <c r="G667">
        <v>624000</v>
      </c>
      <c r="H667">
        <v>936000</v>
      </c>
      <c r="I667">
        <v>0</v>
      </c>
      <c r="J667">
        <v>0</v>
      </c>
    </row>
    <row r="668" spans="1:10" x14ac:dyDescent="0.25">
      <c r="A668" t="s">
        <v>416</v>
      </c>
      <c r="B668" t="s">
        <v>417</v>
      </c>
      <c r="C668" t="s">
        <v>631</v>
      </c>
      <c r="D668" t="s">
        <v>840</v>
      </c>
      <c r="E668">
        <v>0</v>
      </c>
      <c r="F668" t="s">
        <v>841</v>
      </c>
      <c r="G668">
        <v>154138.26999999999</v>
      </c>
      <c r="H668">
        <v>0</v>
      </c>
      <c r="I668">
        <v>0</v>
      </c>
      <c r="J668">
        <v>0</v>
      </c>
    </row>
    <row r="669" spans="1:10" x14ac:dyDescent="0.25">
      <c r="A669" t="s">
        <v>418</v>
      </c>
      <c r="B669" t="s">
        <v>419</v>
      </c>
      <c r="C669" t="s">
        <v>631</v>
      </c>
      <c r="D669" t="s">
        <v>740</v>
      </c>
      <c r="E669">
        <v>0</v>
      </c>
      <c r="F669" t="s">
        <v>741</v>
      </c>
      <c r="G669">
        <v>0</v>
      </c>
      <c r="H669">
        <v>0</v>
      </c>
      <c r="I669">
        <v>0</v>
      </c>
      <c r="J669">
        <v>13351649.470000001</v>
      </c>
    </row>
    <row r="670" spans="1:10" x14ac:dyDescent="0.25">
      <c r="A670" t="s">
        <v>420</v>
      </c>
      <c r="B670" t="s">
        <v>421</v>
      </c>
      <c r="C670" t="s">
        <v>631</v>
      </c>
      <c r="D670" t="s">
        <v>658</v>
      </c>
      <c r="E670">
        <v>0</v>
      </c>
      <c r="F670" t="s">
        <v>659</v>
      </c>
      <c r="G670">
        <v>1579156.25</v>
      </c>
      <c r="H670">
        <v>0</v>
      </c>
      <c r="I670">
        <v>0</v>
      </c>
      <c r="J670">
        <v>0</v>
      </c>
    </row>
    <row r="671" spans="1:10" x14ac:dyDescent="0.25">
      <c r="A671" t="s">
        <v>422</v>
      </c>
      <c r="B671" t="s">
        <v>423</v>
      </c>
      <c r="C671" t="s">
        <v>631</v>
      </c>
      <c r="D671" t="s">
        <v>636</v>
      </c>
      <c r="E671">
        <v>0</v>
      </c>
      <c r="F671" t="s">
        <v>637</v>
      </c>
      <c r="G671">
        <v>630000</v>
      </c>
      <c r="H671">
        <v>4530000</v>
      </c>
      <c r="I671">
        <v>0</v>
      </c>
      <c r="J671">
        <v>0</v>
      </c>
    </row>
    <row r="672" spans="1:10" x14ac:dyDescent="0.25">
      <c r="A672" t="s">
        <v>424</v>
      </c>
      <c r="B672" t="s">
        <v>425</v>
      </c>
      <c r="C672" t="s">
        <v>631</v>
      </c>
      <c r="D672" t="s">
        <v>842</v>
      </c>
      <c r="E672">
        <v>0</v>
      </c>
      <c r="F672" t="s">
        <v>843</v>
      </c>
      <c r="G672">
        <v>150709.85999999999</v>
      </c>
      <c r="H672">
        <v>14859111.43</v>
      </c>
      <c r="I672">
        <v>0</v>
      </c>
      <c r="J672">
        <v>0</v>
      </c>
    </row>
    <row r="673" spans="1:10" x14ac:dyDescent="0.25">
      <c r="A673" t="s">
        <v>426</v>
      </c>
      <c r="B673" t="s">
        <v>427</v>
      </c>
      <c r="C673" t="s">
        <v>631</v>
      </c>
      <c r="D673" t="s">
        <v>666</v>
      </c>
      <c r="E673">
        <v>0</v>
      </c>
      <c r="F673" t="s">
        <v>667</v>
      </c>
      <c r="G673">
        <v>0</v>
      </c>
      <c r="H673">
        <v>916817</v>
      </c>
      <c r="I673">
        <v>0</v>
      </c>
      <c r="J673">
        <v>0</v>
      </c>
    </row>
    <row r="674" spans="1:10" x14ac:dyDescent="0.25">
      <c r="A674" t="s">
        <v>428</v>
      </c>
      <c r="B674" t="s">
        <v>429</v>
      </c>
      <c r="C674" t="s">
        <v>631</v>
      </c>
      <c r="D674" t="s">
        <v>738</v>
      </c>
      <c r="E674">
        <v>0</v>
      </c>
      <c r="F674" t="s">
        <v>739</v>
      </c>
      <c r="G674">
        <v>13905140.85</v>
      </c>
      <c r="H674">
        <v>18486080.949999999</v>
      </c>
      <c r="I674">
        <v>0</v>
      </c>
      <c r="J674">
        <v>0</v>
      </c>
    </row>
    <row r="675" spans="1:10" x14ac:dyDescent="0.25">
      <c r="A675" t="s">
        <v>844</v>
      </c>
      <c r="B675" t="s">
        <v>845</v>
      </c>
      <c r="C675" t="s">
        <v>631</v>
      </c>
      <c r="D675" t="s">
        <v>668</v>
      </c>
      <c r="E675">
        <v>1278000</v>
      </c>
      <c r="F675" t="s">
        <v>669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846</v>
      </c>
      <c r="B676" t="s">
        <v>847</v>
      </c>
      <c r="C676" t="s">
        <v>631</v>
      </c>
      <c r="D676" t="s">
        <v>632</v>
      </c>
      <c r="E676">
        <v>0</v>
      </c>
      <c r="F676" t="s">
        <v>633</v>
      </c>
      <c r="G676">
        <v>10410703.32</v>
      </c>
      <c r="H676">
        <v>0</v>
      </c>
      <c r="I676">
        <v>0</v>
      </c>
      <c r="J676">
        <v>0</v>
      </c>
    </row>
    <row r="677" spans="1:10" x14ac:dyDescent="0.25">
      <c r="A677" t="s">
        <v>430</v>
      </c>
      <c r="B677" t="s">
        <v>431</v>
      </c>
      <c r="C677" t="s">
        <v>631</v>
      </c>
      <c r="D677" t="s">
        <v>774</v>
      </c>
      <c r="E677">
        <v>0</v>
      </c>
      <c r="F677" t="s">
        <v>775</v>
      </c>
      <c r="G677">
        <v>5623737.3700000001</v>
      </c>
      <c r="H677">
        <v>4032863.97</v>
      </c>
      <c r="I677">
        <v>0</v>
      </c>
      <c r="J677">
        <v>0</v>
      </c>
    </row>
    <row r="678" spans="1:10" x14ac:dyDescent="0.25">
      <c r="A678" t="s">
        <v>432</v>
      </c>
      <c r="B678" t="s">
        <v>433</v>
      </c>
      <c r="C678" t="s">
        <v>631</v>
      </c>
      <c r="D678" t="s">
        <v>668</v>
      </c>
      <c r="E678">
        <v>0</v>
      </c>
      <c r="F678" t="s">
        <v>669</v>
      </c>
      <c r="G678">
        <v>1886650</v>
      </c>
      <c r="H678">
        <v>0</v>
      </c>
      <c r="I678">
        <v>0</v>
      </c>
      <c r="J678">
        <v>0</v>
      </c>
    </row>
    <row r="679" spans="1:10" x14ac:dyDescent="0.25">
      <c r="A679" t="s">
        <v>434</v>
      </c>
      <c r="B679" t="s">
        <v>435</v>
      </c>
      <c r="C679" t="s">
        <v>631</v>
      </c>
      <c r="D679" t="s">
        <v>848</v>
      </c>
      <c r="E679">
        <v>0</v>
      </c>
      <c r="F679" t="s">
        <v>849</v>
      </c>
      <c r="G679">
        <v>18868793.030000001</v>
      </c>
      <c r="H679">
        <v>2929297.71</v>
      </c>
      <c r="I679">
        <v>0</v>
      </c>
      <c r="J679">
        <v>0.05</v>
      </c>
    </row>
    <row r="680" spans="1:10" x14ac:dyDescent="0.25">
      <c r="A680" t="s">
        <v>583</v>
      </c>
      <c r="B680" t="s">
        <v>584</v>
      </c>
      <c r="C680" t="s">
        <v>631</v>
      </c>
      <c r="D680" t="s">
        <v>850</v>
      </c>
      <c r="E680">
        <v>0</v>
      </c>
      <c r="F680" t="s">
        <v>851</v>
      </c>
      <c r="G680">
        <v>3527150</v>
      </c>
      <c r="H680">
        <v>0</v>
      </c>
      <c r="I680">
        <v>0</v>
      </c>
      <c r="J680">
        <v>0</v>
      </c>
    </row>
    <row r="681" spans="1:10" x14ac:dyDescent="0.25">
      <c r="A681" t="s">
        <v>436</v>
      </c>
      <c r="B681" t="s">
        <v>437</v>
      </c>
      <c r="C681" t="s">
        <v>631</v>
      </c>
      <c r="D681" t="s">
        <v>668</v>
      </c>
      <c r="E681">
        <v>0</v>
      </c>
      <c r="F681" t="s">
        <v>669</v>
      </c>
      <c r="G681">
        <v>0</v>
      </c>
      <c r="H681">
        <v>0</v>
      </c>
      <c r="I681">
        <v>0</v>
      </c>
      <c r="J681">
        <v>-2698.26</v>
      </c>
    </row>
    <row r="682" spans="1:10" x14ac:dyDescent="0.25">
      <c r="A682" t="s">
        <v>585</v>
      </c>
      <c r="B682" t="s">
        <v>586</v>
      </c>
      <c r="C682" t="s">
        <v>631</v>
      </c>
      <c r="D682" t="s">
        <v>718</v>
      </c>
      <c r="E682">
        <v>0</v>
      </c>
      <c r="F682" t="s">
        <v>719</v>
      </c>
      <c r="G682">
        <v>1676977.72</v>
      </c>
      <c r="H682">
        <v>0</v>
      </c>
      <c r="I682">
        <v>0</v>
      </c>
      <c r="J682">
        <v>0</v>
      </c>
    </row>
    <row r="683" spans="1:10" x14ac:dyDescent="0.25">
      <c r="A683" t="s">
        <v>438</v>
      </c>
      <c r="B683" t="s">
        <v>439</v>
      </c>
      <c r="C683" t="s">
        <v>631</v>
      </c>
      <c r="D683" t="s">
        <v>852</v>
      </c>
      <c r="E683">
        <v>0</v>
      </c>
      <c r="F683" t="s">
        <v>853</v>
      </c>
      <c r="G683">
        <v>1277500</v>
      </c>
      <c r="H683">
        <v>0</v>
      </c>
      <c r="I683">
        <v>0</v>
      </c>
      <c r="J683">
        <v>0</v>
      </c>
    </row>
    <row r="684" spans="1:10" x14ac:dyDescent="0.25">
      <c r="A684" t="s">
        <v>854</v>
      </c>
      <c r="B684" t="s">
        <v>855</v>
      </c>
      <c r="C684" t="s">
        <v>631</v>
      </c>
      <c r="D684" t="s">
        <v>668</v>
      </c>
      <c r="E684">
        <v>218000</v>
      </c>
      <c r="F684" t="s">
        <v>669</v>
      </c>
      <c r="G684">
        <v>0</v>
      </c>
      <c r="H684">
        <v>0</v>
      </c>
      <c r="I684">
        <v>0</v>
      </c>
      <c r="J684">
        <v>0</v>
      </c>
    </row>
    <row r="685" spans="1:10" x14ac:dyDescent="0.25">
      <c r="A685" t="s">
        <v>856</v>
      </c>
      <c r="B685" t="s">
        <v>857</v>
      </c>
      <c r="C685" t="s">
        <v>631</v>
      </c>
      <c r="D685" t="s">
        <v>668</v>
      </c>
      <c r="E685">
        <v>0</v>
      </c>
      <c r="F685" t="s">
        <v>669</v>
      </c>
      <c r="G685">
        <v>690000</v>
      </c>
      <c r="H685">
        <v>0</v>
      </c>
      <c r="I685">
        <v>0</v>
      </c>
      <c r="J685">
        <v>0</v>
      </c>
    </row>
    <row r="686" spans="1:10" x14ac:dyDescent="0.25">
      <c r="A686" t="s">
        <v>440</v>
      </c>
      <c r="B686" t="s">
        <v>441</v>
      </c>
      <c r="C686" t="s">
        <v>631</v>
      </c>
      <c r="D686" t="s">
        <v>858</v>
      </c>
      <c r="E686">
        <v>0</v>
      </c>
      <c r="F686" t="s">
        <v>859</v>
      </c>
      <c r="G686">
        <v>22360357.140000001</v>
      </c>
      <c r="H686">
        <v>1338901.3</v>
      </c>
      <c r="I686">
        <v>0</v>
      </c>
      <c r="J686">
        <v>0</v>
      </c>
    </row>
    <row r="687" spans="1:10" x14ac:dyDescent="0.25">
      <c r="A687" t="s">
        <v>860</v>
      </c>
      <c r="B687" t="s">
        <v>861</v>
      </c>
      <c r="C687" t="s">
        <v>631</v>
      </c>
      <c r="D687" t="s">
        <v>862</v>
      </c>
      <c r="E687">
        <v>1926618.02</v>
      </c>
      <c r="F687" t="s">
        <v>863</v>
      </c>
      <c r="G687">
        <v>0</v>
      </c>
      <c r="H687">
        <v>3839667.59</v>
      </c>
      <c r="I687">
        <v>0</v>
      </c>
      <c r="J687">
        <v>0</v>
      </c>
    </row>
    <row r="688" spans="1:10" x14ac:dyDescent="0.25">
      <c r="A688" t="s">
        <v>442</v>
      </c>
      <c r="B688" t="s">
        <v>443</v>
      </c>
      <c r="C688" t="s">
        <v>631</v>
      </c>
      <c r="D688" t="s">
        <v>756</v>
      </c>
      <c r="E688">
        <v>0</v>
      </c>
      <c r="F688" t="s">
        <v>757</v>
      </c>
      <c r="G688">
        <v>1589587.24</v>
      </c>
      <c r="H688">
        <v>1135026.31</v>
      </c>
      <c r="I688">
        <v>0</v>
      </c>
      <c r="J688">
        <v>0</v>
      </c>
    </row>
    <row r="689" spans="1:10" x14ac:dyDescent="0.25">
      <c r="A689" t="s">
        <v>444</v>
      </c>
      <c r="B689" t="s">
        <v>445</v>
      </c>
      <c r="C689" t="s">
        <v>631</v>
      </c>
      <c r="D689" t="s">
        <v>858</v>
      </c>
      <c r="E689">
        <v>0</v>
      </c>
      <c r="F689" t="s">
        <v>859</v>
      </c>
      <c r="G689">
        <v>1973770.08</v>
      </c>
      <c r="H689">
        <v>1682115.29</v>
      </c>
      <c r="I689">
        <v>0</v>
      </c>
      <c r="J689">
        <v>0</v>
      </c>
    </row>
    <row r="690" spans="1:10" x14ac:dyDescent="0.25">
      <c r="A690" t="s">
        <v>446</v>
      </c>
      <c r="B690" t="s">
        <v>447</v>
      </c>
      <c r="C690" t="s">
        <v>631</v>
      </c>
      <c r="D690" t="s">
        <v>848</v>
      </c>
      <c r="E690">
        <v>6507600</v>
      </c>
      <c r="F690" t="s">
        <v>849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448</v>
      </c>
      <c r="B691" t="s">
        <v>449</v>
      </c>
      <c r="C691" t="s">
        <v>631</v>
      </c>
      <c r="D691" t="s">
        <v>776</v>
      </c>
      <c r="E691">
        <v>0</v>
      </c>
      <c r="F691" t="s">
        <v>777</v>
      </c>
      <c r="G691">
        <v>724029.73</v>
      </c>
      <c r="H691">
        <v>0</v>
      </c>
      <c r="I691">
        <v>0</v>
      </c>
      <c r="J691">
        <v>0</v>
      </c>
    </row>
    <row r="692" spans="1:10" x14ac:dyDescent="0.25">
      <c r="A692" t="s">
        <v>587</v>
      </c>
      <c r="B692" t="s">
        <v>588</v>
      </c>
      <c r="C692" t="s">
        <v>631</v>
      </c>
      <c r="D692" t="s">
        <v>776</v>
      </c>
      <c r="E692">
        <v>0</v>
      </c>
      <c r="F692" t="s">
        <v>777</v>
      </c>
      <c r="G692">
        <v>166980</v>
      </c>
      <c r="H692">
        <v>228690</v>
      </c>
      <c r="I692">
        <v>0</v>
      </c>
      <c r="J692">
        <v>0</v>
      </c>
    </row>
    <row r="693" spans="1:10" x14ac:dyDescent="0.25">
      <c r="A693" t="s">
        <v>589</v>
      </c>
      <c r="B693" t="s">
        <v>590</v>
      </c>
      <c r="C693" t="s">
        <v>631</v>
      </c>
      <c r="D693" t="s">
        <v>658</v>
      </c>
      <c r="E693">
        <v>0</v>
      </c>
      <c r="F693" t="s">
        <v>659</v>
      </c>
      <c r="G693">
        <v>950319.81</v>
      </c>
      <c r="H693">
        <v>0</v>
      </c>
      <c r="I693">
        <v>0</v>
      </c>
      <c r="J693">
        <v>0</v>
      </c>
    </row>
    <row r="694" spans="1:10" x14ac:dyDescent="0.25">
      <c r="A694" t="s">
        <v>450</v>
      </c>
      <c r="B694" t="s">
        <v>451</v>
      </c>
      <c r="C694" t="s">
        <v>631</v>
      </c>
      <c r="D694" t="s">
        <v>668</v>
      </c>
      <c r="E694">
        <v>0</v>
      </c>
      <c r="F694" t="s">
        <v>669</v>
      </c>
      <c r="G694">
        <v>6804072</v>
      </c>
      <c r="H694">
        <v>2560844</v>
      </c>
      <c r="I694">
        <v>0</v>
      </c>
      <c r="J694">
        <v>0</v>
      </c>
    </row>
    <row r="695" spans="1:10" x14ac:dyDescent="0.25">
      <c r="A695" t="s">
        <v>452</v>
      </c>
      <c r="B695" t="s">
        <v>453</v>
      </c>
      <c r="C695" t="s">
        <v>631</v>
      </c>
      <c r="D695" t="s">
        <v>848</v>
      </c>
      <c r="E695">
        <v>0</v>
      </c>
      <c r="F695" t="s">
        <v>849</v>
      </c>
      <c r="G695">
        <v>3551488.68</v>
      </c>
      <c r="H695">
        <v>3522285.1</v>
      </c>
      <c r="I695">
        <v>0</v>
      </c>
      <c r="J695">
        <v>0</v>
      </c>
    </row>
    <row r="696" spans="1:10" x14ac:dyDescent="0.25">
      <c r="A696" t="s">
        <v>454</v>
      </c>
      <c r="B696" t="s">
        <v>455</v>
      </c>
      <c r="C696" t="s">
        <v>631</v>
      </c>
      <c r="D696" t="s">
        <v>658</v>
      </c>
      <c r="E696">
        <v>0</v>
      </c>
      <c r="F696" t="s">
        <v>659</v>
      </c>
      <c r="G696">
        <v>2261177</v>
      </c>
      <c r="H696">
        <v>0</v>
      </c>
      <c r="I696">
        <v>0</v>
      </c>
      <c r="J696">
        <v>0</v>
      </c>
    </row>
    <row r="697" spans="1:10" x14ac:dyDescent="0.25">
      <c r="A697" t="s">
        <v>591</v>
      </c>
      <c r="B697" t="s">
        <v>592</v>
      </c>
      <c r="C697" t="s">
        <v>631</v>
      </c>
      <c r="D697" t="s">
        <v>864</v>
      </c>
      <c r="E697">
        <v>0</v>
      </c>
      <c r="F697" t="s">
        <v>865</v>
      </c>
      <c r="G697">
        <v>144499.99</v>
      </c>
      <c r="H697">
        <v>0</v>
      </c>
      <c r="I697">
        <v>0</v>
      </c>
      <c r="J697">
        <v>0</v>
      </c>
    </row>
    <row r="698" spans="1:10" x14ac:dyDescent="0.25">
      <c r="A698" t="s">
        <v>866</v>
      </c>
      <c r="B698" t="s">
        <v>867</v>
      </c>
      <c r="C698" t="s">
        <v>631</v>
      </c>
      <c r="D698" t="s">
        <v>668</v>
      </c>
      <c r="E698">
        <v>3300000</v>
      </c>
      <c r="F698" t="s">
        <v>669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456</v>
      </c>
      <c r="B699" t="s">
        <v>457</v>
      </c>
      <c r="C699" t="s">
        <v>631</v>
      </c>
      <c r="D699" t="s">
        <v>718</v>
      </c>
      <c r="E699">
        <v>0</v>
      </c>
      <c r="F699" t="s">
        <v>719</v>
      </c>
      <c r="G699">
        <v>6468021.1200000001</v>
      </c>
      <c r="H699">
        <v>7019331</v>
      </c>
      <c r="I699">
        <v>0</v>
      </c>
      <c r="J699">
        <v>0</v>
      </c>
    </row>
    <row r="700" spans="1:10" x14ac:dyDescent="0.25">
      <c r="A700" t="s">
        <v>458</v>
      </c>
      <c r="B700" t="s">
        <v>459</v>
      </c>
      <c r="C700" t="s">
        <v>631</v>
      </c>
      <c r="D700" t="s">
        <v>792</v>
      </c>
      <c r="E700">
        <v>0</v>
      </c>
      <c r="F700" t="s">
        <v>793</v>
      </c>
      <c r="G700">
        <v>2560211.65</v>
      </c>
      <c r="H700">
        <v>0</v>
      </c>
      <c r="I700">
        <v>0</v>
      </c>
      <c r="J700">
        <v>0</v>
      </c>
    </row>
    <row r="701" spans="1:10" x14ac:dyDescent="0.25">
      <c r="A701" t="s">
        <v>460</v>
      </c>
      <c r="B701" t="s">
        <v>461</v>
      </c>
      <c r="C701" t="s">
        <v>631</v>
      </c>
      <c r="D701" t="s">
        <v>638</v>
      </c>
      <c r="E701">
        <v>0</v>
      </c>
      <c r="F701" t="s">
        <v>639</v>
      </c>
      <c r="G701">
        <v>143199.87</v>
      </c>
      <c r="H701">
        <v>0</v>
      </c>
      <c r="I701">
        <v>0</v>
      </c>
      <c r="J701">
        <v>0</v>
      </c>
    </row>
    <row r="702" spans="1:10" x14ac:dyDescent="0.25">
      <c r="A702" t="s">
        <v>462</v>
      </c>
      <c r="B702" t="s">
        <v>463</v>
      </c>
      <c r="C702" t="s">
        <v>631</v>
      </c>
      <c r="D702" t="s">
        <v>868</v>
      </c>
      <c r="E702">
        <v>0</v>
      </c>
      <c r="F702" t="s">
        <v>869</v>
      </c>
      <c r="G702">
        <v>0</v>
      </c>
      <c r="H702">
        <v>16855300</v>
      </c>
      <c r="I702">
        <v>0</v>
      </c>
      <c r="J702">
        <v>0</v>
      </c>
    </row>
    <row r="703" spans="1:10" x14ac:dyDescent="0.25">
      <c r="A703" t="s">
        <v>464</v>
      </c>
      <c r="B703" t="s">
        <v>465</v>
      </c>
      <c r="C703" t="s">
        <v>631</v>
      </c>
      <c r="D703" t="s">
        <v>658</v>
      </c>
      <c r="E703">
        <v>0</v>
      </c>
      <c r="F703" t="s">
        <v>659</v>
      </c>
      <c r="G703">
        <v>826550</v>
      </c>
      <c r="H703">
        <v>593150</v>
      </c>
      <c r="I703">
        <v>0</v>
      </c>
      <c r="J703">
        <v>0</v>
      </c>
    </row>
    <row r="704" spans="1:10" x14ac:dyDescent="0.25">
      <c r="A704" t="s">
        <v>870</v>
      </c>
      <c r="B704" t="s">
        <v>871</v>
      </c>
      <c r="C704" t="s">
        <v>631</v>
      </c>
      <c r="D704" t="s">
        <v>676</v>
      </c>
      <c r="E704">
        <v>0</v>
      </c>
      <c r="F704" t="s">
        <v>677</v>
      </c>
      <c r="G704">
        <v>1331000</v>
      </c>
      <c r="H704">
        <v>0</v>
      </c>
      <c r="I704">
        <v>0</v>
      </c>
      <c r="J704">
        <v>0</v>
      </c>
    </row>
    <row r="705" spans="1:10" x14ac:dyDescent="0.25">
      <c r="A705" t="s">
        <v>466</v>
      </c>
      <c r="B705" t="s">
        <v>467</v>
      </c>
      <c r="C705" t="s">
        <v>631</v>
      </c>
      <c r="D705" t="s">
        <v>758</v>
      </c>
      <c r="E705">
        <v>0</v>
      </c>
      <c r="F705" t="s">
        <v>759</v>
      </c>
      <c r="G705">
        <v>9029998</v>
      </c>
      <c r="H705">
        <v>8664000</v>
      </c>
      <c r="I705">
        <v>0</v>
      </c>
      <c r="J705">
        <v>0</v>
      </c>
    </row>
    <row r="706" spans="1:10" x14ac:dyDescent="0.25">
      <c r="A706" t="s">
        <v>468</v>
      </c>
      <c r="B706" t="s">
        <v>469</v>
      </c>
      <c r="C706" t="s">
        <v>631</v>
      </c>
      <c r="D706" t="s">
        <v>814</v>
      </c>
      <c r="E706">
        <v>0</v>
      </c>
      <c r="F706" t="s">
        <v>815</v>
      </c>
      <c r="G706">
        <v>788032</v>
      </c>
      <c r="H706">
        <v>2796247.55</v>
      </c>
      <c r="I706">
        <v>0</v>
      </c>
      <c r="J706">
        <v>0</v>
      </c>
    </row>
    <row r="707" spans="1:10" x14ac:dyDescent="0.25">
      <c r="A707" t="s">
        <v>470</v>
      </c>
      <c r="B707" t="s">
        <v>471</v>
      </c>
      <c r="C707" t="s">
        <v>631</v>
      </c>
      <c r="D707" t="s">
        <v>872</v>
      </c>
      <c r="E707">
        <v>0</v>
      </c>
      <c r="F707" t="s">
        <v>873</v>
      </c>
      <c r="G707">
        <v>1851080</v>
      </c>
      <c r="H707">
        <v>1851080</v>
      </c>
      <c r="I707">
        <v>0</v>
      </c>
      <c r="J707">
        <v>0</v>
      </c>
    </row>
    <row r="708" spans="1:10" x14ac:dyDescent="0.25">
      <c r="A708" t="s">
        <v>472</v>
      </c>
      <c r="B708" t="s">
        <v>473</v>
      </c>
      <c r="C708" t="s">
        <v>631</v>
      </c>
      <c r="D708" t="s">
        <v>652</v>
      </c>
      <c r="E708">
        <v>0</v>
      </c>
      <c r="F708" t="s">
        <v>653</v>
      </c>
      <c r="G708">
        <v>0</v>
      </c>
      <c r="H708">
        <v>8422034.7799999993</v>
      </c>
      <c r="I708">
        <v>0</v>
      </c>
      <c r="J708">
        <v>0</v>
      </c>
    </row>
    <row r="709" spans="1:10" x14ac:dyDescent="0.25">
      <c r="A709" t="s">
        <v>474</v>
      </c>
      <c r="B709" t="s">
        <v>475</v>
      </c>
      <c r="C709" t="s">
        <v>631</v>
      </c>
      <c r="D709" t="s">
        <v>740</v>
      </c>
      <c r="E709">
        <v>0</v>
      </c>
      <c r="F709" t="s">
        <v>741</v>
      </c>
      <c r="G709">
        <v>0</v>
      </c>
      <c r="H709">
        <v>0</v>
      </c>
      <c r="I709">
        <v>0</v>
      </c>
      <c r="J709">
        <v>1074310</v>
      </c>
    </row>
    <row r="710" spans="1:10" x14ac:dyDescent="0.25">
      <c r="A710" t="s">
        <v>874</v>
      </c>
      <c r="B710" t="s">
        <v>875</v>
      </c>
      <c r="C710" t="s">
        <v>631</v>
      </c>
      <c r="D710" t="s">
        <v>818</v>
      </c>
      <c r="E710">
        <v>0</v>
      </c>
      <c r="F710" t="s">
        <v>819</v>
      </c>
      <c r="G710">
        <v>105000</v>
      </c>
      <c r="H710">
        <v>0</v>
      </c>
      <c r="I710">
        <v>0</v>
      </c>
      <c r="J710">
        <v>0</v>
      </c>
    </row>
    <row r="711" spans="1:10" x14ac:dyDescent="0.25">
      <c r="A711" t="s">
        <v>476</v>
      </c>
      <c r="B711" t="s">
        <v>477</v>
      </c>
      <c r="C711" t="s">
        <v>631</v>
      </c>
      <c r="D711" t="s">
        <v>678</v>
      </c>
      <c r="E711">
        <v>0</v>
      </c>
      <c r="F711" t="s">
        <v>679</v>
      </c>
      <c r="G711">
        <v>0</v>
      </c>
      <c r="H711">
        <v>1271600</v>
      </c>
      <c r="I711">
        <v>0</v>
      </c>
      <c r="J711">
        <v>0</v>
      </c>
    </row>
    <row r="712" spans="1:10" x14ac:dyDescent="0.25">
      <c r="A712" t="s">
        <v>593</v>
      </c>
      <c r="B712" t="s">
        <v>594</v>
      </c>
      <c r="C712" t="s">
        <v>631</v>
      </c>
      <c r="D712" t="s">
        <v>876</v>
      </c>
      <c r="E712">
        <v>0</v>
      </c>
      <c r="F712" t="s">
        <v>877</v>
      </c>
      <c r="G712">
        <v>3228555.27</v>
      </c>
      <c r="H712">
        <v>248261.75</v>
      </c>
      <c r="I712">
        <v>0</v>
      </c>
      <c r="J712">
        <v>0</v>
      </c>
    </row>
    <row r="713" spans="1:10" x14ac:dyDescent="0.25">
      <c r="A713" t="s">
        <v>478</v>
      </c>
      <c r="B713" t="s">
        <v>479</v>
      </c>
      <c r="C713" t="s">
        <v>631</v>
      </c>
      <c r="D713" t="s">
        <v>764</v>
      </c>
      <c r="E713">
        <v>0</v>
      </c>
      <c r="F713" t="s">
        <v>765</v>
      </c>
      <c r="G713">
        <v>308126.71999999997</v>
      </c>
      <c r="H713">
        <v>0</v>
      </c>
      <c r="I713">
        <v>0</v>
      </c>
      <c r="J713">
        <v>0</v>
      </c>
    </row>
    <row r="714" spans="1:10" x14ac:dyDescent="0.25">
      <c r="A714" t="s">
        <v>480</v>
      </c>
      <c r="B714" t="s">
        <v>481</v>
      </c>
      <c r="C714" t="s">
        <v>631</v>
      </c>
      <c r="D714" t="s">
        <v>670</v>
      </c>
      <c r="E714">
        <v>0</v>
      </c>
      <c r="F714" t="s">
        <v>671</v>
      </c>
      <c r="G714">
        <v>43990000</v>
      </c>
      <c r="H714">
        <v>32040000</v>
      </c>
      <c r="I714">
        <v>0</v>
      </c>
      <c r="J714">
        <v>0</v>
      </c>
    </row>
    <row r="715" spans="1:10" x14ac:dyDescent="0.25">
      <c r="A715" t="s">
        <v>482</v>
      </c>
      <c r="B715" t="s">
        <v>483</v>
      </c>
      <c r="C715" t="s">
        <v>631</v>
      </c>
      <c r="D715" t="s">
        <v>740</v>
      </c>
      <c r="E715">
        <v>0</v>
      </c>
      <c r="F715" t="s">
        <v>741</v>
      </c>
      <c r="G715">
        <v>0</v>
      </c>
      <c r="H715">
        <v>0</v>
      </c>
      <c r="I715">
        <v>0</v>
      </c>
      <c r="J715">
        <v>8115779.6100000003</v>
      </c>
    </row>
    <row r="716" spans="1:10" x14ac:dyDescent="0.25">
      <c r="A716" t="s">
        <v>595</v>
      </c>
      <c r="B716" t="s">
        <v>596</v>
      </c>
      <c r="C716" t="s">
        <v>631</v>
      </c>
      <c r="D716" t="s">
        <v>740</v>
      </c>
      <c r="E716">
        <v>0</v>
      </c>
      <c r="F716" t="s">
        <v>741</v>
      </c>
      <c r="G716">
        <v>668261.64</v>
      </c>
      <c r="H716">
        <v>0</v>
      </c>
      <c r="I716">
        <v>0</v>
      </c>
      <c r="J716">
        <v>0</v>
      </c>
    </row>
    <row r="717" spans="1:10" x14ac:dyDescent="0.25">
      <c r="A717" t="s">
        <v>484</v>
      </c>
      <c r="B717" t="s">
        <v>485</v>
      </c>
      <c r="C717" t="s">
        <v>631</v>
      </c>
      <c r="D717" t="s">
        <v>738</v>
      </c>
      <c r="E717">
        <v>0</v>
      </c>
      <c r="F717" t="s">
        <v>739</v>
      </c>
      <c r="G717">
        <v>0</v>
      </c>
      <c r="H717">
        <v>8034400</v>
      </c>
      <c r="I717">
        <v>0</v>
      </c>
      <c r="J717">
        <v>0</v>
      </c>
    </row>
    <row r="718" spans="1:10" x14ac:dyDescent="0.25">
      <c r="A718" t="s">
        <v>486</v>
      </c>
      <c r="B718" t="s">
        <v>487</v>
      </c>
      <c r="C718" t="s">
        <v>631</v>
      </c>
      <c r="D718" t="s">
        <v>718</v>
      </c>
      <c r="E718">
        <v>0</v>
      </c>
      <c r="F718" t="s">
        <v>719</v>
      </c>
      <c r="G718">
        <v>0</v>
      </c>
      <c r="H718">
        <v>2998380</v>
      </c>
      <c r="I718">
        <v>0</v>
      </c>
      <c r="J718">
        <v>0</v>
      </c>
    </row>
    <row r="719" spans="1:10" x14ac:dyDescent="0.25">
      <c r="A719" t="s">
        <v>597</v>
      </c>
      <c r="B719" t="s">
        <v>598</v>
      </c>
      <c r="C719" t="s">
        <v>631</v>
      </c>
      <c r="D719" t="s">
        <v>700</v>
      </c>
      <c r="E719">
        <v>0</v>
      </c>
      <c r="F719" t="s">
        <v>701</v>
      </c>
      <c r="G719">
        <v>33011550</v>
      </c>
      <c r="H719">
        <v>0</v>
      </c>
      <c r="I719">
        <v>0</v>
      </c>
      <c r="J719">
        <v>0</v>
      </c>
    </row>
    <row r="720" spans="1:10" x14ac:dyDescent="0.25">
      <c r="A720" t="s">
        <v>488</v>
      </c>
      <c r="B720" t="s">
        <v>489</v>
      </c>
      <c r="C720" t="s">
        <v>631</v>
      </c>
      <c r="D720" t="s">
        <v>740</v>
      </c>
      <c r="E720">
        <v>0</v>
      </c>
      <c r="F720" t="s">
        <v>741</v>
      </c>
      <c r="G720">
        <v>0</v>
      </c>
      <c r="H720">
        <v>0</v>
      </c>
      <c r="I720">
        <v>0</v>
      </c>
      <c r="J720">
        <v>25876207.34</v>
      </c>
    </row>
    <row r="721" spans="1:10" x14ac:dyDescent="0.25">
      <c r="A721" t="s">
        <v>599</v>
      </c>
      <c r="B721" t="s">
        <v>600</v>
      </c>
      <c r="C721" t="s">
        <v>631</v>
      </c>
      <c r="D721" t="s">
        <v>878</v>
      </c>
      <c r="E721">
        <v>0</v>
      </c>
      <c r="F721" t="s">
        <v>879</v>
      </c>
      <c r="G721">
        <v>3618300</v>
      </c>
      <c r="H721">
        <v>0</v>
      </c>
      <c r="I721">
        <v>0</v>
      </c>
      <c r="J721">
        <v>0</v>
      </c>
    </row>
    <row r="722" spans="1:10" x14ac:dyDescent="0.25">
      <c r="A722" t="s">
        <v>490</v>
      </c>
      <c r="B722" t="s">
        <v>491</v>
      </c>
      <c r="C722" t="s">
        <v>631</v>
      </c>
      <c r="D722" t="s">
        <v>778</v>
      </c>
      <c r="E722">
        <v>0</v>
      </c>
      <c r="F722" t="s">
        <v>779</v>
      </c>
      <c r="G722">
        <v>0</v>
      </c>
      <c r="H722">
        <v>0</v>
      </c>
      <c r="I722">
        <v>0</v>
      </c>
      <c r="J722">
        <v>1331</v>
      </c>
    </row>
    <row r="723" spans="1:10" x14ac:dyDescent="0.25">
      <c r="A723" t="s">
        <v>880</v>
      </c>
      <c r="B723" t="s">
        <v>881</v>
      </c>
      <c r="C723" t="s">
        <v>631</v>
      </c>
      <c r="D723" t="s">
        <v>664</v>
      </c>
      <c r="E723">
        <v>0</v>
      </c>
      <c r="F723" t="s">
        <v>665</v>
      </c>
      <c r="G723">
        <v>1557590</v>
      </c>
      <c r="H723">
        <v>0</v>
      </c>
      <c r="I723">
        <v>0</v>
      </c>
      <c r="J723">
        <v>0</v>
      </c>
    </row>
    <row r="724" spans="1:10" x14ac:dyDescent="0.25">
      <c r="A724" t="s">
        <v>492</v>
      </c>
      <c r="B724" t="s">
        <v>493</v>
      </c>
      <c r="C724" t="s">
        <v>631</v>
      </c>
      <c r="D724" t="s">
        <v>752</v>
      </c>
      <c r="E724">
        <v>0</v>
      </c>
      <c r="F724" t="s">
        <v>753</v>
      </c>
      <c r="G724">
        <v>1174895.77</v>
      </c>
      <c r="H724">
        <v>0</v>
      </c>
      <c r="I724">
        <v>0</v>
      </c>
      <c r="J724">
        <v>0</v>
      </c>
    </row>
    <row r="725" spans="1:10" x14ac:dyDescent="0.25">
      <c r="A725" t="s">
        <v>494</v>
      </c>
      <c r="B725" t="s">
        <v>495</v>
      </c>
      <c r="C725" t="s">
        <v>631</v>
      </c>
      <c r="D725" t="s">
        <v>828</v>
      </c>
      <c r="E725">
        <v>0</v>
      </c>
      <c r="F725" t="s">
        <v>882</v>
      </c>
      <c r="G725">
        <v>4089800</v>
      </c>
      <c r="H725">
        <v>0</v>
      </c>
      <c r="I725">
        <v>0</v>
      </c>
      <c r="J725">
        <v>0</v>
      </c>
    </row>
    <row r="726" spans="1:10" x14ac:dyDescent="0.25">
      <c r="A726" t="s">
        <v>601</v>
      </c>
      <c r="B726" t="s">
        <v>602</v>
      </c>
      <c r="C726" t="s">
        <v>631</v>
      </c>
      <c r="D726" t="s">
        <v>682</v>
      </c>
      <c r="E726">
        <v>0</v>
      </c>
      <c r="F726" t="s">
        <v>683</v>
      </c>
      <c r="G726">
        <v>556600</v>
      </c>
      <c r="H726">
        <v>0</v>
      </c>
      <c r="I726">
        <v>0</v>
      </c>
      <c r="J726">
        <v>0</v>
      </c>
    </row>
    <row r="727" spans="1:10" x14ac:dyDescent="0.25">
      <c r="A727" t="s">
        <v>496</v>
      </c>
      <c r="B727" t="s">
        <v>497</v>
      </c>
      <c r="C727" t="s">
        <v>631</v>
      </c>
      <c r="D727" t="s">
        <v>808</v>
      </c>
      <c r="E727">
        <v>0</v>
      </c>
      <c r="F727" t="s">
        <v>809</v>
      </c>
      <c r="G727">
        <v>16443900</v>
      </c>
      <c r="H727">
        <v>0</v>
      </c>
      <c r="I727">
        <v>0</v>
      </c>
      <c r="J727">
        <v>0</v>
      </c>
    </row>
    <row r="728" spans="1:10" x14ac:dyDescent="0.25">
      <c r="A728" t="s">
        <v>603</v>
      </c>
      <c r="B728" t="s">
        <v>604</v>
      </c>
      <c r="C728" t="s">
        <v>631</v>
      </c>
      <c r="D728" t="s">
        <v>718</v>
      </c>
      <c r="E728">
        <v>0</v>
      </c>
      <c r="F728" t="s">
        <v>719</v>
      </c>
      <c r="G728">
        <v>4471155.84</v>
      </c>
      <c r="H728">
        <v>0</v>
      </c>
      <c r="I728">
        <v>0</v>
      </c>
      <c r="J728">
        <v>0</v>
      </c>
    </row>
    <row r="729" spans="1:10" x14ac:dyDescent="0.25">
      <c r="A729" t="s">
        <v>498</v>
      </c>
      <c r="B729" t="s">
        <v>499</v>
      </c>
      <c r="C729" t="s">
        <v>631</v>
      </c>
      <c r="D729" t="s">
        <v>852</v>
      </c>
      <c r="E729">
        <v>0</v>
      </c>
      <c r="F729" t="s">
        <v>853</v>
      </c>
      <c r="G729">
        <v>0</v>
      </c>
      <c r="H729">
        <v>94650</v>
      </c>
      <c r="I729">
        <v>0</v>
      </c>
      <c r="J729">
        <v>0</v>
      </c>
    </row>
    <row r="730" spans="1:10" x14ac:dyDescent="0.25">
      <c r="A730" t="s">
        <v>500</v>
      </c>
      <c r="B730" t="s">
        <v>501</v>
      </c>
      <c r="C730" t="s">
        <v>631</v>
      </c>
      <c r="D730" t="s">
        <v>646</v>
      </c>
      <c r="E730">
        <v>0</v>
      </c>
      <c r="F730" t="s">
        <v>647</v>
      </c>
      <c r="G730">
        <v>5454380.2699999996</v>
      </c>
      <c r="H730">
        <v>0</v>
      </c>
      <c r="I730">
        <v>0</v>
      </c>
      <c r="J730">
        <v>0</v>
      </c>
    </row>
    <row r="731" spans="1:10" x14ac:dyDescent="0.25">
      <c r="A731" t="s">
        <v>502</v>
      </c>
      <c r="B731" t="s">
        <v>503</v>
      </c>
      <c r="C731" t="s">
        <v>631</v>
      </c>
      <c r="D731" t="s">
        <v>848</v>
      </c>
      <c r="E731">
        <v>0</v>
      </c>
      <c r="F731" t="s">
        <v>849</v>
      </c>
      <c r="G731">
        <v>263780</v>
      </c>
      <c r="H731">
        <v>7000000</v>
      </c>
      <c r="I731">
        <v>0</v>
      </c>
      <c r="J731">
        <v>0</v>
      </c>
    </row>
    <row r="732" spans="1:10" x14ac:dyDescent="0.25">
      <c r="A732" t="s">
        <v>605</v>
      </c>
      <c r="B732" t="s">
        <v>606</v>
      </c>
      <c r="C732" t="s">
        <v>631</v>
      </c>
      <c r="D732" t="s">
        <v>660</v>
      </c>
      <c r="E732">
        <v>0</v>
      </c>
      <c r="F732" t="s">
        <v>661</v>
      </c>
      <c r="G732">
        <v>1445042.13</v>
      </c>
      <c r="H732">
        <v>0</v>
      </c>
      <c r="I732">
        <v>0</v>
      </c>
      <c r="J732">
        <v>0</v>
      </c>
    </row>
    <row r="733" spans="1:10" x14ac:dyDescent="0.25">
      <c r="A733" t="s">
        <v>883</v>
      </c>
      <c r="B733" t="s">
        <v>884</v>
      </c>
      <c r="C733" t="s">
        <v>631</v>
      </c>
      <c r="D733" t="s">
        <v>885</v>
      </c>
      <c r="E733">
        <v>0</v>
      </c>
      <c r="F733" t="s">
        <v>886</v>
      </c>
      <c r="G733">
        <v>1478381.01</v>
      </c>
      <c r="H733">
        <v>0</v>
      </c>
      <c r="I733">
        <v>0</v>
      </c>
      <c r="J733">
        <v>0</v>
      </c>
    </row>
    <row r="734" spans="1:10" x14ac:dyDescent="0.25">
      <c r="A734" t="s">
        <v>504</v>
      </c>
      <c r="B734" t="s">
        <v>505</v>
      </c>
      <c r="C734" t="s">
        <v>631</v>
      </c>
      <c r="D734" t="s">
        <v>668</v>
      </c>
      <c r="E734">
        <v>0</v>
      </c>
      <c r="F734" t="s">
        <v>669</v>
      </c>
      <c r="G734">
        <v>590000</v>
      </c>
      <c r="H734">
        <v>240000</v>
      </c>
      <c r="I734">
        <v>0</v>
      </c>
      <c r="J734">
        <v>0</v>
      </c>
    </row>
    <row r="735" spans="1:10" x14ac:dyDescent="0.25">
      <c r="A735" t="s">
        <v>887</v>
      </c>
      <c r="B735" t="s">
        <v>888</v>
      </c>
      <c r="C735" t="s">
        <v>631</v>
      </c>
      <c r="D735" t="s">
        <v>724</v>
      </c>
      <c r="E735">
        <v>0</v>
      </c>
      <c r="F735" t="s">
        <v>725</v>
      </c>
      <c r="G735">
        <v>657417.41</v>
      </c>
      <c r="H735">
        <v>0</v>
      </c>
      <c r="I735">
        <v>0</v>
      </c>
      <c r="J735">
        <v>0</v>
      </c>
    </row>
    <row r="736" spans="1:10" x14ac:dyDescent="0.25">
      <c r="A736" t="s">
        <v>506</v>
      </c>
      <c r="B736" t="s">
        <v>507</v>
      </c>
      <c r="C736" t="s">
        <v>631</v>
      </c>
      <c r="D736" t="s">
        <v>889</v>
      </c>
      <c r="E736">
        <v>0</v>
      </c>
      <c r="F736" t="s">
        <v>890</v>
      </c>
      <c r="G736">
        <v>2669255.2400000002</v>
      </c>
      <c r="H736">
        <v>0</v>
      </c>
      <c r="I736">
        <v>0</v>
      </c>
      <c r="J736">
        <v>0</v>
      </c>
    </row>
    <row r="737" spans="1:10" x14ac:dyDescent="0.25">
      <c r="A737" t="s">
        <v>508</v>
      </c>
      <c r="B737" t="s">
        <v>509</v>
      </c>
      <c r="C737" t="s">
        <v>631</v>
      </c>
      <c r="D737" t="s">
        <v>818</v>
      </c>
      <c r="E737">
        <v>0</v>
      </c>
      <c r="F737" t="s">
        <v>819</v>
      </c>
      <c r="G737">
        <v>0</v>
      </c>
      <c r="H737">
        <v>-0.01</v>
      </c>
      <c r="I737">
        <v>0</v>
      </c>
      <c r="J737">
        <v>0</v>
      </c>
    </row>
    <row r="738" spans="1:10" x14ac:dyDescent="0.25">
      <c r="A738" t="s">
        <v>891</v>
      </c>
      <c r="B738" t="s">
        <v>892</v>
      </c>
      <c r="C738" t="s">
        <v>631</v>
      </c>
      <c r="D738" t="s">
        <v>893</v>
      </c>
      <c r="E738">
        <v>620575.87</v>
      </c>
      <c r="F738" t="s">
        <v>894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510</v>
      </c>
      <c r="B739" t="s">
        <v>511</v>
      </c>
      <c r="C739" t="s">
        <v>631</v>
      </c>
      <c r="D739" t="s">
        <v>724</v>
      </c>
      <c r="E739">
        <v>0</v>
      </c>
      <c r="F739" t="s">
        <v>725</v>
      </c>
      <c r="G739">
        <v>1098438</v>
      </c>
      <c r="H739">
        <v>0</v>
      </c>
      <c r="I739">
        <v>0</v>
      </c>
      <c r="J739">
        <v>0</v>
      </c>
    </row>
    <row r="740" spans="1:10" x14ac:dyDescent="0.25">
      <c r="A740" t="s">
        <v>607</v>
      </c>
      <c r="B740" t="s">
        <v>608</v>
      </c>
      <c r="C740" t="s">
        <v>631</v>
      </c>
      <c r="D740" t="s">
        <v>676</v>
      </c>
      <c r="E740">
        <v>0</v>
      </c>
      <c r="F740" t="s">
        <v>677</v>
      </c>
      <c r="G740">
        <v>193600</v>
      </c>
      <c r="H740">
        <v>0</v>
      </c>
      <c r="I740">
        <v>0</v>
      </c>
      <c r="J740">
        <v>0</v>
      </c>
    </row>
    <row r="741" spans="1:10" x14ac:dyDescent="0.25">
      <c r="A741" t="s">
        <v>512</v>
      </c>
      <c r="B741" t="s">
        <v>513</v>
      </c>
      <c r="C741" t="s">
        <v>631</v>
      </c>
      <c r="D741" t="s">
        <v>676</v>
      </c>
      <c r="E741">
        <v>0</v>
      </c>
      <c r="F741" t="s">
        <v>677</v>
      </c>
      <c r="G741">
        <v>8905600</v>
      </c>
      <c r="H741">
        <v>0</v>
      </c>
      <c r="I741">
        <v>0</v>
      </c>
      <c r="J741">
        <v>0</v>
      </c>
    </row>
    <row r="742" spans="1:10" x14ac:dyDescent="0.25">
      <c r="A742" t="s">
        <v>609</v>
      </c>
      <c r="B742" t="s">
        <v>610</v>
      </c>
      <c r="C742" t="s">
        <v>631</v>
      </c>
      <c r="D742" t="s">
        <v>895</v>
      </c>
      <c r="E742">
        <v>0</v>
      </c>
      <c r="F742" t="s">
        <v>896</v>
      </c>
      <c r="G742">
        <v>6077500</v>
      </c>
      <c r="H742">
        <v>0</v>
      </c>
      <c r="I742">
        <v>0</v>
      </c>
      <c r="J742">
        <v>0</v>
      </c>
    </row>
    <row r="743" spans="1:10" x14ac:dyDescent="0.25">
      <c r="A743" t="s">
        <v>514</v>
      </c>
      <c r="B743" t="s">
        <v>515</v>
      </c>
      <c r="C743" t="s">
        <v>631</v>
      </c>
      <c r="D743" t="s">
        <v>676</v>
      </c>
      <c r="E743">
        <v>0</v>
      </c>
      <c r="F743" t="s">
        <v>677</v>
      </c>
      <c r="G743">
        <v>0</v>
      </c>
      <c r="H743">
        <v>12821563.85</v>
      </c>
      <c r="I743">
        <v>0</v>
      </c>
      <c r="J743">
        <v>0</v>
      </c>
    </row>
    <row r="744" spans="1:10" x14ac:dyDescent="0.25">
      <c r="A744" t="s">
        <v>611</v>
      </c>
      <c r="B744" t="s">
        <v>612</v>
      </c>
      <c r="C744" t="s">
        <v>631</v>
      </c>
      <c r="D744" t="s">
        <v>658</v>
      </c>
      <c r="E744">
        <v>0</v>
      </c>
      <c r="F744" t="s">
        <v>659</v>
      </c>
      <c r="G744">
        <v>4121960.17</v>
      </c>
      <c r="H744">
        <v>0</v>
      </c>
      <c r="I744">
        <v>0</v>
      </c>
      <c r="J744">
        <v>0</v>
      </c>
    </row>
    <row r="745" spans="1:10" x14ac:dyDescent="0.25">
      <c r="A745" t="s">
        <v>516</v>
      </c>
      <c r="B745" t="s">
        <v>517</v>
      </c>
      <c r="C745" t="s">
        <v>631</v>
      </c>
      <c r="D745" t="s">
        <v>724</v>
      </c>
      <c r="E745">
        <v>0</v>
      </c>
      <c r="F745" t="s">
        <v>725</v>
      </c>
      <c r="G745">
        <v>3824713.2</v>
      </c>
      <c r="H745">
        <v>0</v>
      </c>
      <c r="I745">
        <v>0</v>
      </c>
      <c r="J745">
        <v>0</v>
      </c>
    </row>
    <row r="746" spans="1:10" x14ac:dyDescent="0.25">
      <c r="A746" t="s">
        <v>518</v>
      </c>
      <c r="B746" t="s">
        <v>519</v>
      </c>
      <c r="C746" t="s">
        <v>631</v>
      </c>
      <c r="D746" t="s">
        <v>748</v>
      </c>
      <c r="E746">
        <v>0</v>
      </c>
      <c r="F746" t="s">
        <v>749</v>
      </c>
      <c r="G746">
        <v>17500</v>
      </c>
      <c r="H746">
        <v>0</v>
      </c>
      <c r="I746">
        <v>0</v>
      </c>
      <c r="J746">
        <v>-671301.14</v>
      </c>
    </row>
    <row r="747" spans="1:10" x14ac:dyDescent="0.25">
      <c r="A747" t="s">
        <v>613</v>
      </c>
      <c r="B747" t="s">
        <v>614</v>
      </c>
      <c r="C747" t="s">
        <v>631</v>
      </c>
      <c r="D747" t="s">
        <v>740</v>
      </c>
      <c r="E747">
        <v>0</v>
      </c>
      <c r="F747" t="s">
        <v>741</v>
      </c>
      <c r="G747">
        <v>969400.17</v>
      </c>
      <c r="H747">
        <v>0</v>
      </c>
      <c r="I747">
        <v>0</v>
      </c>
      <c r="J747">
        <v>0</v>
      </c>
    </row>
    <row r="748" spans="1:10" x14ac:dyDescent="0.25">
      <c r="A748" t="s">
        <v>520</v>
      </c>
      <c r="B748" t="s">
        <v>521</v>
      </c>
      <c r="C748" t="s">
        <v>631</v>
      </c>
      <c r="D748" t="s">
        <v>897</v>
      </c>
      <c r="E748">
        <v>0</v>
      </c>
      <c r="F748" t="s">
        <v>898</v>
      </c>
      <c r="G748">
        <v>1715262.12</v>
      </c>
      <c r="H748">
        <v>0</v>
      </c>
      <c r="I748">
        <v>0</v>
      </c>
      <c r="J748">
        <v>0</v>
      </c>
    </row>
    <row r="749" spans="1:10" x14ac:dyDescent="0.25">
      <c r="A749" t="s">
        <v>522</v>
      </c>
      <c r="B749" t="s">
        <v>523</v>
      </c>
      <c r="C749" t="s">
        <v>631</v>
      </c>
      <c r="D749" t="s">
        <v>899</v>
      </c>
      <c r="E749">
        <v>0</v>
      </c>
      <c r="F749" t="s">
        <v>900</v>
      </c>
      <c r="G749">
        <v>0</v>
      </c>
      <c r="H749">
        <v>43200964.079999998</v>
      </c>
      <c r="I749">
        <v>0</v>
      </c>
      <c r="J749">
        <v>0</v>
      </c>
    </row>
    <row r="750" spans="1:10" x14ac:dyDescent="0.25">
      <c r="A750" t="s">
        <v>524</v>
      </c>
      <c r="B750" t="s">
        <v>525</v>
      </c>
      <c r="C750" t="s">
        <v>631</v>
      </c>
      <c r="D750" t="s">
        <v>694</v>
      </c>
      <c r="E750">
        <v>0</v>
      </c>
      <c r="F750" t="s">
        <v>695</v>
      </c>
      <c r="G750">
        <v>0</v>
      </c>
      <c r="H750">
        <v>787623.42</v>
      </c>
      <c r="I750">
        <v>0</v>
      </c>
      <c r="J750">
        <v>0</v>
      </c>
    </row>
    <row r="751" spans="1:10" x14ac:dyDescent="0.25">
      <c r="A751" t="s">
        <v>901</v>
      </c>
      <c r="B751" t="s">
        <v>902</v>
      </c>
      <c r="C751" t="s">
        <v>631</v>
      </c>
      <c r="D751" t="s">
        <v>903</v>
      </c>
      <c r="E751">
        <v>0</v>
      </c>
      <c r="F751" t="s">
        <v>904</v>
      </c>
      <c r="G751">
        <v>7118732.5</v>
      </c>
      <c r="H751">
        <v>0</v>
      </c>
      <c r="I751">
        <v>0</v>
      </c>
      <c r="J751">
        <v>0</v>
      </c>
    </row>
    <row r="752" spans="1:10" x14ac:dyDescent="0.25">
      <c r="A752" t="s">
        <v>526</v>
      </c>
      <c r="B752" t="s">
        <v>527</v>
      </c>
      <c r="C752" t="s">
        <v>631</v>
      </c>
      <c r="D752" t="s">
        <v>724</v>
      </c>
      <c r="E752">
        <v>0</v>
      </c>
      <c r="F752" t="s">
        <v>725</v>
      </c>
      <c r="G752">
        <v>16607798.4</v>
      </c>
      <c r="H752">
        <v>0</v>
      </c>
      <c r="I752">
        <v>0</v>
      </c>
      <c r="J752">
        <v>0</v>
      </c>
    </row>
    <row r="753" spans="1:10" x14ac:dyDescent="0.25">
      <c r="A753" t="s">
        <v>615</v>
      </c>
      <c r="B753" t="s">
        <v>616</v>
      </c>
      <c r="C753" t="s">
        <v>631</v>
      </c>
      <c r="D753" t="s">
        <v>838</v>
      </c>
      <c r="E753">
        <v>0</v>
      </c>
      <c r="F753" t="s">
        <v>839</v>
      </c>
      <c r="G753">
        <v>0</v>
      </c>
      <c r="H753">
        <v>7400000</v>
      </c>
      <c r="I753">
        <v>0</v>
      </c>
      <c r="J753">
        <v>0</v>
      </c>
    </row>
    <row r="754" spans="1:10" x14ac:dyDescent="0.25">
      <c r="A754" t="s">
        <v>528</v>
      </c>
      <c r="B754" t="s">
        <v>529</v>
      </c>
      <c r="C754" t="s">
        <v>631</v>
      </c>
      <c r="D754" t="s">
        <v>905</v>
      </c>
      <c r="E754">
        <v>0</v>
      </c>
      <c r="F754" t="s">
        <v>906</v>
      </c>
      <c r="G754">
        <v>0</v>
      </c>
      <c r="H754">
        <v>19628712</v>
      </c>
      <c r="I754">
        <v>0</v>
      </c>
      <c r="J754">
        <v>0</v>
      </c>
    </row>
    <row r="755" spans="1:10" x14ac:dyDescent="0.25">
      <c r="A755" t="s">
        <v>530</v>
      </c>
      <c r="B755" t="s">
        <v>531</v>
      </c>
      <c r="C755" t="s">
        <v>631</v>
      </c>
      <c r="D755" t="s">
        <v>907</v>
      </c>
      <c r="E755">
        <v>20542381.149999999</v>
      </c>
      <c r="F755" t="s">
        <v>908</v>
      </c>
      <c r="G755">
        <v>13029926.74</v>
      </c>
      <c r="H755">
        <v>0</v>
      </c>
      <c r="I755">
        <v>0</v>
      </c>
      <c r="J755">
        <v>0</v>
      </c>
    </row>
    <row r="756" spans="1:10" x14ac:dyDescent="0.25">
      <c r="A756" t="s">
        <v>532</v>
      </c>
      <c r="B756" t="s">
        <v>533</v>
      </c>
      <c r="C756" t="s">
        <v>631</v>
      </c>
      <c r="D756" t="s">
        <v>676</v>
      </c>
      <c r="E756">
        <v>0</v>
      </c>
      <c r="F756" t="s">
        <v>677</v>
      </c>
      <c r="G756">
        <v>0</v>
      </c>
      <c r="H756">
        <v>0</v>
      </c>
      <c r="I756">
        <v>0</v>
      </c>
      <c r="J756">
        <v>-1.1100000000000001</v>
      </c>
    </row>
    <row r="757" spans="1:10" x14ac:dyDescent="0.25">
      <c r="A757" t="s">
        <v>534</v>
      </c>
      <c r="B757" t="s">
        <v>535</v>
      </c>
      <c r="C757" t="s">
        <v>631</v>
      </c>
      <c r="D757" t="s">
        <v>658</v>
      </c>
      <c r="E757">
        <v>0</v>
      </c>
      <c r="F757" t="s">
        <v>659</v>
      </c>
      <c r="G757">
        <v>240911</v>
      </c>
      <c r="H757">
        <v>0</v>
      </c>
      <c r="I757">
        <v>0</v>
      </c>
      <c r="J757">
        <v>0</v>
      </c>
    </row>
    <row r="758" spans="1:10" x14ac:dyDescent="0.25">
      <c r="A758" t="s">
        <v>909</v>
      </c>
      <c r="B758" t="s">
        <v>910</v>
      </c>
      <c r="C758" t="s">
        <v>631</v>
      </c>
      <c r="D758" t="s">
        <v>668</v>
      </c>
      <c r="E758">
        <v>3291313</v>
      </c>
      <c r="F758" t="s">
        <v>669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617</v>
      </c>
      <c r="B759" t="s">
        <v>618</v>
      </c>
      <c r="C759" t="s">
        <v>631</v>
      </c>
      <c r="D759" t="s">
        <v>694</v>
      </c>
      <c r="E759">
        <v>0</v>
      </c>
      <c r="F759" t="s">
        <v>695</v>
      </c>
      <c r="G759">
        <v>1577601.83</v>
      </c>
      <c r="H759">
        <v>0</v>
      </c>
      <c r="I759">
        <v>0</v>
      </c>
      <c r="J759">
        <v>0</v>
      </c>
    </row>
    <row r="760" spans="1:10" x14ac:dyDescent="0.25">
      <c r="A760" t="s">
        <v>536</v>
      </c>
      <c r="B760" t="s">
        <v>537</v>
      </c>
      <c r="C760" t="s">
        <v>631</v>
      </c>
      <c r="D760" t="s">
        <v>848</v>
      </c>
      <c r="E760">
        <v>0</v>
      </c>
      <c r="F760" t="s">
        <v>849</v>
      </c>
      <c r="G760">
        <v>2280920.4</v>
      </c>
      <c r="H760">
        <v>6279914.8300000001</v>
      </c>
      <c r="I760">
        <v>0</v>
      </c>
      <c r="J760">
        <v>0</v>
      </c>
    </row>
    <row r="761" spans="1:10" x14ac:dyDescent="0.25">
      <c r="A761" t="s">
        <v>538</v>
      </c>
      <c r="B761" t="s">
        <v>539</v>
      </c>
      <c r="C761" t="s">
        <v>631</v>
      </c>
      <c r="D761" t="s">
        <v>778</v>
      </c>
      <c r="E761">
        <v>0</v>
      </c>
      <c r="F761" t="s">
        <v>779</v>
      </c>
      <c r="G761">
        <v>0</v>
      </c>
      <c r="H761">
        <v>1485120</v>
      </c>
      <c r="I761">
        <v>0</v>
      </c>
      <c r="J761">
        <v>0</v>
      </c>
    </row>
    <row r="762" spans="1:10" x14ac:dyDescent="0.25">
      <c r="A762" t="s">
        <v>540</v>
      </c>
      <c r="B762" t="s">
        <v>541</v>
      </c>
      <c r="C762" t="s">
        <v>631</v>
      </c>
      <c r="D762" t="s">
        <v>852</v>
      </c>
      <c r="E762">
        <v>0</v>
      </c>
      <c r="F762" t="s">
        <v>853</v>
      </c>
      <c r="G762">
        <v>1357879029.99</v>
      </c>
      <c r="H762">
        <v>0</v>
      </c>
      <c r="I762">
        <v>0</v>
      </c>
      <c r="J762">
        <v>0</v>
      </c>
    </row>
    <row r="763" spans="1:10" x14ac:dyDescent="0.25">
      <c r="A763" t="s">
        <v>542</v>
      </c>
      <c r="B763" t="s">
        <v>543</v>
      </c>
      <c r="C763" t="s">
        <v>631</v>
      </c>
      <c r="D763" t="s">
        <v>756</v>
      </c>
      <c r="E763">
        <v>0</v>
      </c>
      <c r="F763" t="s">
        <v>757</v>
      </c>
      <c r="G763">
        <v>2271569.94</v>
      </c>
      <c r="H763">
        <v>0</v>
      </c>
      <c r="I763">
        <v>0</v>
      </c>
      <c r="J763">
        <v>0</v>
      </c>
    </row>
    <row r="764" spans="1:10" x14ac:dyDescent="0.25">
      <c r="A764" t="s">
        <v>545</v>
      </c>
    </row>
    <row r="765" spans="1:10" x14ac:dyDescent="0.25">
      <c r="A765" t="s">
        <v>546</v>
      </c>
    </row>
    <row r="766" spans="1:10" x14ac:dyDescent="0.25">
      <c r="A766" t="s">
        <v>911</v>
      </c>
    </row>
    <row r="767" spans="1:10" x14ac:dyDescent="0.25">
      <c r="A767" t="s">
        <v>912</v>
      </c>
    </row>
    <row r="768" spans="1:10" x14ac:dyDescent="0.25">
      <c r="A768" t="s">
        <v>913</v>
      </c>
    </row>
  </sheetData>
  <mergeCells count="3">
    <mergeCell ref="A1:F1"/>
    <mergeCell ref="A2:F2"/>
    <mergeCell ref="A284:F28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9"/>
  <sheetViews>
    <sheetView topLeftCell="A244" workbookViewId="0">
      <selection activeCell="K2" sqref="K2:K279"/>
    </sheetView>
  </sheetViews>
  <sheetFormatPr baseColWidth="10" defaultRowHeight="15" x14ac:dyDescent="0.25"/>
  <sheetData>
    <row r="1" spans="1:11" x14ac:dyDescent="0.25">
      <c r="A1" t="s">
        <v>620</v>
      </c>
      <c r="B1" t="s">
        <v>621</v>
      </c>
      <c r="C1" t="s">
        <v>622</v>
      </c>
      <c r="D1" t="s">
        <v>4</v>
      </c>
      <c r="E1" t="s">
        <v>623</v>
      </c>
      <c r="F1" t="s">
        <v>624</v>
      </c>
      <c r="G1" t="s">
        <v>625</v>
      </c>
      <c r="H1" t="s">
        <v>626</v>
      </c>
      <c r="I1" t="s">
        <v>627</v>
      </c>
      <c r="J1" t="s">
        <v>628</v>
      </c>
      <c r="K1" t="s">
        <v>155</v>
      </c>
    </row>
    <row r="2" spans="1:11" x14ac:dyDescent="0.25">
      <c r="A2" t="s">
        <v>629</v>
      </c>
      <c r="B2" t="s">
        <v>630</v>
      </c>
      <c r="C2" t="s">
        <v>631</v>
      </c>
      <c r="D2" t="s">
        <v>632</v>
      </c>
      <c r="E2">
        <v>185493</v>
      </c>
      <c r="F2" t="s">
        <v>633</v>
      </c>
      <c r="G2">
        <v>0</v>
      </c>
      <c r="H2">
        <v>0</v>
      </c>
      <c r="I2">
        <v>0</v>
      </c>
      <c r="J2">
        <v>0</v>
      </c>
      <c r="K2">
        <v>185493</v>
      </c>
    </row>
    <row r="3" spans="1:11" x14ac:dyDescent="0.25">
      <c r="A3" t="s">
        <v>182</v>
      </c>
      <c r="B3" t="s">
        <v>183</v>
      </c>
      <c r="C3" t="s">
        <v>631</v>
      </c>
      <c r="D3" t="s">
        <v>634</v>
      </c>
      <c r="E3">
        <v>0</v>
      </c>
      <c r="F3" t="s">
        <v>635</v>
      </c>
      <c r="G3">
        <v>11514934.75</v>
      </c>
      <c r="H3">
        <v>0</v>
      </c>
      <c r="I3">
        <v>0</v>
      </c>
      <c r="J3">
        <v>0</v>
      </c>
      <c r="K3">
        <v>11514934.75</v>
      </c>
    </row>
    <row r="4" spans="1:11" x14ac:dyDescent="0.25">
      <c r="A4" t="s">
        <v>184</v>
      </c>
      <c r="B4" t="s">
        <v>185</v>
      </c>
      <c r="C4" t="s">
        <v>631</v>
      </c>
      <c r="D4" t="s">
        <v>636</v>
      </c>
      <c r="E4">
        <v>0</v>
      </c>
      <c r="F4" t="s">
        <v>637</v>
      </c>
      <c r="G4">
        <v>9750000</v>
      </c>
      <c r="H4">
        <v>0.01</v>
      </c>
      <c r="I4">
        <v>0</v>
      </c>
      <c r="J4">
        <v>0</v>
      </c>
      <c r="K4">
        <v>9750000.0099999998</v>
      </c>
    </row>
    <row r="5" spans="1:11" x14ac:dyDescent="0.25">
      <c r="A5" t="s">
        <v>186</v>
      </c>
      <c r="B5" t="s">
        <v>187</v>
      </c>
      <c r="C5" t="s">
        <v>631</v>
      </c>
      <c r="D5" t="s">
        <v>638</v>
      </c>
      <c r="E5">
        <v>0</v>
      </c>
      <c r="F5" t="s">
        <v>639</v>
      </c>
      <c r="G5">
        <v>0</v>
      </c>
      <c r="H5">
        <v>0</v>
      </c>
      <c r="I5">
        <v>0</v>
      </c>
      <c r="J5">
        <v>1.08</v>
      </c>
      <c r="K5">
        <v>1.08</v>
      </c>
    </row>
    <row r="6" spans="1:11" x14ac:dyDescent="0.25">
      <c r="A6" t="s">
        <v>1156</v>
      </c>
      <c r="B6" t="s">
        <v>1157</v>
      </c>
      <c r="C6" t="s">
        <v>631</v>
      </c>
      <c r="D6" t="s">
        <v>1158</v>
      </c>
      <c r="E6">
        <v>660000</v>
      </c>
      <c r="F6" t="s">
        <v>1159</v>
      </c>
      <c r="G6">
        <v>0</v>
      </c>
      <c r="H6">
        <v>0</v>
      </c>
      <c r="I6">
        <v>0</v>
      </c>
      <c r="J6">
        <v>0</v>
      </c>
      <c r="K6">
        <v>660000</v>
      </c>
    </row>
    <row r="7" spans="1:11" x14ac:dyDescent="0.25">
      <c r="A7" t="s">
        <v>188</v>
      </c>
      <c r="B7" t="s">
        <v>189</v>
      </c>
      <c r="C7" t="s">
        <v>631</v>
      </c>
      <c r="D7" t="s">
        <v>640</v>
      </c>
      <c r="E7">
        <v>257680.39</v>
      </c>
      <c r="F7" t="s">
        <v>641</v>
      </c>
      <c r="G7">
        <v>990404.36</v>
      </c>
      <c r="H7">
        <v>0</v>
      </c>
      <c r="I7">
        <v>0</v>
      </c>
      <c r="J7">
        <v>0</v>
      </c>
      <c r="K7">
        <v>1248084.75</v>
      </c>
    </row>
    <row r="8" spans="1:11" x14ac:dyDescent="0.25">
      <c r="A8" t="s">
        <v>1160</v>
      </c>
      <c r="B8" t="s">
        <v>1161</v>
      </c>
      <c r="C8" t="s">
        <v>631</v>
      </c>
      <c r="D8" t="s">
        <v>740</v>
      </c>
      <c r="E8">
        <v>520000</v>
      </c>
      <c r="F8" t="s">
        <v>741</v>
      </c>
      <c r="G8">
        <v>0</v>
      </c>
      <c r="H8">
        <v>0</v>
      </c>
      <c r="I8">
        <v>0</v>
      </c>
      <c r="J8">
        <v>0</v>
      </c>
      <c r="K8">
        <v>520000</v>
      </c>
    </row>
    <row r="9" spans="1:11" x14ac:dyDescent="0.25">
      <c r="A9" t="s">
        <v>190</v>
      </c>
      <c r="B9" t="s">
        <v>191</v>
      </c>
      <c r="C9" t="s">
        <v>631</v>
      </c>
      <c r="D9" t="s">
        <v>638</v>
      </c>
      <c r="E9">
        <v>0</v>
      </c>
      <c r="F9" t="s">
        <v>639</v>
      </c>
      <c r="G9">
        <v>8383134.0999999996</v>
      </c>
      <c r="H9">
        <v>0</v>
      </c>
      <c r="I9">
        <v>0</v>
      </c>
      <c r="J9">
        <v>0</v>
      </c>
      <c r="K9">
        <v>8383134.0999999996</v>
      </c>
    </row>
    <row r="10" spans="1:11" x14ac:dyDescent="0.25">
      <c r="A10" t="s">
        <v>192</v>
      </c>
      <c r="B10" t="s">
        <v>193</v>
      </c>
      <c r="C10" t="s">
        <v>631</v>
      </c>
      <c r="D10" t="s">
        <v>642</v>
      </c>
      <c r="E10">
        <v>0</v>
      </c>
      <c r="F10" t="s">
        <v>643</v>
      </c>
      <c r="G10">
        <v>560000</v>
      </c>
      <c r="H10">
        <v>0</v>
      </c>
      <c r="I10">
        <v>0</v>
      </c>
      <c r="J10">
        <v>0</v>
      </c>
      <c r="K10">
        <v>560000</v>
      </c>
    </row>
    <row r="11" spans="1:11" x14ac:dyDescent="0.25">
      <c r="A11" t="s">
        <v>648</v>
      </c>
      <c r="B11" t="s">
        <v>649</v>
      </c>
      <c r="C11" t="s">
        <v>631</v>
      </c>
      <c r="D11" t="s">
        <v>650</v>
      </c>
      <c r="E11">
        <v>0</v>
      </c>
      <c r="F11" t="s">
        <v>651</v>
      </c>
      <c r="G11">
        <v>8763369.8200000003</v>
      </c>
      <c r="H11">
        <v>0</v>
      </c>
      <c r="I11">
        <v>0</v>
      </c>
      <c r="J11">
        <v>0</v>
      </c>
      <c r="K11">
        <v>8763369.8200000003</v>
      </c>
    </row>
    <row r="12" spans="1:11" x14ac:dyDescent="0.25">
      <c r="A12" t="s">
        <v>194</v>
      </c>
      <c r="B12" t="s">
        <v>195</v>
      </c>
      <c r="C12" t="s">
        <v>631</v>
      </c>
      <c r="D12" t="s">
        <v>638</v>
      </c>
      <c r="E12">
        <v>1066422.92</v>
      </c>
      <c r="F12" t="s">
        <v>639</v>
      </c>
      <c r="G12">
        <v>1048053.67</v>
      </c>
      <c r="H12">
        <v>1376717.55</v>
      </c>
      <c r="I12">
        <v>0</v>
      </c>
      <c r="J12">
        <v>0</v>
      </c>
      <c r="K12">
        <v>3491194.14</v>
      </c>
    </row>
    <row r="13" spans="1:11" x14ac:dyDescent="0.25">
      <c r="A13" t="s">
        <v>1162</v>
      </c>
      <c r="B13" t="s">
        <v>1163</v>
      </c>
      <c r="C13" t="s">
        <v>631</v>
      </c>
      <c r="D13" t="s">
        <v>758</v>
      </c>
      <c r="E13">
        <v>508267.1</v>
      </c>
      <c r="F13" t="s">
        <v>759</v>
      </c>
      <c r="G13">
        <v>0</v>
      </c>
      <c r="H13">
        <v>0</v>
      </c>
      <c r="I13">
        <v>0</v>
      </c>
      <c r="J13">
        <v>0</v>
      </c>
      <c r="K13">
        <v>508267.1</v>
      </c>
    </row>
    <row r="14" spans="1:11" x14ac:dyDescent="0.25">
      <c r="A14" t="s">
        <v>1164</v>
      </c>
      <c r="B14" t="s">
        <v>1165</v>
      </c>
      <c r="C14" t="s">
        <v>631</v>
      </c>
      <c r="D14" t="s">
        <v>808</v>
      </c>
      <c r="E14">
        <v>0</v>
      </c>
      <c r="F14" t="s">
        <v>809</v>
      </c>
      <c r="G14">
        <v>0</v>
      </c>
      <c r="H14">
        <v>182706167.53999999</v>
      </c>
      <c r="I14">
        <v>0</v>
      </c>
      <c r="J14">
        <v>0</v>
      </c>
      <c r="K14">
        <v>182706167.53999999</v>
      </c>
    </row>
    <row r="15" spans="1:11" x14ac:dyDescent="0.25">
      <c r="A15" t="s">
        <v>1166</v>
      </c>
      <c r="B15" t="s">
        <v>1167</v>
      </c>
      <c r="C15" t="s">
        <v>631</v>
      </c>
      <c r="D15" t="s">
        <v>740</v>
      </c>
      <c r="E15">
        <v>0</v>
      </c>
      <c r="F15" t="s">
        <v>741</v>
      </c>
      <c r="G15">
        <v>4280207.53</v>
      </c>
      <c r="H15">
        <v>0</v>
      </c>
      <c r="I15">
        <v>0</v>
      </c>
      <c r="J15">
        <v>0</v>
      </c>
      <c r="K15">
        <v>4280207.53</v>
      </c>
    </row>
    <row r="16" spans="1:11" x14ac:dyDescent="0.25">
      <c r="A16" t="s">
        <v>1168</v>
      </c>
      <c r="B16" t="s">
        <v>1169</v>
      </c>
      <c r="C16" t="s">
        <v>631</v>
      </c>
      <c r="D16" t="s">
        <v>668</v>
      </c>
      <c r="E16">
        <v>1908774.8</v>
      </c>
      <c r="F16" t="s">
        <v>669</v>
      </c>
      <c r="G16">
        <v>0</v>
      </c>
      <c r="H16">
        <v>0</v>
      </c>
      <c r="I16">
        <v>0</v>
      </c>
      <c r="J16">
        <v>0</v>
      </c>
      <c r="K16">
        <v>1908774.8</v>
      </c>
    </row>
    <row r="17" spans="1:11" x14ac:dyDescent="0.25">
      <c r="A17" t="s">
        <v>547</v>
      </c>
      <c r="B17" t="s">
        <v>548</v>
      </c>
      <c r="C17" t="s">
        <v>631</v>
      </c>
      <c r="D17" t="s">
        <v>652</v>
      </c>
      <c r="E17">
        <v>0</v>
      </c>
      <c r="F17" t="s">
        <v>653</v>
      </c>
      <c r="G17">
        <v>797673.14</v>
      </c>
      <c r="H17">
        <v>63428.2</v>
      </c>
      <c r="I17">
        <v>0</v>
      </c>
      <c r="J17">
        <v>0</v>
      </c>
      <c r="K17">
        <v>861101.34</v>
      </c>
    </row>
    <row r="18" spans="1:11" x14ac:dyDescent="0.25">
      <c r="A18" t="s">
        <v>1170</v>
      </c>
      <c r="B18" t="s">
        <v>1171</v>
      </c>
      <c r="C18" t="s">
        <v>631</v>
      </c>
      <c r="D18" t="s">
        <v>822</v>
      </c>
      <c r="E18">
        <v>951000</v>
      </c>
      <c r="F18" t="s">
        <v>823</v>
      </c>
      <c r="G18">
        <v>0</v>
      </c>
      <c r="H18">
        <v>0</v>
      </c>
      <c r="I18">
        <v>0</v>
      </c>
      <c r="J18">
        <v>0</v>
      </c>
      <c r="K18">
        <v>951000</v>
      </c>
    </row>
    <row r="19" spans="1:11" x14ac:dyDescent="0.25">
      <c r="A19" t="s">
        <v>196</v>
      </c>
      <c r="B19" t="s">
        <v>197</v>
      </c>
      <c r="C19" t="s">
        <v>631</v>
      </c>
      <c r="D19" t="s">
        <v>658</v>
      </c>
      <c r="E19">
        <v>0</v>
      </c>
      <c r="F19" t="s">
        <v>659</v>
      </c>
      <c r="G19">
        <v>1430621.27</v>
      </c>
      <c r="H19">
        <v>0</v>
      </c>
      <c r="I19">
        <v>0</v>
      </c>
      <c r="J19">
        <v>0</v>
      </c>
      <c r="K19">
        <v>1430621.27</v>
      </c>
    </row>
    <row r="20" spans="1:11" x14ac:dyDescent="0.25">
      <c r="A20" t="s">
        <v>1172</v>
      </c>
      <c r="B20" t="s">
        <v>1173</v>
      </c>
      <c r="C20" t="s">
        <v>631</v>
      </c>
      <c r="D20" t="s">
        <v>666</v>
      </c>
      <c r="E20">
        <v>266057.08</v>
      </c>
      <c r="F20" t="s">
        <v>667</v>
      </c>
      <c r="G20">
        <v>0</v>
      </c>
      <c r="H20">
        <v>0</v>
      </c>
      <c r="I20">
        <v>0</v>
      </c>
      <c r="J20">
        <v>0</v>
      </c>
      <c r="K20">
        <v>266057.08</v>
      </c>
    </row>
    <row r="21" spans="1:11" x14ac:dyDescent="0.25">
      <c r="A21" t="s">
        <v>1174</v>
      </c>
      <c r="B21" t="s">
        <v>1175</v>
      </c>
      <c r="C21" t="s">
        <v>631</v>
      </c>
      <c r="D21" t="s">
        <v>676</v>
      </c>
      <c r="E21">
        <v>178596</v>
      </c>
      <c r="F21" t="s">
        <v>677</v>
      </c>
      <c r="G21">
        <v>0</v>
      </c>
      <c r="H21">
        <v>0</v>
      </c>
      <c r="I21">
        <v>0</v>
      </c>
      <c r="J21">
        <v>0</v>
      </c>
      <c r="K21">
        <v>178596</v>
      </c>
    </row>
    <row r="22" spans="1:11" x14ac:dyDescent="0.25">
      <c r="A22" t="s">
        <v>198</v>
      </c>
      <c r="B22" t="s">
        <v>199</v>
      </c>
      <c r="C22" t="s">
        <v>631</v>
      </c>
      <c r="D22" t="s">
        <v>660</v>
      </c>
      <c r="E22">
        <v>899271.11</v>
      </c>
      <c r="F22" t="s">
        <v>661</v>
      </c>
      <c r="G22">
        <v>0</v>
      </c>
      <c r="H22">
        <v>0</v>
      </c>
      <c r="I22">
        <v>0</v>
      </c>
      <c r="J22">
        <v>0</v>
      </c>
      <c r="K22">
        <v>899271.11</v>
      </c>
    </row>
    <row r="23" spans="1:11" x14ac:dyDescent="0.25">
      <c r="A23" t="s">
        <v>200</v>
      </c>
      <c r="B23" t="s">
        <v>201</v>
      </c>
      <c r="C23" t="s">
        <v>631</v>
      </c>
      <c r="D23" t="s">
        <v>666</v>
      </c>
      <c r="E23">
        <v>2473000</v>
      </c>
      <c r="F23" t="s">
        <v>667</v>
      </c>
      <c r="G23">
        <v>2299000</v>
      </c>
      <c r="H23">
        <v>1727000</v>
      </c>
      <c r="I23">
        <v>0</v>
      </c>
      <c r="J23">
        <v>0</v>
      </c>
      <c r="K23">
        <v>6499000</v>
      </c>
    </row>
    <row r="24" spans="1:11" x14ac:dyDescent="0.25">
      <c r="A24" t="s">
        <v>1176</v>
      </c>
      <c r="B24" t="s">
        <v>1177</v>
      </c>
      <c r="C24" t="s">
        <v>631</v>
      </c>
      <c r="D24" t="s">
        <v>668</v>
      </c>
      <c r="E24">
        <v>2392500</v>
      </c>
      <c r="F24" t="s">
        <v>669</v>
      </c>
      <c r="G24">
        <v>0</v>
      </c>
      <c r="H24">
        <v>0</v>
      </c>
      <c r="I24">
        <v>0</v>
      </c>
      <c r="J24">
        <v>0</v>
      </c>
      <c r="K24">
        <v>2392500</v>
      </c>
    </row>
    <row r="25" spans="1:11" x14ac:dyDescent="0.25">
      <c r="A25" t="s">
        <v>549</v>
      </c>
      <c r="B25" t="s">
        <v>550</v>
      </c>
      <c r="C25" t="s">
        <v>631</v>
      </c>
      <c r="D25" t="s">
        <v>668</v>
      </c>
      <c r="E25">
        <v>0</v>
      </c>
      <c r="F25" t="s">
        <v>669</v>
      </c>
      <c r="G25">
        <v>343156</v>
      </c>
      <c r="H25">
        <v>0</v>
      </c>
      <c r="I25">
        <v>0</v>
      </c>
      <c r="J25">
        <v>0</v>
      </c>
      <c r="K25">
        <v>343156</v>
      </c>
    </row>
    <row r="26" spans="1:11" x14ac:dyDescent="0.25">
      <c r="A26" t="s">
        <v>672</v>
      </c>
      <c r="B26" t="s">
        <v>673</v>
      </c>
      <c r="C26" t="s">
        <v>631</v>
      </c>
      <c r="D26" t="s">
        <v>674</v>
      </c>
      <c r="E26">
        <v>0</v>
      </c>
      <c r="F26" t="s">
        <v>675</v>
      </c>
      <c r="G26">
        <v>48000</v>
      </c>
      <c r="H26">
        <v>0</v>
      </c>
      <c r="I26">
        <v>0</v>
      </c>
      <c r="J26">
        <v>0</v>
      </c>
      <c r="K26">
        <v>48000</v>
      </c>
    </row>
    <row r="27" spans="1:11" x14ac:dyDescent="0.25">
      <c r="A27" t="s">
        <v>1178</v>
      </c>
      <c r="B27" t="s">
        <v>1179</v>
      </c>
      <c r="C27" t="s">
        <v>631</v>
      </c>
      <c r="D27" t="s">
        <v>676</v>
      </c>
      <c r="E27">
        <v>416724</v>
      </c>
      <c r="F27" t="s">
        <v>677</v>
      </c>
      <c r="G27">
        <v>0</v>
      </c>
      <c r="H27">
        <v>0</v>
      </c>
      <c r="I27">
        <v>0</v>
      </c>
      <c r="J27">
        <v>0</v>
      </c>
      <c r="K27">
        <v>416724</v>
      </c>
    </row>
    <row r="28" spans="1:11" x14ac:dyDescent="0.25">
      <c r="A28" t="s">
        <v>202</v>
      </c>
      <c r="B28" t="s">
        <v>203</v>
      </c>
      <c r="C28" t="s">
        <v>631</v>
      </c>
      <c r="D28" t="s">
        <v>676</v>
      </c>
      <c r="E28">
        <v>0</v>
      </c>
      <c r="F28" t="s">
        <v>677</v>
      </c>
      <c r="G28">
        <v>0</v>
      </c>
      <c r="H28">
        <v>22164560</v>
      </c>
      <c r="I28">
        <v>28043800</v>
      </c>
      <c r="J28">
        <v>26176.959999999999</v>
      </c>
      <c r="K28">
        <v>50234536.960000001</v>
      </c>
    </row>
    <row r="29" spans="1:11" x14ac:dyDescent="0.25">
      <c r="A29" t="s">
        <v>1180</v>
      </c>
      <c r="B29" t="s">
        <v>1181</v>
      </c>
      <c r="C29" t="s">
        <v>631</v>
      </c>
      <c r="D29" t="s">
        <v>732</v>
      </c>
      <c r="E29">
        <v>2408015.9700000002</v>
      </c>
      <c r="F29" t="s">
        <v>733</v>
      </c>
      <c r="G29">
        <v>0</v>
      </c>
      <c r="H29">
        <v>0</v>
      </c>
      <c r="I29">
        <v>0</v>
      </c>
      <c r="J29">
        <v>0</v>
      </c>
      <c r="K29">
        <v>2408015.9700000002</v>
      </c>
    </row>
    <row r="30" spans="1:11" x14ac:dyDescent="0.25">
      <c r="A30" t="s">
        <v>1182</v>
      </c>
      <c r="B30" t="s">
        <v>1183</v>
      </c>
      <c r="C30" t="s">
        <v>631</v>
      </c>
      <c r="D30" t="s">
        <v>668</v>
      </c>
      <c r="E30">
        <v>75000</v>
      </c>
      <c r="F30" t="s">
        <v>669</v>
      </c>
      <c r="G30">
        <v>0</v>
      </c>
      <c r="H30">
        <v>0</v>
      </c>
      <c r="I30">
        <v>0</v>
      </c>
      <c r="J30">
        <v>0</v>
      </c>
      <c r="K30">
        <v>75000</v>
      </c>
    </row>
    <row r="31" spans="1:11" x14ac:dyDescent="0.25">
      <c r="A31" t="s">
        <v>206</v>
      </c>
      <c r="B31" t="s">
        <v>207</v>
      </c>
      <c r="C31" t="s">
        <v>631</v>
      </c>
      <c r="D31" t="s">
        <v>668</v>
      </c>
      <c r="E31">
        <v>0</v>
      </c>
      <c r="F31" t="s">
        <v>669</v>
      </c>
      <c r="G31">
        <v>0</v>
      </c>
      <c r="H31">
        <v>0</v>
      </c>
      <c r="I31">
        <v>0</v>
      </c>
      <c r="J31">
        <v>4477000</v>
      </c>
      <c r="K31">
        <v>4477000</v>
      </c>
    </row>
    <row r="32" spans="1:11" x14ac:dyDescent="0.25">
      <c r="A32" t="s">
        <v>1184</v>
      </c>
      <c r="B32" t="s">
        <v>1185</v>
      </c>
      <c r="C32" t="s">
        <v>631</v>
      </c>
      <c r="D32" t="s">
        <v>858</v>
      </c>
      <c r="E32">
        <v>609843.53</v>
      </c>
      <c r="F32" t="s">
        <v>859</v>
      </c>
      <c r="G32">
        <v>0</v>
      </c>
      <c r="H32">
        <v>0</v>
      </c>
      <c r="I32">
        <v>0</v>
      </c>
      <c r="J32">
        <v>0</v>
      </c>
      <c r="K32">
        <v>609843.53</v>
      </c>
    </row>
    <row r="33" spans="1:11" x14ac:dyDescent="0.25">
      <c r="A33" t="s">
        <v>680</v>
      </c>
      <c r="B33" t="s">
        <v>681</v>
      </c>
      <c r="C33" t="s">
        <v>631</v>
      </c>
      <c r="D33" t="s">
        <v>668</v>
      </c>
      <c r="E33">
        <v>0</v>
      </c>
      <c r="F33" t="s">
        <v>669</v>
      </c>
      <c r="G33">
        <v>349929</v>
      </c>
      <c r="H33">
        <v>0</v>
      </c>
      <c r="I33">
        <v>0</v>
      </c>
      <c r="J33">
        <v>0</v>
      </c>
      <c r="K33">
        <v>349929</v>
      </c>
    </row>
    <row r="34" spans="1:11" x14ac:dyDescent="0.25">
      <c r="A34" t="s">
        <v>553</v>
      </c>
      <c r="B34" t="s">
        <v>554</v>
      </c>
      <c r="C34" t="s">
        <v>631</v>
      </c>
      <c r="D34" t="s">
        <v>682</v>
      </c>
      <c r="E34">
        <v>0</v>
      </c>
      <c r="F34" t="s">
        <v>683</v>
      </c>
      <c r="G34">
        <v>5397392.4000000004</v>
      </c>
      <c r="H34">
        <v>0</v>
      </c>
      <c r="I34">
        <v>0</v>
      </c>
      <c r="J34">
        <v>0</v>
      </c>
      <c r="K34">
        <v>5397392.4000000004</v>
      </c>
    </row>
    <row r="35" spans="1:11" x14ac:dyDescent="0.25">
      <c r="A35" t="s">
        <v>684</v>
      </c>
      <c r="B35" t="s">
        <v>685</v>
      </c>
      <c r="C35" t="s">
        <v>631</v>
      </c>
      <c r="D35" t="s">
        <v>686</v>
      </c>
      <c r="E35">
        <v>0</v>
      </c>
      <c r="F35" t="s">
        <v>687</v>
      </c>
      <c r="G35">
        <v>1827342</v>
      </c>
      <c r="H35">
        <v>0</v>
      </c>
      <c r="I35">
        <v>0</v>
      </c>
      <c r="J35">
        <v>0</v>
      </c>
      <c r="K35">
        <v>1827342</v>
      </c>
    </row>
    <row r="36" spans="1:11" x14ac:dyDescent="0.25">
      <c r="A36" t="s">
        <v>208</v>
      </c>
      <c r="B36" t="s">
        <v>209</v>
      </c>
      <c r="C36" t="s">
        <v>631</v>
      </c>
      <c r="D36" t="s">
        <v>692</v>
      </c>
      <c r="E36">
        <v>1400212</v>
      </c>
      <c r="F36" t="s">
        <v>693</v>
      </c>
      <c r="G36">
        <v>2790260</v>
      </c>
      <c r="H36">
        <v>0</v>
      </c>
      <c r="I36">
        <v>0</v>
      </c>
      <c r="J36">
        <v>0</v>
      </c>
      <c r="K36">
        <v>4190472</v>
      </c>
    </row>
    <row r="37" spans="1:11" x14ac:dyDescent="0.25">
      <c r="A37" t="s">
        <v>210</v>
      </c>
      <c r="B37" t="s">
        <v>211</v>
      </c>
      <c r="C37" t="s">
        <v>631</v>
      </c>
      <c r="D37" t="s">
        <v>694</v>
      </c>
      <c r="E37">
        <v>0</v>
      </c>
      <c r="F37" t="s">
        <v>695</v>
      </c>
      <c r="G37">
        <v>629999.93000000005</v>
      </c>
      <c r="H37">
        <v>629999.93000000005</v>
      </c>
      <c r="I37">
        <v>0</v>
      </c>
      <c r="J37">
        <v>0</v>
      </c>
      <c r="K37">
        <v>1259999.8600000001</v>
      </c>
    </row>
    <row r="38" spans="1:11" x14ac:dyDescent="0.25">
      <c r="A38" t="s">
        <v>1186</v>
      </c>
      <c r="B38" t="s">
        <v>1187</v>
      </c>
      <c r="C38" t="s">
        <v>631</v>
      </c>
      <c r="D38" t="s">
        <v>640</v>
      </c>
      <c r="E38">
        <v>4204376.5999999996</v>
      </c>
      <c r="F38" t="s">
        <v>641</v>
      </c>
      <c r="G38">
        <v>0</v>
      </c>
      <c r="H38">
        <v>0</v>
      </c>
      <c r="I38">
        <v>0</v>
      </c>
      <c r="J38">
        <v>0</v>
      </c>
      <c r="K38">
        <v>4204376.5999999996</v>
      </c>
    </row>
    <row r="39" spans="1:11" x14ac:dyDescent="0.25">
      <c r="A39" t="s">
        <v>1188</v>
      </c>
      <c r="B39" t="s">
        <v>1189</v>
      </c>
      <c r="C39" t="s">
        <v>631</v>
      </c>
      <c r="D39" t="s">
        <v>638</v>
      </c>
      <c r="E39">
        <v>559451.87</v>
      </c>
      <c r="F39" t="s">
        <v>639</v>
      </c>
      <c r="G39">
        <v>0</v>
      </c>
      <c r="H39">
        <v>0</v>
      </c>
      <c r="I39">
        <v>0</v>
      </c>
      <c r="J39">
        <v>0</v>
      </c>
      <c r="K39">
        <v>559451.87</v>
      </c>
    </row>
    <row r="40" spans="1:11" x14ac:dyDescent="0.25">
      <c r="A40" t="s">
        <v>1190</v>
      </c>
      <c r="B40" t="s">
        <v>1191</v>
      </c>
      <c r="C40" t="s">
        <v>631</v>
      </c>
      <c r="D40" t="s">
        <v>668</v>
      </c>
      <c r="E40">
        <v>2666840</v>
      </c>
      <c r="F40" t="s">
        <v>669</v>
      </c>
      <c r="G40">
        <v>0</v>
      </c>
      <c r="H40">
        <v>0</v>
      </c>
      <c r="I40">
        <v>0</v>
      </c>
      <c r="J40">
        <v>0</v>
      </c>
      <c r="K40">
        <v>2666840</v>
      </c>
    </row>
    <row r="41" spans="1:11" x14ac:dyDescent="0.25">
      <c r="A41" t="s">
        <v>1192</v>
      </c>
      <c r="B41" t="s">
        <v>1193</v>
      </c>
      <c r="C41" t="s">
        <v>631</v>
      </c>
      <c r="D41" t="s">
        <v>808</v>
      </c>
      <c r="E41">
        <v>71516929</v>
      </c>
      <c r="F41" t="s">
        <v>809</v>
      </c>
      <c r="G41">
        <v>0</v>
      </c>
      <c r="H41">
        <v>0</v>
      </c>
      <c r="I41">
        <v>0</v>
      </c>
      <c r="J41">
        <v>0</v>
      </c>
      <c r="K41">
        <v>71516929</v>
      </c>
    </row>
    <row r="42" spans="1:11" x14ac:dyDescent="0.25">
      <c r="A42" t="s">
        <v>1194</v>
      </c>
      <c r="B42" t="s">
        <v>1195</v>
      </c>
      <c r="C42" t="s">
        <v>631</v>
      </c>
      <c r="D42" t="s">
        <v>850</v>
      </c>
      <c r="E42">
        <v>220000</v>
      </c>
      <c r="F42" t="s">
        <v>851</v>
      </c>
      <c r="G42">
        <v>0</v>
      </c>
      <c r="H42">
        <v>0</v>
      </c>
      <c r="I42">
        <v>0</v>
      </c>
      <c r="J42">
        <v>0</v>
      </c>
      <c r="K42">
        <v>220000</v>
      </c>
    </row>
    <row r="43" spans="1:11" x14ac:dyDescent="0.25">
      <c r="A43" t="s">
        <v>1196</v>
      </c>
      <c r="B43" t="s">
        <v>1197</v>
      </c>
      <c r="C43" t="s">
        <v>631</v>
      </c>
      <c r="D43" t="s">
        <v>678</v>
      </c>
      <c r="E43">
        <v>1400000</v>
      </c>
      <c r="F43" t="s">
        <v>679</v>
      </c>
      <c r="G43">
        <v>0</v>
      </c>
      <c r="H43">
        <v>0</v>
      </c>
      <c r="I43">
        <v>0</v>
      </c>
      <c r="J43">
        <v>0</v>
      </c>
      <c r="K43">
        <v>1400000</v>
      </c>
    </row>
    <row r="44" spans="1:11" x14ac:dyDescent="0.25">
      <c r="A44" t="s">
        <v>1198</v>
      </c>
      <c r="B44" t="s">
        <v>1199</v>
      </c>
      <c r="C44" t="s">
        <v>631</v>
      </c>
      <c r="D44" t="s">
        <v>658</v>
      </c>
      <c r="E44">
        <v>397800</v>
      </c>
      <c r="F44" t="s">
        <v>659</v>
      </c>
      <c r="G44">
        <v>0</v>
      </c>
      <c r="H44">
        <v>0</v>
      </c>
      <c r="I44">
        <v>0</v>
      </c>
      <c r="J44">
        <v>0</v>
      </c>
      <c r="K44">
        <v>397800</v>
      </c>
    </row>
    <row r="45" spans="1:11" x14ac:dyDescent="0.25">
      <c r="A45" t="s">
        <v>212</v>
      </c>
      <c r="B45" t="s">
        <v>213</v>
      </c>
      <c r="C45" t="s">
        <v>631</v>
      </c>
      <c r="D45" t="s">
        <v>700</v>
      </c>
      <c r="E45">
        <v>0</v>
      </c>
      <c r="F45" t="s">
        <v>701</v>
      </c>
      <c r="G45">
        <v>0</v>
      </c>
      <c r="H45">
        <v>3000000</v>
      </c>
      <c r="I45">
        <v>0</v>
      </c>
      <c r="J45">
        <v>0</v>
      </c>
      <c r="K45">
        <v>3000000</v>
      </c>
    </row>
    <row r="46" spans="1:11" x14ac:dyDescent="0.25">
      <c r="A46" t="s">
        <v>555</v>
      </c>
      <c r="B46" t="s">
        <v>556</v>
      </c>
      <c r="C46" t="s">
        <v>631</v>
      </c>
      <c r="D46" t="s">
        <v>676</v>
      </c>
      <c r="E46">
        <v>0</v>
      </c>
      <c r="F46" t="s">
        <v>677</v>
      </c>
      <c r="G46">
        <v>118465.57</v>
      </c>
      <c r="H46">
        <v>0</v>
      </c>
      <c r="I46">
        <v>0</v>
      </c>
      <c r="J46">
        <v>0</v>
      </c>
      <c r="K46">
        <v>118465.57</v>
      </c>
    </row>
    <row r="47" spans="1:11" x14ac:dyDescent="0.25">
      <c r="A47" t="s">
        <v>214</v>
      </c>
      <c r="B47" t="s">
        <v>215</v>
      </c>
      <c r="C47" t="s">
        <v>631</v>
      </c>
      <c r="D47" t="s">
        <v>702</v>
      </c>
      <c r="E47">
        <v>8360672.5199999996</v>
      </c>
      <c r="F47" t="s">
        <v>703</v>
      </c>
      <c r="G47">
        <v>11547357.380000001</v>
      </c>
      <c r="H47">
        <v>0</v>
      </c>
      <c r="I47">
        <v>0</v>
      </c>
      <c r="J47">
        <v>0</v>
      </c>
      <c r="K47">
        <v>19908029.899999999</v>
      </c>
    </row>
    <row r="48" spans="1:11" x14ac:dyDescent="0.25">
      <c r="A48" t="s">
        <v>216</v>
      </c>
      <c r="B48" t="s">
        <v>217</v>
      </c>
      <c r="C48" t="s">
        <v>631</v>
      </c>
      <c r="D48" t="s">
        <v>704</v>
      </c>
      <c r="E48">
        <v>767607.06</v>
      </c>
      <c r="F48" t="s">
        <v>705</v>
      </c>
      <c r="G48">
        <v>1038252.6</v>
      </c>
      <c r="H48">
        <v>0</v>
      </c>
      <c r="I48">
        <v>0</v>
      </c>
      <c r="J48">
        <v>0</v>
      </c>
      <c r="K48">
        <v>1805859.66</v>
      </c>
    </row>
    <row r="49" spans="1:11" x14ac:dyDescent="0.25">
      <c r="A49" t="s">
        <v>218</v>
      </c>
      <c r="B49" t="s">
        <v>219</v>
      </c>
      <c r="C49" t="s">
        <v>631</v>
      </c>
      <c r="D49" t="s">
        <v>638</v>
      </c>
      <c r="E49">
        <v>1164717.77</v>
      </c>
      <c r="F49" t="s">
        <v>639</v>
      </c>
      <c r="G49">
        <v>3633671.36</v>
      </c>
      <c r="H49">
        <v>0</v>
      </c>
      <c r="I49">
        <v>0</v>
      </c>
      <c r="J49">
        <v>0</v>
      </c>
      <c r="K49">
        <v>4798389.13</v>
      </c>
    </row>
    <row r="50" spans="1:11" x14ac:dyDescent="0.25">
      <c r="A50" t="s">
        <v>220</v>
      </c>
      <c r="B50" t="s">
        <v>221</v>
      </c>
      <c r="C50" t="s">
        <v>631</v>
      </c>
      <c r="D50" t="s">
        <v>676</v>
      </c>
      <c r="E50">
        <v>0</v>
      </c>
      <c r="F50" t="s">
        <v>677</v>
      </c>
      <c r="G50">
        <v>0</v>
      </c>
      <c r="H50">
        <v>0</v>
      </c>
      <c r="I50">
        <v>0</v>
      </c>
      <c r="J50">
        <v>-0.01</v>
      </c>
      <c r="K50">
        <v>-0.01</v>
      </c>
    </row>
    <row r="51" spans="1:11" x14ac:dyDescent="0.25">
      <c r="A51" t="s">
        <v>1200</v>
      </c>
      <c r="B51" t="s">
        <v>1201</v>
      </c>
      <c r="C51" t="s">
        <v>631</v>
      </c>
      <c r="D51" t="s">
        <v>772</v>
      </c>
      <c r="E51">
        <v>22095215.899999999</v>
      </c>
      <c r="F51" t="s">
        <v>773</v>
      </c>
      <c r="G51">
        <v>0</v>
      </c>
      <c r="H51">
        <v>0</v>
      </c>
      <c r="I51">
        <v>0</v>
      </c>
      <c r="J51">
        <v>0</v>
      </c>
      <c r="K51">
        <v>22095215.899999999</v>
      </c>
    </row>
    <row r="52" spans="1:11" x14ac:dyDescent="0.25">
      <c r="A52" t="s">
        <v>222</v>
      </c>
      <c r="B52" t="s">
        <v>223</v>
      </c>
      <c r="C52" t="s">
        <v>631</v>
      </c>
      <c r="D52" t="s">
        <v>714</v>
      </c>
      <c r="E52">
        <v>1908664.07</v>
      </c>
      <c r="F52" t="s">
        <v>715</v>
      </c>
      <c r="G52">
        <v>7297185.5099999998</v>
      </c>
      <c r="H52">
        <v>63141.47</v>
      </c>
      <c r="I52">
        <v>0</v>
      </c>
      <c r="J52">
        <v>0</v>
      </c>
      <c r="K52">
        <v>9268991.0500000007</v>
      </c>
    </row>
    <row r="53" spans="1:11" x14ac:dyDescent="0.25">
      <c r="A53" t="s">
        <v>716</v>
      </c>
      <c r="B53" t="s">
        <v>717</v>
      </c>
      <c r="C53" t="s">
        <v>631</v>
      </c>
      <c r="D53" t="s">
        <v>718</v>
      </c>
      <c r="E53">
        <v>0</v>
      </c>
      <c r="F53" t="s">
        <v>719</v>
      </c>
      <c r="G53">
        <v>1268511.24</v>
      </c>
      <c r="H53">
        <v>0</v>
      </c>
      <c r="I53">
        <v>0</v>
      </c>
      <c r="J53">
        <v>0</v>
      </c>
      <c r="K53">
        <v>1268511.24</v>
      </c>
    </row>
    <row r="54" spans="1:11" x14ac:dyDescent="0.25">
      <c r="A54" t="s">
        <v>1202</v>
      </c>
      <c r="B54" t="s">
        <v>1203</v>
      </c>
      <c r="C54" t="s">
        <v>631</v>
      </c>
      <c r="D54" t="s">
        <v>682</v>
      </c>
      <c r="E54">
        <v>1224509.94</v>
      </c>
      <c r="F54" t="s">
        <v>683</v>
      </c>
      <c r="G54">
        <v>0</v>
      </c>
      <c r="H54">
        <v>0</v>
      </c>
      <c r="I54">
        <v>0</v>
      </c>
      <c r="J54">
        <v>0</v>
      </c>
      <c r="K54">
        <v>1224509.94</v>
      </c>
    </row>
    <row r="55" spans="1:11" x14ac:dyDescent="0.25">
      <c r="A55" t="s">
        <v>224</v>
      </c>
      <c r="B55" t="s">
        <v>225</v>
      </c>
      <c r="C55" t="s">
        <v>631</v>
      </c>
      <c r="D55" t="s">
        <v>676</v>
      </c>
      <c r="E55">
        <v>0</v>
      </c>
      <c r="F55" t="s">
        <v>677</v>
      </c>
      <c r="G55">
        <v>0</v>
      </c>
      <c r="H55">
        <v>0</v>
      </c>
      <c r="I55">
        <v>0</v>
      </c>
      <c r="J55">
        <v>217</v>
      </c>
      <c r="K55">
        <v>217</v>
      </c>
    </row>
    <row r="56" spans="1:11" x14ac:dyDescent="0.25">
      <c r="A56" t="s">
        <v>557</v>
      </c>
      <c r="B56" t="s">
        <v>558</v>
      </c>
      <c r="C56" t="s">
        <v>631</v>
      </c>
      <c r="D56" t="s">
        <v>722</v>
      </c>
      <c r="E56">
        <v>0</v>
      </c>
      <c r="F56" t="s">
        <v>723</v>
      </c>
      <c r="G56">
        <v>268800</v>
      </c>
      <c r="H56">
        <v>0</v>
      </c>
      <c r="I56">
        <v>0</v>
      </c>
      <c r="J56">
        <v>0</v>
      </c>
      <c r="K56">
        <v>268800</v>
      </c>
    </row>
    <row r="57" spans="1:11" x14ac:dyDescent="0.25">
      <c r="A57" t="s">
        <v>1204</v>
      </c>
      <c r="B57" t="s">
        <v>1205</v>
      </c>
      <c r="C57" t="s">
        <v>631</v>
      </c>
      <c r="D57" t="s">
        <v>756</v>
      </c>
      <c r="E57">
        <v>1061714.83</v>
      </c>
      <c r="F57" t="s">
        <v>757</v>
      </c>
      <c r="G57">
        <v>0</v>
      </c>
      <c r="H57">
        <v>0</v>
      </c>
      <c r="I57">
        <v>0</v>
      </c>
      <c r="J57">
        <v>0</v>
      </c>
      <c r="K57">
        <v>1061714.83</v>
      </c>
    </row>
    <row r="58" spans="1:11" x14ac:dyDescent="0.25">
      <c r="A58" t="s">
        <v>226</v>
      </c>
      <c r="B58" t="s">
        <v>227</v>
      </c>
      <c r="C58" t="s">
        <v>631</v>
      </c>
      <c r="D58" t="s">
        <v>724</v>
      </c>
      <c r="E58">
        <v>107893.28</v>
      </c>
      <c r="F58" t="s">
        <v>725</v>
      </c>
      <c r="G58">
        <v>347086.08000000002</v>
      </c>
      <c r="H58">
        <v>0</v>
      </c>
      <c r="I58">
        <v>0</v>
      </c>
      <c r="J58">
        <v>0</v>
      </c>
      <c r="K58">
        <v>454979.36</v>
      </c>
    </row>
    <row r="59" spans="1:11" x14ac:dyDescent="0.25">
      <c r="A59" t="s">
        <v>228</v>
      </c>
      <c r="B59" t="s">
        <v>229</v>
      </c>
      <c r="C59" t="s">
        <v>631</v>
      </c>
      <c r="D59" t="s">
        <v>726</v>
      </c>
      <c r="E59">
        <v>20823454.52</v>
      </c>
      <c r="F59" t="s">
        <v>727</v>
      </c>
      <c r="G59">
        <v>29699247.280000001</v>
      </c>
      <c r="H59">
        <v>0</v>
      </c>
      <c r="I59">
        <v>0</v>
      </c>
      <c r="J59">
        <v>0</v>
      </c>
      <c r="K59">
        <v>50522701.799999997</v>
      </c>
    </row>
    <row r="60" spans="1:11" x14ac:dyDescent="0.25">
      <c r="A60" t="s">
        <v>1206</v>
      </c>
      <c r="B60" t="s">
        <v>1207</v>
      </c>
      <c r="C60" t="s">
        <v>631</v>
      </c>
      <c r="D60" t="s">
        <v>872</v>
      </c>
      <c r="E60">
        <v>1817783</v>
      </c>
      <c r="F60" t="s">
        <v>873</v>
      </c>
      <c r="G60">
        <v>0</v>
      </c>
      <c r="H60">
        <v>0</v>
      </c>
      <c r="I60">
        <v>0</v>
      </c>
      <c r="J60">
        <v>0</v>
      </c>
      <c r="K60">
        <v>1817783</v>
      </c>
    </row>
    <row r="61" spans="1:11" x14ac:dyDescent="0.25">
      <c r="A61" t="s">
        <v>230</v>
      </c>
      <c r="B61" t="s">
        <v>231</v>
      </c>
      <c r="C61" t="s">
        <v>631</v>
      </c>
      <c r="D61" t="s">
        <v>732</v>
      </c>
      <c r="E61">
        <v>0</v>
      </c>
      <c r="F61" t="s">
        <v>733</v>
      </c>
      <c r="G61">
        <v>25496800</v>
      </c>
      <c r="H61">
        <v>0</v>
      </c>
      <c r="I61">
        <v>100000000</v>
      </c>
      <c r="J61">
        <v>0</v>
      </c>
      <c r="K61">
        <v>125496800</v>
      </c>
    </row>
    <row r="62" spans="1:11" x14ac:dyDescent="0.25">
      <c r="A62" t="s">
        <v>232</v>
      </c>
      <c r="B62" t="s">
        <v>233</v>
      </c>
      <c r="C62" t="s">
        <v>631</v>
      </c>
      <c r="D62" t="s">
        <v>734</v>
      </c>
      <c r="E62">
        <v>10933251.08</v>
      </c>
      <c r="F62" t="s">
        <v>735</v>
      </c>
      <c r="G62">
        <v>173328118.06999999</v>
      </c>
      <c r="H62">
        <v>343409756.85000002</v>
      </c>
      <c r="I62">
        <v>0</v>
      </c>
      <c r="J62">
        <v>0</v>
      </c>
      <c r="K62">
        <v>527671126</v>
      </c>
    </row>
    <row r="63" spans="1:11" x14ac:dyDescent="0.25">
      <c r="A63" t="s">
        <v>234</v>
      </c>
      <c r="B63" t="s">
        <v>233</v>
      </c>
      <c r="C63" t="s">
        <v>631</v>
      </c>
      <c r="D63" t="s">
        <v>734</v>
      </c>
      <c r="E63">
        <v>88922555.189999998</v>
      </c>
      <c r="F63" t="s">
        <v>735</v>
      </c>
      <c r="G63">
        <v>62399883.490000002</v>
      </c>
      <c r="H63">
        <v>0</v>
      </c>
      <c r="I63">
        <v>0</v>
      </c>
      <c r="J63">
        <v>0</v>
      </c>
      <c r="K63">
        <v>151322438.68000001</v>
      </c>
    </row>
    <row r="64" spans="1:11" x14ac:dyDescent="0.25">
      <c r="A64" t="s">
        <v>235</v>
      </c>
      <c r="B64" t="s">
        <v>233</v>
      </c>
      <c r="C64" t="s">
        <v>631</v>
      </c>
      <c r="D64" t="s">
        <v>734</v>
      </c>
      <c r="E64">
        <v>59083737.549999997</v>
      </c>
      <c r="F64" t="s">
        <v>735</v>
      </c>
      <c r="G64">
        <v>66715242.869999997</v>
      </c>
      <c r="H64">
        <v>0</v>
      </c>
      <c r="I64">
        <v>0</v>
      </c>
      <c r="J64">
        <v>0</v>
      </c>
      <c r="K64">
        <v>125798980.42</v>
      </c>
    </row>
    <row r="65" spans="1:11" x14ac:dyDescent="0.25">
      <c r="A65" t="s">
        <v>236</v>
      </c>
      <c r="B65" t="s">
        <v>237</v>
      </c>
      <c r="C65" t="s">
        <v>631</v>
      </c>
      <c r="D65" t="s">
        <v>736</v>
      </c>
      <c r="E65">
        <v>0</v>
      </c>
      <c r="F65" t="s">
        <v>737</v>
      </c>
      <c r="G65">
        <v>0</v>
      </c>
      <c r="H65">
        <v>0</v>
      </c>
      <c r="I65">
        <v>0</v>
      </c>
      <c r="J65">
        <v>4157535.95</v>
      </c>
      <c r="K65">
        <v>4157535.95</v>
      </c>
    </row>
    <row r="66" spans="1:11" x14ac:dyDescent="0.25">
      <c r="A66" t="s">
        <v>1208</v>
      </c>
      <c r="B66" t="s">
        <v>1209</v>
      </c>
      <c r="C66" t="s">
        <v>631</v>
      </c>
      <c r="D66" t="s">
        <v>736</v>
      </c>
      <c r="E66">
        <v>157300</v>
      </c>
      <c r="F66" t="s">
        <v>737</v>
      </c>
      <c r="G66">
        <v>0</v>
      </c>
      <c r="H66">
        <v>0</v>
      </c>
      <c r="I66">
        <v>0</v>
      </c>
      <c r="J66">
        <v>0</v>
      </c>
      <c r="K66">
        <v>157300</v>
      </c>
    </row>
    <row r="67" spans="1:11" x14ac:dyDescent="0.25">
      <c r="A67" t="s">
        <v>238</v>
      </c>
      <c r="B67" t="s">
        <v>239</v>
      </c>
      <c r="C67" t="s">
        <v>631</v>
      </c>
      <c r="D67" t="s">
        <v>668</v>
      </c>
      <c r="E67">
        <v>0</v>
      </c>
      <c r="F67" t="s">
        <v>669</v>
      </c>
      <c r="G67">
        <v>5436365.2400000002</v>
      </c>
      <c r="H67">
        <v>0</v>
      </c>
      <c r="I67">
        <v>0</v>
      </c>
      <c r="J67">
        <v>0</v>
      </c>
      <c r="K67">
        <v>5436365.2400000002</v>
      </c>
    </row>
    <row r="68" spans="1:11" x14ac:dyDescent="0.25">
      <c r="A68" t="s">
        <v>240</v>
      </c>
      <c r="B68" t="s">
        <v>241</v>
      </c>
      <c r="C68" t="s">
        <v>631</v>
      </c>
      <c r="D68" t="s">
        <v>738</v>
      </c>
      <c r="E68">
        <v>0</v>
      </c>
      <c r="F68" t="s">
        <v>739</v>
      </c>
      <c r="G68">
        <v>2031096.08</v>
      </c>
      <c r="H68">
        <v>0</v>
      </c>
      <c r="I68">
        <v>0</v>
      </c>
      <c r="J68">
        <v>0</v>
      </c>
      <c r="K68">
        <v>2031096.08</v>
      </c>
    </row>
    <row r="69" spans="1:11" x14ac:dyDescent="0.25">
      <c r="A69" t="s">
        <v>242</v>
      </c>
      <c r="B69" t="s">
        <v>243</v>
      </c>
      <c r="C69" t="s">
        <v>631</v>
      </c>
      <c r="D69" t="s">
        <v>740</v>
      </c>
      <c r="E69">
        <v>0</v>
      </c>
      <c r="F69" t="s">
        <v>741</v>
      </c>
      <c r="G69">
        <v>0</v>
      </c>
      <c r="H69">
        <v>0</v>
      </c>
      <c r="I69">
        <v>0</v>
      </c>
      <c r="J69">
        <v>-204.43</v>
      </c>
      <c r="K69">
        <v>-204.43</v>
      </c>
    </row>
    <row r="70" spans="1:11" x14ac:dyDescent="0.25">
      <c r="A70" t="s">
        <v>246</v>
      </c>
      <c r="B70" t="s">
        <v>247</v>
      </c>
      <c r="C70" t="s">
        <v>631</v>
      </c>
      <c r="D70" t="s">
        <v>658</v>
      </c>
      <c r="E70">
        <v>3896663.63</v>
      </c>
      <c r="F70" t="s">
        <v>659</v>
      </c>
      <c r="G70">
        <v>23109753.030000001</v>
      </c>
      <c r="H70">
        <v>0</v>
      </c>
      <c r="I70">
        <v>0</v>
      </c>
      <c r="J70">
        <v>0</v>
      </c>
      <c r="K70">
        <v>27006416.66</v>
      </c>
    </row>
    <row r="71" spans="1:11" x14ac:dyDescent="0.25">
      <c r="A71" t="s">
        <v>250</v>
      </c>
      <c r="B71" t="s">
        <v>251</v>
      </c>
      <c r="C71" t="s">
        <v>631</v>
      </c>
      <c r="D71" t="s">
        <v>742</v>
      </c>
      <c r="E71">
        <v>2845448.12</v>
      </c>
      <c r="F71" t="s">
        <v>743</v>
      </c>
      <c r="G71">
        <v>0</v>
      </c>
      <c r="H71">
        <v>478343.25</v>
      </c>
      <c r="I71">
        <v>0</v>
      </c>
      <c r="J71">
        <v>0</v>
      </c>
      <c r="K71">
        <v>3323791.37</v>
      </c>
    </row>
    <row r="72" spans="1:11" x14ac:dyDescent="0.25">
      <c r="A72" t="s">
        <v>252</v>
      </c>
      <c r="B72" t="s">
        <v>253</v>
      </c>
      <c r="C72" t="s">
        <v>631</v>
      </c>
      <c r="D72" t="s">
        <v>748</v>
      </c>
      <c r="E72">
        <v>771364.72</v>
      </c>
      <c r="F72" t="s">
        <v>749</v>
      </c>
      <c r="G72">
        <v>9962346.4399999995</v>
      </c>
      <c r="H72">
        <v>0</v>
      </c>
      <c r="I72">
        <v>0</v>
      </c>
      <c r="J72">
        <v>0</v>
      </c>
      <c r="K72">
        <v>10733711.16</v>
      </c>
    </row>
    <row r="73" spans="1:11" x14ac:dyDescent="0.25">
      <c r="A73" t="s">
        <v>254</v>
      </c>
      <c r="B73" t="s">
        <v>255</v>
      </c>
      <c r="C73" t="s">
        <v>631</v>
      </c>
      <c r="D73" t="s">
        <v>750</v>
      </c>
      <c r="E73">
        <v>0</v>
      </c>
      <c r="F73" t="s">
        <v>751</v>
      </c>
      <c r="G73">
        <v>3845715.03</v>
      </c>
      <c r="H73">
        <v>0</v>
      </c>
      <c r="I73">
        <v>0</v>
      </c>
      <c r="J73">
        <v>0</v>
      </c>
      <c r="K73">
        <v>3845715.03</v>
      </c>
    </row>
    <row r="74" spans="1:11" x14ac:dyDescent="0.25">
      <c r="A74" t="s">
        <v>256</v>
      </c>
      <c r="B74" t="s">
        <v>257</v>
      </c>
      <c r="C74" t="s">
        <v>631</v>
      </c>
      <c r="D74" t="s">
        <v>694</v>
      </c>
      <c r="E74">
        <v>718885.75</v>
      </c>
      <c r="F74" t="s">
        <v>695</v>
      </c>
      <c r="G74">
        <v>1246324.94</v>
      </c>
      <c r="H74">
        <v>1493843.2</v>
      </c>
      <c r="I74">
        <v>0</v>
      </c>
      <c r="J74">
        <v>0</v>
      </c>
      <c r="K74">
        <v>3459053.89</v>
      </c>
    </row>
    <row r="75" spans="1:11" x14ac:dyDescent="0.25">
      <c r="A75" t="s">
        <v>559</v>
      </c>
      <c r="B75" t="s">
        <v>560</v>
      </c>
      <c r="C75" t="s">
        <v>631</v>
      </c>
      <c r="D75" t="s">
        <v>752</v>
      </c>
      <c r="E75">
        <v>50444.9</v>
      </c>
      <c r="F75" t="s">
        <v>753</v>
      </c>
      <c r="G75">
        <v>0</v>
      </c>
      <c r="H75">
        <v>0</v>
      </c>
      <c r="I75">
        <v>0</v>
      </c>
      <c r="J75">
        <v>0</v>
      </c>
      <c r="K75">
        <v>50444.9</v>
      </c>
    </row>
    <row r="76" spans="1:11" x14ac:dyDescent="0.25">
      <c r="A76" t="s">
        <v>258</v>
      </c>
      <c r="B76" t="s">
        <v>259</v>
      </c>
      <c r="C76" t="s">
        <v>631</v>
      </c>
      <c r="D76" t="s">
        <v>658</v>
      </c>
      <c r="E76">
        <v>863525.95</v>
      </c>
      <c r="F76" t="s">
        <v>659</v>
      </c>
      <c r="G76">
        <v>0</v>
      </c>
      <c r="H76">
        <v>0</v>
      </c>
      <c r="I76">
        <v>0</v>
      </c>
      <c r="J76">
        <v>0</v>
      </c>
      <c r="K76">
        <v>863525.95</v>
      </c>
    </row>
    <row r="77" spans="1:11" x14ac:dyDescent="0.25">
      <c r="A77" t="s">
        <v>260</v>
      </c>
      <c r="B77" t="s">
        <v>261</v>
      </c>
      <c r="C77" t="s">
        <v>631</v>
      </c>
      <c r="D77" t="s">
        <v>658</v>
      </c>
      <c r="E77">
        <v>1725192.82</v>
      </c>
      <c r="F77" t="s">
        <v>659</v>
      </c>
      <c r="G77">
        <v>5189513.66</v>
      </c>
      <c r="H77">
        <v>0</v>
      </c>
      <c r="I77">
        <v>0</v>
      </c>
      <c r="J77">
        <v>0</v>
      </c>
      <c r="K77">
        <v>6914706.4800000004</v>
      </c>
    </row>
    <row r="78" spans="1:11" x14ac:dyDescent="0.25">
      <c r="A78" t="s">
        <v>1210</v>
      </c>
      <c r="B78" t="s">
        <v>1211</v>
      </c>
      <c r="C78" t="s">
        <v>631</v>
      </c>
      <c r="D78" t="s">
        <v>852</v>
      </c>
      <c r="E78">
        <v>248511895.97999999</v>
      </c>
      <c r="F78" t="s">
        <v>853</v>
      </c>
      <c r="G78">
        <v>0</v>
      </c>
      <c r="H78">
        <v>0</v>
      </c>
      <c r="I78">
        <v>0</v>
      </c>
      <c r="J78">
        <v>0</v>
      </c>
      <c r="K78">
        <v>248511895.97999999</v>
      </c>
    </row>
    <row r="79" spans="1:11" x14ac:dyDescent="0.25">
      <c r="A79" t="s">
        <v>754</v>
      </c>
      <c r="B79" t="s">
        <v>755</v>
      </c>
      <c r="C79" t="s">
        <v>631</v>
      </c>
      <c r="D79" t="s">
        <v>756</v>
      </c>
      <c r="E79">
        <v>0</v>
      </c>
      <c r="F79" t="s">
        <v>757</v>
      </c>
      <c r="G79">
        <v>5800000</v>
      </c>
      <c r="H79">
        <v>0</v>
      </c>
      <c r="I79">
        <v>0</v>
      </c>
      <c r="J79">
        <v>0</v>
      </c>
      <c r="K79">
        <v>5800000</v>
      </c>
    </row>
    <row r="80" spans="1:11" x14ac:dyDescent="0.25">
      <c r="A80" t="s">
        <v>262</v>
      </c>
      <c r="B80" t="s">
        <v>263</v>
      </c>
      <c r="C80" t="s">
        <v>631</v>
      </c>
      <c r="D80" t="s">
        <v>758</v>
      </c>
      <c r="E80">
        <v>22990</v>
      </c>
      <c r="F80" t="s">
        <v>759</v>
      </c>
      <c r="G80">
        <v>27970384.989999998</v>
      </c>
      <c r="H80">
        <v>30031239.93</v>
      </c>
      <c r="I80">
        <v>0</v>
      </c>
      <c r="J80">
        <v>0</v>
      </c>
      <c r="K80">
        <v>58024614.920000002</v>
      </c>
    </row>
    <row r="81" spans="1:11" x14ac:dyDescent="0.25">
      <c r="A81" t="s">
        <v>264</v>
      </c>
      <c r="B81" t="s">
        <v>265</v>
      </c>
      <c r="C81" t="s">
        <v>631</v>
      </c>
      <c r="D81" t="s">
        <v>760</v>
      </c>
      <c r="E81">
        <v>0</v>
      </c>
      <c r="F81" t="s">
        <v>761</v>
      </c>
      <c r="G81">
        <v>1180000</v>
      </c>
      <c r="H81">
        <v>0</v>
      </c>
      <c r="I81">
        <v>0</v>
      </c>
      <c r="J81">
        <v>0</v>
      </c>
      <c r="K81">
        <v>1180000</v>
      </c>
    </row>
    <row r="82" spans="1:11" x14ac:dyDescent="0.25">
      <c r="A82" t="s">
        <v>266</v>
      </c>
      <c r="B82" t="s">
        <v>267</v>
      </c>
      <c r="C82" t="s">
        <v>631</v>
      </c>
      <c r="D82" t="s">
        <v>742</v>
      </c>
      <c r="E82">
        <v>655166.6</v>
      </c>
      <c r="F82" t="s">
        <v>743</v>
      </c>
      <c r="G82">
        <v>5161649.46</v>
      </c>
      <c r="H82">
        <v>0</v>
      </c>
      <c r="I82">
        <v>0</v>
      </c>
      <c r="J82">
        <v>0</v>
      </c>
      <c r="K82">
        <v>5816816.0599999996</v>
      </c>
    </row>
    <row r="83" spans="1:11" x14ac:dyDescent="0.25">
      <c r="A83" t="s">
        <v>1212</v>
      </c>
      <c r="B83" t="s">
        <v>1213</v>
      </c>
      <c r="C83" t="s">
        <v>631</v>
      </c>
      <c r="D83" t="s">
        <v>1214</v>
      </c>
      <c r="E83">
        <v>0</v>
      </c>
      <c r="F83" t="s">
        <v>1215</v>
      </c>
      <c r="G83">
        <v>124011.22</v>
      </c>
      <c r="H83">
        <v>0</v>
      </c>
      <c r="I83">
        <v>0</v>
      </c>
      <c r="J83">
        <v>0</v>
      </c>
      <c r="K83">
        <v>124011.22</v>
      </c>
    </row>
    <row r="84" spans="1:11" x14ac:dyDescent="0.25">
      <c r="A84" t="s">
        <v>268</v>
      </c>
      <c r="B84" t="s">
        <v>269</v>
      </c>
      <c r="C84" t="s">
        <v>631</v>
      </c>
      <c r="D84" t="s">
        <v>718</v>
      </c>
      <c r="E84">
        <v>0</v>
      </c>
      <c r="F84" t="s">
        <v>719</v>
      </c>
      <c r="G84">
        <v>0</v>
      </c>
      <c r="H84">
        <v>11499840</v>
      </c>
      <c r="I84">
        <v>0</v>
      </c>
      <c r="J84">
        <v>0</v>
      </c>
      <c r="K84">
        <v>11499840</v>
      </c>
    </row>
    <row r="85" spans="1:11" x14ac:dyDescent="0.25">
      <c r="A85" t="s">
        <v>270</v>
      </c>
      <c r="B85" t="s">
        <v>271</v>
      </c>
      <c r="C85" t="s">
        <v>631</v>
      </c>
      <c r="D85" t="s">
        <v>676</v>
      </c>
      <c r="E85">
        <v>0</v>
      </c>
      <c r="F85" t="s">
        <v>677</v>
      </c>
      <c r="G85">
        <v>2090000</v>
      </c>
      <c r="H85">
        <v>0</v>
      </c>
      <c r="I85">
        <v>0</v>
      </c>
      <c r="J85">
        <v>0</v>
      </c>
      <c r="K85">
        <v>2090000</v>
      </c>
    </row>
    <row r="86" spans="1:11" x14ac:dyDescent="0.25">
      <c r="A86" t="s">
        <v>272</v>
      </c>
      <c r="B86" t="s">
        <v>273</v>
      </c>
      <c r="C86" t="s">
        <v>631</v>
      </c>
      <c r="D86" t="s">
        <v>756</v>
      </c>
      <c r="E86">
        <v>2861000.23</v>
      </c>
      <c r="F86" t="s">
        <v>757</v>
      </c>
      <c r="G86">
        <v>15218202.67</v>
      </c>
      <c r="H86">
        <v>0</v>
      </c>
      <c r="I86">
        <v>0</v>
      </c>
      <c r="J86">
        <v>0</v>
      </c>
      <c r="K86">
        <v>18079202.899999999</v>
      </c>
    </row>
    <row r="87" spans="1:11" x14ac:dyDescent="0.25">
      <c r="A87" t="s">
        <v>274</v>
      </c>
      <c r="B87" t="s">
        <v>275</v>
      </c>
      <c r="C87" t="s">
        <v>631</v>
      </c>
      <c r="D87" t="s">
        <v>762</v>
      </c>
      <c r="E87">
        <v>21308.1</v>
      </c>
      <c r="F87" t="s">
        <v>763</v>
      </c>
      <c r="G87">
        <v>7091309.0599999996</v>
      </c>
      <c r="H87">
        <v>0</v>
      </c>
      <c r="I87">
        <v>0</v>
      </c>
      <c r="J87">
        <v>0</v>
      </c>
      <c r="K87">
        <v>7112617.1600000001</v>
      </c>
    </row>
    <row r="88" spans="1:11" x14ac:dyDescent="0.25">
      <c r="A88" t="s">
        <v>276</v>
      </c>
      <c r="B88" t="s">
        <v>277</v>
      </c>
      <c r="C88" t="s">
        <v>631</v>
      </c>
      <c r="D88" t="s">
        <v>764</v>
      </c>
      <c r="E88">
        <v>743888.26</v>
      </c>
      <c r="F88" t="s">
        <v>765</v>
      </c>
      <c r="G88">
        <v>5314099.8</v>
      </c>
      <c r="H88">
        <v>0</v>
      </c>
      <c r="I88">
        <v>0</v>
      </c>
      <c r="J88">
        <v>0</v>
      </c>
      <c r="K88">
        <v>6057988.0599999996</v>
      </c>
    </row>
    <row r="89" spans="1:11" x14ac:dyDescent="0.25">
      <c r="A89" t="s">
        <v>278</v>
      </c>
      <c r="B89" t="s">
        <v>279</v>
      </c>
      <c r="C89" t="s">
        <v>631</v>
      </c>
      <c r="D89" t="s">
        <v>638</v>
      </c>
      <c r="E89">
        <v>218370.33</v>
      </c>
      <c r="F89" t="s">
        <v>639</v>
      </c>
      <c r="G89">
        <v>1615718.04</v>
      </c>
      <c r="H89">
        <v>0</v>
      </c>
      <c r="I89">
        <v>0</v>
      </c>
      <c r="J89">
        <v>0</v>
      </c>
      <c r="K89">
        <v>1834088.37</v>
      </c>
    </row>
    <row r="90" spans="1:11" x14ac:dyDescent="0.25">
      <c r="A90" t="s">
        <v>280</v>
      </c>
      <c r="B90" t="s">
        <v>281</v>
      </c>
      <c r="C90" t="s">
        <v>631</v>
      </c>
      <c r="D90" t="s">
        <v>676</v>
      </c>
      <c r="E90">
        <v>0</v>
      </c>
      <c r="F90" t="s">
        <v>677</v>
      </c>
      <c r="G90">
        <v>0</v>
      </c>
      <c r="H90">
        <v>90750</v>
      </c>
      <c r="I90">
        <v>0</v>
      </c>
      <c r="J90">
        <v>0</v>
      </c>
      <c r="K90">
        <v>90750</v>
      </c>
    </row>
    <row r="91" spans="1:11" x14ac:dyDescent="0.25">
      <c r="A91" t="s">
        <v>561</v>
      </c>
      <c r="B91" t="s">
        <v>562</v>
      </c>
      <c r="C91" t="s">
        <v>631</v>
      </c>
      <c r="D91" t="s">
        <v>766</v>
      </c>
      <c r="E91">
        <v>0</v>
      </c>
      <c r="F91" t="s">
        <v>767</v>
      </c>
      <c r="G91">
        <v>223999.99</v>
      </c>
      <c r="H91">
        <v>0</v>
      </c>
      <c r="I91">
        <v>0</v>
      </c>
      <c r="J91">
        <v>0</v>
      </c>
      <c r="K91">
        <v>223999.99</v>
      </c>
    </row>
    <row r="92" spans="1:11" x14ac:dyDescent="0.25">
      <c r="A92" t="s">
        <v>282</v>
      </c>
      <c r="B92" t="s">
        <v>283</v>
      </c>
      <c r="C92" t="s">
        <v>631</v>
      </c>
      <c r="D92" t="s">
        <v>634</v>
      </c>
      <c r="E92">
        <v>715981.2</v>
      </c>
      <c r="F92" t="s">
        <v>635</v>
      </c>
      <c r="G92">
        <v>0</v>
      </c>
      <c r="H92">
        <v>0</v>
      </c>
      <c r="I92">
        <v>0</v>
      </c>
      <c r="J92">
        <v>0</v>
      </c>
      <c r="K92">
        <v>715981.2</v>
      </c>
    </row>
    <row r="93" spans="1:11" x14ac:dyDescent="0.25">
      <c r="A93" t="s">
        <v>284</v>
      </c>
      <c r="B93" t="s">
        <v>285</v>
      </c>
      <c r="C93" t="s">
        <v>631</v>
      </c>
      <c r="D93" t="s">
        <v>738</v>
      </c>
      <c r="E93">
        <v>0</v>
      </c>
      <c r="F93" t="s">
        <v>739</v>
      </c>
      <c r="G93">
        <v>0</v>
      </c>
      <c r="H93">
        <v>0</v>
      </c>
      <c r="I93">
        <v>290181.01</v>
      </c>
      <c r="J93">
        <v>0</v>
      </c>
      <c r="K93">
        <v>290181.01</v>
      </c>
    </row>
    <row r="94" spans="1:11" x14ac:dyDescent="0.25">
      <c r="A94" t="s">
        <v>286</v>
      </c>
      <c r="B94" t="s">
        <v>287</v>
      </c>
      <c r="C94" t="s">
        <v>631</v>
      </c>
      <c r="D94" t="s">
        <v>694</v>
      </c>
      <c r="E94">
        <v>0</v>
      </c>
      <c r="F94" t="s">
        <v>695</v>
      </c>
      <c r="G94">
        <v>6409121.7400000002</v>
      </c>
      <c r="H94">
        <v>0</v>
      </c>
      <c r="I94">
        <v>0</v>
      </c>
      <c r="J94">
        <v>0</v>
      </c>
      <c r="K94">
        <v>6409121.7400000002</v>
      </c>
    </row>
    <row r="95" spans="1:11" x14ac:dyDescent="0.25">
      <c r="A95" t="s">
        <v>288</v>
      </c>
      <c r="B95" t="s">
        <v>289</v>
      </c>
      <c r="C95" t="s">
        <v>631</v>
      </c>
      <c r="D95" t="s">
        <v>702</v>
      </c>
      <c r="E95">
        <v>1159012.69</v>
      </c>
      <c r="F95" t="s">
        <v>703</v>
      </c>
      <c r="G95">
        <v>1005421.38</v>
      </c>
      <c r="H95">
        <v>0</v>
      </c>
      <c r="I95">
        <v>0</v>
      </c>
      <c r="J95">
        <v>0</v>
      </c>
      <c r="K95">
        <v>2164434.0699999998</v>
      </c>
    </row>
    <row r="96" spans="1:11" x14ac:dyDescent="0.25">
      <c r="A96" t="s">
        <v>290</v>
      </c>
      <c r="B96" t="s">
        <v>291</v>
      </c>
      <c r="C96" t="s">
        <v>631</v>
      </c>
      <c r="D96" t="s">
        <v>772</v>
      </c>
      <c r="E96">
        <v>58715303.549999997</v>
      </c>
      <c r="F96" t="s">
        <v>773</v>
      </c>
      <c r="G96">
        <v>86993905.680000007</v>
      </c>
      <c r="H96">
        <v>0</v>
      </c>
      <c r="I96">
        <v>0</v>
      </c>
      <c r="J96">
        <v>0</v>
      </c>
      <c r="K96">
        <v>145709209.22999999</v>
      </c>
    </row>
    <row r="97" spans="1:11" x14ac:dyDescent="0.25">
      <c r="A97" t="s">
        <v>292</v>
      </c>
      <c r="B97" t="s">
        <v>293</v>
      </c>
      <c r="C97" t="s">
        <v>631</v>
      </c>
      <c r="D97" t="s">
        <v>774</v>
      </c>
      <c r="E97">
        <v>563200</v>
      </c>
      <c r="F97" t="s">
        <v>775</v>
      </c>
      <c r="G97">
        <v>3103880.01</v>
      </c>
      <c r="H97">
        <v>0</v>
      </c>
      <c r="I97">
        <v>0</v>
      </c>
      <c r="J97">
        <v>0</v>
      </c>
      <c r="K97">
        <v>3667080.01</v>
      </c>
    </row>
    <row r="98" spans="1:11" x14ac:dyDescent="0.25">
      <c r="A98" t="s">
        <v>1216</v>
      </c>
      <c r="B98" t="s">
        <v>1217</v>
      </c>
      <c r="C98" t="s">
        <v>631</v>
      </c>
      <c r="D98" t="s">
        <v>764</v>
      </c>
      <c r="E98">
        <v>396095.42</v>
      </c>
      <c r="F98" t="s">
        <v>765</v>
      </c>
      <c r="G98">
        <v>0</v>
      </c>
      <c r="H98">
        <v>0</v>
      </c>
      <c r="I98">
        <v>0</v>
      </c>
      <c r="J98">
        <v>0</v>
      </c>
      <c r="K98">
        <v>396095.42</v>
      </c>
    </row>
    <row r="99" spans="1:11" x14ac:dyDescent="0.25">
      <c r="A99" t="s">
        <v>1218</v>
      </c>
      <c r="B99" t="s">
        <v>1219</v>
      </c>
      <c r="C99" t="s">
        <v>631</v>
      </c>
      <c r="D99" t="s">
        <v>652</v>
      </c>
      <c r="E99">
        <v>846600.7</v>
      </c>
      <c r="F99" t="s">
        <v>653</v>
      </c>
      <c r="G99">
        <v>0</v>
      </c>
      <c r="H99">
        <v>0</v>
      </c>
      <c r="I99">
        <v>0</v>
      </c>
      <c r="J99">
        <v>0</v>
      </c>
      <c r="K99">
        <v>846600.7</v>
      </c>
    </row>
    <row r="100" spans="1:11" x14ac:dyDescent="0.25">
      <c r="A100" t="s">
        <v>294</v>
      </c>
      <c r="B100" t="s">
        <v>295</v>
      </c>
      <c r="C100" t="s">
        <v>631</v>
      </c>
      <c r="D100" t="s">
        <v>668</v>
      </c>
      <c r="E100">
        <v>780000</v>
      </c>
      <c r="F100" t="s">
        <v>669</v>
      </c>
      <c r="G100">
        <v>780000</v>
      </c>
      <c r="H100">
        <v>0</v>
      </c>
      <c r="I100">
        <v>0</v>
      </c>
      <c r="J100">
        <v>0</v>
      </c>
      <c r="K100">
        <v>1560000</v>
      </c>
    </row>
    <row r="101" spans="1:11" x14ac:dyDescent="0.25">
      <c r="A101" t="s">
        <v>296</v>
      </c>
      <c r="B101" t="s">
        <v>297</v>
      </c>
      <c r="C101" t="s">
        <v>631</v>
      </c>
      <c r="D101" t="s">
        <v>776</v>
      </c>
      <c r="E101">
        <v>0</v>
      </c>
      <c r="F101" t="s">
        <v>777</v>
      </c>
      <c r="G101">
        <v>180000</v>
      </c>
      <c r="H101">
        <v>0</v>
      </c>
      <c r="I101">
        <v>0</v>
      </c>
      <c r="J101">
        <v>0</v>
      </c>
      <c r="K101">
        <v>180000</v>
      </c>
    </row>
    <row r="102" spans="1:11" x14ac:dyDescent="0.25">
      <c r="A102" t="s">
        <v>298</v>
      </c>
      <c r="B102" t="s">
        <v>299</v>
      </c>
      <c r="C102" t="s">
        <v>631</v>
      </c>
      <c r="D102" t="s">
        <v>778</v>
      </c>
      <c r="E102">
        <v>0</v>
      </c>
      <c r="F102" t="s">
        <v>779</v>
      </c>
      <c r="G102">
        <v>0</v>
      </c>
      <c r="H102">
        <v>0</v>
      </c>
      <c r="I102">
        <v>0.02</v>
      </c>
      <c r="J102">
        <v>0</v>
      </c>
      <c r="K102">
        <v>0.02</v>
      </c>
    </row>
    <row r="103" spans="1:11" x14ac:dyDescent="0.25">
      <c r="A103" t="s">
        <v>300</v>
      </c>
      <c r="B103" t="s">
        <v>301</v>
      </c>
      <c r="C103" t="s">
        <v>631</v>
      </c>
      <c r="D103" t="s">
        <v>780</v>
      </c>
      <c r="E103">
        <v>0</v>
      </c>
      <c r="F103" t="s">
        <v>781</v>
      </c>
      <c r="G103">
        <v>755040</v>
      </c>
      <c r="H103">
        <v>2633081</v>
      </c>
      <c r="I103">
        <v>0</v>
      </c>
      <c r="J103">
        <v>0</v>
      </c>
      <c r="K103">
        <v>3388121</v>
      </c>
    </row>
    <row r="104" spans="1:11" x14ac:dyDescent="0.25">
      <c r="A104" t="s">
        <v>1220</v>
      </c>
      <c r="B104" t="s">
        <v>1221</v>
      </c>
      <c r="C104" t="s">
        <v>631</v>
      </c>
      <c r="D104" t="s">
        <v>718</v>
      </c>
      <c r="E104">
        <v>4147260.48</v>
      </c>
      <c r="F104" t="s">
        <v>719</v>
      </c>
      <c r="G104">
        <v>0</v>
      </c>
      <c r="H104">
        <v>0</v>
      </c>
      <c r="I104">
        <v>0</v>
      </c>
      <c r="J104">
        <v>0</v>
      </c>
      <c r="K104">
        <v>4147260.48</v>
      </c>
    </row>
    <row r="105" spans="1:11" x14ac:dyDescent="0.25">
      <c r="A105" t="s">
        <v>302</v>
      </c>
      <c r="B105" t="s">
        <v>303</v>
      </c>
      <c r="C105" t="s">
        <v>631</v>
      </c>
      <c r="D105" t="s">
        <v>760</v>
      </c>
      <c r="E105">
        <v>3909026</v>
      </c>
      <c r="F105" t="s">
        <v>761</v>
      </c>
      <c r="G105">
        <v>935088</v>
      </c>
      <c r="H105">
        <v>0</v>
      </c>
      <c r="I105">
        <v>0</v>
      </c>
      <c r="J105">
        <v>0</v>
      </c>
      <c r="K105">
        <v>4844114</v>
      </c>
    </row>
    <row r="106" spans="1:11" x14ac:dyDescent="0.25">
      <c r="A106" t="s">
        <v>304</v>
      </c>
      <c r="B106" t="s">
        <v>305</v>
      </c>
      <c r="C106" t="s">
        <v>631</v>
      </c>
      <c r="D106" t="s">
        <v>764</v>
      </c>
      <c r="E106">
        <v>0</v>
      </c>
      <c r="F106" t="s">
        <v>765</v>
      </c>
      <c r="G106">
        <v>196641.25</v>
      </c>
      <c r="H106">
        <v>62731.58</v>
      </c>
      <c r="I106">
        <v>0</v>
      </c>
      <c r="J106">
        <v>0</v>
      </c>
      <c r="K106">
        <v>259372.83</v>
      </c>
    </row>
    <row r="107" spans="1:11" x14ac:dyDescent="0.25">
      <c r="A107" t="s">
        <v>563</v>
      </c>
      <c r="B107" t="s">
        <v>564</v>
      </c>
      <c r="C107" t="s">
        <v>631</v>
      </c>
      <c r="D107" t="s">
        <v>782</v>
      </c>
      <c r="E107">
        <v>0</v>
      </c>
      <c r="F107" t="s">
        <v>783</v>
      </c>
      <c r="G107">
        <v>790000</v>
      </c>
      <c r="H107">
        <v>0</v>
      </c>
      <c r="I107">
        <v>0</v>
      </c>
      <c r="J107">
        <v>0</v>
      </c>
      <c r="K107">
        <v>790000</v>
      </c>
    </row>
    <row r="108" spans="1:11" x14ac:dyDescent="0.25">
      <c r="A108" t="s">
        <v>1222</v>
      </c>
      <c r="B108" t="s">
        <v>1223</v>
      </c>
      <c r="C108" t="s">
        <v>631</v>
      </c>
      <c r="D108" t="s">
        <v>724</v>
      </c>
      <c r="E108">
        <v>1125805.95</v>
      </c>
      <c r="F108" t="s">
        <v>725</v>
      </c>
      <c r="G108">
        <v>0</v>
      </c>
      <c r="H108">
        <v>0</v>
      </c>
      <c r="I108">
        <v>0</v>
      </c>
      <c r="J108">
        <v>0</v>
      </c>
      <c r="K108">
        <v>1125805.95</v>
      </c>
    </row>
    <row r="109" spans="1:11" x14ac:dyDescent="0.25">
      <c r="A109" t="s">
        <v>306</v>
      </c>
      <c r="B109" t="s">
        <v>307</v>
      </c>
      <c r="C109" t="s">
        <v>631</v>
      </c>
      <c r="D109" t="s">
        <v>652</v>
      </c>
      <c r="E109">
        <v>0</v>
      </c>
      <c r="F109" t="s">
        <v>653</v>
      </c>
      <c r="G109">
        <v>1633500</v>
      </c>
      <c r="H109">
        <v>0</v>
      </c>
      <c r="I109">
        <v>0</v>
      </c>
      <c r="J109">
        <v>0</v>
      </c>
      <c r="K109">
        <v>1633500</v>
      </c>
    </row>
    <row r="110" spans="1:11" x14ac:dyDescent="0.25">
      <c r="A110" t="s">
        <v>308</v>
      </c>
      <c r="B110" t="s">
        <v>309</v>
      </c>
      <c r="C110" t="s">
        <v>631</v>
      </c>
      <c r="D110" t="s">
        <v>724</v>
      </c>
      <c r="E110">
        <v>0</v>
      </c>
      <c r="F110" t="s">
        <v>725</v>
      </c>
      <c r="G110">
        <v>0</v>
      </c>
      <c r="H110">
        <v>0</v>
      </c>
      <c r="I110">
        <v>0</v>
      </c>
      <c r="J110">
        <v>-3904.38</v>
      </c>
      <c r="K110">
        <v>-3904.38</v>
      </c>
    </row>
    <row r="111" spans="1:11" x14ac:dyDescent="0.25">
      <c r="A111" t="s">
        <v>310</v>
      </c>
      <c r="B111" t="s">
        <v>311</v>
      </c>
      <c r="C111" t="s">
        <v>631</v>
      </c>
      <c r="D111" t="s">
        <v>718</v>
      </c>
      <c r="E111">
        <v>765121.72</v>
      </c>
      <c r="F111" t="s">
        <v>719</v>
      </c>
      <c r="G111">
        <v>0</v>
      </c>
      <c r="H111">
        <v>0</v>
      </c>
      <c r="I111">
        <v>0</v>
      </c>
      <c r="J111">
        <v>0</v>
      </c>
      <c r="K111">
        <v>765121.72</v>
      </c>
    </row>
    <row r="112" spans="1:11" x14ac:dyDescent="0.25">
      <c r="A112" t="s">
        <v>312</v>
      </c>
      <c r="B112" t="s">
        <v>313</v>
      </c>
      <c r="C112" t="s">
        <v>631</v>
      </c>
      <c r="D112" t="s">
        <v>658</v>
      </c>
      <c r="E112">
        <v>0</v>
      </c>
      <c r="F112" t="s">
        <v>659</v>
      </c>
      <c r="G112">
        <v>0</v>
      </c>
      <c r="H112">
        <v>1728535.96</v>
      </c>
      <c r="I112">
        <v>0</v>
      </c>
      <c r="J112">
        <v>0</v>
      </c>
      <c r="K112">
        <v>1728535.96</v>
      </c>
    </row>
    <row r="113" spans="1:11" x14ac:dyDescent="0.25">
      <c r="A113" t="s">
        <v>1224</v>
      </c>
      <c r="B113" t="s">
        <v>1225</v>
      </c>
      <c r="C113" t="s">
        <v>631</v>
      </c>
      <c r="D113" t="s">
        <v>858</v>
      </c>
      <c r="E113">
        <v>108137.34</v>
      </c>
      <c r="F113" t="s">
        <v>859</v>
      </c>
      <c r="G113">
        <v>0</v>
      </c>
      <c r="H113">
        <v>0</v>
      </c>
      <c r="I113">
        <v>0</v>
      </c>
      <c r="J113">
        <v>0</v>
      </c>
      <c r="K113">
        <v>108137.34</v>
      </c>
    </row>
    <row r="114" spans="1:11" x14ac:dyDescent="0.25">
      <c r="A114" t="s">
        <v>314</v>
      </c>
      <c r="B114" t="s">
        <v>315</v>
      </c>
      <c r="C114" t="s">
        <v>631</v>
      </c>
      <c r="D114" t="s">
        <v>788</v>
      </c>
      <c r="E114">
        <v>0</v>
      </c>
      <c r="F114" t="s">
        <v>789</v>
      </c>
      <c r="G114">
        <v>0</v>
      </c>
      <c r="H114">
        <v>0</v>
      </c>
      <c r="I114">
        <v>0</v>
      </c>
      <c r="J114">
        <v>40367.35</v>
      </c>
      <c r="K114">
        <v>40367.35</v>
      </c>
    </row>
    <row r="115" spans="1:11" x14ac:dyDescent="0.25">
      <c r="A115" t="s">
        <v>567</v>
      </c>
      <c r="B115" t="s">
        <v>568</v>
      </c>
      <c r="C115" t="s">
        <v>631</v>
      </c>
      <c r="D115" t="s">
        <v>786</v>
      </c>
      <c r="E115">
        <v>0</v>
      </c>
      <c r="F115" t="s">
        <v>787</v>
      </c>
      <c r="G115">
        <v>418660</v>
      </c>
      <c r="H115">
        <v>0</v>
      </c>
      <c r="I115">
        <v>0</v>
      </c>
      <c r="J115">
        <v>0</v>
      </c>
      <c r="K115">
        <v>418660</v>
      </c>
    </row>
    <row r="116" spans="1:11" x14ac:dyDescent="0.25">
      <c r="A116" t="s">
        <v>316</v>
      </c>
      <c r="B116" t="s">
        <v>317</v>
      </c>
      <c r="C116" t="s">
        <v>631</v>
      </c>
      <c r="D116" t="s">
        <v>702</v>
      </c>
      <c r="E116">
        <v>12348940</v>
      </c>
      <c r="F116" t="s">
        <v>703</v>
      </c>
      <c r="G116">
        <v>210995.48</v>
      </c>
      <c r="H116">
        <v>0</v>
      </c>
      <c r="I116">
        <v>0</v>
      </c>
      <c r="J116">
        <v>0</v>
      </c>
      <c r="K116">
        <v>12559935.48</v>
      </c>
    </row>
    <row r="117" spans="1:11" x14ac:dyDescent="0.25">
      <c r="A117" t="s">
        <v>318</v>
      </c>
      <c r="B117" t="s">
        <v>319</v>
      </c>
      <c r="C117" t="s">
        <v>631</v>
      </c>
      <c r="D117" t="s">
        <v>776</v>
      </c>
      <c r="E117">
        <v>848788.46</v>
      </c>
      <c r="F117" t="s">
        <v>777</v>
      </c>
      <c r="G117">
        <v>522544.55</v>
      </c>
      <c r="H117">
        <v>332638.37</v>
      </c>
      <c r="I117">
        <v>843648.3</v>
      </c>
      <c r="J117">
        <v>0</v>
      </c>
      <c r="K117">
        <v>2547619.6800000002</v>
      </c>
    </row>
    <row r="118" spans="1:11" x14ac:dyDescent="0.25">
      <c r="A118" t="s">
        <v>320</v>
      </c>
      <c r="B118" t="s">
        <v>321</v>
      </c>
      <c r="C118" t="s">
        <v>631</v>
      </c>
      <c r="D118" t="s">
        <v>762</v>
      </c>
      <c r="E118">
        <v>0</v>
      </c>
      <c r="F118" t="s">
        <v>763</v>
      </c>
      <c r="G118">
        <v>0</v>
      </c>
      <c r="H118">
        <v>0</v>
      </c>
      <c r="I118">
        <v>0</v>
      </c>
      <c r="J118">
        <v>-387219.15</v>
      </c>
      <c r="K118">
        <v>-387219.15</v>
      </c>
    </row>
    <row r="119" spans="1:11" x14ac:dyDescent="0.25">
      <c r="A119" t="s">
        <v>322</v>
      </c>
      <c r="B119" t="s">
        <v>323</v>
      </c>
      <c r="C119" t="s">
        <v>631</v>
      </c>
      <c r="D119" t="s">
        <v>676</v>
      </c>
      <c r="E119">
        <v>0</v>
      </c>
      <c r="F119" t="s">
        <v>677</v>
      </c>
      <c r="G119">
        <v>0</v>
      </c>
      <c r="H119">
        <v>44102.080000000002</v>
      </c>
      <c r="I119">
        <v>0</v>
      </c>
      <c r="J119">
        <v>0</v>
      </c>
      <c r="K119">
        <v>44102.080000000002</v>
      </c>
    </row>
    <row r="120" spans="1:11" x14ac:dyDescent="0.25">
      <c r="A120" t="s">
        <v>324</v>
      </c>
      <c r="B120" t="s">
        <v>325</v>
      </c>
      <c r="C120" t="s">
        <v>631</v>
      </c>
      <c r="D120" t="s">
        <v>658</v>
      </c>
      <c r="E120">
        <v>0</v>
      </c>
      <c r="F120" t="s">
        <v>659</v>
      </c>
      <c r="G120">
        <v>871200</v>
      </c>
      <c r="H120">
        <v>0</v>
      </c>
      <c r="I120">
        <v>0</v>
      </c>
      <c r="J120">
        <v>0</v>
      </c>
      <c r="K120">
        <v>871200</v>
      </c>
    </row>
    <row r="121" spans="1:11" x14ac:dyDescent="0.25">
      <c r="A121" t="s">
        <v>326</v>
      </c>
      <c r="B121" t="s">
        <v>327</v>
      </c>
      <c r="C121" t="s">
        <v>631</v>
      </c>
      <c r="D121" t="s">
        <v>646</v>
      </c>
      <c r="E121">
        <v>0</v>
      </c>
      <c r="F121" t="s">
        <v>647</v>
      </c>
      <c r="G121">
        <v>1468168.93</v>
      </c>
      <c r="H121">
        <v>0</v>
      </c>
      <c r="I121">
        <v>0</v>
      </c>
      <c r="J121">
        <v>0</v>
      </c>
      <c r="K121">
        <v>1468168.93</v>
      </c>
    </row>
    <row r="122" spans="1:11" x14ac:dyDescent="0.25">
      <c r="A122" t="s">
        <v>328</v>
      </c>
      <c r="B122" t="s">
        <v>329</v>
      </c>
      <c r="C122" t="s">
        <v>631</v>
      </c>
      <c r="D122" t="s">
        <v>668</v>
      </c>
      <c r="E122">
        <v>0</v>
      </c>
      <c r="F122" t="s">
        <v>669</v>
      </c>
      <c r="G122">
        <v>21780</v>
      </c>
      <c r="H122">
        <v>0</v>
      </c>
      <c r="I122">
        <v>0</v>
      </c>
      <c r="J122">
        <v>0</v>
      </c>
      <c r="K122">
        <v>21780</v>
      </c>
    </row>
    <row r="123" spans="1:11" x14ac:dyDescent="0.25">
      <c r="A123" t="s">
        <v>330</v>
      </c>
      <c r="B123" t="s">
        <v>331</v>
      </c>
      <c r="C123" t="s">
        <v>631</v>
      </c>
      <c r="D123" t="s">
        <v>792</v>
      </c>
      <c r="E123">
        <v>765698.49</v>
      </c>
      <c r="F123" t="s">
        <v>793</v>
      </c>
      <c r="G123">
        <v>4102015.65</v>
      </c>
      <c r="H123">
        <v>0</v>
      </c>
      <c r="I123">
        <v>0</v>
      </c>
      <c r="J123">
        <v>0</v>
      </c>
      <c r="K123">
        <v>4867714.1399999997</v>
      </c>
    </row>
    <row r="124" spans="1:11" x14ac:dyDescent="0.25">
      <c r="A124" t="s">
        <v>794</v>
      </c>
      <c r="B124" t="s">
        <v>795</v>
      </c>
      <c r="C124" t="s">
        <v>631</v>
      </c>
      <c r="D124" t="s">
        <v>740</v>
      </c>
      <c r="E124">
        <v>0</v>
      </c>
      <c r="F124" t="s">
        <v>741</v>
      </c>
      <c r="G124">
        <v>314600</v>
      </c>
      <c r="H124">
        <v>0</v>
      </c>
      <c r="I124">
        <v>0</v>
      </c>
      <c r="J124">
        <v>0</v>
      </c>
      <c r="K124">
        <v>314600</v>
      </c>
    </row>
    <row r="125" spans="1:11" x14ac:dyDescent="0.25">
      <c r="A125" t="s">
        <v>332</v>
      </c>
      <c r="B125" t="s">
        <v>333</v>
      </c>
      <c r="C125" t="s">
        <v>631</v>
      </c>
      <c r="D125" t="s">
        <v>748</v>
      </c>
      <c r="E125">
        <v>302293.57</v>
      </c>
      <c r="F125" t="s">
        <v>749</v>
      </c>
      <c r="G125">
        <v>205951.29</v>
      </c>
      <c r="H125">
        <v>27043.5</v>
      </c>
      <c r="I125">
        <v>0</v>
      </c>
      <c r="J125">
        <v>0</v>
      </c>
      <c r="K125">
        <v>535288.36</v>
      </c>
    </row>
    <row r="126" spans="1:11" x14ac:dyDescent="0.25">
      <c r="A126" t="s">
        <v>569</v>
      </c>
      <c r="B126" t="s">
        <v>570</v>
      </c>
      <c r="C126" t="s">
        <v>631</v>
      </c>
      <c r="D126" t="s">
        <v>798</v>
      </c>
      <c r="E126">
        <v>0</v>
      </c>
      <c r="F126" t="s">
        <v>799</v>
      </c>
      <c r="G126">
        <v>78000</v>
      </c>
      <c r="H126">
        <v>0</v>
      </c>
      <c r="I126">
        <v>0</v>
      </c>
      <c r="J126">
        <v>0</v>
      </c>
      <c r="K126">
        <v>78000</v>
      </c>
    </row>
    <row r="127" spans="1:11" x14ac:dyDescent="0.25">
      <c r="A127" t="s">
        <v>334</v>
      </c>
      <c r="B127" t="s">
        <v>335</v>
      </c>
      <c r="C127" t="s">
        <v>631</v>
      </c>
      <c r="D127" t="s">
        <v>800</v>
      </c>
      <c r="E127">
        <v>0</v>
      </c>
      <c r="F127" t="s">
        <v>801</v>
      </c>
      <c r="G127">
        <v>1332000</v>
      </c>
      <c r="H127">
        <v>0</v>
      </c>
      <c r="I127">
        <v>0</v>
      </c>
      <c r="J127">
        <v>0</v>
      </c>
      <c r="K127">
        <v>1332000</v>
      </c>
    </row>
    <row r="128" spans="1:11" x14ac:dyDescent="0.25">
      <c r="A128" t="s">
        <v>336</v>
      </c>
      <c r="B128" t="s">
        <v>337</v>
      </c>
      <c r="C128" t="s">
        <v>631</v>
      </c>
      <c r="D128" t="s">
        <v>802</v>
      </c>
      <c r="E128">
        <v>0</v>
      </c>
      <c r="F128" t="s">
        <v>803</v>
      </c>
      <c r="G128">
        <v>50076000</v>
      </c>
      <c r="H128">
        <v>0</v>
      </c>
      <c r="I128">
        <v>0</v>
      </c>
      <c r="J128">
        <v>0</v>
      </c>
      <c r="K128">
        <v>50076000</v>
      </c>
    </row>
    <row r="129" spans="1:11" x14ac:dyDescent="0.25">
      <c r="A129" t="s">
        <v>338</v>
      </c>
      <c r="B129" t="s">
        <v>339</v>
      </c>
      <c r="C129" t="s">
        <v>631</v>
      </c>
      <c r="D129" t="s">
        <v>658</v>
      </c>
      <c r="E129">
        <v>0</v>
      </c>
      <c r="F129" t="s">
        <v>659</v>
      </c>
      <c r="G129">
        <v>432493.7</v>
      </c>
      <c r="H129">
        <v>0</v>
      </c>
      <c r="I129">
        <v>0</v>
      </c>
      <c r="J129">
        <v>0</v>
      </c>
      <c r="K129">
        <v>432493.7</v>
      </c>
    </row>
    <row r="130" spans="1:11" x14ac:dyDescent="0.25">
      <c r="A130" t="s">
        <v>340</v>
      </c>
      <c r="B130" t="s">
        <v>341</v>
      </c>
      <c r="C130" t="s">
        <v>631</v>
      </c>
      <c r="D130" t="s">
        <v>804</v>
      </c>
      <c r="E130">
        <v>2537420.0699999998</v>
      </c>
      <c r="F130" t="s">
        <v>805</v>
      </c>
      <c r="G130">
        <v>9519907.0099999998</v>
      </c>
      <c r="H130">
        <v>0</v>
      </c>
      <c r="I130">
        <v>0</v>
      </c>
      <c r="J130">
        <v>0</v>
      </c>
      <c r="K130">
        <v>12057327.08</v>
      </c>
    </row>
    <row r="131" spans="1:11" x14ac:dyDescent="0.25">
      <c r="A131" t="s">
        <v>1226</v>
      </c>
      <c r="B131" t="s">
        <v>1227</v>
      </c>
      <c r="C131" t="s">
        <v>631</v>
      </c>
      <c r="D131" t="s">
        <v>772</v>
      </c>
      <c r="E131">
        <v>193174217.84999999</v>
      </c>
      <c r="F131" t="s">
        <v>773</v>
      </c>
      <c r="G131">
        <v>0</v>
      </c>
      <c r="H131">
        <v>0</v>
      </c>
      <c r="I131">
        <v>0</v>
      </c>
      <c r="J131">
        <v>0</v>
      </c>
      <c r="K131">
        <v>193174217.84999999</v>
      </c>
    </row>
    <row r="132" spans="1:11" x14ac:dyDescent="0.25">
      <c r="A132" t="s">
        <v>806</v>
      </c>
      <c r="B132" t="s">
        <v>807</v>
      </c>
      <c r="C132" t="s">
        <v>631</v>
      </c>
      <c r="D132" t="s">
        <v>740</v>
      </c>
      <c r="E132">
        <v>0</v>
      </c>
      <c r="F132" t="s">
        <v>741</v>
      </c>
      <c r="G132">
        <v>6706404.4500000002</v>
      </c>
      <c r="H132">
        <v>0</v>
      </c>
      <c r="I132">
        <v>0</v>
      </c>
      <c r="J132">
        <v>0</v>
      </c>
      <c r="K132">
        <v>6706404.4500000002</v>
      </c>
    </row>
    <row r="133" spans="1:11" x14ac:dyDescent="0.25">
      <c r="A133" t="s">
        <v>571</v>
      </c>
      <c r="B133" t="s">
        <v>572</v>
      </c>
      <c r="C133" t="s">
        <v>631</v>
      </c>
      <c r="D133" t="s">
        <v>764</v>
      </c>
      <c r="E133">
        <v>18716219.5</v>
      </c>
      <c r="F133" t="s">
        <v>765</v>
      </c>
      <c r="G133">
        <v>0</v>
      </c>
      <c r="H133">
        <v>0</v>
      </c>
      <c r="I133">
        <v>0</v>
      </c>
      <c r="J133">
        <v>0</v>
      </c>
      <c r="K133">
        <v>18716219.5</v>
      </c>
    </row>
    <row r="134" spans="1:11" x14ac:dyDescent="0.25">
      <c r="A134" t="s">
        <v>342</v>
      </c>
      <c r="B134" t="s">
        <v>343</v>
      </c>
      <c r="C134" t="s">
        <v>631</v>
      </c>
      <c r="D134" t="s">
        <v>658</v>
      </c>
      <c r="E134">
        <v>1714392.45</v>
      </c>
      <c r="F134" t="s">
        <v>659</v>
      </c>
      <c r="G134">
        <v>2739940.81</v>
      </c>
      <c r="H134">
        <v>2691533.46</v>
      </c>
      <c r="I134">
        <v>0</v>
      </c>
      <c r="J134">
        <v>0</v>
      </c>
      <c r="K134">
        <v>7145866.7199999997</v>
      </c>
    </row>
    <row r="135" spans="1:11" x14ac:dyDescent="0.25">
      <c r="A135" t="s">
        <v>1228</v>
      </c>
      <c r="B135" t="s">
        <v>1229</v>
      </c>
      <c r="C135" t="s">
        <v>631</v>
      </c>
      <c r="D135" t="s">
        <v>1230</v>
      </c>
      <c r="E135">
        <v>3504000</v>
      </c>
      <c r="F135" t="s">
        <v>1231</v>
      </c>
      <c r="G135">
        <v>0</v>
      </c>
      <c r="H135">
        <v>0</v>
      </c>
      <c r="I135">
        <v>0</v>
      </c>
      <c r="J135">
        <v>0</v>
      </c>
      <c r="K135">
        <v>3504000</v>
      </c>
    </row>
    <row r="136" spans="1:11" x14ac:dyDescent="0.25">
      <c r="A136" t="s">
        <v>344</v>
      </c>
      <c r="B136" t="s">
        <v>345</v>
      </c>
      <c r="C136" t="s">
        <v>631</v>
      </c>
      <c r="D136" t="s">
        <v>748</v>
      </c>
      <c r="E136">
        <v>22138.38</v>
      </c>
      <c r="F136" t="s">
        <v>749</v>
      </c>
      <c r="G136">
        <v>0</v>
      </c>
      <c r="H136">
        <v>0</v>
      </c>
      <c r="I136">
        <v>0</v>
      </c>
      <c r="J136">
        <v>0</v>
      </c>
      <c r="K136">
        <v>22138.38</v>
      </c>
    </row>
    <row r="137" spans="1:11" x14ac:dyDescent="0.25">
      <c r="A137" t="s">
        <v>346</v>
      </c>
      <c r="B137" t="s">
        <v>347</v>
      </c>
      <c r="C137" t="s">
        <v>631</v>
      </c>
      <c r="D137" t="s">
        <v>724</v>
      </c>
      <c r="E137">
        <v>832814.05</v>
      </c>
      <c r="F137" t="s">
        <v>725</v>
      </c>
      <c r="G137">
        <v>47766</v>
      </c>
      <c r="H137">
        <v>0</v>
      </c>
      <c r="I137">
        <v>0</v>
      </c>
      <c r="J137">
        <v>35101218.600000001</v>
      </c>
      <c r="K137">
        <v>35981798.649999999</v>
      </c>
    </row>
    <row r="138" spans="1:11" x14ac:dyDescent="0.25">
      <c r="A138" t="s">
        <v>348</v>
      </c>
      <c r="B138" t="s">
        <v>349</v>
      </c>
      <c r="C138" t="s">
        <v>631</v>
      </c>
      <c r="D138" t="s">
        <v>686</v>
      </c>
      <c r="E138">
        <v>0</v>
      </c>
      <c r="F138" t="s">
        <v>687</v>
      </c>
      <c r="G138">
        <v>0</v>
      </c>
      <c r="H138">
        <v>0</v>
      </c>
      <c r="I138">
        <v>0</v>
      </c>
      <c r="J138">
        <v>-258135.9</v>
      </c>
      <c r="K138">
        <v>-258135.9</v>
      </c>
    </row>
    <row r="139" spans="1:11" x14ac:dyDescent="0.25">
      <c r="A139" t="s">
        <v>350</v>
      </c>
      <c r="B139" t="s">
        <v>351</v>
      </c>
      <c r="C139" t="s">
        <v>631</v>
      </c>
      <c r="D139" t="s">
        <v>808</v>
      </c>
      <c r="E139">
        <v>2294841.69</v>
      </c>
      <c r="F139" t="s">
        <v>809</v>
      </c>
      <c r="G139">
        <v>11882120.890000001</v>
      </c>
      <c r="H139">
        <v>1120800</v>
      </c>
      <c r="I139">
        <v>0</v>
      </c>
      <c r="J139">
        <v>0</v>
      </c>
      <c r="K139">
        <v>15297762.58</v>
      </c>
    </row>
    <row r="140" spans="1:11" x14ac:dyDescent="0.25">
      <c r="A140" t="s">
        <v>352</v>
      </c>
      <c r="B140" t="s">
        <v>353</v>
      </c>
      <c r="C140" t="s">
        <v>631</v>
      </c>
      <c r="D140" t="s">
        <v>810</v>
      </c>
      <c r="E140">
        <v>0</v>
      </c>
      <c r="F140" t="s">
        <v>811</v>
      </c>
      <c r="G140">
        <v>329120</v>
      </c>
      <c r="H140">
        <v>359370</v>
      </c>
      <c r="I140">
        <v>0</v>
      </c>
      <c r="J140">
        <v>0</v>
      </c>
      <c r="K140">
        <v>688490</v>
      </c>
    </row>
    <row r="141" spans="1:11" x14ac:dyDescent="0.25">
      <c r="A141" t="s">
        <v>354</v>
      </c>
      <c r="B141" t="s">
        <v>355</v>
      </c>
      <c r="C141" t="s">
        <v>631</v>
      </c>
      <c r="D141" t="s">
        <v>740</v>
      </c>
      <c r="E141">
        <v>0</v>
      </c>
      <c r="F141" t="s">
        <v>741</v>
      </c>
      <c r="G141">
        <v>0</v>
      </c>
      <c r="H141">
        <v>0</v>
      </c>
      <c r="I141">
        <v>0</v>
      </c>
      <c r="J141">
        <v>88538261.290000007</v>
      </c>
      <c r="K141">
        <v>88538261.290000007</v>
      </c>
    </row>
    <row r="142" spans="1:11" x14ac:dyDescent="0.25">
      <c r="A142" t="s">
        <v>1232</v>
      </c>
      <c r="B142" t="s">
        <v>1233</v>
      </c>
      <c r="C142" t="s">
        <v>631</v>
      </c>
      <c r="D142" t="s">
        <v>658</v>
      </c>
      <c r="E142">
        <v>0</v>
      </c>
      <c r="F142" t="s">
        <v>659</v>
      </c>
      <c r="G142">
        <v>0</v>
      </c>
      <c r="H142">
        <v>948778.91</v>
      </c>
      <c r="I142">
        <v>0</v>
      </c>
      <c r="J142">
        <v>0</v>
      </c>
      <c r="K142">
        <v>948778.91</v>
      </c>
    </row>
    <row r="143" spans="1:11" x14ac:dyDescent="0.25">
      <c r="A143" t="s">
        <v>812</v>
      </c>
      <c r="B143" t="s">
        <v>813</v>
      </c>
      <c r="C143" t="s">
        <v>631</v>
      </c>
      <c r="D143" t="s">
        <v>804</v>
      </c>
      <c r="E143">
        <v>0</v>
      </c>
      <c r="F143" t="s">
        <v>805</v>
      </c>
      <c r="G143">
        <v>1173884.3700000001</v>
      </c>
      <c r="H143">
        <v>0</v>
      </c>
      <c r="I143">
        <v>0</v>
      </c>
      <c r="J143">
        <v>0</v>
      </c>
      <c r="K143">
        <v>1173884.3700000001</v>
      </c>
    </row>
    <row r="144" spans="1:11" x14ac:dyDescent="0.25">
      <c r="A144" t="s">
        <v>356</v>
      </c>
      <c r="B144" t="s">
        <v>357</v>
      </c>
      <c r="C144" t="s">
        <v>631</v>
      </c>
      <c r="D144" t="s">
        <v>740</v>
      </c>
      <c r="E144">
        <v>0</v>
      </c>
      <c r="F144" t="s">
        <v>741</v>
      </c>
      <c r="G144">
        <v>0</v>
      </c>
      <c r="H144">
        <v>0</v>
      </c>
      <c r="I144">
        <v>0</v>
      </c>
      <c r="J144">
        <v>5896891</v>
      </c>
      <c r="K144">
        <v>5896891</v>
      </c>
    </row>
    <row r="145" spans="1:11" x14ac:dyDescent="0.25">
      <c r="A145" t="s">
        <v>358</v>
      </c>
      <c r="B145" t="s">
        <v>359</v>
      </c>
      <c r="C145" t="s">
        <v>631</v>
      </c>
      <c r="D145" t="s">
        <v>814</v>
      </c>
      <c r="E145">
        <v>0</v>
      </c>
      <c r="F145" t="s">
        <v>815</v>
      </c>
      <c r="G145">
        <v>2354757.2599999998</v>
      </c>
      <c r="H145">
        <v>1678734.35</v>
      </c>
      <c r="I145">
        <v>0</v>
      </c>
      <c r="J145">
        <v>0</v>
      </c>
      <c r="K145">
        <v>4033491.61</v>
      </c>
    </row>
    <row r="146" spans="1:11" x14ac:dyDescent="0.25">
      <c r="A146" t="s">
        <v>1234</v>
      </c>
      <c r="B146" t="s">
        <v>1235</v>
      </c>
      <c r="C146" t="s">
        <v>631</v>
      </c>
      <c r="D146" t="s">
        <v>682</v>
      </c>
      <c r="E146">
        <v>71091009</v>
      </c>
      <c r="F146" t="s">
        <v>683</v>
      </c>
      <c r="G146">
        <v>0</v>
      </c>
      <c r="H146">
        <v>0</v>
      </c>
      <c r="I146">
        <v>0</v>
      </c>
      <c r="J146">
        <v>0</v>
      </c>
      <c r="K146">
        <v>71091009</v>
      </c>
    </row>
    <row r="147" spans="1:11" x14ac:dyDescent="0.25">
      <c r="A147" t="s">
        <v>1236</v>
      </c>
      <c r="B147" t="s">
        <v>1237</v>
      </c>
      <c r="C147" t="s">
        <v>631</v>
      </c>
      <c r="D147" t="s">
        <v>658</v>
      </c>
      <c r="E147">
        <v>576359.30000000005</v>
      </c>
      <c r="F147" t="s">
        <v>659</v>
      </c>
      <c r="G147">
        <v>0</v>
      </c>
      <c r="H147">
        <v>0</v>
      </c>
      <c r="I147">
        <v>0</v>
      </c>
      <c r="J147">
        <v>0</v>
      </c>
      <c r="K147">
        <v>576359.30000000005</v>
      </c>
    </row>
    <row r="148" spans="1:11" x14ac:dyDescent="0.25">
      <c r="A148" t="s">
        <v>360</v>
      </c>
      <c r="B148" t="s">
        <v>361</v>
      </c>
      <c r="C148" t="s">
        <v>631</v>
      </c>
      <c r="D148" t="s">
        <v>658</v>
      </c>
      <c r="E148">
        <v>0</v>
      </c>
      <c r="F148" t="s">
        <v>659</v>
      </c>
      <c r="G148">
        <v>0</v>
      </c>
      <c r="H148">
        <v>0</v>
      </c>
      <c r="I148">
        <v>0</v>
      </c>
      <c r="J148">
        <v>-0.01</v>
      </c>
      <c r="K148">
        <v>-0.01</v>
      </c>
    </row>
    <row r="149" spans="1:11" x14ac:dyDescent="0.25">
      <c r="A149" t="s">
        <v>362</v>
      </c>
      <c r="B149" t="s">
        <v>363</v>
      </c>
      <c r="C149" t="s">
        <v>631</v>
      </c>
      <c r="D149" t="s">
        <v>738</v>
      </c>
      <c r="E149">
        <v>10285.85</v>
      </c>
      <c r="F149" t="s">
        <v>739</v>
      </c>
      <c r="G149">
        <v>7967137.2699999996</v>
      </c>
      <c r="H149">
        <v>299336.09999999998</v>
      </c>
      <c r="I149">
        <v>0</v>
      </c>
      <c r="J149">
        <v>0</v>
      </c>
      <c r="K149">
        <v>8276759.2199999997</v>
      </c>
    </row>
    <row r="150" spans="1:11" x14ac:dyDescent="0.25">
      <c r="A150" t="s">
        <v>364</v>
      </c>
      <c r="B150" t="s">
        <v>365</v>
      </c>
      <c r="C150" t="s">
        <v>631</v>
      </c>
      <c r="D150" t="s">
        <v>752</v>
      </c>
      <c r="E150">
        <v>0</v>
      </c>
      <c r="F150" t="s">
        <v>753</v>
      </c>
      <c r="G150">
        <v>824011.81</v>
      </c>
      <c r="H150">
        <v>0</v>
      </c>
      <c r="I150">
        <v>0</v>
      </c>
      <c r="J150">
        <v>0</v>
      </c>
      <c r="K150">
        <v>824011.81</v>
      </c>
    </row>
    <row r="151" spans="1:11" x14ac:dyDescent="0.25">
      <c r="A151" t="s">
        <v>366</v>
      </c>
      <c r="B151" t="s">
        <v>367</v>
      </c>
      <c r="C151" t="s">
        <v>631</v>
      </c>
      <c r="D151" t="s">
        <v>658</v>
      </c>
      <c r="E151">
        <v>274903.90999999997</v>
      </c>
      <c r="F151" t="s">
        <v>659</v>
      </c>
      <c r="G151">
        <v>8201007.8600000003</v>
      </c>
      <c r="H151">
        <v>0</v>
      </c>
      <c r="I151">
        <v>0</v>
      </c>
      <c r="J151">
        <v>0</v>
      </c>
      <c r="K151">
        <v>8475911.7699999996</v>
      </c>
    </row>
    <row r="152" spans="1:11" x14ac:dyDescent="0.25">
      <c r="A152" t="s">
        <v>368</v>
      </c>
      <c r="B152" t="s">
        <v>369</v>
      </c>
      <c r="C152" t="s">
        <v>631</v>
      </c>
      <c r="D152" t="s">
        <v>820</v>
      </c>
      <c r="E152">
        <v>-15980531.91</v>
      </c>
      <c r="F152" t="s">
        <v>821</v>
      </c>
      <c r="G152">
        <v>40128981.369999997</v>
      </c>
      <c r="H152">
        <v>24549964.350000001</v>
      </c>
      <c r="I152">
        <v>0</v>
      </c>
      <c r="J152">
        <v>1.17</v>
      </c>
      <c r="K152">
        <v>48698414.979999997</v>
      </c>
    </row>
    <row r="153" spans="1:11" x14ac:dyDescent="0.25">
      <c r="A153" t="s">
        <v>370</v>
      </c>
      <c r="B153" t="s">
        <v>371</v>
      </c>
      <c r="C153" t="s">
        <v>631</v>
      </c>
      <c r="D153" t="s">
        <v>740</v>
      </c>
      <c r="E153">
        <v>0</v>
      </c>
      <c r="F153" t="s">
        <v>741</v>
      </c>
      <c r="G153">
        <v>0</v>
      </c>
      <c r="H153">
        <v>0</v>
      </c>
      <c r="I153">
        <v>0</v>
      </c>
      <c r="J153">
        <v>335045.59999999998</v>
      </c>
      <c r="K153">
        <v>335045.59999999998</v>
      </c>
    </row>
    <row r="154" spans="1:11" x14ac:dyDescent="0.25">
      <c r="A154" t="s">
        <v>372</v>
      </c>
      <c r="B154" t="s">
        <v>373</v>
      </c>
      <c r="C154" t="s">
        <v>631</v>
      </c>
      <c r="D154" t="s">
        <v>740</v>
      </c>
      <c r="E154">
        <v>0</v>
      </c>
      <c r="F154" t="s">
        <v>741</v>
      </c>
      <c r="G154">
        <v>0</v>
      </c>
      <c r="H154">
        <v>0</v>
      </c>
      <c r="I154">
        <v>0</v>
      </c>
      <c r="J154">
        <v>1782642.4</v>
      </c>
      <c r="K154">
        <v>1782642.4</v>
      </c>
    </row>
    <row r="155" spans="1:11" x14ac:dyDescent="0.25">
      <c r="A155" t="s">
        <v>374</v>
      </c>
      <c r="B155" t="s">
        <v>375</v>
      </c>
      <c r="C155" t="s">
        <v>631</v>
      </c>
      <c r="D155" t="s">
        <v>822</v>
      </c>
      <c r="E155">
        <v>0</v>
      </c>
      <c r="F155" t="s">
        <v>823</v>
      </c>
      <c r="G155">
        <v>7800000</v>
      </c>
      <c r="H155">
        <v>0</v>
      </c>
      <c r="I155">
        <v>0</v>
      </c>
      <c r="J155">
        <v>0</v>
      </c>
      <c r="K155">
        <v>7800000</v>
      </c>
    </row>
    <row r="156" spans="1:11" x14ac:dyDescent="0.25">
      <c r="A156" t="s">
        <v>376</v>
      </c>
      <c r="B156" t="s">
        <v>377</v>
      </c>
      <c r="C156" t="s">
        <v>631</v>
      </c>
      <c r="D156" t="s">
        <v>652</v>
      </c>
      <c r="E156">
        <v>915823</v>
      </c>
      <c r="F156" t="s">
        <v>653</v>
      </c>
      <c r="G156">
        <v>3927175</v>
      </c>
      <c r="H156">
        <v>0</v>
      </c>
      <c r="I156">
        <v>0</v>
      </c>
      <c r="J156">
        <v>0</v>
      </c>
      <c r="K156">
        <v>4842998</v>
      </c>
    </row>
    <row r="157" spans="1:11" x14ac:dyDescent="0.25">
      <c r="A157" t="s">
        <v>1238</v>
      </c>
      <c r="B157" t="s">
        <v>1239</v>
      </c>
      <c r="C157" t="s">
        <v>631</v>
      </c>
      <c r="D157" t="s">
        <v>1240</v>
      </c>
      <c r="E157">
        <v>403616.75</v>
      </c>
      <c r="F157" t="s">
        <v>1241</v>
      </c>
      <c r="G157">
        <v>298413.15999999997</v>
      </c>
      <c r="H157">
        <v>0</v>
      </c>
      <c r="I157">
        <v>0</v>
      </c>
      <c r="J157">
        <v>0</v>
      </c>
      <c r="K157">
        <v>702029.91</v>
      </c>
    </row>
    <row r="158" spans="1:11" x14ac:dyDescent="0.25">
      <c r="A158" t="s">
        <v>1242</v>
      </c>
      <c r="B158" t="s">
        <v>1243</v>
      </c>
      <c r="C158" t="s">
        <v>631</v>
      </c>
      <c r="D158" t="s">
        <v>676</v>
      </c>
      <c r="E158">
        <v>4930876.84</v>
      </c>
      <c r="F158" t="s">
        <v>677</v>
      </c>
      <c r="G158">
        <v>0</v>
      </c>
      <c r="H158">
        <v>0</v>
      </c>
      <c r="I158">
        <v>0</v>
      </c>
      <c r="J158">
        <v>0</v>
      </c>
      <c r="K158">
        <v>4930876.84</v>
      </c>
    </row>
    <row r="159" spans="1:11" x14ac:dyDescent="0.25">
      <c r="A159" t="s">
        <v>378</v>
      </c>
      <c r="B159" t="s">
        <v>379</v>
      </c>
      <c r="C159" t="s">
        <v>631</v>
      </c>
      <c r="D159" t="s">
        <v>778</v>
      </c>
      <c r="E159">
        <v>803200</v>
      </c>
      <c r="F159" t="s">
        <v>779</v>
      </c>
      <c r="G159">
        <v>4054900</v>
      </c>
      <c r="H159">
        <v>4091000</v>
      </c>
      <c r="I159">
        <v>0</v>
      </c>
      <c r="J159">
        <v>0</v>
      </c>
      <c r="K159">
        <v>8949100</v>
      </c>
    </row>
    <row r="160" spans="1:11" x14ac:dyDescent="0.25">
      <c r="A160" t="s">
        <v>380</v>
      </c>
      <c r="B160" t="s">
        <v>381</v>
      </c>
      <c r="C160" t="s">
        <v>631</v>
      </c>
      <c r="D160" t="s">
        <v>780</v>
      </c>
      <c r="E160">
        <v>1745950.09</v>
      </c>
      <c r="F160" t="s">
        <v>781</v>
      </c>
      <c r="G160">
        <v>304483.67</v>
      </c>
      <c r="H160">
        <v>0</v>
      </c>
      <c r="I160">
        <v>0</v>
      </c>
      <c r="J160">
        <v>0</v>
      </c>
      <c r="K160">
        <v>2050433.76</v>
      </c>
    </row>
    <row r="161" spans="1:11" x14ac:dyDescent="0.25">
      <c r="A161" t="s">
        <v>382</v>
      </c>
      <c r="B161" t="s">
        <v>383</v>
      </c>
      <c r="C161" t="s">
        <v>631</v>
      </c>
      <c r="D161" t="s">
        <v>824</v>
      </c>
      <c r="E161">
        <v>0</v>
      </c>
      <c r="F161" t="s">
        <v>825</v>
      </c>
      <c r="G161">
        <v>12805230.470000001</v>
      </c>
      <c r="H161">
        <v>0</v>
      </c>
      <c r="I161">
        <v>0</v>
      </c>
      <c r="J161">
        <v>0</v>
      </c>
      <c r="K161">
        <v>12805230.470000001</v>
      </c>
    </row>
    <row r="162" spans="1:11" x14ac:dyDescent="0.25">
      <c r="A162" t="s">
        <v>1244</v>
      </c>
      <c r="B162" t="s">
        <v>1245</v>
      </c>
      <c r="C162" t="s">
        <v>631</v>
      </c>
      <c r="D162" t="s">
        <v>668</v>
      </c>
      <c r="E162">
        <v>2200000</v>
      </c>
      <c r="F162" t="s">
        <v>669</v>
      </c>
      <c r="G162">
        <v>0</v>
      </c>
      <c r="H162">
        <v>0</v>
      </c>
      <c r="I162">
        <v>0</v>
      </c>
      <c r="J162">
        <v>0</v>
      </c>
      <c r="K162">
        <v>2200000</v>
      </c>
    </row>
    <row r="163" spans="1:11" x14ac:dyDescent="0.25">
      <c r="A163" t="s">
        <v>386</v>
      </c>
      <c r="B163" t="s">
        <v>387</v>
      </c>
      <c r="C163" t="s">
        <v>631</v>
      </c>
      <c r="D163" t="s">
        <v>636</v>
      </c>
      <c r="E163">
        <v>0</v>
      </c>
      <c r="F163" t="s">
        <v>637</v>
      </c>
      <c r="G163">
        <v>11727544.720000001</v>
      </c>
      <c r="H163">
        <v>0</v>
      </c>
      <c r="I163">
        <v>0</v>
      </c>
      <c r="J163">
        <v>0</v>
      </c>
      <c r="K163">
        <v>11727544.720000001</v>
      </c>
    </row>
    <row r="164" spans="1:11" x14ac:dyDescent="0.25">
      <c r="A164" t="s">
        <v>388</v>
      </c>
      <c r="B164" t="s">
        <v>389</v>
      </c>
      <c r="C164" t="s">
        <v>631</v>
      </c>
      <c r="D164" t="s">
        <v>826</v>
      </c>
      <c r="E164">
        <v>0</v>
      </c>
      <c r="F164" t="s">
        <v>827</v>
      </c>
      <c r="G164">
        <v>7667467.5099999998</v>
      </c>
      <c r="H164">
        <v>80416494.129999995</v>
      </c>
      <c r="I164">
        <v>43979576.030000001</v>
      </c>
      <c r="J164">
        <v>90616446.269999996</v>
      </c>
      <c r="K164">
        <v>222679983.94</v>
      </c>
    </row>
    <row r="165" spans="1:11" x14ac:dyDescent="0.25">
      <c r="A165" t="s">
        <v>390</v>
      </c>
      <c r="B165" t="s">
        <v>391</v>
      </c>
      <c r="C165" t="s">
        <v>631</v>
      </c>
      <c r="D165" t="s">
        <v>658</v>
      </c>
      <c r="E165">
        <v>315206.05</v>
      </c>
      <c r="F165" t="s">
        <v>659</v>
      </c>
      <c r="G165">
        <v>570507.16</v>
      </c>
      <c r="H165">
        <v>473839.17</v>
      </c>
      <c r="I165">
        <v>0</v>
      </c>
      <c r="J165">
        <v>0</v>
      </c>
      <c r="K165">
        <v>1359552.38</v>
      </c>
    </row>
    <row r="166" spans="1:11" x14ac:dyDescent="0.25">
      <c r="A166" t="s">
        <v>392</v>
      </c>
      <c r="B166" t="s">
        <v>393</v>
      </c>
      <c r="C166" t="s">
        <v>631</v>
      </c>
      <c r="D166" t="s">
        <v>762</v>
      </c>
      <c r="E166">
        <v>0</v>
      </c>
      <c r="F166" t="s">
        <v>763</v>
      </c>
      <c r="G166">
        <v>0</v>
      </c>
      <c r="H166">
        <v>35645265</v>
      </c>
      <c r="I166">
        <v>35394057.5</v>
      </c>
      <c r="J166">
        <v>0</v>
      </c>
      <c r="K166">
        <v>71039322.5</v>
      </c>
    </row>
    <row r="167" spans="1:11" x14ac:dyDescent="0.25">
      <c r="A167" t="s">
        <v>1246</v>
      </c>
      <c r="B167" t="s">
        <v>1247</v>
      </c>
      <c r="C167" t="s">
        <v>631</v>
      </c>
      <c r="D167" t="s">
        <v>738</v>
      </c>
      <c r="E167">
        <v>0</v>
      </c>
      <c r="F167" t="s">
        <v>739</v>
      </c>
      <c r="G167">
        <v>10906681.5</v>
      </c>
      <c r="H167">
        <v>15397346.25</v>
      </c>
      <c r="I167">
        <v>0</v>
      </c>
      <c r="J167">
        <v>0</v>
      </c>
      <c r="K167">
        <v>26304027.75</v>
      </c>
    </row>
    <row r="168" spans="1:11" x14ac:dyDescent="0.25">
      <c r="A168" t="s">
        <v>1248</v>
      </c>
      <c r="B168" t="s">
        <v>1249</v>
      </c>
      <c r="C168" t="s">
        <v>631</v>
      </c>
      <c r="D168" t="s">
        <v>1158</v>
      </c>
      <c r="E168">
        <v>1482500</v>
      </c>
      <c r="F168" t="s">
        <v>1159</v>
      </c>
      <c r="G168">
        <v>0</v>
      </c>
      <c r="H168">
        <v>0</v>
      </c>
      <c r="I168">
        <v>0</v>
      </c>
      <c r="J168">
        <v>0</v>
      </c>
      <c r="K168">
        <v>1482500</v>
      </c>
    </row>
    <row r="169" spans="1:11" x14ac:dyDescent="0.25">
      <c r="A169" t="s">
        <v>394</v>
      </c>
      <c r="B169" t="s">
        <v>395</v>
      </c>
      <c r="C169" t="s">
        <v>631</v>
      </c>
      <c r="D169" t="s">
        <v>780</v>
      </c>
      <c r="E169">
        <v>0</v>
      </c>
      <c r="F169" t="s">
        <v>781</v>
      </c>
      <c r="G169">
        <v>82539.429999999993</v>
      </c>
      <c r="H169">
        <v>0</v>
      </c>
      <c r="I169">
        <v>0</v>
      </c>
      <c r="J169">
        <v>0</v>
      </c>
      <c r="K169">
        <v>82539.429999999993</v>
      </c>
    </row>
    <row r="170" spans="1:11" x14ac:dyDescent="0.25">
      <c r="A170" t="s">
        <v>579</v>
      </c>
      <c r="B170" t="s">
        <v>580</v>
      </c>
      <c r="C170" t="s">
        <v>631</v>
      </c>
      <c r="D170" t="s">
        <v>828</v>
      </c>
      <c r="E170">
        <v>0</v>
      </c>
      <c r="F170" t="s">
        <v>829</v>
      </c>
      <c r="G170">
        <v>1207580</v>
      </c>
      <c r="H170">
        <v>1432640</v>
      </c>
      <c r="I170">
        <v>0</v>
      </c>
      <c r="J170">
        <v>0</v>
      </c>
      <c r="K170">
        <v>2640220</v>
      </c>
    </row>
    <row r="171" spans="1:11" x14ac:dyDescent="0.25">
      <c r="A171" t="s">
        <v>396</v>
      </c>
      <c r="B171" t="s">
        <v>397</v>
      </c>
      <c r="C171" t="s">
        <v>631</v>
      </c>
      <c r="D171" t="s">
        <v>786</v>
      </c>
      <c r="E171">
        <v>0</v>
      </c>
      <c r="F171" t="s">
        <v>787</v>
      </c>
      <c r="G171">
        <v>1101100</v>
      </c>
      <c r="H171">
        <v>0</v>
      </c>
      <c r="I171">
        <v>0</v>
      </c>
      <c r="J171">
        <v>0</v>
      </c>
      <c r="K171">
        <v>1101100</v>
      </c>
    </row>
    <row r="172" spans="1:11" x14ac:dyDescent="0.25">
      <c r="A172" t="s">
        <v>398</v>
      </c>
      <c r="B172" t="s">
        <v>399</v>
      </c>
      <c r="C172" t="s">
        <v>631</v>
      </c>
      <c r="D172" t="s">
        <v>724</v>
      </c>
      <c r="E172">
        <v>0</v>
      </c>
      <c r="F172" t="s">
        <v>725</v>
      </c>
      <c r="G172">
        <v>13623137.300000001</v>
      </c>
      <c r="H172">
        <v>0</v>
      </c>
      <c r="I172">
        <v>0</v>
      </c>
      <c r="J172">
        <v>0</v>
      </c>
      <c r="K172">
        <v>13623137.300000001</v>
      </c>
    </row>
    <row r="173" spans="1:11" x14ac:dyDescent="0.25">
      <c r="A173" t="s">
        <v>400</v>
      </c>
      <c r="B173" t="s">
        <v>401</v>
      </c>
      <c r="C173" t="s">
        <v>631</v>
      </c>
      <c r="D173" t="s">
        <v>702</v>
      </c>
      <c r="E173">
        <v>0</v>
      </c>
      <c r="F173" t="s">
        <v>703</v>
      </c>
      <c r="G173">
        <v>0</v>
      </c>
      <c r="H173">
        <v>2725845.78</v>
      </c>
      <c r="I173">
        <v>0</v>
      </c>
      <c r="J173">
        <v>0</v>
      </c>
      <c r="K173">
        <v>2725845.78</v>
      </c>
    </row>
    <row r="174" spans="1:11" x14ac:dyDescent="0.25">
      <c r="A174" t="s">
        <v>402</v>
      </c>
      <c r="B174" t="s">
        <v>403</v>
      </c>
      <c r="C174" t="s">
        <v>631</v>
      </c>
      <c r="D174" t="s">
        <v>700</v>
      </c>
      <c r="E174">
        <v>1432000</v>
      </c>
      <c r="F174" t="s">
        <v>701</v>
      </c>
      <c r="G174">
        <v>16248000</v>
      </c>
      <c r="H174">
        <v>0</v>
      </c>
      <c r="I174">
        <v>0</v>
      </c>
      <c r="J174">
        <v>0</v>
      </c>
      <c r="K174">
        <v>17680000</v>
      </c>
    </row>
    <row r="175" spans="1:11" x14ac:dyDescent="0.25">
      <c r="A175" t="s">
        <v>404</v>
      </c>
      <c r="B175" t="s">
        <v>405</v>
      </c>
      <c r="C175" t="s">
        <v>631</v>
      </c>
      <c r="D175" t="s">
        <v>676</v>
      </c>
      <c r="E175">
        <v>0</v>
      </c>
      <c r="F175" t="s">
        <v>677</v>
      </c>
      <c r="G175">
        <v>0</v>
      </c>
      <c r="H175">
        <v>0</v>
      </c>
      <c r="I175">
        <v>0</v>
      </c>
      <c r="J175">
        <v>58760</v>
      </c>
      <c r="K175">
        <v>58760</v>
      </c>
    </row>
    <row r="176" spans="1:11" x14ac:dyDescent="0.25">
      <c r="A176" t="s">
        <v>406</v>
      </c>
      <c r="B176" t="s">
        <v>407</v>
      </c>
      <c r="C176" t="s">
        <v>631</v>
      </c>
      <c r="D176" t="s">
        <v>758</v>
      </c>
      <c r="E176">
        <v>0</v>
      </c>
      <c r="F176" t="s">
        <v>759</v>
      </c>
      <c r="G176">
        <v>0</v>
      </c>
      <c r="H176">
        <v>0</v>
      </c>
      <c r="I176">
        <v>0</v>
      </c>
      <c r="J176">
        <v>0.01</v>
      </c>
      <c r="K176">
        <v>0.01</v>
      </c>
    </row>
    <row r="177" spans="1:11" x14ac:dyDescent="0.25">
      <c r="A177" t="s">
        <v>581</v>
      </c>
      <c r="B177" t="s">
        <v>582</v>
      </c>
      <c r="C177" t="s">
        <v>631</v>
      </c>
      <c r="D177" t="s">
        <v>652</v>
      </c>
      <c r="E177">
        <v>0</v>
      </c>
      <c r="F177" t="s">
        <v>653</v>
      </c>
      <c r="G177">
        <v>2255142.36</v>
      </c>
      <c r="H177">
        <v>0</v>
      </c>
      <c r="I177">
        <v>0</v>
      </c>
      <c r="J177">
        <v>0</v>
      </c>
      <c r="K177">
        <v>2255142.36</v>
      </c>
    </row>
    <row r="178" spans="1:11" x14ac:dyDescent="0.25">
      <c r="A178" t="s">
        <v>408</v>
      </c>
      <c r="B178" t="s">
        <v>409</v>
      </c>
      <c r="C178" t="s">
        <v>631</v>
      </c>
      <c r="D178" t="s">
        <v>702</v>
      </c>
      <c r="E178">
        <v>0</v>
      </c>
      <c r="F178" t="s">
        <v>703</v>
      </c>
      <c r="G178">
        <v>23660850.670000002</v>
      </c>
      <c r="H178">
        <v>0</v>
      </c>
      <c r="I178">
        <v>0</v>
      </c>
      <c r="J178">
        <v>0</v>
      </c>
      <c r="K178">
        <v>23660850.670000002</v>
      </c>
    </row>
    <row r="179" spans="1:11" x14ac:dyDescent="0.25">
      <c r="A179" t="s">
        <v>410</v>
      </c>
      <c r="B179" t="s">
        <v>411</v>
      </c>
      <c r="C179" t="s">
        <v>631</v>
      </c>
      <c r="D179" t="s">
        <v>834</v>
      </c>
      <c r="E179">
        <v>54162034.710000001</v>
      </c>
      <c r="F179" t="s">
        <v>835</v>
      </c>
      <c r="G179">
        <v>53028393.32</v>
      </c>
      <c r="H179">
        <v>55976091.32</v>
      </c>
      <c r="I179">
        <v>0</v>
      </c>
      <c r="J179">
        <v>0</v>
      </c>
      <c r="K179">
        <v>163166519.34999999</v>
      </c>
    </row>
    <row r="180" spans="1:11" x14ac:dyDescent="0.25">
      <c r="A180" t="s">
        <v>836</v>
      </c>
      <c r="B180" t="s">
        <v>837</v>
      </c>
      <c r="C180" t="s">
        <v>631</v>
      </c>
      <c r="D180" t="s">
        <v>686</v>
      </c>
      <c r="E180">
        <v>0</v>
      </c>
      <c r="F180" t="s">
        <v>687</v>
      </c>
      <c r="G180">
        <v>0</v>
      </c>
      <c r="H180">
        <v>617100</v>
      </c>
      <c r="I180">
        <v>0</v>
      </c>
      <c r="J180">
        <v>0</v>
      </c>
      <c r="K180">
        <v>617100</v>
      </c>
    </row>
    <row r="181" spans="1:11" x14ac:dyDescent="0.25">
      <c r="A181" t="s">
        <v>1250</v>
      </c>
      <c r="B181" t="s">
        <v>1251</v>
      </c>
      <c r="C181" t="s">
        <v>631</v>
      </c>
      <c r="D181" t="s">
        <v>748</v>
      </c>
      <c r="E181">
        <v>11966383.699999999</v>
      </c>
      <c r="F181" t="s">
        <v>749</v>
      </c>
      <c r="G181">
        <v>0</v>
      </c>
      <c r="H181">
        <v>0</v>
      </c>
      <c r="I181">
        <v>0</v>
      </c>
      <c r="J181">
        <v>0</v>
      </c>
      <c r="K181">
        <v>11966383.699999999</v>
      </c>
    </row>
    <row r="182" spans="1:11" x14ac:dyDescent="0.25">
      <c r="A182" t="s">
        <v>1252</v>
      </c>
      <c r="B182" t="s">
        <v>1253</v>
      </c>
      <c r="C182" t="s">
        <v>631</v>
      </c>
      <c r="D182" t="s">
        <v>820</v>
      </c>
      <c r="E182">
        <v>592454.72</v>
      </c>
      <c r="F182" t="s">
        <v>821</v>
      </c>
      <c r="G182">
        <v>0</v>
      </c>
      <c r="H182">
        <v>0</v>
      </c>
      <c r="I182">
        <v>0</v>
      </c>
      <c r="J182">
        <v>0</v>
      </c>
      <c r="K182">
        <v>592454.72</v>
      </c>
    </row>
    <row r="183" spans="1:11" x14ac:dyDescent="0.25">
      <c r="A183" t="s">
        <v>1254</v>
      </c>
      <c r="B183" t="s">
        <v>1255</v>
      </c>
      <c r="C183" t="s">
        <v>631</v>
      </c>
      <c r="D183" t="s">
        <v>638</v>
      </c>
      <c r="E183">
        <v>89999.98</v>
      </c>
      <c r="F183" t="s">
        <v>639</v>
      </c>
      <c r="G183">
        <v>0</v>
      </c>
      <c r="H183">
        <v>0</v>
      </c>
      <c r="I183">
        <v>0</v>
      </c>
      <c r="J183">
        <v>0</v>
      </c>
      <c r="K183">
        <v>89999.98</v>
      </c>
    </row>
    <row r="184" spans="1:11" x14ac:dyDescent="0.25">
      <c r="A184" t="s">
        <v>412</v>
      </c>
      <c r="B184" t="s">
        <v>413</v>
      </c>
      <c r="C184" t="s">
        <v>631</v>
      </c>
      <c r="D184" t="s">
        <v>814</v>
      </c>
      <c r="E184">
        <v>2142547</v>
      </c>
      <c r="F184" t="s">
        <v>815</v>
      </c>
      <c r="G184">
        <v>3991536.45</v>
      </c>
      <c r="H184">
        <v>3345008.7</v>
      </c>
      <c r="I184">
        <v>0</v>
      </c>
      <c r="J184">
        <v>0</v>
      </c>
      <c r="K184">
        <v>9479092.1500000004</v>
      </c>
    </row>
    <row r="185" spans="1:11" x14ac:dyDescent="0.25">
      <c r="A185" t="s">
        <v>414</v>
      </c>
      <c r="B185" t="s">
        <v>415</v>
      </c>
      <c r="C185" t="s">
        <v>631</v>
      </c>
      <c r="D185" t="s">
        <v>838</v>
      </c>
      <c r="E185">
        <v>156000</v>
      </c>
      <c r="F185" t="s">
        <v>839</v>
      </c>
      <c r="G185">
        <v>312000</v>
      </c>
      <c r="H185">
        <v>468000</v>
      </c>
      <c r="I185">
        <v>0</v>
      </c>
      <c r="J185">
        <v>0</v>
      </c>
      <c r="K185">
        <v>936000</v>
      </c>
    </row>
    <row r="186" spans="1:11" x14ac:dyDescent="0.25">
      <c r="A186" t="s">
        <v>1256</v>
      </c>
      <c r="B186" t="s">
        <v>1257</v>
      </c>
      <c r="C186" t="s">
        <v>631</v>
      </c>
      <c r="D186" t="s">
        <v>652</v>
      </c>
      <c r="E186">
        <v>992655.76</v>
      </c>
      <c r="F186" t="s">
        <v>653</v>
      </c>
      <c r="G186">
        <v>0</v>
      </c>
      <c r="H186">
        <v>0</v>
      </c>
      <c r="I186">
        <v>0</v>
      </c>
      <c r="J186">
        <v>0</v>
      </c>
      <c r="K186">
        <v>992655.76</v>
      </c>
    </row>
    <row r="187" spans="1:11" x14ac:dyDescent="0.25">
      <c r="A187" t="s">
        <v>418</v>
      </c>
      <c r="B187" t="s">
        <v>419</v>
      </c>
      <c r="C187" t="s">
        <v>631</v>
      </c>
      <c r="D187" t="s">
        <v>740</v>
      </c>
      <c r="E187">
        <v>0</v>
      </c>
      <c r="F187" t="s">
        <v>741</v>
      </c>
      <c r="G187">
        <v>0</v>
      </c>
      <c r="H187">
        <v>0</v>
      </c>
      <c r="I187">
        <v>0</v>
      </c>
      <c r="J187">
        <v>13351649.470000001</v>
      </c>
      <c r="K187">
        <v>13351649.470000001</v>
      </c>
    </row>
    <row r="188" spans="1:11" x14ac:dyDescent="0.25">
      <c r="A188" t="s">
        <v>420</v>
      </c>
      <c r="B188" t="s">
        <v>421</v>
      </c>
      <c r="C188" t="s">
        <v>631</v>
      </c>
      <c r="D188" t="s">
        <v>658</v>
      </c>
      <c r="E188">
        <v>0</v>
      </c>
      <c r="F188" t="s">
        <v>659</v>
      </c>
      <c r="G188">
        <v>1579156.25</v>
      </c>
      <c r="H188">
        <v>0</v>
      </c>
      <c r="I188">
        <v>0</v>
      </c>
      <c r="J188">
        <v>0</v>
      </c>
      <c r="K188">
        <v>1579156.25</v>
      </c>
    </row>
    <row r="189" spans="1:11" x14ac:dyDescent="0.25">
      <c r="A189" t="s">
        <v>424</v>
      </c>
      <c r="B189" t="s">
        <v>425</v>
      </c>
      <c r="C189" t="s">
        <v>631</v>
      </c>
      <c r="D189" t="s">
        <v>842</v>
      </c>
      <c r="E189">
        <v>0</v>
      </c>
      <c r="F189" t="s">
        <v>843</v>
      </c>
      <c r="G189">
        <v>0</v>
      </c>
      <c r="H189">
        <v>8211687.0700000003</v>
      </c>
      <c r="I189">
        <v>0</v>
      </c>
      <c r="J189">
        <v>0</v>
      </c>
      <c r="K189">
        <v>8211687.0700000003</v>
      </c>
    </row>
    <row r="190" spans="1:11" x14ac:dyDescent="0.25">
      <c r="A190" t="s">
        <v>428</v>
      </c>
      <c r="B190" t="s">
        <v>429</v>
      </c>
      <c r="C190" t="s">
        <v>631</v>
      </c>
      <c r="D190" t="s">
        <v>738</v>
      </c>
      <c r="E190">
        <v>5986256.8099999996</v>
      </c>
      <c r="F190" t="s">
        <v>739</v>
      </c>
      <c r="G190">
        <v>17465927.859999999</v>
      </c>
      <c r="H190">
        <v>0</v>
      </c>
      <c r="I190">
        <v>0</v>
      </c>
      <c r="J190">
        <v>0</v>
      </c>
      <c r="K190">
        <v>23452184.670000002</v>
      </c>
    </row>
    <row r="191" spans="1:11" x14ac:dyDescent="0.25">
      <c r="A191" t="s">
        <v>846</v>
      </c>
      <c r="B191" t="s">
        <v>847</v>
      </c>
      <c r="C191" t="s">
        <v>631</v>
      </c>
      <c r="D191" t="s">
        <v>632</v>
      </c>
      <c r="E191">
        <v>6689825.2000000002</v>
      </c>
      <c r="F191" t="s">
        <v>633</v>
      </c>
      <c r="G191">
        <v>0</v>
      </c>
      <c r="H191">
        <v>0</v>
      </c>
      <c r="I191">
        <v>0</v>
      </c>
      <c r="J191">
        <v>0</v>
      </c>
      <c r="K191">
        <v>6689825.2000000002</v>
      </c>
    </row>
    <row r="192" spans="1:11" x14ac:dyDescent="0.25">
      <c r="A192" t="s">
        <v>430</v>
      </c>
      <c r="B192" t="s">
        <v>431</v>
      </c>
      <c r="C192" t="s">
        <v>631</v>
      </c>
      <c r="D192" t="s">
        <v>774</v>
      </c>
      <c r="E192">
        <v>0</v>
      </c>
      <c r="F192" t="s">
        <v>775</v>
      </c>
      <c r="G192">
        <v>7809125.5099999998</v>
      </c>
      <c r="H192">
        <v>4032863.97</v>
      </c>
      <c r="I192">
        <v>0</v>
      </c>
      <c r="J192">
        <v>0</v>
      </c>
      <c r="K192">
        <v>11841989.48</v>
      </c>
    </row>
    <row r="193" spans="1:11" x14ac:dyDescent="0.25">
      <c r="A193" t="s">
        <v>434</v>
      </c>
      <c r="B193" t="s">
        <v>435</v>
      </c>
      <c r="C193" t="s">
        <v>631</v>
      </c>
      <c r="D193" t="s">
        <v>848</v>
      </c>
      <c r="E193">
        <v>-1281082.8899999999</v>
      </c>
      <c r="F193" t="s">
        <v>849</v>
      </c>
      <c r="G193">
        <v>18868793.030000001</v>
      </c>
      <c r="H193">
        <v>2929297.71</v>
      </c>
      <c r="I193">
        <v>0</v>
      </c>
      <c r="J193">
        <v>0.05</v>
      </c>
      <c r="K193">
        <v>20517007.899999999</v>
      </c>
    </row>
    <row r="194" spans="1:11" x14ac:dyDescent="0.25">
      <c r="A194" t="s">
        <v>1258</v>
      </c>
      <c r="B194" t="s">
        <v>1259</v>
      </c>
      <c r="C194" t="s">
        <v>631</v>
      </c>
      <c r="D194" t="s">
        <v>750</v>
      </c>
      <c r="E194">
        <v>0</v>
      </c>
      <c r="F194" t="s">
        <v>751</v>
      </c>
      <c r="G194">
        <v>572785.81999999995</v>
      </c>
      <c r="H194">
        <v>0</v>
      </c>
      <c r="I194">
        <v>0</v>
      </c>
      <c r="J194">
        <v>0</v>
      </c>
      <c r="K194">
        <v>572785.81999999995</v>
      </c>
    </row>
    <row r="195" spans="1:11" x14ac:dyDescent="0.25">
      <c r="A195" t="s">
        <v>583</v>
      </c>
      <c r="B195" t="s">
        <v>584</v>
      </c>
      <c r="C195" t="s">
        <v>631</v>
      </c>
      <c r="D195" t="s">
        <v>850</v>
      </c>
      <c r="E195">
        <v>0</v>
      </c>
      <c r="F195" t="s">
        <v>851</v>
      </c>
      <c r="G195">
        <v>3527150</v>
      </c>
      <c r="H195">
        <v>0</v>
      </c>
      <c r="I195">
        <v>0</v>
      </c>
      <c r="J195">
        <v>0</v>
      </c>
      <c r="K195">
        <v>3527150</v>
      </c>
    </row>
    <row r="196" spans="1:11" x14ac:dyDescent="0.25">
      <c r="A196" t="s">
        <v>436</v>
      </c>
      <c r="B196" t="s">
        <v>437</v>
      </c>
      <c r="C196" t="s">
        <v>631</v>
      </c>
      <c r="D196" t="s">
        <v>668</v>
      </c>
      <c r="E196">
        <v>0</v>
      </c>
      <c r="F196" t="s">
        <v>669</v>
      </c>
      <c r="G196">
        <v>0</v>
      </c>
      <c r="H196">
        <v>0</v>
      </c>
      <c r="I196">
        <v>0</v>
      </c>
      <c r="J196">
        <v>-2698.26</v>
      </c>
      <c r="K196">
        <v>-2698.26</v>
      </c>
    </row>
    <row r="197" spans="1:11" x14ac:dyDescent="0.25">
      <c r="A197" t="s">
        <v>1260</v>
      </c>
      <c r="B197" t="s">
        <v>1261</v>
      </c>
      <c r="C197" t="s">
        <v>631</v>
      </c>
      <c r="D197" t="s">
        <v>1262</v>
      </c>
      <c r="E197">
        <v>9950050</v>
      </c>
      <c r="F197" t="s">
        <v>1263</v>
      </c>
      <c r="G197">
        <v>0</v>
      </c>
      <c r="H197">
        <v>0</v>
      </c>
      <c r="I197">
        <v>0</v>
      </c>
      <c r="J197">
        <v>0</v>
      </c>
      <c r="K197">
        <v>9950050</v>
      </c>
    </row>
    <row r="198" spans="1:11" x14ac:dyDescent="0.25">
      <c r="A198" t="s">
        <v>1264</v>
      </c>
      <c r="B198" t="s">
        <v>1265</v>
      </c>
      <c r="C198" t="s">
        <v>631</v>
      </c>
      <c r="D198" t="s">
        <v>634</v>
      </c>
      <c r="E198">
        <v>544476.4</v>
      </c>
      <c r="F198" t="s">
        <v>635</v>
      </c>
      <c r="G198">
        <v>0</v>
      </c>
      <c r="H198">
        <v>0</v>
      </c>
      <c r="I198">
        <v>0</v>
      </c>
      <c r="J198">
        <v>0</v>
      </c>
      <c r="K198">
        <v>544476.4</v>
      </c>
    </row>
    <row r="199" spans="1:11" x14ac:dyDescent="0.25">
      <c r="A199" t="s">
        <v>585</v>
      </c>
      <c r="B199" t="s">
        <v>586</v>
      </c>
      <c r="C199" t="s">
        <v>631</v>
      </c>
      <c r="D199" t="s">
        <v>718</v>
      </c>
      <c r="E199">
        <v>0</v>
      </c>
      <c r="F199" t="s">
        <v>719</v>
      </c>
      <c r="G199">
        <v>1676977.72</v>
      </c>
      <c r="H199">
        <v>0</v>
      </c>
      <c r="I199">
        <v>0</v>
      </c>
      <c r="J199">
        <v>0</v>
      </c>
      <c r="K199">
        <v>1676977.72</v>
      </c>
    </row>
    <row r="200" spans="1:11" x14ac:dyDescent="0.25">
      <c r="A200" t="s">
        <v>1266</v>
      </c>
      <c r="B200" t="s">
        <v>1267</v>
      </c>
      <c r="C200" t="s">
        <v>631</v>
      </c>
      <c r="D200" t="s">
        <v>1268</v>
      </c>
      <c r="E200">
        <v>546816.86</v>
      </c>
      <c r="F200" t="s">
        <v>1269</v>
      </c>
      <c r="G200">
        <v>0</v>
      </c>
      <c r="H200">
        <v>0</v>
      </c>
      <c r="I200">
        <v>0</v>
      </c>
      <c r="J200">
        <v>0</v>
      </c>
      <c r="K200">
        <v>546816.86</v>
      </c>
    </row>
    <row r="201" spans="1:11" x14ac:dyDescent="0.25">
      <c r="A201" t="s">
        <v>438</v>
      </c>
      <c r="B201" t="s">
        <v>439</v>
      </c>
      <c r="C201" t="s">
        <v>631</v>
      </c>
      <c r="D201" t="s">
        <v>852</v>
      </c>
      <c r="E201">
        <v>0</v>
      </c>
      <c r="F201" t="s">
        <v>853</v>
      </c>
      <c r="G201">
        <v>1277500</v>
      </c>
      <c r="H201">
        <v>0</v>
      </c>
      <c r="I201">
        <v>0</v>
      </c>
      <c r="J201">
        <v>0</v>
      </c>
      <c r="K201">
        <v>1277500</v>
      </c>
    </row>
    <row r="202" spans="1:11" x14ac:dyDescent="0.25">
      <c r="A202" t="s">
        <v>1270</v>
      </c>
      <c r="B202" t="s">
        <v>1271</v>
      </c>
      <c r="C202" t="s">
        <v>631</v>
      </c>
      <c r="D202" t="s">
        <v>740</v>
      </c>
      <c r="E202">
        <v>57334663.579999998</v>
      </c>
      <c r="F202" t="s">
        <v>741</v>
      </c>
      <c r="G202">
        <v>0</v>
      </c>
      <c r="H202">
        <v>0</v>
      </c>
      <c r="I202">
        <v>0</v>
      </c>
      <c r="J202">
        <v>0</v>
      </c>
      <c r="K202">
        <v>57334663.579999998</v>
      </c>
    </row>
    <row r="203" spans="1:11" x14ac:dyDescent="0.25">
      <c r="A203" t="s">
        <v>440</v>
      </c>
      <c r="B203" t="s">
        <v>441</v>
      </c>
      <c r="C203" t="s">
        <v>631</v>
      </c>
      <c r="D203" t="s">
        <v>858</v>
      </c>
      <c r="E203">
        <v>1984427.83</v>
      </c>
      <c r="F203" t="s">
        <v>859</v>
      </c>
      <c r="G203">
        <v>22360357.140000001</v>
      </c>
      <c r="H203">
        <v>1338901.3</v>
      </c>
      <c r="I203">
        <v>0</v>
      </c>
      <c r="J203">
        <v>0</v>
      </c>
      <c r="K203">
        <v>25683686.27</v>
      </c>
    </row>
    <row r="204" spans="1:11" x14ac:dyDescent="0.25">
      <c r="A204" t="s">
        <v>860</v>
      </c>
      <c r="B204" t="s">
        <v>861</v>
      </c>
      <c r="C204" t="s">
        <v>631</v>
      </c>
      <c r="D204" t="s">
        <v>862</v>
      </c>
      <c r="E204">
        <v>1926618.02</v>
      </c>
      <c r="F204" t="s">
        <v>863</v>
      </c>
      <c r="G204">
        <v>0</v>
      </c>
      <c r="H204">
        <v>0</v>
      </c>
      <c r="I204">
        <v>0</v>
      </c>
      <c r="J204">
        <v>0</v>
      </c>
      <c r="K204">
        <v>1926618.02</v>
      </c>
    </row>
    <row r="205" spans="1:11" x14ac:dyDescent="0.25">
      <c r="A205" t="s">
        <v>442</v>
      </c>
      <c r="B205" t="s">
        <v>443</v>
      </c>
      <c r="C205" t="s">
        <v>631</v>
      </c>
      <c r="D205" t="s">
        <v>756</v>
      </c>
      <c r="E205">
        <v>1063687.6200000001</v>
      </c>
      <c r="F205" t="s">
        <v>757</v>
      </c>
      <c r="G205">
        <v>3089628.46</v>
      </c>
      <c r="H205">
        <v>1135026.31</v>
      </c>
      <c r="I205">
        <v>0</v>
      </c>
      <c r="J205">
        <v>0</v>
      </c>
      <c r="K205">
        <v>5288342.3899999997</v>
      </c>
    </row>
    <row r="206" spans="1:11" x14ac:dyDescent="0.25">
      <c r="A206" t="s">
        <v>1272</v>
      </c>
      <c r="B206" t="s">
        <v>1273</v>
      </c>
      <c r="C206" t="s">
        <v>631</v>
      </c>
      <c r="D206" t="s">
        <v>1274</v>
      </c>
      <c r="E206">
        <v>11968048.970000001</v>
      </c>
      <c r="F206" t="s">
        <v>1275</v>
      </c>
      <c r="G206">
        <v>0</v>
      </c>
      <c r="H206">
        <v>0</v>
      </c>
      <c r="I206">
        <v>0</v>
      </c>
      <c r="J206">
        <v>0</v>
      </c>
      <c r="K206">
        <v>11968048.970000001</v>
      </c>
    </row>
    <row r="207" spans="1:11" x14ac:dyDescent="0.25">
      <c r="A207" t="s">
        <v>444</v>
      </c>
      <c r="B207" t="s">
        <v>445</v>
      </c>
      <c r="C207" t="s">
        <v>631</v>
      </c>
      <c r="D207" t="s">
        <v>858</v>
      </c>
      <c r="E207">
        <v>842101.5</v>
      </c>
      <c r="F207" t="s">
        <v>859</v>
      </c>
      <c r="G207">
        <v>2235996.2999999998</v>
      </c>
      <c r="H207">
        <v>1682115.29</v>
      </c>
      <c r="I207">
        <v>0</v>
      </c>
      <c r="J207">
        <v>0</v>
      </c>
      <c r="K207">
        <v>4760213.09</v>
      </c>
    </row>
    <row r="208" spans="1:11" x14ac:dyDescent="0.25">
      <c r="A208" t="s">
        <v>1276</v>
      </c>
      <c r="B208" t="s">
        <v>1277</v>
      </c>
      <c r="C208" t="s">
        <v>631</v>
      </c>
      <c r="D208" t="s">
        <v>1278</v>
      </c>
      <c r="E208">
        <v>1496673.58</v>
      </c>
      <c r="F208" t="s">
        <v>1279</v>
      </c>
      <c r="G208">
        <v>0</v>
      </c>
      <c r="H208">
        <v>26926.65</v>
      </c>
      <c r="I208">
        <v>-26926.65</v>
      </c>
      <c r="J208">
        <v>0</v>
      </c>
      <c r="K208">
        <v>1496673.58</v>
      </c>
    </row>
    <row r="209" spans="1:11" x14ac:dyDescent="0.25">
      <c r="A209" t="s">
        <v>1280</v>
      </c>
      <c r="B209" t="s">
        <v>1281</v>
      </c>
      <c r="C209" t="s">
        <v>631</v>
      </c>
      <c r="D209" t="s">
        <v>1282</v>
      </c>
      <c r="E209">
        <v>233500</v>
      </c>
      <c r="F209" t="s">
        <v>1283</v>
      </c>
      <c r="G209">
        <v>0</v>
      </c>
      <c r="H209">
        <v>0</v>
      </c>
      <c r="I209">
        <v>0</v>
      </c>
      <c r="J209">
        <v>0</v>
      </c>
      <c r="K209">
        <v>233500</v>
      </c>
    </row>
    <row r="210" spans="1:11" x14ac:dyDescent="0.25">
      <c r="A210" t="s">
        <v>446</v>
      </c>
      <c r="B210" t="s">
        <v>447</v>
      </c>
      <c r="C210" t="s">
        <v>631</v>
      </c>
      <c r="D210" t="s">
        <v>848</v>
      </c>
      <c r="E210">
        <v>6507600</v>
      </c>
      <c r="F210" t="s">
        <v>849</v>
      </c>
      <c r="G210">
        <v>0</v>
      </c>
      <c r="H210">
        <v>0</v>
      </c>
      <c r="I210">
        <v>0</v>
      </c>
      <c r="J210">
        <v>0</v>
      </c>
      <c r="K210">
        <v>6507600</v>
      </c>
    </row>
    <row r="211" spans="1:11" x14ac:dyDescent="0.25">
      <c r="A211" t="s">
        <v>587</v>
      </c>
      <c r="B211" t="s">
        <v>588</v>
      </c>
      <c r="C211" t="s">
        <v>631</v>
      </c>
      <c r="D211" t="s">
        <v>776</v>
      </c>
      <c r="E211">
        <v>135520</v>
      </c>
      <c r="F211" t="s">
        <v>777</v>
      </c>
      <c r="G211">
        <v>166980</v>
      </c>
      <c r="H211">
        <v>228690</v>
      </c>
      <c r="I211">
        <v>0</v>
      </c>
      <c r="J211">
        <v>0</v>
      </c>
      <c r="K211">
        <v>531190</v>
      </c>
    </row>
    <row r="212" spans="1:11" x14ac:dyDescent="0.25">
      <c r="A212" t="s">
        <v>589</v>
      </c>
      <c r="B212" t="s">
        <v>590</v>
      </c>
      <c r="C212" t="s">
        <v>631</v>
      </c>
      <c r="D212" t="s">
        <v>658</v>
      </c>
      <c r="E212">
        <v>2733910.44</v>
      </c>
      <c r="F212" t="s">
        <v>659</v>
      </c>
      <c r="G212">
        <v>0</v>
      </c>
      <c r="H212">
        <v>0</v>
      </c>
      <c r="I212">
        <v>0</v>
      </c>
      <c r="J212">
        <v>0</v>
      </c>
      <c r="K212">
        <v>2733910.44</v>
      </c>
    </row>
    <row r="213" spans="1:11" x14ac:dyDescent="0.25">
      <c r="A213" t="s">
        <v>450</v>
      </c>
      <c r="B213" t="s">
        <v>451</v>
      </c>
      <c r="C213" t="s">
        <v>631</v>
      </c>
      <c r="D213" t="s">
        <v>668</v>
      </c>
      <c r="E213">
        <v>0</v>
      </c>
      <c r="F213" t="s">
        <v>669</v>
      </c>
      <c r="G213">
        <v>15326344</v>
      </c>
      <c r="H213">
        <v>2560844</v>
      </c>
      <c r="I213">
        <v>0</v>
      </c>
      <c r="J213">
        <v>0</v>
      </c>
      <c r="K213">
        <v>17887188</v>
      </c>
    </row>
    <row r="214" spans="1:11" x14ac:dyDescent="0.25">
      <c r="A214" t="s">
        <v>452</v>
      </c>
      <c r="B214" t="s">
        <v>453</v>
      </c>
      <c r="C214" t="s">
        <v>631</v>
      </c>
      <c r="D214" t="s">
        <v>848</v>
      </c>
      <c r="E214">
        <v>0</v>
      </c>
      <c r="F214" t="s">
        <v>849</v>
      </c>
      <c r="G214">
        <v>3551488.68</v>
      </c>
      <c r="H214">
        <v>0</v>
      </c>
      <c r="I214">
        <v>0</v>
      </c>
      <c r="J214">
        <v>0</v>
      </c>
      <c r="K214">
        <v>3551488.68</v>
      </c>
    </row>
    <row r="215" spans="1:11" x14ac:dyDescent="0.25">
      <c r="A215" t="s">
        <v>1284</v>
      </c>
      <c r="B215" t="s">
        <v>1285</v>
      </c>
      <c r="C215" t="s">
        <v>631</v>
      </c>
      <c r="D215" t="s">
        <v>668</v>
      </c>
      <c r="E215">
        <v>1400000</v>
      </c>
      <c r="F215" t="s">
        <v>669</v>
      </c>
      <c r="G215">
        <v>0</v>
      </c>
      <c r="H215">
        <v>0</v>
      </c>
      <c r="I215">
        <v>0</v>
      </c>
      <c r="J215">
        <v>0</v>
      </c>
      <c r="K215">
        <v>1400000</v>
      </c>
    </row>
    <row r="216" spans="1:11" x14ac:dyDescent="0.25">
      <c r="A216" t="s">
        <v>454</v>
      </c>
      <c r="B216" t="s">
        <v>455</v>
      </c>
      <c r="C216" t="s">
        <v>631</v>
      </c>
      <c r="D216" t="s">
        <v>658</v>
      </c>
      <c r="E216">
        <v>0</v>
      </c>
      <c r="F216" t="s">
        <v>659</v>
      </c>
      <c r="G216">
        <v>36815388.899999999</v>
      </c>
      <c r="H216">
        <v>0</v>
      </c>
      <c r="I216">
        <v>0</v>
      </c>
      <c r="J216">
        <v>0</v>
      </c>
      <c r="K216">
        <v>36815388.899999999</v>
      </c>
    </row>
    <row r="217" spans="1:11" x14ac:dyDescent="0.25">
      <c r="A217" t="s">
        <v>591</v>
      </c>
      <c r="B217" t="s">
        <v>592</v>
      </c>
      <c r="C217" t="s">
        <v>631</v>
      </c>
      <c r="D217" t="s">
        <v>864</v>
      </c>
      <c r="E217">
        <v>0</v>
      </c>
      <c r="F217" t="s">
        <v>865</v>
      </c>
      <c r="G217">
        <v>144499.99</v>
      </c>
      <c r="H217">
        <v>0</v>
      </c>
      <c r="I217">
        <v>0</v>
      </c>
      <c r="J217">
        <v>0</v>
      </c>
      <c r="K217">
        <v>144499.99</v>
      </c>
    </row>
    <row r="218" spans="1:11" x14ac:dyDescent="0.25">
      <c r="A218" t="s">
        <v>456</v>
      </c>
      <c r="B218" t="s">
        <v>457</v>
      </c>
      <c r="C218" t="s">
        <v>631</v>
      </c>
      <c r="D218" t="s">
        <v>718</v>
      </c>
      <c r="E218">
        <v>0</v>
      </c>
      <c r="F218" t="s">
        <v>719</v>
      </c>
      <c r="G218">
        <v>6468021.1200000001</v>
      </c>
      <c r="H218">
        <v>0</v>
      </c>
      <c r="I218">
        <v>0</v>
      </c>
      <c r="J218">
        <v>0</v>
      </c>
      <c r="K218">
        <v>6468021.1200000001</v>
      </c>
    </row>
    <row r="219" spans="1:11" x14ac:dyDescent="0.25">
      <c r="A219" t="s">
        <v>458</v>
      </c>
      <c r="B219" t="s">
        <v>459</v>
      </c>
      <c r="C219" t="s">
        <v>631</v>
      </c>
      <c r="D219" t="s">
        <v>792</v>
      </c>
      <c r="E219">
        <v>0</v>
      </c>
      <c r="F219" t="s">
        <v>793</v>
      </c>
      <c r="G219">
        <v>1280105.83</v>
      </c>
      <c r="H219">
        <v>0</v>
      </c>
      <c r="I219">
        <v>0</v>
      </c>
      <c r="J219">
        <v>0</v>
      </c>
      <c r="K219">
        <v>1280105.83</v>
      </c>
    </row>
    <row r="220" spans="1:11" x14ac:dyDescent="0.25">
      <c r="A220" t="s">
        <v>462</v>
      </c>
      <c r="B220" t="s">
        <v>463</v>
      </c>
      <c r="C220" t="s">
        <v>631</v>
      </c>
      <c r="D220" t="s">
        <v>868</v>
      </c>
      <c r="E220">
        <v>0</v>
      </c>
      <c r="F220" t="s">
        <v>869</v>
      </c>
      <c r="G220">
        <v>0</v>
      </c>
      <c r="H220">
        <v>16855300</v>
      </c>
      <c r="I220">
        <v>0</v>
      </c>
      <c r="J220">
        <v>0</v>
      </c>
      <c r="K220">
        <v>16855300</v>
      </c>
    </row>
    <row r="221" spans="1:11" x14ac:dyDescent="0.25">
      <c r="A221" t="s">
        <v>464</v>
      </c>
      <c r="B221" t="s">
        <v>465</v>
      </c>
      <c r="C221" t="s">
        <v>631</v>
      </c>
      <c r="D221" t="s">
        <v>658</v>
      </c>
      <c r="E221">
        <v>0</v>
      </c>
      <c r="F221" t="s">
        <v>659</v>
      </c>
      <c r="G221">
        <v>933900</v>
      </c>
      <c r="H221">
        <v>593150</v>
      </c>
      <c r="I221">
        <v>0</v>
      </c>
      <c r="J221">
        <v>0</v>
      </c>
      <c r="K221">
        <v>1527050</v>
      </c>
    </row>
    <row r="222" spans="1:11" x14ac:dyDescent="0.25">
      <c r="A222" t="s">
        <v>870</v>
      </c>
      <c r="B222" t="s">
        <v>871</v>
      </c>
      <c r="C222" t="s">
        <v>631</v>
      </c>
      <c r="D222" t="s">
        <v>676</v>
      </c>
      <c r="E222">
        <v>1515440</v>
      </c>
      <c r="F222" t="s">
        <v>677</v>
      </c>
      <c r="G222">
        <v>181681.5</v>
      </c>
      <c r="H222">
        <v>0</v>
      </c>
      <c r="I222">
        <v>0</v>
      </c>
      <c r="J222">
        <v>0</v>
      </c>
      <c r="K222">
        <v>1697121.5</v>
      </c>
    </row>
    <row r="223" spans="1:11" x14ac:dyDescent="0.25">
      <c r="A223" t="s">
        <v>466</v>
      </c>
      <c r="B223" t="s">
        <v>467</v>
      </c>
      <c r="C223" t="s">
        <v>631</v>
      </c>
      <c r="D223" t="s">
        <v>758</v>
      </c>
      <c r="E223">
        <v>5990400</v>
      </c>
      <c r="F223" t="s">
        <v>759</v>
      </c>
      <c r="G223">
        <v>9029998</v>
      </c>
      <c r="H223">
        <v>0</v>
      </c>
      <c r="I223">
        <v>0</v>
      </c>
      <c r="J223">
        <v>0</v>
      </c>
      <c r="K223">
        <v>15020398</v>
      </c>
    </row>
    <row r="224" spans="1:11" x14ac:dyDescent="0.25">
      <c r="A224" t="s">
        <v>1286</v>
      </c>
      <c r="B224" t="s">
        <v>1287</v>
      </c>
      <c r="C224" t="s">
        <v>631</v>
      </c>
      <c r="D224" t="s">
        <v>818</v>
      </c>
      <c r="E224">
        <v>547500</v>
      </c>
      <c r="F224" t="s">
        <v>819</v>
      </c>
      <c r="G224">
        <v>0</v>
      </c>
      <c r="H224">
        <v>0</v>
      </c>
      <c r="I224">
        <v>0</v>
      </c>
      <c r="J224">
        <v>0</v>
      </c>
      <c r="K224">
        <v>547500</v>
      </c>
    </row>
    <row r="225" spans="1:11" x14ac:dyDescent="0.25">
      <c r="A225" t="s">
        <v>468</v>
      </c>
      <c r="B225" t="s">
        <v>469</v>
      </c>
      <c r="C225" t="s">
        <v>631</v>
      </c>
      <c r="D225" t="s">
        <v>814</v>
      </c>
      <c r="E225">
        <v>0</v>
      </c>
      <c r="F225" t="s">
        <v>815</v>
      </c>
      <c r="G225">
        <v>1596554</v>
      </c>
      <c r="H225">
        <v>2796247.55</v>
      </c>
      <c r="I225">
        <v>0</v>
      </c>
      <c r="J225">
        <v>0</v>
      </c>
      <c r="K225">
        <v>4392801.55</v>
      </c>
    </row>
    <row r="226" spans="1:11" x14ac:dyDescent="0.25">
      <c r="A226" t="s">
        <v>470</v>
      </c>
      <c r="B226" t="s">
        <v>471</v>
      </c>
      <c r="C226" t="s">
        <v>631</v>
      </c>
      <c r="D226" t="s">
        <v>872</v>
      </c>
      <c r="E226">
        <v>0</v>
      </c>
      <c r="F226" t="s">
        <v>873</v>
      </c>
      <c r="G226">
        <v>1851080</v>
      </c>
      <c r="H226">
        <v>1851080</v>
      </c>
      <c r="I226">
        <v>0</v>
      </c>
      <c r="J226">
        <v>0</v>
      </c>
      <c r="K226">
        <v>3702160</v>
      </c>
    </row>
    <row r="227" spans="1:11" x14ac:dyDescent="0.25">
      <c r="A227" t="s">
        <v>472</v>
      </c>
      <c r="B227" t="s">
        <v>473</v>
      </c>
      <c r="C227" t="s">
        <v>631</v>
      </c>
      <c r="D227" t="s">
        <v>652</v>
      </c>
      <c r="E227">
        <v>0</v>
      </c>
      <c r="F227" t="s">
        <v>653</v>
      </c>
      <c r="G227">
        <v>0</v>
      </c>
      <c r="H227">
        <v>3978739.91</v>
      </c>
      <c r="I227">
        <v>0</v>
      </c>
      <c r="J227">
        <v>0</v>
      </c>
      <c r="K227">
        <v>3978739.91</v>
      </c>
    </row>
    <row r="228" spans="1:11" x14ac:dyDescent="0.25">
      <c r="A228" t="s">
        <v>474</v>
      </c>
      <c r="B228" t="s">
        <v>475</v>
      </c>
      <c r="C228" t="s">
        <v>631</v>
      </c>
      <c r="D228" t="s">
        <v>740</v>
      </c>
      <c r="E228">
        <v>0</v>
      </c>
      <c r="F228" t="s">
        <v>741</v>
      </c>
      <c r="G228">
        <v>0</v>
      </c>
      <c r="H228">
        <v>0</v>
      </c>
      <c r="I228">
        <v>0</v>
      </c>
      <c r="J228">
        <v>1074310</v>
      </c>
      <c r="K228">
        <v>1074310</v>
      </c>
    </row>
    <row r="229" spans="1:11" x14ac:dyDescent="0.25">
      <c r="A229" t="s">
        <v>1288</v>
      </c>
      <c r="B229" t="s">
        <v>1289</v>
      </c>
      <c r="C229" t="s">
        <v>631</v>
      </c>
      <c r="D229" t="s">
        <v>838</v>
      </c>
      <c r="E229">
        <v>456170</v>
      </c>
      <c r="F229" t="s">
        <v>839</v>
      </c>
      <c r="G229">
        <v>0</v>
      </c>
      <c r="H229">
        <v>0</v>
      </c>
      <c r="I229">
        <v>0</v>
      </c>
      <c r="J229">
        <v>0</v>
      </c>
      <c r="K229">
        <v>456170</v>
      </c>
    </row>
    <row r="230" spans="1:11" x14ac:dyDescent="0.25">
      <c r="A230" t="s">
        <v>476</v>
      </c>
      <c r="B230" t="s">
        <v>477</v>
      </c>
      <c r="C230" t="s">
        <v>631</v>
      </c>
      <c r="D230" t="s">
        <v>678</v>
      </c>
      <c r="E230">
        <v>0</v>
      </c>
      <c r="F230" t="s">
        <v>679</v>
      </c>
      <c r="G230">
        <v>0</v>
      </c>
      <c r="H230">
        <v>1271600</v>
      </c>
      <c r="I230">
        <v>0</v>
      </c>
      <c r="J230">
        <v>0</v>
      </c>
      <c r="K230">
        <v>1271600</v>
      </c>
    </row>
    <row r="231" spans="1:11" x14ac:dyDescent="0.25">
      <c r="A231" t="s">
        <v>1290</v>
      </c>
      <c r="B231" t="s">
        <v>1291</v>
      </c>
      <c r="C231" t="s">
        <v>631</v>
      </c>
      <c r="D231" t="s">
        <v>668</v>
      </c>
      <c r="E231">
        <v>139000.34</v>
      </c>
      <c r="F231" t="s">
        <v>669</v>
      </c>
      <c r="G231">
        <v>0</v>
      </c>
      <c r="H231">
        <v>0</v>
      </c>
      <c r="I231">
        <v>0</v>
      </c>
      <c r="J231">
        <v>0</v>
      </c>
      <c r="K231">
        <v>139000.34</v>
      </c>
    </row>
    <row r="232" spans="1:11" x14ac:dyDescent="0.25">
      <c r="A232" t="s">
        <v>1292</v>
      </c>
      <c r="B232" t="s">
        <v>1293</v>
      </c>
      <c r="C232" t="s">
        <v>631</v>
      </c>
      <c r="D232" t="s">
        <v>668</v>
      </c>
      <c r="E232">
        <v>24647700</v>
      </c>
      <c r="F232" t="s">
        <v>669</v>
      </c>
      <c r="G232">
        <v>0</v>
      </c>
      <c r="H232">
        <v>0</v>
      </c>
      <c r="I232">
        <v>0</v>
      </c>
      <c r="J232">
        <v>0</v>
      </c>
      <c r="K232">
        <v>24647700</v>
      </c>
    </row>
    <row r="233" spans="1:11" x14ac:dyDescent="0.25">
      <c r="A233" t="s">
        <v>593</v>
      </c>
      <c r="B233" t="s">
        <v>594</v>
      </c>
      <c r="C233" t="s">
        <v>631</v>
      </c>
      <c r="D233" t="s">
        <v>876</v>
      </c>
      <c r="E233">
        <v>0</v>
      </c>
      <c r="F233" t="s">
        <v>877</v>
      </c>
      <c r="G233">
        <v>3228555.27</v>
      </c>
      <c r="H233">
        <v>248261.75</v>
      </c>
      <c r="I233">
        <v>0</v>
      </c>
      <c r="J233">
        <v>0</v>
      </c>
      <c r="K233">
        <v>3476817.02</v>
      </c>
    </row>
    <row r="234" spans="1:11" x14ac:dyDescent="0.25">
      <c r="A234" t="s">
        <v>478</v>
      </c>
      <c r="B234" t="s">
        <v>479</v>
      </c>
      <c r="C234" t="s">
        <v>631</v>
      </c>
      <c r="D234" t="s">
        <v>764</v>
      </c>
      <c r="E234">
        <v>292559.84999999998</v>
      </c>
      <c r="F234" t="s">
        <v>765</v>
      </c>
      <c r="G234">
        <v>308126.71999999997</v>
      </c>
      <c r="H234">
        <v>0</v>
      </c>
      <c r="I234">
        <v>0</v>
      </c>
      <c r="J234">
        <v>0</v>
      </c>
      <c r="K234">
        <v>600686.56999999995</v>
      </c>
    </row>
    <row r="235" spans="1:11" x14ac:dyDescent="0.25">
      <c r="A235" t="s">
        <v>1294</v>
      </c>
      <c r="B235" t="s">
        <v>1295</v>
      </c>
      <c r="C235" t="s">
        <v>631</v>
      </c>
      <c r="D235" t="s">
        <v>758</v>
      </c>
      <c r="E235">
        <v>517597.09</v>
      </c>
      <c r="F235" t="s">
        <v>759</v>
      </c>
      <c r="G235">
        <v>0</v>
      </c>
      <c r="H235">
        <v>0</v>
      </c>
      <c r="I235">
        <v>0</v>
      </c>
      <c r="J235">
        <v>0</v>
      </c>
      <c r="K235">
        <v>517597.09</v>
      </c>
    </row>
    <row r="236" spans="1:11" x14ac:dyDescent="0.25">
      <c r="A236" t="s">
        <v>480</v>
      </c>
      <c r="B236" t="s">
        <v>481</v>
      </c>
      <c r="C236" t="s">
        <v>631</v>
      </c>
      <c r="D236" t="s">
        <v>670</v>
      </c>
      <c r="E236">
        <v>4810000</v>
      </c>
      <c r="F236" t="s">
        <v>671</v>
      </c>
      <c r="G236">
        <v>43990000</v>
      </c>
      <c r="H236">
        <v>0</v>
      </c>
      <c r="I236">
        <v>0</v>
      </c>
      <c r="J236">
        <v>0</v>
      </c>
      <c r="K236">
        <v>48800000</v>
      </c>
    </row>
    <row r="237" spans="1:11" x14ac:dyDescent="0.25">
      <c r="A237" t="s">
        <v>482</v>
      </c>
      <c r="B237" t="s">
        <v>483</v>
      </c>
      <c r="C237" t="s">
        <v>631</v>
      </c>
      <c r="D237" t="s">
        <v>740</v>
      </c>
      <c r="E237">
        <v>0</v>
      </c>
      <c r="F237" t="s">
        <v>741</v>
      </c>
      <c r="G237">
        <v>0</v>
      </c>
      <c r="H237">
        <v>0</v>
      </c>
      <c r="I237">
        <v>0</v>
      </c>
      <c r="J237">
        <v>8115779.6100000003</v>
      </c>
      <c r="K237">
        <v>8115779.6100000003</v>
      </c>
    </row>
    <row r="238" spans="1:11" x14ac:dyDescent="0.25">
      <c r="A238" t="s">
        <v>484</v>
      </c>
      <c r="B238" t="s">
        <v>485</v>
      </c>
      <c r="C238" t="s">
        <v>631</v>
      </c>
      <c r="D238" t="s">
        <v>738</v>
      </c>
      <c r="E238">
        <v>0</v>
      </c>
      <c r="F238" t="s">
        <v>739</v>
      </c>
      <c r="G238">
        <v>0</v>
      </c>
      <c r="H238">
        <v>8034400</v>
      </c>
      <c r="I238">
        <v>0</v>
      </c>
      <c r="J238">
        <v>0</v>
      </c>
      <c r="K238">
        <v>8034400</v>
      </c>
    </row>
    <row r="239" spans="1:11" x14ac:dyDescent="0.25">
      <c r="A239" t="s">
        <v>486</v>
      </c>
      <c r="B239" t="s">
        <v>487</v>
      </c>
      <c r="C239" t="s">
        <v>631</v>
      </c>
      <c r="D239" t="s">
        <v>718</v>
      </c>
      <c r="E239">
        <v>0</v>
      </c>
      <c r="F239" t="s">
        <v>719</v>
      </c>
      <c r="G239">
        <v>0</v>
      </c>
      <c r="H239">
        <v>2998380</v>
      </c>
      <c r="I239">
        <v>0</v>
      </c>
      <c r="J239">
        <v>0</v>
      </c>
      <c r="K239">
        <v>2998380</v>
      </c>
    </row>
    <row r="240" spans="1:11" x14ac:dyDescent="0.25">
      <c r="A240" t="s">
        <v>597</v>
      </c>
      <c r="B240" t="s">
        <v>598</v>
      </c>
      <c r="C240" t="s">
        <v>631</v>
      </c>
      <c r="D240" t="s">
        <v>700</v>
      </c>
      <c r="E240">
        <v>0</v>
      </c>
      <c r="F240" t="s">
        <v>701</v>
      </c>
      <c r="G240">
        <v>33011550</v>
      </c>
      <c r="H240">
        <v>0</v>
      </c>
      <c r="I240">
        <v>0</v>
      </c>
      <c r="J240">
        <v>0</v>
      </c>
      <c r="K240">
        <v>33011550</v>
      </c>
    </row>
    <row r="241" spans="1:11" x14ac:dyDescent="0.25">
      <c r="A241" t="s">
        <v>488</v>
      </c>
      <c r="B241" t="s">
        <v>489</v>
      </c>
      <c r="C241" t="s">
        <v>631</v>
      </c>
      <c r="D241" t="s">
        <v>740</v>
      </c>
      <c r="E241">
        <v>0</v>
      </c>
      <c r="F241" t="s">
        <v>741</v>
      </c>
      <c r="G241">
        <v>0</v>
      </c>
      <c r="H241">
        <v>0</v>
      </c>
      <c r="I241">
        <v>0</v>
      </c>
      <c r="J241">
        <v>25876207.34</v>
      </c>
      <c r="K241">
        <v>25876207.34</v>
      </c>
    </row>
    <row r="242" spans="1:11" x14ac:dyDescent="0.25">
      <c r="A242" t="s">
        <v>599</v>
      </c>
      <c r="B242" t="s">
        <v>600</v>
      </c>
      <c r="C242" t="s">
        <v>631</v>
      </c>
      <c r="D242" t="s">
        <v>878</v>
      </c>
      <c r="E242">
        <v>0</v>
      </c>
      <c r="F242" t="s">
        <v>879</v>
      </c>
      <c r="G242">
        <v>3618300</v>
      </c>
      <c r="H242">
        <v>0</v>
      </c>
      <c r="I242">
        <v>0</v>
      </c>
      <c r="J242">
        <v>0</v>
      </c>
      <c r="K242">
        <v>3618300</v>
      </c>
    </row>
    <row r="243" spans="1:11" x14ac:dyDescent="0.25">
      <c r="A243" t="s">
        <v>490</v>
      </c>
      <c r="B243" t="s">
        <v>491</v>
      </c>
      <c r="C243" t="s">
        <v>631</v>
      </c>
      <c r="D243" t="s">
        <v>778</v>
      </c>
      <c r="E243">
        <v>0</v>
      </c>
      <c r="F243" t="s">
        <v>779</v>
      </c>
      <c r="G243">
        <v>0</v>
      </c>
      <c r="H243">
        <v>0</v>
      </c>
      <c r="I243">
        <v>0</v>
      </c>
      <c r="J243">
        <v>1331</v>
      </c>
      <c r="K243">
        <v>1331</v>
      </c>
    </row>
    <row r="244" spans="1:11" x14ac:dyDescent="0.25">
      <c r="A244" t="s">
        <v>1296</v>
      </c>
      <c r="B244" t="s">
        <v>1297</v>
      </c>
      <c r="C244" t="s">
        <v>631</v>
      </c>
      <c r="D244" t="s">
        <v>885</v>
      </c>
      <c r="E244">
        <v>411400</v>
      </c>
      <c r="F244" t="s">
        <v>886</v>
      </c>
      <c r="G244">
        <v>0</v>
      </c>
      <c r="H244">
        <v>0</v>
      </c>
      <c r="I244">
        <v>0</v>
      </c>
      <c r="J244">
        <v>0</v>
      </c>
      <c r="K244">
        <v>411400</v>
      </c>
    </row>
    <row r="245" spans="1:11" x14ac:dyDescent="0.25">
      <c r="A245" t="s">
        <v>492</v>
      </c>
      <c r="B245" t="s">
        <v>493</v>
      </c>
      <c r="C245" t="s">
        <v>631</v>
      </c>
      <c r="D245" t="s">
        <v>752</v>
      </c>
      <c r="E245">
        <v>224299.74</v>
      </c>
      <c r="F245" t="s">
        <v>753</v>
      </c>
      <c r="G245">
        <v>1174895.77</v>
      </c>
      <c r="H245">
        <v>109800.03</v>
      </c>
      <c r="I245">
        <v>0</v>
      </c>
      <c r="J245">
        <v>0</v>
      </c>
      <c r="K245">
        <v>1508995.54</v>
      </c>
    </row>
    <row r="246" spans="1:11" x14ac:dyDescent="0.25">
      <c r="A246" t="s">
        <v>494</v>
      </c>
      <c r="B246" t="s">
        <v>495</v>
      </c>
      <c r="C246" t="s">
        <v>631</v>
      </c>
      <c r="D246" t="s">
        <v>828</v>
      </c>
      <c r="E246">
        <v>0</v>
      </c>
      <c r="F246" t="s">
        <v>882</v>
      </c>
      <c r="G246">
        <v>4089800</v>
      </c>
      <c r="H246">
        <v>0</v>
      </c>
      <c r="I246">
        <v>0</v>
      </c>
      <c r="J246">
        <v>0</v>
      </c>
      <c r="K246">
        <v>4089800</v>
      </c>
    </row>
    <row r="247" spans="1:11" x14ac:dyDescent="0.25">
      <c r="A247" t="s">
        <v>496</v>
      </c>
      <c r="B247" t="s">
        <v>497</v>
      </c>
      <c r="C247" t="s">
        <v>631</v>
      </c>
      <c r="D247" t="s">
        <v>808</v>
      </c>
      <c r="E247">
        <v>0</v>
      </c>
      <c r="F247" t="s">
        <v>809</v>
      </c>
      <c r="G247">
        <v>16443900</v>
      </c>
      <c r="H247">
        <v>0</v>
      </c>
      <c r="I247">
        <v>0</v>
      </c>
      <c r="J247">
        <v>0</v>
      </c>
      <c r="K247">
        <v>16443900</v>
      </c>
    </row>
    <row r="248" spans="1:11" x14ac:dyDescent="0.25">
      <c r="A248" t="s">
        <v>1298</v>
      </c>
      <c r="B248" t="s">
        <v>1299</v>
      </c>
      <c r="C248" t="s">
        <v>631</v>
      </c>
      <c r="D248" t="s">
        <v>808</v>
      </c>
      <c r="E248">
        <v>1793935538.1900001</v>
      </c>
      <c r="F248" t="s">
        <v>809</v>
      </c>
      <c r="G248">
        <v>0</v>
      </c>
      <c r="H248">
        <v>0</v>
      </c>
      <c r="I248">
        <v>0</v>
      </c>
      <c r="J248">
        <v>0</v>
      </c>
      <c r="K248">
        <v>1793935538.1900001</v>
      </c>
    </row>
    <row r="249" spans="1:11" x14ac:dyDescent="0.25">
      <c r="A249" t="s">
        <v>1300</v>
      </c>
      <c r="B249" t="s">
        <v>1301</v>
      </c>
      <c r="C249" t="s">
        <v>631</v>
      </c>
      <c r="D249" t="s">
        <v>638</v>
      </c>
      <c r="E249">
        <v>195817.46</v>
      </c>
      <c r="F249" t="s">
        <v>639</v>
      </c>
      <c r="G249">
        <v>0</v>
      </c>
      <c r="H249">
        <v>0</v>
      </c>
      <c r="I249">
        <v>0</v>
      </c>
      <c r="J249">
        <v>0</v>
      </c>
      <c r="K249">
        <v>195817.46</v>
      </c>
    </row>
    <row r="250" spans="1:11" x14ac:dyDescent="0.25">
      <c r="A250" t="s">
        <v>603</v>
      </c>
      <c r="B250" t="s">
        <v>604</v>
      </c>
      <c r="C250" t="s">
        <v>631</v>
      </c>
      <c r="D250" t="s">
        <v>718</v>
      </c>
      <c r="E250">
        <v>0</v>
      </c>
      <c r="F250" t="s">
        <v>719</v>
      </c>
      <c r="G250">
        <v>4471155.84</v>
      </c>
      <c r="H250">
        <v>0</v>
      </c>
      <c r="I250">
        <v>0</v>
      </c>
      <c r="J250">
        <v>0</v>
      </c>
      <c r="K250">
        <v>4471155.84</v>
      </c>
    </row>
    <row r="251" spans="1:11" x14ac:dyDescent="0.25">
      <c r="A251" t="s">
        <v>498</v>
      </c>
      <c r="B251" t="s">
        <v>499</v>
      </c>
      <c r="C251" t="s">
        <v>631</v>
      </c>
      <c r="D251" t="s">
        <v>852</v>
      </c>
      <c r="E251">
        <v>0</v>
      </c>
      <c r="F251" t="s">
        <v>853</v>
      </c>
      <c r="G251">
        <v>0</v>
      </c>
      <c r="H251">
        <v>94650</v>
      </c>
      <c r="I251">
        <v>0</v>
      </c>
      <c r="J251">
        <v>0</v>
      </c>
      <c r="K251">
        <v>94650</v>
      </c>
    </row>
    <row r="252" spans="1:11" x14ac:dyDescent="0.25">
      <c r="A252" t="s">
        <v>500</v>
      </c>
      <c r="B252" t="s">
        <v>501</v>
      </c>
      <c r="C252" t="s">
        <v>631</v>
      </c>
      <c r="D252" t="s">
        <v>646</v>
      </c>
      <c r="E252">
        <v>0</v>
      </c>
      <c r="F252" t="s">
        <v>647</v>
      </c>
      <c r="G252">
        <v>5454380.2699999996</v>
      </c>
      <c r="H252">
        <v>0</v>
      </c>
      <c r="I252">
        <v>0</v>
      </c>
      <c r="J252">
        <v>0</v>
      </c>
      <c r="K252">
        <v>5454380.2699999996</v>
      </c>
    </row>
    <row r="253" spans="1:11" x14ac:dyDescent="0.25">
      <c r="A253" t="s">
        <v>502</v>
      </c>
      <c r="B253" t="s">
        <v>503</v>
      </c>
      <c r="C253" t="s">
        <v>631</v>
      </c>
      <c r="D253" t="s">
        <v>848</v>
      </c>
      <c r="E253">
        <v>10753280.289999999</v>
      </c>
      <c r="F253" t="s">
        <v>849</v>
      </c>
      <c r="G253">
        <v>263780</v>
      </c>
      <c r="H253">
        <v>7000000</v>
      </c>
      <c r="I253">
        <v>0</v>
      </c>
      <c r="J253">
        <v>0</v>
      </c>
      <c r="K253">
        <v>18017060.289999999</v>
      </c>
    </row>
    <row r="254" spans="1:11" x14ac:dyDescent="0.25">
      <c r="A254" t="s">
        <v>605</v>
      </c>
      <c r="B254" t="s">
        <v>606</v>
      </c>
      <c r="C254" t="s">
        <v>631</v>
      </c>
      <c r="D254" t="s">
        <v>660</v>
      </c>
      <c r="E254">
        <v>0</v>
      </c>
      <c r="F254" t="s">
        <v>661</v>
      </c>
      <c r="G254">
        <v>1445042.13</v>
      </c>
      <c r="H254">
        <v>0</v>
      </c>
      <c r="I254">
        <v>0</v>
      </c>
      <c r="J254">
        <v>0</v>
      </c>
      <c r="K254">
        <v>1445042.13</v>
      </c>
    </row>
    <row r="255" spans="1:11" x14ac:dyDescent="0.25">
      <c r="A255" t="s">
        <v>1302</v>
      </c>
      <c r="B255" t="s">
        <v>1303</v>
      </c>
      <c r="C255" t="s">
        <v>631</v>
      </c>
      <c r="D255" t="s">
        <v>660</v>
      </c>
      <c r="E255">
        <v>2147168.08</v>
      </c>
      <c r="F255" t="s">
        <v>661</v>
      </c>
      <c r="G255">
        <v>0</v>
      </c>
      <c r="H255">
        <v>0</v>
      </c>
      <c r="I255">
        <v>0</v>
      </c>
      <c r="J255">
        <v>0</v>
      </c>
      <c r="K255">
        <v>2147168.08</v>
      </c>
    </row>
    <row r="256" spans="1:11" x14ac:dyDescent="0.25">
      <c r="A256" t="s">
        <v>504</v>
      </c>
      <c r="B256" t="s">
        <v>505</v>
      </c>
      <c r="C256" t="s">
        <v>631</v>
      </c>
      <c r="D256" t="s">
        <v>668</v>
      </c>
      <c r="E256">
        <v>420000</v>
      </c>
      <c r="F256" t="s">
        <v>669</v>
      </c>
      <c r="G256">
        <v>0</v>
      </c>
      <c r="H256">
        <v>0</v>
      </c>
      <c r="I256">
        <v>0</v>
      </c>
      <c r="J256">
        <v>0</v>
      </c>
      <c r="K256">
        <v>420000</v>
      </c>
    </row>
    <row r="257" spans="1:11" x14ac:dyDescent="0.25">
      <c r="A257" t="s">
        <v>887</v>
      </c>
      <c r="B257" t="s">
        <v>888</v>
      </c>
      <c r="C257" t="s">
        <v>631</v>
      </c>
      <c r="D257" t="s">
        <v>724</v>
      </c>
      <c r="E257">
        <v>0</v>
      </c>
      <c r="F257" t="s">
        <v>725</v>
      </c>
      <c r="G257">
        <v>657417.41</v>
      </c>
      <c r="H257">
        <v>0</v>
      </c>
      <c r="I257">
        <v>0</v>
      </c>
      <c r="J257">
        <v>0</v>
      </c>
      <c r="K257">
        <v>657417.41</v>
      </c>
    </row>
    <row r="258" spans="1:11" x14ac:dyDescent="0.25">
      <c r="A258" t="s">
        <v>506</v>
      </c>
      <c r="B258" t="s">
        <v>507</v>
      </c>
      <c r="C258" t="s">
        <v>631</v>
      </c>
      <c r="D258" t="s">
        <v>889</v>
      </c>
      <c r="E258">
        <v>1325389.93</v>
      </c>
      <c r="F258" t="s">
        <v>890</v>
      </c>
      <c r="G258">
        <v>2669255.2400000002</v>
      </c>
      <c r="H258">
        <v>0</v>
      </c>
      <c r="I258">
        <v>0</v>
      </c>
      <c r="J258">
        <v>0</v>
      </c>
      <c r="K258">
        <v>3994645.17</v>
      </c>
    </row>
    <row r="259" spans="1:11" x14ac:dyDescent="0.25">
      <c r="A259" t="s">
        <v>508</v>
      </c>
      <c r="B259" t="s">
        <v>509</v>
      </c>
      <c r="C259" t="s">
        <v>631</v>
      </c>
      <c r="D259" t="s">
        <v>818</v>
      </c>
      <c r="E259">
        <v>359000</v>
      </c>
      <c r="F259" t="s">
        <v>819</v>
      </c>
      <c r="G259">
        <v>0</v>
      </c>
      <c r="H259">
        <v>-0.01</v>
      </c>
      <c r="I259">
        <v>0</v>
      </c>
      <c r="J259">
        <v>0</v>
      </c>
      <c r="K259">
        <v>358999.99</v>
      </c>
    </row>
    <row r="260" spans="1:11" x14ac:dyDescent="0.25">
      <c r="A260" t="s">
        <v>510</v>
      </c>
      <c r="B260" t="s">
        <v>511</v>
      </c>
      <c r="C260" t="s">
        <v>631</v>
      </c>
      <c r="D260" t="s">
        <v>724</v>
      </c>
      <c r="E260">
        <v>0</v>
      </c>
      <c r="F260" t="s">
        <v>725</v>
      </c>
      <c r="G260">
        <v>1098438</v>
      </c>
      <c r="H260">
        <v>0</v>
      </c>
      <c r="I260">
        <v>0</v>
      </c>
      <c r="J260">
        <v>0</v>
      </c>
      <c r="K260">
        <v>1098438</v>
      </c>
    </row>
    <row r="261" spans="1:11" x14ac:dyDescent="0.25">
      <c r="A261" t="s">
        <v>512</v>
      </c>
      <c r="B261" t="s">
        <v>513</v>
      </c>
      <c r="C261" t="s">
        <v>631</v>
      </c>
      <c r="D261" t="s">
        <v>676</v>
      </c>
      <c r="E261">
        <v>0</v>
      </c>
      <c r="F261" t="s">
        <v>677</v>
      </c>
      <c r="G261">
        <v>8905600</v>
      </c>
      <c r="H261">
        <v>0</v>
      </c>
      <c r="I261">
        <v>0</v>
      </c>
      <c r="J261">
        <v>0</v>
      </c>
      <c r="K261">
        <v>8905600</v>
      </c>
    </row>
    <row r="262" spans="1:11" x14ac:dyDescent="0.25">
      <c r="A262" t="s">
        <v>514</v>
      </c>
      <c r="B262" t="s">
        <v>515</v>
      </c>
      <c r="C262" t="s">
        <v>631</v>
      </c>
      <c r="D262" t="s">
        <v>676</v>
      </c>
      <c r="E262">
        <v>0</v>
      </c>
      <c r="F262" t="s">
        <v>677</v>
      </c>
      <c r="G262">
        <v>2595584.67</v>
      </c>
      <c r="H262">
        <v>0</v>
      </c>
      <c r="I262">
        <v>0</v>
      </c>
      <c r="J262">
        <v>0</v>
      </c>
      <c r="K262">
        <v>2595584.67</v>
      </c>
    </row>
    <row r="263" spans="1:11" x14ac:dyDescent="0.25">
      <c r="A263" t="s">
        <v>611</v>
      </c>
      <c r="B263" t="s">
        <v>612</v>
      </c>
      <c r="C263" t="s">
        <v>631</v>
      </c>
      <c r="D263" t="s">
        <v>658</v>
      </c>
      <c r="E263">
        <v>2007427.41</v>
      </c>
      <c r="F263" t="s">
        <v>659</v>
      </c>
      <c r="G263">
        <v>0</v>
      </c>
      <c r="H263">
        <v>0</v>
      </c>
      <c r="I263">
        <v>0</v>
      </c>
      <c r="J263">
        <v>0</v>
      </c>
      <c r="K263">
        <v>2007427.41</v>
      </c>
    </row>
    <row r="264" spans="1:11" x14ac:dyDescent="0.25">
      <c r="A264" t="s">
        <v>518</v>
      </c>
      <c r="B264" t="s">
        <v>519</v>
      </c>
      <c r="C264" t="s">
        <v>631</v>
      </c>
      <c r="D264" t="s">
        <v>748</v>
      </c>
      <c r="E264">
        <v>0</v>
      </c>
      <c r="F264" t="s">
        <v>749</v>
      </c>
      <c r="G264">
        <v>17500</v>
      </c>
      <c r="H264">
        <v>0</v>
      </c>
      <c r="I264">
        <v>0</v>
      </c>
      <c r="J264">
        <v>-671301.14</v>
      </c>
      <c r="K264">
        <v>-653801.14</v>
      </c>
    </row>
    <row r="265" spans="1:11" x14ac:dyDescent="0.25">
      <c r="A265" t="s">
        <v>613</v>
      </c>
      <c r="B265" t="s">
        <v>614</v>
      </c>
      <c r="C265" t="s">
        <v>631</v>
      </c>
      <c r="D265" t="s">
        <v>740</v>
      </c>
      <c r="E265">
        <v>1848700.12</v>
      </c>
      <c r="F265" t="s">
        <v>741</v>
      </c>
      <c r="G265">
        <v>0</v>
      </c>
      <c r="H265">
        <v>0</v>
      </c>
      <c r="I265">
        <v>0</v>
      </c>
      <c r="J265">
        <v>0</v>
      </c>
      <c r="K265">
        <v>1848700.12</v>
      </c>
    </row>
    <row r="266" spans="1:11" x14ac:dyDescent="0.25">
      <c r="A266" t="s">
        <v>520</v>
      </c>
      <c r="B266" t="s">
        <v>521</v>
      </c>
      <c r="C266" t="s">
        <v>631</v>
      </c>
      <c r="D266" t="s">
        <v>897</v>
      </c>
      <c r="E266">
        <v>2035558.8</v>
      </c>
      <c r="F266" t="s">
        <v>898</v>
      </c>
      <c r="G266">
        <v>1715262.12</v>
      </c>
      <c r="H266">
        <v>0</v>
      </c>
      <c r="I266">
        <v>0</v>
      </c>
      <c r="J266">
        <v>0</v>
      </c>
      <c r="K266">
        <v>3750820.92</v>
      </c>
    </row>
    <row r="267" spans="1:11" x14ac:dyDescent="0.25">
      <c r="A267" t="s">
        <v>522</v>
      </c>
      <c r="B267" t="s">
        <v>523</v>
      </c>
      <c r="C267" t="s">
        <v>631</v>
      </c>
      <c r="D267" t="s">
        <v>899</v>
      </c>
      <c r="E267">
        <v>44982025.560000002</v>
      </c>
      <c r="F267" t="s">
        <v>900</v>
      </c>
      <c r="G267">
        <v>0</v>
      </c>
      <c r="H267">
        <v>43200964.079999998</v>
      </c>
      <c r="I267">
        <v>0</v>
      </c>
      <c r="J267">
        <v>0</v>
      </c>
      <c r="K267">
        <v>88182989.640000001</v>
      </c>
    </row>
    <row r="268" spans="1:11" x14ac:dyDescent="0.25">
      <c r="A268" t="s">
        <v>901</v>
      </c>
      <c r="B268" t="s">
        <v>902</v>
      </c>
      <c r="C268" t="s">
        <v>631</v>
      </c>
      <c r="D268" t="s">
        <v>903</v>
      </c>
      <c r="E268">
        <v>0</v>
      </c>
      <c r="F268" t="s">
        <v>904</v>
      </c>
      <c r="G268">
        <v>7118732.5</v>
      </c>
      <c r="H268">
        <v>0</v>
      </c>
      <c r="I268">
        <v>0</v>
      </c>
      <c r="J268">
        <v>0</v>
      </c>
      <c r="K268">
        <v>7118732.5</v>
      </c>
    </row>
    <row r="269" spans="1:11" x14ac:dyDescent="0.25">
      <c r="A269" t="s">
        <v>1304</v>
      </c>
      <c r="B269" t="s">
        <v>1305</v>
      </c>
      <c r="C269" t="s">
        <v>631</v>
      </c>
      <c r="D269" t="s">
        <v>740</v>
      </c>
      <c r="E269">
        <v>2384426</v>
      </c>
      <c r="F269" t="s">
        <v>741</v>
      </c>
      <c r="G269">
        <v>0</v>
      </c>
      <c r="H269">
        <v>0</v>
      </c>
      <c r="I269">
        <v>0</v>
      </c>
      <c r="J269">
        <v>0</v>
      </c>
      <c r="K269">
        <v>2384426</v>
      </c>
    </row>
    <row r="270" spans="1:11" x14ac:dyDescent="0.25">
      <c r="A270" t="s">
        <v>1306</v>
      </c>
      <c r="B270" t="s">
        <v>1307</v>
      </c>
      <c r="C270" t="s">
        <v>631</v>
      </c>
      <c r="D270" t="s">
        <v>724</v>
      </c>
      <c r="E270">
        <v>0</v>
      </c>
      <c r="F270" t="s">
        <v>725</v>
      </c>
      <c r="G270">
        <v>820340.43</v>
      </c>
      <c r="H270">
        <v>0</v>
      </c>
      <c r="I270">
        <v>0</v>
      </c>
      <c r="J270">
        <v>0</v>
      </c>
      <c r="K270">
        <v>820340.43</v>
      </c>
    </row>
    <row r="271" spans="1:11" x14ac:dyDescent="0.25">
      <c r="A271" t="s">
        <v>530</v>
      </c>
      <c r="B271" t="s">
        <v>531</v>
      </c>
      <c r="C271" t="s">
        <v>631</v>
      </c>
      <c r="D271" t="s">
        <v>907</v>
      </c>
      <c r="E271">
        <v>65567086.600000001</v>
      </c>
      <c r="F271" t="s">
        <v>908</v>
      </c>
      <c r="G271">
        <v>13029926.74</v>
      </c>
      <c r="H271">
        <v>0</v>
      </c>
      <c r="I271">
        <v>0</v>
      </c>
      <c r="J271">
        <v>0</v>
      </c>
      <c r="K271">
        <v>78597013.340000004</v>
      </c>
    </row>
    <row r="272" spans="1:11" x14ac:dyDescent="0.25">
      <c r="A272" t="s">
        <v>1308</v>
      </c>
      <c r="B272" t="s">
        <v>1309</v>
      </c>
      <c r="C272" t="s">
        <v>631</v>
      </c>
      <c r="D272" t="s">
        <v>742</v>
      </c>
      <c r="E272">
        <v>3630</v>
      </c>
      <c r="F272" t="s">
        <v>743</v>
      </c>
      <c r="G272">
        <v>0</v>
      </c>
      <c r="H272">
        <v>0</v>
      </c>
      <c r="I272">
        <v>0</v>
      </c>
      <c r="J272">
        <v>0</v>
      </c>
      <c r="K272">
        <v>3630</v>
      </c>
    </row>
    <row r="273" spans="1:11" x14ac:dyDescent="0.25">
      <c r="A273" t="s">
        <v>532</v>
      </c>
      <c r="B273" t="s">
        <v>533</v>
      </c>
      <c r="C273" t="s">
        <v>631</v>
      </c>
      <c r="D273" t="s">
        <v>676</v>
      </c>
      <c r="E273">
        <v>0</v>
      </c>
      <c r="F273" t="s">
        <v>677</v>
      </c>
      <c r="G273">
        <v>0</v>
      </c>
      <c r="H273">
        <v>0</v>
      </c>
      <c r="I273">
        <v>0</v>
      </c>
      <c r="J273">
        <v>-1.1100000000000001</v>
      </c>
      <c r="K273">
        <v>-1.1100000000000001</v>
      </c>
    </row>
    <row r="274" spans="1:11" x14ac:dyDescent="0.25">
      <c r="A274" t="s">
        <v>617</v>
      </c>
      <c r="B274" t="s">
        <v>618</v>
      </c>
      <c r="C274" t="s">
        <v>631</v>
      </c>
      <c r="D274" t="s">
        <v>694</v>
      </c>
      <c r="E274">
        <v>0</v>
      </c>
      <c r="F274" t="s">
        <v>695</v>
      </c>
      <c r="G274">
        <v>1577601.83</v>
      </c>
      <c r="H274">
        <v>0</v>
      </c>
      <c r="I274">
        <v>0</v>
      </c>
      <c r="J274">
        <v>0</v>
      </c>
      <c r="K274">
        <v>1577601.83</v>
      </c>
    </row>
    <row r="275" spans="1:11" x14ac:dyDescent="0.25">
      <c r="A275" t="s">
        <v>1310</v>
      </c>
      <c r="B275" t="s">
        <v>1311</v>
      </c>
      <c r="C275" t="s">
        <v>631</v>
      </c>
      <c r="D275" t="s">
        <v>668</v>
      </c>
      <c r="E275">
        <v>0</v>
      </c>
      <c r="F275" t="s">
        <v>669</v>
      </c>
      <c r="G275">
        <v>19641398.210000001</v>
      </c>
      <c r="H275">
        <v>0</v>
      </c>
      <c r="I275">
        <v>0</v>
      </c>
      <c r="J275">
        <v>0</v>
      </c>
      <c r="K275">
        <v>19641398.210000001</v>
      </c>
    </row>
    <row r="276" spans="1:11" x14ac:dyDescent="0.25">
      <c r="A276" t="s">
        <v>536</v>
      </c>
      <c r="B276" t="s">
        <v>537</v>
      </c>
      <c r="C276" t="s">
        <v>631</v>
      </c>
      <c r="D276" t="s">
        <v>848</v>
      </c>
      <c r="E276">
        <v>0</v>
      </c>
      <c r="F276" t="s">
        <v>849</v>
      </c>
      <c r="G276">
        <v>2280920.4</v>
      </c>
      <c r="H276">
        <v>6279914.8300000001</v>
      </c>
      <c r="I276">
        <v>0</v>
      </c>
      <c r="J276">
        <v>0</v>
      </c>
      <c r="K276">
        <v>8560835.2300000004</v>
      </c>
    </row>
    <row r="277" spans="1:11" x14ac:dyDescent="0.25">
      <c r="A277" t="s">
        <v>538</v>
      </c>
      <c r="B277" t="s">
        <v>539</v>
      </c>
      <c r="C277" t="s">
        <v>631</v>
      </c>
      <c r="D277" t="s">
        <v>778</v>
      </c>
      <c r="E277">
        <v>0</v>
      </c>
      <c r="F277" t="s">
        <v>779</v>
      </c>
      <c r="G277">
        <v>0</v>
      </c>
      <c r="H277">
        <v>1485120</v>
      </c>
      <c r="I277">
        <v>0</v>
      </c>
      <c r="J277">
        <v>0</v>
      </c>
      <c r="K277">
        <v>1485120</v>
      </c>
    </row>
    <row r="278" spans="1:11" x14ac:dyDescent="0.25">
      <c r="A278" t="s">
        <v>540</v>
      </c>
      <c r="B278" t="s">
        <v>541</v>
      </c>
      <c r="C278" t="s">
        <v>631</v>
      </c>
      <c r="D278" t="s">
        <v>852</v>
      </c>
      <c r="E278">
        <v>262861187.63</v>
      </c>
      <c r="F278" t="s">
        <v>853</v>
      </c>
      <c r="G278">
        <v>709570132.64999998</v>
      </c>
      <c r="H278">
        <v>0</v>
      </c>
      <c r="I278">
        <v>0</v>
      </c>
      <c r="J278">
        <v>0</v>
      </c>
      <c r="K278">
        <v>972431320.27999997</v>
      </c>
    </row>
    <row r="279" spans="1:11" x14ac:dyDescent="0.25">
      <c r="A279" t="s">
        <v>542</v>
      </c>
      <c r="B279" t="s">
        <v>543</v>
      </c>
      <c r="C279" t="s">
        <v>631</v>
      </c>
      <c r="D279" t="s">
        <v>756</v>
      </c>
      <c r="E279">
        <v>0</v>
      </c>
      <c r="F279" t="s">
        <v>757</v>
      </c>
      <c r="G279">
        <v>2271569.94</v>
      </c>
      <c r="H279">
        <v>0</v>
      </c>
      <c r="I279">
        <v>0</v>
      </c>
      <c r="J279">
        <v>0</v>
      </c>
      <c r="K279">
        <v>2271569.94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A9" sqref="A9:XFD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69" t="s">
        <v>168</v>
      </c>
      <c r="B1" s="69"/>
      <c r="C1" s="69"/>
      <c r="D1" s="69"/>
      <c r="E1" s="69"/>
      <c r="F1" s="69"/>
      <c r="G1" s="69"/>
      <c r="H1" s="69"/>
      <c r="I1" s="69"/>
      <c r="J1" s="69"/>
    </row>
    <row r="2" spans="1:10" ht="15.75" customHeight="1" x14ac:dyDescent="0.25">
      <c r="A2" s="79" t="s">
        <v>169</v>
      </c>
      <c r="B2" s="79"/>
      <c r="C2" s="79"/>
      <c r="D2" s="79"/>
      <c r="E2" s="79"/>
      <c r="F2" s="79"/>
      <c r="G2" s="79"/>
      <c r="H2" s="79"/>
      <c r="I2" s="79"/>
      <c r="J2" s="79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54">
        <v>4.4999999999999998E-2</v>
      </c>
      <c r="D5" s="13">
        <v>46101</v>
      </c>
      <c r="E5" s="13">
        <v>46281</v>
      </c>
      <c r="F5" s="55">
        <f>IFERROR(E5-D5,0)</f>
        <v>180</v>
      </c>
      <c r="G5" s="56">
        <f>IFERROR(B5*(C5/365)*F5,0)</f>
        <v>22191.780821917808</v>
      </c>
      <c r="H5" s="57">
        <f>IFERROR(B5+G5,0)</f>
        <v>1022191.7808219178</v>
      </c>
      <c r="I5" s="58">
        <f ca="1">IFERROR(E5-TODAY(),"Vencido")</f>
        <v>98</v>
      </c>
      <c r="J5" s="52"/>
    </row>
    <row r="6" spans="1:10" ht="18" customHeight="1" x14ac:dyDescent="0.25">
      <c r="A6" s="53" t="s">
        <v>179</v>
      </c>
      <c r="B6" s="14">
        <v>1000000</v>
      </c>
      <c r="C6" s="54">
        <v>3.9E-2</v>
      </c>
      <c r="D6" s="13">
        <v>46118</v>
      </c>
      <c r="E6" s="13">
        <v>46297</v>
      </c>
      <c r="F6" s="55">
        <f>IFERROR(E6-D6,0)</f>
        <v>179</v>
      </c>
      <c r="G6" s="56">
        <f>IFERROR(B6*(C6/365)*F6,0)</f>
        <v>19126.027397260274</v>
      </c>
      <c r="H6" s="57">
        <f>IFERROR(B6+G6,0)</f>
        <v>1019126.0273972603</v>
      </c>
      <c r="I6" s="58">
        <f ca="1">IFERROR(E6-TODAY(),"Vencido")</f>
        <v>114</v>
      </c>
      <c r="J6" s="51"/>
    </row>
    <row r="7" spans="1:10" ht="18" customHeight="1" x14ac:dyDescent="0.25">
      <c r="A7" s="53" t="s">
        <v>179</v>
      </c>
      <c r="B7" s="14">
        <v>1000000</v>
      </c>
      <c r="C7" s="54">
        <v>5.9499999999999997E-2</v>
      </c>
      <c r="D7" s="13">
        <v>46079</v>
      </c>
      <c r="E7" s="13">
        <v>46259</v>
      </c>
      <c r="F7" s="55">
        <f>IFERROR(E7-D7,0)</f>
        <v>180</v>
      </c>
      <c r="G7" s="56">
        <f>IFERROR(B7*(C7/365)*F7,0)</f>
        <v>29342.465753424651</v>
      </c>
      <c r="H7" s="57">
        <f>IFERROR(B7+G7,0)</f>
        <v>1029342.4657534247</v>
      </c>
      <c r="I7" s="58">
        <f ca="1">IFERROR(E7-TODAY(),"Vencido")</f>
        <v>76</v>
      </c>
      <c r="J7" s="52"/>
    </row>
    <row r="8" spans="1:10" ht="18" customHeight="1" x14ac:dyDescent="0.25">
      <c r="A8" s="53" t="s">
        <v>181</v>
      </c>
      <c r="B8" s="14">
        <v>1000000</v>
      </c>
      <c r="C8" s="54">
        <v>0.05</v>
      </c>
      <c r="D8" s="13">
        <v>46048</v>
      </c>
      <c r="E8" s="13">
        <v>46227</v>
      </c>
      <c r="F8" s="55">
        <f t="shared" ref="F8:F14" si="0">IFERROR(E8-D8,0)</f>
        <v>179</v>
      </c>
      <c r="G8" s="56">
        <f t="shared" ref="G8:G14" si="1">IFERROR(B8*(C8/365)*F8,0)</f>
        <v>24520.547945205486</v>
      </c>
      <c r="H8" s="57">
        <f t="shared" ref="H8:H14" si="2">IFERROR(B8+G8,0)</f>
        <v>1024520.5479452055</v>
      </c>
      <c r="I8" s="58">
        <f t="shared" ref="I8:I14" ca="1" si="3">IFERROR(E8-TODAY(),"Vencido")</f>
        <v>44</v>
      </c>
      <c r="J8" s="52"/>
    </row>
    <row r="9" spans="1:10" ht="18" customHeight="1" x14ac:dyDescent="0.25">
      <c r="A9" s="53" t="s">
        <v>181</v>
      </c>
      <c r="B9" s="14">
        <v>1000000</v>
      </c>
      <c r="C9" s="54">
        <v>3.2500000000000001E-2</v>
      </c>
      <c r="D9" s="13">
        <v>45860</v>
      </c>
      <c r="E9" s="13">
        <v>46185</v>
      </c>
      <c r="F9" s="55">
        <f t="shared" si="0"/>
        <v>325</v>
      </c>
      <c r="G9" s="56">
        <f t="shared" si="1"/>
        <v>28938.35616438356</v>
      </c>
      <c r="H9" s="57">
        <f t="shared" si="2"/>
        <v>1028938.3561643836</v>
      </c>
      <c r="I9" s="58">
        <f t="shared" ca="1" si="3"/>
        <v>2</v>
      </c>
      <c r="J9" s="52"/>
    </row>
    <row r="10" spans="1:10" ht="18" customHeight="1" x14ac:dyDescent="0.25">
      <c r="A10" s="53" t="s">
        <v>181</v>
      </c>
      <c r="B10" s="14">
        <v>1000000</v>
      </c>
      <c r="C10" s="54">
        <v>3.2500000000000001E-2</v>
      </c>
      <c r="D10" s="13">
        <v>45860</v>
      </c>
      <c r="E10" s="13">
        <v>46192</v>
      </c>
      <c r="F10" s="55">
        <f t="shared" si="0"/>
        <v>332</v>
      </c>
      <c r="G10" s="56">
        <f t="shared" si="1"/>
        <v>29561.643835616436</v>
      </c>
      <c r="H10" s="57">
        <f t="shared" si="2"/>
        <v>1029561.6438356164</v>
      </c>
      <c r="I10" s="58">
        <f t="shared" ca="1" si="3"/>
        <v>9</v>
      </c>
      <c r="J10" s="52"/>
    </row>
    <row r="11" spans="1:10" ht="18" customHeight="1" x14ac:dyDescent="0.25">
      <c r="A11" s="53" t="s">
        <v>181</v>
      </c>
      <c r="B11" s="14">
        <v>1000000</v>
      </c>
      <c r="C11" s="54">
        <v>0.04</v>
      </c>
      <c r="D11" s="13">
        <v>46136</v>
      </c>
      <c r="E11" s="13">
        <v>46255</v>
      </c>
      <c r="F11" s="55">
        <f t="shared" si="0"/>
        <v>119</v>
      </c>
      <c r="G11" s="56">
        <f t="shared" si="1"/>
        <v>13041.095890410959</v>
      </c>
      <c r="H11" s="57">
        <f t="shared" si="2"/>
        <v>1013041.0958904109</v>
      </c>
      <c r="I11" s="58">
        <f t="shared" ca="1" si="3"/>
        <v>72</v>
      </c>
      <c r="J11" s="52"/>
    </row>
    <row r="12" spans="1:10" ht="18" customHeight="1" x14ac:dyDescent="0.25">
      <c r="A12" s="53" t="s">
        <v>181</v>
      </c>
      <c r="B12" s="14">
        <v>1000000</v>
      </c>
      <c r="C12" s="54">
        <v>3.9E-2</v>
      </c>
      <c r="D12" s="13">
        <v>46090</v>
      </c>
      <c r="E12" s="13">
        <v>46269</v>
      </c>
      <c r="F12" s="55">
        <f t="shared" si="0"/>
        <v>179</v>
      </c>
      <c r="G12" s="56">
        <f t="shared" si="1"/>
        <v>19126.027397260274</v>
      </c>
      <c r="H12" s="57">
        <f t="shared" si="2"/>
        <v>1019126.0273972603</v>
      </c>
      <c r="I12" s="58">
        <f t="shared" ca="1" si="3"/>
        <v>86</v>
      </c>
      <c r="J12" s="52"/>
    </row>
    <row r="13" spans="1:10" ht="18" customHeight="1" x14ac:dyDescent="0.25">
      <c r="A13" s="53" t="s">
        <v>181</v>
      </c>
      <c r="B13" s="14">
        <v>1000000</v>
      </c>
      <c r="C13" s="54">
        <v>3.9E-2</v>
      </c>
      <c r="D13" s="13">
        <v>46153</v>
      </c>
      <c r="E13" s="13">
        <v>46333</v>
      </c>
      <c r="F13" s="55">
        <f t="shared" si="0"/>
        <v>180</v>
      </c>
      <c r="G13" s="56">
        <f t="shared" si="1"/>
        <v>19232.876712328769</v>
      </c>
      <c r="H13" s="57">
        <f t="shared" si="2"/>
        <v>1019232.8767123288</v>
      </c>
      <c r="I13" s="58">
        <f t="shared" ca="1" si="3"/>
        <v>150</v>
      </c>
      <c r="J13" s="52"/>
    </row>
    <row r="14" spans="1:10" ht="18" customHeight="1" x14ac:dyDescent="0.25">
      <c r="A14" s="53" t="s">
        <v>181</v>
      </c>
      <c r="B14" s="14">
        <v>1000000</v>
      </c>
      <c r="C14" s="54">
        <v>3.2300000000000002E-2</v>
      </c>
      <c r="D14" s="13">
        <v>46178</v>
      </c>
      <c r="E14" s="13">
        <v>46358</v>
      </c>
      <c r="F14" s="55">
        <f t="shared" si="0"/>
        <v>180</v>
      </c>
      <c r="G14" s="56">
        <f t="shared" si="1"/>
        <v>15928.767123287671</v>
      </c>
      <c r="H14" s="57">
        <f t="shared" si="2"/>
        <v>1015928.7671232877</v>
      </c>
      <c r="I14" s="58">
        <f t="shared" ca="1" si="3"/>
        <v>175</v>
      </c>
      <c r="J14" s="52"/>
    </row>
    <row r="15" spans="1:10" ht="19.5" customHeight="1" x14ac:dyDescent="0.25">
      <c r="A15" s="41" t="s">
        <v>155</v>
      </c>
      <c r="B15" s="59">
        <f>SUM(B5:B14)</f>
        <v>10000000</v>
      </c>
      <c r="C15" s="42"/>
      <c r="D15" s="42"/>
      <c r="E15" s="42"/>
      <c r="F15" s="42"/>
      <c r="G15" s="59">
        <f>SUM(G5:G14)</f>
        <v>221009.58904109587</v>
      </c>
      <c r="H15" s="59">
        <f>SUM(H5:H14)</f>
        <v>10221009.589041095</v>
      </c>
      <c r="I15" s="42"/>
      <c r="J15" s="42"/>
    </row>
    <row r="16" spans="1:10" ht="18" customHeight="1" x14ac:dyDescent="0.25">
      <c r="A16" s="44"/>
      <c r="B16" s="60"/>
      <c r="C16" s="61"/>
      <c r="D16" s="46"/>
      <c r="E16" s="46"/>
      <c r="F16" s="62">
        <f>IFERROR(E16-D16,0)</f>
        <v>0</v>
      </c>
      <c r="G16" s="63">
        <f>IFERROR(B16*(C16/365)*F16,0)</f>
        <v>0</v>
      </c>
      <c r="H16" s="63">
        <f>IFERROR(B16+G16,0)</f>
        <v>0</v>
      </c>
      <c r="I16" s="62">
        <f ca="1">IFERROR(E16-TODAY(),"")</f>
        <v>-46183</v>
      </c>
      <c r="J16" s="44"/>
    </row>
    <row r="17" spans="1:10" ht="18" customHeight="1" x14ac:dyDescent="0.25">
      <c r="A17" s="44"/>
      <c r="B17" s="60"/>
      <c r="C17" s="61"/>
      <c r="D17" s="46"/>
      <c r="E17" s="46"/>
      <c r="F17" s="62">
        <f>IFERROR(E17-D17,0)</f>
        <v>0</v>
      </c>
      <c r="G17" s="63">
        <f>IFERROR(B17*(C17/365)*F17,0)</f>
        <v>0</v>
      </c>
      <c r="H17" s="63">
        <f>IFERROR(B17+G17,0)</f>
        <v>0</v>
      </c>
      <c r="I17" s="62">
        <f ca="1">IFERROR(E17-TODAY(),"")</f>
        <v>-46183</v>
      </c>
      <c r="J17" s="44"/>
    </row>
    <row r="18" spans="1:10" ht="18" customHeight="1" x14ac:dyDescent="0.25">
      <c r="A18" s="44"/>
      <c r="B18" s="60"/>
      <c r="C18" s="61"/>
      <c r="D18" s="46"/>
      <c r="E18" s="46"/>
      <c r="F18" s="62">
        <f>IFERROR(E18-D18,0)</f>
        <v>0</v>
      </c>
      <c r="G18" s="63">
        <f>IFERROR(B18*(C18/365)*F18,0)</f>
        <v>0</v>
      </c>
      <c r="H18" s="63">
        <f>IFERROR(B18+G18,0)</f>
        <v>0</v>
      </c>
      <c r="I18" s="62">
        <f ca="1">IFERROR(E18-TODAY(),"")</f>
        <v>-46183</v>
      </c>
      <c r="J18" s="44"/>
    </row>
    <row r="19" spans="1:10" ht="18" customHeight="1" x14ac:dyDescent="0.25">
      <c r="A19" s="44"/>
      <c r="B19" s="60"/>
      <c r="C19" s="61"/>
      <c r="D19" s="46"/>
      <c r="E19" s="46"/>
      <c r="F19" s="62">
        <f>IFERROR(E19-D19,0)</f>
        <v>0</v>
      </c>
      <c r="G19" s="63">
        <f>IFERROR(B19*(C19/365)*F19,0)</f>
        <v>0</v>
      </c>
      <c r="H19" s="63">
        <f>IFERROR(B19+G19,0)</f>
        <v>0</v>
      </c>
      <c r="I19" s="62">
        <f ca="1">IFERROR(E19-TODAY(),"")</f>
        <v>-46183</v>
      </c>
      <c r="J19" s="44"/>
    </row>
    <row r="20" spans="1:10" ht="18" customHeight="1" x14ac:dyDescent="0.25">
      <c r="A20" s="44"/>
      <c r="B20" s="60"/>
      <c r="C20" s="61"/>
      <c r="D20" s="46"/>
      <c r="E20" s="46"/>
      <c r="F20" s="62">
        <f>IFERROR(E20-D20,0)</f>
        <v>0</v>
      </c>
      <c r="G20" s="63">
        <f>IFERROR(B20*(C20/365)*F20,0)</f>
        <v>0</v>
      </c>
      <c r="H20" s="63">
        <f>IFERROR(B20+G20,0)</f>
        <v>0</v>
      </c>
      <c r="I20" s="62">
        <f ca="1">IFERROR(E20-TODAY(),"")</f>
        <v>-46183</v>
      </c>
      <c r="J20" s="44"/>
    </row>
    <row r="22" spans="1:10" x14ac:dyDescent="0.25">
      <c r="A22" s="80" t="s">
        <v>180</v>
      </c>
      <c r="B22" s="80"/>
      <c r="C22" s="80"/>
      <c r="D22" s="80"/>
      <c r="E22" s="80"/>
      <c r="F22" s="80"/>
      <c r="G22" s="80"/>
      <c r="H22" s="80"/>
      <c r="I22" s="80"/>
      <c r="J22" s="80"/>
    </row>
    <row r="26" spans="1:10" x14ac:dyDescent="0.25">
      <c r="D26" s="65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2026-06-10T18:50:35Z</dcterms:modified>
  <dc:language>en-US</dc:language>
</cp:coreProperties>
</file>