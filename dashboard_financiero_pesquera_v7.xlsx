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E5896AFB-451B-4CAA-90E1-7C0B0519ED8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3" i="2" l="1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9" i="9" l="1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G112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D283" i="8" l="1"/>
  <c r="G11" i="9"/>
  <c r="H11" i="9" s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E113" i="6"/>
  <c r="D113" i="6"/>
  <c r="C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3" i="6" l="1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283" i="8" l="1"/>
</calcChain>
</file>

<file path=xl/sharedStrings.xml><?xml version="1.0" encoding="utf-8"?>
<sst xmlns="http://schemas.openxmlformats.org/spreadsheetml/2006/main" count="7583" uniqueCount="1031">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</sst>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  <cell r="DK97">
            <v>21929048.237500004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90" activePane="bottomLeft" state="frozen"/>
      <selection activeCell="A3" sqref="A3"/>
      <selection pane="bottomLeft" activeCell="AJ114" sqref="AJ11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7" t="s">
        <v>57</v>
      </c>
      <c r="D2" s="77"/>
      <c r="E2" s="77"/>
      <c r="F2" s="77"/>
      <c r="G2" s="77"/>
      <c r="H2" s="77"/>
      <c r="I2" s="77"/>
      <c r="J2" s="78" t="s">
        <v>58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9" t="s">
        <v>59</v>
      </c>
      <c r="X2" s="79"/>
      <c r="Y2" s="79"/>
      <c r="Z2" s="79"/>
      <c r="AA2" s="79"/>
      <c r="AB2" s="79"/>
      <c r="AC2" s="79"/>
      <c r="AD2" s="79"/>
      <c r="AE2" s="79"/>
      <c r="AF2" s="1"/>
      <c r="AG2" s="80"/>
      <c r="AH2" s="80"/>
      <c r="AI2" s="80"/>
      <c r="AJ2" s="80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>+AB111</f>
        <v>1202455.9875649996</v>
      </c>
      <c r="AC112" s="63">
        <f>+AC111</f>
        <v>10000000</v>
      </c>
      <c r="AD112" s="63">
        <f>+AD111</f>
        <v>220000</v>
      </c>
      <c r="AE112" s="63">
        <f>+AE111</f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>+Z112</f>
        <v>191016771.98655012</v>
      </c>
      <c r="AA113" s="63">
        <f>+'[1]CF Dia V1'!$DK$102</f>
        <v>5270740211</v>
      </c>
      <c r="AB113" s="63">
        <f>+AB112</f>
        <v>1202455.9875649996</v>
      </c>
      <c r="AC113" s="63">
        <f>+AC112</f>
        <v>10000000</v>
      </c>
      <c r="AD113" s="63">
        <f>+AD112</f>
        <v>220000</v>
      </c>
      <c r="AE113" s="63">
        <f>+AE112</f>
        <v>280000</v>
      </c>
      <c r="AF113" s="63">
        <f>+'[1]CF Dia V1'!$DK$97</f>
        <v>21929048.237500004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-40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-14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122</v>
      </c>
      <c r="B2" s="81"/>
      <c r="C2" s="81"/>
      <c r="D2" s="81"/>
      <c r="E2" s="81"/>
      <c r="F2" s="81"/>
      <c r="G2" s="81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2" t="s">
        <v>139</v>
      </c>
      <c r="B2" s="82"/>
      <c r="C2" s="82"/>
      <c r="D2" s="82"/>
      <c r="E2" s="82"/>
      <c r="F2" s="82"/>
      <c r="G2" s="82"/>
      <c r="H2" s="82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35314516.427506819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17232178.903482001</v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72" t="s">
        <v>148</v>
      </c>
      <c r="B2" s="72"/>
      <c r="C2" s="72"/>
      <c r="D2" s="72"/>
      <c r="E2" s="72"/>
      <c r="F2" s="72"/>
      <c r="G2" s="72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73" t="s">
        <v>156</v>
      </c>
      <c r="B460" s="73"/>
      <c r="C460" s="73"/>
      <c r="D460" s="73"/>
      <c r="E460" s="73"/>
      <c r="F460" s="73"/>
      <c r="G460" s="73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72" t="s">
        <v>158</v>
      </c>
      <c r="B2" s="72"/>
      <c r="C2" s="72"/>
      <c r="D2" s="72"/>
      <c r="E2" s="72"/>
      <c r="F2" s="72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73" t="s">
        <v>167</v>
      </c>
      <c r="B285" s="73"/>
      <c r="C285" s="73"/>
      <c r="D285" s="73"/>
      <c r="E285" s="73"/>
      <c r="F285" s="73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N19" sqref="N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72" t="s">
        <v>169</v>
      </c>
      <c r="B2" s="72"/>
      <c r="C2" s="72"/>
      <c r="D2" s="72"/>
      <c r="E2" s="72"/>
      <c r="F2" s="72"/>
      <c r="G2" s="72"/>
      <c r="H2" s="72"/>
      <c r="I2" s="72"/>
      <c r="J2" s="72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84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100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62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120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169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30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163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58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72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161</v>
      </c>
      <c r="J14" s="52"/>
    </row>
    <row r="15" spans="1:10" ht="19.5" customHeight="1" x14ac:dyDescent="0.25">
      <c r="A15" s="41" t="s">
        <v>155</v>
      </c>
      <c r="B15" s="58">
        <f>SUM(B5:B14)</f>
        <v>10000000</v>
      </c>
      <c r="C15" s="42"/>
      <c r="D15" s="42"/>
      <c r="E15" s="42"/>
      <c r="F15" s="42"/>
      <c r="G15" s="58">
        <f>SUM(G5:G14)</f>
        <v>190876.98630136988</v>
      </c>
      <c r="H15" s="58">
        <f>SUM(H5:H14)</f>
        <v>10190876.98630137</v>
      </c>
      <c r="I15" s="42"/>
      <c r="J15" s="42"/>
    </row>
    <row r="16" spans="1:10" ht="18" customHeight="1" x14ac:dyDescent="0.25">
      <c r="A16" s="44"/>
      <c r="B16" s="59"/>
      <c r="C16" s="60"/>
      <c r="D16" s="46"/>
      <c r="E16" s="46"/>
      <c r="F16" s="61">
        <f>IFERROR(E16-D16,0)</f>
        <v>0</v>
      </c>
      <c r="G16" s="62">
        <f>IFERROR(B16*(C16/365)*F16,0)</f>
        <v>0</v>
      </c>
      <c r="H16" s="62">
        <f>IFERROR(B16+G16,0)</f>
        <v>0</v>
      </c>
      <c r="I16" s="61">
        <f ca="1">IFERROR(E16-TODAY(),"")</f>
        <v>-46197</v>
      </c>
      <c r="J16" s="44"/>
    </row>
    <row r="17" spans="1:10" ht="18" customHeight="1" x14ac:dyDescent="0.25">
      <c r="A17" s="44"/>
      <c r="B17" s="59"/>
      <c r="C17" s="60"/>
      <c r="D17" s="46"/>
      <c r="E17" s="46"/>
      <c r="F17" s="61">
        <f>IFERROR(E17-D17,0)</f>
        <v>0</v>
      </c>
      <c r="G17" s="62">
        <f>IFERROR(B17*(C17/365)*F17,0)</f>
        <v>0</v>
      </c>
      <c r="H17" s="62">
        <f>IFERROR(B17+G17,0)</f>
        <v>0</v>
      </c>
      <c r="I17" s="61">
        <f ca="1">IFERROR(E17-TODAY(),"")</f>
        <v>-46197</v>
      </c>
      <c r="J17" s="44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-46197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-46197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-46197</v>
      </c>
      <c r="J20" s="44"/>
    </row>
    <row r="22" spans="1:10" x14ac:dyDescent="0.25">
      <c r="A22" s="73" t="s">
        <v>180</v>
      </c>
      <c r="B22" s="73"/>
      <c r="C22" s="73"/>
      <c r="D22" s="73"/>
      <c r="E22" s="73"/>
      <c r="F22" s="73"/>
      <c r="G22" s="73"/>
      <c r="H22" s="73"/>
      <c r="I22" s="73"/>
      <c r="J22" s="73"/>
    </row>
    <row r="26" spans="1:10" x14ac:dyDescent="0.25">
      <c r="D26" s="64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2026-06-24T19:31:15Z</dcterms:modified>
  <dc:language>en-US</dc:language>
</cp:coreProperties>
</file>