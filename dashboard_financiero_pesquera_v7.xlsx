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49B41BA4-DE49-45DA-934F-C5351AB8DE2B}" xr6:coauthVersionLast="47" xr6:coauthVersionMax="47" xr10:uidLastSave="{00000000-0000-0000-0000-000000000000}"/>
  <bookViews>
    <workbookView xWindow="-120" yWindow="-120" windowWidth="29040" windowHeight="15720" tabRatio="500" firstSheet="4" activeTab="7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2" i="8" l="1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D320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C320" i="8"/>
  <c r="F30" i="7"/>
  <c r="F31" i="7"/>
  <c r="F32" i="7"/>
  <c r="F33" i="7"/>
  <c r="F34" i="7"/>
  <c r="F35" i="7"/>
  <c r="F36" i="7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F15" i="9"/>
  <c r="G15" i="9"/>
  <c r="H15" i="9" s="1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4" i="9"/>
  <c r="G14" i="9" s="1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162" i="8"/>
  <c r="D163" i="8"/>
  <c r="D164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3" i="9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4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2" i="9"/>
  <c r="G12" i="9" s="1"/>
  <c r="H12" i="9" s="1"/>
  <c r="I12" i="9"/>
  <c r="F10" i="9"/>
  <c r="I10" i="9"/>
  <c r="I11" i="9"/>
  <c r="F11" i="9"/>
  <c r="G11" i="9" s="1"/>
  <c r="H11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G10" i="9"/>
  <c r="H13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44" i="6" l="1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320" i="8" s="1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<sst xmlns="http://schemas.openxmlformats.org/spreadsheetml/2006/main" count="4559" uniqueCount="1193">
  <si>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</si>
  <si>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</si>
  <si>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</si>
  <si>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</si>
  <si>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</si>
  <si>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</si>
  <si>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</si>
  <si>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</si>
  <si>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</si>
  <si>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</si>
  <si>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</si>
  <si>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</si>
  <si>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</si>
  <si>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</si>
  <si>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</si>
  <si>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</si>
  <si>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</si>
  <si>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</si>
  <si>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</si>
  <si>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</si>
  <si>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</si>
  <si>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</si>
  <si>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</si>
  <si>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</si>
  <si>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</si>
  <si>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</si>
  <si>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</si>
  <si>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</si>
  <si>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</si>
  <si>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</si>
  <si>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</si>
  <si>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</si>
  <si>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</si>
  <si>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</si>
  <si>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</si>
  <si>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</si>
  <si>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</si>
  <si>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</si>
  <si>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</si>
  <si>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</si>
  <si>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</si>
  <si>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</si>
  <si>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</si>
  <si>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</si>
  <si>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</si>
  <si>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</si>
  <si>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</si>
  <si>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</si>
  <si>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</si>
  <si>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</si>
  <si>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</si>
  <si>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</si>
  <si>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</si>
  <si>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</si>
  <si>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</si>
  <si>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</si>
  <si>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</si>
  <si>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</si>
  <si>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</si>
  <si>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</si>
  <si>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</si>
  <si>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</si>
  <si>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</si>
  <si>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</si>
  <si>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</si>
  <si>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</si>
  <si>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</si>
  <si>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</si>
  <si>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</si>
  <si>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</si>
  <si>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</si>
  <si>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</si>
  <si>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</si>
  <si>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</si>
  <si>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</si>
  <si>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</si>
  <si>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</si>
  <si>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</si>
  <si>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</si>
  <si>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</si>
  <si>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</si>
  <si>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</si>
  <si>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</si>
  <si>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</si>
  <si>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</si>
  <si>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</si>
  <si>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</si>
  <si>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</si>
  <si>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</si>
  <si>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</si>
  <si>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</si>
  <si>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</si>
  <si>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</si>
  <si>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</si>
  <si>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</si>
  <si>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</si>
  <si>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</si>
  <si>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</si>
  <si>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</si>
  <si>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</si>
  <si>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</si>
  <si>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</si>
  <si>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</si>
  <si>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</si>
  <si>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</si>
  <si>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</si>
  <si>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</si>
  <si>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</si>
  <si>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</si>
  <si>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</si>
  <si>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</si>
  <si>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</si>
  <si>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</si>
  <si>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</si>
  <si>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</si>
  <si>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</si>
  <si>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</si>
  <si>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</si>
  <si>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</si>
  <si>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</si>
  <si>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</si>
  <si>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</si>
  <si>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</si>
  <si>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</si>
  <si>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</si>
  <si>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</si>
  <si>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</si>
  <si>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</si>
  <si>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</si>
  <si>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</si>
  <si>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</si>
  <si>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</si>
  <si>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</si>
  <si>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</si>
  <si>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</si>
  <si>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</si>
  <si>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</si>
  <si>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</si>
  <si>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</si>
  <si>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</si>
  <si>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</si>
  <si>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</si>
  <si>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</si>
  <si>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</si>
  <si>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</si>
  <si>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</si>
  <si>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</si>
  <si>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</si>
  <si>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</si>
  <si>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</si>
  <si>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</si>
  <si>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</si>
  <si>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</si>
  <si>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</si>
  <si>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</si>
  <si>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</si>
  <si>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</si>
  <si>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</si>
  <si>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</si>
  <si>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</si>
  <si>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</si>
  <si>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</si>
  <si>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</si>
  <si>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</si>
  <si>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</si>
  <si>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</si>
  <si>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</si>
  <si>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</si>
  <si>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</si>
  <si>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</si>
  <si>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</si>
  <si>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</si>
  <si>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</si>
  <si>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</si>
  <si>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</si>
  <si>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</si>
  <si>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</si>
  <si>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</si>
  <si>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</si>
  <si>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</si>
  <si>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</si>
  <si>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</si>
  <si>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</si>
  <si>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</si>
  <si>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</si>
  <si>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</si>
  <si>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</si>
  <si>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</si>
  <si>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</si>
  <si>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</si>
  <si>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</si>
  <si>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</si>
  <si>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</si>
  <si>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</si>
  <si>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</si>
  <si>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</si>
  <si>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</si>
  <si>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</si>
  <si>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</si>
  <si>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</si>
  <si>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</si>
  <si>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</si>
  <si>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</si>
  <si>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</si>
  <si>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</si>
  <si>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</si>
  <si>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</si>
  <si>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</si>
  <si>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</si>
  <si>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</si>
  <si>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</si>
  <si>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</si>
  <si>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</si>
  <si>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</si>
  <si>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</si>
  <si>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</si>
  <si>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</si>
  <si>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</si>
  <si>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</si>
  <si>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</si>
  <si>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</si>
  <si>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</si>
  <si>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</si>
  <si>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</si>
  <si>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</si>
  <si>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</si>
  <si>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</si>
  <si>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</si>
  <si>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</si>
  <si>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</si>
  <si>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</si>
  <si>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</si>
  <si>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</si>
  <si>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</si>
  <si>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</si>
  <si>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</si>
  <si>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</si>
  <si>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</si>
  <si>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</si>
  <si>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</si>
  <si>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</si>
  <si>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</si>
  <si>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</si>
  <si>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</si>
  <si>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</si>
  <si>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</si>
  <si>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</si>
  <si>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</si>
  <si>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</si>
  <si>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</si>
  <si>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</si>
  <si>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</si>
  <si>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</si>
  <si>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</si>
  <si>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</si>
  <si>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</si>
  <si>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</si>
  <si>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</si>
  <si>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</si>
  <si>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</si>
  <si>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</si>
  <si>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</si>
  <si>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</si>
  <si>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</si>
  <si>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</si>
  <si>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</si>
  <si>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</si>
  <si>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</si>
  <si>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</si>
  <si>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</si>
  <si>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</si>
  <si>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</si>
  <si>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</si>
  <si>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</si>
  <si>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</si>
  <si>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</si>
  <si>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</si>
  <si>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</si>
  <si>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</si>
  <si>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</si>
  <si>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</si>
  <si>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</si>
  <si>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</si>
  <si>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</si>
  <si>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</si>
  <si>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</si>
  <si>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</si>
  <si>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</si>
  <si>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</si>
  <si>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</si>
  <si>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</si>
  <si>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</si>
  <si>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</si>
  <si>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</si>
  <si>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</si>
  <si>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</si>
  <si>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</si>
  <si>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</si>
  <si>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</si>
  <si>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</si>
  <si>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</si>
  <si>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</si>
  <si>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</si>
  <si>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</si>
  <si>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</si>
  <si>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</si>
  <si>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</si>
  <si>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</si>
  <si>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</si>
  <si>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</si>
  <si>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</si>
  <si>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</si>
  <si>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</si>
  <si>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</si>
  <si>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</si>
  <si>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</si>
  <si>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</si>
  <si>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</si>
  <si>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</si>
  <si>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</si>
  <si>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</si>
  <si>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</si>
  <si>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</si>
  <si>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</si>
  <si>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</si>
  <si>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</si>
  <si>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</si>
  <si>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</si>
  <si>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</si>
  <si>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</si>
  <si>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</si>
  <si>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</si>
  <si>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</si>
  <si>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</si>
  <si>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</si>
  <si>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</si>
  <si>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</si>
  <si>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</si>
  <si>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</si>
  <si>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</si>
  <si>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</si>
  <si>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</si>
  <si>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</si>
  <si>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</si>
  <si>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</si>
  <si>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</si>
  <si>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</si>
  <si>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</si>
  <si>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</si>
  <si>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</si>
  <si>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</si>
  <si>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</si>
  <si>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</si>
  <si>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</si>
  <si>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</si>
  <si>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</si>
  <si>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</si>
  <si>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</si>
  <si>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</si>
  <si>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</si>
  <si>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</si>
  <si>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</si>
  <si>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</si>
  <si>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</si>
  <si>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</si>
  <si>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</si>
  <si>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</si>
  <si>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</si>
  <si>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</si>
  <si>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</si>
  <si>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</si>
  <si>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</si>
  <si>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</si>
  <si>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</si>
  <si>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</si>
  <si>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</si>
  <si>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</si>
  <si>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</si>
  <si>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</si>
  <si>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</si>
  <si>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</si>
  <si>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</si>
  <si>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</si>
  <si>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</si>
  <si>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</si>
  <si>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</si>
  <si>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</si>
  <si>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</si>
  <si>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</si>
  <si>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</si>
  <si>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</si>
  <si>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</si>
  <si>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</si>
  <si>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</si>
  <si>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</si>
  <si>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</si>
  <si>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</si>
  <si>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</si>
  <si>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</si>
  <si>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</si>
  <si>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</si>
  <si>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</si>
  <si>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</si>
  <si>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</si>
  <si>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</si>
  <si>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</si>
  <si>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</si>
  <si>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</si>
  <si>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</si>
  <si>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</si>
  <si>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</si>
  <si>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</si>
  <si>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</si>
  <si>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</si>
  <si>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</si>
  <si>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</si>
  <si>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</si>
  <si>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</si>
  <si>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</si>
  <si>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</si>
  <si>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</si>
  <si>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</si>
  <si>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</si>
  <si>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</si>
  <si>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</si>
  <si>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</si>
  <si>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</si>
  <si>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</si>
  <si>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</si>
  <si>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</si>
  <si>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</si>
  <si>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</si>
  <si>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</si>
  <si>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</si>
  <si>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</si>
  <si>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</si>
  <si>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</si>
  <si>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</si>
  <si>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</si>
  <si>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</si>
  <si>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</si>
  <si>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</si>
  <si>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</si>
  <si>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</si>
  <si>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</si>
  <si>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</si>
  <si>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</si>
  <si>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</si>
  <si>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</si>
  <si>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</si>
  <si>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</si>
  <si>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</si>
  <si>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</si>
  <si>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</si>
  <si>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</si>
  <si>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</si>
  <si>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</si>
  <si>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</si>
  <si>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</si>
  <si>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</si>
  <si>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</si>
  <si>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</si>
  <si>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</si>
  <si>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</si>
  <si>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</si>
  <si>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</si>
  <si>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</si>
  <si>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</si>
  <si>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</si>
  <si>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</si>
  <si>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</si>
  <si>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</si>
  <si>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</si>
  <si>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</si>
  <si>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</si>
  <si>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</si>
  <si>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</si>
  <si>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</si>
  <si>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</si>
  <si>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</si>
  <si>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</si>
  <si>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</si>
  <si>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</si>
  <si>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</si>
  <si>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</si>
  <si>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</si>
  <si>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</si>
  <si>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</si>
  <si>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</si>
  <si>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</si>
  <si>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</si>
  <si>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</si>
  <si>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</si>
  <si>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</si>
  <si>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</si>
  <si>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</si>
  <si>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</si>
  <si>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</si>
  <si>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</si>
  <si>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</si>
  <si>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</si>
  <si>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</si>
  <si>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</si>
  <si>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</si>
  <si>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</si>
  <si>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</si>
  <si>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</si>
  <si>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</si>
  <si>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</si>
  <si>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</si>
  <si>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</si>
  <si>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</si>
  <si>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</si>
  <si>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</si>
  <si>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</si>
  <si>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</si>
  <si>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</si>
  <si>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</si>
  <si>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</si>
  <si>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</si>
  <si>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</si>
  <si>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</si>
  <si>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</si>
  <si>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</si>
  <si>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</si>
  <si>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</si>
  <si>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</si>
  <si>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</si>
  <si>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</si>
  <si>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</si>
  <si>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</si>
  <si>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</si>
  <si>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</si>
  <si>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</si>
  <si>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</si>
  <si>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</si>
  <si>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</si>
  <si>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</si>
  <si>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</si>
  <si>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</si>
  <si>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</si>
  <si>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</si>
  <si>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</si>
  <si>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</si>
  <si>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</si>
  <si>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</si>
  <si>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</si>
  <si>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</si>
  <si>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</si>
  <si>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</si>
  <si>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</si>
  <si>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</si>
  <si>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</si>
  <si>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</si>
  <si>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</si>
  <si>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</si>
  <si>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</si>
  <si>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</si>
  <si>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</si>
  <si>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</si>
  <si>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</si>
  <si>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</si>
  <si>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</si>
  <si>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</si>
  <si>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</si>
  <si>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</si>
  <si>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</si>
  <si>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</si>
  <si>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</si>
  <si>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</si>
  <si>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</si>
  <si>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</si>
  <si>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</si>
  <si>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</si>
  <si>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</si>
  <si>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</si>
  <si>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</si>
  <si>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</si>
  <si>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</si>
  <si>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</si>
  <si>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</si>
  <si>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</si>
  <si>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</si>
  <si>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</si>
  <si>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</si>
  <si>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</si>
  <si>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</si>
  <si>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</si>
  <si>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</si>
  <si>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</si>
  <si>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</si>
  <si>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</si>
  <si>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</si>
  <si>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</si>
  <si>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</si>
  <si>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</si>
  <si>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</si>
  <si>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</si>
  <si>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</si>
  <si>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</si>
  <si>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</si>
  <si>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</si>
  <si>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</si>
  <si>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</si>
  <si>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</si>
  <si>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</si>
  <si>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</si>
  <si>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</si>
  <si>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</si>
  <si>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</si>
  <si>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</si>
  <si>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</si>
  <si>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</si>
  <si>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</si>
  <si>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</si>
  <si>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</si>
  <si>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</si>
  <si>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</si>
  <si>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</si>
  <si>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</si>
  <si>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</si>
  <si>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</si>
  <si>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</si>
  <si>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</si>
  <si>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</si>
  <si>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</si>
  <si>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</si>
  <si>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</si>
  <si>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</si>
  <si>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</si>
  <si>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</si>
  <si>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</si>
  <si>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</si>
  <si>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</si>
  <si>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</si>
  <si>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</si>
  <si>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</si>
  <si>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</si>
  <si>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</si>
  <si>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</si>
  <si>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</si>
  <si>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</si>
  <si>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</si>
  <si>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</si>
  <si>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</si>
  <si>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</si>
  <si>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</si>
  <si>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</si>
  <si>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</si>
  <si>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</si>
  <si>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</si>
  <si>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</si>
  <si>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</si>
  <si>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</si>
  <si>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</si>
  <si>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</si>
  <si>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</si>
  <si>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</si>
  <si>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</si>
  <si>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</si>
  <si>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</si>
  <si>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</si>
  <si>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</si>
  <si>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</si>
  <si>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</si>
  <si>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</si>
  <si>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</si>
  <si>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</si>
  <si>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</si>
  <si>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</si>
  <si>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</si>
  <si>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</si>
  <si>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</si>
  <si>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</si>
  <si>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</si>
  <si>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</si>
  <si>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</si>
  <si>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</si>
  <si>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</si>
  <si>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</si>
  <si>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</si>
  <si>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</si>
  <si>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</si>
  <si>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</si>
  <si>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</si>
  <si>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</si>
  <si>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</si>
  <si>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</si>
  <si>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</si>
  <si>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</si>
  <si>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</si>
  <si>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</si>
  <si>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</si>
  <si>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</si>
  <si>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</si>
  <si>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</si>
  <si>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</si>
  <si>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</si>
  <si>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</si>
  <si>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</si>
  <si>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</si>
  <si>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</si>
  <si>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</si>
  <si>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</si>
  <si>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</si>
  <si>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</si>
  <si>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</si>
  <si>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</si>
  <si>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</si>
  <si>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</si>
  <si>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</si>
  <si>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</si>
  <si>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</si>
  <si>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</si>
  <si>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</si>
  <si>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</si>
  <si>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</si>
  <si>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</si>
  <si>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</si>
  <si>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</si>
  <si>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</si>
  <si>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</si>
  <si>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</si>
  <si>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</si>
  <si>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</si>
  <si>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</si>
  <si>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</si>
  <si>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</si>
  <si>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</si>
  <si>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</si>
  <si>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</si>
  <si>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</si>
  <si>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</si>
  <si>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</si>
  <si>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</si>
  <si>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</si>
  <si>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</si>
  <si>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</si>
  <si>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</si>
  <si>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</si>
  <si>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</si>
  <si>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</si>
  <si>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</si>
  <si>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</si>
  <si>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</si>
  <si>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</si>
  <si>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</si>
  <si>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</si>
  <si>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</si>
  <si>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</si>
  <si>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</si>
  <si>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</si>
  <si>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</si>
  <si>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</si>
  <si>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</si>
  <si>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</si>
  <si>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</si>
  <si>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</si>
  <si>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</si>
  <si>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</si>
  <si>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</si>
  <si>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</si>
  <si>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</si>
  <si>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</si>
  <si>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</si>
  <si>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</si>
  <si>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</si>
  <si>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</si>
  <si>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</si>
  <si>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</si>
  <si>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</si>
  <si>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</si>
  <si>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</si>
  <si>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</si>
  <si>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</si>
  <si>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</si>
  <si>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</si>
  <si>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</si>
  <si>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</si>
  <si>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</si>
  <si>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</si>
  <si>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</si>
  <si>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</si>
  <si>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</si>
  <si>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</si>
  <si>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</si>
  <si>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</si>
  <si>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</si>
  <si>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</si>
  <si>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</si>
  <si>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</si>
  <si>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</si>
  <si>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</si>
  <si>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</si>
  <si>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</si>
  <si>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</si>
  <si>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</si>
  <si>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</si>
  <si>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</si>
  <si>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</si>
  <si>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</si>
  <si>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</si>
  <si>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</si>
  <si>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</si>
  <si>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</si>
  <si>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</si>
  <si>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</si>
  <si>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</si>
  <si>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</si>
  <si>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</si>
  <si>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</si>
  <si>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</si>
  <si>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</si>
  <si>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</si>
  <si>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</si>
  <si>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</si>
  <si>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</si>
  <si>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</si>
  <si>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</si>
  <si>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</si>
  <si>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</si>
  <si>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</si>
  <si>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</si>
  <si>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</si>
  <si>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</si>
  <si>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</si>
  <si>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</si>
  <si>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</si>
  <si>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</si>
  <si>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</si>
  <si>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</si>
  <si>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</si>
  <si>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</si>
  <si>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</si>
  <si>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</si>
  <si>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</si>
  <si>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</si>
  <si>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</si>
  <si>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</si>
  <si>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</si>
  <si>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</si>
  <si>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</si>
  <si>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</si>
  <si>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</si>
  <si>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</si>
  <si>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</si>
  <si>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</si>
  <si>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</si>
  <si>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</si>
  <si>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</si>
  <si>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</si>
  <si>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</si>
  <si>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</si>
  <si>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</si>
  <si>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</si>
  <si>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</si>
  <si>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</si>
  <si>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</si>
  <si>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</si>
  <si>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</si>
  <si>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</si>
  <si>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</si>
  <si>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</si>
  <si>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</si>
  <si>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</si>
  <si>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</si>
  <si>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</si>
  <si>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</si>
  <si>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</si>
  <si>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</si>
  <si>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</si>
  <si>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</si>
  <si>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</si>
  <si>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</si>
  <si>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</si>
  <si>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</si>
  <si>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</si>
  <si>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</si>
  <si>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</si>
  <si>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</si>
  <si>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</si>
  <si>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</si>
  <si>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</si>
  <si>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</si>
  <si>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</si>
  <si>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</si>
  <si>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</si>
  <si>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</si>
  <si>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</si>
  <si>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</si>
  <si>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</si>
  <si>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</si>
  <si>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</si>
  <si>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</si>
  <si>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</si>
  <si>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</si>
  <si>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</si>
  <si>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</si>
  <si>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</si>
  <si>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</si>
  <si>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</si>
  <si>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</si>
  <si>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</si>
  <si>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</si>
  <si>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</si>
  <si>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</si>
  <si>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</si>
  <si>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</si>
  <si>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</si>
  <si>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</si>
  <si>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</si>
  <si>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</si>
  <si>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</si>
  <si>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</si>
  <si>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</si>
  <si>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</si>
  <si>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</si>
  <si>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</si>
  <si>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</si>
  <si>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</si>
  <si>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</si>
  <si>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</si>
  <si>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</si>
  <si>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</si>
  <si>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</si>
  <si>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</si>
  <si>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</si>
  <si>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</si>
  <si>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</si>
  <si>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</si>
  <si>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 ARG SEAMAN ELECTRONICS S.A.</t>
  </si>
  <si>
    <t>ABB S.A.U.</t>
  </si>
  <si>
    <t>ALPAHELI S.R.L.</t>
  </si>
  <si>
    <t>ANDRADE RICARDO ALBERTO</t>
  </si>
  <si>
    <t>ARCANGEL SAN MIGUEL S R L</t>
  </si>
  <si>
    <t>ASCENSORES ULTRA S R L</t>
  </si>
  <si>
    <t>BAGGIARINI ALBERTO MARCELO</t>
  </si>
  <si>
    <t>BALIÑA GERARDO DANIEL</t>
  </si>
  <si>
    <t>BIRCHER DELIA MARISA</t>
  </si>
  <si>
    <t>BLOCK PABLO DANIEL Y BLOCK MIGUEL ANGEL S H</t>
  </si>
  <si>
    <t>BOSCH CESAR MARCELO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</si>
  <si>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</si>
  <si>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</si>
  <si>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</si>
  <si>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</si>
  <si>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</si>
  <si>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</si>
  <si>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</si>
  <si>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</si>
  <si>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</si>
  <si>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</si>
  <si>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</si>
  <si>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</si>
  <si>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</si>
  <si>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</si>
  <si>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</si>
  <si>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</si>
  <si>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</si>
  <si>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</si>
  <si>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</si>
  <si>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</si>
  <si>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</si>
  <si>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GUILLERMO SIMONE S A C I F Y A</t>
  </si>
  <si>
    <t>HERNANDEZ CORTES MIGUEL</t>
  </si>
  <si>
    <t>HOLMBACK JORGE EDUARDO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</si>
  <si>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</si>
  <si>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</si>
  <si>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</si>
  <si>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</si>
  <si>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</si>
  <si>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</si>
  <si>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</si>
  <si>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MENDOZA GASTON NICOLAS IGNACIO</t>
  </si>
  <si>
    <t>MOENS PABLO ENRIQUE</t>
  </si>
  <si>
    <t>MONTERO S.A.</t>
  </si>
  <si>
    <t>NAUTIQ SERVICE S.A.</t>
  </si>
  <si>
    <t>NSM FOODS &amp; LOG S.R.L</t>
  </si>
  <si>
    <t>ORREGO GUSTAVO JAVIER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</si>
  <si>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</si>
  <si>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</si>
  <si>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</si>
  <si>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</si>
  <si>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</si>
  <si>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</si>
  <si>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</si>
  <si>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</si>
  <si>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</si>
  <si>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</si>
  <si>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</si>
  <si>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</si>
  <si>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</si>
  <si>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</si>
  <si>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</si>
  <si>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</si>
  <si>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</si>
  <si>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</si>
  <si>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</si>
  <si>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</si>
  <si>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LOGISTICA VIPAMAR SA EN FORMACION</t>
  </si>
  <si>
    <t>ALIMENPES SA</t>
  </si>
  <si>
    <t>COMERCIAL INAL 2005 SA</t>
  </si>
  <si>
    <t>FRIO POLAR SA</t>
  </si>
  <si>
    <t>CONGELADOS ARTICO SA</t>
  </si>
  <si>
    <t xml:space="preserve">FRIO POLAR S.A.                         </t>
  </si>
  <si>
    <t xml:space="preserve">                                               FRIO SUR SRL</t>
  </si>
  <si>
    <t xml:space="preserve">                                                 NATUSUR SA</t>
  </si>
  <si>
    <t>PV - Análisis de Vencimientos 30-60-90</t>
  </si>
  <si>
    <t>Usuario: NICOLAS VELLINI</t>
  </si>
  <si>
    <t> </t>
  </si>
  <si>
    <t>08053</t>
  </si>
  <si>
    <t>08859</t>
  </si>
  <si>
    <t> MODOC S.A</t>
  </si>
  <si>
    <t>SISTEMAS INFORMATICOS</t>
  </si>
  <si>
    <t>PR067</t>
  </si>
  <si>
    <t>00182</t>
  </si>
  <si>
    <t>03882</t>
  </si>
  <si>
    <t>08992</t>
  </si>
  <si>
    <t>06846</t>
  </si>
  <si>
    <t>07521</t>
  </si>
  <si>
    <t>INSTALACION Y MANTINIMIENTO DE ASCENSOR</t>
  </si>
  <si>
    <t>PR173</t>
  </si>
  <si>
    <t>00089</t>
  </si>
  <si>
    <t>ASTILLERO NAVAL FEDERICO CONTESSI Y CIA SA.</t>
  </si>
  <si>
    <t>09199</t>
  </si>
  <si>
    <t>ATL CARGO S.R.L.</t>
  </si>
  <si>
    <t>00972</t>
  </si>
  <si>
    <t>07910</t>
  </si>
  <si>
    <t>COMPRA DE CAMARAS Y CUBIERTAS PARA RODADOS</t>
  </si>
  <si>
    <t>PR223</t>
  </si>
  <si>
    <t>REPARACIONES RODADOS</t>
  </si>
  <si>
    <t>PR188</t>
  </si>
  <si>
    <t>04995</t>
  </si>
  <si>
    <t>BENNETT ANDERSON GONZALEZ Y CIA S AI C</t>
  </si>
  <si>
    <t>07977</t>
  </si>
  <si>
    <t>06759</t>
  </si>
  <si>
    <t>09568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</si>
  <si>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</si>
  <si>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</si>
  <si>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</si>
  <si>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</si>
  <si>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</si>
  <si>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</si>
  <si>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</si>
  <si>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09072</t>
  </si>
  <si>
    <t>COSTA EMILIANO CARLOS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</si>
  <si>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</si>
  <si>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</si>
  <si>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</si>
  <si>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</si>
  <si>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</si>
  <si>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</si>
  <si>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</si>
  <si>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06539</t>
  </si>
  <si>
    <t>05621</t>
  </si>
  <si>
    <t>08262</t>
  </si>
  <si>
    <t>09443</t>
  </si>
  <si>
    <t>RECOLECCION, TRANSPORTE Y TRATAMIENTO FINAL DE RESIDUOS</t>
  </si>
  <si>
    <t>PR130</t>
  </si>
  <si>
    <t>01703</t>
  </si>
  <si>
    <t>EMPRESA DE COMBUSTIBLES ZONA COMUN SA</t>
  </si>
  <si>
    <t>06895</t>
  </si>
  <si>
    <t>05847</t>
  </si>
  <si>
    <t>FARO ELECTRICIDAD E ILUMINACION SRL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</si>
  <si>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</si>
  <si>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</si>
  <si>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</si>
  <si>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</si>
  <si>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</si>
  <si>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</si>
  <si>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</si>
  <si>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</si>
  <si>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</si>
  <si>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</si>
  <si>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</si>
  <si>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</si>
  <si>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</si>
  <si>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</si>
  <si>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</si>
  <si>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</si>
  <si>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</si>
  <si>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</si>
  <si>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</si>
  <si>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</si>
  <si>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</si>
  <si>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</si>
  <si>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05673</t>
  </si>
  <si>
    <t>GRUPO NUCLEO S.A.</t>
  </si>
  <si>
    <t>07286</t>
  </si>
  <si>
    <t>VENTA DE AUTOS, CAMIONETAS Y UTILITARIOS NUEVOS</t>
  </si>
  <si>
    <t>PR146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</si>
  <si>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</si>
  <si>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</si>
  <si>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</si>
  <si>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</si>
  <si>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</si>
  <si>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</si>
  <si>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08668</t>
  </si>
  <si>
    <t>ISF SOFT S.A.</t>
  </si>
  <si>
    <t>08048</t>
  </si>
  <si>
    <t>J KOSTZER LIBRERIA LURO S R L</t>
  </si>
  <si>
    <t>05773</t>
  </si>
  <si>
    <t>01336</t>
  </si>
  <si>
    <t>06934</t>
  </si>
  <si>
    <t>LAMAZON GILDO WERFIL</t>
  </si>
  <si>
    <t>06761</t>
  </si>
  <si>
    <t>CONSTRUCCION-REPARACIONES PLANTA O MUELLE</t>
  </si>
  <si>
    <t>PR087</t>
  </si>
  <si>
    <t>08760</t>
  </si>
  <si>
    <t>06601</t>
  </si>
  <si>
    <t>LOQUAR S.R.L.</t>
  </si>
  <si>
    <t>09474</t>
  </si>
  <si>
    <t>LOS PINOS LUBRICANTES SOCIEDAD DE RESPONSABILIDAD LIMITADA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</si>
  <si>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</si>
  <si>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</si>
  <si>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</si>
  <si>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</si>
  <si>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</si>
  <si>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</si>
  <si>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</si>
  <si>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07848</t>
  </si>
  <si>
    <t>04293</t>
  </si>
  <si>
    <t>01973</t>
  </si>
  <si>
    <t>01086</t>
  </si>
  <si>
    <t>MATERIALES Y EQUIPOS PARA SALVAMENTO</t>
  </si>
  <si>
    <t>PR033</t>
  </si>
  <si>
    <t>03874</t>
  </si>
  <si>
    <t>NAVAL STAR SA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</si>
  <si>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</si>
  <si>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</si>
  <si>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</si>
  <si>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</si>
  <si>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</si>
  <si>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</si>
  <si>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</si>
  <si>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09179</t>
  </si>
  <si>
    <t>07612</t>
  </si>
  <si>
    <t>03954</t>
  </si>
  <si>
    <t>PALOMO REFRIGERACION SRL</t>
  </si>
  <si>
    <t>08477</t>
  </si>
  <si>
    <t>01179</t>
  </si>
  <si>
    <t>PLUS TEL SRL</t>
  </si>
  <si>
    <t>03916</t>
  </si>
  <si>
    <t>07390</t>
  </si>
  <si>
    <t>ROBERTS OSCAR</t>
  </si>
  <si>
    <t>07703</t>
  </si>
  <si>
    <t>ROJAS HORACIO DANIEL</t>
  </si>
  <si>
    <t>MANT. PARQUE FABRICA</t>
  </si>
  <si>
    <t>PR127</t>
  </si>
  <si>
    <t>08278</t>
  </si>
  <si>
    <t>RUINA SERGIO CLAUDIO</t>
  </si>
  <si>
    <t>04965</t>
  </si>
  <si>
    <t>00196</t>
  </si>
  <si>
    <t>SALVADOR MALVICA S.R.L.</t>
  </si>
  <si>
    <t>07655</t>
  </si>
  <si>
    <t>08419</t>
  </si>
  <si>
    <t>SAN MARCOS E. S.A.</t>
  </si>
  <si>
    <t>08377</t>
  </si>
  <si>
    <t>SELEC ELECTRICIDAD Y ELECTRONICA S.R.L</t>
  </si>
  <si>
    <t>REPARACIONES Y MANTENIMIENTO BUQUES</t>
  </si>
  <si>
    <t>PR186</t>
  </si>
  <si>
    <t>08597</t>
  </si>
  <si>
    <t>SEMAVE S R L</t>
  </si>
  <si>
    <t>00192</t>
  </si>
  <si>
    <t>06784</t>
  </si>
  <si>
    <t>09011</t>
  </si>
  <si>
    <t>SZANTO JOSE ALEJANDRO</t>
  </si>
  <si>
    <t>04027</t>
  </si>
  <si>
    <t>02467</t>
  </si>
  <si>
    <t>05683</t>
  </si>
  <si>
    <t>TELMEX ARGENTINA SA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</si>
  <si>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</si>
  <si>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</si>
  <si>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</si>
  <si>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</si>
  <si>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</si>
  <si>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</si>
  <si>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</si>
  <si>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</si>
  <si>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</si>
  <si>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</si>
  <si>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</si>
  <si>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</si>
  <si>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</si>
  <si>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</si>
  <si>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</si>
  <si>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</si>
  <si>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</si>
  <si>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</si>
  <si>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</si>
  <si>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Parámetros</t>
  </si>
  <si>
    <t>Código de proveedor   desde:     hasta: </t>
  </si>
  <si>
    <t>Deuda al día   valor: 20260811</t>
  </si>
  <si>
    <t>No incluye   valor: PR006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</si>
</sst>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0" fillId="0" borderId="0" xfId="0" applyAlignment="1"/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U3" zoomScaleNormal="100" workbookViewId="0">
      <pane ySplit="1" topLeftCell="A132" activePane="bottomLeft" state="frozen"/>
      <selection activeCell="A3" sqref="A3"/>
      <selection pane="bottomLeft" activeCell="X149" sqref="X14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>+AD140</f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>+AD141</f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>+AD142</f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>+AD143</f>
        <v>245288.76712328769</v>
      </c>
      <c r="AE144" s="63">
        <f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-88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-73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-62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-52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29" sqref="F29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s="82" t="s">
        <v>998</v>
      </c>
      <c r="C4" s="67">
        <v>7500000</v>
      </c>
      <c r="D4" s="13">
        <v>46169</v>
      </c>
      <c r="E4" s="64">
        <v>46284.000138888892</v>
      </c>
      <c r="F4" s="40">
        <f t="shared" ref="F4:F36" si="0">+E4+2</f>
        <v>46286.000138888892</v>
      </c>
      <c r="G4" s="27"/>
    </row>
    <row r="5" spans="1:7" ht="15.75" customHeight="1" x14ac:dyDescent="0.25">
      <c r="A5" s="82" t="s">
        <v>998</v>
      </c>
      <c r="C5" s="67">
        <v>7500000</v>
      </c>
      <c r="D5" s="13">
        <v>46170</v>
      </c>
      <c r="E5" s="64">
        <v>46284.000138888892</v>
      </c>
      <c r="F5" s="40">
        <f t="shared" si="0"/>
        <v>46286.000138888892</v>
      </c>
      <c r="G5" s="27"/>
    </row>
    <row r="6" spans="1:7" ht="15.75" customHeight="1" x14ac:dyDescent="0.25">
      <c r="A6" s="82" t="s">
        <v>999</v>
      </c>
      <c r="C6" s="67">
        <v>7608221.0700000003</v>
      </c>
      <c r="D6" s="13">
        <v>46171</v>
      </c>
      <c r="E6" s="64">
        <v>46277.000138888892</v>
      </c>
      <c r="F6" s="40">
        <f t="shared" si="0"/>
        <v>46279.000138888892</v>
      </c>
      <c r="G6" s="27"/>
    </row>
    <row r="7" spans="1:7" ht="15.75" customHeight="1" x14ac:dyDescent="0.25">
      <c r="A7" s="82" t="s">
        <v>1000</v>
      </c>
      <c r="C7" s="67">
        <v>23109975</v>
      </c>
      <c r="D7" s="13">
        <v>46172</v>
      </c>
      <c r="E7" s="64">
        <v>46276.000138888892</v>
      </c>
      <c r="F7" s="40">
        <f t="shared" si="0"/>
        <v>46278.000138888892</v>
      </c>
      <c r="G7" s="27"/>
    </row>
    <row r="8" spans="1:7" ht="15.75" customHeight="1" x14ac:dyDescent="0.25">
      <c r="A8" s="82" t="s">
        <v>999</v>
      </c>
      <c r="C8" s="67">
        <v>8005296</v>
      </c>
      <c r="D8" s="13">
        <v>46173</v>
      </c>
      <c r="E8" s="64">
        <v>46270.000138888892</v>
      </c>
      <c r="F8" s="40">
        <f t="shared" si="0"/>
        <v>46272.000138888892</v>
      </c>
      <c r="G8" s="27"/>
    </row>
    <row r="9" spans="1:7" ht="15.75" customHeight="1" x14ac:dyDescent="0.25">
      <c r="A9" s="82" t="s">
        <v>999</v>
      </c>
      <c r="C9" s="67">
        <v>3846325.49</v>
      </c>
      <c r="D9" s="13">
        <v>46174</v>
      </c>
      <c r="E9" s="64">
        <v>46270.000138888892</v>
      </c>
      <c r="F9" s="40">
        <f t="shared" si="0"/>
        <v>46272.000138888892</v>
      </c>
      <c r="G9" s="27"/>
    </row>
    <row r="10" spans="1:7" ht="15.75" customHeight="1" x14ac:dyDescent="0.25">
      <c r="A10" s="82" t="s">
        <v>999</v>
      </c>
      <c r="C10" s="67">
        <v>10000000</v>
      </c>
      <c r="D10" s="13">
        <v>46175</v>
      </c>
      <c r="E10" s="64">
        <v>46270.000138888892</v>
      </c>
      <c r="F10" s="40">
        <f t="shared" si="0"/>
        <v>46272.000138888892</v>
      </c>
      <c r="G10" s="27"/>
    </row>
    <row r="11" spans="1:7" ht="15.75" customHeight="1" x14ac:dyDescent="0.25">
      <c r="A11" s="82" t="s">
        <v>999</v>
      </c>
      <c r="C11" s="67">
        <v>10000000</v>
      </c>
      <c r="D11" s="13">
        <v>46176</v>
      </c>
      <c r="E11" s="64">
        <v>46270.000138888892</v>
      </c>
      <c r="F11" s="40">
        <f t="shared" si="0"/>
        <v>46272.000138888892</v>
      </c>
      <c r="G11" s="27"/>
    </row>
    <row r="12" spans="1:7" ht="15.75" customHeight="1" x14ac:dyDescent="0.25">
      <c r="A12" s="82" t="s">
        <v>999</v>
      </c>
      <c r="C12" s="67">
        <v>323070</v>
      </c>
      <c r="D12" s="13">
        <v>46177</v>
      </c>
      <c r="E12" s="64">
        <v>46269.000138888892</v>
      </c>
      <c r="F12" s="40">
        <f t="shared" si="0"/>
        <v>46271.000138888892</v>
      </c>
      <c r="G12" s="27"/>
    </row>
    <row r="13" spans="1:7" ht="15.75" customHeight="1" x14ac:dyDescent="0.25">
      <c r="A13" s="82" t="s">
        <v>1001</v>
      </c>
      <c r="C13" s="67">
        <v>23228651.030000001</v>
      </c>
      <c r="D13" s="13">
        <v>46178</v>
      </c>
      <c r="E13" s="64">
        <v>46265.000138888892</v>
      </c>
      <c r="F13" s="40">
        <f t="shared" si="0"/>
        <v>46267.000138888892</v>
      </c>
      <c r="G13" s="27"/>
    </row>
    <row r="14" spans="1:7" ht="15.75" customHeight="1" x14ac:dyDescent="0.25">
      <c r="A14" s="82" t="s">
        <v>1001</v>
      </c>
      <c r="C14" s="67">
        <v>24900000</v>
      </c>
      <c r="D14" s="13">
        <v>46179</v>
      </c>
      <c r="E14" s="64">
        <v>46265.000138888892</v>
      </c>
      <c r="F14" s="40">
        <f t="shared" si="0"/>
        <v>46267.000138888892</v>
      </c>
      <c r="G14" s="27"/>
    </row>
    <row r="15" spans="1:7" ht="15.75" customHeight="1" x14ac:dyDescent="0.25">
      <c r="A15" s="82" t="s">
        <v>999</v>
      </c>
      <c r="C15" s="67">
        <v>356950</v>
      </c>
      <c r="D15" s="13">
        <v>46180</v>
      </c>
      <c r="E15" s="64">
        <v>46264.000138888892</v>
      </c>
      <c r="F15" s="40">
        <f t="shared" si="0"/>
        <v>46266.000138888892</v>
      </c>
      <c r="G15" s="27"/>
    </row>
    <row r="16" spans="1:7" ht="15.75" customHeight="1" x14ac:dyDescent="0.25">
      <c r="A16" s="82" t="s">
        <v>1002</v>
      </c>
      <c r="C16" s="67">
        <v>7874398.5700000003</v>
      </c>
      <c r="D16" s="13">
        <v>46181</v>
      </c>
      <c r="E16" s="64">
        <v>46263.000138888892</v>
      </c>
      <c r="F16" s="40">
        <f t="shared" si="0"/>
        <v>46265.000138888892</v>
      </c>
      <c r="G16" s="27"/>
    </row>
    <row r="17" spans="1:7" ht="15.75" customHeight="1" x14ac:dyDescent="0.25">
      <c r="A17" s="82" t="s">
        <v>999</v>
      </c>
      <c r="C17" s="67">
        <v>545710</v>
      </c>
      <c r="D17" s="13">
        <v>46182</v>
      </c>
      <c r="E17" s="64">
        <v>46262.000138888892</v>
      </c>
      <c r="F17" s="40">
        <f t="shared" si="0"/>
        <v>46264.000138888892</v>
      </c>
      <c r="G17" s="27"/>
    </row>
    <row r="18" spans="1:7" ht="15.75" customHeight="1" x14ac:dyDescent="0.25">
      <c r="A18" s="82" t="s">
        <v>1001</v>
      </c>
      <c r="C18" s="67">
        <v>24900000</v>
      </c>
      <c r="D18" s="13">
        <v>46183</v>
      </c>
      <c r="E18" s="64">
        <v>46262.000138888892</v>
      </c>
      <c r="F18" s="40">
        <f t="shared" si="0"/>
        <v>46264.000138888892</v>
      </c>
      <c r="G18" s="27"/>
    </row>
    <row r="19" spans="1:7" ht="15.75" customHeight="1" x14ac:dyDescent="0.25">
      <c r="A19" s="82" t="s">
        <v>1001</v>
      </c>
      <c r="C19" s="67">
        <v>24900000</v>
      </c>
      <c r="D19" s="13">
        <v>46184</v>
      </c>
      <c r="E19" s="64">
        <v>46262.000138888892</v>
      </c>
      <c r="F19" s="40">
        <f t="shared" si="0"/>
        <v>46264.000138888892</v>
      </c>
      <c r="G19" s="27"/>
    </row>
    <row r="20" spans="1:7" ht="15.75" customHeight="1" x14ac:dyDescent="0.25">
      <c r="A20" s="82" t="s">
        <v>1002</v>
      </c>
      <c r="C20" s="67">
        <v>7800000</v>
      </c>
      <c r="D20" s="13">
        <v>46185</v>
      </c>
      <c r="E20" s="64">
        <v>46260.000138888892</v>
      </c>
      <c r="F20" s="40">
        <f t="shared" si="0"/>
        <v>46262.000138888892</v>
      </c>
      <c r="G20" s="27"/>
    </row>
    <row r="21" spans="1:7" ht="15.75" customHeight="1" x14ac:dyDescent="0.25">
      <c r="A21" s="82" t="s">
        <v>1002</v>
      </c>
      <c r="C21" s="67">
        <v>5904600</v>
      </c>
      <c r="D21" s="13">
        <v>46186</v>
      </c>
      <c r="E21" s="64">
        <v>46260.000138888892</v>
      </c>
      <c r="F21" s="40">
        <f t="shared" si="0"/>
        <v>46262.000138888892</v>
      </c>
      <c r="G21" s="27"/>
    </row>
    <row r="22" spans="1:7" ht="15.75" customHeight="1" x14ac:dyDescent="0.25">
      <c r="A22" s="82" t="s">
        <v>1002</v>
      </c>
      <c r="C22" s="67">
        <v>5904600</v>
      </c>
      <c r="D22" s="13">
        <v>46187</v>
      </c>
      <c r="E22" s="64">
        <v>46260.000138888892</v>
      </c>
      <c r="F22" s="40">
        <f t="shared" si="0"/>
        <v>46262.000138888892</v>
      </c>
      <c r="G22" s="27"/>
    </row>
    <row r="23" spans="1:7" ht="15.75" customHeight="1" x14ac:dyDescent="0.25">
      <c r="A23" s="82" t="s">
        <v>999</v>
      </c>
      <c r="C23" s="67">
        <v>383328</v>
      </c>
      <c r="D23" s="13">
        <v>46188</v>
      </c>
      <c r="E23" s="64">
        <v>46259.000138888892</v>
      </c>
      <c r="F23" s="40">
        <f t="shared" si="0"/>
        <v>46261.000138888892</v>
      </c>
      <c r="G23" s="27"/>
    </row>
    <row r="24" spans="1:7" ht="15.75" customHeight="1" x14ac:dyDescent="0.25">
      <c r="A24" s="82" t="s">
        <v>1001</v>
      </c>
      <c r="C24" s="67">
        <v>24900000</v>
      </c>
      <c r="D24" s="13">
        <v>46189</v>
      </c>
      <c r="E24" s="64">
        <v>46258.000138888892</v>
      </c>
      <c r="F24" s="40">
        <f t="shared" si="0"/>
        <v>46260.000138888892</v>
      </c>
      <c r="G24" s="27"/>
    </row>
    <row r="25" spans="1:7" ht="15.75" customHeight="1" x14ac:dyDescent="0.25">
      <c r="A25" s="82" t="s">
        <v>1001</v>
      </c>
      <c r="C25" s="67">
        <v>24900000</v>
      </c>
      <c r="D25" s="13">
        <v>46190</v>
      </c>
      <c r="E25" s="64">
        <v>46258.000138888892</v>
      </c>
      <c r="F25" s="40">
        <f t="shared" si="0"/>
        <v>46260.000138888892</v>
      </c>
      <c r="G25" s="27"/>
    </row>
    <row r="26" spans="1:7" ht="15.75" customHeight="1" x14ac:dyDescent="0.25">
      <c r="A26" s="82" t="s">
        <v>1002</v>
      </c>
      <c r="C26" s="67">
        <v>10000000</v>
      </c>
      <c r="D26" s="13">
        <v>46191</v>
      </c>
      <c r="E26" s="64">
        <v>46258.000138888892</v>
      </c>
      <c r="F26" s="40">
        <f t="shared" si="0"/>
        <v>46260.000138888892</v>
      </c>
      <c r="G26" s="27"/>
    </row>
    <row r="27" spans="1:7" ht="15.75" customHeight="1" x14ac:dyDescent="0.25">
      <c r="A27" s="82" t="s">
        <v>1002</v>
      </c>
      <c r="C27" s="67">
        <v>14021022.35</v>
      </c>
      <c r="D27" s="13">
        <v>46192</v>
      </c>
      <c r="E27" s="64">
        <v>46255.000138888892</v>
      </c>
      <c r="F27" s="40">
        <f t="shared" si="0"/>
        <v>46257.000138888892</v>
      </c>
      <c r="G27" s="27"/>
    </row>
    <row r="28" spans="1:7" ht="15.75" customHeight="1" x14ac:dyDescent="0.25">
      <c r="A28" s="82" t="s">
        <v>1003</v>
      </c>
      <c r="C28" s="67">
        <v>67173992.930000007</v>
      </c>
      <c r="D28" s="13">
        <v>46193</v>
      </c>
      <c r="E28" s="64">
        <v>46254.000138888892</v>
      </c>
      <c r="F28" s="40">
        <f t="shared" si="0"/>
        <v>46256.000138888892</v>
      </c>
      <c r="G28" s="27"/>
    </row>
    <row r="29" spans="1:7" ht="15.75" customHeight="1" x14ac:dyDescent="0.25">
      <c r="A29" s="82" t="s">
        <v>1004</v>
      </c>
      <c r="C29" s="67">
        <v>28154768.710000001</v>
      </c>
      <c r="D29" s="13">
        <v>46194</v>
      </c>
      <c r="E29" s="64">
        <v>46253.000138888892</v>
      </c>
      <c r="F29" s="40">
        <f t="shared" si="0"/>
        <v>46255.000138888892</v>
      </c>
      <c r="G29" s="27"/>
    </row>
    <row r="30" spans="1:7" ht="15.75" customHeight="1" x14ac:dyDescent="0.25">
      <c r="A30" s="82" t="s">
        <v>1002</v>
      </c>
      <c r="C30" s="67">
        <v>7000000</v>
      </c>
      <c r="D30" s="13">
        <v>46195</v>
      </c>
      <c r="E30" s="64">
        <v>46248.000138888892</v>
      </c>
      <c r="F30" s="40">
        <f t="shared" si="0"/>
        <v>46250.000138888892</v>
      </c>
      <c r="G30" s="27"/>
    </row>
    <row r="31" spans="1:7" ht="15.75" customHeight="1" x14ac:dyDescent="0.25">
      <c r="A31" s="82" t="s">
        <v>1002</v>
      </c>
      <c r="C31" s="67">
        <v>7000000</v>
      </c>
      <c r="D31" s="13">
        <v>46196</v>
      </c>
      <c r="E31" s="64">
        <v>46248.000138888892</v>
      </c>
      <c r="F31" s="40">
        <f t="shared" si="0"/>
        <v>46250.000138888892</v>
      </c>
      <c r="G31" s="27"/>
    </row>
    <row r="32" spans="1:7" ht="15.75" customHeight="1" x14ac:dyDescent="0.25">
      <c r="A32" s="82" t="s">
        <v>1002</v>
      </c>
      <c r="C32" s="67">
        <v>7000000</v>
      </c>
      <c r="D32" s="13">
        <v>46197</v>
      </c>
      <c r="E32" s="64">
        <v>46248.000138888892</v>
      </c>
      <c r="F32" s="40">
        <f t="shared" si="0"/>
        <v>46250.000138888892</v>
      </c>
      <c r="G32" s="27"/>
    </row>
    <row r="33" spans="1:7" ht="15.75" customHeight="1" x14ac:dyDescent="0.25">
      <c r="A33" s="82" t="s">
        <v>1002</v>
      </c>
      <c r="C33" s="67">
        <v>6619727.2800000003</v>
      </c>
      <c r="D33" s="13">
        <v>46198</v>
      </c>
      <c r="E33" s="64">
        <v>46248.000138888892</v>
      </c>
      <c r="F33" s="40">
        <f t="shared" si="0"/>
        <v>46250.000138888892</v>
      </c>
      <c r="G33" s="27"/>
    </row>
    <row r="34" spans="1:7" ht="15.75" customHeight="1" x14ac:dyDescent="0.25">
      <c r="A34" s="82" t="s">
        <v>1005</v>
      </c>
      <c r="C34" s="67">
        <v>49000000</v>
      </c>
      <c r="D34" s="13">
        <v>46199</v>
      </c>
      <c r="E34" s="64">
        <v>46248.000138888892</v>
      </c>
      <c r="F34" s="40">
        <f t="shared" si="0"/>
        <v>46250.000138888892</v>
      </c>
      <c r="G34" s="27"/>
    </row>
    <row r="35" spans="1:7" ht="15.75" customHeight="1" x14ac:dyDescent="0.25">
      <c r="A35" s="82" t="s">
        <v>1004</v>
      </c>
      <c r="C35" s="67">
        <v>25000000</v>
      </c>
      <c r="D35" s="13">
        <v>46200</v>
      </c>
      <c r="E35" s="64">
        <v>46247.000138888892</v>
      </c>
      <c r="F35" s="40">
        <f t="shared" si="0"/>
        <v>46249.000138888892</v>
      </c>
      <c r="G35" s="27"/>
    </row>
    <row r="36" spans="1:7" ht="15.75" customHeight="1" x14ac:dyDescent="0.25">
      <c r="A36" s="82" t="s">
        <v>1005</v>
      </c>
      <c r="C36" s="67">
        <v>48000000</v>
      </c>
      <c r="D36" s="13">
        <v>46201</v>
      </c>
      <c r="E36" s="64">
        <v>46247.000138888892</v>
      </c>
      <c r="F36" s="40">
        <f t="shared" si="0"/>
        <v>46249.000138888892</v>
      </c>
      <c r="G36" s="27"/>
    </row>
    <row r="37" spans="1:7" ht="15.75" customHeight="1" x14ac:dyDescent="0.25">
      <c r="C37" s="66"/>
      <c r="D37" s="13"/>
      <c r="E37" s="65"/>
      <c r="F37" s="40"/>
      <c r="G37" s="27"/>
    </row>
    <row r="38" spans="1:7" ht="15.75" customHeight="1" x14ac:dyDescent="0.25">
      <c r="C38" s="66"/>
      <c r="D38" s="13"/>
      <c r="E38" s="65"/>
      <c r="F38" s="40"/>
      <c r="G38" s="27"/>
    </row>
    <row r="39" spans="1:7" ht="15.75" customHeight="1" x14ac:dyDescent="0.25">
      <c r="C39" s="66"/>
      <c r="D39" s="13"/>
      <c r="E39" s="65"/>
      <c r="F39" s="40"/>
      <c r="G39" s="27"/>
    </row>
    <row r="40" spans="1:7" ht="15.75" customHeight="1" x14ac:dyDescent="0.25">
      <c r="C40" s="66"/>
      <c r="D40" s="13"/>
      <c r="E40" s="65"/>
      <c r="F40" s="40"/>
      <c r="G40" s="27"/>
    </row>
    <row r="41" spans="1:7" ht="15.75" customHeight="1" x14ac:dyDescent="0.25">
      <c r="C41" s="66"/>
      <c r="D41" s="13"/>
      <c r="E41" s="65"/>
      <c r="F41" s="40"/>
      <c r="G41" s="27"/>
    </row>
    <row r="42" spans="1:7" ht="15.75" customHeight="1" x14ac:dyDescent="0.25">
      <c r="C42" s="66"/>
      <c r="D42" s="13"/>
      <c r="E42" s="65"/>
      <c r="F42" s="40"/>
      <c r="G42" s="27"/>
    </row>
    <row r="43" spans="1:7" ht="15.75" customHeight="1" x14ac:dyDescent="0.25">
      <c r="C43" s="66"/>
      <c r="D43" s="13"/>
      <c r="E43" s="65"/>
      <c r="F43" s="40"/>
      <c r="G43" s="27"/>
    </row>
    <row r="44" spans="1:7" ht="15.75" customHeight="1" x14ac:dyDescent="0.25">
      <c r="C44" s="66"/>
      <c r="D44" s="13"/>
      <c r="E44" s="65"/>
      <c r="F44" s="40"/>
      <c r="G44" s="27"/>
    </row>
    <row r="45" spans="1:7" ht="15.75" customHeight="1" x14ac:dyDescent="0.25">
      <c r="C45" s="66"/>
      <c r="D45" s="13"/>
      <c r="E45" s="65"/>
      <c r="F45" s="40"/>
      <c r="G45" s="27"/>
    </row>
    <row r="46" spans="1:7" ht="15.75" customHeight="1" x14ac:dyDescent="0.25">
      <c r="C46" s="66"/>
      <c r="D46" s="13"/>
      <c r="E46" s="65"/>
      <c r="F46" s="40"/>
      <c r="G46" s="27"/>
    </row>
    <row r="47" spans="1:7" ht="15.75" customHeight="1" x14ac:dyDescent="0.25">
      <c r="C47" s="66"/>
      <c r="D47" s="13"/>
      <c r="E47" s="65"/>
      <c r="F47" s="40"/>
      <c r="G47" s="27"/>
    </row>
    <row r="48" spans="1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523360636.42999995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61"/>
  <sheetViews>
    <sheetView showGridLines="0" tabSelected="1" zoomScaleNormal="100" workbookViewId="0">
      <pane ySplit="4" topLeftCell="A5" activePane="bottomLeft" state="frozen"/>
      <selection pane="bottomLeft" activeCell="E317" sqref="E5:E31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930</v>
      </c>
      <c r="C5" s="66">
        <v>515512.3</v>
      </c>
      <c r="D5" s="24">
        <f>+C5/$D$3</f>
        <v>345.98140939597317</v>
      </c>
      <c r="E5" s="50">
        <f t="shared" ref="E5:E68" si="0">+D5/$D$320</f>
        <v>6.119532861096209E-5</v>
      </c>
      <c r="F5" s="51"/>
    </row>
    <row r="6" spans="1:6" ht="15.75" customHeight="1" x14ac:dyDescent="0.25">
      <c r="A6" t="s">
        <v>183</v>
      </c>
      <c r="C6" s="66">
        <v>0.01</v>
      </c>
      <c r="D6" s="24">
        <f t="shared" ref="D6:D69" si="1">+C6/$D$3</f>
        <v>6.7114093959731546E-6</v>
      </c>
      <c r="E6" s="50">
        <f t="shared" si="0"/>
        <v>1.1870779535417893E-12</v>
      </c>
      <c r="F6" s="51"/>
    </row>
    <row r="7" spans="1:6" ht="15.75" customHeight="1" x14ac:dyDescent="0.25">
      <c r="A7" t="s">
        <v>185</v>
      </c>
      <c r="C7" s="66">
        <v>1.08</v>
      </c>
      <c r="D7" s="24">
        <f t="shared" si="1"/>
        <v>7.2483221476510068E-4</v>
      </c>
      <c r="E7" s="50">
        <f t="shared" si="0"/>
        <v>1.2820441898251323E-10</v>
      </c>
      <c r="F7" s="51"/>
    </row>
    <row r="8" spans="1:6" ht="15.75" customHeight="1" x14ac:dyDescent="0.25">
      <c r="A8" t="s">
        <v>1011</v>
      </c>
      <c r="C8" s="66">
        <v>425243.61</v>
      </c>
      <c r="D8" s="24">
        <f t="shared" si="1"/>
        <v>285.39839597315438</v>
      </c>
      <c r="E8" s="50">
        <f t="shared" si="0"/>
        <v>5.0479731431552277E-5</v>
      </c>
      <c r="F8" s="51"/>
    </row>
    <row r="9" spans="1:6" ht="15.75" customHeight="1" x14ac:dyDescent="0.25">
      <c r="A9" t="s">
        <v>187</v>
      </c>
      <c r="C9" s="66">
        <v>4923066.5</v>
      </c>
      <c r="D9" s="24">
        <f t="shared" si="1"/>
        <v>3304.071476510067</v>
      </c>
      <c r="E9" s="50">
        <f t="shared" si="0"/>
        <v>5.8440637059701389E-4</v>
      </c>
      <c r="F9" s="51"/>
    </row>
    <row r="10" spans="1:6" ht="15.75" customHeight="1" x14ac:dyDescent="0.25">
      <c r="A10" t="s">
        <v>189</v>
      </c>
      <c r="C10" s="66">
        <v>1925360</v>
      </c>
      <c r="D10" s="24">
        <f t="shared" si="1"/>
        <v>1292.1879194630872</v>
      </c>
      <c r="E10" s="50">
        <f t="shared" si="0"/>
        <v>2.285552408631219E-4</v>
      </c>
      <c r="F10" s="51"/>
    </row>
    <row r="11" spans="1:6" ht="15.75" customHeight="1" x14ac:dyDescent="0.25">
      <c r="A11" t="s">
        <v>931</v>
      </c>
      <c r="C11" s="66">
        <v>5524901.6399999997</v>
      </c>
      <c r="D11" s="24">
        <f t="shared" si="1"/>
        <v>3707.987677852349</v>
      </c>
      <c r="E11" s="50">
        <f t="shared" si="0"/>
        <v>6.5584889323308754E-4</v>
      </c>
      <c r="F11" s="51"/>
    </row>
    <row r="12" spans="1:6" ht="15.75" customHeight="1" x14ac:dyDescent="0.25">
      <c r="A12" t="s">
        <v>191</v>
      </c>
      <c r="C12" s="66">
        <v>7025372.9500000002</v>
      </c>
      <c r="D12" s="24">
        <f t="shared" si="1"/>
        <v>4715.0154026845639</v>
      </c>
      <c r="E12" s="50">
        <f t="shared" si="0"/>
        <v>8.339665344353843E-4</v>
      </c>
      <c r="F12" s="51"/>
    </row>
    <row r="13" spans="1:6" ht="15.75" customHeight="1" x14ac:dyDescent="0.25">
      <c r="A13" t="s">
        <v>713</v>
      </c>
      <c r="C13" s="66">
        <v>1451854.8</v>
      </c>
      <c r="D13" s="24">
        <f t="shared" si="1"/>
        <v>974.39919463087256</v>
      </c>
      <c r="E13" s="50">
        <f t="shared" si="0"/>
        <v>1.7234648248238237E-4</v>
      </c>
      <c r="F13" s="51"/>
    </row>
    <row r="14" spans="1:6" ht="15.75" customHeight="1" x14ac:dyDescent="0.25">
      <c r="A14" t="s">
        <v>801</v>
      </c>
      <c r="C14" s="66">
        <v>5420800</v>
      </c>
      <c r="D14" s="24">
        <f t="shared" si="1"/>
        <v>3638.1208053691275</v>
      </c>
      <c r="E14" s="50">
        <f t="shared" si="0"/>
        <v>6.4349121705593306E-4</v>
      </c>
      <c r="F14" s="51"/>
    </row>
    <row r="15" spans="1:6" ht="15.75" customHeight="1" x14ac:dyDescent="0.25">
      <c r="A15" t="s">
        <v>717</v>
      </c>
      <c r="C15" s="66">
        <v>1443361.6</v>
      </c>
      <c r="D15" s="24">
        <f t="shared" si="1"/>
        <v>968.69906040268461</v>
      </c>
      <c r="E15" s="50">
        <f t="shared" si="0"/>
        <v>1.7133827343488025E-4</v>
      </c>
      <c r="F15" s="51"/>
    </row>
    <row r="16" spans="1:6" ht="15.75" customHeight="1" x14ac:dyDescent="0.25">
      <c r="A16" t="s">
        <v>486</v>
      </c>
      <c r="C16" s="66">
        <v>3403619.89</v>
      </c>
      <c r="D16" s="24">
        <f t="shared" si="1"/>
        <v>2284.3086510067114</v>
      </c>
      <c r="E16" s="50">
        <f t="shared" si="0"/>
        <v>4.0403621336553296E-4</v>
      </c>
      <c r="F16" s="51"/>
    </row>
    <row r="17" spans="1:6" ht="15.75" customHeight="1" x14ac:dyDescent="0.25">
      <c r="A17" t="s">
        <v>932</v>
      </c>
      <c r="C17" s="66">
        <v>1717000</v>
      </c>
      <c r="D17" s="24">
        <f t="shared" si="1"/>
        <v>1152.3489932885907</v>
      </c>
      <c r="E17" s="50">
        <f t="shared" si="0"/>
        <v>2.0382128462312522E-4</v>
      </c>
      <c r="F17" s="51"/>
    </row>
    <row r="18" spans="1:6" ht="15.75" customHeight="1" x14ac:dyDescent="0.25">
      <c r="A18" t="s">
        <v>193</v>
      </c>
      <c r="C18" s="66">
        <v>1438621.43</v>
      </c>
      <c r="D18" s="24">
        <f t="shared" si="1"/>
        <v>965.51773825503346</v>
      </c>
      <c r="E18" s="50">
        <f t="shared" si="0"/>
        <v>1.7077557830457623E-4</v>
      </c>
      <c r="F18" s="51"/>
    </row>
    <row r="19" spans="1:6" ht="15.75" customHeight="1" x14ac:dyDescent="0.25">
      <c r="A19" t="s">
        <v>721</v>
      </c>
      <c r="C19" s="66">
        <v>470226.71</v>
      </c>
      <c r="D19" s="24">
        <f t="shared" si="1"/>
        <v>315.58839597315438</v>
      </c>
      <c r="E19" s="50">
        <f t="shared" si="0"/>
        <v>5.5819576060748841E-5</v>
      </c>
      <c r="F19" s="51"/>
    </row>
    <row r="20" spans="1:6" ht="15.75" customHeight="1" x14ac:dyDescent="0.25">
      <c r="A20" t="s">
        <v>840</v>
      </c>
      <c r="C20" s="66">
        <v>3420.32</v>
      </c>
      <c r="D20" s="24">
        <f t="shared" si="1"/>
        <v>2.2955167785234902</v>
      </c>
      <c r="E20" s="50">
        <f t="shared" si="0"/>
        <v>4.0601864660580531E-7</v>
      </c>
      <c r="F20" s="51"/>
    </row>
    <row r="21" spans="1:6" ht="15.75" customHeight="1" x14ac:dyDescent="0.25">
      <c r="A21" t="s">
        <v>195</v>
      </c>
      <c r="C21" s="66">
        <v>600047.18000000005</v>
      </c>
      <c r="D21" s="24">
        <f t="shared" si="1"/>
        <v>402.71622818791951</v>
      </c>
      <c r="E21" s="50">
        <f t="shared" si="0"/>
        <v>7.1230277846292165E-5</v>
      </c>
      <c r="F21" s="51"/>
    </row>
    <row r="22" spans="1:6" ht="15.75" customHeight="1" x14ac:dyDescent="0.25">
      <c r="A22" t="s">
        <v>933</v>
      </c>
      <c r="C22" s="66">
        <v>3385000</v>
      </c>
      <c r="D22" s="24">
        <f t="shared" si="1"/>
        <v>2271.8120805369126</v>
      </c>
      <c r="E22" s="50">
        <f t="shared" si="0"/>
        <v>4.018258872738956E-4</v>
      </c>
      <c r="F22" s="51"/>
    </row>
    <row r="23" spans="1:6" ht="15.75" customHeight="1" x14ac:dyDescent="0.25">
      <c r="A23" t="s">
        <v>934</v>
      </c>
      <c r="C23" s="66">
        <v>60016000</v>
      </c>
      <c r="D23" s="24">
        <f t="shared" si="1"/>
        <v>40279.19463087248</v>
      </c>
      <c r="E23" s="50">
        <f t="shared" si="0"/>
        <v>7.1243670459764019E-3</v>
      </c>
      <c r="F23" s="51"/>
    </row>
    <row r="24" spans="1:6" ht="15.75" customHeight="1" x14ac:dyDescent="0.25">
      <c r="A24" t="s">
        <v>935</v>
      </c>
      <c r="C24" s="66">
        <v>169552.2</v>
      </c>
      <c r="D24" s="24">
        <f t="shared" si="1"/>
        <v>113.79342281879195</v>
      </c>
      <c r="E24" s="50">
        <f t="shared" si="0"/>
        <v>2.0127167859450815E-5</v>
      </c>
      <c r="F24" s="51"/>
    </row>
    <row r="25" spans="1:6" ht="15.75" customHeight="1" x14ac:dyDescent="0.25">
      <c r="A25" t="s">
        <v>488</v>
      </c>
      <c r="C25" s="66">
        <v>367356</v>
      </c>
      <c r="D25" s="24">
        <f t="shared" si="1"/>
        <v>246.54765100671142</v>
      </c>
      <c r="E25" s="50">
        <f t="shared" si="0"/>
        <v>4.3608020870129755E-5</v>
      </c>
      <c r="F25" s="51"/>
    </row>
    <row r="26" spans="1:6" ht="15.75" customHeight="1" x14ac:dyDescent="0.25">
      <c r="A26" t="s">
        <v>1022</v>
      </c>
      <c r="C26" s="66">
        <v>14537536.35</v>
      </c>
      <c r="D26" s="24">
        <f t="shared" si="1"/>
        <v>9756.7358053691278</v>
      </c>
      <c r="E26" s="50">
        <f t="shared" si="0"/>
        <v>1.7257188899897373E-3</v>
      </c>
      <c r="F26" s="51"/>
    </row>
    <row r="27" spans="1:6" ht="15.75" customHeight="1" x14ac:dyDescent="0.25">
      <c r="A27" t="s">
        <v>846</v>
      </c>
      <c r="C27" s="66">
        <v>56000</v>
      </c>
      <c r="D27" s="24">
        <f t="shared" si="1"/>
        <v>37.583892617449663</v>
      </c>
      <c r="E27" s="50">
        <f t="shared" si="0"/>
        <v>6.6476365398340193E-6</v>
      </c>
      <c r="F27" s="51"/>
    </row>
    <row r="28" spans="1:6" ht="15.75" customHeight="1" x14ac:dyDescent="0.25">
      <c r="A28" t="s">
        <v>1024</v>
      </c>
      <c r="C28" s="66">
        <v>7201920</v>
      </c>
      <c r="D28" s="24">
        <f t="shared" si="1"/>
        <v>4833.5033557046982</v>
      </c>
      <c r="E28" s="50">
        <f t="shared" si="0"/>
        <v>8.5492404551716823E-4</v>
      </c>
      <c r="F28" s="51"/>
    </row>
    <row r="29" spans="1:6" ht="15.75" customHeight="1" x14ac:dyDescent="0.25">
      <c r="A29" t="s">
        <v>199</v>
      </c>
      <c r="C29" s="66">
        <v>35975116.960000001</v>
      </c>
      <c r="D29" s="24">
        <f t="shared" si="1"/>
        <v>24144.373798657718</v>
      </c>
      <c r="E29" s="50">
        <f t="shared" si="0"/>
        <v>4.2705268219303313E-3</v>
      </c>
      <c r="F29" s="51"/>
    </row>
    <row r="30" spans="1:6" ht="15.75" customHeight="1" x14ac:dyDescent="0.25">
      <c r="A30" t="s">
        <v>723</v>
      </c>
      <c r="C30" s="66">
        <v>980100</v>
      </c>
      <c r="D30" s="24">
        <f t="shared" si="1"/>
        <v>657.78523489932888</v>
      </c>
      <c r="E30" s="50">
        <f t="shared" si="0"/>
        <v>1.1634551022663076E-4</v>
      </c>
      <c r="F30" s="51"/>
    </row>
    <row r="31" spans="1:6" ht="15.75" customHeight="1" x14ac:dyDescent="0.25">
      <c r="A31" t="s">
        <v>936</v>
      </c>
      <c r="C31" s="66">
        <v>630000</v>
      </c>
      <c r="D31" s="24">
        <f t="shared" si="1"/>
        <v>422.81879194630875</v>
      </c>
      <c r="E31" s="50">
        <f t="shared" si="0"/>
        <v>7.4785911073132718E-5</v>
      </c>
      <c r="F31" s="51"/>
    </row>
    <row r="32" spans="1:6" ht="15.75" customHeight="1" x14ac:dyDescent="0.25">
      <c r="A32" t="s">
        <v>937</v>
      </c>
      <c r="C32" s="66">
        <v>6035000.1100000003</v>
      </c>
      <c r="D32" s="24">
        <f t="shared" si="1"/>
        <v>4050.3356442953022</v>
      </c>
      <c r="E32" s="50">
        <f t="shared" si="0"/>
        <v>7.1640155802032729E-4</v>
      </c>
      <c r="F32" s="51"/>
    </row>
    <row r="33" spans="1:6" ht="15.75" customHeight="1" x14ac:dyDescent="0.25">
      <c r="A33" t="s">
        <v>937</v>
      </c>
      <c r="C33" s="66">
        <v>25000</v>
      </c>
      <c r="D33" s="24">
        <f t="shared" si="1"/>
        <v>16.778523489932887</v>
      </c>
      <c r="E33" s="50">
        <f t="shared" si="0"/>
        <v>2.967694883854473E-6</v>
      </c>
      <c r="F33" s="51"/>
    </row>
    <row r="34" spans="1:6" ht="15.75" customHeight="1" x14ac:dyDescent="0.25">
      <c r="A34" t="s">
        <v>803</v>
      </c>
      <c r="C34" s="66">
        <v>1402673.33</v>
      </c>
      <c r="D34" s="24">
        <f t="shared" si="1"/>
        <v>941.39149664429533</v>
      </c>
      <c r="E34" s="50">
        <f t="shared" si="0"/>
        <v>1.6650825860640468E-4</v>
      </c>
      <c r="F34" s="51"/>
    </row>
    <row r="35" spans="1:6" ht="15.75" customHeight="1" x14ac:dyDescent="0.25">
      <c r="A35" t="s">
        <v>725</v>
      </c>
      <c r="C35" s="66">
        <v>68500</v>
      </c>
      <c r="D35" s="24">
        <f t="shared" si="1"/>
        <v>45.973154362416111</v>
      </c>
      <c r="E35" s="50">
        <f t="shared" si="0"/>
        <v>8.1314839817612558E-6</v>
      </c>
      <c r="F35" s="51"/>
    </row>
    <row r="36" spans="1:6" ht="15.75" customHeight="1" x14ac:dyDescent="0.25">
      <c r="A36" t="s">
        <v>201</v>
      </c>
      <c r="C36" s="66">
        <v>4477000</v>
      </c>
      <c r="D36" s="24">
        <f t="shared" si="1"/>
        <v>3004.6979865771814</v>
      </c>
      <c r="E36" s="50">
        <f t="shared" si="0"/>
        <v>5.3145479980065908E-4</v>
      </c>
      <c r="F36" s="51"/>
    </row>
    <row r="37" spans="1:6" ht="15.75" customHeight="1" x14ac:dyDescent="0.25">
      <c r="A37" t="s">
        <v>727</v>
      </c>
      <c r="C37" s="66">
        <v>1649697.85</v>
      </c>
      <c r="D37" s="24">
        <f t="shared" si="1"/>
        <v>1107.1797651006711</v>
      </c>
      <c r="E37" s="50">
        <f t="shared" si="0"/>
        <v>1.9583199477402895E-4</v>
      </c>
      <c r="F37" s="51"/>
    </row>
    <row r="38" spans="1:6" ht="15.75" customHeight="1" x14ac:dyDescent="0.25">
      <c r="A38" t="s">
        <v>1032</v>
      </c>
      <c r="C38" s="66">
        <v>20157632</v>
      </c>
      <c r="D38" s="24">
        <f t="shared" si="1"/>
        <v>13528.612080536912</v>
      </c>
      <c r="E38" s="50">
        <f t="shared" si="0"/>
        <v>2.3928680542808483E-3</v>
      </c>
      <c r="F38" s="51"/>
    </row>
    <row r="39" spans="1:6" ht="15.75" customHeight="1" x14ac:dyDescent="0.25">
      <c r="A39" t="s">
        <v>203</v>
      </c>
      <c r="C39" s="66">
        <v>3601202</v>
      </c>
      <c r="D39" s="24">
        <f t="shared" si="1"/>
        <v>2416.9140939597314</v>
      </c>
      <c r="E39" s="50">
        <f t="shared" si="0"/>
        <v>4.2749075004505979E-4</v>
      </c>
      <c r="F39" s="51"/>
    </row>
    <row r="40" spans="1:6" ht="15.75" customHeight="1" x14ac:dyDescent="0.25">
      <c r="A40" t="s">
        <v>205</v>
      </c>
      <c r="C40" s="66">
        <v>1999207.02</v>
      </c>
      <c r="D40" s="24">
        <f t="shared" si="1"/>
        <v>1341.7496778523489</v>
      </c>
      <c r="E40" s="50">
        <f t="shared" si="0"/>
        <v>2.3732145780079787E-4</v>
      </c>
      <c r="F40" s="51"/>
    </row>
    <row r="41" spans="1:6" ht="15.75" customHeight="1" x14ac:dyDescent="0.25">
      <c r="A41" t="s">
        <v>938</v>
      </c>
      <c r="C41" s="66">
        <v>2666840</v>
      </c>
      <c r="D41" s="24">
        <f t="shared" si="1"/>
        <v>1789.8255033557048</v>
      </c>
      <c r="E41" s="50">
        <f t="shared" si="0"/>
        <v>3.165746969623385E-4</v>
      </c>
      <c r="F41" s="51"/>
    </row>
    <row r="42" spans="1:6" ht="15.75" customHeight="1" x14ac:dyDescent="0.25">
      <c r="A42" t="s">
        <v>939</v>
      </c>
      <c r="C42" s="66">
        <v>47232362.100000001</v>
      </c>
      <c r="D42" s="24">
        <f t="shared" si="1"/>
        <v>31699.571879194631</v>
      </c>
      <c r="E42" s="50">
        <f t="shared" si="0"/>
        <v>5.6068495742612762E-3</v>
      </c>
      <c r="F42" s="51"/>
    </row>
    <row r="43" spans="1:6" ht="15.75" customHeight="1" x14ac:dyDescent="0.25">
      <c r="A43" t="s">
        <v>940</v>
      </c>
      <c r="C43" s="66">
        <v>1490195.66</v>
      </c>
      <c r="D43" s="24">
        <f t="shared" si="1"/>
        <v>1000.1313154362416</v>
      </c>
      <c r="E43" s="50">
        <f t="shared" si="0"/>
        <v>1.768978414449656E-4</v>
      </c>
      <c r="F43" s="51"/>
    </row>
    <row r="44" spans="1:6" ht="15.75" customHeight="1" x14ac:dyDescent="0.25">
      <c r="A44" t="s">
        <v>207</v>
      </c>
      <c r="C44" s="66">
        <v>3000000</v>
      </c>
      <c r="D44" s="24">
        <f t="shared" si="1"/>
        <v>2013.4228187919464</v>
      </c>
      <c r="E44" s="50">
        <f t="shared" si="0"/>
        <v>3.5612338606253678E-4</v>
      </c>
      <c r="F44" s="51"/>
    </row>
    <row r="45" spans="1:6" ht="15.75" customHeight="1" x14ac:dyDescent="0.25">
      <c r="A45" t="s">
        <v>490</v>
      </c>
      <c r="C45" s="66">
        <v>168240.04</v>
      </c>
      <c r="D45" s="24">
        <f t="shared" si="1"/>
        <v>112.91277852348993</v>
      </c>
      <c r="E45" s="50">
        <f t="shared" si="0"/>
        <v>1.9971404238698876E-5</v>
      </c>
      <c r="F45" s="51"/>
    </row>
    <row r="46" spans="1:6" ht="15.75" customHeight="1" x14ac:dyDescent="0.25">
      <c r="A46" t="s">
        <v>941</v>
      </c>
      <c r="C46" s="66">
        <v>1361250</v>
      </c>
      <c r="D46" s="24">
        <f t="shared" si="1"/>
        <v>913.59060402684565</v>
      </c>
      <c r="E46" s="50">
        <f t="shared" si="0"/>
        <v>1.6159098642587607E-4</v>
      </c>
      <c r="F46" s="51"/>
    </row>
    <row r="47" spans="1:6" ht="15.75" customHeight="1" x14ac:dyDescent="0.25">
      <c r="A47" t="s">
        <v>209</v>
      </c>
      <c r="C47" s="66">
        <v>36781956.399999999</v>
      </c>
      <c r="D47" s="24">
        <f t="shared" si="1"/>
        <v>24685.876778523489</v>
      </c>
      <c r="E47" s="50">
        <f t="shared" si="0"/>
        <v>4.366304953057531E-3</v>
      </c>
      <c r="F47" s="51"/>
    </row>
    <row r="48" spans="1:6" ht="15.75" customHeight="1" x14ac:dyDescent="0.25">
      <c r="A48" t="s">
        <v>211</v>
      </c>
      <c r="C48" s="66">
        <v>2496828.9500000002</v>
      </c>
      <c r="D48" s="24">
        <f t="shared" si="1"/>
        <v>1675.7241275167787</v>
      </c>
      <c r="E48" s="50">
        <f t="shared" si="0"/>
        <v>2.9639306003098945E-4</v>
      </c>
      <c r="F48" s="51"/>
    </row>
    <row r="49" spans="1:6" ht="15.75" customHeight="1" x14ac:dyDescent="0.25">
      <c r="A49" t="s">
        <v>213</v>
      </c>
      <c r="C49" s="66">
        <v>7054086.29</v>
      </c>
      <c r="D49" s="24">
        <f t="shared" si="1"/>
        <v>4734.286100671141</v>
      </c>
      <c r="E49" s="50">
        <f t="shared" si="0"/>
        <v>8.3737503172403921E-4</v>
      </c>
      <c r="F49" s="51"/>
    </row>
    <row r="50" spans="1:6" ht="15.75" customHeight="1" x14ac:dyDescent="0.25">
      <c r="A50" t="s">
        <v>1038</v>
      </c>
      <c r="C50" s="66">
        <v>2271272.85</v>
      </c>
      <c r="D50" s="24">
        <f t="shared" si="1"/>
        <v>1524.3441946308726</v>
      </c>
      <c r="E50" s="50">
        <f t="shared" si="0"/>
        <v>2.6961779267130272E-4</v>
      </c>
      <c r="F50" s="51"/>
    </row>
    <row r="51" spans="1:6" ht="15.75" customHeight="1" x14ac:dyDescent="0.25">
      <c r="A51" t="s">
        <v>215</v>
      </c>
      <c r="C51" s="66">
        <v>-0.01</v>
      </c>
      <c r="D51" s="24">
        <f t="shared" si="1"/>
        <v>-6.7114093959731546E-6</v>
      </c>
      <c r="E51" s="50">
        <f t="shared" si="0"/>
        <v>-1.1870779535417893E-12</v>
      </c>
      <c r="F51" s="51"/>
    </row>
    <row r="52" spans="1:6" ht="15.75" customHeight="1" x14ac:dyDescent="0.25">
      <c r="A52" t="s">
        <v>731</v>
      </c>
      <c r="C52" s="66">
        <v>78123461.849999994</v>
      </c>
      <c r="D52" s="24">
        <f t="shared" si="1"/>
        <v>52431.85359060402</v>
      </c>
      <c r="E52" s="50">
        <f t="shared" si="0"/>
        <v>9.2738639216498036E-3</v>
      </c>
      <c r="F52" s="51"/>
    </row>
    <row r="53" spans="1:6" ht="15.75" customHeight="1" x14ac:dyDescent="0.25">
      <c r="A53" t="s">
        <v>217</v>
      </c>
      <c r="C53" s="66">
        <v>13854322.66</v>
      </c>
      <c r="D53" s="24">
        <f t="shared" si="1"/>
        <v>9298.2031275167792</v>
      </c>
      <c r="E53" s="50">
        <f t="shared" si="0"/>
        <v>1.644616099094044E-3</v>
      </c>
      <c r="F53" s="51"/>
    </row>
    <row r="54" spans="1:6" ht="15.75" customHeight="1" x14ac:dyDescent="0.25">
      <c r="A54" t="s">
        <v>584</v>
      </c>
      <c r="C54" s="66">
        <v>178708.53</v>
      </c>
      <c r="D54" s="24">
        <f t="shared" si="1"/>
        <v>119.93861073825504</v>
      </c>
      <c r="E54" s="50">
        <f t="shared" si="0"/>
        <v>2.1214095607286144E-5</v>
      </c>
      <c r="F54" s="51"/>
    </row>
    <row r="55" spans="1:6" ht="15.75" customHeight="1" x14ac:dyDescent="0.25">
      <c r="A55" t="s">
        <v>1040</v>
      </c>
      <c r="C55" s="66">
        <v>93840</v>
      </c>
      <c r="D55" s="24">
        <f t="shared" si="1"/>
        <v>62.979865771812079</v>
      </c>
      <c r="E55" s="50">
        <f t="shared" si="0"/>
        <v>1.113953951603615E-5</v>
      </c>
      <c r="F55" s="51"/>
    </row>
    <row r="56" spans="1:6" ht="15.75" customHeight="1" x14ac:dyDescent="0.25">
      <c r="A56" t="s">
        <v>942</v>
      </c>
      <c r="C56" s="66">
        <v>5263500</v>
      </c>
      <c r="D56" s="24">
        <f t="shared" si="1"/>
        <v>3532.55033557047</v>
      </c>
      <c r="E56" s="50">
        <f t="shared" si="0"/>
        <v>6.2481848084672081E-4</v>
      </c>
      <c r="F56" s="51"/>
    </row>
    <row r="57" spans="1:6" ht="15.75" customHeight="1" x14ac:dyDescent="0.25">
      <c r="A57" t="s">
        <v>943</v>
      </c>
      <c r="C57" s="66">
        <v>14706376.220000001</v>
      </c>
      <c r="D57" s="24">
        <f t="shared" si="1"/>
        <v>9870.0511543624161</v>
      </c>
      <c r="E57" s="50">
        <f t="shared" si="0"/>
        <v>1.7457614987253234E-3</v>
      </c>
      <c r="F57" s="51"/>
    </row>
    <row r="58" spans="1:6" ht="15.75" customHeight="1" x14ac:dyDescent="0.25">
      <c r="A58" t="s">
        <v>854</v>
      </c>
      <c r="C58" s="66">
        <v>105008.62</v>
      </c>
      <c r="D58" s="24">
        <f t="shared" si="1"/>
        <v>70.47558389261745</v>
      </c>
      <c r="E58" s="50">
        <f t="shared" si="0"/>
        <v>1.246534177338474E-5</v>
      </c>
      <c r="F58" s="51"/>
    </row>
    <row r="59" spans="1:6" ht="15.75" customHeight="1" x14ac:dyDescent="0.25">
      <c r="A59" t="s">
        <v>219</v>
      </c>
      <c r="C59" s="66">
        <v>1129138.07</v>
      </c>
      <c r="D59" s="24">
        <f t="shared" si="1"/>
        <v>757.81078523489941</v>
      </c>
      <c r="E59" s="50">
        <f t="shared" si="0"/>
        <v>1.3403749094017257E-4</v>
      </c>
      <c r="F59" s="51"/>
    </row>
    <row r="60" spans="1:6" ht="15.75" customHeight="1" x14ac:dyDescent="0.25">
      <c r="A60" t="s">
        <v>221</v>
      </c>
      <c r="C60" s="66">
        <v>5373097.9299999997</v>
      </c>
      <c r="D60" s="24">
        <f t="shared" si="1"/>
        <v>3606.1059932885905</v>
      </c>
      <c r="E60" s="50">
        <f t="shared" si="0"/>
        <v>6.3782860949240241E-4</v>
      </c>
      <c r="F60" s="51"/>
    </row>
    <row r="61" spans="1:6" ht="15.75" customHeight="1" x14ac:dyDescent="0.25">
      <c r="A61" t="s">
        <v>223</v>
      </c>
      <c r="C61" s="66">
        <v>51636290.920000002</v>
      </c>
      <c r="D61" s="24">
        <f t="shared" si="1"/>
        <v>34655.22880536913</v>
      </c>
      <c r="E61" s="50">
        <f t="shared" si="0"/>
        <v>6.1296302553802079E-3</v>
      </c>
      <c r="F61" s="51"/>
    </row>
    <row r="62" spans="1:6" ht="15.75" customHeight="1" x14ac:dyDescent="0.25">
      <c r="A62" t="s">
        <v>733</v>
      </c>
      <c r="C62" s="66">
        <v>1868845</v>
      </c>
      <c r="D62" s="24">
        <f t="shared" si="1"/>
        <v>1254.2583892617449</v>
      </c>
      <c r="E62" s="50">
        <f t="shared" si="0"/>
        <v>2.218464698086805E-4</v>
      </c>
      <c r="F62" s="51"/>
    </row>
    <row r="63" spans="1:6" ht="15.75" customHeight="1" x14ac:dyDescent="0.25">
      <c r="A63" t="s">
        <v>225</v>
      </c>
      <c r="C63" s="66">
        <v>128018000</v>
      </c>
      <c r="D63" s="24">
        <f t="shared" si="1"/>
        <v>85918.120805369123</v>
      </c>
      <c r="E63" s="50">
        <f t="shared" si="0"/>
        <v>1.5196734545651276E-2</v>
      </c>
      <c r="F63" s="51"/>
    </row>
    <row r="64" spans="1:6" ht="15.75" customHeight="1" x14ac:dyDescent="0.25">
      <c r="A64" t="s">
        <v>227</v>
      </c>
      <c r="C64" s="66">
        <v>88961917.319999993</v>
      </c>
      <c r="D64" s="24">
        <f t="shared" si="1"/>
        <v>59705.984778523482</v>
      </c>
      <c r="E64" s="50">
        <f t="shared" si="0"/>
        <v>1.0560473075537943E-2</v>
      </c>
      <c r="F64" s="51"/>
    </row>
    <row r="65" spans="1:6" ht="15.75" customHeight="1" x14ac:dyDescent="0.25">
      <c r="A65" t="s">
        <v>227</v>
      </c>
      <c r="C65" s="66">
        <v>165328386.62</v>
      </c>
      <c r="D65" s="24">
        <f t="shared" si="1"/>
        <v>110958.64873825504</v>
      </c>
      <c r="E65" s="50">
        <f t="shared" si="0"/>
        <v>1.9625768285123534E-2</v>
      </c>
      <c r="F65" s="51"/>
    </row>
    <row r="66" spans="1:6" ht="15.75" customHeight="1" x14ac:dyDescent="0.25">
      <c r="A66" t="s">
        <v>231</v>
      </c>
      <c r="C66" s="66">
        <v>4157535.95</v>
      </c>
      <c r="D66" s="24">
        <f t="shared" si="1"/>
        <v>2790.2925838926176</v>
      </c>
      <c r="E66" s="50">
        <f t="shared" si="0"/>
        <v>4.9353192673024188E-4</v>
      </c>
      <c r="F66" s="51"/>
    </row>
    <row r="67" spans="1:6" ht="15.75" customHeight="1" x14ac:dyDescent="0.25">
      <c r="A67" t="s">
        <v>735</v>
      </c>
      <c r="C67" s="66">
        <v>157300</v>
      </c>
      <c r="D67" s="24">
        <f t="shared" si="1"/>
        <v>105.57046979865771</v>
      </c>
      <c r="E67" s="50">
        <f t="shared" si="0"/>
        <v>1.8672736209212344E-5</v>
      </c>
      <c r="F67" s="51"/>
    </row>
    <row r="68" spans="1:6" ht="15.75" customHeight="1" x14ac:dyDescent="0.25">
      <c r="A68" t="s">
        <v>1044</v>
      </c>
      <c r="C68" s="66">
        <v>263376</v>
      </c>
      <c r="D68" s="24">
        <f t="shared" si="1"/>
        <v>176.76241610738256</v>
      </c>
      <c r="E68" s="50">
        <f t="shared" si="0"/>
        <v>3.1264784309202231E-5</v>
      </c>
      <c r="F68" s="51"/>
    </row>
    <row r="69" spans="1:6" ht="15.75" customHeight="1" x14ac:dyDescent="0.25">
      <c r="A69" t="s">
        <v>1046</v>
      </c>
      <c r="C69" s="66">
        <v>2650000</v>
      </c>
      <c r="D69" s="24">
        <f t="shared" si="1"/>
        <v>1778.5234899328859</v>
      </c>
      <c r="E69" s="50">
        <f t="shared" ref="E69:E132" si="2">+D69/$D$320</f>
        <v>3.1457565768857416E-4</v>
      </c>
      <c r="F69" s="51"/>
    </row>
    <row r="70" spans="1:6" ht="15.75" customHeight="1" x14ac:dyDescent="0.25">
      <c r="A70" t="s">
        <v>862</v>
      </c>
      <c r="C70" s="66">
        <v>81756533.599999994</v>
      </c>
      <c r="D70" s="24">
        <f t="shared" ref="D70:D133" si="3">+C70/$D$3</f>
        <v>54870.156778523487</v>
      </c>
      <c r="E70" s="50">
        <f t="shared" si="2"/>
        <v>9.7051378594558528E-3</v>
      </c>
      <c r="F70" s="51"/>
    </row>
    <row r="71" spans="1:6" ht="15.75" customHeight="1" x14ac:dyDescent="0.25">
      <c r="A71" t="s">
        <v>233</v>
      </c>
      <c r="C71" s="66">
        <v>1455605.8</v>
      </c>
      <c r="D71" s="24">
        <f t="shared" si="3"/>
        <v>976.91664429530204</v>
      </c>
      <c r="E71" s="50">
        <f t="shared" si="2"/>
        <v>1.7279175542275589E-4</v>
      </c>
      <c r="F71" s="51"/>
    </row>
    <row r="72" spans="1:6" ht="15.75" customHeight="1" x14ac:dyDescent="0.25">
      <c r="A72" t="s">
        <v>944</v>
      </c>
      <c r="C72" s="66">
        <v>1500400</v>
      </c>
      <c r="D72" s="24">
        <f t="shared" si="3"/>
        <v>1006.9798657718121</v>
      </c>
      <c r="E72" s="50">
        <f t="shared" si="2"/>
        <v>1.7810917614941005E-4</v>
      </c>
      <c r="F72" s="51"/>
    </row>
    <row r="73" spans="1:6" ht="15.75" customHeight="1" x14ac:dyDescent="0.25">
      <c r="A73" t="s">
        <v>235</v>
      </c>
      <c r="C73" s="66">
        <v>-204.43</v>
      </c>
      <c r="D73" s="24">
        <f t="shared" si="3"/>
        <v>-0.13720134228187919</v>
      </c>
      <c r="E73" s="50">
        <f t="shared" si="2"/>
        <v>-2.4267434604254796E-8</v>
      </c>
      <c r="F73" s="51"/>
    </row>
    <row r="74" spans="1:6" ht="15.75" customHeight="1" x14ac:dyDescent="0.25">
      <c r="A74" t="s">
        <v>1051</v>
      </c>
      <c r="C74" s="66">
        <v>204974</v>
      </c>
      <c r="D74" s="24">
        <f t="shared" si="3"/>
        <v>137.56644295302013</v>
      </c>
      <c r="E74" s="50">
        <f t="shared" si="2"/>
        <v>2.4332011644927468E-5</v>
      </c>
      <c r="F74" s="51"/>
    </row>
    <row r="75" spans="1:6" ht="15.75" customHeight="1" x14ac:dyDescent="0.25">
      <c r="A75" t="s">
        <v>237</v>
      </c>
      <c r="C75" s="66">
        <v>23969880.850000001</v>
      </c>
      <c r="D75" s="24">
        <f t="shared" si="3"/>
        <v>16087.168355704698</v>
      </c>
      <c r="E75" s="50">
        <f t="shared" si="2"/>
        <v>2.8454117106058523E-3</v>
      </c>
      <c r="F75" s="51"/>
    </row>
    <row r="76" spans="1:6" ht="15.75" customHeight="1" x14ac:dyDescent="0.25">
      <c r="A76" t="s">
        <v>239</v>
      </c>
      <c r="C76" s="66">
        <v>412922.6</v>
      </c>
      <c r="D76" s="24">
        <f t="shared" si="3"/>
        <v>277.12926174496641</v>
      </c>
      <c r="E76" s="50">
        <f t="shared" si="2"/>
        <v>4.9017131497915477E-5</v>
      </c>
      <c r="F76" s="51"/>
    </row>
    <row r="77" spans="1:6" ht="15.75" customHeight="1" x14ac:dyDescent="0.25">
      <c r="A77" t="s">
        <v>945</v>
      </c>
      <c r="C77" s="66">
        <v>6543252.7199999997</v>
      </c>
      <c r="D77" s="24">
        <f t="shared" si="3"/>
        <v>4391.4447785234897</v>
      </c>
      <c r="E77" s="50">
        <f t="shared" si="2"/>
        <v>7.7673510483643453E-4</v>
      </c>
      <c r="F77" s="51"/>
    </row>
    <row r="78" spans="1:6" ht="15.75" customHeight="1" x14ac:dyDescent="0.25">
      <c r="A78" t="s">
        <v>241</v>
      </c>
      <c r="C78" s="66">
        <v>4902891.87</v>
      </c>
      <c r="D78" s="24">
        <f t="shared" si="3"/>
        <v>3290.5314563758388</v>
      </c>
      <c r="E78" s="50">
        <f t="shared" si="2"/>
        <v>5.8201148474762757E-4</v>
      </c>
      <c r="F78" s="51"/>
    </row>
    <row r="79" spans="1:6" ht="15.75" customHeight="1" x14ac:dyDescent="0.25">
      <c r="A79" t="s">
        <v>243</v>
      </c>
      <c r="C79" s="66">
        <v>4524996.97</v>
      </c>
      <c r="D79" s="24">
        <f t="shared" si="3"/>
        <v>3036.9107181208051</v>
      </c>
      <c r="E79" s="50">
        <f t="shared" si="2"/>
        <v>5.371524142930396E-4</v>
      </c>
      <c r="F79" s="51"/>
    </row>
    <row r="80" spans="1:6" ht="15.75" customHeight="1" x14ac:dyDescent="0.25">
      <c r="A80" t="s">
        <v>805</v>
      </c>
      <c r="C80" s="66">
        <v>8027165.4100000001</v>
      </c>
      <c r="D80" s="24">
        <f t="shared" si="3"/>
        <v>5387.3593355704697</v>
      </c>
      <c r="E80" s="50">
        <f t="shared" si="2"/>
        <v>9.5288710876442371E-4</v>
      </c>
      <c r="F80" s="51"/>
    </row>
    <row r="81" spans="1:6" ht="15.75" customHeight="1" x14ac:dyDescent="0.25">
      <c r="A81" t="s">
        <v>946</v>
      </c>
      <c r="C81" s="66">
        <v>15004000</v>
      </c>
      <c r="D81" s="24">
        <f t="shared" si="3"/>
        <v>10069.79865771812</v>
      </c>
      <c r="E81" s="50">
        <f t="shared" si="2"/>
        <v>1.7810917614941005E-3</v>
      </c>
      <c r="F81" s="51"/>
    </row>
    <row r="82" spans="1:6" ht="15.75" customHeight="1" x14ac:dyDescent="0.25">
      <c r="A82" t="s">
        <v>245</v>
      </c>
      <c r="C82" s="66">
        <v>629975.49</v>
      </c>
      <c r="D82" s="24">
        <f t="shared" si="3"/>
        <v>422.80234228187919</v>
      </c>
      <c r="E82" s="50">
        <f t="shared" si="2"/>
        <v>7.478300154506859E-5</v>
      </c>
      <c r="F82" s="51"/>
    </row>
    <row r="83" spans="1:6" ht="15.75" customHeight="1" x14ac:dyDescent="0.25">
      <c r="A83" t="s">
        <v>494</v>
      </c>
      <c r="C83" s="66">
        <v>185057.4</v>
      </c>
      <c r="D83" s="24">
        <f t="shared" si="3"/>
        <v>124.19959731543624</v>
      </c>
      <c r="E83" s="50">
        <f t="shared" si="2"/>
        <v>2.1967755967976428E-5</v>
      </c>
      <c r="F83" s="51"/>
    </row>
    <row r="84" spans="1:6" ht="15.75" customHeight="1" x14ac:dyDescent="0.25">
      <c r="A84" t="s">
        <v>247</v>
      </c>
      <c r="C84" s="66">
        <v>2996450.34</v>
      </c>
      <c r="D84" s="24">
        <f t="shared" si="3"/>
        <v>2011.0404966442952</v>
      </c>
      <c r="E84" s="50">
        <f t="shared" si="2"/>
        <v>3.5570201374967984E-4</v>
      </c>
      <c r="F84" s="51"/>
    </row>
    <row r="85" spans="1:6" ht="15.75" customHeight="1" x14ac:dyDescent="0.25">
      <c r="A85" t="s">
        <v>249</v>
      </c>
      <c r="C85" s="66">
        <v>6127205.0099999998</v>
      </c>
      <c r="D85" s="24">
        <f t="shared" si="3"/>
        <v>4112.2181275167786</v>
      </c>
      <c r="E85" s="50">
        <f t="shared" si="2"/>
        <v>7.2734699842017978E-4</v>
      </c>
      <c r="F85" s="51"/>
    </row>
    <row r="86" spans="1:6" ht="15.75" customHeight="1" x14ac:dyDescent="0.25">
      <c r="A86" t="s">
        <v>737</v>
      </c>
      <c r="C86" s="66">
        <v>-123670.72</v>
      </c>
      <c r="D86" s="24">
        <f t="shared" si="3"/>
        <v>-83.000483221476514</v>
      </c>
      <c r="E86" s="50">
        <f t="shared" si="2"/>
        <v>-1.4680678521063962E-5</v>
      </c>
      <c r="F86" s="51"/>
    </row>
    <row r="87" spans="1:6" ht="15.75" customHeight="1" x14ac:dyDescent="0.25">
      <c r="A87" t="s">
        <v>947</v>
      </c>
      <c r="C87" s="66">
        <v>8599110</v>
      </c>
      <c r="D87" s="24">
        <f t="shared" si="3"/>
        <v>5771.2147651006708</v>
      </c>
      <c r="E87" s="50">
        <f t="shared" si="2"/>
        <v>1.0207813901080734E-3</v>
      </c>
      <c r="F87" s="51"/>
    </row>
    <row r="88" spans="1:6" ht="15.75" customHeight="1" x14ac:dyDescent="0.25">
      <c r="A88" t="s">
        <v>614</v>
      </c>
      <c r="C88" s="66">
        <v>10098400</v>
      </c>
      <c r="D88" s="24">
        <f t="shared" si="3"/>
        <v>6777.4496644295305</v>
      </c>
      <c r="E88" s="50">
        <f t="shared" si="2"/>
        <v>1.1987588006046404E-3</v>
      </c>
      <c r="F88" s="51"/>
    </row>
    <row r="89" spans="1:6" ht="15.75" customHeight="1" x14ac:dyDescent="0.25">
      <c r="A89" t="s">
        <v>251</v>
      </c>
      <c r="C89" s="66">
        <v>58978055.32</v>
      </c>
      <c r="D89" s="24">
        <f t="shared" si="3"/>
        <v>39582.587463087249</v>
      </c>
      <c r="E89" s="50">
        <f t="shared" si="2"/>
        <v>7.0011549213140033E-3</v>
      </c>
      <c r="F89" s="51"/>
    </row>
    <row r="90" spans="1:6" ht="15.75" customHeight="1" x14ac:dyDescent="0.25">
      <c r="A90" t="s">
        <v>253</v>
      </c>
      <c r="C90" s="66">
        <v>3245000</v>
      </c>
      <c r="D90" s="24">
        <f t="shared" si="3"/>
        <v>2177.8523489932886</v>
      </c>
      <c r="E90" s="50">
        <f t="shared" si="2"/>
        <v>3.8520679592431059E-4</v>
      </c>
      <c r="F90" s="51"/>
    </row>
    <row r="91" spans="1:6" ht="15.75" customHeight="1" x14ac:dyDescent="0.25">
      <c r="A91" t="s">
        <v>739</v>
      </c>
      <c r="C91" s="66">
        <v>976220.9</v>
      </c>
      <c r="D91" s="24">
        <f t="shared" si="3"/>
        <v>655.18181208053693</v>
      </c>
      <c r="E91" s="50">
        <f t="shared" si="2"/>
        <v>1.1588503081767237E-4</v>
      </c>
      <c r="F91" s="51"/>
    </row>
    <row r="92" spans="1:6" ht="15.75" customHeight="1" x14ac:dyDescent="0.25">
      <c r="A92" t="s">
        <v>257</v>
      </c>
      <c r="C92" s="66">
        <v>91128731.209999993</v>
      </c>
      <c r="D92" s="24">
        <f t="shared" si="3"/>
        <v>61160.222288590601</v>
      </c>
      <c r="E92" s="50">
        <f t="shared" si="2"/>
        <v>1.0817690775362657E-2</v>
      </c>
      <c r="F92" s="51"/>
    </row>
    <row r="93" spans="1:6" ht="15.75" customHeight="1" x14ac:dyDescent="0.25">
      <c r="A93" t="s">
        <v>948</v>
      </c>
      <c r="C93" s="66">
        <v>4392303.99</v>
      </c>
      <c r="D93" s="24">
        <f t="shared" si="3"/>
        <v>2947.8550268456379</v>
      </c>
      <c r="E93" s="50">
        <f t="shared" si="2"/>
        <v>5.2140072317826357E-4</v>
      </c>
      <c r="F93" s="51"/>
    </row>
    <row r="94" spans="1:6" ht="15.75" customHeight="1" x14ac:dyDescent="0.25">
      <c r="A94" t="s">
        <v>259</v>
      </c>
      <c r="C94" s="66">
        <v>3300000</v>
      </c>
      <c r="D94" s="24">
        <f t="shared" si="3"/>
        <v>2214.7651006711408</v>
      </c>
      <c r="E94" s="50">
        <f t="shared" si="2"/>
        <v>3.917357246687904E-4</v>
      </c>
      <c r="F94" s="51"/>
    </row>
    <row r="95" spans="1:6" ht="15.75" customHeight="1" x14ac:dyDescent="0.25">
      <c r="A95" t="s">
        <v>261</v>
      </c>
      <c r="C95" s="66">
        <v>13354004.07</v>
      </c>
      <c r="D95" s="24">
        <f t="shared" si="3"/>
        <v>8962.4188389261744</v>
      </c>
      <c r="E95" s="50">
        <f t="shared" si="2"/>
        <v>1.5852243823004323E-3</v>
      </c>
      <c r="F95" s="51"/>
    </row>
    <row r="96" spans="1:6" ht="15.75" customHeight="1" x14ac:dyDescent="0.25">
      <c r="A96" t="s">
        <v>263</v>
      </c>
      <c r="C96" s="66">
        <v>14748877.65</v>
      </c>
      <c r="D96" s="24">
        <f t="shared" si="3"/>
        <v>9898.5756040268461</v>
      </c>
      <c r="E96" s="50">
        <f t="shared" si="2"/>
        <v>1.7508067497800234E-3</v>
      </c>
      <c r="F96" s="51"/>
    </row>
    <row r="97" spans="1:6" ht="15.75" customHeight="1" x14ac:dyDescent="0.25">
      <c r="A97" t="s">
        <v>1059</v>
      </c>
      <c r="C97" s="66">
        <v>26384001.600000001</v>
      </c>
      <c r="D97" s="24">
        <f t="shared" si="3"/>
        <v>17707.383624161073</v>
      </c>
      <c r="E97" s="50">
        <f t="shared" si="2"/>
        <v>3.1319866625571292E-3</v>
      </c>
      <c r="F97" s="51"/>
    </row>
    <row r="98" spans="1:6" ht="15.75" customHeight="1" x14ac:dyDescent="0.25">
      <c r="A98" t="s">
        <v>265</v>
      </c>
      <c r="C98" s="66">
        <v>24192366.949999999</v>
      </c>
      <c r="D98" s="24">
        <f t="shared" si="3"/>
        <v>16236.487885906039</v>
      </c>
      <c r="E98" s="50">
        <f t="shared" si="2"/>
        <v>2.8718225450338015E-3</v>
      </c>
      <c r="F98" s="51"/>
    </row>
    <row r="99" spans="1:6" ht="15.75" customHeight="1" x14ac:dyDescent="0.25">
      <c r="A99" t="s">
        <v>267</v>
      </c>
      <c r="C99" s="66">
        <v>345832.8</v>
      </c>
      <c r="D99" s="24">
        <f t="shared" si="3"/>
        <v>232.10255033557047</v>
      </c>
      <c r="E99" s="50">
        <f t="shared" si="2"/>
        <v>4.1053049249162685E-5</v>
      </c>
      <c r="F99" s="51"/>
    </row>
    <row r="100" spans="1:6" ht="15.75" customHeight="1" x14ac:dyDescent="0.25">
      <c r="A100" t="s">
        <v>949</v>
      </c>
      <c r="C100" s="66">
        <v>1415700</v>
      </c>
      <c r="D100" s="24">
        <f t="shared" si="3"/>
        <v>950.13422818791946</v>
      </c>
      <c r="E100" s="50">
        <f t="shared" si="2"/>
        <v>1.6805462588291109E-4</v>
      </c>
      <c r="F100" s="51"/>
    </row>
    <row r="101" spans="1:6" ht="15.75" customHeight="1" x14ac:dyDescent="0.25">
      <c r="A101" t="s">
        <v>269</v>
      </c>
      <c r="C101" s="66">
        <v>1551026.4</v>
      </c>
      <c r="D101" s="24">
        <f t="shared" si="3"/>
        <v>1040.9573154362415</v>
      </c>
      <c r="E101" s="50">
        <f t="shared" si="2"/>
        <v>1.8411892448012883E-4</v>
      </c>
      <c r="F101" s="51"/>
    </row>
    <row r="102" spans="1:6" ht="15.75" customHeight="1" x14ac:dyDescent="0.25">
      <c r="A102" t="s">
        <v>271</v>
      </c>
      <c r="C102" s="66">
        <v>290181.01</v>
      </c>
      <c r="D102" s="24">
        <f t="shared" si="3"/>
        <v>194.752355704698</v>
      </c>
      <c r="E102" s="50">
        <f t="shared" si="2"/>
        <v>3.4446747950748952E-5</v>
      </c>
      <c r="F102" s="51"/>
    </row>
    <row r="103" spans="1:6" ht="15.75" customHeight="1" x14ac:dyDescent="0.25">
      <c r="A103" t="s">
        <v>275</v>
      </c>
      <c r="C103" s="66">
        <v>2687273.09</v>
      </c>
      <c r="D103" s="24">
        <f t="shared" si="3"/>
        <v>1803.538986577181</v>
      </c>
      <c r="E103" s="50">
        <f t="shared" si="2"/>
        <v>3.19000264028512E-4</v>
      </c>
      <c r="F103" s="51"/>
    </row>
    <row r="104" spans="1:6" ht="15.75" customHeight="1" x14ac:dyDescent="0.25">
      <c r="A104" t="s">
        <v>277</v>
      </c>
      <c r="C104" s="66">
        <v>86161938.030000001</v>
      </c>
      <c r="D104" s="24">
        <f t="shared" si="3"/>
        <v>57826.804046979865</v>
      </c>
      <c r="E104" s="50">
        <f t="shared" si="2"/>
        <v>1.0228093706984687E-2</v>
      </c>
      <c r="F104" s="51"/>
    </row>
    <row r="105" spans="1:6" ht="15.75" customHeight="1" x14ac:dyDescent="0.25">
      <c r="A105" t="s">
        <v>811</v>
      </c>
      <c r="C105" s="66">
        <v>2979515.5</v>
      </c>
      <c r="D105" s="24">
        <f t="shared" si="3"/>
        <v>1999.674832214765</v>
      </c>
      <c r="E105" s="50">
        <f t="shared" si="2"/>
        <v>3.5369171622860409E-4</v>
      </c>
      <c r="F105" s="51"/>
    </row>
    <row r="106" spans="1:6" ht="15.75" customHeight="1" x14ac:dyDescent="0.25">
      <c r="A106" t="s">
        <v>279</v>
      </c>
      <c r="C106" s="66">
        <v>2846839.66</v>
      </c>
      <c r="D106" s="24">
        <f t="shared" si="3"/>
        <v>1910.6306442953021</v>
      </c>
      <c r="E106" s="50">
        <f t="shared" si="2"/>
        <v>3.379420597654403E-4</v>
      </c>
      <c r="F106" s="51"/>
    </row>
    <row r="107" spans="1:6" ht="15.75" customHeight="1" x14ac:dyDescent="0.25">
      <c r="A107" t="s">
        <v>1062</v>
      </c>
      <c r="C107" s="66">
        <v>1478880.28</v>
      </c>
      <c r="D107" s="24">
        <f t="shared" si="3"/>
        <v>992.53710067114093</v>
      </c>
      <c r="E107" s="50">
        <f t="shared" si="2"/>
        <v>1.7555461763157083E-4</v>
      </c>
      <c r="F107" s="51"/>
    </row>
    <row r="108" spans="1:6" ht="15.75" customHeight="1" x14ac:dyDescent="0.25">
      <c r="A108" t="s">
        <v>950</v>
      </c>
      <c r="C108" s="66">
        <v>145393.60000000001</v>
      </c>
      <c r="D108" s="24">
        <f t="shared" si="3"/>
        <v>97.579597315436246</v>
      </c>
      <c r="E108" s="50">
        <f t="shared" si="2"/>
        <v>1.725935371460735E-5</v>
      </c>
      <c r="F108" s="51"/>
    </row>
    <row r="109" spans="1:6" ht="15.75" customHeight="1" x14ac:dyDescent="0.25">
      <c r="A109" t="s">
        <v>1065</v>
      </c>
      <c r="C109" s="66">
        <v>18200</v>
      </c>
      <c r="D109" s="24">
        <f t="shared" si="3"/>
        <v>12.214765100671141</v>
      </c>
      <c r="E109" s="50">
        <f t="shared" si="2"/>
        <v>2.1604818754460563E-6</v>
      </c>
      <c r="F109" s="51"/>
    </row>
    <row r="110" spans="1:6" ht="15.75" customHeight="1" x14ac:dyDescent="0.25">
      <c r="A110" t="s">
        <v>281</v>
      </c>
      <c r="C110" s="66">
        <v>1560000</v>
      </c>
      <c r="D110" s="24">
        <f t="shared" si="3"/>
        <v>1046.979865771812</v>
      </c>
      <c r="E110" s="50">
        <f t="shared" si="2"/>
        <v>1.8518416075251909E-4</v>
      </c>
      <c r="F110" s="51"/>
    </row>
    <row r="111" spans="1:6" ht="15.75" customHeight="1" x14ac:dyDescent="0.25">
      <c r="A111" t="s">
        <v>951</v>
      </c>
      <c r="C111" s="66">
        <v>2571368.9900000002</v>
      </c>
      <c r="D111" s="24">
        <f t="shared" si="3"/>
        <v>1725.7510000000002</v>
      </c>
      <c r="E111" s="50">
        <f t="shared" si="2"/>
        <v>3.0524154384500179E-4</v>
      </c>
      <c r="F111" s="51"/>
    </row>
    <row r="112" spans="1:6" ht="15.75" customHeight="1" x14ac:dyDescent="0.25">
      <c r="A112" t="s">
        <v>285</v>
      </c>
      <c r="C112" s="66">
        <v>0.02</v>
      </c>
      <c r="D112" s="24">
        <f t="shared" si="3"/>
        <v>1.3422818791946309E-5</v>
      </c>
      <c r="E112" s="50">
        <f t="shared" si="2"/>
        <v>2.3741559070835787E-12</v>
      </c>
      <c r="F112" s="51"/>
    </row>
    <row r="113" spans="1:6" ht="15.75" customHeight="1" x14ac:dyDescent="0.25">
      <c r="A113" t="s">
        <v>287</v>
      </c>
      <c r="C113" s="66">
        <v>5098940</v>
      </c>
      <c r="D113" s="24">
        <f t="shared" si="3"/>
        <v>3422.1073825503354</v>
      </c>
      <c r="E113" s="50">
        <f t="shared" si="2"/>
        <v>6.0528392604323707E-4</v>
      </c>
      <c r="F113" s="51"/>
    </row>
    <row r="114" spans="1:6" ht="15.75" customHeight="1" x14ac:dyDescent="0.25">
      <c r="A114" t="s">
        <v>289</v>
      </c>
      <c r="C114" s="66">
        <v>3167780.01</v>
      </c>
      <c r="D114" s="24">
        <f t="shared" si="3"/>
        <v>2126.0268523489931</v>
      </c>
      <c r="E114" s="50">
        <f t="shared" si="2"/>
        <v>3.7604018115413879E-4</v>
      </c>
      <c r="F114" s="51"/>
    </row>
    <row r="115" spans="1:6" ht="15.75" customHeight="1" x14ac:dyDescent="0.25">
      <c r="A115" t="s">
        <v>291</v>
      </c>
      <c r="C115" s="66">
        <v>3222002.58</v>
      </c>
      <c r="D115" s="24">
        <f t="shared" si="3"/>
        <v>2162.4178389261747</v>
      </c>
      <c r="E115" s="50">
        <f t="shared" si="2"/>
        <v>3.824768228972765E-4</v>
      </c>
      <c r="F115" s="51"/>
    </row>
    <row r="116" spans="1:6" ht="15.75" customHeight="1" x14ac:dyDescent="0.25">
      <c r="A116" t="s">
        <v>747</v>
      </c>
      <c r="C116" s="66">
        <v>8403620.2200000007</v>
      </c>
      <c r="D116" s="24">
        <f t="shared" si="3"/>
        <v>5640.0135704697996</v>
      </c>
      <c r="E116" s="50">
        <f t="shared" si="2"/>
        <v>9.9757522931000014E-4</v>
      </c>
      <c r="F116" s="51"/>
    </row>
    <row r="117" spans="1:6" ht="15.75" customHeight="1" x14ac:dyDescent="0.25">
      <c r="A117" t="s">
        <v>293</v>
      </c>
      <c r="C117" s="66">
        <v>6631163</v>
      </c>
      <c r="D117" s="24">
        <f t="shared" si="3"/>
        <v>4450.444966442953</v>
      </c>
      <c r="E117" s="50">
        <f t="shared" si="2"/>
        <v>7.8717074036420312E-4</v>
      </c>
      <c r="F117" s="51"/>
    </row>
    <row r="118" spans="1:6" ht="15.75" customHeight="1" x14ac:dyDescent="0.25">
      <c r="A118" t="s">
        <v>295</v>
      </c>
      <c r="C118" s="66">
        <v>-3904.38</v>
      </c>
      <c r="D118" s="24">
        <f t="shared" si="3"/>
        <v>-2.6203892617449664</v>
      </c>
      <c r="E118" s="50">
        <f t="shared" si="2"/>
        <v>-4.6348034202494908E-7</v>
      </c>
      <c r="F118" s="51"/>
    </row>
    <row r="119" spans="1:6" ht="15.75" customHeight="1" x14ac:dyDescent="0.25">
      <c r="A119" t="s">
        <v>952</v>
      </c>
      <c r="C119" s="66">
        <v>826188</v>
      </c>
      <c r="D119" s="24">
        <f t="shared" si="3"/>
        <v>554.48859060402685</v>
      </c>
      <c r="E119" s="50">
        <f t="shared" si="2"/>
        <v>9.8074956028078368E-5</v>
      </c>
      <c r="F119" s="51"/>
    </row>
    <row r="120" spans="1:6" ht="15.75" customHeight="1" x14ac:dyDescent="0.25">
      <c r="A120" t="s">
        <v>953</v>
      </c>
      <c r="C120" s="66">
        <v>238590.8</v>
      </c>
      <c r="D120" s="24">
        <f t="shared" si="3"/>
        <v>160.12805369127517</v>
      </c>
      <c r="E120" s="50">
        <f t="shared" si="2"/>
        <v>2.8322587859789833E-5</v>
      </c>
      <c r="F120" s="51"/>
    </row>
    <row r="121" spans="1:6" ht="15.75" customHeight="1" x14ac:dyDescent="0.25">
      <c r="A121" t="s">
        <v>301</v>
      </c>
      <c r="C121" s="66">
        <v>40367.35</v>
      </c>
      <c r="D121" s="24">
        <f t="shared" si="3"/>
        <v>27.092181208053692</v>
      </c>
      <c r="E121" s="50">
        <f t="shared" si="2"/>
        <v>4.7919191227905142E-6</v>
      </c>
      <c r="F121" s="51"/>
    </row>
    <row r="122" spans="1:6" ht="15.75" customHeight="1" x14ac:dyDescent="0.25">
      <c r="A122" t="s">
        <v>954</v>
      </c>
      <c r="C122" s="66">
        <v>128077.24</v>
      </c>
      <c r="D122" s="24">
        <f t="shared" si="3"/>
        <v>85.957879194630877</v>
      </c>
      <c r="E122" s="50">
        <f t="shared" si="2"/>
        <v>1.520376679544806E-5</v>
      </c>
      <c r="F122" s="51"/>
    </row>
    <row r="123" spans="1:6" ht="15.75" customHeight="1" x14ac:dyDescent="0.25">
      <c r="A123" t="s">
        <v>955</v>
      </c>
      <c r="C123" s="66">
        <v>405000</v>
      </c>
      <c r="D123" s="24">
        <f t="shared" si="3"/>
        <v>271.81208053691273</v>
      </c>
      <c r="E123" s="50">
        <f t="shared" si="2"/>
        <v>4.8076657118442456E-5</v>
      </c>
      <c r="F123" s="51"/>
    </row>
    <row r="124" spans="1:6" ht="15.75" customHeight="1" x14ac:dyDescent="0.25">
      <c r="A124" t="s">
        <v>956</v>
      </c>
      <c r="C124" s="66">
        <v>6948388.7000000002</v>
      </c>
      <c r="D124" s="24">
        <f t="shared" si="3"/>
        <v>4663.348120805369</v>
      </c>
      <c r="E124" s="50">
        <f t="shared" si="2"/>
        <v>8.2482790384088927E-4</v>
      </c>
      <c r="F124" s="51"/>
    </row>
    <row r="125" spans="1:6" ht="15.75" customHeight="1" x14ac:dyDescent="0.25">
      <c r="A125" t="s">
        <v>957</v>
      </c>
      <c r="C125" s="66">
        <v>2504700</v>
      </c>
      <c r="D125" s="24">
        <f t="shared" si="3"/>
        <v>1681.0067114093961</v>
      </c>
      <c r="E125" s="50">
        <f t="shared" si="2"/>
        <v>2.9732741502361195E-4</v>
      </c>
      <c r="F125" s="51"/>
    </row>
    <row r="126" spans="1:6" ht="15.75" customHeight="1" x14ac:dyDescent="0.25">
      <c r="A126" t="s">
        <v>303</v>
      </c>
      <c r="C126" s="66">
        <v>4841301.3099999996</v>
      </c>
      <c r="D126" s="24">
        <f t="shared" si="3"/>
        <v>3249.1955100671139</v>
      </c>
      <c r="E126" s="50">
        <f t="shared" si="2"/>
        <v>5.7470020515539824E-4</v>
      </c>
      <c r="F126" s="51"/>
    </row>
    <row r="127" spans="1:6" ht="15.75" customHeight="1" x14ac:dyDescent="0.25">
      <c r="A127" t="s">
        <v>1078</v>
      </c>
      <c r="C127" s="66">
        <v>19656000</v>
      </c>
      <c r="D127" s="24">
        <f t="shared" si="3"/>
        <v>13191.946308724831</v>
      </c>
      <c r="E127" s="50">
        <f t="shared" si="2"/>
        <v>2.3333204254817408E-3</v>
      </c>
      <c r="F127" s="51"/>
    </row>
    <row r="128" spans="1:6" ht="15.75" customHeight="1" x14ac:dyDescent="0.25">
      <c r="A128" t="s">
        <v>305</v>
      </c>
      <c r="C128" s="66">
        <v>1881934.78</v>
      </c>
      <c r="D128" s="24">
        <f t="shared" si="3"/>
        <v>1263.0434765100672</v>
      </c>
      <c r="E128" s="50">
        <f t="shared" si="2"/>
        <v>2.2340032873415175E-4</v>
      </c>
      <c r="F128" s="51"/>
    </row>
    <row r="129" spans="1:6" ht="15.75" customHeight="1" x14ac:dyDescent="0.25">
      <c r="A129" t="s">
        <v>307</v>
      </c>
      <c r="C129" s="66">
        <v>-387219.15</v>
      </c>
      <c r="D129" s="24">
        <f t="shared" si="3"/>
        <v>-259.87862416107384</v>
      </c>
      <c r="E129" s="50">
        <f t="shared" si="2"/>
        <v>-4.5965931615419111E-5</v>
      </c>
      <c r="F129" s="51"/>
    </row>
    <row r="130" spans="1:6" ht="15.75" customHeight="1" x14ac:dyDescent="0.25">
      <c r="A130" t="s">
        <v>309</v>
      </c>
      <c r="C130" s="66">
        <v>2708708.42</v>
      </c>
      <c r="D130" s="24">
        <f t="shared" si="3"/>
        <v>1817.9251140939598</v>
      </c>
      <c r="E130" s="50">
        <f t="shared" si="2"/>
        <v>3.2154480479550134E-4</v>
      </c>
      <c r="F130" s="51"/>
    </row>
    <row r="131" spans="1:6" ht="15.75" customHeight="1" x14ac:dyDescent="0.25">
      <c r="A131" t="s">
        <v>958</v>
      </c>
      <c r="C131" s="66">
        <v>39595210</v>
      </c>
      <c r="D131" s="24">
        <f t="shared" si="3"/>
        <v>26573.96644295302</v>
      </c>
      <c r="E131" s="50">
        <f t="shared" si="2"/>
        <v>4.7002600856857384E-3</v>
      </c>
      <c r="F131" s="51"/>
    </row>
    <row r="132" spans="1:6" ht="15.75" customHeight="1" x14ac:dyDescent="0.25">
      <c r="A132" t="s">
        <v>313</v>
      </c>
      <c r="C132" s="66">
        <v>6935067.4699999997</v>
      </c>
      <c r="D132" s="24">
        <f t="shared" si="3"/>
        <v>4654.4076979865767</v>
      </c>
      <c r="E132" s="50">
        <f t="shared" si="2"/>
        <v>8.2324656999618331E-4</v>
      </c>
      <c r="F132" s="51"/>
    </row>
    <row r="133" spans="1:6" ht="15.75" customHeight="1" x14ac:dyDescent="0.25">
      <c r="A133" t="s">
        <v>959</v>
      </c>
      <c r="C133" s="66">
        <v>2275926.5</v>
      </c>
      <c r="D133" s="24">
        <f t="shared" si="3"/>
        <v>1527.4674496644295</v>
      </c>
      <c r="E133" s="50">
        <f t="shared" ref="E133:E196" si="4">+D133/$D$320</f>
        <v>2.7017021720315268E-4</v>
      </c>
      <c r="F133" s="51"/>
    </row>
    <row r="134" spans="1:6" ht="15.75" customHeight="1" x14ac:dyDescent="0.25">
      <c r="A134" t="s">
        <v>813</v>
      </c>
      <c r="C134" s="66">
        <v>687825.6</v>
      </c>
      <c r="D134" s="24">
        <f t="shared" ref="D134:D197" si="5">+C134/$D$3</f>
        <v>461.62791946308721</v>
      </c>
      <c r="E134" s="50">
        <f t="shared" si="4"/>
        <v>8.1650260564165316E-5</v>
      </c>
      <c r="F134" s="51"/>
    </row>
    <row r="135" spans="1:6" ht="15.75" customHeight="1" x14ac:dyDescent="0.25">
      <c r="A135" t="s">
        <v>960</v>
      </c>
      <c r="C135" s="66">
        <v>311500</v>
      </c>
      <c r="D135" s="24">
        <f t="shared" si="5"/>
        <v>209.06040268456377</v>
      </c>
      <c r="E135" s="50">
        <f t="shared" si="4"/>
        <v>3.6977478252826734E-5</v>
      </c>
      <c r="F135" s="51"/>
    </row>
    <row r="136" spans="1:6" ht="15.75" customHeight="1" x14ac:dyDescent="0.25">
      <c r="A136" t="s">
        <v>315</v>
      </c>
      <c r="C136" s="66">
        <v>1398000</v>
      </c>
      <c r="D136" s="24">
        <f t="shared" si="5"/>
        <v>938.255033557047</v>
      </c>
      <c r="E136" s="50">
        <f t="shared" si="4"/>
        <v>1.6595349790514213E-4</v>
      </c>
      <c r="F136" s="51"/>
    </row>
    <row r="137" spans="1:6" ht="15.75" customHeight="1" x14ac:dyDescent="0.25">
      <c r="A137" t="s">
        <v>317</v>
      </c>
      <c r="C137" s="66">
        <v>748110.12</v>
      </c>
      <c r="D137" s="24">
        <f t="shared" si="5"/>
        <v>502.08732885906039</v>
      </c>
      <c r="E137" s="50">
        <f t="shared" si="4"/>
        <v>8.8806503027350232E-5</v>
      </c>
      <c r="F137" s="51"/>
    </row>
    <row r="138" spans="1:6" ht="15.75" customHeight="1" x14ac:dyDescent="0.25">
      <c r="A138" t="s">
        <v>961</v>
      </c>
      <c r="C138" s="66">
        <v>142838.15</v>
      </c>
      <c r="D138" s="24">
        <f t="shared" si="5"/>
        <v>95.864530201342276</v>
      </c>
      <c r="E138" s="50">
        <f t="shared" si="4"/>
        <v>1.6956001878969509E-5</v>
      </c>
      <c r="F138" s="51"/>
    </row>
    <row r="139" spans="1:6" ht="15.75" customHeight="1" x14ac:dyDescent="0.25">
      <c r="A139" t="s">
        <v>1086</v>
      </c>
      <c r="C139" s="66">
        <v>153672.95999999999</v>
      </c>
      <c r="D139" s="24">
        <f t="shared" si="5"/>
        <v>103.13621476510066</v>
      </c>
      <c r="E139" s="50">
        <f t="shared" si="4"/>
        <v>1.8242178287150921E-5</v>
      </c>
      <c r="F139" s="51"/>
    </row>
    <row r="140" spans="1:6" ht="15.75" customHeight="1" x14ac:dyDescent="0.25">
      <c r="A140" t="s">
        <v>319</v>
      </c>
      <c r="C140" s="66">
        <v>11368569.42</v>
      </c>
      <c r="D140" s="24">
        <f t="shared" si="5"/>
        <v>7629.9123624161075</v>
      </c>
      <c r="E140" s="50">
        <f t="shared" si="4"/>
        <v>1.3495378121791365E-3</v>
      </c>
      <c r="F140" s="51"/>
    </row>
    <row r="141" spans="1:6" ht="15.75" customHeight="1" x14ac:dyDescent="0.25">
      <c r="A141" t="s">
        <v>751</v>
      </c>
      <c r="C141" s="66">
        <v>426013559.64999998</v>
      </c>
      <c r="D141" s="24">
        <f t="shared" si="5"/>
        <v>285915.14070469799</v>
      </c>
      <c r="E141" s="50">
        <f t="shared" si="4"/>
        <v>5.0571130457037497E-2</v>
      </c>
      <c r="F141" s="51"/>
    </row>
    <row r="142" spans="1:6" ht="15.75" customHeight="1" x14ac:dyDescent="0.25">
      <c r="A142" t="s">
        <v>962</v>
      </c>
      <c r="C142" s="66">
        <v>559069.84</v>
      </c>
      <c r="D142" s="24">
        <f t="shared" si="5"/>
        <v>375.2146577181208</v>
      </c>
      <c r="E142" s="50">
        <f t="shared" si="4"/>
        <v>6.636594815541355E-5</v>
      </c>
      <c r="F142" s="51"/>
    </row>
    <row r="143" spans="1:6" ht="15.75" customHeight="1" x14ac:dyDescent="0.25">
      <c r="A143" t="s">
        <v>652</v>
      </c>
      <c r="C143" s="66">
        <v>8993535.8100000005</v>
      </c>
      <c r="D143" s="24">
        <f t="shared" si="5"/>
        <v>6035.9300738255033</v>
      </c>
      <c r="E143" s="50">
        <f t="shared" si="4"/>
        <v>1.0676028084439597E-3</v>
      </c>
      <c r="F143" s="51"/>
    </row>
    <row r="144" spans="1:6" ht="15.75" customHeight="1" x14ac:dyDescent="0.25">
      <c r="A144" t="s">
        <v>504</v>
      </c>
      <c r="C144" s="66">
        <v>5002368.4000000004</v>
      </c>
      <c r="D144" s="24">
        <f t="shared" si="5"/>
        <v>3357.2942281879195</v>
      </c>
      <c r="E144" s="50">
        <f t="shared" si="4"/>
        <v>5.9382012431341146E-4</v>
      </c>
      <c r="F144" s="51"/>
    </row>
    <row r="145" spans="1:6" ht="15.75" customHeight="1" x14ac:dyDescent="0.25">
      <c r="A145" t="s">
        <v>321</v>
      </c>
      <c r="C145" s="66">
        <v>3574666.45</v>
      </c>
      <c r="D145" s="24">
        <f t="shared" si="5"/>
        <v>2399.105</v>
      </c>
      <c r="E145" s="50">
        <f t="shared" si="4"/>
        <v>4.2434077340604927E-4</v>
      </c>
      <c r="F145" s="51"/>
    </row>
    <row r="146" spans="1:6" ht="15.75" customHeight="1" x14ac:dyDescent="0.25">
      <c r="A146" t="s">
        <v>963</v>
      </c>
      <c r="C146" s="66">
        <v>4247000</v>
      </c>
      <c r="D146" s="24">
        <f t="shared" si="5"/>
        <v>2850.3355704697988</v>
      </c>
      <c r="E146" s="50">
        <f t="shared" si="4"/>
        <v>5.0415200686919793E-4</v>
      </c>
      <c r="F146" s="51"/>
    </row>
    <row r="147" spans="1:6" ht="15.75" customHeight="1" x14ac:dyDescent="0.25">
      <c r="A147" t="s">
        <v>323</v>
      </c>
      <c r="C147" s="66">
        <v>3368997.05</v>
      </c>
      <c r="D147" s="24">
        <f t="shared" si="5"/>
        <v>2261.0718456375839</v>
      </c>
      <c r="E147" s="50">
        <f t="shared" si="4"/>
        <v>3.9992621236023247E-4</v>
      </c>
      <c r="F147" s="51"/>
    </row>
    <row r="148" spans="1:6" ht="15.75" customHeight="1" x14ac:dyDescent="0.25">
      <c r="A148" t="s">
        <v>325</v>
      </c>
      <c r="C148" s="66">
        <v>-258135.9</v>
      </c>
      <c r="D148" s="24">
        <f t="shared" si="5"/>
        <v>-173.24557046979865</v>
      </c>
      <c r="E148" s="50">
        <f t="shared" si="4"/>
        <v>-3.064274359076679E-5</v>
      </c>
      <c r="F148" s="51"/>
    </row>
    <row r="149" spans="1:6" ht="15.75" customHeight="1" x14ac:dyDescent="0.25">
      <c r="A149" t="s">
        <v>327</v>
      </c>
      <c r="C149" s="66">
        <v>14142961.199999999</v>
      </c>
      <c r="D149" s="24">
        <f t="shared" si="5"/>
        <v>9491.9202684563752</v>
      </c>
      <c r="E149" s="50">
        <f t="shared" si="4"/>
        <v>1.6788797438316925E-3</v>
      </c>
      <c r="F149" s="51"/>
    </row>
    <row r="150" spans="1:6" ht="15.75" customHeight="1" x14ac:dyDescent="0.25">
      <c r="A150" t="s">
        <v>964</v>
      </c>
      <c r="C150" s="66">
        <v>63472</v>
      </c>
      <c r="D150" s="24">
        <f t="shared" si="5"/>
        <v>42.598657718120805</v>
      </c>
      <c r="E150" s="50">
        <f t="shared" si="4"/>
        <v>7.5346211867204441E-6</v>
      </c>
      <c r="F150" s="51"/>
    </row>
    <row r="151" spans="1:6" ht="15.75" customHeight="1" x14ac:dyDescent="0.25">
      <c r="A151" t="s">
        <v>874</v>
      </c>
      <c r="C151" s="66">
        <v>1095627.3799999999</v>
      </c>
      <c r="D151" s="24">
        <f t="shared" si="5"/>
        <v>735.32038926174494</v>
      </c>
      <c r="E151" s="50">
        <f t="shared" si="4"/>
        <v>1.3005951080947523E-4</v>
      </c>
      <c r="F151" s="51"/>
    </row>
    <row r="152" spans="1:6" ht="15.75" customHeight="1" x14ac:dyDescent="0.25">
      <c r="A152" t="s">
        <v>331</v>
      </c>
      <c r="C152" s="66">
        <v>88538261.290000007</v>
      </c>
      <c r="D152" s="24">
        <f t="shared" si="5"/>
        <v>59421.651872483228</v>
      </c>
      <c r="E152" s="50">
        <f t="shared" si="4"/>
        <v>1.0510181802228142E-2</v>
      </c>
      <c r="F152" s="51"/>
    </row>
    <row r="153" spans="1:6" ht="15.75" customHeight="1" x14ac:dyDescent="0.25">
      <c r="A153" t="s">
        <v>876</v>
      </c>
      <c r="C153" s="66">
        <v>85290.48</v>
      </c>
      <c r="D153" s="24">
        <f t="shared" si="5"/>
        <v>57.241932885906039</v>
      </c>
      <c r="E153" s="50">
        <f t="shared" si="4"/>
        <v>1.0124644845499691E-5</v>
      </c>
      <c r="F153" s="51"/>
    </row>
    <row r="154" spans="1:6" ht="15.75" customHeight="1" x14ac:dyDescent="0.25">
      <c r="A154" t="s">
        <v>1095</v>
      </c>
      <c r="C154" s="66">
        <v>3138494.79</v>
      </c>
      <c r="D154" s="24">
        <f t="shared" si="5"/>
        <v>2106.3723422818794</v>
      </c>
      <c r="E154" s="50">
        <f t="shared" si="4"/>
        <v>3.7256379725147677E-4</v>
      </c>
      <c r="F154" s="51"/>
    </row>
    <row r="155" spans="1:6" ht="15.75" customHeight="1" x14ac:dyDescent="0.25">
      <c r="A155" t="s">
        <v>658</v>
      </c>
      <c r="C155" s="66">
        <v>3345054.85</v>
      </c>
      <c r="D155" s="24">
        <f t="shared" si="5"/>
        <v>2245.0032550335573</v>
      </c>
      <c r="E155" s="50">
        <f t="shared" si="4"/>
        <v>3.9708408658230369E-4</v>
      </c>
      <c r="F155" s="51"/>
    </row>
    <row r="156" spans="1:6" ht="15.75" customHeight="1" x14ac:dyDescent="0.25">
      <c r="A156" t="s">
        <v>333</v>
      </c>
      <c r="C156" s="66">
        <v>5896891</v>
      </c>
      <c r="D156" s="24">
        <f t="shared" si="5"/>
        <v>3957.6449664429529</v>
      </c>
      <c r="E156" s="50">
        <f t="shared" si="4"/>
        <v>7.0000693005389943E-4</v>
      </c>
      <c r="F156" s="51"/>
    </row>
    <row r="157" spans="1:6" ht="15.75" customHeight="1" x14ac:dyDescent="0.25">
      <c r="A157" t="s">
        <v>878</v>
      </c>
      <c r="C157" s="66">
        <v>84431.97</v>
      </c>
      <c r="D157" s="24">
        <f t="shared" si="5"/>
        <v>56.665751677852349</v>
      </c>
      <c r="E157" s="50">
        <f t="shared" si="4"/>
        <v>1.0022733016110174E-5</v>
      </c>
      <c r="F157" s="51"/>
    </row>
    <row r="158" spans="1:6" ht="15.75" customHeight="1" x14ac:dyDescent="0.25">
      <c r="A158" t="s">
        <v>755</v>
      </c>
      <c r="C158" s="66">
        <v>763912.63</v>
      </c>
      <c r="D158" s="24">
        <f t="shared" si="5"/>
        <v>512.69304026845634</v>
      </c>
      <c r="E158" s="50">
        <f t="shared" si="4"/>
        <v>9.0682384150512599E-5</v>
      </c>
      <c r="F158" s="51"/>
    </row>
    <row r="159" spans="1:6" ht="15.75" customHeight="1" x14ac:dyDescent="0.25">
      <c r="A159" t="s">
        <v>337</v>
      </c>
      <c r="C159" s="66">
        <v>-0.01</v>
      </c>
      <c r="D159" s="24">
        <f t="shared" si="5"/>
        <v>-6.7114093959731546E-6</v>
      </c>
      <c r="E159" s="50">
        <f t="shared" si="4"/>
        <v>-1.1870779535417893E-12</v>
      </c>
      <c r="F159" s="51"/>
    </row>
    <row r="160" spans="1:6" ht="15.75" customHeight="1" x14ac:dyDescent="0.25">
      <c r="A160" t="s">
        <v>339</v>
      </c>
      <c r="C160" s="66">
        <v>55957353.579999998</v>
      </c>
      <c r="D160" s="24">
        <f t="shared" si="5"/>
        <v>37555.270859060402</v>
      </c>
      <c r="E160" s="50">
        <f t="shared" si="4"/>
        <v>6.6425740773360708E-3</v>
      </c>
      <c r="F160" s="51"/>
    </row>
    <row r="161" spans="1:6" ht="15.75" customHeight="1" x14ac:dyDescent="0.25">
      <c r="A161" t="s">
        <v>1097</v>
      </c>
      <c r="C161" s="66">
        <v>2820004.22</v>
      </c>
      <c r="D161" s="24">
        <f t="shared" si="5"/>
        <v>1892.6202818791949</v>
      </c>
      <c r="E161" s="50">
        <f t="shared" si="4"/>
        <v>3.3475648384568099E-4</v>
      </c>
      <c r="F161" s="51"/>
    </row>
    <row r="162" spans="1:6" ht="15.75" customHeight="1" x14ac:dyDescent="0.25">
      <c r="A162" t="s">
        <v>1099</v>
      </c>
      <c r="C162" s="66">
        <v>88029.32</v>
      </c>
      <c r="D162" s="24">
        <f t="shared" si="5"/>
        <v>59.080080536912753</v>
      </c>
      <c r="E162" s="50">
        <f t="shared" si="4"/>
        <v>1.0449766503727529E-5</v>
      </c>
      <c r="F162" s="51"/>
    </row>
    <row r="163" spans="1:6" ht="15.75" customHeight="1" x14ac:dyDescent="0.25">
      <c r="A163" t="s">
        <v>341</v>
      </c>
      <c r="C163" s="66">
        <v>10076455.220000001</v>
      </c>
      <c r="D163" s="24">
        <f t="shared" si="5"/>
        <v>6762.721624161074</v>
      </c>
      <c r="E163" s="50">
        <f t="shared" si="4"/>
        <v>1.1961537841513081E-3</v>
      </c>
      <c r="F163" s="51"/>
    </row>
    <row r="164" spans="1:6" ht="15.75" customHeight="1" x14ac:dyDescent="0.25">
      <c r="A164" t="s">
        <v>882</v>
      </c>
      <c r="C164" s="66">
        <v>610929</v>
      </c>
      <c r="D164" s="24">
        <f t="shared" si="5"/>
        <v>410.01946308724831</v>
      </c>
      <c r="E164" s="50">
        <f t="shared" si="4"/>
        <v>7.2522034707933177E-5</v>
      </c>
      <c r="F164" s="51"/>
    </row>
    <row r="165" spans="1:6" ht="15.75" customHeight="1" x14ac:dyDescent="0.25">
      <c r="A165" t="s">
        <v>343</v>
      </c>
      <c r="C165" s="66">
        <v>134697924.93000001</v>
      </c>
      <c r="D165" s="24">
        <f t="shared" si="5"/>
        <v>90401.291899328862</v>
      </c>
      <c r="E165" s="50">
        <f t="shared" si="4"/>
        <v>1.5989693707222995E-2</v>
      </c>
      <c r="F165" s="51"/>
    </row>
    <row r="166" spans="1:6" ht="15.75" customHeight="1" x14ac:dyDescent="0.25">
      <c r="A166" t="s">
        <v>345</v>
      </c>
      <c r="C166" s="66">
        <v>335045.59999999998</v>
      </c>
      <c r="D166" s="24">
        <f t="shared" si="5"/>
        <v>224.8628187919463</v>
      </c>
      <c r="E166" s="50">
        <f t="shared" si="4"/>
        <v>3.9772524519118085E-5</v>
      </c>
      <c r="F166" s="51"/>
    </row>
    <row r="167" spans="1:6" ht="15.75" customHeight="1" x14ac:dyDescent="0.25">
      <c r="A167" t="s">
        <v>347</v>
      </c>
      <c r="C167" s="66">
        <v>1782642.4</v>
      </c>
      <c r="D167" s="24">
        <f t="shared" si="5"/>
        <v>1196.4042953020135</v>
      </c>
      <c r="E167" s="50">
        <f t="shared" si="4"/>
        <v>2.1161354920888237E-4</v>
      </c>
      <c r="F167" s="51"/>
    </row>
    <row r="168" spans="1:6" ht="15.75" customHeight="1" x14ac:dyDescent="0.25">
      <c r="A168" t="s">
        <v>965</v>
      </c>
      <c r="C168" s="66">
        <v>17398550</v>
      </c>
      <c r="D168" s="24">
        <f t="shared" si="5"/>
        <v>11676.879194630872</v>
      </c>
      <c r="E168" s="50">
        <f t="shared" si="4"/>
        <v>2.0653435128594497E-3</v>
      </c>
      <c r="F168" s="51"/>
    </row>
    <row r="169" spans="1:6" ht="15.75" customHeight="1" x14ac:dyDescent="0.25">
      <c r="A169" t="s">
        <v>349</v>
      </c>
      <c r="C169" s="66">
        <v>3400000</v>
      </c>
      <c r="D169" s="24">
        <f t="shared" si="5"/>
        <v>2281.8791946308725</v>
      </c>
      <c r="E169" s="50">
        <f t="shared" si="4"/>
        <v>4.0360650420420832E-4</v>
      </c>
      <c r="F169" s="51"/>
    </row>
    <row r="170" spans="1:6" ht="15.75" customHeight="1" x14ac:dyDescent="0.25">
      <c r="A170" t="s">
        <v>351</v>
      </c>
      <c r="C170" s="66">
        <v>2082642</v>
      </c>
      <c r="D170" s="24">
        <f t="shared" si="5"/>
        <v>1397.7463087248323</v>
      </c>
      <c r="E170" s="50">
        <f t="shared" si="4"/>
        <v>2.472258403320179E-4</v>
      </c>
      <c r="F170" s="51"/>
    </row>
    <row r="171" spans="1:6" ht="15.75" customHeight="1" x14ac:dyDescent="0.25">
      <c r="A171" t="s">
        <v>966</v>
      </c>
      <c r="C171" s="66">
        <v>3796373.31</v>
      </c>
      <c r="D171" s="24">
        <f t="shared" si="5"/>
        <v>2547.9015503355704</v>
      </c>
      <c r="E171" s="50">
        <f t="shared" si="4"/>
        <v>4.5065910597154681E-4</v>
      </c>
      <c r="F171" s="51"/>
    </row>
    <row r="172" spans="1:6" ht="15.75" customHeight="1" x14ac:dyDescent="0.25">
      <c r="A172" t="s">
        <v>757</v>
      </c>
      <c r="C172" s="66">
        <v>677994.65</v>
      </c>
      <c r="D172" s="24">
        <f t="shared" si="5"/>
        <v>455.02996644295303</v>
      </c>
      <c r="E172" s="50">
        <f t="shared" si="4"/>
        <v>8.0483250163428162E-5</v>
      </c>
      <c r="F172" s="51"/>
    </row>
    <row r="173" spans="1:6" ht="15.75" customHeight="1" x14ac:dyDescent="0.25">
      <c r="A173" t="s">
        <v>817</v>
      </c>
      <c r="C173" s="66">
        <v>124885.59</v>
      </c>
      <c r="D173" s="24">
        <f t="shared" si="5"/>
        <v>83.815832214765095</v>
      </c>
      <c r="E173" s="50">
        <f t="shared" si="4"/>
        <v>1.4824893060405892E-5</v>
      </c>
      <c r="F173" s="51"/>
    </row>
    <row r="174" spans="1:6" ht="15.75" customHeight="1" x14ac:dyDescent="0.25">
      <c r="A174" t="s">
        <v>1103</v>
      </c>
      <c r="C174" s="66">
        <v>859100</v>
      </c>
      <c r="D174" s="24">
        <f t="shared" si="5"/>
        <v>576.57718120805373</v>
      </c>
      <c r="E174" s="50">
        <f t="shared" si="4"/>
        <v>1.0198186698877512E-4</v>
      </c>
      <c r="F174" s="51"/>
    </row>
    <row r="175" spans="1:6" ht="15.75" customHeight="1" x14ac:dyDescent="0.25">
      <c r="A175" t="s">
        <v>967</v>
      </c>
      <c r="C175" s="66">
        <v>3180000</v>
      </c>
      <c r="D175" s="24">
        <f t="shared" si="5"/>
        <v>2134.2281879194629</v>
      </c>
      <c r="E175" s="50">
        <f t="shared" si="4"/>
        <v>3.7749078922628894E-4</v>
      </c>
      <c r="F175" s="51"/>
    </row>
    <row r="176" spans="1:6" ht="15.75" customHeight="1" x14ac:dyDescent="0.25">
      <c r="A176" t="s">
        <v>761</v>
      </c>
      <c r="C176" s="66">
        <v>1876212.69</v>
      </c>
      <c r="D176" s="24">
        <f t="shared" si="5"/>
        <v>1259.2031476510067</v>
      </c>
      <c r="E176" s="50">
        <f t="shared" si="4"/>
        <v>2.2272107204543353E-4</v>
      </c>
      <c r="F176" s="51"/>
    </row>
    <row r="177" spans="1:6" ht="15.75" customHeight="1" x14ac:dyDescent="0.25">
      <c r="A177" t="s">
        <v>968</v>
      </c>
      <c r="C177" s="66">
        <v>22506000</v>
      </c>
      <c r="D177" s="24">
        <f t="shared" si="5"/>
        <v>15104.697986577181</v>
      </c>
      <c r="E177" s="50">
        <f t="shared" si="4"/>
        <v>2.6716376422411506E-3</v>
      </c>
      <c r="F177" s="51"/>
    </row>
    <row r="178" spans="1:6" ht="15.75" customHeight="1" x14ac:dyDescent="0.25">
      <c r="A178" t="s">
        <v>1109</v>
      </c>
      <c r="C178" s="66">
        <v>87120</v>
      </c>
      <c r="D178" s="24">
        <f t="shared" si="5"/>
        <v>58.469798657718123</v>
      </c>
      <c r="E178" s="50">
        <f t="shared" si="4"/>
        <v>1.0341823131256067E-5</v>
      </c>
      <c r="F178" s="51"/>
    </row>
    <row r="179" spans="1:6" ht="15.75" customHeight="1" x14ac:dyDescent="0.25">
      <c r="A179" t="s">
        <v>1111</v>
      </c>
      <c r="C179" s="66">
        <v>8620211.5399999991</v>
      </c>
      <c r="D179" s="24">
        <f t="shared" si="5"/>
        <v>5785.3768724832207</v>
      </c>
      <c r="E179" s="50">
        <f t="shared" si="4"/>
        <v>1.0232863074000514E-3</v>
      </c>
      <c r="F179" s="51"/>
    </row>
    <row r="180" spans="1:6" ht="15.75" customHeight="1" x14ac:dyDescent="0.25">
      <c r="A180" t="s">
        <v>353</v>
      </c>
      <c r="C180" s="66">
        <v>9967000</v>
      </c>
      <c r="D180" s="24">
        <f t="shared" si="5"/>
        <v>6689.2617449664431</v>
      </c>
      <c r="E180" s="50">
        <f t="shared" si="4"/>
        <v>1.1831605962951013E-3</v>
      </c>
      <c r="F180" s="51"/>
    </row>
    <row r="181" spans="1:6" ht="15.75" customHeight="1" x14ac:dyDescent="0.25">
      <c r="A181" t="s">
        <v>819</v>
      </c>
      <c r="C181" s="66">
        <v>42840</v>
      </c>
      <c r="D181" s="24">
        <f t="shared" si="5"/>
        <v>28.751677852348994</v>
      </c>
      <c r="E181" s="50">
        <f t="shared" si="4"/>
        <v>5.085441952973025E-6</v>
      </c>
      <c r="F181" s="51"/>
    </row>
    <row r="182" spans="1:6" ht="15.75" customHeight="1" x14ac:dyDescent="0.25">
      <c r="A182" t="s">
        <v>1113</v>
      </c>
      <c r="C182" s="66">
        <v>374765.85</v>
      </c>
      <c r="D182" s="24">
        <f t="shared" si="5"/>
        <v>251.52070469798656</v>
      </c>
      <c r="E182" s="50">
        <f t="shared" si="4"/>
        <v>4.4487627827534911E-5</v>
      </c>
      <c r="F182" s="51"/>
    </row>
    <row r="183" spans="1:6" ht="15.75" customHeight="1" x14ac:dyDescent="0.25">
      <c r="A183" t="s">
        <v>355</v>
      </c>
      <c r="C183" s="66">
        <v>5471799.2599999998</v>
      </c>
      <c r="D183" s="24">
        <f t="shared" si="5"/>
        <v>3672.3484966442952</v>
      </c>
      <c r="E183" s="50">
        <f t="shared" si="4"/>
        <v>6.4954522677522768E-4</v>
      </c>
      <c r="F183" s="51"/>
    </row>
    <row r="184" spans="1:6" ht="15.75" customHeight="1" x14ac:dyDescent="0.25">
      <c r="A184" t="s">
        <v>357</v>
      </c>
      <c r="C184" s="66">
        <v>18745905.640000001</v>
      </c>
      <c r="D184" s="24">
        <f t="shared" si="5"/>
        <v>12581.144724832215</v>
      </c>
      <c r="E184" s="50">
        <f t="shared" si="4"/>
        <v>2.2252851304418683E-3</v>
      </c>
      <c r="F184" s="51"/>
    </row>
    <row r="185" spans="1:6" ht="15.75" customHeight="1" x14ac:dyDescent="0.25">
      <c r="A185" t="s">
        <v>359</v>
      </c>
      <c r="C185" s="66">
        <v>8585960.0899999999</v>
      </c>
      <c r="D185" s="24">
        <f t="shared" si="5"/>
        <v>5762.389322147651</v>
      </c>
      <c r="E185" s="50">
        <f t="shared" si="4"/>
        <v>1.0192203932828676E-3</v>
      </c>
      <c r="F185" s="51"/>
    </row>
    <row r="186" spans="1:6" ht="15.75" customHeight="1" x14ac:dyDescent="0.25">
      <c r="A186" t="s">
        <v>969</v>
      </c>
      <c r="C186" s="66">
        <v>1400000</v>
      </c>
      <c r="D186" s="24">
        <f t="shared" si="5"/>
        <v>939.59731543624162</v>
      </c>
      <c r="E186" s="50">
        <f t="shared" si="4"/>
        <v>1.6619091349585048E-4</v>
      </c>
      <c r="F186" s="51"/>
    </row>
    <row r="187" spans="1:6" ht="15.75" customHeight="1" x14ac:dyDescent="0.25">
      <c r="A187" t="s">
        <v>970</v>
      </c>
      <c r="C187" s="66">
        <v>216400</v>
      </c>
      <c r="D187" s="24">
        <f t="shared" si="5"/>
        <v>145.23489932885906</v>
      </c>
      <c r="E187" s="50">
        <f t="shared" si="4"/>
        <v>2.5688366914644316E-5</v>
      </c>
      <c r="F187" s="51"/>
    </row>
    <row r="188" spans="1:6" ht="15.75" customHeight="1" x14ac:dyDescent="0.25">
      <c r="A188" t="s">
        <v>361</v>
      </c>
      <c r="C188" s="66">
        <v>24077668.629999999</v>
      </c>
      <c r="D188" s="24">
        <f t="shared" si="5"/>
        <v>16159.509147651006</v>
      </c>
      <c r="E188" s="50">
        <f t="shared" si="4"/>
        <v>2.8582069603357734E-3</v>
      </c>
      <c r="F188" s="51"/>
    </row>
    <row r="189" spans="1:6" ht="15.75" customHeight="1" x14ac:dyDescent="0.25">
      <c r="A189" t="s">
        <v>363</v>
      </c>
      <c r="C189" s="66">
        <v>162383264.11000001</v>
      </c>
      <c r="D189" s="24">
        <f t="shared" si="5"/>
        <v>108982.05644966444</v>
      </c>
      <c r="E189" s="50">
        <f t="shared" si="4"/>
        <v>1.9276159284913469E-2</v>
      </c>
      <c r="F189" s="51"/>
    </row>
    <row r="190" spans="1:6" ht="15.75" customHeight="1" x14ac:dyDescent="0.25">
      <c r="A190" t="s">
        <v>365</v>
      </c>
      <c r="C190" s="66">
        <v>661314.64</v>
      </c>
      <c r="D190" s="24">
        <f t="shared" si="5"/>
        <v>443.83532885906044</v>
      </c>
      <c r="E190" s="50">
        <f t="shared" si="4"/>
        <v>7.8503202949842509E-5</v>
      </c>
      <c r="F190" s="51"/>
    </row>
    <row r="191" spans="1:6" ht="15.75" customHeight="1" x14ac:dyDescent="0.25">
      <c r="A191" t="s">
        <v>971</v>
      </c>
      <c r="C191" s="66">
        <v>2116290</v>
      </c>
      <c r="D191" s="24">
        <f t="shared" si="5"/>
        <v>1420.3288590604027</v>
      </c>
      <c r="E191" s="50">
        <f t="shared" si="4"/>
        <v>2.5122012023009533E-4</v>
      </c>
      <c r="F191" s="51"/>
    </row>
    <row r="192" spans="1:6" ht="15.75" customHeight="1" x14ac:dyDescent="0.25">
      <c r="A192" t="s">
        <v>367</v>
      </c>
      <c r="C192" s="66">
        <v>112342938.5</v>
      </c>
      <c r="D192" s="24">
        <f t="shared" si="5"/>
        <v>75397.945302013424</v>
      </c>
      <c r="E192" s="50">
        <f t="shared" si="4"/>
        <v>1.3335982552945108E-2</v>
      </c>
      <c r="F192" s="51"/>
    </row>
    <row r="193" spans="1:6" ht="15.75" customHeight="1" x14ac:dyDescent="0.25">
      <c r="A193" t="s">
        <v>763</v>
      </c>
      <c r="C193" s="66">
        <v>30696237</v>
      </c>
      <c r="D193" s="24">
        <f t="shared" si="5"/>
        <v>20601.501342281877</v>
      </c>
      <c r="E193" s="50">
        <f t="shared" si="4"/>
        <v>3.6438826199393748E-3</v>
      </c>
      <c r="F193" s="51"/>
    </row>
    <row r="194" spans="1:6" ht="15.75" customHeight="1" x14ac:dyDescent="0.25">
      <c r="A194" t="s">
        <v>765</v>
      </c>
      <c r="C194" s="66">
        <v>1182500</v>
      </c>
      <c r="D194" s="24">
        <f t="shared" si="5"/>
        <v>793.62416107382546</v>
      </c>
      <c r="E194" s="50">
        <f t="shared" si="4"/>
        <v>1.4037196800631657E-4</v>
      </c>
      <c r="F194" s="51"/>
    </row>
    <row r="195" spans="1:6" ht="15.75" customHeight="1" x14ac:dyDescent="0.25">
      <c r="A195" t="s">
        <v>821</v>
      </c>
      <c r="C195" s="66">
        <v>3485163</v>
      </c>
      <c r="D195" s="24">
        <f t="shared" si="5"/>
        <v>2339.0355704697986</v>
      </c>
      <c r="E195" s="50">
        <f t="shared" si="4"/>
        <v>4.1371601617995625E-4</v>
      </c>
      <c r="F195" s="51"/>
    </row>
    <row r="196" spans="1:6" ht="15.75" customHeight="1" x14ac:dyDescent="0.25">
      <c r="A196" t="s">
        <v>892</v>
      </c>
      <c r="C196" s="66">
        <v>186581755.78</v>
      </c>
      <c r="D196" s="24">
        <f t="shared" si="5"/>
        <v>125222.65488590604</v>
      </c>
      <c r="E196" s="50">
        <f t="shared" si="4"/>
        <v>2.214870888195563E-2</v>
      </c>
      <c r="F196" s="51"/>
    </row>
    <row r="197" spans="1:6" ht="15.75" customHeight="1" x14ac:dyDescent="0.25">
      <c r="A197" t="s">
        <v>373</v>
      </c>
      <c r="C197" s="66">
        <v>97686918.5</v>
      </c>
      <c r="D197" s="24">
        <f t="shared" si="5"/>
        <v>65561.690268456383</v>
      </c>
      <c r="E197" s="50">
        <f t="shared" ref="E197:E260" si="6">+D197/$D$320</f>
        <v>1.1596198730078356E-2</v>
      </c>
      <c r="F197" s="51"/>
    </row>
    <row r="198" spans="1:6" ht="15.75" customHeight="1" x14ac:dyDescent="0.25">
      <c r="A198" t="s">
        <v>377</v>
      </c>
      <c r="C198" s="66">
        <v>5150000</v>
      </c>
      <c r="D198" s="24">
        <f t="shared" ref="D198:D261" si="7">+C198/$D$3</f>
        <v>3456.3758389261743</v>
      </c>
      <c r="E198" s="50">
        <f t="shared" si="6"/>
        <v>6.1134514607402138E-4</v>
      </c>
      <c r="F198" s="51"/>
    </row>
    <row r="199" spans="1:6" ht="15.75" customHeight="1" x14ac:dyDescent="0.25">
      <c r="A199" t="s">
        <v>379</v>
      </c>
      <c r="C199" s="66">
        <v>58760</v>
      </c>
      <c r="D199" s="24">
        <f t="shared" si="7"/>
        <v>39.436241610738257</v>
      </c>
      <c r="E199" s="50">
        <f t="shared" si="6"/>
        <v>6.9752700550115538E-6</v>
      </c>
      <c r="F199" s="51"/>
    </row>
    <row r="200" spans="1:6" ht="15.75" customHeight="1" x14ac:dyDescent="0.25">
      <c r="A200" t="s">
        <v>972</v>
      </c>
      <c r="C200" s="66">
        <v>500000</v>
      </c>
      <c r="D200" s="24">
        <f t="shared" si="7"/>
        <v>335.57046979865771</v>
      </c>
      <c r="E200" s="50">
        <f t="shared" si="6"/>
        <v>5.935389767708946E-5</v>
      </c>
      <c r="F200" s="51"/>
    </row>
    <row r="201" spans="1:6" ht="15.75" customHeight="1" x14ac:dyDescent="0.25">
      <c r="A201" t="s">
        <v>381</v>
      </c>
      <c r="C201" s="66">
        <v>0.01</v>
      </c>
      <c r="D201" s="24">
        <f t="shared" si="7"/>
        <v>6.7114093959731546E-6</v>
      </c>
      <c r="E201" s="50">
        <f t="shared" si="6"/>
        <v>1.1870779535417893E-12</v>
      </c>
      <c r="F201" s="51"/>
    </row>
    <row r="202" spans="1:6" ht="15.75" customHeight="1" x14ac:dyDescent="0.25">
      <c r="A202" t="s">
        <v>508</v>
      </c>
      <c r="C202" s="66">
        <v>6334685.4299999997</v>
      </c>
      <c r="D202" s="24">
        <f t="shared" si="7"/>
        <v>4251.4667315436236</v>
      </c>
      <c r="E202" s="50">
        <f t="shared" si="6"/>
        <v>7.5197654165753882E-4</v>
      </c>
      <c r="F202" s="51"/>
    </row>
    <row r="203" spans="1:6" ht="15.75" customHeight="1" x14ac:dyDescent="0.25">
      <c r="A203" t="s">
        <v>383</v>
      </c>
      <c r="C203" s="66">
        <v>24741167.370000001</v>
      </c>
      <c r="D203" s="24">
        <f t="shared" si="7"/>
        <v>16604.810315436243</v>
      </c>
      <c r="E203" s="50">
        <f t="shared" si="6"/>
        <v>2.9369694329814495E-3</v>
      </c>
      <c r="F203" s="51"/>
    </row>
    <row r="204" spans="1:6" ht="15.75" customHeight="1" x14ac:dyDescent="0.25">
      <c r="A204" t="s">
        <v>973</v>
      </c>
      <c r="C204" s="66">
        <v>833250.81</v>
      </c>
      <c r="D204" s="24">
        <f t="shared" si="7"/>
        <v>559.22873154362424</v>
      </c>
      <c r="E204" s="50">
        <f t="shared" si="6"/>
        <v>9.8913366632183834E-5</v>
      </c>
      <c r="F204" s="51"/>
    </row>
    <row r="205" spans="1:6" ht="15.75" customHeight="1" x14ac:dyDescent="0.25">
      <c r="A205" t="s">
        <v>385</v>
      </c>
      <c r="C205" s="66">
        <v>180575357.13</v>
      </c>
      <c r="D205" s="24">
        <f t="shared" si="7"/>
        <v>121191.51485234899</v>
      </c>
      <c r="E205" s="50">
        <f t="shared" si="6"/>
        <v>2.1435702540195813E-2</v>
      </c>
      <c r="F205" s="51"/>
    </row>
    <row r="206" spans="1:6" ht="15.75" customHeight="1" x14ac:dyDescent="0.25">
      <c r="A206" t="s">
        <v>974</v>
      </c>
      <c r="C206" s="66">
        <v>19272355.149999999</v>
      </c>
      <c r="D206" s="24">
        <f t="shared" si="7"/>
        <v>12934.466543624159</v>
      </c>
      <c r="E206" s="50">
        <f t="shared" si="6"/>
        <v>2.287778791139256E-3</v>
      </c>
      <c r="F206" s="51"/>
    </row>
    <row r="207" spans="1:6" ht="15.75" customHeight="1" x14ac:dyDescent="0.25">
      <c r="A207" t="s">
        <v>767</v>
      </c>
      <c r="C207" s="66">
        <v>460000.26</v>
      </c>
      <c r="D207" s="24">
        <f t="shared" si="7"/>
        <v>308.72500671140938</v>
      </c>
      <c r="E207" s="50">
        <f t="shared" si="6"/>
        <v>5.4605616726949095E-5</v>
      </c>
      <c r="F207" s="51"/>
    </row>
    <row r="208" spans="1:6" ht="15.75" customHeight="1" x14ac:dyDescent="0.25">
      <c r="A208" t="s">
        <v>387</v>
      </c>
      <c r="C208" s="66">
        <v>2443761.5</v>
      </c>
      <c r="D208" s="24">
        <f t="shared" si="7"/>
        <v>1640.1083892617451</v>
      </c>
      <c r="E208" s="50">
        <f t="shared" si="6"/>
        <v>2.9009354003642135E-4</v>
      </c>
      <c r="F208" s="51"/>
    </row>
    <row r="209" spans="1:6" ht="15.75" customHeight="1" x14ac:dyDescent="0.25">
      <c r="A209" t="s">
        <v>389</v>
      </c>
      <c r="C209" s="66">
        <v>13351649.470000001</v>
      </c>
      <c r="D209" s="24">
        <f t="shared" si="7"/>
        <v>8960.8385704697994</v>
      </c>
      <c r="E209" s="50">
        <f t="shared" si="6"/>
        <v>1.5849448729254915E-3</v>
      </c>
      <c r="F209" s="51"/>
    </row>
    <row r="210" spans="1:6" ht="15.75" customHeight="1" x14ac:dyDescent="0.25">
      <c r="A210" t="s">
        <v>975</v>
      </c>
      <c r="C210" s="66">
        <v>2672760.4</v>
      </c>
      <c r="D210" s="24">
        <f t="shared" si="7"/>
        <v>1793.7989261744965</v>
      </c>
      <c r="E210" s="50">
        <f t="shared" si="6"/>
        <v>3.1727749459395339E-4</v>
      </c>
      <c r="F210" s="51"/>
    </row>
    <row r="211" spans="1:6" ht="15.75" customHeight="1" x14ac:dyDescent="0.25">
      <c r="A211" t="s">
        <v>1126</v>
      </c>
      <c r="C211" s="66">
        <v>1342616</v>
      </c>
      <c r="D211" s="24">
        <f t="shared" si="7"/>
        <v>901.08456375838921</v>
      </c>
      <c r="E211" s="50">
        <f t="shared" si="6"/>
        <v>1.5937898536724627E-4</v>
      </c>
      <c r="F211" s="51"/>
    </row>
    <row r="212" spans="1:6" ht="15.75" customHeight="1" x14ac:dyDescent="0.25">
      <c r="A212" t="s">
        <v>393</v>
      </c>
      <c r="C212" s="66">
        <v>53224043.450000003</v>
      </c>
      <c r="D212" s="24">
        <f t="shared" si="7"/>
        <v>35720.834530201348</v>
      </c>
      <c r="E212" s="50">
        <f t="shared" si="6"/>
        <v>6.3181088577845277E-3</v>
      </c>
      <c r="F212" s="51"/>
    </row>
    <row r="213" spans="1:6" ht="15.75" customHeight="1" x14ac:dyDescent="0.25">
      <c r="A213" t="s">
        <v>1128</v>
      </c>
      <c r="C213" s="66">
        <v>2905452</v>
      </c>
      <c r="D213" s="24">
        <f t="shared" si="7"/>
        <v>1949.9677852348993</v>
      </c>
      <c r="E213" s="50">
        <f t="shared" si="6"/>
        <v>3.4489980142738986E-4</v>
      </c>
      <c r="F213" s="51"/>
    </row>
    <row r="214" spans="1:6" ht="15.75" customHeight="1" x14ac:dyDescent="0.25">
      <c r="A214" t="s">
        <v>976</v>
      </c>
      <c r="C214" s="66">
        <v>15279446.699999999</v>
      </c>
      <c r="D214" s="24">
        <f t="shared" si="7"/>
        <v>10254.6622147651</v>
      </c>
      <c r="E214" s="50">
        <f t="shared" si="6"/>
        <v>1.8137894319886843E-3</v>
      </c>
      <c r="F214" s="51"/>
    </row>
    <row r="215" spans="1:6" ht="15.75" customHeight="1" x14ac:dyDescent="0.25">
      <c r="A215" t="s">
        <v>395</v>
      </c>
      <c r="C215" s="66">
        <v>23920770.219999999</v>
      </c>
      <c r="D215" s="24">
        <f t="shared" si="7"/>
        <v>16054.208201342281</v>
      </c>
      <c r="E215" s="50">
        <f t="shared" si="6"/>
        <v>2.8395818959900971E-3</v>
      </c>
      <c r="F215" s="51"/>
    </row>
    <row r="216" spans="1:6" ht="15.75" customHeight="1" x14ac:dyDescent="0.25">
      <c r="A216" t="s">
        <v>896</v>
      </c>
      <c r="C216" s="66">
        <v>2178300</v>
      </c>
      <c r="D216" s="24">
        <f t="shared" si="7"/>
        <v>1461.9463087248323</v>
      </c>
      <c r="E216" s="50">
        <f t="shared" si="6"/>
        <v>2.5858119062000797E-4</v>
      </c>
      <c r="F216" s="51"/>
    </row>
    <row r="217" spans="1:6" ht="15.75" customHeight="1" x14ac:dyDescent="0.25">
      <c r="A217" t="s">
        <v>397</v>
      </c>
      <c r="C217" s="66">
        <v>14663767.960000001</v>
      </c>
      <c r="D217" s="24">
        <f t="shared" si="7"/>
        <v>9841.4550067114105</v>
      </c>
      <c r="E217" s="50">
        <f t="shared" si="6"/>
        <v>1.7407035661168458E-3</v>
      </c>
      <c r="F217" s="51"/>
    </row>
    <row r="218" spans="1:6" ht="15.75" customHeight="1" x14ac:dyDescent="0.25">
      <c r="A218" t="s">
        <v>769</v>
      </c>
      <c r="C218" s="66">
        <v>396543.96</v>
      </c>
      <c r="D218" s="24">
        <f t="shared" si="7"/>
        <v>266.13688590604028</v>
      </c>
      <c r="E218" s="50">
        <f t="shared" si="6"/>
        <v>4.7072859252615714E-5</v>
      </c>
      <c r="F218" s="51"/>
    </row>
    <row r="219" spans="1:6" ht="15.75" customHeight="1" x14ac:dyDescent="0.25">
      <c r="A219" t="s">
        <v>399</v>
      </c>
      <c r="C219" s="66">
        <v>-2698.26</v>
      </c>
      <c r="D219" s="24">
        <f t="shared" si="7"/>
        <v>-1.8109127516778525</v>
      </c>
      <c r="E219" s="50">
        <f t="shared" si="6"/>
        <v>-3.2030449589236682E-7</v>
      </c>
      <c r="F219" s="51"/>
    </row>
    <row r="220" spans="1:6" ht="15.75" customHeight="1" x14ac:dyDescent="0.25">
      <c r="A220" t="s">
        <v>977</v>
      </c>
      <c r="C220" s="66">
        <v>1346995</v>
      </c>
      <c r="D220" s="24">
        <f t="shared" si="7"/>
        <v>904.02348993288592</v>
      </c>
      <c r="E220" s="50">
        <f t="shared" si="6"/>
        <v>1.5989880680310222E-4</v>
      </c>
      <c r="F220" s="51"/>
    </row>
    <row r="221" spans="1:6" ht="15.75" customHeight="1" x14ac:dyDescent="0.25">
      <c r="A221" t="s">
        <v>771</v>
      </c>
      <c r="C221" s="66">
        <v>54501717.859999999</v>
      </c>
      <c r="D221" s="24">
        <f t="shared" si="7"/>
        <v>36578.334134228186</v>
      </c>
      <c r="E221" s="50">
        <f t="shared" si="6"/>
        <v>6.4697787701760781E-3</v>
      </c>
      <c r="F221" s="51"/>
    </row>
    <row r="222" spans="1:6" ht="15.75" customHeight="1" x14ac:dyDescent="0.25">
      <c r="A222" t="s">
        <v>978</v>
      </c>
      <c r="C222" s="66">
        <v>24470437.420000002</v>
      </c>
      <c r="D222" s="24">
        <f t="shared" si="7"/>
        <v>16423.112362416108</v>
      </c>
      <c r="E222" s="50">
        <f t="shared" si="6"/>
        <v>2.9048316774806021E-3</v>
      </c>
      <c r="F222" s="51"/>
    </row>
    <row r="223" spans="1:6" ht="15.75" customHeight="1" x14ac:dyDescent="0.25">
      <c r="A223" t="s">
        <v>898</v>
      </c>
      <c r="C223" s="66">
        <v>16552800</v>
      </c>
      <c r="D223" s="24">
        <f t="shared" si="7"/>
        <v>11109.261744966443</v>
      </c>
      <c r="E223" s="50">
        <f t="shared" si="6"/>
        <v>1.9649463949386529E-3</v>
      </c>
      <c r="F223" s="51"/>
    </row>
    <row r="224" spans="1:6" ht="15.75" customHeight="1" x14ac:dyDescent="0.25">
      <c r="A224" t="s">
        <v>1137</v>
      </c>
      <c r="C224" s="66">
        <v>1152515</v>
      </c>
      <c r="D224" s="24">
        <f t="shared" si="7"/>
        <v>773.5</v>
      </c>
      <c r="E224" s="50">
        <f t="shared" si="6"/>
        <v>1.3681251476262152E-4</v>
      </c>
      <c r="F224" s="51"/>
    </row>
    <row r="225" spans="1:6" ht="15.75" customHeight="1" x14ac:dyDescent="0.25">
      <c r="A225" t="s">
        <v>979</v>
      </c>
      <c r="C225" s="66">
        <v>11953535.369999999</v>
      </c>
      <c r="D225" s="24">
        <f t="shared" si="7"/>
        <v>8022.5069597315432</v>
      </c>
      <c r="E225" s="50">
        <f t="shared" si="6"/>
        <v>1.4189778304608994E-3</v>
      </c>
      <c r="F225" s="51"/>
    </row>
    <row r="226" spans="1:6" ht="15.75" customHeight="1" x14ac:dyDescent="0.25">
      <c r="A226" t="s">
        <v>825</v>
      </c>
      <c r="C226" s="66">
        <v>60970055.700000003</v>
      </c>
      <c r="D226" s="24">
        <f t="shared" si="7"/>
        <v>40919.500469798659</v>
      </c>
      <c r="E226" s="50">
        <f t="shared" si="6"/>
        <v>7.2376208947684904E-3</v>
      </c>
      <c r="F226" s="51"/>
    </row>
    <row r="227" spans="1:6" ht="15.75" customHeight="1" x14ac:dyDescent="0.25">
      <c r="A227" t="s">
        <v>510</v>
      </c>
      <c r="C227" s="66">
        <v>4031508.25</v>
      </c>
      <c r="D227" s="24">
        <f t="shared" si="7"/>
        <v>2705.710234899329</v>
      </c>
      <c r="E227" s="50">
        <f t="shared" si="6"/>
        <v>4.78571456309684E-4</v>
      </c>
      <c r="F227" s="51"/>
    </row>
    <row r="228" spans="1:6" ht="15.75" customHeight="1" x14ac:dyDescent="0.25">
      <c r="A228" t="s">
        <v>775</v>
      </c>
      <c r="C228" s="66">
        <v>5798992.7699999996</v>
      </c>
      <c r="D228" s="24">
        <f t="shared" si="7"/>
        <v>3891.9414563758387</v>
      </c>
      <c r="E228" s="50">
        <f t="shared" si="6"/>
        <v>6.8838564700152312E-4</v>
      </c>
      <c r="F228" s="51"/>
    </row>
    <row r="229" spans="1:6" ht="15.75" customHeight="1" x14ac:dyDescent="0.25">
      <c r="A229" t="s">
        <v>401</v>
      </c>
      <c r="C229" s="66">
        <v>9619503.5</v>
      </c>
      <c r="D229" s="24">
        <f t="shared" si="7"/>
        <v>6456.0426174496642</v>
      </c>
      <c r="E229" s="50">
        <f t="shared" si="6"/>
        <v>1.1419100528868079E-3</v>
      </c>
      <c r="F229" s="51"/>
    </row>
    <row r="230" spans="1:6" ht="15.75" customHeight="1" x14ac:dyDescent="0.25">
      <c r="A230" t="s">
        <v>904</v>
      </c>
      <c r="C230" s="66">
        <v>446355049.35000002</v>
      </c>
      <c r="D230" s="24">
        <f t="shared" si="7"/>
        <v>299567.14721476514</v>
      </c>
      <c r="E230" s="50">
        <f t="shared" si="6"/>
        <v>5.2985823853544237E-2</v>
      </c>
      <c r="F230" s="51"/>
    </row>
    <row r="231" spans="1:6" ht="15.75" customHeight="1" x14ac:dyDescent="0.25">
      <c r="A231" t="s">
        <v>403</v>
      </c>
      <c r="C231" s="66">
        <v>74373558.530000001</v>
      </c>
      <c r="D231" s="24">
        <f t="shared" si="7"/>
        <v>49915.139953020138</v>
      </c>
      <c r="E231" s="50">
        <f t="shared" si="6"/>
        <v>8.8287211657412882E-3</v>
      </c>
      <c r="F231" s="51"/>
    </row>
    <row r="232" spans="1:6" ht="15.75" customHeight="1" x14ac:dyDescent="0.25">
      <c r="A232" t="s">
        <v>684</v>
      </c>
      <c r="C232" s="66">
        <v>1926618.02</v>
      </c>
      <c r="D232" s="24">
        <f t="shared" si="7"/>
        <v>1293.0322281879194</v>
      </c>
      <c r="E232" s="50">
        <f t="shared" si="6"/>
        <v>2.2870457764383338E-4</v>
      </c>
      <c r="F232" s="51"/>
    </row>
    <row r="233" spans="1:6" ht="15.75" customHeight="1" x14ac:dyDescent="0.25">
      <c r="A233" t="s">
        <v>405</v>
      </c>
      <c r="C233" s="66">
        <v>2199285.2000000002</v>
      </c>
      <c r="D233" s="24">
        <f t="shared" si="7"/>
        <v>1476.03033557047</v>
      </c>
      <c r="E233" s="50">
        <f t="shared" si="6"/>
        <v>2.6107229744707451E-4</v>
      </c>
      <c r="F233" s="51"/>
    </row>
    <row r="234" spans="1:6" ht="15.75" customHeight="1" x14ac:dyDescent="0.25">
      <c r="A234" t="s">
        <v>1140</v>
      </c>
      <c r="C234" s="66">
        <v>140000</v>
      </c>
      <c r="D234" s="24">
        <f t="shared" si="7"/>
        <v>93.959731543624159</v>
      </c>
      <c r="E234" s="50">
        <f t="shared" si="6"/>
        <v>1.661909134958505E-5</v>
      </c>
      <c r="F234" s="51"/>
    </row>
    <row r="235" spans="1:6" ht="15.75" customHeight="1" x14ac:dyDescent="0.25">
      <c r="A235" t="s">
        <v>980</v>
      </c>
      <c r="C235" s="66">
        <v>144058500</v>
      </c>
      <c r="D235" s="24">
        <f t="shared" si="7"/>
        <v>96683.557046979869</v>
      </c>
      <c r="E235" s="50">
        <f t="shared" si="6"/>
        <v>1.7100866937029984E-2</v>
      </c>
      <c r="F235" s="51"/>
    </row>
    <row r="236" spans="1:6" ht="15.75" customHeight="1" x14ac:dyDescent="0.25">
      <c r="A236" t="s">
        <v>407</v>
      </c>
      <c r="C236" s="66">
        <v>242517.82</v>
      </c>
      <c r="D236" s="24">
        <f t="shared" si="7"/>
        <v>162.76363758389263</v>
      </c>
      <c r="E236" s="50">
        <f t="shared" si="6"/>
        <v>2.8788755746301602E-5</v>
      </c>
      <c r="F236" s="51"/>
    </row>
    <row r="237" spans="1:6" ht="15.75" customHeight="1" x14ac:dyDescent="0.25">
      <c r="A237" t="s">
        <v>409</v>
      </c>
      <c r="C237" s="66">
        <v>16000000</v>
      </c>
      <c r="D237" s="24">
        <f t="shared" si="7"/>
        <v>10738.255033557047</v>
      </c>
      <c r="E237" s="50">
        <f t="shared" si="6"/>
        <v>1.8993247256668627E-3</v>
      </c>
      <c r="F237" s="51"/>
    </row>
    <row r="238" spans="1:6" ht="15.75" customHeight="1" x14ac:dyDescent="0.25">
      <c r="A238" t="s">
        <v>827</v>
      </c>
      <c r="C238" s="66">
        <v>377140.43</v>
      </c>
      <c r="D238" s="24">
        <f t="shared" si="7"/>
        <v>253.11438255033556</v>
      </c>
      <c r="E238" s="50">
        <f t="shared" si="6"/>
        <v>4.4769508984227037E-5</v>
      </c>
      <c r="F238" s="51"/>
    </row>
    <row r="239" spans="1:6" ht="15.75" customHeight="1" x14ac:dyDescent="0.25">
      <c r="A239" t="s">
        <v>512</v>
      </c>
      <c r="C239" s="66">
        <v>104060</v>
      </c>
      <c r="D239" s="24">
        <f t="shared" si="7"/>
        <v>69.838926174496649</v>
      </c>
      <c r="E239" s="50">
        <f t="shared" si="6"/>
        <v>1.235273318455586E-5</v>
      </c>
      <c r="F239" s="51"/>
    </row>
    <row r="240" spans="1:6" ht="15.75" customHeight="1" x14ac:dyDescent="0.25">
      <c r="A240" t="s">
        <v>411</v>
      </c>
      <c r="C240" s="66">
        <v>6453958.5</v>
      </c>
      <c r="D240" s="24">
        <f t="shared" si="7"/>
        <v>4331.5157718120809</v>
      </c>
      <c r="E240" s="50">
        <f t="shared" si="6"/>
        <v>7.6613518484236357E-4</v>
      </c>
      <c r="F240" s="51"/>
    </row>
    <row r="241" spans="1:6" ht="15.75" customHeight="1" x14ac:dyDescent="0.25">
      <c r="A241" t="s">
        <v>829</v>
      </c>
      <c r="C241" s="66">
        <v>5720000</v>
      </c>
      <c r="D241" s="24">
        <f t="shared" si="7"/>
        <v>3838.9261744966443</v>
      </c>
      <c r="E241" s="50">
        <f t="shared" si="6"/>
        <v>6.7900858942590342E-4</v>
      </c>
      <c r="F241" s="51"/>
    </row>
    <row r="242" spans="1:6" ht="15.75" customHeight="1" x14ac:dyDescent="0.25">
      <c r="A242" t="s">
        <v>413</v>
      </c>
      <c r="C242" s="66">
        <v>3458142.73</v>
      </c>
      <c r="D242" s="24">
        <f t="shared" si="7"/>
        <v>2320.9011610738253</v>
      </c>
      <c r="E242" s="50">
        <f t="shared" si="6"/>
        <v>4.1050849949838159E-4</v>
      </c>
      <c r="F242" s="51"/>
    </row>
    <row r="243" spans="1:6" ht="15.75" customHeight="1" x14ac:dyDescent="0.25">
      <c r="A243" t="s">
        <v>415</v>
      </c>
      <c r="C243" s="66">
        <v>23096268</v>
      </c>
      <c r="D243" s="24">
        <f t="shared" si="7"/>
        <v>15500.851006711409</v>
      </c>
      <c r="E243" s="50">
        <f t="shared" si="6"/>
        <v>2.741707055189271E-3</v>
      </c>
      <c r="F243" s="51"/>
    </row>
    <row r="244" spans="1:6" ht="15.75" customHeight="1" x14ac:dyDescent="0.25">
      <c r="A244" t="s">
        <v>1143</v>
      </c>
      <c r="C244" s="66">
        <v>614433</v>
      </c>
      <c r="D244" s="24">
        <f t="shared" si="7"/>
        <v>412.3711409395973</v>
      </c>
      <c r="E244" s="50">
        <f t="shared" si="6"/>
        <v>7.2937986822854209E-5</v>
      </c>
      <c r="F244" s="51"/>
    </row>
    <row r="245" spans="1:6" ht="15.75" customHeight="1" x14ac:dyDescent="0.25">
      <c r="A245" t="s">
        <v>417</v>
      </c>
      <c r="C245" s="66">
        <v>5803317.2999999998</v>
      </c>
      <c r="D245" s="24">
        <f t="shared" si="7"/>
        <v>3894.8438255033557</v>
      </c>
      <c r="E245" s="50">
        <f t="shared" si="6"/>
        <v>6.8889900242376614E-4</v>
      </c>
      <c r="F245" s="51"/>
    </row>
    <row r="246" spans="1:6" ht="15.75" customHeight="1" x14ac:dyDescent="0.25">
      <c r="A246" t="s">
        <v>831</v>
      </c>
      <c r="C246" s="66">
        <v>4413045.32</v>
      </c>
      <c r="D246" s="24">
        <f t="shared" si="7"/>
        <v>2961.775382550336</v>
      </c>
      <c r="E246" s="50">
        <f t="shared" si="6"/>
        <v>5.2386288073527707E-4</v>
      </c>
      <c r="F246" s="51"/>
    </row>
    <row r="247" spans="1:6" ht="15.75" customHeight="1" x14ac:dyDescent="0.25">
      <c r="A247" t="s">
        <v>1145</v>
      </c>
      <c r="C247" s="66">
        <v>400000</v>
      </c>
      <c r="D247" s="24">
        <f t="shared" si="7"/>
        <v>268.45637583892619</v>
      </c>
      <c r="E247" s="50">
        <f t="shared" si="6"/>
        <v>4.7483118141671568E-5</v>
      </c>
      <c r="F247" s="51"/>
    </row>
    <row r="248" spans="1:6" ht="15.75" customHeight="1" x14ac:dyDescent="0.25">
      <c r="A248" t="s">
        <v>419</v>
      </c>
      <c r="C248" s="66">
        <v>3896322.07</v>
      </c>
      <c r="D248" s="24">
        <f t="shared" si="7"/>
        <v>2614.9812550335569</v>
      </c>
      <c r="E248" s="50">
        <f t="shared" si="6"/>
        <v>4.6252380291953078E-4</v>
      </c>
      <c r="F248" s="51"/>
    </row>
    <row r="249" spans="1:6" ht="15.75" customHeight="1" x14ac:dyDescent="0.25">
      <c r="A249" t="s">
        <v>1149</v>
      </c>
      <c r="C249" s="66">
        <v>1610000</v>
      </c>
      <c r="D249" s="24">
        <f t="shared" si="7"/>
        <v>1080.5369127516778</v>
      </c>
      <c r="E249" s="50">
        <f t="shared" si="6"/>
        <v>1.9111955052022805E-4</v>
      </c>
      <c r="F249" s="51"/>
    </row>
    <row r="250" spans="1:6" ht="15.75" customHeight="1" x14ac:dyDescent="0.25">
      <c r="A250" t="s">
        <v>981</v>
      </c>
      <c r="C250" s="66">
        <v>223018.68</v>
      </c>
      <c r="D250" s="24">
        <f t="shared" si="7"/>
        <v>149.67696644295302</v>
      </c>
      <c r="E250" s="50">
        <f t="shared" si="6"/>
        <v>2.6474055825599115E-5</v>
      </c>
      <c r="F250" s="51"/>
    </row>
    <row r="251" spans="1:6" ht="15.75" customHeight="1" x14ac:dyDescent="0.25">
      <c r="A251" t="s">
        <v>423</v>
      </c>
      <c r="C251" s="66">
        <v>1101950</v>
      </c>
      <c r="D251" s="24">
        <f t="shared" si="7"/>
        <v>739.56375838926169</v>
      </c>
      <c r="E251" s="50">
        <f t="shared" si="6"/>
        <v>1.3081005509053744E-4</v>
      </c>
      <c r="F251" s="51"/>
    </row>
    <row r="252" spans="1:6" ht="15.75" customHeight="1" x14ac:dyDescent="0.25">
      <c r="A252" t="s">
        <v>1152</v>
      </c>
      <c r="C252" s="66">
        <v>2057162.9</v>
      </c>
      <c r="D252" s="24">
        <f t="shared" si="7"/>
        <v>1380.6462416107381</v>
      </c>
      <c r="E252" s="50">
        <f t="shared" si="6"/>
        <v>2.4420127254340922E-4</v>
      </c>
      <c r="F252" s="51"/>
    </row>
    <row r="253" spans="1:6" ht="15.75" customHeight="1" x14ac:dyDescent="0.25">
      <c r="A253" t="s">
        <v>982</v>
      </c>
      <c r="C253" s="66">
        <v>3791052</v>
      </c>
      <c r="D253" s="24">
        <f t="shared" si="7"/>
        <v>2544.3302013422817</v>
      </c>
      <c r="E253" s="50">
        <f t="shared" si="6"/>
        <v>4.5002742499305066E-4</v>
      </c>
      <c r="F253" s="51"/>
    </row>
    <row r="254" spans="1:6" ht="15.75" customHeight="1" x14ac:dyDescent="0.25">
      <c r="A254" t="s">
        <v>425</v>
      </c>
      <c r="C254" s="66">
        <v>8239140</v>
      </c>
      <c r="D254" s="24">
        <f t="shared" si="7"/>
        <v>5529.6241610738252</v>
      </c>
      <c r="E254" s="50">
        <f t="shared" si="6"/>
        <v>9.7805014501442956E-4</v>
      </c>
      <c r="F254" s="51"/>
    </row>
    <row r="255" spans="1:6" ht="15.75" customHeight="1" x14ac:dyDescent="0.25">
      <c r="A255" t="s">
        <v>1155</v>
      </c>
      <c r="C255" s="66">
        <v>1635000</v>
      </c>
      <c r="D255" s="24">
        <f t="shared" si="7"/>
        <v>1097.3154362416108</v>
      </c>
      <c r="E255" s="50">
        <f t="shared" si="6"/>
        <v>1.9408724540408254E-4</v>
      </c>
      <c r="F255" s="51"/>
    </row>
    <row r="256" spans="1:6" ht="15.75" customHeight="1" x14ac:dyDescent="0.25">
      <c r="A256" t="s">
        <v>914</v>
      </c>
      <c r="C256" s="66">
        <v>2904000</v>
      </c>
      <c r="D256" s="24">
        <f t="shared" si="7"/>
        <v>1948.9932885906039</v>
      </c>
      <c r="E256" s="50">
        <f t="shared" si="6"/>
        <v>3.4472743770853556E-4</v>
      </c>
      <c r="F256" s="51"/>
    </row>
    <row r="257" spans="1:6" ht="15.75" customHeight="1" x14ac:dyDescent="0.25">
      <c r="A257" t="s">
        <v>427</v>
      </c>
      <c r="C257" s="66">
        <v>13515139</v>
      </c>
      <c r="D257" s="24">
        <f t="shared" si="7"/>
        <v>9070.5630872483216</v>
      </c>
      <c r="E257" s="50">
        <f t="shared" si="6"/>
        <v>1.6043523545952823E-3</v>
      </c>
      <c r="F257" s="51"/>
    </row>
    <row r="258" spans="1:6" ht="15.75" customHeight="1" x14ac:dyDescent="0.25">
      <c r="A258" t="s">
        <v>429</v>
      </c>
      <c r="C258" s="66">
        <v>3042544</v>
      </c>
      <c r="D258" s="24">
        <f t="shared" si="7"/>
        <v>2041.9758389261744</v>
      </c>
      <c r="E258" s="50">
        <f t="shared" si="6"/>
        <v>3.6117369050808496E-4</v>
      </c>
      <c r="F258" s="51"/>
    </row>
    <row r="259" spans="1:6" ht="15.75" customHeight="1" x14ac:dyDescent="0.25">
      <c r="A259" t="s">
        <v>431</v>
      </c>
      <c r="C259" s="66">
        <v>5488941</v>
      </c>
      <c r="D259" s="24">
        <f t="shared" si="7"/>
        <v>3683.8530201342282</v>
      </c>
      <c r="E259" s="50">
        <f t="shared" si="6"/>
        <v>6.5158008493916217E-4</v>
      </c>
      <c r="F259" s="51"/>
    </row>
    <row r="260" spans="1:6" ht="15.75" customHeight="1" x14ac:dyDescent="0.25">
      <c r="A260" t="s">
        <v>433</v>
      </c>
      <c r="C260" s="66">
        <v>1074310</v>
      </c>
      <c r="D260" s="24">
        <f t="shared" si="7"/>
        <v>721.01342281879192</v>
      </c>
      <c r="E260" s="50">
        <f t="shared" si="6"/>
        <v>1.2752897162694794E-4</v>
      </c>
      <c r="F260" s="51"/>
    </row>
    <row r="261" spans="1:6" ht="15.75" customHeight="1" x14ac:dyDescent="0.25">
      <c r="A261" t="s">
        <v>1157</v>
      </c>
      <c r="C261" s="66">
        <v>358644</v>
      </c>
      <c r="D261" s="24">
        <f t="shared" si="7"/>
        <v>240.70067114093959</v>
      </c>
      <c r="E261" s="50">
        <f t="shared" ref="E261:E281" si="8">+D261/$D$320</f>
        <v>4.2573838557004143E-5</v>
      </c>
      <c r="F261" s="51"/>
    </row>
    <row r="262" spans="1:6" ht="15.75" customHeight="1" x14ac:dyDescent="0.25">
      <c r="A262" t="s">
        <v>1161</v>
      </c>
      <c r="C262" s="66">
        <v>254000</v>
      </c>
      <c r="D262" s="24">
        <f t="shared" ref="D262:D317" si="9">+C262/$D$3</f>
        <v>170.46979865771812</v>
      </c>
      <c r="E262" s="50">
        <f t="shared" si="8"/>
        <v>3.0151780019961446E-5</v>
      </c>
      <c r="F262" s="51"/>
    </row>
    <row r="263" spans="1:6" ht="15.75" customHeight="1" x14ac:dyDescent="0.25">
      <c r="A263" t="s">
        <v>787</v>
      </c>
      <c r="C263" s="66">
        <v>824722.02</v>
      </c>
      <c r="D263" s="24">
        <f t="shared" si="9"/>
        <v>553.50471140939601</v>
      </c>
      <c r="E263" s="50">
        <f t="shared" si="8"/>
        <v>9.7900932774245059E-5</v>
      </c>
      <c r="F263" s="51"/>
    </row>
    <row r="264" spans="1:6" ht="15.75" customHeight="1" x14ac:dyDescent="0.25">
      <c r="A264" t="s">
        <v>789</v>
      </c>
      <c r="C264" s="66">
        <v>20073900</v>
      </c>
      <c r="D264" s="24">
        <f t="shared" si="9"/>
        <v>13472.416107382551</v>
      </c>
      <c r="E264" s="50">
        <f t="shared" si="8"/>
        <v>2.3829284131602524E-3</v>
      </c>
      <c r="F264" s="51"/>
    </row>
    <row r="265" spans="1:6" ht="15.75" customHeight="1" x14ac:dyDescent="0.25">
      <c r="A265" t="s">
        <v>983</v>
      </c>
      <c r="C265" s="66">
        <v>969046260</v>
      </c>
      <c r="D265" s="24">
        <f t="shared" si="9"/>
        <v>650366.61744966439</v>
      </c>
      <c r="E265" s="50">
        <f t="shared" si="8"/>
        <v>0.11503334512081245</v>
      </c>
      <c r="F265" s="51"/>
    </row>
    <row r="266" spans="1:6" ht="15.75" customHeight="1" x14ac:dyDescent="0.25">
      <c r="A266" t="s">
        <v>516</v>
      </c>
      <c r="C266" s="66">
        <v>430950</v>
      </c>
      <c r="D266" s="24">
        <f t="shared" si="9"/>
        <v>289.2281879194631</v>
      </c>
      <c r="E266" s="50">
        <f t="shared" si="8"/>
        <v>5.1157124407883407E-5</v>
      </c>
      <c r="F266" s="51"/>
    </row>
    <row r="267" spans="1:6" ht="15.75" customHeight="1" x14ac:dyDescent="0.25">
      <c r="A267" t="s">
        <v>435</v>
      </c>
      <c r="C267" s="66">
        <v>4717947.8</v>
      </c>
      <c r="D267" s="24">
        <f t="shared" si="9"/>
        <v>3166.4079194630872</v>
      </c>
      <c r="E267" s="50">
        <f t="shared" si="8"/>
        <v>5.6005718193409863E-4</v>
      </c>
      <c r="F267" s="51"/>
    </row>
    <row r="268" spans="1:6" ht="15.75" customHeight="1" x14ac:dyDescent="0.25">
      <c r="A268" t="s">
        <v>984</v>
      </c>
      <c r="C268" s="66">
        <v>2395826.5499999998</v>
      </c>
      <c r="D268" s="24">
        <f t="shared" si="9"/>
        <v>1607.9372818791944</v>
      </c>
      <c r="E268" s="50">
        <f t="shared" si="8"/>
        <v>2.8440328780150845E-4</v>
      </c>
      <c r="F268" s="51"/>
    </row>
    <row r="269" spans="1:6" ht="15.75" customHeight="1" x14ac:dyDescent="0.25">
      <c r="A269" t="s">
        <v>437</v>
      </c>
      <c r="C269" s="66">
        <v>71404000</v>
      </c>
      <c r="D269" s="24">
        <f t="shared" si="9"/>
        <v>47922.147651006715</v>
      </c>
      <c r="E269" s="50">
        <f t="shared" si="8"/>
        <v>8.4762114194697914E-3</v>
      </c>
      <c r="F269" s="51"/>
    </row>
    <row r="270" spans="1:6" ht="15.75" customHeight="1" x14ac:dyDescent="0.25">
      <c r="A270" t="s">
        <v>439</v>
      </c>
      <c r="C270" s="66">
        <v>8115779.6100000003</v>
      </c>
      <c r="D270" s="24">
        <f t="shared" si="9"/>
        <v>5446.8319530201343</v>
      </c>
      <c r="E270" s="50">
        <f t="shared" si="8"/>
        <v>9.6340630508349805E-4</v>
      </c>
      <c r="F270" s="51"/>
    </row>
    <row r="271" spans="1:6" ht="15.75" customHeight="1" x14ac:dyDescent="0.25">
      <c r="A271" t="s">
        <v>445</v>
      </c>
      <c r="C271" s="66">
        <v>25876207.34</v>
      </c>
      <c r="D271" s="24">
        <f t="shared" si="9"/>
        <v>17366.58210738255</v>
      </c>
      <c r="E271" s="50">
        <f t="shared" si="8"/>
        <v>3.0717075254590226E-3</v>
      </c>
      <c r="F271" s="51"/>
    </row>
    <row r="272" spans="1:6" ht="15.75" customHeight="1" x14ac:dyDescent="0.25">
      <c r="A272" t="s">
        <v>520</v>
      </c>
      <c r="C272" s="66">
        <v>2514500</v>
      </c>
      <c r="D272" s="24">
        <f t="shared" si="9"/>
        <v>1687.5838926174497</v>
      </c>
      <c r="E272" s="50">
        <f t="shared" si="8"/>
        <v>2.9849075141808292E-4</v>
      </c>
      <c r="F272" s="51"/>
    </row>
    <row r="273" spans="1:6" ht="15.75" customHeight="1" x14ac:dyDescent="0.25">
      <c r="A273" t="s">
        <v>447</v>
      </c>
      <c r="C273" s="66">
        <v>1331</v>
      </c>
      <c r="D273" s="24">
        <f t="shared" si="9"/>
        <v>0.89328859060402688</v>
      </c>
      <c r="E273" s="50">
        <f t="shared" si="8"/>
        <v>1.5800007561641215E-7</v>
      </c>
      <c r="F273" s="51"/>
    </row>
    <row r="274" spans="1:6" ht="15.75" customHeight="1" x14ac:dyDescent="0.25">
      <c r="A274" t="s">
        <v>985</v>
      </c>
      <c r="C274" s="66">
        <v>6385790</v>
      </c>
      <c r="D274" s="24">
        <f t="shared" si="9"/>
        <v>4285.7651006711412</v>
      </c>
      <c r="E274" s="50">
        <f t="shared" si="8"/>
        <v>7.5804305249476225E-4</v>
      </c>
      <c r="F274" s="51"/>
    </row>
    <row r="275" spans="1:6" ht="15.75" customHeight="1" x14ac:dyDescent="0.25">
      <c r="A275" t="s">
        <v>449</v>
      </c>
      <c r="C275" s="66">
        <v>1367729.69</v>
      </c>
      <c r="D275" s="24">
        <f t="shared" si="9"/>
        <v>917.93938926174496</v>
      </c>
      <c r="E275" s="50">
        <f t="shared" si="8"/>
        <v>1.6236017614035456E-4</v>
      </c>
      <c r="F275" s="51"/>
    </row>
    <row r="276" spans="1:6" ht="15.75" customHeight="1" x14ac:dyDescent="0.25">
      <c r="A276" t="s">
        <v>833</v>
      </c>
      <c r="C276" s="66">
        <v>16710011.470000001</v>
      </c>
      <c r="D276" s="24">
        <f t="shared" si="9"/>
        <v>11214.772798657719</v>
      </c>
      <c r="E276" s="50">
        <f t="shared" si="8"/>
        <v>1.9836086219467428E-3</v>
      </c>
      <c r="F276" s="51"/>
    </row>
    <row r="277" spans="1:6" ht="15.75" customHeight="1" x14ac:dyDescent="0.25">
      <c r="A277" t="s">
        <v>1165</v>
      </c>
      <c r="C277" s="66">
        <v>380000</v>
      </c>
      <c r="D277" s="24">
        <f t="shared" si="9"/>
        <v>255.03355704697987</v>
      </c>
      <c r="E277" s="50">
        <f t="shared" si="8"/>
        <v>4.5108962234587991E-5</v>
      </c>
      <c r="F277" s="51"/>
    </row>
    <row r="278" spans="1:6" ht="15.75" customHeight="1" x14ac:dyDescent="0.25">
      <c r="A278" t="s">
        <v>451</v>
      </c>
      <c r="C278" s="66">
        <v>1190640</v>
      </c>
      <c r="D278" s="24">
        <f t="shared" si="9"/>
        <v>799.08724832214762</v>
      </c>
      <c r="E278" s="50">
        <f t="shared" si="8"/>
        <v>1.4133824946049959E-4</v>
      </c>
      <c r="F278" s="51"/>
    </row>
    <row r="279" spans="1:6" ht="15.75" customHeight="1" x14ac:dyDescent="0.25">
      <c r="A279" t="s">
        <v>453</v>
      </c>
      <c r="C279" s="66">
        <v>43437211.020000003</v>
      </c>
      <c r="D279" s="24">
        <f t="shared" si="9"/>
        <v>29152.490617449668</v>
      </c>
      <c r="E279" s="50">
        <f t="shared" si="8"/>
        <v>5.1563355565184456E-3</v>
      </c>
      <c r="F279" s="51"/>
    </row>
    <row r="280" spans="1:6" ht="15.75" customHeight="1" x14ac:dyDescent="0.25">
      <c r="A280" t="s">
        <v>793</v>
      </c>
      <c r="C280" s="66">
        <v>1262028.42</v>
      </c>
      <c r="D280" s="24">
        <f t="shared" si="9"/>
        <v>846.99893959731537</v>
      </c>
      <c r="E280" s="50">
        <f t="shared" si="8"/>
        <v>1.4981261141251776E-4</v>
      </c>
      <c r="F280" s="51"/>
    </row>
    <row r="281" spans="1:6" ht="15.75" customHeight="1" x14ac:dyDescent="0.25">
      <c r="A281" t="s">
        <v>795</v>
      </c>
      <c r="C281" s="66">
        <v>1024492.15</v>
      </c>
      <c r="D281" s="24">
        <f t="shared" si="9"/>
        <v>687.57862416107389</v>
      </c>
      <c r="E281" s="50">
        <f t="shared" si="8"/>
        <v>1.2161520448416278E-4</v>
      </c>
      <c r="F281" s="51"/>
    </row>
    <row r="282" spans="1:6" ht="15.75" customHeight="1" x14ac:dyDescent="0.25">
      <c r="A282" t="s">
        <v>522</v>
      </c>
      <c r="C282" s="66">
        <v>1411979.12</v>
      </c>
      <c r="D282" s="24">
        <f t="shared" si="9"/>
        <v>947.6369932885907</v>
      </c>
      <c r="E282" s="50">
        <f>+D282/$D$320</f>
        <v>1.6761292842133366E-4</v>
      </c>
      <c r="F282" s="51"/>
    </row>
    <row r="283" spans="1:6" ht="15.75" customHeight="1" x14ac:dyDescent="0.25">
      <c r="A283" t="s">
        <v>455</v>
      </c>
      <c r="C283" s="66">
        <v>395640</v>
      </c>
      <c r="D283" s="24">
        <f t="shared" si="9"/>
        <v>265.53020134228188</v>
      </c>
      <c r="E283" s="50">
        <f t="shared" ref="E283:E317" si="10">+D283/$D$320</f>
        <v>4.6965552153927345E-5</v>
      </c>
      <c r="F283" s="51"/>
    </row>
    <row r="284" spans="1:6" ht="15.75" customHeight="1" x14ac:dyDescent="0.25">
      <c r="A284" t="s">
        <v>986</v>
      </c>
      <c r="C284" s="66">
        <v>901495</v>
      </c>
      <c r="D284" s="24">
        <f t="shared" si="9"/>
        <v>605.03020134228188</v>
      </c>
      <c r="E284" s="50">
        <f t="shared" si="10"/>
        <v>1.0701448397281552E-4</v>
      </c>
      <c r="F284" s="51"/>
    </row>
    <row r="285" spans="1:6" ht="15.75" customHeight="1" x14ac:dyDescent="0.25">
      <c r="A285" t="s">
        <v>459</v>
      </c>
      <c r="C285" s="66">
        <v>18417840</v>
      </c>
      <c r="D285" s="24">
        <f t="shared" si="9"/>
        <v>12360.96644295302</v>
      </c>
      <c r="E285" s="50">
        <f t="shared" si="10"/>
        <v>2.1863411815860106E-3</v>
      </c>
      <c r="F285" s="51"/>
    </row>
    <row r="286" spans="1:6" ht="15.75" customHeight="1" x14ac:dyDescent="0.25">
      <c r="A286" t="s">
        <v>987</v>
      </c>
      <c r="C286" s="66">
        <v>36072.33</v>
      </c>
      <c r="D286" s="24">
        <f t="shared" si="9"/>
        <v>24.209617449664432</v>
      </c>
      <c r="E286" s="50">
        <f t="shared" si="10"/>
        <v>4.2820667675884095E-6</v>
      </c>
      <c r="F286" s="51"/>
    </row>
    <row r="287" spans="1:6" ht="15.75" customHeight="1" x14ac:dyDescent="0.25">
      <c r="A287" t="s">
        <v>1169</v>
      </c>
      <c r="C287" s="66">
        <v>2237542.67</v>
      </c>
      <c r="D287" s="24">
        <f t="shared" si="9"/>
        <v>1501.7064899328859</v>
      </c>
      <c r="E287" s="50">
        <f t="shared" si="10"/>
        <v>2.6561375736660307E-4</v>
      </c>
      <c r="F287" s="51"/>
    </row>
    <row r="288" spans="1:6" ht="15.75" customHeight="1" x14ac:dyDescent="0.25">
      <c r="A288" t="s">
        <v>988</v>
      </c>
      <c r="C288" s="66">
        <v>1103520</v>
      </c>
      <c r="D288" s="24">
        <f t="shared" si="9"/>
        <v>740.6174496644295</v>
      </c>
      <c r="E288" s="50">
        <f t="shared" si="10"/>
        <v>1.3099642632924351E-4</v>
      </c>
      <c r="F288" s="51"/>
    </row>
    <row r="289" spans="1:6" ht="15.75" customHeight="1" x14ac:dyDescent="0.25">
      <c r="A289" t="s">
        <v>461</v>
      </c>
      <c r="C289" s="66">
        <v>95000</v>
      </c>
      <c r="D289" s="24">
        <f t="shared" si="9"/>
        <v>63.758389261744966</v>
      </c>
      <c r="E289" s="50">
        <f t="shared" si="10"/>
        <v>1.1277240558646998E-5</v>
      </c>
      <c r="F289" s="51"/>
    </row>
    <row r="290" spans="1:6" ht="15.75" customHeight="1" x14ac:dyDescent="0.25">
      <c r="A290" t="s">
        <v>989</v>
      </c>
      <c r="C290" s="66">
        <v>827882</v>
      </c>
      <c r="D290" s="24">
        <f t="shared" si="9"/>
        <v>555.62550335570472</v>
      </c>
      <c r="E290" s="50">
        <f t="shared" si="10"/>
        <v>9.8276047033408356E-5</v>
      </c>
      <c r="F290" s="51"/>
    </row>
    <row r="291" spans="1:6" ht="15.75" customHeight="1" x14ac:dyDescent="0.25">
      <c r="A291" t="s">
        <v>701</v>
      </c>
      <c r="C291" s="66">
        <v>4443176.42</v>
      </c>
      <c r="D291" s="24">
        <f t="shared" si="9"/>
        <v>2981.997597315436</v>
      </c>
      <c r="E291" s="50">
        <f t="shared" si="10"/>
        <v>5.2743967718787326E-4</v>
      </c>
      <c r="F291" s="51"/>
    </row>
    <row r="292" spans="1:6" ht="15.75" customHeight="1" x14ac:dyDescent="0.25">
      <c r="A292" t="s">
        <v>463</v>
      </c>
      <c r="C292" s="66">
        <v>5712413.1900000004</v>
      </c>
      <c r="D292" s="24">
        <f t="shared" si="9"/>
        <v>3833.8343557046983</v>
      </c>
      <c r="E292" s="50">
        <f t="shared" si="10"/>
        <v>6.7810797593703242E-4</v>
      </c>
      <c r="F292" s="51"/>
    </row>
    <row r="293" spans="1:6" ht="15.75" customHeight="1" x14ac:dyDescent="0.25">
      <c r="A293" t="s">
        <v>465</v>
      </c>
      <c r="C293" s="66">
        <v>1273706.24</v>
      </c>
      <c r="D293" s="24">
        <f t="shared" si="9"/>
        <v>854.83640268456372</v>
      </c>
      <c r="E293" s="50">
        <f t="shared" si="10"/>
        <v>1.5119885967926071E-4</v>
      </c>
      <c r="F293" s="51"/>
    </row>
    <row r="294" spans="1:6" ht="15.75" customHeight="1" x14ac:dyDescent="0.25">
      <c r="A294" t="s">
        <v>990</v>
      </c>
      <c r="C294" s="66">
        <v>18000000</v>
      </c>
      <c r="D294" s="24">
        <f t="shared" si="9"/>
        <v>12080.536912751679</v>
      </c>
      <c r="E294" s="50">
        <f t="shared" si="10"/>
        <v>2.1367403163752205E-3</v>
      </c>
      <c r="F294" s="51"/>
    </row>
    <row r="295" spans="1:6" ht="15.75" customHeight="1" x14ac:dyDescent="0.25">
      <c r="A295" t="s">
        <v>467</v>
      </c>
      <c r="C295" s="66">
        <v>589028</v>
      </c>
      <c r="D295" s="24">
        <f t="shared" si="9"/>
        <v>395.32080536912753</v>
      </c>
      <c r="E295" s="50">
        <f t="shared" si="10"/>
        <v>6.9922215281881296E-5</v>
      </c>
      <c r="F295" s="51"/>
    </row>
    <row r="296" spans="1:6" ht="15.75" customHeight="1" x14ac:dyDescent="0.25">
      <c r="A296" t="s">
        <v>991</v>
      </c>
      <c r="C296" s="66">
        <v>14907200</v>
      </c>
      <c r="D296" s="24">
        <f t="shared" si="9"/>
        <v>10004.832214765102</v>
      </c>
      <c r="E296" s="50">
        <f t="shared" si="10"/>
        <v>1.769600846903816E-3</v>
      </c>
      <c r="F296" s="51"/>
    </row>
    <row r="297" spans="1:6" ht="15.75" customHeight="1" x14ac:dyDescent="0.25">
      <c r="A297" t="s">
        <v>920</v>
      </c>
      <c r="C297" s="66">
        <v>75020000</v>
      </c>
      <c r="D297" s="24">
        <f t="shared" si="9"/>
        <v>50348.993288590602</v>
      </c>
      <c r="E297" s="50">
        <f t="shared" si="10"/>
        <v>8.9054588074705017E-3</v>
      </c>
      <c r="F297" s="51"/>
    </row>
    <row r="298" spans="1:6" ht="15.75" customHeight="1" x14ac:dyDescent="0.25">
      <c r="A298" t="s">
        <v>992</v>
      </c>
      <c r="C298" s="66">
        <v>13210715.300000001</v>
      </c>
      <c r="D298" s="24">
        <f t="shared" si="9"/>
        <v>8866.2518791946313</v>
      </c>
      <c r="E298" s="50">
        <f t="shared" si="10"/>
        <v>1.5682148883147205E-3</v>
      </c>
      <c r="F298" s="51"/>
    </row>
    <row r="299" spans="1:6" ht="15.75" customHeight="1" x14ac:dyDescent="0.25">
      <c r="A299" t="s">
        <v>526</v>
      </c>
      <c r="C299" s="66">
        <v>5659073.4900000002</v>
      </c>
      <c r="D299" s="24">
        <f t="shared" si="9"/>
        <v>3798.0358993288592</v>
      </c>
      <c r="E299" s="50">
        <f t="shared" si="10"/>
        <v>6.717761377451791E-4</v>
      </c>
      <c r="F299" s="51"/>
    </row>
    <row r="300" spans="1:6" ht="15.75" customHeight="1" x14ac:dyDescent="0.25">
      <c r="A300" t="s">
        <v>469</v>
      </c>
      <c r="C300" s="66">
        <v>-653801.14</v>
      </c>
      <c r="D300" s="24">
        <f t="shared" si="9"/>
        <v>-438.79271140939596</v>
      </c>
      <c r="E300" s="50">
        <f t="shared" si="10"/>
        <v>-7.7611291929448876E-5</v>
      </c>
      <c r="F300" s="51"/>
    </row>
    <row r="301" spans="1:6" ht="15.75" customHeight="1" x14ac:dyDescent="0.25">
      <c r="A301" t="s">
        <v>528</v>
      </c>
      <c r="C301" s="66">
        <v>693801.12</v>
      </c>
      <c r="D301" s="24">
        <f t="shared" si="9"/>
        <v>465.63833557046979</v>
      </c>
      <c r="E301" s="50">
        <f t="shared" si="10"/>
        <v>8.2359601369460131E-5</v>
      </c>
      <c r="F301" s="51"/>
    </row>
    <row r="302" spans="1:6" ht="15.75" customHeight="1" x14ac:dyDescent="0.25">
      <c r="A302" t="s">
        <v>471</v>
      </c>
      <c r="C302" s="66">
        <v>8279956.1900000004</v>
      </c>
      <c r="D302" s="24">
        <f t="shared" si="9"/>
        <v>5557.0175771812083</v>
      </c>
      <c r="E302" s="50">
        <f t="shared" si="10"/>
        <v>9.8289534494408709E-4</v>
      </c>
      <c r="F302" s="51"/>
    </row>
    <row r="303" spans="1:6" ht="15.75" customHeight="1" x14ac:dyDescent="0.25">
      <c r="A303" t="s">
        <v>473</v>
      </c>
      <c r="C303" s="66">
        <v>57224772.950000003</v>
      </c>
      <c r="D303" s="24">
        <f t="shared" si="9"/>
        <v>38405.887885906042</v>
      </c>
      <c r="E303" s="50">
        <f t="shared" si="10"/>
        <v>6.793026636537954E-3</v>
      </c>
      <c r="F303" s="51"/>
    </row>
    <row r="304" spans="1:6" ht="15.75" customHeight="1" x14ac:dyDescent="0.25">
      <c r="A304" t="s">
        <v>1176</v>
      </c>
      <c r="C304" s="66">
        <v>298320</v>
      </c>
      <c r="D304" s="24">
        <f t="shared" si="9"/>
        <v>200.21476510067114</v>
      </c>
      <c r="E304" s="50">
        <f t="shared" si="10"/>
        <v>3.5412909510058656E-5</v>
      </c>
      <c r="F304" s="51"/>
    </row>
    <row r="305" spans="1:6" ht="15.75" customHeight="1" x14ac:dyDescent="0.25">
      <c r="A305" t="s">
        <v>1180</v>
      </c>
      <c r="C305" s="66">
        <v>5060704</v>
      </c>
      <c r="D305" s="24">
        <f t="shared" si="9"/>
        <v>3396.4456375838927</v>
      </c>
      <c r="E305" s="50">
        <f t="shared" si="10"/>
        <v>6.007450147800747E-4</v>
      </c>
      <c r="F305" s="51"/>
    </row>
    <row r="306" spans="1:6" ht="15.75" customHeight="1" x14ac:dyDescent="0.25">
      <c r="A306" t="s">
        <v>993</v>
      </c>
      <c r="C306" s="66">
        <v>21500000</v>
      </c>
      <c r="D306" s="24">
        <f t="shared" si="9"/>
        <v>14429.530201342282</v>
      </c>
      <c r="E306" s="50">
        <f t="shared" si="10"/>
        <v>2.552217600114847E-3</v>
      </c>
      <c r="F306" s="51"/>
    </row>
    <row r="307" spans="1:6" ht="15.75" customHeight="1" x14ac:dyDescent="0.25">
      <c r="A307" t="s">
        <v>994</v>
      </c>
      <c r="C307" s="66">
        <v>7979024.2999999998</v>
      </c>
      <c r="D307" s="24">
        <f t="shared" si="9"/>
        <v>5355.0498657718117</v>
      </c>
      <c r="E307" s="50">
        <f t="shared" si="10"/>
        <v>9.4717238373042063E-4</v>
      </c>
      <c r="F307" s="51"/>
    </row>
    <row r="308" spans="1:6" ht="15.75" customHeight="1" x14ac:dyDescent="0.25">
      <c r="A308" t="s">
        <v>922</v>
      </c>
      <c r="C308" s="66">
        <v>12309608.539999999</v>
      </c>
      <c r="D308" s="24">
        <f t="shared" si="9"/>
        <v>8261.4822416107381</v>
      </c>
      <c r="E308" s="50">
        <f t="shared" si="10"/>
        <v>1.461246491456373E-3</v>
      </c>
      <c r="F308" s="51"/>
    </row>
    <row r="309" spans="1:6" ht="15.75" customHeight="1" x14ac:dyDescent="0.25">
      <c r="A309" t="s">
        <v>475</v>
      </c>
      <c r="C309" s="66">
        <v>91234594</v>
      </c>
      <c r="D309" s="24">
        <f t="shared" si="9"/>
        <v>61231.2711409396</v>
      </c>
      <c r="E309" s="50">
        <f t="shared" si="10"/>
        <v>1.0830257513773601E-2</v>
      </c>
      <c r="F309" s="51"/>
    </row>
    <row r="310" spans="1:6" ht="15.75" customHeight="1" x14ac:dyDescent="0.25">
      <c r="A310" t="s">
        <v>477</v>
      </c>
      <c r="C310" s="66">
        <v>148306730.25</v>
      </c>
      <c r="D310" s="24">
        <f t="shared" si="9"/>
        <v>99534.718288590608</v>
      </c>
      <c r="E310" s="50">
        <f t="shared" si="10"/>
        <v>1.7605164984164416E-2</v>
      </c>
      <c r="F310" s="51"/>
    </row>
    <row r="311" spans="1:6" ht="15.75" customHeight="1" x14ac:dyDescent="0.25">
      <c r="A311" t="s">
        <v>479</v>
      </c>
      <c r="C311" s="66">
        <v>350416</v>
      </c>
      <c r="D311" s="24">
        <f t="shared" si="9"/>
        <v>235.1785234899329</v>
      </c>
      <c r="E311" s="50">
        <f t="shared" si="10"/>
        <v>4.1597110816829964E-5</v>
      </c>
      <c r="F311" s="51"/>
    </row>
    <row r="312" spans="1:6" ht="15.75" customHeight="1" x14ac:dyDescent="0.25">
      <c r="A312" t="s">
        <v>530</v>
      </c>
      <c r="C312" s="66">
        <v>2212224.91</v>
      </c>
      <c r="D312" s="24">
        <f t="shared" si="9"/>
        <v>1484.7147046979867</v>
      </c>
      <c r="E312" s="50">
        <f t="shared" si="10"/>
        <v>2.626083418936969E-4</v>
      </c>
      <c r="F312" s="51"/>
    </row>
    <row r="313" spans="1:6" ht="15.75" customHeight="1" x14ac:dyDescent="0.25">
      <c r="A313" t="s">
        <v>834</v>
      </c>
      <c r="C313" s="66">
        <v>10644027.65</v>
      </c>
      <c r="D313" s="24">
        <f t="shared" si="9"/>
        <v>7143.6427181208055</v>
      </c>
      <c r="E313" s="50">
        <f t="shared" si="10"/>
        <v>1.263529056020422E-3</v>
      </c>
      <c r="F313" s="51"/>
    </row>
    <row r="314" spans="1:6" ht="15.75" customHeight="1" x14ac:dyDescent="0.25">
      <c r="A314" t="s">
        <v>995</v>
      </c>
      <c r="C314" s="66">
        <v>58266315</v>
      </c>
      <c r="D314" s="24">
        <f t="shared" si="9"/>
        <v>39104.909395973154</v>
      </c>
      <c r="E314" s="50">
        <f t="shared" si="10"/>
        <v>6.9166657970621253E-3</v>
      </c>
      <c r="F314" s="51"/>
    </row>
    <row r="315" spans="1:6" ht="15.75" customHeight="1" x14ac:dyDescent="0.25">
      <c r="A315" t="s">
        <v>996</v>
      </c>
      <c r="C315" s="66">
        <v>11964832.300000001</v>
      </c>
      <c r="D315" s="24">
        <f t="shared" si="9"/>
        <v>8030.0887919463094</v>
      </c>
      <c r="E315" s="50">
        <f t="shared" si="10"/>
        <v>1.42031886411547E-3</v>
      </c>
      <c r="F315" s="51"/>
    </row>
    <row r="316" spans="1:6" ht="15.75" customHeight="1" x14ac:dyDescent="0.25">
      <c r="A316" t="s">
        <v>482</v>
      </c>
      <c r="C316" s="66">
        <v>2923830</v>
      </c>
      <c r="D316" s="24">
        <f t="shared" si="9"/>
        <v>1962.3020134228188</v>
      </c>
      <c r="E316" s="50">
        <f t="shared" si="10"/>
        <v>3.4708141329040896E-4</v>
      </c>
      <c r="F316" s="51"/>
    </row>
    <row r="317" spans="1:6" ht="15.75" customHeight="1" x14ac:dyDescent="0.25">
      <c r="A317" t="s">
        <v>484</v>
      </c>
      <c r="C317" s="66">
        <v>2275860753.29</v>
      </c>
      <c r="D317" s="24">
        <f t="shared" si="9"/>
        <v>1527423.3243557047</v>
      </c>
      <c r="E317" s="50">
        <f t="shared" si="10"/>
        <v>0.27016241255615681</v>
      </c>
      <c r="F317" s="51"/>
    </row>
    <row r="318" spans="1:6" ht="15.75" customHeight="1" x14ac:dyDescent="0.25">
      <c r="C318" s="66"/>
      <c r="D318" s="24"/>
      <c r="E318" s="50"/>
      <c r="F318" s="51"/>
    </row>
    <row r="319" spans="1:6" ht="15.75" customHeight="1" x14ac:dyDescent="0.25">
      <c r="C319" s="66"/>
      <c r="D319" s="24"/>
      <c r="E319" s="50"/>
      <c r="F319" s="51"/>
    </row>
    <row r="320" spans="1:6" ht="18" customHeight="1" x14ac:dyDescent="0.25">
      <c r="A320" s="41" t="s">
        <v>166</v>
      </c>
      <c r="B320" s="42"/>
      <c r="C320" s="43">
        <f>SUM(C5:C317)</f>
        <v>8424046601.2899981</v>
      </c>
      <c r="D320" s="43">
        <f t="shared" ref="D320:E320" si="11">SUM(D5:D317)</f>
        <v>5653722.5512013435</v>
      </c>
      <c r="E320" s="43">
        <f t="shared" si="11"/>
        <v>0.99999999999999967</v>
      </c>
      <c r="F320" s="42"/>
    </row>
    <row r="322" spans="1:6" ht="15" customHeight="1" x14ac:dyDescent="0.25">
      <c r="A322" s="81" t="s">
        <v>167</v>
      </c>
      <c r="B322" s="81"/>
      <c r="C322" s="81"/>
      <c r="D322" s="81"/>
      <c r="E322" s="81"/>
      <c r="F322" s="81"/>
    </row>
    <row r="340" spans="1:11" x14ac:dyDescent="0.25">
      <c r="A340" t="s">
        <v>1006</v>
      </c>
    </row>
    <row r="341" spans="1:11" x14ac:dyDescent="0.25">
      <c r="A341" t="s">
        <v>1007</v>
      </c>
    </row>
    <row r="342" spans="1:11" x14ac:dyDescent="0.25">
      <c r="A342" t="s">
        <v>1008</v>
      </c>
    </row>
    <row r="343" spans="1:11" x14ac:dyDescent="0.25">
      <c r="A343" t="s">
        <v>531</v>
      </c>
      <c r="B343" t="s">
        <v>532</v>
      </c>
      <c r="C343" t="s">
        <v>533</v>
      </c>
      <c r="D343" t="s">
        <v>4</v>
      </c>
      <c r="E343" t="s">
        <v>534</v>
      </c>
      <c r="F343" t="s">
        <v>535</v>
      </c>
      <c r="G343" t="s">
        <v>536</v>
      </c>
      <c r="H343" t="s">
        <v>537</v>
      </c>
      <c r="I343" t="s">
        <v>538</v>
      </c>
      <c r="J343" t="s">
        <v>539</v>
      </c>
      <c r="K343" t="s">
        <v>155</v>
      </c>
    </row>
    <row r="344" spans="1:11" x14ac:dyDescent="0.25">
      <c r="A344" t="s">
        <v>1009</v>
      </c>
      <c r="B344" t="s">
        <v>930</v>
      </c>
      <c r="C344" t="s">
        <v>540</v>
      </c>
      <c r="D344" t="s">
        <v>541</v>
      </c>
      <c r="E344">
        <v>0</v>
      </c>
      <c r="F344" t="s">
        <v>542</v>
      </c>
      <c r="G344">
        <v>515512.3</v>
      </c>
      <c r="H344">
        <v>0</v>
      </c>
      <c r="I344">
        <v>0</v>
      </c>
      <c r="J344">
        <v>0</v>
      </c>
      <c r="K344" s="66">
        <v>515512.3</v>
      </c>
    </row>
    <row r="345" spans="1:11" x14ac:dyDescent="0.25">
      <c r="A345" t="s">
        <v>182</v>
      </c>
      <c r="B345" t="s">
        <v>183</v>
      </c>
      <c r="C345" t="s">
        <v>540</v>
      </c>
      <c r="D345" t="s">
        <v>543</v>
      </c>
      <c r="E345">
        <v>0</v>
      </c>
      <c r="F345" t="s">
        <v>544</v>
      </c>
      <c r="G345">
        <v>0</v>
      </c>
      <c r="H345">
        <v>0</v>
      </c>
      <c r="I345">
        <v>0</v>
      </c>
      <c r="J345">
        <v>0.01</v>
      </c>
      <c r="K345" s="66">
        <v>0.01</v>
      </c>
    </row>
    <row r="346" spans="1:11" x14ac:dyDescent="0.25">
      <c r="A346" t="s">
        <v>184</v>
      </c>
      <c r="B346" t="s">
        <v>185</v>
      </c>
      <c r="C346" t="s">
        <v>540</v>
      </c>
      <c r="D346" t="s">
        <v>545</v>
      </c>
      <c r="E346">
        <v>0</v>
      </c>
      <c r="F346" t="s">
        <v>546</v>
      </c>
      <c r="G346">
        <v>0</v>
      </c>
      <c r="H346">
        <v>0</v>
      </c>
      <c r="I346">
        <v>0</v>
      </c>
      <c r="J346">
        <v>1.08</v>
      </c>
      <c r="K346" s="66">
        <v>1.08</v>
      </c>
    </row>
    <row r="347" spans="1:11" x14ac:dyDescent="0.25">
      <c r="A347" t="s">
        <v>1010</v>
      </c>
      <c r="B347" t="s">
        <v>1011</v>
      </c>
      <c r="C347" t="s">
        <v>540</v>
      </c>
      <c r="D347" t="s">
        <v>1012</v>
      </c>
      <c r="E347">
        <v>425243.61</v>
      </c>
      <c r="F347" t="s">
        <v>1013</v>
      </c>
      <c r="G347">
        <v>0</v>
      </c>
      <c r="H347">
        <v>0</v>
      </c>
      <c r="I347">
        <v>0</v>
      </c>
      <c r="J347">
        <v>0</v>
      </c>
      <c r="K347" s="66">
        <v>425243.61</v>
      </c>
    </row>
    <row r="348" spans="1:11" x14ac:dyDescent="0.25">
      <c r="A348" t="s">
        <v>186</v>
      </c>
      <c r="B348" t="s">
        <v>187</v>
      </c>
      <c r="C348" t="s">
        <v>540</v>
      </c>
      <c r="D348" t="s">
        <v>545</v>
      </c>
      <c r="E348">
        <v>0</v>
      </c>
      <c r="F348" t="s">
        <v>546</v>
      </c>
      <c r="G348">
        <v>1870660</v>
      </c>
      <c r="H348">
        <v>3052406.5</v>
      </c>
      <c r="I348">
        <v>0</v>
      </c>
      <c r="J348">
        <v>0</v>
      </c>
      <c r="K348" s="66">
        <v>4923066.5</v>
      </c>
    </row>
    <row r="349" spans="1:11" x14ac:dyDescent="0.25">
      <c r="A349" t="s">
        <v>188</v>
      </c>
      <c r="B349" t="s">
        <v>189</v>
      </c>
      <c r="C349" t="s">
        <v>540</v>
      </c>
      <c r="D349" t="s">
        <v>547</v>
      </c>
      <c r="E349">
        <v>1838360</v>
      </c>
      <c r="F349" t="s">
        <v>548</v>
      </c>
      <c r="G349">
        <v>87000</v>
      </c>
      <c r="H349">
        <v>0</v>
      </c>
      <c r="I349">
        <v>0</v>
      </c>
      <c r="J349">
        <v>0</v>
      </c>
      <c r="K349" s="66">
        <v>1925360</v>
      </c>
    </row>
    <row r="350" spans="1:11" x14ac:dyDescent="0.25">
      <c r="A350" t="s">
        <v>1014</v>
      </c>
      <c r="B350" t="s">
        <v>931</v>
      </c>
      <c r="C350" t="s">
        <v>540</v>
      </c>
      <c r="D350" t="s">
        <v>549</v>
      </c>
      <c r="E350">
        <v>2766148.88</v>
      </c>
      <c r="F350" t="s">
        <v>550</v>
      </c>
      <c r="G350">
        <v>2758752.76</v>
      </c>
      <c r="H350">
        <v>0</v>
      </c>
      <c r="I350">
        <v>0</v>
      </c>
      <c r="J350">
        <v>0</v>
      </c>
      <c r="K350" s="66">
        <v>5524901.6399999997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1152947.92</v>
      </c>
      <c r="F351" t="s">
        <v>546</v>
      </c>
      <c r="G351">
        <v>4079443.35</v>
      </c>
      <c r="H351">
        <v>1792981.68</v>
      </c>
      <c r="I351">
        <v>0</v>
      </c>
      <c r="J351">
        <v>0</v>
      </c>
      <c r="K351" s="66">
        <v>7025372.9500000002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1451854.8</v>
      </c>
      <c r="H352">
        <v>0</v>
      </c>
      <c r="I352">
        <v>0</v>
      </c>
      <c r="J352">
        <v>0</v>
      </c>
      <c r="K352" s="66">
        <v>1451854.8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5420800</v>
      </c>
      <c r="F353" t="s">
        <v>564</v>
      </c>
      <c r="G353">
        <v>0</v>
      </c>
      <c r="H353">
        <v>0</v>
      </c>
      <c r="I353">
        <v>0</v>
      </c>
      <c r="J353">
        <v>0</v>
      </c>
      <c r="K353" s="66">
        <v>5420800</v>
      </c>
    </row>
    <row r="354" spans="1:11" x14ac:dyDescent="0.25">
      <c r="A354" t="s">
        <v>716</v>
      </c>
      <c r="B354" t="s">
        <v>717</v>
      </c>
      <c r="C354" t="s">
        <v>540</v>
      </c>
      <c r="D354" t="s">
        <v>559</v>
      </c>
      <c r="E354">
        <v>1443361.6</v>
      </c>
      <c r="F354" t="s">
        <v>560</v>
      </c>
      <c r="G354">
        <v>0</v>
      </c>
      <c r="H354">
        <v>0</v>
      </c>
      <c r="I354">
        <v>0</v>
      </c>
      <c r="J354">
        <v>0</v>
      </c>
      <c r="K354" s="66">
        <v>1443361.6</v>
      </c>
    </row>
    <row r="355" spans="1:11" x14ac:dyDescent="0.25">
      <c r="A355" t="s">
        <v>485</v>
      </c>
      <c r="B355" t="s">
        <v>486</v>
      </c>
      <c r="C355" t="s">
        <v>540</v>
      </c>
      <c r="D355" t="s">
        <v>551</v>
      </c>
      <c r="E355">
        <v>0</v>
      </c>
      <c r="F355" t="s">
        <v>552</v>
      </c>
      <c r="G355">
        <v>2097427.31</v>
      </c>
      <c r="H355">
        <v>1306192.58</v>
      </c>
      <c r="I355">
        <v>0</v>
      </c>
      <c r="J355">
        <v>0</v>
      </c>
      <c r="K355" s="66">
        <v>3403619.89</v>
      </c>
    </row>
    <row r="356" spans="1:11" x14ac:dyDescent="0.25">
      <c r="A356" t="s">
        <v>1015</v>
      </c>
      <c r="B356" t="s">
        <v>932</v>
      </c>
      <c r="C356" t="s">
        <v>540</v>
      </c>
      <c r="D356" t="s">
        <v>677</v>
      </c>
      <c r="E356">
        <v>0</v>
      </c>
      <c r="F356" t="s">
        <v>678</v>
      </c>
      <c r="G356">
        <v>0</v>
      </c>
      <c r="H356">
        <v>1717000</v>
      </c>
      <c r="I356">
        <v>0</v>
      </c>
      <c r="J356">
        <v>0</v>
      </c>
      <c r="K356" s="66">
        <v>1717000</v>
      </c>
    </row>
    <row r="357" spans="1:11" x14ac:dyDescent="0.25">
      <c r="A357" t="s">
        <v>192</v>
      </c>
      <c r="B357" t="s">
        <v>193</v>
      </c>
      <c r="C357" t="s">
        <v>540</v>
      </c>
      <c r="D357" t="s">
        <v>553</v>
      </c>
      <c r="E357">
        <v>0</v>
      </c>
      <c r="F357" t="s">
        <v>554</v>
      </c>
      <c r="G357">
        <v>1438621.43</v>
      </c>
      <c r="H357">
        <v>0</v>
      </c>
      <c r="I357">
        <v>0</v>
      </c>
      <c r="J357">
        <v>0</v>
      </c>
      <c r="K357" s="66">
        <v>1438621.43</v>
      </c>
    </row>
    <row r="358" spans="1:11" x14ac:dyDescent="0.25">
      <c r="A358" t="s">
        <v>720</v>
      </c>
      <c r="B358" t="s">
        <v>721</v>
      </c>
      <c r="C358" t="s">
        <v>540</v>
      </c>
      <c r="D358" t="s">
        <v>557</v>
      </c>
      <c r="E358">
        <v>0</v>
      </c>
      <c r="F358" t="s">
        <v>558</v>
      </c>
      <c r="G358">
        <v>470226.71</v>
      </c>
      <c r="H358">
        <v>0</v>
      </c>
      <c r="I358">
        <v>0</v>
      </c>
      <c r="J358">
        <v>0</v>
      </c>
      <c r="K358" s="66">
        <v>470226.71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3420.32</v>
      </c>
      <c r="F359" t="s">
        <v>564</v>
      </c>
      <c r="G359">
        <v>0</v>
      </c>
      <c r="H359">
        <v>0</v>
      </c>
      <c r="I359">
        <v>0</v>
      </c>
      <c r="J359">
        <v>0</v>
      </c>
      <c r="K359" s="66">
        <v>3420.32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600047.18000000005</v>
      </c>
      <c r="F360" t="s">
        <v>556</v>
      </c>
      <c r="G360">
        <v>0</v>
      </c>
      <c r="H360">
        <v>0</v>
      </c>
      <c r="I360">
        <v>0</v>
      </c>
      <c r="J360">
        <v>0</v>
      </c>
      <c r="K360" s="66">
        <v>600047.18000000005</v>
      </c>
    </row>
    <row r="361" spans="1:11" x14ac:dyDescent="0.25">
      <c r="A361" t="s">
        <v>1016</v>
      </c>
      <c r="B361" t="s">
        <v>933</v>
      </c>
      <c r="C361" t="s">
        <v>540</v>
      </c>
      <c r="D361" t="s">
        <v>559</v>
      </c>
      <c r="E361">
        <v>0</v>
      </c>
      <c r="F361" t="s">
        <v>560</v>
      </c>
      <c r="G361">
        <v>3385000</v>
      </c>
      <c r="H361">
        <v>0</v>
      </c>
      <c r="I361">
        <v>0</v>
      </c>
      <c r="J361">
        <v>0</v>
      </c>
      <c r="K361" s="66">
        <v>3385000</v>
      </c>
    </row>
    <row r="362" spans="1:11" x14ac:dyDescent="0.25">
      <c r="A362" t="s">
        <v>1017</v>
      </c>
      <c r="B362" t="s">
        <v>934</v>
      </c>
      <c r="C362" t="s">
        <v>540</v>
      </c>
      <c r="D362" t="s">
        <v>563</v>
      </c>
      <c r="E362">
        <v>0</v>
      </c>
      <c r="F362" t="s">
        <v>564</v>
      </c>
      <c r="G362">
        <v>60016000</v>
      </c>
      <c r="H362">
        <v>0</v>
      </c>
      <c r="I362">
        <v>0</v>
      </c>
      <c r="J362">
        <v>0</v>
      </c>
      <c r="K362" s="66">
        <v>60016000</v>
      </c>
    </row>
    <row r="363" spans="1:11" x14ac:dyDescent="0.25">
      <c r="A363" t="s">
        <v>1018</v>
      </c>
      <c r="B363" t="s">
        <v>935</v>
      </c>
      <c r="C363" t="s">
        <v>540</v>
      </c>
      <c r="D363" t="s">
        <v>1019</v>
      </c>
      <c r="E363">
        <v>0</v>
      </c>
      <c r="F363" t="s">
        <v>1020</v>
      </c>
      <c r="G363">
        <v>169552.2</v>
      </c>
      <c r="H363">
        <v>0</v>
      </c>
      <c r="I363">
        <v>0</v>
      </c>
      <c r="J363">
        <v>0</v>
      </c>
      <c r="K363" s="66">
        <v>169552.2</v>
      </c>
    </row>
    <row r="364" spans="1:11" x14ac:dyDescent="0.25">
      <c r="A364" t="s">
        <v>487</v>
      </c>
      <c r="B364" t="s">
        <v>488</v>
      </c>
      <c r="C364" t="s">
        <v>540</v>
      </c>
      <c r="D364" t="s">
        <v>559</v>
      </c>
      <c r="E364">
        <v>0</v>
      </c>
      <c r="F364" t="s">
        <v>560</v>
      </c>
      <c r="G364">
        <v>367356</v>
      </c>
      <c r="H364">
        <v>0</v>
      </c>
      <c r="I364">
        <v>0</v>
      </c>
      <c r="J364">
        <v>0</v>
      </c>
      <c r="K364" s="66">
        <v>367356</v>
      </c>
    </row>
    <row r="365" spans="1:11" x14ac:dyDescent="0.25">
      <c r="A365" t="s">
        <v>1021</v>
      </c>
      <c r="B365" t="s">
        <v>1022</v>
      </c>
      <c r="C365" t="s">
        <v>540</v>
      </c>
      <c r="D365" t="s">
        <v>561</v>
      </c>
      <c r="E365">
        <v>1149595</v>
      </c>
      <c r="F365" t="s">
        <v>562</v>
      </c>
      <c r="G365">
        <v>0</v>
      </c>
      <c r="H365">
        <v>13387941.35</v>
      </c>
      <c r="I365">
        <v>0</v>
      </c>
      <c r="J365">
        <v>0</v>
      </c>
      <c r="K365" s="66">
        <v>14537536.35</v>
      </c>
    </row>
    <row r="366" spans="1:11" x14ac:dyDescent="0.25">
      <c r="A366" t="s">
        <v>845</v>
      </c>
      <c r="B366" t="s">
        <v>846</v>
      </c>
      <c r="C366" t="s">
        <v>540</v>
      </c>
      <c r="D366" t="s">
        <v>847</v>
      </c>
      <c r="E366">
        <v>56000</v>
      </c>
      <c r="F366" t="s">
        <v>848</v>
      </c>
      <c r="G366">
        <v>0</v>
      </c>
      <c r="H366">
        <v>0</v>
      </c>
      <c r="I366">
        <v>0</v>
      </c>
      <c r="J366">
        <v>0</v>
      </c>
      <c r="K366" s="66">
        <v>56000</v>
      </c>
    </row>
    <row r="367" spans="1:11" x14ac:dyDescent="0.25">
      <c r="A367" t="s">
        <v>1023</v>
      </c>
      <c r="B367" t="s">
        <v>1024</v>
      </c>
      <c r="C367" t="s">
        <v>540</v>
      </c>
      <c r="D367" t="s">
        <v>563</v>
      </c>
      <c r="E367">
        <v>7201920</v>
      </c>
      <c r="F367" t="s">
        <v>564</v>
      </c>
      <c r="G367">
        <v>0</v>
      </c>
      <c r="H367">
        <v>0</v>
      </c>
      <c r="I367">
        <v>0</v>
      </c>
      <c r="J367">
        <v>0</v>
      </c>
      <c r="K367" s="66">
        <v>7201920</v>
      </c>
    </row>
    <row r="368" spans="1:11" x14ac:dyDescent="0.25">
      <c r="A368" t="s">
        <v>198</v>
      </c>
      <c r="B368" t="s">
        <v>199</v>
      </c>
      <c r="C368" t="s">
        <v>540</v>
      </c>
      <c r="D368" t="s">
        <v>563</v>
      </c>
      <c r="E368">
        <v>0</v>
      </c>
      <c r="F368" t="s">
        <v>564</v>
      </c>
      <c r="G368">
        <v>0</v>
      </c>
      <c r="H368">
        <v>35948940</v>
      </c>
      <c r="I368">
        <v>0</v>
      </c>
      <c r="J368">
        <v>26176.959999999999</v>
      </c>
      <c r="K368" s="66">
        <v>35975116.960000001</v>
      </c>
    </row>
    <row r="369" spans="1:11" x14ac:dyDescent="0.25">
      <c r="A369" t="s">
        <v>722</v>
      </c>
      <c r="B369" t="s">
        <v>723</v>
      </c>
      <c r="C369" t="s">
        <v>540</v>
      </c>
      <c r="D369" t="s">
        <v>595</v>
      </c>
      <c r="E369">
        <v>0</v>
      </c>
      <c r="F369" t="s">
        <v>596</v>
      </c>
      <c r="G369">
        <v>980100</v>
      </c>
      <c r="H369">
        <v>0</v>
      </c>
      <c r="I369">
        <v>0</v>
      </c>
      <c r="J369">
        <v>0</v>
      </c>
      <c r="K369" s="66">
        <v>980100</v>
      </c>
    </row>
    <row r="370" spans="1:11" x14ac:dyDescent="0.25">
      <c r="A370" t="s">
        <v>1025</v>
      </c>
      <c r="B370" t="s">
        <v>936</v>
      </c>
      <c r="C370" t="s">
        <v>540</v>
      </c>
      <c r="D370" t="s">
        <v>617</v>
      </c>
      <c r="E370">
        <v>0</v>
      </c>
      <c r="F370" t="s">
        <v>618</v>
      </c>
      <c r="G370">
        <v>630000</v>
      </c>
      <c r="H370">
        <v>0</v>
      </c>
      <c r="I370">
        <v>0</v>
      </c>
      <c r="J370">
        <v>0</v>
      </c>
      <c r="K370" s="66">
        <v>630000</v>
      </c>
    </row>
    <row r="371" spans="1:11" x14ac:dyDescent="0.25">
      <c r="A371" t="s">
        <v>1026</v>
      </c>
      <c r="B371" t="s">
        <v>937</v>
      </c>
      <c r="C371" t="s">
        <v>540</v>
      </c>
      <c r="D371" t="s">
        <v>1027</v>
      </c>
      <c r="E371">
        <v>680000.01</v>
      </c>
      <c r="F371" t="s">
        <v>1028</v>
      </c>
      <c r="G371">
        <v>5355000.0999999996</v>
      </c>
      <c r="H371">
        <v>0</v>
      </c>
      <c r="I371">
        <v>0</v>
      </c>
      <c r="J371">
        <v>0</v>
      </c>
      <c r="K371" s="66">
        <v>6035000.1100000003</v>
      </c>
    </row>
    <row r="372" spans="1:11" x14ac:dyDescent="0.25">
      <c r="A372" t="s">
        <v>1026</v>
      </c>
      <c r="B372" t="s">
        <v>937</v>
      </c>
      <c r="C372" t="s">
        <v>540</v>
      </c>
      <c r="D372" t="s">
        <v>1029</v>
      </c>
      <c r="E372">
        <v>15000</v>
      </c>
      <c r="F372" t="s">
        <v>1030</v>
      </c>
      <c r="G372">
        <v>10000</v>
      </c>
      <c r="H372">
        <v>0</v>
      </c>
      <c r="I372">
        <v>0</v>
      </c>
      <c r="J372">
        <v>0</v>
      </c>
      <c r="K372" s="66">
        <v>25000</v>
      </c>
    </row>
    <row r="373" spans="1:11" x14ac:dyDescent="0.25">
      <c r="A373" t="s">
        <v>802</v>
      </c>
      <c r="B373" t="s">
        <v>803</v>
      </c>
      <c r="C373" t="s">
        <v>540</v>
      </c>
      <c r="D373" t="s">
        <v>545</v>
      </c>
      <c r="E373">
        <v>825399.35</v>
      </c>
      <c r="F373" t="s">
        <v>546</v>
      </c>
      <c r="G373">
        <v>577273.98</v>
      </c>
      <c r="H373">
        <v>0</v>
      </c>
      <c r="I373">
        <v>0</v>
      </c>
      <c r="J373">
        <v>0</v>
      </c>
      <c r="K373" s="66">
        <v>1402673.33</v>
      </c>
    </row>
    <row r="374" spans="1:11" x14ac:dyDescent="0.25">
      <c r="A374" t="s">
        <v>724</v>
      </c>
      <c r="B374" t="s">
        <v>725</v>
      </c>
      <c r="C374" t="s">
        <v>540</v>
      </c>
      <c r="D374" t="s">
        <v>559</v>
      </c>
      <c r="E374">
        <v>68500</v>
      </c>
      <c r="F374" t="s">
        <v>560</v>
      </c>
      <c r="G374">
        <v>0</v>
      </c>
      <c r="H374">
        <v>0</v>
      </c>
      <c r="I374">
        <v>0</v>
      </c>
      <c r="J374">
        <v>0</v>
      </c>
      <c r="K374" s="66">
        <v>68500</v>
      </c>
    </row>
    <row r="375" spans="1:11" x14ac:dyDescent="0.25">
      <c r="A375" t="s">
        <v>200</v>
      </c>
      <c r="B375" t="s">
        <v>201</v>
      </c>
      <c r="C375" t="s">
        <v>540</v>
      </c>
      <c r="D375" t="s">
        <v>559</v>
      </c>
      <c r="E375">
        <v>0</v>
      </c>
      <c r="F375" t="s">
        <v>560</v>
      </c>
      <c r="G375">
        <v>0</v>
      </c>
      <c r="H375">
        <v>0</v>
      </c>
      <c r="I375">
        <v>0</v>
      </c>
      <c r="J375">
        <v>4477000</v>
      </c>
      <c r="K375" s="66">
        <v>4477000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-26514.959999999999</v>
      </c>
      <c r="F376" t="s">
        <v>682</v>
      </c>
      <c r="G376">
        <v>1676212.81</v>
      </c>
      <c r="H376">
        <v>0</v>
      </c>
      <c r="I376">
        <v>0</v>
      </c>
      <c r="J376">
        <v>0</v>
      </c>
      <c r="K376" s="66">
        <v>1649697.85</v>
      </c>
    </row>
    <row r="377" spans="1:11" x14ac:dyDescent="0.25">
      <c r="A377" t="s">
        <v>1031</v>
      </c>
      <c r="B377" t="s">
        <v>1032</v>
      </c>
      <c r="C377" t="s">
        <v>540</v>
      </c>
      <c r="D377" t="s">
        <v>565</v>
      </c>
      <c r="E377">
        <v>20157632</v>
      </c>
      <c r="F377" t="s">
        <v>566</v>
      </c>
      <c r="G377">
        <v>0</v>
      </c>
      <c r="H377">
        <v>0</v>
      </c>
      <c r="I377">
        <v>0</v>
      </c>
      <c r="J377">
        <v>0</v>
      </c>
      <c r="K377" s="66">
        <v>20157632</v>
      </c>
    </row>
    <row r="378" spans="1:11" x14ac:dyDescent="0.25">
      <c r="A378" t="s">
        <v>202</v>
      </c>
      <c r="B378" t="s">
        <v>203</v>
      </c>
      <c r="C378" t="s">
        <v>540</v>
      </c>
      <c r="D378" t="s">
        <v>571</v>
      </c>
      <c r="E378">
        <v>913550</v>
      </c>
      <c r="F378" t="s">
        <v>572</v>
      </c>
      <c r="G378">
        <v>2687652</v>
      </c>
      <c r="H378">
        <v>0</v>
      </c>
      <c r="I378">
        <v>0</v>
      </c>
      <c r="J378">
        <v>0</v>
      </c>
      <c r="K378" s="66">
        <v>3601202</v>
      </c>
    </row>
    <row r="379" spans="1:11" x14ac:dyDescent="0.25">
      <c r="A379" t="s">
        <v>204</v>
      </c>
      <c r="B379" t="s">
        <v>205</v>
      </c>
      <c r="C379" t="s">
        <v>540</v>
      </c>
      <c r="D379" t="s">
        <v>573</v>
      </c>
      <c r="E379">
        <v>0</v>
      </c>
      <c r="F379" t="s">
        <v>574</v>
      </c>
      <c r="G379">
        <v>1999207.02</v>
      </c>
      <c r="H379">
        <v>0</v>
      </c>
      <c r="I379">
        <v>0</v>
      </c>
      <c r="J379">
        <v>0</v>
      </c>
      <c r="K379" s="66">
        <v>1999207.02</v>
      </c>
    </row>
    <row r="380" spans="1:11" x14ac:dyDescent="0.25">
      <c r="A380" t="s">
        <v>1033</v>
      </c>
      <c r="B380" t="s">
        <v>938</v>
      </c>
      <c r="C380" t="s">
        <v>540</v>
      </c>
      <c r="D380" t="s">
        <v>559</v>
      </c>
      <c r="E380">
        <v>2666840</v>
      </c>
      <c r="F380" t="s">
        <v>560</v>
      </c>
      <c r="G380">
        <v>0</v>
      </c>
      <c r="H380">
        <v>0</v>
      </c>
      <c r="I380">
        <v>0</v>
      </c>
      <c r="J380">
        <v>0</v>
      </c>
      <c r="K380" s="66">
        <v>2666840</v>
      </c>
    </row>
    <row r="381" spans="1:11" x14ac:dyDescent="0.25">
      <c r="A381" t="s">
        <v>1034</v>
      </c>
      <c r="B381" t="s">
        <v>939</v>
      </c>
      <c r="C381" t="s">
        <v>540</v>
      </c>
      <c r="D381" t="s">
        <v>653</v>
      </c>
      <c r="E381">
        <v>47232362.100000001</v>
      </c>
      <c r="F381" t="s">
        <v>654</v>
      </c>
      <c r="G381">
        <v>0</v>
      </c>
      <c r="H381">
        <v>0</v>
      </c>
      <c r="I381">
        <v>0</v>
      </c>
      <c r="J381">
        <v>0</v>
      </c>
      <c r="K381" s="66">
        <v>47232362.100000001</v>
      </c>
    </row>
    <row r="382" spans="1:11" x14ac:dyDescent="0.25">
      <c r="A382" t="s">
        <v>1035</v>
      </c>
      <c r="B382" t="s">
        <v>940</v>
      </c>
      <c r="C382" t="s">
        <v>540</v>
      </c>
      <c r="D382" t="s">
        <v>857</v>
      </c>
      <c r="E382">
        <v>1490195.66</v>
      </c>
      <c r="F382" t="s">
        <v>858</v>
      </c>
      <c r="G382">
        <v>0</v>
      </c>
      <c r="H382">
        <v>0</v>
      </c>
      <c r="I382">
        <v>0</v>
      </c>
      <c r="J382">
        <v>0</v>
      </c>
      <c r="K382" s="66">
        <v>1490195.66</v>
      </c>
    </row>
    <row r="383" spans="1:11" x14ac:dyDescent="0.25">
      <c r="A383" t="s">
        <v>206</v>
      </c>
      <c r="B383" t="s">
        <v>207</v>
      </c>
      <c r="C383" t="s">
        <v>540</v>
      </c>
      <c r="D383" t="s">
        <v>575</v>
      </c>
      <c r="E383">
        <v>0</v>
      </c>
      <c r="F383" t="s">
        <v>576</v>
      </c>
      <c r="G383">
        <v>0</v>
      </c>
      <c r="H383">
        <v>0</v>
      </c>
      <c r="I383">
        <v>0</v>
      </c>
      <c r="J383">
        <v>3000000</v>
      </c>
      <c r="K383" s="66">
        <v>3000000</v>
      </c>
    </row>
    <row r="384" spans="1:11" x14ac:dyDescent="0.25">
      <c r="A384" t="s">
        <v>489</v>
      </c>
      <c r="B384" t="s">
        <v>490</v>
      </c>
      <c r="C384" t="s">
        <v>540</v>
      </c>
      <c r="D384" t="s">
        <v>563</v>
      </c>
      <c r="E384">
        <v>48331.16</v>
      </c>
      <c r="F384" t="s">
        <v>564</v>
      </c>
      <c r="G384">
        <v>119908.88</v>
      </c>
      <c r="H384">
        <v>0</v>
      </c>
      <c r="I384">
        <v>0</v>
      </c>
      <c r="J384">
        <v>0</v>
      </c>
      <c r="K384" s="66">
        <v>168240.04</v>
      </c>
    </row>
    <row r="385" spans="1:11" x14ac:dyDescent="0.25">
      <c r="A385" t="s">
        <v>1036</v>
      </c>
      <c r="B385" t="s">
        <v>941</v>
      </c>
      <c r="C385" t="s">
        <v>540</v>
      </c>
      <c r="D385" t="s">
        <v>695</v>
      </c>
      <c r="E385">
        <v>1361250</v>
      </c>
      <c r="F385" t="s">
        <v>696</v>
      </c>
      <c r="G385">
        <v>0</v>
      </c>
      <c r="H385">
        <v>0</v>
      </c>
      <c r="I385">
        <v>0</v>
      </c>
      <c r="J385">
        <v>0</v>
      </c>
      <c r="K385" s="66">
        <v>1361250</v>
      </c>
    </row>
    <row r="386" spans="1:11" x14ac:dyDescent="0.25">
      <c r="A386" t="s">
        <v>208</v>
      </c>
      <c r="B386" t="s">
        <v>209</v>
      </c>
      <c r="C386" t="s">
        <v>540</v>
      </c>
      <c r="D386" t="s">
        <v>577</v>
      </c>
      <c r="E386">
        <v>4465152.05</v>
      </c>
      <c r="F386" t="s">
        <v>578</v>
      </c>
      <c r="G386">
        <v>32316804.350000001</v>
      </c>
      <c r="H386">
        <v>0</v>
      </c>
      <c r="I386">
        <v>0</v>
      </c>
      <c r="J386">
        <v>0</v>
      </c>
      <c r="K386" s="66">
        <v>36781956.399999999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1834739.94</v>
      </c>
      <c r="F387" t="s">
        <v>580</v>
      </c>
      <c r="G387">
        <v>662089.01</v>
      </c>
      <c r="H387">
        <v>0</v>
      </c>
      <c r="I387">
        <v>0</v>
      </c>
      <c r="J387">
        <v>0</v>
      </c>
      <c r="K387" s="66">
        <v>2496828.9500000002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516151.54</v>
      </c>
      <c r="F388" t="s">
        <v>546</v>
      </c>
      <c r="G388">
        <v>5151973.96</v>
      </c>
      <c r="H388">
        <v>1385960.79</v>
      </c>
      <c r="I388">
        <v>0</v>
      </c>
      <c r="J388">
        <v>0</v>
      </c>
      <c r="K388" s="66">
        <v>7054086.29</v>
      </c>
    </row>
    <row r="389" spans="1:11" x14ac:dyDescent="0.25">
      <c r="A389" t="s">
        <v>1037</v>
      </c>
      <c r="B389" t="s">
        <v>1038</v>
      </c>
      <c r="C389" t="s">
        <v>540</v>
      </c>
      <c r="D389" t="s">
        <v>561</v>
      </c>
      <c r="E389">
        <v>2271272.85</v>
      </c>
      <c r="F389" t="s">
        <v>562</v>
      </c>
      <c r="G389">
        <v>0</v>
      </c>
      <c r="H389">
        <v>0</v>
      </c>
      <c r="I389">
        <v>0</v>
      </c>
      <c r="J389">
        <v>0</v>
      </c>
      <c r="K389" s="66">
        <v>2271272.85</v>
      </c>
    </row>
    <row r="390" spans="1:11" x14ac:dyDescent="0.25">
      <c r="A390" t="s">
        <v>214</v>
      </c>
      <c r="B390" t="s">
        <v>215</v>
      </c>
      <c r="C390" t="s">
        <v>540</v>
      </c>
      <c r="D390" t="s">
        <v>563</v>
      </c>
      <c r="E390">
        <v>0</v>
      </c>
      <c r="F390" t="s">
        <v>564</v>
      </c>
      <c r="G390">
        <v>0</v>
      </c>
      <c r="H390">
        <v>0</v>
      </c>
      <c r="I390">
        <v>0</v>
      </c>
      <c r="J390">
        <v>-0.01</v>
      </c>
      <c r="K390" s="66">
        <v>-0.01</v>
      </c>
    </row>
    <row r="391" spans="1:11" x14ac:dyDescent="0.25">
      <c r="A391" t="s">
        <v>730</v>
      </c>
      <c r="B391" t="s">
        <v>731</v>
      </c>
      <c r="C391" t="s">
        <v>540</v>
      </c>
      <c r="D391" t="s">
        <v>627</v>
      </c>
      <c r="E391">
        <v>32035318.550000001</v>
      </c>
      <c r="F391" t="s">
        <v>628</v>
      </c>
      <c r="G391">
        <v>46088143.299999997</v>
      </c>
      <c r="H391">
        <v>0</v>
      </c>
      <c r="I391">
        <v>0</v>
      </c>
      <c r="J391">
        <v>0</v>
      </c>
      <c r="K391" s="66">
        <v>78123461.849999994</v>
      </c>
    </row>
    <row r="392" spans="1:11" x14ac:dyDescent="0.25">
      <c r="A392" t="s">
        <v>216</v>
      </c>
      <c r="B392" t="s">
        <v>217</v>
      </c>
      <c r="C392" t="s">
        <v>540</v>
      </c>
      <c r="D392" t="s">
        <v>581</v>
      </c>
      <c r="E392">
        <v>5577174.7599999998</v>
      </c>
      <c r="F392" t="s">
        <v>582</v>
      </c>
      <c r="G392">
        <v>8142804.4000000004</v>
      </c>
      <c r="H392">
        <v>134343.5</v>
      </c>
      <c r="I392">
        <v>0</v>
      </c>
      <c r="J392">
        <v>0</v>
      </c>
      <c r="K392" s="66">
        <v>13854322.66</v>
      </c>
    </row>
    <row r="393" spans="1:11" x14ac:dyDescent="0.25">
      <c r="A393" t="s">
        <v>583</v>
      </c>
      <c r="B393" t="s">
        <v>584</v>
      </c>
      <c r="C393" t="s">
        <v>540</v>
      </c>
      <c r="D393" t="s">
        <v>585</v>
      </c>
      <c r="E393">
        <v>0</v>
      </c>
      <c r="F393" t="s">
        <v>586</v>
      </c>
      <c r="G393">
        <v>178708.53</v>
      </c>
      <c r="H393">
        <v>0</v>
      </c>
      <c r="I393">
        <v>0</v>
      </c>
      <c r="J393">
        <v>0</v>
      </c>
      <c r="K393" s="66">
        <v>178708.53</v>
      </c>
    </row>
    <row r="394" spans="1:11" x14ac:dyDescent="0.25">
      <c r="A394" t="s">
        <v>1039</v>
      </c>
      <c r="B394" t="s">
        <v>1040</v>
      </c>
      <c r="C394" t="s">
        <v>540</v>
      </c>
      <c r="D394" t="s">
        <v>565</v>
      </c>
      <c r="E394">
        <v>0</v>
      </c>
      <c r="F394" t="s">
        <v>566</v>
      </c>
      <c r="G394">
        <v>93840</v>
      </c>
      <c r="H394">
        <v>0</v>
      </c>
      <c r="I394">
        <v>0</v>
      </c>
      <c r="J394">
        <v>0</v>
      </c>
      <c r="K394" s="66">
        <v>93840</v>
      </c>
    </row>
    <row r="395" spans="1:11" x14ac:dyDescent="0.25">
      <c r="A395" t="s">
        <v>1041</v>
      </c>
      <c r="B395" t="s">
        <v>942</v>
      </c>
      <c r="C395" t="s">
        <v>540</v>
      </c>
      <c r="D395" t="s">
        <v>776</v>
      </c>
      <c r="E395">
        <v>0</v>
      </c>
      <c r="F395" t="s">
        <v>777</v>
      </c>
      <c r="G395">
        <v>5263500</v>
      </c>
      <c r="H395">
        <v>0</v>
      </c>
      <c r="I395">
        <v>0</v>
      </c>
      <c r="J395">
        <v>0</v>
      </c>
      <c r="K395" s="66">
        <v>5263500</v>
      </c>
    </row>
    <row r="396" spans="1:11" x14ac:dyDescent="0.25">
      <c r="A396" t="s">
        <v>1042</v>
      </c>
      <c r="B396" t="s">
        <v>943</v>
      </c>
      <c r="C396" t="s">
        <v>540</v>
      </c>
      <c r="D396" t="s">
        <v>653</v>
      </c>
      <c r="E396">
        <v>0</v>
      </c>
      <c r="F396" t="s">
        <v>654</v>
      </c>
      <c r="G396">
        <v>6775926.2199999997</v>
      </c>
      <c r="H396">
        <v>7930450</v>
      </c>
      <c r="I396">
        <v>0</v>
      </c>
      <c r="J396">
        <v>0</v>
      </c>
      <c r="K396" s="66">
        <v>14706376.220000001</v>
      </c>
    </row>
    <row r="397" spans="1:11" x14ac:dyDescent="0.25">
      <c r="A397" t="s">
        <v>853</v>
      </c>
      <c r="B397" t="s">
        <v>854</v>
      </c>
      <c r="C397" t="s">
        <v>540</v>
      </c>
      <c r="D397" t="s">
        <v>631</v>
      </c>
      <c r="E397">
        <v>0</v>
      </c>
      <c r="F397" t="s">
        <v>632</v>
      </c>
      <c r="G397">
        <v>105008.62</v>
      </c>
      <c r="H397">
        <v>0</v>
      </c>
      <c r="I397">
        <v>0</v>
      </c>
      <c r="J397">
        <v>0</v>
      </c>
      <c r="K397" s="66">
        <v>105008.62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1128921.07</v>
      </c>
      <c r="F398" t="s">
        <v>564</v>
      </c>
      <c r="G398">
        <v>0</v>
      </c>
      <c r="H398">
        <v>0</v>
      </c>
      <c r="I398">
        <v>0</v>
      </c>
      <c r="J398">
        <v>217</v>
      </c>
      <c r="K398" s="66">
        <v>1129138.07</v>
      </c>
    </row>
    <row r="399" spans="1:11" x14ac:dyDescent="0.25">
      <c r="A399" t="s">
        <v>220</v>
      </c>
      <c r="B399" t="s">
        <v>221</v>
      </c>
      <c r="C399" t="s">
        <v>540</v>
      </c>
      <c r="D399" t="s">
        <v>589</v>
      </c>
      <c r="E399">
        <v>0</v>
      </c>
      <c r="F399" t="s">
        <v>590</v>
      </c>
      <c r="G399">
        <v>0</v>
      </c>
      <c r="H399">
        <v>5373097.9299999997</v>
      </c>
      <c r="I399">
        <v>0</v>
      </c>
      <c r="J399">
        <v>0</v>
      </c>
      <c r="K399" s="66">
        <v>5373097.9299999997</v>
      </c>
    </row>
    <row r="400" spans="1:11" x14ac:dyDescent="0.25">
      <c r="A400" t="s">
        <v>222</v>
      </c>
      <c r="B400" t="s">
        <v>223</v>
      </c>
      <c r="C400" t="s">
        <v>540</v>
      </c>
      <c r="D400" t="s">
        <v>591</v>
      </c>
      <c r="E400">
        <v>17421618.739999998</v>
      </c>
      <c r="F400" t="s">
        <v>592</v>
      </c>
      <c r="G400">
        <v>34214672.18</v>
      </c>
      <c r="H400">
        <v>0</v>
      </c>
      <c r="I400">
        <v>0</v>
      </c>
      <c r="J400">
        <v>0</v>
      </c>
      <c r="K400" s="66">
        <v>51636290.920000002</v>
      </c>
    </row>
    <row r="401" spans="1:11" x14ac:dyDescent="0.25">
      <c r="A401" t="s">
        <v>732</v>
      </c>
      <c r="B401" t="s">
        <v>733</v>
      </c>
      <c r="C401" t="s">
        <v>540</v>
      </c>
      <c r="D401" t="s">
        <v>691</v>
      </c>
      <c r="E401">
        <v>51062</v>
      </c>
      <c r="F401" t="s">
        <v>692</v>
      </c>
      <c r="G401">
        <v>1817783</v>
      </c>
      <c r="H401">
        <v>0</v>
      </c>
      <c r="I401">
        <v>0</v>
      </c>
      <c r="J401">
        <v>0</v>
      </c>
      <c r="K401" s="66">
        <v>1868845</v>
      </c>
    </row>
    <row r="402" spans="1:11" x14ac:dyDescent="0.25">
      <c r="A402" t="s">
        <v>224</v>
      </c>
      <c r="B402" t="s">
        <v>225</v>
      </c>
      <c r="C402" t="s">
        <v>540</v>
      </c>
      <c r="D402" t="s">
        <v>595</v>
      </c>
      <c r="E402">
        <v>17360000</v>
      </c>
      <c r="F402" t="s">
        <v>596</v>
      </c>
      <c r="G402">
        <v>50808000</v>
      </c>
      <c r="H402">
        <v>59850000</v>
      </c>
      <c r="I402">
        <v>0</v>
      </c>
      <c r="J402">
        <v>0</v>
      </c>
      <c r="K402" s="66">
        <v>128018000</v>
      </c>
    </row>
    <row r="403" spans="1:11" x14ac:dyDescent="0.25">
      <c r="A403" t="s">
        <v>228</v>
      </c>
      <c r="B403" t="s">
        <v>227</v>
      </c>
      <c r="C403" t="s">
        <v>540</v>
      </c>
      <c r="D403" t="s">
        <v>597</v>
      </c>
      <c r="E403">
        <v>0</v>
      </c>
      <c r="F403" t="s">
        <v>598</v>
      </c>
      <c r="G403">
        <v>88961917.319999993</v>
      </c>
      <c r="H403">
        <v>0</v>
      </c>
      <c r="I403">
        <v>0</v>
      </c>
      <c r="J403">
        <v>0</v>
      </c>
      <c r="K403" s="66">
        <v>88961917.319999993</v>
      </c>
    </row>
    <row r="404" spans="1:11" x14ac:dyDescent="0.25">
      <c r="A404" t="s">
        <v>229</v>
      </c>
      <c r="B404" t="s">
        <v>227</v>
      </c>
      <c r="C404" t="s">
        <v>540</v>
      </c>
      <c r="D404" t="s">
        <v>597</v>
      </c>
      <c r="E404">
        <v>0</v>
      </c>
      <c r="F404" t="s">
        <v>598</v>
      </c>
      <c r="G404">
        <v>165328386.62</v>
      </c>
      <c r="H404">
        <v>0</v>
      </c>
      <c r="I404">
        <v>0</v>
      </c>
      <c r="J404">
        <v>0</v>
      </c>
      <c r="K404" s="66">
        <v>165328386.62</v>
      </c>
    </row>
    <row r="405" spans="1:11" x14ac:dyDescent="0.25">
      <c r="A405" t="s">
        <v>230</v>
      </c>
      <c r="B405" t="s">
        <v>231</v>
      </c>
      <c r="C405" t="s">
        <v>540</v>
      </c>
      <c r="D405" t="s">
        <v>599</v>
      </c>
      <c r="E405">
        <v>0</v>
      </c>
      <c r="F405" t="s">
        <v>600</v>
      </c>
      <c r="G405">
        <v>0</v>
      </c>
      <c r="H405">
        <v>0</v>
      </c>
      <c r="I405">
        <v>0</v>
      </c>
      <c r="J405">
        <v>4157535.95</v>
      </c>
      <c r="K405" s="66">
        <v>4157535.95</v>
      </c>
    </row>
    <row r="406" spans="1:11" x14ac:dyDescent="0.25">
      <c r="A406" t="s">
        <v>734</v>
      </c>
      <c r="B406" t="s">
        <v>735</v>
      </c>
      <c r="C406" t="s">
        <v>540</v>
      </c>
      <c r="D406" t="s">
        <v>599</v>
      </c>
      <c r="E406">
        <v>0</v>
      </c>
      <c r="F406" t="s">
        <v>600</v>
      </c>
      <c r="G406">
        <v>0</v>
      </c>
      <c r="H406">
        <v>157300</v>
      </c>
      <c r="I406">
        <v>0</v>
      </c>
      <c r="J406">
        <v>0</v>
      </c>
      <c r="K406" s="66">
        <v>157300</v>
      </c>
    </row>
    <row r="407" spans="1:11" x14ac:dyDescent="0.25">
      <c r="A407" t="s">
        <v>1043</v>
      </c>
      <c r="B407" t="s">
        <v>1044</v>
      </c>
      <c r="C407" t="s">
        <v>540</v>
      </c>
      <c r="D407" t="s">
        <v>559</v>
      </c>
      <c r="E407">
        <v>263376</v>
      </c>
      <c r="F407" t="s">
        <v>560</v>
      </c>
      <c r="G407">
        <v>0</v>
      </c>
      <c r="H407">
        <v>0</v>
      </c>
      <c r="I407">
        <v>0</v>
      </c>
      <c r="J407">
        <v>0</v>
      </c>
      <c r="K407" s="66">
        <v>263376</v>
      </c>
    </row>
    <row r="408" spans="1:11" x14ac:dyDescent="0.25">
      <c r="A408" t="s">
        <v>1045</v>
      </c>
      <c r="B408" t="s">
        <v>1046</v>
      </c>
      <c r="C408" t="s">
        <v>540</v>
      </c>
      <c r="D408" t="s">
        <v>549</v>
      </c>
      <c r="E408">
        <v>2650000</v>
      </c>
      <c r="F408" t="s">
        <v>550</v>
      </c>
      <c r="G408">
        <v>0</v>
      </c>
      <c r="H408">
        <v>0</v>
      </c>
      <c r="I408">
        <v>0</v>
      </c>
      <c r="J408">
        <v>0</v>
      </c>
      <c r="K408" s="66">
        <v>2650000</v>
      </c>
    </row>
    <row r="409" spans="1:11" x14ac:dyDescent="0.25">
      <c r="A409" t="s">
        <v>861</v>
      </c>
      <c r="B409" t="s">
        <v>862</v>
      </c>
      <c r="C409" t="s">
        <v>540</v>
      </c>
      <c r="D409" t="s">
        <v>863</v>
      </c>
      <c r="E409">
        <v>7246169.25</v>
      </c>
      <c r="F409" t="s">
        <v>864</v>
      </c>
      <c r="G409">
        <v>74510364.349999994</v>
      </c>
      <c r="H409">
        <v>0</v>
      </c>
      <c r="I409">
        <v>0</v>
      </c>
      <c r="J409">
        <v>0</v>
      </c>
      <c r="K409" s="66">
        <v>81756533.599999994</v>
      </c>
    </row>
    <row r="410" spans="1:11" x14ac:dyDescent="0.25">
      <c r="A410" t="s">
        <v>232</v>
      </c>
      <c r="B410" t="s">
        <v>233</v>
      </c>
      <c r="C410" t="s">
        <v>540</v>
      </c>
      <c r="D410" t="s">
        <v>601</v>
      </c>
      <c r="E410">
        <v>0</v>
      </c>
      <c r="F410" t="s">
        <v>602</v>
      </c>
      <c r="G410">
        <v>1455605.8</v>
      </c>
      <c r="H410">
        <v>0</v>
      </c>
      <c r="I410">
        <v>0</v>
      </c>
      <c r="J410">
        <v>0</v>
      </c>
      <c r="K410" s="66">
        <v>1455605.8</v>
      </c>
    </row>
    <row r="411" spans="1:11" x14ac:dyDescent="0.25">
      <c r="A411" t="s">
        <v>1047</v>
      </c>
      <c r="B411" t="s">
        <v>944</v>
      </c>
      <c r="C411" t="s">
        <v>540</v>
      </c>
      <c r="D411" t="s">
        <v>1048</v>
      </c>
      <c r="E411">
        <v>0</v>
      </c>
      <c r="F411" t="s">
        <v>1049</v>
      </c>
      <c r="G411">
        <v>1500400</v>
      </c>
      <c r="H411">
        <v>0</v>
      </c>
      <c r="I411">
        <v>0</v>
      </c>
      <c r="J411">
        <v>0</v>
      </c>
      <c r="K411" s="66">
        <v>1500400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 s="66">
        <v>-204.43</v>
      </c>
    </row>
    <row r="413" spans="1:11" x14ac:dyDescent="0.25">
      <c r="A413" t="s">
        <v>1050</v>
      </c>
      <c r="B413" t="s">
        <v>1051</v>
      </c>
      <c r="C413" t="s">
        <v>540</v>
      </c>
      <c r="D413" t="s">
        <v>569</v>
      </c>
      <c r="E413">
        <v>204974</v>
      </c>
      <c r="F413" t="s">
        <v>570</v>
      </c>
      <c r="G413">
        <v>0</v>
      </c>
      <c r="H413">
        <v>0</v>
      </c>
      <c r="I413">
        <v>0</v>
      </c>
      <c r="J413">
        <v>0</v>
      </c>
      <c r="K413" s="66">
        <v>204974</v>
      </c>
    </row>
    <row r="414" spans="1:11" x14ac:dyDescent="0.25">
      <c r="A414" t="s">
        <v>236</v>
      </c>
      <c r="B414" t="s">
        <v>237</v>
      </c>
      <c r="C414" t="s">
        <v>540</v>
      </c>
      <c r="D414" t="s">
        <v>553</v>
      </c>
      <c r="E414">
        <v>9213754.6400000006</v>
      </c>
      <c r="F414" t="s">
        <v>554</v>
      </c>
      <c r="G414">
        <v>14756126.210000001</v>
      </c>
      <c r="H414">
        <v>0</v>
      </c>
      <c r="I414">
        <v>0</v>
      </c>
      <c r="J414">
        <v>0</v>
      </c>
      <c r="K414" s="66">
        <v>23969880.850000001</v>
      </c>
    </row>
    <row r="415" spans="1:11" x14ac:dyDescent="0.25">
      <c r="A415" t="s">
        <v>238</v>
      </c>
      <c r="B415" t="s">
        <v>239</v>
      </c>
      <c r="C415" t="s">
        <v>540</v>
      </c>
      <c r="D415" t="s">
        <v>605</v>
      </c>
      <c r="E415">
        <v>0</v>
      </c>
      <c r="F415" t="s">
        <v>606</v>
      </c>
      <c r="G415">
        <v>412922.6</v>
      </c>
      <c r="H415">
        <v>0</v>
      </c>
      <c r="I415">
        <v>0</v>
      </c>
      <c r="J415">
        <v>0</v>
      </c>
      <c r="K415" s="66">
        <v>412922.6</v>
      </c>
    </row>
    <row r="416" spans="1:11" x14ac:dyDescent="0.25">
      <c r="A416" t="s">
        <v>1052</v>
      </c>
      <c r="B416" t="s">
        <v>945</v>
      </c>
      <c r="C416" t="s">
        <v>540</v>
      </c>
      <c r="D416" t="s">
        <v>585</v>
      </c>
      <c r="E416">
        <v>0</v>
      </c>
      <c r="F416" t="s">
        <v>586</v>
      </c>
      <c r="G416">
        <v>6543252.7199999997</v>
      </c>
      <c r="H416">
        <v>0</v>
      </c>
      <c r="I416">
        <v>0</v>
      </c>
      <c r="J416">
        <v>0</v>
      </c>
      <c r="K416" s="66">
        <v>6543252.7199999997</v>
      </c>
    </row>
    <row r="417" spans="1:11" x14ac:dyDescent="0.25">
      <c r="A417" t="s">
        <v>240</v>
      </c>
      <c r="B417" t="s">
        <v>241</v>
      </c>
      <c r="C417" t="s">
        <v>540</v>
      </c>
      <c r="D417" t="s">
        <v>607</v>
      </c>
      <c r="E417">
        <v>505014.6</v>
      </c>
      <c r="F417" t="s">
        <v>608</v>
      </c>
      <c r="G417">
        <v>4397877.2699999996</v>
      </c>
      <c r="H417">
        <v>0</v>
      </c>
      <c r="I417">
        <v>0</v>
      </c>
      <c r="J417">
        <v>0</v>
      </c>
      <c r="K417" s="66">
        <v>4902891.87</v>
      </c>
    </row>
    <row r="418" spans="1:11" x14ac:dyDescent="0.25">
      <c r="A418" t="s">
        <v>242</v>
      </c>
      <c r="B418" t="s">
        <v>243</v>
      </c>
      <c r="C418" t="s">
        <v>540</v>
      </c>
      <c r="D418" t="s">
        <v>609</v>
      </c>
      <c r="E418">
        <v>0</v>
      </c>
      <c r="F418" t="s">
        <v>610</v>
      </c>
      <c r="G418">
        <v>4524996.97</v>
      </c>
      <c r="H418">
        <v>0</v>
      </c>
      <c r="I418">
        <v>0</v>
      </c>
      <c r="J418">
        <v>0</v>
      </c>
      <c r="K418" s="66">
        <v>4524996.97</v>
      </c>
    </row>
    <row r="419" spans="1:11" x14ac:dyDescent="0.25">
      <c r="A419" t="s">
        <v>804</v>
      </c>
      <c r="B419" t="s">
        <v>805</v>
      </c>
      <c r="C419" t="s">
        <v>540</v>
      </c>
      <c r="D419" t="s">
        <v>563</v>
      </c>
      <c r="E419">
        <v>0</v>
      </c>
      <c r="F419" t="s">
        <v>564</v>
      </c>
      <c r="G419">
        <v>8027165.4100000001</v>
      </c>
      <c r="H419">
        <v>0</v>
      </c>
      <c r="I419">
        <v>0</v>
      </c>
      <c r="J419">
        <v>0</v>
      </c>
      <c r="K419" s="66">
        <v>8027165.4100000001</v>
      </c>
    </row>
    <row r="420" spans="1:11" x14ac:dyDescent="0.25">
      <c r="A420" t="s">
        <v>1053</v>
      </c>
      <c r="B420" t="s">
        <v>946</v>
      </c>
      <c r="C420" t="s">
        <v>540</v>
      </c>
      <c r="D420" t="s">
        <v>563</v>
      </c>
      <c r="E420">
        <v>0</v>
      </c>
      <c r="F420" t="s">
        <v>564</v>
      </c>
      <c r="G420">
        <v>15004000</v>
      </c>
      <c r="H420">
        <v>0</v>
      </c>
      <c r="I420">
        <v>0</v>
      </c>
      <c r="J420">
        <v>0</v>
      </c>
      <c r="K420" s="66">
        <v>15004000</v>
      </c>
    </row>
    <row r="421" spans="1:11" x14ac:dyDescent="0.25">
      <c r="A421" t="s">
        <v>244</v>
      </c>
      <c r="B421" t="s">
        <v>245</v>
      </c>
      <c r="C421" t="s">
        <v>540</v>
      </c>
      <c r="D421" t="s">
        <v>573</v>
      </c>
      <c r="E421">
        <v>0</v>
      </c>
      <c r="F421" t="s">
        <v>574</v>
      </c>
      <c r="G421">
        <v>629975.49</v>
      </c>
      <c r="H421">
        <v>0</v>
      </c>
      <c r="I421">
        <v>0</v>
      </c>
      <c r="J421">
        <v>0</v>
      </c>
      <c r="K421" s="66">
        <v>629975.49</v>
      </c>
    </row>
    <row r="422" spans="1:11" x14ac:dyDescent="0.25">
      <c r="A422" t="s">
        <v>493</v>
      </c>
      <c r="B422" t="s">
        <v>494</v>
      </c>
      <c r="C422" t="s">
        <v>540</v>
      </c>
      <c r="D422" t="s">
        <v>611</v>
      </c>
      <c r="E422">
        <v>120758</v>
      </c>
      <c r="F422" t="s">
        <v>612</v>
      </c>
      <c r="G422">
        <v>64299.4</v>
      </c>
      <c r="H422">
        <v>0</v>
      </c>
      <c r="I422">
        <v>0</v>
      </c>
      <c r="J422">
        <v>0</v>
      </c>
      <c r="K422" s="66">
        <v>185057.4</v>
      </c>
    </row>
    <row r="423" spans="1:11" x14ac:dyDescent="0.25">
      <c r="A423" t="s">
        <v>246</v>
      </c>
      <c r="B423" t="s">
        <v>247</v>
      </c>
      <c r="C423" t="s">
        <v>540</v>
      </c>
      <c r="D423" t="s">
        <v>553</v>
      </c>
      <c r="E423">
        <v>1318916.76</v>
      </c>
      <c r="F423" t="s">
        <v>554</v>
      </c>
      <c r="G423">
        <v>1677533.58</v>
      </c>
      <c r="H423">
        <v>0</v>
      </c>
      <c r="I423">
        <v>0</v>
      </c>
      <c r="J423">
        <v>0</v>
      </c>
      <c r="K423" s="66">
        <v>2996450.34</v>
      </c>
    </row>
    <row r="424" spans="1:11" x14ac:dyDescent="0.25">
      <c r="A424" t="s">
        <v>248</v>
      </c>
      <c r="B424" t="s">
        <v>249</v>
      </c>
      <c r="C424" t="s">
        <v>540</v>
      </c>
      <c r="D424" t="s">
        <v>553</v>
      </c>
      <c r="E424">
        <v>3049879.46</v>
      </c>
      <c r="F424" t="s">
        <v>554</v>
      </c>
      <c r="G424">
        <v>3077325.55</v>
      </c>
      <c r="H424">
        <v>0</v>
      </c>
      <c r="I424">
        <v>0</v>
      </c>
      <c r="J424">
        <v>0</v>
      </c>
      <c r="K424" s="66">
        <v>6127205.0099999998</v>
      </c>
    </row>
    <row r="425" spans="1:11" x14ac:dyDescent="0.25">
      <c r="A425" t="s">
        <v>736</v>
      </c>
      <c r="B425" t="s">
        <v>737</v>
      </c>
      <c r="C425" t="s">
        <v>540</v>
      </c>
      <c r="D425" t="s">
        <v>679</v>
      </c>
      <c r="E425">
        <v>0</v>
      </c>
      <c r="F425" t="s">
        <v>680</v>
      </c>
      <c r="G425">
        <v>-123670.72</v>
      </c>
      <c r="H425">
        <v>0</v>
      </c>
      <c r="I425">
        <v>0</v>
      </c>
      <c r="J425">
        <v>0</v>
      </c>
      <c r="K425" s="66">
        <v>-123670.72</v>
      </c>
    </row>
    <row r="426" spans="1:11" x14ac:dyDescent="0.25">
      <c r="A426" t="s">
        <v>1054</v>
      </c>
      <c r="B426" t="s">
        <v>947</v>
      </c>
      <c r="C426" t="s">
        <v>540</v>
      </c>
      <c r="D426" t="s">
        <v>615</v>
      </c>
      <c r="E426">
        <v>4474145</v>
      </c>
      <c r="F426" t="s">
        <v>616</v>
      </c>
      <c r="G426">
        <v>4124965</v>
      </c>
      <c r="H426">
        <v>0</v>
      </c>
      <c r="I426">
        <v>0</v>
      </c>
      <c r="J426">
        <v>0</v>
      </c>
      <c r="K426" s="66">
        <v>8599110</v>
      </c>
    </row>
    <row r="427" spans="1:11" x14ac:dyDescent="0.25">
      <c r="A427" t="s">
        <v>613</v>
      </c>
      <c r="B427" t="s">
        <v>614</v>
      </c>
      <c r="C427" t="s">
        <v>540</v>
      </c>
      <c r="D427" t="s">
        <v>615</v>
      </c>
      <c r="E427">
        <v>0</v>
      </c>
      <c r="F427" t="s">
        <v>616</v>
      </c>
      <c r="G427">
        <v>10098400</v>
      </c>
      <c r="H427">
        <v>0</v>
      </c>
      <c r="I427">
        <v>0</v>
      </c>
      <c r="J427">
        <v>0</v>
      </c>
      <c r="K427" s="66">
        <v>10098400</v>
      </c>
    </row>
    <row r="428" spans="1:11" x14ac:dyDescent="0.25">
      <c r="A428" t="s">
        <v>250</v>
      </c>
      <c r="B428" t="s">
        <v>251</v>
      </c>
      <c r="C428" t="s">
        <v>540</v>
      </c>
      <c r="D428" t="s">
        <v>617</v>
      </c>
      <c r="E428">
        <v>0</v>
      </c>
      <c r="F428" t="s">
        <v>618</v>
      </c>
      <c r="G428">
        <v>58955065.32</v>
      </c>
      <c r="H428">
        <v>22990</v>
      </c>
      <c r="I428">
        <v>0</v>
      </c>
      <c r="J428">
        <v>0</v>
      </c>
      <c r="K428" s="66">
        <v>58978055.32</v>
      </c>
    </row>
    <row r="429" spans="1:11" x14ac:dyDescent="0.25">
      <c r="A429" t="s">
        <v>252</v>
      </c>
      <c r="B429" t="s">
        <v>253</v>
      </c>
      <c r="C429" t="s">
        <v>540</v>
      </c>
      <c r="D429" t="s">
        <v>619</v>
      </c>
      <c r="E429">
        <v>0</v>
      </c>
      <c r="F429" t="s">
        <v>620</v>
      </c>
      <c r="G429">
        <v>3245000</v>
      </c>
      <c r="H429">
        <v>0</v>
      </c>
      <c r="I429">
        <v>0</v>
      </c>
      <c r="J429">
        <v>0</v>
      </c>
      <c r="K429" s="66">
        <v>3245000</v>
      </c>
    </row>
    <row r="430" spans="1:11" x14ac:dyDescent="0.25">
      <c r="A430" t="s">
        <v>738</v>
      </c>
      <c r="B430" t="s">
        <v>739</v>
      </c>
      <c r="C430" t="s">
        <v>540</v>
      </c>
      <c r="D430" t="s">
        <v>740</v>
      </c>
      <c r="E430">
        <v>0</v>
      </c>
      <c r="F430" t="s">
        <v>741</v>
      </c>
      <c r="G430">
        <v>976220.9</v>
      </c>
      <c r="H430">
        <v>0</v>
      </c>
      <c r="I430">
        <v>0</v>
      </c>
      <c r="J430">
        <v>0</v>
      </c>
      <c r="K430" s="66">
        <v>976220.9</v>
      </c>
    </row>
    <row r="431" spans="1:11" x14ac:dyDescent="0.25">
      <c r="A431" t="s">
        <v>256</v>
      </c>
      <c r="B431" t="s">
        <v>257</v>
      </c>
      <c r="C431" t="s">
        <v>540</v>
      </c>
      <c r="D431" t="s">
        <v>585</v>
      </c>
      <c r="E431">
        <v>6251961.0999999996</v>
      </c>
      <c r="F431" t="s">
        <v>586</v>
      </c>
      <c r="G431">
        <v>66066690.909999996</v>
      </c>
      <c r="H431">
        <v>18810079.199999999</v>
      </c>
      <c r="I431">
        <v>0</v>
      </c>
      <c r="J431">
        <v>0</v>
      </c>
      <c r="K431" s="66">
        <v>91128731.209999993</v>
      </c>
    </row>
    <row r="432" spans="1:11" x14ac:dyDescent="0.25">
      <c r="A432" t="s">
        <v>1055</v>
      </c>
      <c r="B432" t="s">
        <v>948</v>
      </c>
      <c r="C432" t="s">
        <v>540</v>
      </c>
      <c r="D432" t="s">
        <v>1056</v>
      </c>
      <c r="E432">
        <v>0</v>
      </c>
      <c r="F432" t="s">
        <v>1057</v>
      </c>
      <c r="G432">
        <v>4392303.99</v>
      </c>
      <c r="H432">
        <v>0</v>
      </c>
      <c r="I432">
        <v>0</v>
      </c>
      <c r="J432">
        <v>0</v>
      </c>
      <c r="K432" s="66">
        <v>4392303.99</v>
      </c>
    </row>
    <row r="433" spans="1:11" x14ac:dyDescent="0.25">
      <c r="A433" t="s">
        <v>258</v>
      </c>
      <c r="B433" t="s">
        <v>259</v>
      </c>
      <c r="C433" t="s">
        <v>540</v>
      </c>
      <c r="D433" t="s">
        <v>563</v>
      </c>
      <c r="E433">
        <v>0</v>
      </c>
      <c r="F433" t="s">
        <v>564</v>
      </c>
      <c r="G433">
        <v>3300000</v>
      </c>
      <c r="H433">
        <v>0</v>
      </c>
      <c r="I433">
        <v>0</v>
      </c>
      <c r="J433">
        <v>0</v>
      </c>
      <c r="K433" s="66">
        <v>3300000</v>
      </c>
    </row>
    <row r="434" spans="1:11" x14ac:dyDescent="0.25">
      <c r="A434" t="s">
        <v>260</v>
      </c>
      <c r="B434" t="s">
        <v>261</v>
      </c>
      <c r="C434" t="s">
        <v>540</v>
      </c>
      <c r="D434" t="s">
        <v>615</v>
      </c>
      <c r="E434">
        <v>2324001.02</v>
      </c>
      <c r="F434" t="s">
        <v>616</v>
      </c>
      <c r="G434">
        <v>11030003.050000001</v>
      </c>
      <c r="H434">
        <v>0</v>
      </c>
      <c r="I434">
        <v>0</v>
      </c>
      <c r="J434">
        <v>0</v>
      </c>
      <c r="K434" s="66">
        <v>13354004.07</v>
      </c>
    </row>
    <row r="435" spans="1:11" x14ac:dyDescent="0.25">
      <c r="A435" t="s">
        <v>262</v>
      </c>
      <c r="B435" t="s">
        <v>263</v>
      </c>
      <c r="C435" t="s">
        <v>540</v>
      </c>
      <c r="D435" t="s">
        <v>621</v>
      </c>
      <c r="E435">
        <v>171700</v>
      </c>
      <c r="F435" t="s">
        <v>622</v>
      </c>
      <c r="G435">
        <v>14577177.65</v>
      </c>
      <c r="H435">
        <v>0</v>
      </c>
      <c r="I435">
        <v>0</v>
      </c>
      <c r="J435">
        <v>0</v>
      </c>
      <c r="K435" s="66">
        <v>14748877.65</v>
      </c>
    </row>
    <row r="436" spans="1:11" x14ac:dyDescent="0.25">
      <c r="A436" t="s">
        <v>1058</v>
      </c>
      <c r="B436" t="s">
        <v>1059</v>
      </c>
      <c r="C436" t="s">
        <v>540</v>
      </c>
      <c r="D436" t="s">
        <v>679</v>
      </c>
      <c r="E436">
        <v>26384001.600000001</v>
      </c>
      <c r="F436" t="s">
        <v>680</v>
      </c>
      <c r="G436">
        <v>0</v>
      </c>
      <c r="H436">
        <v>0</v>
      </c>
      <c r="I436">
        <v>0</v>
      </c>
      <c r="J436">
        <v>0</v>
      </c>
      <c r="K436" s="66">
        <v>26384001.600000001</v>
      </c>
    </row>
    <row r="437" spans="1:11" x14ac:dyDescent="0.25">
      <c r="A437" t="s">
        <v>264</v>
      </c>
      <c r="B437" t="s">
        <v>265</v>
      </c>
      <c r="C437" t="s">
        <v>540</v>
      </c>
      <c r="D437" t="s">
        <v>623</v>
      </c>
      <c r="E437">
        <v>448729.13</v>
      </c>
      <c r="F437" t="s">
        <v>624</v>
      </c>
      <c r="G437">
        <v>23743637.82</v>
      </c>
      <c r="H437">
        <v>0</v>
      </c>
      <c r="I437">
        <v>0</v>
      </c>
      <c r="J437">
        <v>0</v>
      </c>
      <c r="K437" s="66">
        <v>24192366.949999999</v>
      </c>
    </row>
    <row r="438" spans="1:11" x14ac:dyDescent="0.25">
      <c r="A438" t="s">
        <v>266</v>
      </c>
      <c r="B438" t="s">
        <v>267</v>
      </c>
      <c r="C438" t="s">
        <v>540</v>
      </c>
      <c r="D438" t="s">
        <v>545</v>
      </c>
      <c r="E438">
        <v>159509.07</v>
      </c>
      <c r="F438" t="s">
        <v>546</v>
      </c>
      <c r="G438">
        <v>186323.73</v>
      </c>
      <c r="H438">
        <v>0</v>
      </c>
      <c r="I438">
        <v>0</v>
      </c>
      <c r="J438">
        <v>0</v>
      </c>
      <c r="K438" s="66">
        <v>345832.8</v>
      </c>
    </row>
    <row r="439" spans="1:11" x14ac:dyDescent="0.25">
      <c r="A439" t="s">
        <v>1060</v>
      </c>
      <c r="B439" t="s">
        <v>949</v>
      </c>
      <c r="C439" t="s">
        <v>540</v>
      </c>
      <c r="D439" t="s">
        <v>563</v>
      </c>
      <c r="E439">
        <v>0</v>
      </c>
      <c r="F439" t="s">
        <v>564</v>
      </c>
      <c r="G439">
        <v>1415700</v>
      </c>
      <c r="H439">
        <v>0</v>
      </c>
      <c r="I439">
        <v>0</v>
      </c>
      <c r="J439">
        <v>0</v>
      </c>
      <c r="K439" s="66">
        <v>1415700</v>
      </c>
    </row>
    <row r="440" spans="1:11" x14ac:dyDescent="0.25">
      <c r="A440" t="s">
        <v>268</v>
      </c>
      <c r="B440" t="s">
        <v>269</v>
      </c>
      <c r="C440" t="s">
        <v>540</v>
      </c>
      <c r="D440" t="s">
        <v>541</v>
      </c>
      <c r="E440">
        <v>775513.2</v>
      </c>
      <c r="F440" t="s">
        <v>542</v>
      </c>
      <c r="G440">
        <v>775513.2</v>
      </c>
      <c r="H440">
        <v>0</v>
      </c>
      <c r="I440">
        <v>0</v>
      </c>
      <c r="J440">
        <v>0</v>
      </c>
      <c r="K440" s="66">
        <v>1551026.4</v>
      </c>
    </row>
    <row r="441" spans="1:11" x14ac:dyDescent="0.25">
      <c r="A441" t="s">
        <v>270</v>
      </c>
      <c r="B441" t="s">
        <v>271</v>
      </c>
      <c r="C441" t="s">
        <v>540</v>
      </c>
      <c r="D441" t="s">
        <v>601</v>
      </c>
      <c r="E441">
        <v>0</v>
      </c>
      <c r="F441" t="s">
        <v>602</v>
      </c>
      <c r="G441">
        <v>0</v>
      </c>
      <c r="H441">
        <v>0</v>
      </c>
      <c r="I441">
        <v>0</v>
      </c>
      <c r="J441">
        <v>290181.01</v>
      </c>
      <c r="K441" s="66">
        <v>290181.01</v>
      </c>
    </row>
    <row r="442" spans="1:11" x14ac:dyDescent="0.25">
      <c r="A442" t="s">
        <v>274</v>
      </c>
      <c r="B442" t="s">
        <v>275</v>
      </c>
      <c r="C442" t="s">
        <v>540</v>
      </c>
      <c r="D442" t="s">
        <v>577</v>
      </c>
      <c r="E442">
        <v>0</v>
      </c>
      <c r="F442" t="s">
        <v>578</v>
      </c>
      <c r="G442">
        <v>2687273.09</v>
      </c>
      <c r="H442">
        <v>0</v>
      </c>
      <c r="I442">
        <v>0</v>
      </c>
      <c r="J442">
        <v>0</v>
      </c>
      <c r="K442" s="66">
        <v>2687273.09</v>
      </c>
    </row>
    <row r="443" spans="1:11" x14ac:dyDescent="0.25">
      <c r="A443" t="s">
        <v>276</v>
      </c>
      <c r="B443" t="s">
        <v>277</v>
      </c>
      <c r="C443" t="s">
        <v>540</v>
      </c>
      <c r="D443" t="s">
        <v>627</v>
      </c>
      <c r="E443">
        <v>23853303.629999999</v>
      </c>
      <c r="F443" t="s">
        <v>628</v>
      </c>
      <c r="G443">
        <v>62308634.399999999</v>
      </c>
      <c r="H443">
        <v>0</v>
      </c>
      <c r="I443">
        <v>0</v>
      </c>
      <c r="J443">
        <v>0</v>
      </c>
      <c r="K443" s="66">
        <v>86161938.030000001</v>
      </c>
    </row>
    <row r="444" spans="1:11" x14ac:dyDescent="0.25">
      <c r="A444" t="s">
        <v>810</v>
      </c>
      <c r="B444" t="s">
        <v>811</v>
      </c>
      <c r="C444" t="s">
        <v>540</v>
      </c>
      <c r="D444" t="s">
        <v>589</v>
      </c>
      <c r="E444">
        <v>0</v>
      </c>
      <c r="F444" t="s">
        <v>590</v>
      </c>
      <c r="G444">
        <v>2979515.5</v>
      </c>
      <c r="H444">
        <v>0</v>
      </c>
      <c r="I444">
        <v>0</v>
      </c>
      <c r="J444">
        <v>0</v>
      </c>
      <c r="K444" s="66">
        <v>2979515.5</v>
      </c>
    </row>
    <row r="445" spans="1:11" x14ac:dyDescent="0.25">
      <c r="A445" t="s">
        <v>278</v>
      </c>
      <c r="B445" t="s">
        <v>279</v>
      </c>
      <c r="C445" t="s">
        <v>540</v>
      </c>
      <c r="D445" t="s">
        <v>629</v>
      </c>
      <c r="E445">
        <v>2622134.39</v>
      </c>
      <c r="F445" t="s">
        <v>630</v>
      </c>
      <c r="G445">
        <v>224705.27</v>
      </c>
      <c r="H445">
        <v>0</v>
      </c>
      <c r="I445">
        <v>0</v>
      </c>
      <c r="J445">
        <v>0</v>
      </c>
      <c r="K445" s="66">
        <v>2846839.66</v>
      </c>
    </row>
    <row r="446" spans="1:11" x14ac:dyDescent="0.25">
      <c r="A446" t="s">
        <v>1061</v>
      </c>
      <c r="B446" t="s">
        <v>1062</v>
      </c>
      <c r="C446" t="s">
        <v>540</v>
      </c>
      <c r="D446" t="s">
        <v>603</v>
      </c>
      <c r="E446">
        <v>1478880.28</v>
      </c>
      <c r="F446" t="s">
        <v>604</v>
      </c>
      <c r="G446">
        <v>0</v>
      </c>
      <c r="H446">
        <v>0</v>
      </c>
      <c r="I446">
        <v>0</v>
      </c>
      <c r="J446">
        <v>0</v>
      </c>
      <c r="K446" s="66">
        <v>1478880.28</v>
      </c>
    </row>
    <row r="447" spans="1:11" x14ac:dyDescent="0.25">
      <c r="A447" t="s">
        <v>1063</v>
      </c>
      <c r="B447" t="s">
        <v>950</v>
      </c>
      <c r="C447" t="s">
        <v>540</v>
      </c>
      <c r="D447" t="s">
        <v>551</v>
      </c>
      <c r="E447">
        <v>145393.60000000001</v>
      </c>
      <c r="F447" t="s">
        <v>552</v>
      </c>
      <c r="G447">
        <v>0</v>
      </c>
      <c r="H447">
        <v>0</v>
      </c>
      <c r="I447">
        <v>0</v>
      </c>
      <c r="J447">
        <v>0</v>
      </c>
      <c r="K447" s="66">
        <v>145393.60000000001</v>
      </c>
    </row>
    <row r="448" spans="1:11" x14ac:dyDescent="0.25">
      <c r="A448" t="s">
        <v>1064</v>
      </c>
      <c r="B448" t="s">
        <v>1065</v>
      </c>
      <c r="C448" t="s">
        <v>540</v>
      </c>
      <c r="D448" t="s">
        <v>677</v>
      </c>
      <c r="E448">
        <v>0</v>
      </c>
      <c r="F448" t="s">
        <v>678</v>
      </c>
      <c r="G448">
        <v>18200</v>
      </c>
      <c r="H448">
        <v>0</v>
      </c>
      <c r="I448">
        <v>0</v>
      </c>
      <c r="J448">
        <v>0</v>
      </c>
      <c r="K448" s="66">
        <v>18200</v>
      </c>
    </row>
    <row r="449" spans="1:11" x14ac:dyDescent="0.25">
      <c r="A449" t="s">
        <v>280</v>
      </c>
      <c r="B449" t="s">
        <v>281</v>
      </c>
      <c r="C449" t="s">
        <v>540</v>
      </c>
      <c r="D449" t="s">
        <v>559</v>
      </c>
      <c r="E449">
        <v>780000</v>
      </c>
      <c r="F449" t="s">
        <v>560</v>
      </c>
      <c r="G449">
        <v>780000</v>
      </c>
      <c r="H449">
        <v>0</v>
      </c>
      <c r="I449">
        <v>0</v>
      </c>
      <c r="J449">
        <v>0</v>
      </c>
      <c r="K449" s="66">
        <v>1560000</v>
      </c>
    </row>
    <row r="450" spans="1:11" x14ac:dyDescent="0.25">
      <c r="A450" t="s">
        <v>1066</v>
      </c>
      <c r="B450" t="s">
        <v>951</v>
      </c>
      <c r="C450" t="s">
        <v>540</v>
      </c>
      <c r="D450" t="s">
        <v>1067</v>
      </c>
      <c r="E450">
        <v>0</v>
      </c>
      <c r="F450" t="s">
        <v>1068</v>
      </c>
      <c r="G450">
        <v>2571368.9900000002</v>
      </c>
      <c r="H450">
        <v>0</v>
      </c>
      <c r="I450">
        <v>0</v>
      </c>
      <c r="J450">
        <v>0</v>
      </c>
      <c r="K450" s="66">
        <v>2571368.9900000002</v>
      </c>
    </row>
    <row r="451" spans="1:11" x14ac:dyDescent="0.25">
      <c r="A451" t="s">
        <v>284</v>
      </c>
      <c r="B451" t="s">
        <v>285</v>
      </c>
      <c r="C451" t="s">
        <v>540</v>
      </c>
      <c r="D451" t="s">
        <v>633</v>
      </c>
      <c r="E451">
        <v>0</v>
      </c>
      <c r="F451" t="s">
        <v>634</v>
      </c>
      <c r="G451">
        <v>0</v>
      </c>
      <c r="H451">
        <v>0</v>
      </c>
      <c r="I451">
        <v>0</v>
      </c>
      <c r="J451">
        <v>0.02</v>
      </c>
      <c r="K451" s="66">
        <v>0.02</v>
      </c>
    </row>
    <row r="452" spans="1:11" x14ac:dyDescent="0.25">
      <c r="A452" t="s">
        <v>286</v>
      </c>
      <c r="B452" t="s">
        <v>287</v>
      </c>
      <c r="C452" t="s">
        <v>540</v>
      </c>
      <c r="D452" t="s">
        <v>635</v>
      </c>
      <c r="E452">
        <v>264506</v>
      </c>
      <c r="F452" t="s">
        <v>636</v>
      </c>
      <c r="G452">
        <v>4834434</v>
      </c>
      <c r="H452">
        <v>0</v>
      </c>
      <c r="I452">
        <v>0</v>
      </c>
      <c r="J452">
        <v>0</v>
      </c>
      <c r="K452" s="66">
        <v>5098940</v>
      </c>
    </row>
    <row r="453" spans="1:11" x14ac:dyDescent="0.25">
      <c r="A453" t="s">
        <v>288</v>
      </c>
      <c r="B453" t="s">
        <v>289</v>
      </c>
      <c r="C453" t="s">
        <v>540</v>
      </c>
      <c r="D453" t="s">
        <v>619</v>
      </c>
      <c r="E453">
        <v>1065526</v>
      </c>
      <c r="F453" t="s">
        <v>620</v>
      </c>
      <c r="G453">
        <v>2102254.0099999998</v>
      </c>
      <c r="H453">
        <v>0</v>
      </c>
      <c r="I453">
        <v>0</v>
      </c>
      <c r="J453">
        <v>0</v>
      </c>
      <c r="K453" s="66">
        <v>3167780.01</v>
      </c>
    </row>
    <row r="454" spans="1:11" x14ac:dyDescent="0.25">
      <c r="A454" t="s">
        <v>290</v>
      </c>
      <c r="B454" t="s">
        <v>291</v>
      </c>
      <c r="C454" t="s">
        <v>540</v>
      </c>
      <c r="D454" t="s">
        <v>623</v>
      </c>
      <c r="E454">
        <v>0</v>
      </c>
      <c r="F454" t="s">
        <v>624</v>
      </c>
      <c r="G454">
        <v>3222002.58</v>
      </c>
      <c r="H454">
        <v>0</v>
      </c>
      <c r="I454">
        <v>0</v>
      </c>
      <c r="J454">
        <v>0</v>
      </c>
      <c r="K454" s="66">
        <v>3222002.58</v>
      </c>
    </row>
    <row r="455" spans="1:11" x14ac:dyDescent="0.25">
      <c r="A455" t="s">
        <v>746</v>
      </c>
      <c r="B455" t="s">
        <v>747</v>
      </c>
      <c r="C455" t="s">
        <v>540</v>
      </c>
      <c r="D455" t="s">
        <v>589</v>
      </c>
      <c r="E455">
        <v>0</v>
      </c>
      <c r="F455" t="s">
        <v>590</v>
      </c>
      <c r="G455">
        <v>5693093.9299999997</v>
      </c>
      <c r="H455">
        <v>2710526.29</v>
      </c>
      <c r="I455">
        <v>0</v>
      </c>
      <c r="J455">
        <v>0</v>
      </c>
      <c r="K455" s="66">
        <v>8403620.2200000007</v>
      </c>
    </row>
    <row r="456" spans="1:11" x14ac:dyDescent="0.25">
      <c r="A456" t="s">
        <v>292</v>
      </c>
      <c r="B456" t="s">
        <v>293</v>
      </c>
      <c r="C456" t="s">
        <v>540</v>
      </c>
      <c r="D456" t="s">
        <v>551</v>
      </c>
      <c r="E456">
        <v>0</v>
      </c>
      <c r="F456" t="s">
        <v>552</v>
      </c>
      <c r="G456">
        <v>4058340</v>
      </c>
      <c r="H456">
        <v>2572823</v>
      </c>
      <c r="I456">
        <v>0</v>
      </c>
      <c r="J456">
        <v>0</v>
      </c>
      <c r="K456" s="66">
        <v>6631163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 s="66">
        <v>-3904.38</v>
      </c>
    </row>
    <row r="458" spans="1:11" x14ac:dyDescent="0.25">
      <c r="A458" t="s">
        <v>1069</v>
      </c>
      <c r="B458" t="s">
        <v>952</v>
      </c>
      <c r="C458" t="s">
        <v>540</v>
      </c>
      <c r="D458" t="s">
        <v>639</v>
      </c>
      <c r="E458">
        <v>205700</v>
      </c>
      <c r="F458" t="s">
        <v>640</v>
      </c>
      <c r="G458">
        <v>620488</v>
      </c>
      <c r="H458">
        <v>0</v>
      </c>
      <c r="I458">
        <v>0</v>
      </c>
      <c r="J458">
        <v>0</v>
      </c>
      <c r="K458" s="66">
        <v>826188</v>
      </c>
    </row>
    <row r="459" spans="1:11" x14ac:dyDescent="0.25">
      <c r="A459" t="s">
        <v>1070</v>
      </c>
      <c r="B459" t="s">
        <v>953</v>
      </c>
      <c r="C459" t="s">
        <v>540</v>
      </c>
      <c r="D459" t="s">
        <v>545</v>
      </c>
      <c r="E459">
        <v>0</v>
      </c>
      <c r="F459" t="s">
        <v>546</v>
      </c>
      <c r="G459">
        <v>238590.8</v>
      </c>
      <c r="H459">
        <v>0</v>
      </c>
      <c r="I459">
        <v>0</v>
      </c>
      <c r="J459">
        <v>0</v>
      </c>
      <c r="K459" s="66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 s="66">
        <v>40367.35</v>
      </c>
    </row>
    <row r="461" spans="1:11" x14ac:dyDescent="0.25">
      <c r="A461" t="s">
        <v>1071</v>
      </c>
      <c r="B461" t="s">
        <v>954</v>
      </c>
      <c r="C461" t="s">
        <v>540</v>
      </c>
      <c r="D461" t="s">
        <v>589</v>
      </c>
      <c r="E461">
        <v>0</v>
      </c>
      <c r="F461" t="s">
        <v>590</v>
      </c>
      <c r="G461">
        <v>128077.24</v>
      </c>
      <c r="H461">
        <v>0</v>
      </c>
      <c r="I461">
        <v>0</v>
      </c>
      <c r="J461">
        <v>0</v>
      </c>
      <c r="K461" s="66">
        <v>128077.24</v>
      </c>
    </row>
    <row r="462" spans="1:11" x14ac:dyDescent="0.25">
      <c r="A462" t="s">
        <v>1072</v>
      </c>
      <c r="B462" t="s">
        <v>955</v>
      </c>
      <c r="C462" t="s">
        <v>540</v>
      </c>
      <c r="D462" t="s">
        <v>1073</v>
      </c>
      <c r="E462">
        <v>0</v>
      </c>
      <c r="F462" t="s">
        <v>1074</v>
      </c>
      <c r="G462">
        <v>405000</v>
      </c>
      <c r="H462">
        <v>0</v>
      </c>
      <c r="I462">
        <v>0</v>
      </c>
      <c r="J462">
        <v>0</v>
      </c>
      <c r="K462" s="66">
        <v>405000</v>
      </c>
    </row>
    <row r="463" spans="1:11" x14ac:dyDescent="0.25">
      <c r="A463" t="s">
        <v>1075</v>
      </c>
      <c r="B463" t="s">
        <v>956</v>
      </c>
      <c r="C463" t="s">
        <v>540</v>
      </c>
      <c r="D463" t="s">
        <v>1012</v>
      </c>
      <c r="E463">
        <v>6948388.7000000002</v>
      </c>
      <c r="F463" t="s">
        <v>1013</v>
      </c>
      <c r="G463">
        <v>0</v>
      </c>
      <c r="H463">
        <v>0</v>
      </c>
      <c r="I463">
        <v>0</v>
      </c>
      <c r="J463">
        <v>0</v>
      </c>
      <c r="K463" s="66">
        <v>6948388.7000000002</v>
      </c>
    </row>
    <row r="464" spans="1:11" x14ac:dyDescent="0.25">
      <c r="A464" t="s">
        <v>1076</v>
      </c>
      <c r="B464" t="s">
        <v>957</v>
      </c>
      <c r="C464" t="s">
        <v>540</v>
      </c>
      <c r="D464" t="s">
        <v>857</v>
      </c>
      <c r="E464">
        <v>0</v>
      </c>
      <c r="F464" t="s">
        <v>858</v>
      </c>
      <c r="G464">
        <v>2504700</v>
      </c>
      <c r="H464">
        <v>0</v>
      </c>
      <c r="I464">
        <v>0</v>
      </c>
      <c r="J464">
        <v>0</v>
      </c>
      <c r="K464" s="66">
        <v>2504700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4841301.3099999996</v>
      </c>
      <c r="H465">
        <v>0</v>
      </c>
      <c r="I465">
        <v>0</v>
      </c>
      <c r="J465">
        <v>0</v>
      </c>
      <c r="K465" s="66">
        <v>4841301.3099999996</v>
      </c>
    </row>
    <row r="466" spans="1:11" x14ac:dyDescent="0.25">
      <c r="A466" t="s">
        <v>1077</v>
      </c>
      <c r="B466" t="s">
        <v>1078</v>
      </c>
      <c r="C466" t="s">
        <v>540</v>
      </c>
      <c r="D466" t="s">
        <v>617</v>
      </c>
      <c r="E466">
        <v>19656000</v>
      </c>
      <c r="F466" t="s">
        <v>618</v>
      </c>
      <c r="G466">
        <v>0</v>
      </c>
      <c r="H466">
        <v>0</v>
      </c>
      <c r="I466">
        <v>0</v>
      </c>
      <c r="J466">
        <v>0</v>
      </c>
      <c r="K466" s="66">
        <v>19656000</v>
      </c>
    </row>
    <row r="467" spans="1:11" x14ac:dyDescent="0.25">
      <c r="A467" t="s">
        <v>304</v>
      </c>
      <c r="B467" t="s">
        <v>305</v>
      </c>
      <c r="C467" t="s">
        <v>540</v>
      </c>
      <c r="D467" t="s">
        <v>631</v>
      </c>
      <c r="E467">
        <v>0</v>
      </c>
      <c r="F467" t="s">
        <v>632</v>
      </c>
      <c r="G467">
        <v>36297.58</v>
      </c>
      <c r="H467">
        <v>1845637.2</v>
      </c>
      <c r="I467">
        <v>0</v>
      </c>
      <c r="J467">
        <v>0</v>
      </c>
      <c r="K467" s="66">
        <v>1881934.78</v>
      </c>
    </row>
    <row r="468" spans="1:11" x14ac:dyDescent="0.25">
      <c r="A468" t="s">
        <v>306</v>
      </c>
      <c r="B468" t="s">
        <v>307</v>
      </c>
      <c r="C468" t="s">
        <v>540</v>
      </c>
      <c r="D468" t="s">
        <v>621</v>
      </c>
      <c r="E468">
        <v>0</v>
      </c>
      <c r="F468" t="s">
        <v>622</v>
      </c>
      <c r="G468">
        <v>0</v>
      </c>
      <c r="H468">
        <v>0</v>
      </c>
      <c r="I468">
        <v>0</v>
      </c>
      <c r="J468">
        <v>-387219.15</v>
      </c>
      <c r="K468" s="66">
        <v>-387219.15</v>
      </c>
    </row>
    <row r="469" spans="1:11" x14ac:dyDescent="0.25">
      <c r="A469" t="s">
        <v>308</v>
      </c>
      <c r="B469" t="s">
        <v>309</v>
      </c>
      <c r="C469" t="s">
        <v>540</v>
      </c>
      <c r="D469" t="s">
        <v>563</v>
      </c>
      <c r="E469">
        <v>298920.82</v>
      </c>
      <c r="F469" t="s">
        <v>564</v>
      </c>
      <c r="G469">
        <v>2409787.6</v>
      </c>
      <c r="H469">
        <v>0</v>
      </c>
      <c r="I469">
        <v>0</v>
      </c>
      <c r="J469">
        <v>0</v>
      </c>
      <c r="K469" s="66">
        <v>2708708.42</v>
      </c>
    </row>
    <row r="470" spans="1:11" x14ac:dyDescent="0.25">
      <c r="A470" t="s">
        <v>1079</v>
      </c>
      <c r="B470" t="s">
        <v>958</v>
      </c>
      <c r="C470" t="s">
        <v>540</v>
      </c>
      <c r="D470" t="s">
        <v>549</v>
      </c>
      <c r="E470">
        <v>39595210</v>
      </c>
      <c r="F470" t="s">
        <v>550</v>
      </c>
      <c r="G470">
        <v>0</v>
      </c>
      <c r="H470">
        <v>0</v>
      </c>
      <c r="I470">
        <v>0</v>
      </c>
      <c r="J470">
        <v>0</v>
      </c>
      <c r="K470" s="66">
        <v>39595210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1118111.6499999999</v>
      </c>
      <c r="F471" t="s">
        <v>644</v>
      </c>
      <c r="G471">
        <v>5816955.8200000003</v>
      </c>
      <c r="H471">
        <v>0</v>
      </c>
      <c r="I471">
        <v>0</v>
      </c>
      <c r="J471">
        <v>0</v>
      </c>
      <c r="K471" s="66">
        <v>6935067.4699999997</v>
      </c>
    </row>
    <row r="472" spans="1:11" x14ac:dyDescent="0.25">
      <c r="A472" t="s">
        <v>1080</v>
      </c>
      <c r="B472" t="s">
        <v>959</v>
      </c>
      <c r="C472" t="s">
        <v>540</v>
      </c>
      <c r="D472" t="s">
        <v>607</v>
      </c>
      <c r="E472">
        <v>1051838.77</v>
      </c>
      <c r="F472" t="s">
        <v>608</v>
      </c>
      <c r="G472">
        <v>1224087.73</v>
      </c>
      <c r="H472">
        <v>0</v>
      </c>
      <c r="I472">
        <v>0</v>
      </c>
      <c r="J472">
        <v>0</v>
      </c>
      <c r="K472" s="66">
        <v>2275926.5</v>
      </c>
    </row>
    <row r="473" spans="1:11" x14ac:dyDescent="0.25">
      <c r="A473" t="s">
        <v>812</v>
      </c>
      <c r="B473" t="s">
        <v>813</v>
      </c>
      <c r="C473" t="s">
        <v>540</v>
      </c>
      <c r="D473" t="s">
        <v>545</v>
      </c>
      <c r="E473">
        <v>110621.66</v>
      </c>
      <c r="F473" t="s">
        <v>546</v>
      </c>
      <c r="G473">
        <v>577203.93999999994</v>
      </c>
      <c r="H473">
        <v>0</v>
      </c>
      <c r="I473">
        <v>0</v>
      </c>
      <c r="J473">
        <v>0</v>
      </c>
      <c r="K473" s="66">
        <v>687825.6</v>
      </c>
    </row>
    <row r="474" spans="1:11" x14ac:dyDescent="0.25">
      <c r="A474" t="s">
        <v>1081</v>
      </c>
      <c r="B474" t="s">
        <v>960</v>
      </c>
      <c r="C474" t="s">
        <v>540</v>
      </c>
      <c r="D474" t="s">
        <v>1082</v>
      </c>
      <c r="E474">
        <v>311500</v>
      </c>
      <c r="F474" t="s">
        <v>1083</v>
      </c>
      <c r="G474">
        <v>0</v>
      </c>
      <c r="H474">
        <v>0</v>
      </c>
      <c r="I474">
        <v>0</v>
      </c>
      <c r="J474">
        <v>0</v>
      </c>
      <c r="K474" s="66">
        <v>311500</v>
      </c>
    </row>
    <row r="475" spans="1:11" x14ac:dyDescent="0.25">
      <c r="A475" t="s">
        <v>314</v>
      </c>
      <c r="B475" t="s">
        <v>315</v>
      </c>
      <c r="C475" t="s">
        <v>540</v>
      </c>
      <c r="D475" t="s">
        <v>647</v>
      </c>
      <c r="E475">
        <v>0</v>
      </c>
      <c r="F475" t="s">
        <v>648</v>
      </c>
      <c r="G475">
        <v>1003000</v>
      </c>
      <c r="H475">
        <v>395000</v>
      </c>
      <c r="I475">
        <v>0</v>
      </c>
      <c r="J475">
        <v>0</v>
      </c>
      <c r="K475" s="66">
        <v>1398000</v>
      </c>
    </row>
    <row r="476" spans="1:11" x14ac:dyDescent="0.25">
      <c r="A476" t="s">
        <v>316</v>
      </c>
      <c r="B476" t="s">
        <v>317</v>
      </c>
      <c r="C476" t="s">
        <v>540</v>
      </c>
      <c r="D476" t="s">
        <v>553</v>
      </c>
      <c r="E476">
        <v>0</v>
      </c>
      <c r="F476" t="s">
        <v>554</v>
      </c>
      <c r="G476">
        <v>748110.12</v>
      </c>
      <c r="H476">
        <v>0</v>
      </c>
      <c r="I476">
        <v>0</v>
      </c>
      <c r="J476">
        <v>0</v>
      </c>
      <c r="K476" s="66">
        <v>748110.12</v>
      </c>
    </row>
    <row r="477" spans="1:11" x14ac:dyDescent="0.25">
      <c r="A477" t="s">
        <v>1084</v>
      </c>
      <c r="B477" t="s">
        <v>961</v>
      </c>
      <c r="C477" t="s">
        <v>540</v>
      </c>
      <c r="D477" t="s">
        <v>545</v>
      </c>
      <c r="E477">
        <v>0</v>
      </c>
      <c r="F477" t="s">
        <v>546</v>
      </c>
      <c r="G477">
        <v>142838.15</v>
      </c>
      <c r="H477">
        <v>0</v>
      </c>
      <c r="I477">
        <v>0</v>
      </c>
      <c r="J477">
        <v>0</v>
      </c>
      <c r="K477" s="66">
        <v>142838.15</v>
      </c>
    </row>
    <row r="478" spans="1:11" x14ac:dyDescent="0.25">
      <c r="A478" t="s">
        <v>1085</v>
      </c>
      <c r="B478" t="s">
        <v>1086</v>
      </c>
      <c r="C478" t="s">
        <v>540</v>
      </c>
      <c r="D478" t="s">
        <v>541</v>
      </c>
      <c r="E478">
        <v>153672.95999999999</v>
      </c>
      <c r="F478" t="s">
        <v>542</v>
      </c>
      <c r="G478">
        <v>0</v>
      </c>
      <c r="H478">
        <v>0</v>
      </c>
      <c r="I478">
        <v>0</v>
      </c>
      <c r="J478">
        <v>0</v>
      </c>
      <c r="K478" s="66">
        <v>153672.95999999999</v>
      </c>
    </row>
    <row r="479" spans="1:11" x14ac:dyDescent="0.25">
      <c r="A479" t="s">
        <v>318</v>
      </c>
      <c r="B479" t="s">
        <v>319</v>
      </c>
      <c r="C479" t="s">
        <v>540</v>
      </c>
      <c r="D479" t="s">
        <v>649</v>
      </c>
      <c r="E479">
        <v>1556409.17</v>
      </c>
      <c r="F479" t="s">
        <v>650</v>
      </c>
      <c r="G479">
        <v>6159807.25</v>
      </c>
      <c r="H479">
        <v>3652353</v>
      </c>
      <c r="I479">
        <v>0</v>
      </c>
      <c r="J479">
        <v>0</v>
      </c>
      <c r="K479" s="66">
        <v>11368569.42</v>
      </c>
    </row>
    <row r="480" spans="1:11" x14ac:dyDescent="0.25">
      <c r="A480" t="s">
        <v>750</v>
      </c>
      <c r="B480" t="s">
        <v>751</v>
      </c>
      <c r="C480" t="s">
        <v>540</v>
      </c>
      <c r="D480" t="s">
        <v>627</v>
      </c>
      <c r="E480">
        <v>118627168.8</v>
      </c>
      <c r="F480" t="s">
        <v>628</v>
      </c>
      <c r="G480">
        <v>307386390.85000002</v>
      </c>
      <c r="H480">
        <v>0</v>
      </c>
      <c r="I480">
        <v>0</v>
      </c>
      <c r="J480">
        <v>0</v>
      </c>
      <c r="K480" s="66">
        <v>426013559.64999998</v>
      </c>
    </row>
    <row r="481" spans="1:11" x14ac:dyDescent="0.25">
      <c r="A481" t="s">
        <v>1087</v>
      </c>
      <c r="B481" t="s">
        <v>962</v>
      </c>
      <c r="C481" t="s">
        <v>540</v>
      </c>
      <c r="D481" t="s">
        <v>1088</v>
      </c>
      <c r="E481">
        <v>0</v>
      </c>
      <c r="F481" t="s">
        <v>1089</v>
      </c>
      <c r="G481">
        <v>559069.84</v>
      </c>
      <c r="H481">
        <v>0</v>
      </c>
      <c r="I481">
        <v>0</v>
      </c>
      <c r="J481">
        <v>0</v>
      </c>
      <c r="K481" s="66">
        <v>559069.84</v>
      </c>
    </row>
    <row r="482" spans="1:11" x14ac:dyDescent="0.25">
      <c r="A482" t="s">
        <v>651</v>
      </c>
      <c r="B482" t="s">
        <v>652</v>
      </c>
      <c r="C482" t="s">
        <v>540</v>
      </c>
      <c r="D482" t="s">
        <v>603</v>
      </c>
      <c r="E482">
        <v>0</v>
      </c>
      <c r="F482" t="s">
        <v>604</v>
      </c>
      <c r="G482">
        <v>8993535.8100000005</v>
      </c>
      <c r="H482">
        <v>0</v>
      </c>
      <c r="I482">
        <v>0</v>
      </c>
      <c r="J482">
        <v>0</v>
      </c>
      <c r="K482" s="66">
        <v>8993535.8100000005</v>
      </c>
    </row>
    <row r="483" spans="1:11" x14ac:dyDescent="0.25">
      <c r="A483" t="s">
        <v>503</v>
      </c>
      <c r="B483" t="s">
        <v>504</v>
      </c>
      <c r="C483" t="s">
        <v>540</v>
      </c>
      <c r="D483" t="s">
        <v>623</v>
      </c>
      <c r="E483">
        <v>0</v>
      </c>
      <c r="F483" t="s">
        <v>624</v>
      </c>
      <c r="G483">
        <v>5002368.4000000004</v>
      </c>
      <c r="H483">
        <v>0</v>
      </c>
      <c r="I483">
        <v>0</v>
      </c>
      <c r="J483">
        <v>0</v>
      </c>
      <c r="K483" s="66">
        <v>5002368.4000000004</v>
      </c>
    </row>
    <row r="484" spans="1:11" x14ac:dyDescent="0.25">
      <c r="A484" t="s">
        <v>320</v>
      </c>
      <c r="B484" t="s">
        <v>321</v>
      </c>
      <c r="C484" t="s">
        <v>540</v>
      </c>
      <c r="D484" t="s">
        <v>553</v>
      </c>
      <c r="E484">
        <v>1525225.6</v>
      </c>
      <c r="F484" t="s">
        <v>554</v>
      </c>
      <c r="G484">
        <v>2049440.85</v>
      </c>
      <c r="H484">
        <v>0</v>
      </c>
      <c r="I484">
        <v>0</v>
      </c>
      <c r="J484">
        <v>0</v>
      </c>
      <c r="K484" s="66">
        <v>3574666.45</v>
      </c>
    </row>
    <row r="485" spans="1:11" x14ac:dyDescent="0.25">
      <c r="A485" t="s">
        <v>1090</v>
      </c>
      <c r="B485" t="s">
        <v>963</v>
      </c>
      <c r="C485" t="s">
        <v>540</v>
      </c>
      <c r="D485" t="s">
        <v>1091</v>
      </c>
      <c r="E485">
        <v>4247000</v>
      </c>
      <c r="F485" t="s">
        <v>1092</v>
      </c>
      <c r="G485">
        <v>0</v>
      </c>
      <c r="H485">
        <v>0</v>
      </c>
      <c r="I485">
        <v>0</v>
      </c>
      <c r="J485">
        <v>0</v>
      </c>
      <c r="K485" s="66">
        <v>4247000</v>
      </c>
    </row>
    <row r="486" spans="1:11" x14ac:dyDescent="0.25">
      <c r="A486" t="s">
        <v>322</v>
      </c>
      <c r="B486" t="s">
        <v>323</v>
      </c>
      <c r="C486" t="s">
        <v>540</v>
      </c>
      <c r="D486" t="s">
        <v>589</v>
      </c>
      <c r="E486">
        <v>0</v>
      </c>
      <c r="F486" t="s">
        <v>590</v>
      </c>
      <c r="G486">
        <v>3368997.05</v>
      </c>
      <c r="H486">
        <v>0</v>
      </c>
      <c r="I486">
        <v>0</v>
      </c>
      <c r="J486">
        <v>0</v>
      </c>
      <c r="K486" s="66">
        <v>3368997.05</v>
      </c>
    </row>
    <row r="487" spans="1:11" x14ac:dyDescent="0.25">
      <c r="A487" t="s">
        <v>324</v>
      </c>
      <c r="B487" t="s">
        <v>325</v>
      </c>
      <c r="C487" t="s">
        <v>540</v>
      </c>
      <c r="D487" t="s">
        <v>569</v>
      </c>
      <c r="E487">
        <v>0</v>
      </c>
      <c r="F487" t="s">
        <v>570</v>
      </c>
      <c r="G487">
        <v>0</v>
      </c>
      <c r="H487">
        <v>0</v>
      </c>
      <c r="I487">
        <v>0</v>
      </c>
      <c r="J487">
        <v>-258135.9</v>
      </c>
      <c r="K487" s="66">
        <v>-258135.9</v>
      </c>
    </row>
    <row r="488" spans="1:11" x14ac:dyDescent="0.25">
      <c r="A488" t="s">
        <v>326</v>
      </c>
      <c r="B488" t="s">
        <v>327</v>
      </c>
      <c r="C488" t="s">
        <v>540</v>
      </c>
      <c r="D488" t="s">
        <v>653</v>
      </c>
      <c r="E488">
        <v>0</v>
      </c>
      <c r="F488" t="s">
        <v>654</v>
      </c>
      <c r="G488">
        <v>14142961.199999999</v>
      </c>
      <c r="H488">
        <v>0</v>
      </c>
      <c r="I488">
        <v>0</v>
      </c>
      <c r="J488">
        <v>0</v>
      </c>
      <c r="K488" s="66">
        <v>14142961.199999999</v>
      </c>
    </row>
    <row r="489" spans="1:11" x14ac:dyDescent="0.25">
      <c r="A489" t="s">
        <v>1093</v>
      </c>
      <c r="B489" t="s">
        <v>964</v>
      </c>
      <c r="C489" t="s">
        <v>540</v>
      </c>
      <c r="D489" t="s">
        <v>693</v>
      </c>
      <c r="E489">
        <v>0</v>
      </c>
      <c r="F489" t="s">
        <v>694</v>
      </c>
      <c r="G489">
        <v>63472</v>
      </c>
      <c r="H489">
        <v>0</v>
      </c>
      <c r="I489">
        <v>0</v>
      </c>
      <c r="J489">
        <v>0</v>
      </c>
      <c r="K489" s="66">
        <v>63472</v>
      </c>
    </row>
    <row r="490" spans="1:11" x14ac:dyDescent="0.25">
      <c r="A490" t="s">
        <v>873</v>
      </c>
      <c r="B490" t="s">
        <v>874</v>
      </c>
      <c r="C490" t="s">
        <v>540</v>
      </c>
      <c r="D490" t="s">
        <v>545</v>
      </c>
      <c r="E490">
        <v>0</v>
      </c>
      <c r="F490" t="s">
        <v>546</v>
      </c>
      <c r="G490">
        <v>1095627.3799999999</v>
      </c>
      <c r="H490">
        <v>0</v>
      </c>
      <c r="I490">
        <v>0</v>
      </c>
      <c r="J490">
        <v>0</v>
      </c>
      <c r="K490" s="66">
        <v>1095627.3799999999</v>
      </c>
    </row>
    <row r="491" spans="1:11" x14ac:dyDescent="0.25">
      <c r="A491" t="s">
        <v>330</v>
      </c>
      <c r="B491" t="s">
        <v>331</v>
      </c>
      <c r="C491" t="s">
        <v>540</v>
      </c>
      <c r="D491" t="s">
        <v>603</v>
      </c>
      <c r="E491">
        <v>0</v>
      </c>
      <c r="F491" t="s">
        <v>604</v>
      </c>
      <c r="G491">
        <v>0</v>
      </c>
      <c r="H491">
        <v>0</v>
      </c>
      <c r="I491">
        <v>0</v>
      </c>
      <c r="J491">
        <v>88538261.290000007</v>
      </c>
      <c r="K491" s="66">
        <v>88538261.290000007</v>
      </c>
    </row>
    <row r="492" spans="1:11" x14ac:dyDescent="0.25">
      <c r="A492" t="s">
        <v>875</v>
      </c>
      <c r="B492" t="s">
        <v>876</v>
      </c>
      <c r="C492" t="s">
        <v>540</v>
      </c>
      <c r="D492" t="s">
        <v>589</v>
      </c>
      <c r="E492">
        <v>85290.48</v>
      </c>
      <c r="F492" t="s">
        <v>590</v>
      </c>
      <c r="G492">
        <v>0</v>
      </c>
      <c r="H492">
        <v>0</v>
      </c>
      <c r="I492">
        <v>0</v>
      </c>
      <c r="J492">
        <v>0</v>
      </c>
      <c r="K492" s="66">
        <v>85290.48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553</v>
      </c>
      <c r="E493">
        <v>0</v>
      </c>
      <c r="F493" t="s">
        <v>554</v>
      </c>
      <c r="G493">
        <v>3138494.79</v>
      </c>
      <c r="H493">
        <v>0</v>
      </c>
      <c r="I493">
        <v>0</v>
      </c>
      <c r="J493">
        <v>0</v>
      </c>
      <c r="K493" s="66">
        <v>3138494.79</v>
      </c>
    </row>
    <row r="494" spans="1:11" x14ac:dyDescent="0.25">
      <c r="A494" t="s">
        <v>657</v>
      </c>
      <c r="B494" t="s">
        <v>658</v>
      </c>
      <c r="C494" t="s">
        <v>540</v>
      </c>
      <c r="D494" t="s">
        <v>649</v>
      </c>
      <c r="E494">
        <v>0</v>
      </c>
      <c r="F494" t="s">
        <v>650</v>
      </c>
      <c r="G494">
        <v>3345054.85</v>
      </c>
      <c r="H494">
        <v>0</v>
      </c>
      <c r="I494">
        <v>0</v>
      </c>
      <c r="J494">
        <v>0</v>
      </c>
      <c r="K494" s="66">
        <v>3345054.85</v>
      </c>
    </row>
    <row r="495" spans="1:11" x14ac:dyDescent="0.25">
      <c r="A495" t="s">
        <v>332</v>
      </c>
      <c r="B495" t="s">
        <v>333</v>
      </c>
      <c r="C495" t="s">
        <v>540</v>
      </c>
      <c r="D495" t="s">
        <v>603</v>
      </c>
      <c r="E495">
        <v>0</v>
      </c>
      <c r="F495" t="s">
        <v>604</v>
      </c>
      <c r="G495">
        <v>0</v>
      </c>
      <c r="H495">
        <v>0</v>
      </c>
      <c r="I495">
        <v>0</v>
      </c>
      <c r="J495">
        <v>5896891</v>
      </c>
      <c r="K495" s="66">
        <v>5896891</v>
      </c>
    </row>
    <row r="496" spans="1:11" x14ac:dyDescent="0.25">
      <c r="A496" t="s">
        <v>877</v>
      </c>
      <c r="B496" t="s">
        <v>878</v>
      </c>
      <c r="C496" t="s">
        <v>540</v>
      </c>
      <c r="D496" t="s">
        <v>681</v>
      </c>
      <c r="E496">
        <v>0</v>
      </c>
      <c r="F496" t="s">
        <v>682</v>
      </c>
      <c r="G496">
        <v>84431.97</v>
      </c>
      <c r="H496">
        <v>0</v>
      </c>
      <c r="I496">
        <v>0</v>
      </c>
      <c r="J496">
        <v>0</v>
      </c>
      <c r="K496" s="66">
        <v>84431.97</v>
      </c>
    </row>
    <row r="497" spans="1:11" x14ac:dyDescent="0.25">
      <c r="A497" t="s">
        <v>754</v>
      </c>
      <c r="B497" t="s">
        <v>755</v>
      </c>
      <c r="C497" t="s">
        <v>540</v>
      </c>
      <c r="D497" t="s">
        <v>553</v>
      </c>
      <c r="E497">
        <v>323433</v>
      </c>
      <c r="F497" t="s">
        <v>554</v>
      </c>
      <c r="G497">
        <v>440479.63</v>
      </c>
      <c r="H497">
        <v>0</v>
      </c>
      <c r="I497">
        <v>0</v>
      </c>
      <c r="J497">
        <v>0</v>
      </c>
      <c r="K497" s="66">
        <v>763912.63</v>
      </c>
    </row>
    <row r="498" spans="1:11" x14ac:dyDescent="0.25">
      <c r="A498" t="s">
        <v>336</v>
      </c>
      <c r="B498" t="s">
        <v>337</v>
      </c>
      <c r="C498" t="s">
        <v>540</v>
      </c>
      <c r="D498" t="s">
        <v>553</v>
      </c>
      <c r="E498">
        <v>0</v>
      </c>
      <c r="F498" t="s">
        <v>554</v>
      </c>
      <c r="G498">
        <v>0</v>
      </c>
      <c r="H498">
        <v>0</v>
      </c>
      <c r="I498">
        <v>0</v>
      </c>
      <c r="J498">
        <v>-0.01</v>
      </c>
      <c r="K498" s="66">
        <v>-0.01</v>
      </c>
    </row>
    <row r="499" spans="1:11" x14ac:dyDescent="0.25">
      <c r="A499" t="s">
        <v>338</v>
      </c>
      <c r="B499" t="s">
        <v>339</v>
      </c>
      <c r="C499" t="s">
        <v>540</v>
      </c>
      <c r="D499" t="s">
        <v>601</v>
      </c>
      <c r="E499">
        <v>10285.85</v>
      </c>
      <c r="F499" t="s">
        <v>602</v>
      </c>
      <c r="G499">
        <v>10450548.970000001</v>
      </c>
      <c r="H499">
        <v>45197182.659999996</v>
      </c>
      <c r="I499">
        <v>0</v>
      </c>
      <c r="J499">
        <v>299336.09999999998</v>
      </c>
      <c r="K499" s="66">
        <v>55957353.579999998</v>
      </c>
    </row>
    <row r="500" spans="1:11" x14ac:dyDescent="0.25">
      <c r="A500" t="s">
        <v>1096</v>
      </c>
      <c r="B500" t="s">
        <v>1097</v>
      </c>
      <c r="C500" t="s">
        <v>540</v>
      </c>
      <c r="D500" t="s">
        <v>559</v>
      </c>
      <c r="E500">
        <v>2820004.22</v>
      </c>
      <c r="F500" t="s">
        <v>560</v>
      </c>
      <c r="G500">
        <v>0</v>
      </c>
      <c r="H500">
        <v>0</v>
      </c>
      <c r="I500">
        <v>0</v>
      </c>
      <c r="J500">
        <v>0</v>
      </c>
      <c r="K500" s="66">
        <v>2820004.22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611</v>
      </c>
      <c r="E501">
        <v>88029.32</v>
      </c>
      <c r="F501" t="s">
        <v>612</v>
      </c>
      <c r="G501">
        <v>0</v>
      </c>
      <c r="H501">
        <v>0</v>
      </c>
      <c r="I501">
        <v>0</v>
      </c>
      <c r="J501">
        <v>0</v>
      </c>
      <c r="K501" s="66">
        <v>88029.32</v>
      </c>
    </row>
    <row r="502" spans="1:11" x14ac:dyDescent="0.25">
      <c r="A502" t="s">
        <v>340</v>
      </c>
      <c r="B502" t="s">
        <v>341</v>
      </c>
      <c r="C502" t="s">
        <v>540</v>
      </c>
      <c r="D502" t="s">
        <v>553</v>
      </c>
      <c r="E502">
        <v>3014017.32</v>
      </c>
      <c r="F502" t="s">
        <v>554</v>
      </c>
      <c r="G502">
        <v>7062437.9000000004</v>
      </c>
      <c r="H502">
        <v>0</v>
      </c>
      <c r="I502">
        <v>0</v>
      </c>
      <c r="J502">
        <v>0</v>
      </c>
      <c r="K502" s="66">
        <v>10076455.220000001</v>
      </c>
    </row>
    <row r="503" spans="1:11" x14ac:dyDescent="0.25">
      <c r="A503" t="s">
        <v>881</v>
      </c>
      <c r="B503" t="s">
        <v>882</v>
      </c>
      <c r="C503" t="s">
        <v>540</v>
      </c>
      <c r="D503" t="s">
        <v>639</v>
      </c>
      <c r="E503">
        <v>0</v>
      </c>
      <c r="F503" t="s">
        <v>640</v>
      </c>
      <c r="G503">
        <v>610929</v>
      </c>
      <c r="H503">
        <v>0</v>
      </c>
      <c r="I503">
        <v>0</v>
      </c>
      <c r="J503">
        <v>0</v>
      </c>
      <c r="K503" s="66">
        <v>610929</v>
      </c>
    </row>
    <row r="504" spans="1:11" x14ac:dyDescent="0.25">
      <c r="A504" t="s">
        <v>342</v>
      </c>
      <c r="B504" t="s">
        <v>343</v>
      </c>
      <c r="C504" t="s">
        <v>540</v>
      </c>
      <c r="D504" t="s">
        <v>663</v>
      </c>
      <c r="E504">
        <v>4076646.15</v>
      </c>
      <c r="F504" t="s">
        <v>664</v>
      </c>
      <c r="G504">
        <v>126157107.11</v>
      </c>
      <c r="H504">
        <v>4464170.5</v>
      </c>
      <c r="I504">
        <v>0</v>
      </c>
      <c r="J504">
        <v>1.17</v>
      </c>
      <c r="K504" s="66">
        <v>134697924.93000001</v>
      </c>
    </row>
    <row r="505" spans="1:11" x14ac:dyDescent="0.25">
      <c r="A505" t="s">
        <v>344</v>
      </c>
      <c r="B505" t="s">
        <v>345</v>
      </c>
      <c r="C505" t="s">
        <v>540</v>
      </c>
      <c r="D505" t="s">
        <v>603</v>
      </c>
      <c r="E505">
        <v>0</v>
      </c>
      <c r="F505" t="s">
        <v>604</v>
      </c>
      <c r="G505">
        <v>0</v>
      </c>
      <c r="H505">
        <v>0</v>
      </c>
      <c r="I505">
        <v>0</v>
      </c>
      <c r="J505">
        <v>335045.59999999998</v>
      </c>
      <c r="K505" s="66">
        <v>335045.59999999998</v>
      </c>
    </row>
    <row r="506" spans="1:11" x14ac:dyDescent="0.25">
      <c r="A506" t="s">
        <v>346</v>
      </c>
      <c r="B506" t="s">
        <v>347</v>
      </c>
      <c r="C506" t="s">
        <v>540</v>
      </c>
      <c r="D506" t="s">
        <v>603</v>
      </c>
      <c r="E506">
        <v>0</v>
      </c>
      <c r="F506" t="s">
        <v>604</v>
      </c>
      <c r="G506">
        <v>0</v>
      </c>
      <c r="H506">
        <v>0</v>
      </c>
      <c r="I506">
        <v>0</v>
      </c>
      <c r="J506">
        <v>1782642.4</v>
      </c>
      <c r="K506" s="66">
        <v>1782642.4</v>
      </c>
    </row>
    <row r="507" spans="1:11" x14ac:dyDescent="0.25">
      <c r="A507" t="s">
        <v>1100</v>
      </c>
      <c r="B507" t="s">
        <v>965</v>
      </c>
      <c r="C507" t="s">
        <v>540</v>
      </c>
      <c r="D507" t="s">
        <v>631</v>
      </c>
      <c r="E507">
        <v>0</v>
      </c>
      <c r="F507" t="s">
        <v>632</v>
      </c>
      <c r="G507">
        <v>17398550</v>
      </c>
      <c r="H507">
        <v>0</v>
      </c>
      <c r="I507">
        <v>0</v>
      </c>
      <c r="J507">
        <v>0</v>
      </c>
      <c r="K507" s="66">
        <v>17398550</v>
      </c>
    </row>
    <row r="508" spans="1:11" x14ac:dyDescent="0.25">
      <c r="A508" t="s">
        <v>348</v>
      </c>
      <c r="B508" t="s">
        <v>349</v>
      </c>
      <c r="C508" t="s">
        <v>540</v>
      </c>
      <c r="D508" t="s">
        <v>665</v>
      </c>
      <c r="E508">
        <v>0</v>
      </c>
      <c r="F508" t="s">
        <v>666</v>
      </c>
      <c r="G508">
        <v>3400000</v>
      </c>
      <c r="H508">
        <v>0</v>
      </c>
      <c r="I508">
        <v>0</v>
      </c>
      <c r="J508">
        <v>0</v>
      </c>
      <c r="K508" s="66">
        <v>3400000</v>
      </c>
    </row>
    <row r="509" spans="1:11" x14ac:dyDescent="0.25">
      <c r="A509" t="s">
        <v>350</v>
      </c>
      <c r="B509" t="s">
        <v>351</v>
      </c>
      <c r="C509" t="s">
        <v>540</v>
      </c>
      <c r="D509" t="s">
        <v>551</v>
      </c>
      <c r="E509">
        <v>1507484</v>
      </c>
      <c r="F509" t="s">
        <v>552</v>
      </c>
      <c r="G509">
        <v>575158</v>
      </c>
      <c r="H509">
        <v>0</v>
      </c>
      <c r="I509">
        <v>0</v>
      </c>
      <c r="J509">
        <v>0</v>
      </c>
      <c r="K509" s="66">
        <v>2082642</v>
      </c>
    </row>
    <row r="510" spans="1:11" x14ac:dyDescent="0.25">
      <c r="A510" t="s">
        <v>1101</v>
      </c>
      <c r="B510" t="s">
        <v>966</v>
      </c>
      <c r="C510" t="s">
        <v>540</v>
      </c>
      <c r="D510" t="s">
        <v>553</v>
      </c>
      <c r="E510">
        <v>1100089.05</v>
      </c>
      <c r="F510" t="s">
        <v>554</v>
      </c>
      <c r="G510">
        <v>2696284.26</v>
      </c>
      <c r="H510">
        <v>0</v>
      </c>
      <c r="I510">
        <v>0</v>
      </c>
      <c r="J510">
        <v>0</v>
      </c>
      <c r="K510" s="66">
        <v>3796373.31</v>
      </c>
    </row>
    <row r="511" spans="1:11" x14ac:dyDescent="0.25">
      <c r="A511" t="s">
        <v>756</v>
      </c>
      <c r="B511" t="s">
        <v>757</v>
      </c>
      <c r="C511" t="s">
        <v>540</v>
      </c>
      <c r="D511" t="s">
        <v>758</v>
      </c>
      <c r="E511">
        <v>0</v>
      </c>
      <c r="F511" t="s">
        <v>759</v>
      </c>
      <c r="G511">
        <v>677994.65</v>
      </c>
      <c r="H511">
        <v>0</v>
      </c>
      <c r="I511">
        <v>0</v>
      </c>
      <c r="J511">
        <v>0</v>
      </c>
      <c r="K511" s="66">
        <v>677994.65</v>
      </c>
    </row>
    <row r="512" spans="1:11" x14ac:dyDescent="0.25">
      <c r="A512" t="s">
        <v>816</v>
      </c>
      <c r="B512" t="s">
        <v>817</v>
      </c>
      <c r="C512" t="s">
        <v>540</v>
      </c>
      <c r="D512" t="s">
        <v>559</v>
      </c>
      <c r="E512">
        <v>124885.59</v>
      </c>
      <c r="F512" t="s">
        <v>560</v>
      </c>
      <c r="G512">
        <v>0</v>
      </c>
      <c r="H512">
        <v>0</v>
      </c>
      <c r="I512">
        <v>0</v>
      </c>
      <c r="J512">
        <v>0</v>
      </c>
      <c r="K512" s="66">
        <v>124885.59</v>
      </c>
    </row>
    <row r="513" spans="1:11" x14ac:dyDescent="0.25">
      <c r="A513" t="s">
        <v>1102</v>
      </c>
      <c r="B513" t="s">
        <v>1103</v>
      </c>
      <c r="C513" t="s">
        <v>540</v>
      </c>
      <c r="D513" t="s">
        <v>631</v>
      </c>
      <c r="E513">
        <v>859100</v>
      </c>
      <c r="F513" t="s">
        <v>632</v>
      </c>
      <c r="G513">
        <v>0</v>
      </c>
      <c r="H513">
        <v>0</v>
      </c>
      <c r="I513">
        <v>0</v>
      </c>
      <c r="J513">
        <v>0</v>
      </c>
      <c r="K513" s="66">
        <v>859100</v>
      </c>
    </row>
    <row r="514" spans="1:11" x14ac:dyDescent="0.25">
      <c r="A514" t="s">
        <v>1104</v>
      </c>
      <c r="B514" t="s">
        <v>967</v>
      </c>
      <c r="C514" t="s">
        <v>540</v>
      </c>
      <c r="D514" t="s">
        <v>1105</v>
      </c>
      <c r="E514">
        <v>0</v>
      </c>
      <c r="F514" t="s">
        <v>1106</v>
      </c>
      <c r="G514">
        <v>3180000</v>
      </c>
      <c r="H514">
        <v>0</v>
      </c>
      <c r="I514">
        <v>0</v>
      </c>
      <c r="J514">
        <v>0</v>
      </c>
      <c r="K514" s="66">
        <v>3180000</v>
      </c>
    </row>
    <row r="515" spans="1:11" x14ac:dyDescent="0.25">
      <c r="A515" t="s">
        <v>760</v>
      </c>
      <c r="B515" t="s">
        <v>761</v>
      </c>
      <c r="C515" t="s">
        <v>540</v>
      </c>
      <c r="D515" t="s">
        <v>563</v>
      </c>
      <c r="E515">
        <v>1876212.69</v>
      </c>
      <c r="F515" t="s">
        <v>564</v>
      </c>
      <c r="G515">
        <v>0</v>
      </c>
      <c r="H515">
        <v>0</v>
      </c>
      <c r="I515">
        <v>0</v>
      </c>
      <c r="J515">
        <v>0</v>
      </c>
      <c r="K515" s="66">
        <v>1876212.69</v>
      </c>
    </row>
    <row r="516" spans="1:11" x14ac:dyDescent="0.25">
      <c r="A516" t="s">
        <v>1107</v>
      </c>
      <c r="B516" t="s">
        <v>968</v>
      </c>
      <c r="C516" t="s">
        <v>540</v>
      </c>
      <c r="D516" t="s">
        <v>563</v>
      </c>
      <c r="E516">
        <v>0</v>
      </c>
      <c r="F516" t="s">
        <v>564</v>
      </c>
      <c r="G516">
        <v>22506000</v>
      </c>
      <c r="H516">
        <v>0</v>
      </c>
      <c r="I516">
        <v>0</v>
      </c>
      <c r="J516">
        <v>0</v>
      </c>
      <c r="K516" s="66">
        <v>22506000</v>
      </c>
    </row>
    <row r="517" spans="1:11" x14ac:dyDescent="0.25">
      <c r="A517" t="s">
        <v>1108</v>
      </c>
      <c r="B517" t="s">
        <v>1109</v>
      </c>
      <c r="C517" t="s">
        <v>540</v>
      </c>
      <c r="D517" t="s">
        <v>1012</v>
      </c>
      <c r="E517">
        <v>87120</v>
      </c>
      <c r="F517" t="s">
        <v>1013</v>
      </c>
      <c r="G517">
        <v>0</v>
      </c>
      <c r="H517">
        <v>0</v>
      </c>
      <c r="I517">
        <v>0</v>
      </c>
      <c r="J517">
        <v>0</v>
      </c>
      <c r="K517" s="66">
        <v>87120</v>
      </c>
    </row>
    <row r="518" spans="1:11" x14ac:dyDescent="0.25">
      <c r="A518" t="s">
        <v>1110</v>
      </c>
      <c r="B518" t="s">
        <v>1111</v>
      </c>
      <c r="C518" t="s">
        <v>540</v>
      </c>
      <c r="D518" t="s">
        <v>679</v>
      </c>
      <c r="E518">
        <v>0</v>
      </c>
      <c r="F518" t="s">
        <v>680</v>
      </c>
      <c r="G518">
        <v>8620211.5399999991</v>
      </c>
      <c r="H518">
        <v>0</v>
      </c>
      <c r="I518">
        <v>0</v>
      </c>
      <c r="J518">
        <v>0</v>
      </c>
      <c r="K518" s="66">
        <v>8620211.5399999991</v>
      </c>
    </row>
    <row r="519" spans="1:11" x14ac:dyDescent="0.25">
      <c r="A519" t="s">
        <v>352</v>
      </c>
      <c r="B519" t="s">
        <v>353</v>
      </c>
      <c r="C519" t="s">
        <v>540</v>
      </c>
      <c r="D519" t="s">
        <v>633</v>
      </c>
      <c r="E519">
        <v>2325000</v>
      </c>
      <c r="F519" t="s">
        <v>634</v>
      </c>
      <c r="G519">
        <v>3617200</v>
      </c>
      <c r="H519">
        <v>4024800</v>
      </c>
      <c r="I519">
        <v>0</v>
      </c>
      <c r="J519">
        <v>0</v>
      </c>
      <c r="K519" s="66">
        <v>9967000</v>
      </c>
    </row>
    <row r="520" spans="1:11" x14ac:dyDescent="0.25">
      <c r="A520" t="s">
        <v>818</v>
      </c>
      <c r="B520" t="s">
        <v>819</v>
      </c>
      <c r="C520" t="s">
        <v>540</v>
      </c>
      <c r="D520" t="s">
        <v>565</v>
      </c>
      <c r="E520">
        <v>0</v>
      </c>
      <c r="F520" t="s">
        <v>566</v>
      </c>
      <c r="G520">
        <v>42840</v>
      </c>
      <c r="H520">
        <v>0</v>
      </c>
      <c r="I520">
        <v>0</v>
      </c>
      <c r="J520">
        <v>0</v>
      </c>
      <c r="K520" s="66">
        <v>42840</v>
      </c>
    </row>
    <row r="521" spans="1:11" x14ac:dyDescent="0.25">
      <c r="A521" t="s">
        <v>1112</v>
      </c>
      <c r="B521" t="s">
        <v>1113</v>
      </c>
      <c r="C521" t="s">
        <v>540</v>
      </c>
      <c r="D521" t="s">
        <v>553</v>
      </c>
      <c r="E521">
        <v>374765.85</v>
      </c>
      <c r="F521" t="s">
        <v>554</v>
      </c>
      <c r="G521">
        <v>0</v>
      </c>
      <c r="H521">
        <v>0</v>
      </c>
      <c r="I521">
        <v>0</v>
      </c>
      <c r="J521">
        <v>0</v>
      </c>
      <c r="K521" s="66">
        <v>374765.85</v>
      </c>
    </row>
    <row r="522" spans="1:11" x14ac:dyDescent="0.25">
      <c r="A522" t="s">
        <v>354</v>
      </c>
      <c r="B522" t="s">
        <v>355</v>
      </c>
      <c r="C522" t="s">
        <v>540</v>
      </c>
      <c r="D522" t="s">
        <v>635</v>
      </c>
      <c r="E522">
        <v>943497.5</v>
      </c>
      <c r="F522" t="s">
        <v>636</v>
      </c>
      <c r="G522">
        <v>4528301.76</v>
      </c>
      <c r="H522">
        <v>0</v>
      </c>
      <c r="I522">
        <v>0</v>
      </c>
      <c r="J522">
        <v>0</v>
      </c>
      <c r="K522" s="66">
        <v>5471799.2599999998</v>
      </c>
    </row>
    <row r="523" spans="1:11" x14ac:dyDescent="0.25">
      <c r="A523" t="s">
        <v>356</v>
      </c>
      <c r="B523" t="s">
        <v>357</v>
      </c>
      <c r="C523" t="s">
        <v>540</v>
      </c>
      <c r="D523" t="s">
        <v>667</v>
      </c>
      <c r="E523">
        <v>0</v>
      </c>
      <c r="F523" t="s">
        <v>668</v>
      </c>
      <c r="G523">
        <v>15428204.699999999</v>
      </c>
      <c r="H523">
        <v>3317700.94</v>
      </c>
      <c r="I523">
        <v>0</v>
      </c>
      <c r="J523">
        <v>0</v>
      </c>
      <c r="K523" s="66">
        <v>18745905.640000001</v>
      </c>
    </row>
    <row r="524" spans="1:11" x14ac:dyDescent="0.25">
      <c r="A524" t="s">
        <v>358</v>
      </c>
      <c r="B524" t="s">
        <v>359</v>
      </c>
      <c r="C524" t="s">
        <v>540</v>
      </c>
      <c r="D524" t="s">
        <v>565</v>
      </c>
      <c r="E524">
        <v>0</v>
      </c>
      <c r="F524" t="s">
        <v>566</v>
      </c>
      <c r="G524">
        <v>8585960.0899999999</v>
      </c>
      <c r="H524">
        <v>0</v>
      </c>
      <c r="I524">
        <v>0</v>
      </c>
      <c r="J524">
        <v>0</v>
      </c>
      <c r="K524" s="66">
        <v>8585960.0899999999</v>
      </c>
    </row>
    <row r="525" spans="1:11" x14ac:dyDescent="0.25">
      <c r="A525" t="s">
        <v>1114</v>
      </c>
      <c r="B525" t="s">
        <v>969</v>
      </c>
      <c r="C525" t="s">
        <v>540</v>
      </c>
      <c r="D525" t="s">
        <v>710</v>
      </c>
      <c r="E525">
        <v>1400000</v>
      </c>
      <c r="F525" t="s">
        <v>711</v>
      </c>
      <c r="G525">
        <v>0</v>
      </c>
      <c r="H525">
        <v>0</v>
      </c>
      <c r="I525">
        <v>0</v>
      </c>
      <c r="J525">
        <v>0</v>
      </c>
      <c r="K525" s="66">
        <v>1400000</v>
      </c>
    </row>
    <row r="526" spans="1:11" x14ac:dyDescent="0.25">
      <c r="A526" t="s">
        <v>1115</v>
      </c>
      <c r="B526" t="s">
        <v>970</v>
      </c>
      <c r="C526" t="s">
        <v>540</v>
      </c>
      <c r="D526" t="s">
        <v>1116</v>
      </c>
      <c r="E526">
        <v>0</v>
      </c>
      <c r="F526" t="s">
        <v>1117</v>
      </c>
      <c r="G526">
        <v>216400</v>
      </c>
      <c r="H526">
        <v>0</v>
      </c>
      <c r="I526">
        <v>0</v>
      </c>
      <c r="J526">
        <v>0</v>
      </c>
      <c r="K526" s="66">
        <v>216400</v>
      </c>
    </row>
    <row r="527" spans="1:11" x14ac:dyDescent="0.25">
      <c r="A527" t="s">
        <v>360</v>
      </c>
      <c r="B527" t="s">
        <v>361</v>
      </c>
      <c r="C527" t="s">
        <v>540</v>
      </c>
      <c r="D527" t="s">
        <v>543</v>
      </c>
      <c r="E527">
        <v>0</v>
      </c>
      <c r="F527" t="s">
        <v>544</v>
      </c>
      <c r="G527">
        <v>12259373.41</v>
      </c>
      <c r="H527">
        <v>11818295.220000001</v>
      </c>
      <c r="I527">
        <v>0</v>
      </c>
      <c r="J527">
        <v>0</v>
      </c>
      <c r="K527" s="66">
        <v>24077668.629999999</v>
      </c>
    </row>
    <row r="528" spans="1:11" x14ac:dyDescent="0.25">
      <c r="A528" t="s">
        <v>362</v>
      </c>
      <c r="B528" t="s">
        <v>363</v>
      </c>
      <c r="C528" t="s">
        <v>540</v>
      </c>
      <c r="D528" t="s">
        <v>669</v>
      </c>
      <c r="E528">
        <v>0</v>
      </c>
      <c r="F528" t="s">
        <v>670</v>
      </c>
      <c r="G528">
        <v>13571057.51</v>
      </c>
      <c r="H528">
        <v>62338222.939999998</v>
      </c>
      <c r="I528">
        <v>86473983.659999996</v>
      </c>
      <c r="J528">
        <v>0</v>
      </c>
      <c r="K528" s="66">
        <v>162383264.11000001</v>
      </c>
    </row>
    <row r="529" spans="1:11" x14ac:dyDescent="0.25">
      <c r="A529" t="s">
        <v>364</v>
      </c>
      <c r="B529" t="s">
        <v>365</v>
      </c>
      <c r="C529" t="s">
        <v>540</v>
      </c>
      <c r="D529" t="s">
        <v>553</v>
      </c>
      <c r="E529">
        <v>191595.83</v>
      </c>
      <c r="F529" t="s">
        <v>554</v>
      </c>
      <c r="G529">
        <v>469718.81</v>
      </c>
      <c r="H529">
        <v>0</v>
      </c>
      <c r="I529">
        <v>0</v>
      </c>
      <c r="J529">
        <v>0</v>
      </c>
      <c r="K529" s="66">
        <v>661314.64</v>
      </c>
    </row>
    <row r="530" spans="1:11" x14ac:dyDescent="0.25">
      <c r="A530" t="s">
        <v>1118</v>
      </c>
      <c r="B530" t="s">
        <v>971</v>
      </c>
      <c r="C530" t="s">
        <v>540</v>
      </c>
      <c r="D530" t="s">
        <v>559</v>
      </c>
      <c r="E530">
        <v>2116290</v>
      </c>
      <c r="F530" t="s">
        <v>560</v>
      </c>
      <c r="G530">
        <v>0</v>
      </c>
      <c r="H530">
        <v>0</v>
      </c>
      <c r="I530">
        <v>0</v>
      </c>
      <c r="J530">
        <v>0</v>
      </c>
      <c r="K530" s="66">
        <v>2116290</v>
      </c>
    </row>
    <row r="531" spans="1:11" x14ac:dyDescent="0.25">
      <c r="A531" t="s">
        <v>366</v>
      </c>
      <c r="B531" t="s">
        <v>367</v>
      </c>
      <c r="C531" t="s">
        <v>540</v>
      </c>
      <c r="D531" t="s">
        <v>621</v>
      </c>
      <c r="E531">
        <v>0</v>
      </c>
      <c r="F531" t="s">
        <v>622</v>
      </c>
      <c r="G531">
        <v>0</v>
      </c>
      <c r="H531">
        <v>65690391</v>
      </c>
      <c r="I531">
        <v>46652547.5</v>
      </c>
      <c r="J531">
        <v>0</v>
      </c>
      <c r="K531" s="66">
        <v>112342938.5</v>
      </c>
    </row>
    <row r="532" spans="1:11" x14ac:dyDescent="0.25">
      <c r="A532" t="s">
        <v>762</v>
      </c>
      <c r="B532" t="s">
        <v>763</v>
      </c>
      <c r="C532" t="s">
        <v>540</v>
      </c>
      <c r="D532" t="s">
        <v>601</v>
      </c>
      <c r="E532">
        <v>0</v>
      </c>
      <c r="F532" t="s">
        <v>602</v>
      </c>
      <c r="G532">
        <v>0</v>
      </c>
      <c r="H532">
        <v>30696237</v>
      </c>
      <c r="I532">
        <v>0</v>
      </c>
      <c r="J532">
        <v>0</v>
      </c>
      <c r="K532" s="66">
        <v>30696237</v>
      </c>
    </row>
    <row r="533" spans="1:11" x14ac:dyDescent="0.25">
      <c r="A533" t="s">
        <v>764</v>
      </c>
      <c r="B533" t="s">
        <v>765</v>
      </c>
      <c r="C533" t="s">
        <v>540</v>
      </c>
      <c r="D533" t="s">
        <v>710</v>
      </c>
      <c r="E533">
        <v>1182500</v>
      </c>
      <c r="F533" t="s">
        <v>711</v>
      </c>
      <c r="G533">
        <v>0</v>
      </c>
      <c r="H533">
        <v>0</v>
      </c>
      <c r="I533">
        <v>0</v>
      </c>
      <c r="J533">
        <v>0</v>
      </c>
      <c r="K533" s="66">
        <v>1182500</v>
      </c>
    </row>
    <row r="534" spans="1:11" x14ac:dyDescent="0.25">
      <c r="A534" t="s">
        <v>820</v>
      </c>
      <c r="B534" t="s">
        <v>821</v>
      </c>
      <c r="C534" t="s">
        <v>540</v>
      </c>
      <c r="D534" t="s">
        <v>593</v>
      </c>
      <c r="E534">
        <v>0</v>
      </c>
      <c r="F534" t="s">
        <v>594</v>
      </c>
      <c r="G534">
        <v>2039334</v>
      </c>
      <c r="H534">
        <v>1445829</v>
      </c>
      <c r="I534">
        <v>0</v>
      </c>
      <c r="J534">
        <v>0</v>
      </c>
      <c r="K534" s="66">
        <v>3485163</v>
      </c>
    </row>
    <row r="535" spans="1:11" x14ac:dyDescent="0.25">
      <c r="A535" t="s">
        <v>891</v>
      </c>
      <c r="B535" t="s">
        <v>892</v>
      </c>
      <c r="C535" t="s">
        <v>540</v>
      </c>
      <c r="D535" t="s">
        <v>615</v>
      </c>
      <c r="E535">
        <v>0</v>
      </c>
      <c r="F535" t="s">
        <v>616</v>
      </c>
      <c r="G535">
        <v>93484438.980000004</v>
      </c>
      <c r="H535">
        <v>93097316.799999997</v>
      </c>
      <c r="I535">
        <v>0</v>
      </c>
      <c r="J535">
        <v>0</v>
      </c>
      <c r="K535" s="66">
        <v>186581755.78</v>
      </c>
    </row>
    <row r="536" spans="1:11" x14ac:dyDescent="0.25">
      <c r="A536" t="s">
        <v>372</v>
      </c>
      <c r="B536" t="s">
        <v>373</v>
      </c>
      <c r="C536" t="s">
        <v>540</v>
      </c>
      <c r="D536" t="s">
        <v>589</v>
      </c>
      <c r="E536">
        <v>0</v>
      </c>
      <c r="F536" t="s">
        <v>590</v>
      </c>
      <c r="G536">
        <v>7178478.25</v>
      </c>
      <c r="H536">
        <v>90508440.25</v>
      </c>
      <c r="I536">
        <v>0</v>
      </c>
      <c r="J536">
        <v>0</v>
      </c>
      <c r="K536" s="66">
        <v>97686918.5</v>
      </c>
    </row>
    <row r="537" spans="1:11" x14ac:dyDescent="0.25">
      <c r="A537" t="s">
        <v>376</v>
      </c>
      <c r="B537" t="s">
        <v>377</v>
      </c>
      <c r="C537" t="s">
        <v>540</v>
      </c>
      <c r="D537" t="s">
        <v>575</v>
      </c>
      <c r="E537">
        <v>3512000</v>
      </c>
      <c r="F537" t="s">
        <v>576</v>
      </c>
      <c r="G537">
        <v>1638000</v>
      </c>
      <c r="H537">
        <v>0</v>
      </c>
      <c r="I537">
        <v>0</v>
      </c>
      <c r="J537">
        <v>0</v>
      </c>
      <c r="K537" s="66">
        <v>5150000</v>
      </c>
    </row>
    <row r="538" spans="1:11" x14ac:dyDescent="0.25">
      <c r="A538" t="s">
        <v>378</v>
      </c>
      <c r="B538" t="s">
        <v>379</v>
      </c>
      <c r="C538" t="s">
        <v>540</v>
      </c>
      <c r="D538" t="s">
        <v>563</v>
      </c>
      <c r="E538">
        <v>0</v>
      </c>
      <c r="F538" t="s">
        <v>564</v>
      </c>
      <c r="G538">
        <v>0</v>
      </c>
      <c r="H538">
        <v>0</v>
      </c>
      <c r="I538">
        <v>0</v>
      </c>
      <c r="J538">
        <v>58760</v>
      </c>
      <c r="K538" s="66">
        <v>58760</v>
      </c>
    </row>
    <row r="539" spans="1:11" x14ac:dyDescent="0.25">
      <c r="A539" t="s">
        <v>1119</v>
      </c>
      <c r="B539" t="s">
        <v>972</v>
      </c>
      <c r="C539" t="s">
        <v>540</v>
      </c>
      <c r="D539" t="s">
        <v>559</v>
      </c>
      <c r="E539">
        <v>500000</v>
      </c>
      <c r="F539" t="s">
        <v>560</v>
      </c>
      <c r="G539">
        <v>0</v>
      </c>
      <c r="H539">
        <v>0</v>
      </c>
      <c r="I539">
        <v>0</v>
      </c>
      <c r="J539">
        <v>0</v>
      </c>
      <c r="K539" s="66">
        <v>500000</v>
      </c>
    </row>
    <row r="540" spans="1:11" x14ac:dyDescent="0.25">
      <c r="A540" t="s">
        <v>380</v>
      </c>
      <c r="B540" t="s">
        <v>381</v>
      </c>
      <c r="C540" t="s">
        <v>540</v>
      </c>
      <c r="D540" t="s">
        <v>617</v>
      </c>
      <c r="E540">
        <v>0</v>
      </c>
      <c r="F540" t="s">
        <v>618</v>
      </c>
      <c r="G540">
        <v>0</v>
      </c>
      <c r="H540">
        <v>0</v>
      </c>
      <c r="I540">
        <v>0</v>
      </c>
      <c r="J540">
        <v>0.01</v>
      </c>
      <c r="K540" s="66">
        <v>0.01</v>
      </c>
    </row>
    <row r="541" spans="1:11" x14ac:dyDescent="0.25">
      <c r="A541" t="s">
        <v>507</v>
      </c>
      <c r="B541" t="s">
        <v>508</v>
      </c>
      <c r="C541" t="s">
        <v>540</v>
      </c>
      <c r="D541" t="s">
        <v>551</v>
      </c>
      <c r="E541">
        <v>0</v>
      </c>
      <c r="F541" t="s">
        <v>552</v>
      </c>
      <c r="G541">
        <v>6334685.4299999997</v>
      </c>
      <c r="H541">
        <v>0</v>
      </c>
      <c r="I541">
        <v>0</v>
      </c>
      <c r="J541">
        <v>0</v>
      </c>
      <c r="K541" s="66">
        <v>6334685.4299999997</v>
      </c>
    </row>
    <row r="542" spans="1:11" x14ac:dyDescent="0.25">
      <c r="A542" t="s">
        <v>382</v>
      </c>
      <c r="B542" t="s">
        <v>383</v>
      </c>
      <c r="C542" t="s">
        <v>540</v>
      </c>
      <c r="D542" t="s">
        <v>577</v>
      </c>
      <c r="E542">
        <v>0</v>
      </c>
      <c r="F542" t="s">
        <v>578</v>
      </c>
      <c r="G542">
        <v>24741167.370000001</v>
      </c>
      <c r="H542">
        <v>0</v>
      </c>
      <c r="I542">
        <v>0</v>
      </c>
      <c r="J542">
        <v>0</v>
      </c>
      <c r="K542" s="66">
        <v>24741167.370000001</v>
      </c>
    </row>
    <row r="543" spans="1:11" x14ac:dyDescent="0.25">
      <c r="A543" t="s">
        <v>1120</v>
      </c>
      <c r="B543" t="s">
        <v>973</v>
      </c>
      <c r="C543" t="s">
        <v>540</v>
      </c>
      <c r="D543" t="s">
        <v>653</v>
      </c>
      <c r="E543">
        <v>0</v>
      </c>
      <c r="F543" t="s">
        <v>654</v>
      </c>
      <c r="G543">
        <v>833250.81</v>
      </c>
      <c r="H543">
        <v>0</v>
      </c>
      <c r="I543">
        <v>0</v>
      </c>
      <c r="J543">
        <v>0</v>
      </c>
      <c r="K543" s="66">
        <v>833250.81</v>
      </c>
    </row>
    <row r="544" spans="1:11" x14ac:dyDescent="0.25">
      <c r="A544" t="s">
        <v>384</v>
      </c>
      <c r="B544" t="s">
        <v>385</v>
      </c>
      <c r="C544" t="s">
        <v>540</v>
      </c>
      <c r="D544" t="s">
        <v>673</v>
      </c>
      <c r="E544">
        <v>62345345.479999997</v>
      </c>
      <c r="F544" t="s">
        <v>674</v>
      </c>
      <c r="G544">
        <v>64095387.43</v>
      </c>
      <c r="H544">
        <v>54134624.219999999</v>
      </c>
      <c r="I544">
        <v>0</v>
      </c>
      <c r="J544">
        <v>0</v>
      </c>
      <c r="K544" s="66">
        <v>180575357.13</v>
      </c>
    </row>
    <row r="545" spans="1:11" x14ac:dyDescent="0.25">
      <c r="A545" t="s">
        <v>1121</v>
      </c>
      <c r="B545" t="s">
        <v>974</v>
      </c>
      <c r="C545" t="s">
        <v>540</v>
      </c>
      <c r="D545" t="s">
        <v>607</v>
      </c>
      <c r="E545">
        <v>6897577.5999999996</v>
      </c>
      <c r="F545" t="s">
        <v>608</v>
      </c>
      <c r="G545">
        <v>12374777.550000001</v>
      </c>
      <c r="H545">
        <v>0</v>
      </c>
      <c r="I545">
        <v>0</v>
      </c>
      <c r="J545">
        <v>0</v>
      </c>
      <c r="K545" s="66">
        <v>19272355.149999999</v>
      </c>
    </row>
    <row r="546" spans="1:11" x14ac:dyDescent="0.25">
      <c r="A546" t="s">
        <v>766</v>
      </c>
      <c r="B546" t="s">
        <v>767</v>
      </c>
      <c r="C546" t="s">
        <v>540</v>
      </c>
      <c r="D546" t="s">
        <v>545</v>
      </c>
      <c r="E546">
        <v>0</v>
      </c>
      <c r="F546" t="s">
        <v>546</v>
      </c>
      <c r="G546">
        <v>460000.26</v>
      </c>
      <c r="H546">
        <v>0</v>
      </c>
      <c r="I546">
        <v>0</v>
      </c>
      <c r="J546">
        <v>0</v>
      </c>
      <c r="K546" s="66">
        <v>460000.26</v>
      </c>
    </row>
    <row r="547" spans="1:11" x14ac:dyDescent="0.25">
      <c r="A547" t="s">
        <v>386</v>
      </c>
      <c r="B547" t="s">
        <v>387</v>
      </c>
      <c r="C547" t="s">
        <v>540</v>
      </c>
      <c r="D547" t="s">
        <v>659</v>
      </c>
      <c r="E547">
        <v>0</v>
      </c>
      <c r="F547" t="s">
        <v>660</v>
      </c>
      <c r="G547">
        <v>0</v>
      </c>
      <c r="H547">
        <v>2443761.5</v>
      </c>
      <c r="I547">
        <v>0</v>
      </c>
      <c r="J547">
        <v>0</v>
      </c>
      <c r="K547" s="66">
        <v>2443761.5</v>
      </c>
    </row>
    <row r="548" spans="1:11" x14ac:dyDescent="0.25">
      <c r="A548" t="s">
        <v>388</v>
      </c>
      <c r="B548" t="s">
        <v>389</v>
      </c>
      <c r="C548" t="s">
        <v>540</v>
      </c>
      <c r="D548" t="s">
        <v>603</v>
      </c>
      <c r="E548">
        <v>0</v>
      </c>
      <c r="F548" t="s">
        <v>604</v>
      </c>
      <c r="G548">
        <v>0</v>
      </c>
      <c r="H548">
        <v>0</v>
      </c>
      <c r="I548">
        <v>0</v>
      </c>
      <c r="J548">
        <v>13351649.470000001</v>
      </c>
      <c r="K548" s="66">
        <v>13351649.470000001</v>
      </c>
    </row>
    <row r="549" spans="1:11" x14ac:dyDescent="0.25">
      <c r="A549" t="s">
        <v>1122</v>
      </c>
      <c r="B549" t="s">
        <v>975</v>
      </c>
      <c r="C549" t="s">
        <v>540</v>
      </c>
      <c r="D549" t="s">
        <v>1123</v>
      </c>
      <c r="E549">
        <v>0</v>
      </c>
      <c r="F549" t="s">
        <v>1124</v>
      </c>
      <c r="G549">
        <v>2672760.4</v>
      </c>
      <c r="H549">
        <v>0</v>
      </c>
      <c r="I549">
        <v>0</v>
      </c>
      <c r="J549">
        <v>0</v>
      </c>
      <c r="K549" s="66">
        <v>2672760.4</v>
      </c>
    </row>
    <row r="550" spans="1:11" x14ac:dyDescent="0.25">
      <c r="A550" t="s">
        <v>1125</v>
      </c>
      <c r="B550" t="s">
        <v>1126</v>
      </c>
      <c r="C550" t="s">
        <v>540</v>
      </c>
      <c r="D550" t="s">
        <v>565</v>
      </c>
      <c r="E550">
        <v>0</v>
      </c>
      <c r="F550" t="s">
        <v>566</v>
      </c>
      <c r="G550">
        <v>1342616</v>
      </c>
      <c r="H550">
        <v>0</v>
      </c>
      <c r="I550">
        <v>0</v>
      </c>
      <c r="J550">
        <v>0</v>
      </c>
      <c r="K550" s="66">
        <v>1342616</v>
      </c>
    </row>
    <row r="551" spans="1:11" x14ac:dyDescent="0.25">
      <c r="A551" t="s">
        <v>392</v>
      </c>
      <c r="B551" t="s">
        <v>393</v>
      </c>
      <c r="C551" t="s">
        <v>540</v>
      </c>
      <c r="D551" t="s">
        <v>601</v>
      </c>
      <c r="E551">
        <v>6158621.1299999999</v>
      </c>
      <c r="F551" t="s">
        <v>602</v>
      </c>
      <c r="G551">
        <v>31951037.129999999</v>
      </c>
      <c r="H551">
        <v>15114385.189999999</v>
      </c>
      <c r="I551">
        <v>0</v>
      </c>
      <c r="J551">
        <v>0</v>
      </c>
      <c r="K551" s="66">
        <v>53224043.450000003</v>
      </c>
    </row>
    <row r="552" spans="1:11" x14ac:dyDescent="0.25">
      <c r="A552" t="s">
        <v>1127</v>
      </c>
      <c r="B552" t="s">
        <v>1128</v>
      </c>
      <c r="C552" t="s">
        <v>540</v>
      </c>
      <c r="D552" t="s">
        <v>1129</v>
      </c>
      <c r="E552">
        <v>0</v>
      </c>
      <c r="F552" t="s">
        <v>1130</v>
      </c>
      <c r="G552">
        <v>2905452</v>
      </c>
      <c r="H552">
        <v>0</v>
      </c>
      <c r="I552">
        <v>0</v>
      </c>
      <c r="J552">
        <v>0</v>
      </c>
      <c r="K552" s="66">
        <v>2905452</v>
      </c>
    </row>
    <row r="553" spans="1:11" x14ac:dyDescent="0.25">
      <c r="A553" t="s">
        <v>1131</v>
      </c>
      <c r="B553" t="s">
        <v>976</v>
      </c>
      <c r="C553" t="s">
        <v>540</v>
      </c>
      <c r="D553" t="s">
        <v>1132</v>
      </c>
      <c r="E553">
        <v>2928175.8</v>
      </c>
      <c r="F553" t="s">
        <v>1133</v>
      </c>
      <c r="G553">
        <v>12351270.9</v>
      </c>
      <c r="H553">
        <v>0</v>
      </c>
      <c r="I553">
        <v>0</v>
      </c>
      <c r="J553">
        <v>0</v>
      </c>
      <c r="K553" s="66">
        <v>15279446.699999999</v>
      </c>
    </row>
    <row r="554" spans="1:11" x14ac:dyDescent="0.25">
      <c r="A554" t="s">
        <v>394</v>
      </c>
      <c r="B554" t="s">
        <v>395</v>
      </c>
      <c r="C554" t="s">
        <v>540</v>
      </c>
      <c r="D554" t="s">
        <v>629</v>
      </c>
      <c r="E554">
        <v>2933430.43</v>
      </c>
      <c r="F554" t="s">
        <v>630</v>
      </c>
      <c r="G554">
        <v>9090875.8699999992</v>
      </c>
      <c r="H554">
        <v>11896463.92</v>
      </c>
      <c r="I554">
        <v>0</v>
      </c>
      <c r="J554">
        <v>0</v>
      </c>
      <c r="K554" s="66">
        <v>23920770.219999999</v>
      </c>
    </row>
    <row r="555" spans="1:11" x14ac:dyDescent="0.25">
      <c r="A555" t="s">
        <v>895</v>
      </c>
      <c r="B555" t="s">
        <v>896</v>
      </c>
      <c r="C555" t="s">
        <v>540</v>
      </c>
      <c r="D555" t="s">
        <v>559</v>
      </c>
      <c r="E555">
        <v>2178300</v>
      </c>
      <c r="F555" t="s">
        <v>560</v>
      </c>
      <c r="G555">
        <v>0</v>
      </c>
      <c r="H555">
        <v>0</v>
      </c>
      <c r="I555">
        <v>0</v>
      </c>
      <c r="J555">
        <v>0</v>
      </c>
      <c r="K555" s="66">
        <v>2178300</v>
      </c>
    </row>
    <row r="556" spans="1:11" x14ac:dyDescent="0.25">
      <c r="A556" t="s">
        <v>396</v>
      </c>
      <c r="B556" t="s">
        <v>397</v>
      </c>
      <c r="C556" t="s">
        <v>540</v>
      </c>
      <c r="D556" t="s">
        <v>677</v>
      </c>
      <c r="E556">
        <v>382744.82</v>
      </c>
      <c r="F556" t="s">
        <v>678</v>
      </c>
      <c r="G556">
        <v>14281023.09</v>
      </c>
      <c r="H556">
        <v>0</v>
      </c>
      <c r="I556">
        <v>0</v>
      </c>
      <c r="J556">
        <v>0.05</v>
      </c>
      <c r="K556" s="66">
        <v>14663767.960000001</v>
      </c>
    </row>
    <row r="557" spans="1:11" x14ac:dyDescent="0.25">
      <c r="A557" t="s">
        <v>768</v>
      </c>
      <c r="B557" t="s">
        <v>769</v>
      </c>
      <c r="C557" t="s">
        <v>540</v>
      </c>
      <c r="D557" t="s">
        <v>609</v>
      </c>
      <c r="E557">
        <v>0</v>
      </c>
      <c r="F557" t="s">
        <v>610</v>
      </c>
      <c r="G557">
        <v>396543.96</v>
      </c>
      <c r="H557">
        <v>0</v>
      </c>
      <c r="I557">
        <v>0</v>
      </c>
      <c r="J557">
        <v>0</v>
      </c>
      <c r="K557" s="66">
        <v>396543.96</v>
      </c>
    </row>
    <row r="558" spans="1:11" x14ac:dyDescent="0.25">
      <c r="A558" t="s">
        <v>398</v>
      </c>
      <c r="B558" t="s">
        <v>399</v>
      </c>
      <c r="C558" t="s">
        <v>540</v>
      </c>
      <c r="D558" t="s">
        <v>559</v>
      </c>
      <c r="E558">
        <v>0</v>
      </c>
      <c r="F558" t="s">
        <v>560</v>
      </c>
      <c r="G558">
        <v>0</v>
      </c>
      <c r="H558">
        <v>0</v>
      </c>
      <c r="I558">
        <v>0</v>
      </c>
      <c r="J558">
        <v>-2698.26</v>
      </c>
      <c r="K558" s="66">
        <v>-2698.26</v>
      </c>
    </row>
    <row r="559" spans="1:11" x14ac:dyDescent="0.25">
      <c r="A559" t="s">
        <v>1134</v>
      </c>
      <c r="B559" t="s">
        <v>977</v>
      </c>
      <c r="C559" t="s">
        <v>540</v>
      </c>
      <c r="D559" t="s">
        <v>603</v>
      </c>
      <c r="E559">
        <v>1346995</v>
      </c>
      <c r="F559" t="s">
        <v>604</v>
      </c>
      <c r="G559">
        <v>0</v>
      </c>
      <c r="H559">
        <v>0</v>
      </c>
      <c r="I559">
        <v>0</v>
      </c>
      <c r="J559">
        <v>0</v>
      </c>
      <c r="K559" s="66">
        <v>1346995</v>
      </c>
    </row>
    <row r="560" spans="1:11" x14ac:dyDescent="0.25">
      <c r="A560" t="s">
        <v>770</v>
      </c>
      <c r="B560" t="s">
        <v>771</v>
      </c>
      <c r="C560" t="s">
        <v>540</v>
      </c>
      <c r="D560" t="s">
        <v>772</v>
      </c>
      <c r="E560">
        <v>11757917.859999999</v>
      </c>
      <c r="F560" t="s">
        <v>773</v>
      </c>
      <c r="G560">
        <v>42743800</v>
      </c>
      <c r="H560">
        <v>0</v>
      </c>
      <c r="I560">
        <v>0</v>
      </c>
      <c r="J560">
        <v>0</v>
      </c>
      <c r="K560" s="66">
        <v>54501717.859999999</v>
      </c>
    </row>
    <row r="561" spans="1:11" x14ac:dyDescent="0.25">
      <c r="A561" t="s">
        <v>1135</v>
      </c>
      <c r="B561" t="s">
        <v>978</v>
      </c>
      <c r="C561" t="s">
        <v>540</v>
      </c>
      <c r="D561" t="s">
        <v>563</v>
      </c>
      <c r="E561">
        <v>0</v>
      </c>
      <c r="F561" t="s">
        <v>564</v>
      </c>
      <c r="G561">
        <v>24470437.420000002</v>
      </c>
      <c r="H561">
        <v>0</v>
      </c>
      <c r="I561">
        <v>0</v>
      </c>
      <c r="J561">
        <v>0</v>
      </c>
      <c r="K561" s="66">
        <v>24470437.420000002</v>
      </c>
    </row>
    <row r="562" spans="1:11" x14ac:dyDescent="0.25">
      <c r="A562" t="s">
        <v>897</v>
      </c>
      <c r="B562" t="s">
        <v>898</v>
      </c>
      <c r="C562" t="s">
        <v>540</v>
      </c>
      <c r="D562" t="s">
        <v>899</v>
      </c>
      <c r="E562">
        <v>0</v>
      </c>
      <c r="F562" t="s">
        <v>900</v>
      </c>
      <c r="G562">
        <v>16552800</v>
      </c>
      <c r="H562">
        <v>0</v>
      </c>
      <c r="I562">
        <v>0</v>
      </c>
      <c r="J562">
        <v>0</v>
      </c>
      <c r="K562" s="66">
        <v>16552800</v>
      </c>
    </row>
    <row r="563" spans="1:11" x14ac:dyDescent="0.25">
      <c r="A563" t="s">
        <v>1136</v>
      </c>
      <c r="B563" t="s">
        <v>1137</v>
      </c>
      <c r="C563" t="s">
        <v>540</v>
      </c>
      <c r="D563" t="s">
        <v>557</v>
      </c>
      <c r="E563">
        <v>1152515</v>
      </c>
      <c r="F563" t="s">
        <v>558</v>
      </c>
      <c r="G563">
        <v>0</v>
      </c>
      <c r="H563">
        <v>0</v>
      </c>
      <c r="I563">
        <v>0</v>
      </c>
      <c r="J563">
        <v>0</v>
      </c>
      <c r="K563" s="66">
        <v>1152515</v>
      </c>
    </row>
    <row r="564" spans="1:11" x14ac:dyDescent="0.25">
      <c r="A564" t="s">
        <v>1138</v>
      </c>
      <c r="B564" t="s">
        <v>979</v>
      </c>
      <c r="C564" t="s">
        <v>540</v>
      </c>
      <c r="D564" t="s">
        <v>577</v>
      </c>
      <c r="E564">
        <v>0</v>
      </c>
      <c r="F564" t="s">
        <v>578</v>
      </c>
      <c r="G564">
        <v>11953535.369999999</v>
      </c>
      <c r="H564">
        <v>0</v>
      </c>
      <c r="I564">
        <v>0</v>
      </c>
      <c r="J564">
        <v>0</v>
      </c>
      <c r="K564" s="66">
        <v>11953535.369999999</v>
      </c>
    </row>
    <row r="565" spans="1:11" x14ac:dyDescent="0.25">
      <c r="A565" t="s">
        <v>824</v>
      </c>
      <c r="B565" t="s">
        <v>825</v>
      </c>
      <c r="C565" t="s">
        <v>540</v>
      </c>
      <c r="D565" t="s">
        <v>563</v>
      </c>
      <c r="E565">
        <v>60970055.700000003</v>
      </c>
      <c r="F565" t="s">
        <v>564</v>
      </c>
      <c r="G565">
        <v>0</v>
      </c>
      <c r="H565">
        <v>0</v>
      </c>
      <c r="I565">
        <v>0</v>
      </c>
      <c r="J565">
        <v>0</v>
      </c>
      <c r="K565" s="66">
        <v>60970055.700000003</v>
      </c>
    </row>
    <row r="566" spans="1:11" x14ac:dyDescent="0.25">
      <c r="A566" t="s">
        <v>509</v>
      </c>
      <c r="B566" t="s">
        <v>510</v>
      </c>
      <c r="C566" t="s">
        <v>540</v>
      </c>
      <c r="D566" t="s">
        <v>585</v>
      </c>
      <c r="E566">
        <v>0</v>
      </c>
      <c r="F566" t="s">
        <v>586</v>
      </c>
      <c r="G566">
        <v>4031508.25</v>
      </c>
      <c r="H566">
        <v>0</v>
      </c>
      <c r="I566">
        <v>0</v>
      </c>
      <c r="J566">
        <v>0</v>
      </c>
      <c r="K566" s="66">
        <v>4031508.25</v>
      </c>
    </row>
    <row r="567" spans="1:11" x14ac:dyDescent="0.25">
      <c r="A567" t="s">
        <v>774</v>
      </c>
      <c r="B567" t="s">
        <v>775</v>
      </c>
      <c r="C567" t="s">
        <v>540</v>
      </c>
      <c r="D567" t="s">
        <v>776</v>
      </c>
      <c r="E567">
        <v>0</v>
      </c>
      <c r="F567" t="s">
        <v>777</v>
      </c>
      <c r="G567">
        <v>5798992.7699999996</v>
      </c>
      <c r="H567">
        <v>0</v>
      </c>
      <c r="I567">
        <v>0</v>
      </c>
      <c r="J567">
        <v>0</v>
      </c>
      <c r="K567" s="66">
        <v>5798992.7699999996</v>
      </c>
    </row>
    <row r="568" spans="1:11" x14ac:dyDescent="0.25">
      <c r="A568" t="s">
        <v>400</v>
      </c>
      <c r="B568" t="s">
        <v>401</v>
      </c>
      <c r="C568" t="s">
        <v>540</v>
      </c>
      <c r="D568" t="s">
        <v>679</v>
      </c>
      <c r="E568">
        <v>850800</v>
      </c>
      <c r="F568" t="s">
        <v>680</v>
      </c>
      <c r="G568">
        <v>8768703.5</v>
      </c>
      <c r="H568">
        <v>0</v>
      </c>
      <c r="I568">
        <v>0</v>
      </c>
      <c r="J568">
        <v>0</v>
      </c>
      <c r="K568" s="66">
        <v>9619503.5</v>
      </c>
    </row>
    <row r="569" spans="1:11" x14ac:dyDescent="0.25">
      <c r="A569" t="s">
        <v>903</v>
      </c>
      <c r="B569" t="s">
        <v>904</v>
      </c>
      <c r="C569" t="s">
        <v>540</v>
      </c>
      <c r="D569" t="s">
        <v>603</v>
      </c>
      <c r="E569">
        <v>221581187.47</v>
      </c>
      <c r="F569" t="s">
        <v>604</v>
      </c>
      <c r="G569">
        <v>224773861.88</v>
      </c>
      <c r="H569">
        <v>0</v>
      </c>
      <c r="I569">
        <v>0</v>
      </c>
      <c r="J569">
        <v>0</v>
      </c>
      <c r="K569" s="66">
        <v>446355049.35000002</v>
      </c>
    </row>
    <row r="570" spans="1:11" x14ac:dyDescent="0.25">
      <c r="A570" t="s">
        <v>402</v>
      </c>
      <c r="B570" t="s">
        <v>403</v>
      </c>
      <c r="C570" t="s">
        <v>540</v>
      </c>
      <c r="D570" t="s">
        <v>681</v>
      </c>
      <c r="E570">
        <v>-25108504</v>
      </c>
      <c r="F570" t="s">
        <v>682</v>
      </c>
      <c r="G570">
        <v>20998508.91</v>
      </c>
      <c r="H570">
        <v>78483553.620000005</v>
      </c>
      <c r="I570">
        <v>0</v>
      </c>
      <c r="J570">
        <v>0</v>
      </c>
      <c r="K570" s="66">
        <v>74373558.530000001</v>
      </c>
    </row>
    <row r="571" spans="1:11" x14ac:dyDescent="0.25">
      <c r="A571" t="s">
        <v>683</v>
      </c>
      <c r="B571" t="s">
        <v>684</v>
      </c>
      <c r="C571" t="s">
        <v>540</v>
      </c>
      <c r="D571" t="s">
        <v>685</v>
      </c>
      <c r="E571">
        <v>0</v>
      </c>
      <c r="F571" t="s">
        <v>686</v>
      </c>
      <c r="G571">
        <v>0</v>
      </c>
      <c r="H571">
        <v>1926618.02</v>
      </c>
      <c r="I571">
        <v>0</v>
      </c>
      <c r="J571">
        <v>0</v>
      </c>
      <c r="K571" s="66">
        <v>1926618.02</v>
      </c>
    </row>
    <row r="572" spans="1:11" x14ac:dyDescent="0.25">
      <c r="A572" t="s">
        <v>404</v>
      </c>
      <c r="B572" t="s">
        <v>405</v>
      </c>
      <c r="C572" t="s">
        <v>540</v>
      </c>
      <c r="D572" t="s">
        <v>615</v>
      </c>
      <c r="E572">
        <v>973114.47</v>
      </c>
      <c r="F572" t="s">
        <v>616</v>
      </c>
      <c r="G572">
        <v>1226170.73</v>
      </c>
      <c r="H572">
        <v>0</v>
      </c>
      <c r="I572">
        <v>0</v>
      </c>
      <c r="J572">
        <v>0</v>
      </c>
      <c r="K572" s="66">
        <v>2199285.2000000002</v>
      </c>
    </row>
    <row r="573" spans="1:11" x14ac:dyDescent="0.25">
      <c r="A573" t="s">
        <v>1139</v>
      </c>
      <c r="B573" t="s">
        <v>1140</v>
      </c>
      <c r="C573" t="s">
        <v>540</v>
      </c>
      <c r="D573" t="s">
        <v>555</v>
      </c>
      <c r="E573">
        <v>140000</v>
      </c>
      <c r="F573" t="s">
        <v>556</v>
      </c>
      <c r="G573">
        <v>0</v>
      </c>
      <c r="H573">
        <v>0</v>
      </c>
      <c r="I573">
        <v>0</v>
      </c>
      <c r="J573">
        <v>0</v>
      </c>
      <c r="K573" s="66">
        <v>140000</v>
      </c>
    </row>
    <row r="574" spans="1:11" x14ac:dyDescent="0.25">
      <c r="A574" t="s">
        <v>1141</v>
      </c>
      <c r="B574" t="s">
        <v>980</v>
      </c>
      <c r="C574" t="s">
        <v>540</v>
      </c>
      <c r="D574" t="s">
        <v>565</v>
      </c>
      <c r="E574">
        <v>45450000</v>
      </c>
      <c r="F574" t="s">
        <v>566</v>
      </c>
      <c r="G574">
        <v>98608500</v>
      </c>
      <c r="H574">
        <v>0</v>
      </c>
      <c r="I574">
        <v>0</v>
      </c>
      <c r="J574">
        <v>0</v>
      </c>
      <c r="K574" s="66">
        <v>144058500</v>
      </c>
    </row>
    <row r="575" spans="1:11" x14ac:dyDescent="0.25">
      <c r="A575" t="s">
        <v>406</v>
      </c>
      <c r="B575" t="s">
        <v>407</v>
      </c>
      <c r="C575" t="s">
        <v>540</v>
      </c>
      <c r="D575" t="s">
        <v>681</v>
      </c>
      <c r="E575">
        <v>242517.82</v>
      </c>
      <c r="F575" t="s">
        <v>682</v>
      </c>
      <c r="G575">
        <v>0</v>
      </c>
      <c r="H575">
        <v>0</v>
      </c>
      <c r="I575">
        <v>0</v>
      </c>
      <c r="J575">
        <v>0</v>
      </c>
      <c r="K575" s="66">
        <v>242517.82</v>
      </c>
    </row>
    <row r="576" spans="1:11" x14ac:dyDescent="0.25">
      <c r="A576" t="s">
        <v>408</v>
      </c>
      <c r="B576" t="s">
        <v>409</v>
      </c>
      <c r="C576" t="s">
        <v>540</v>
      </c>
      <c r="D576" t="s">
        <v>677</v>
      </c>
      <c r="E576">
        <v>0</v>
      </c>
      <c r="F576" t="s">
        <v>678</v>
      </c>
      <c r="G576">
        <v>16000000</v>
      </c>
      <c r="H576">
        <v>0</v>
      </c>
      <c r="I576">
        <v>0</v>
      </c>
      <c r="J576">
        <v>0</v>
      </c>
      <c r="K576" s="66">
        <v>16000000</v>
      </c>
    </row>
    <row r="577" spans="1:11" x14ac:dyDescent="0.25">
      <c r="A577" t="s">
        <v>826</v>
      </c>
      <c r="B577" t="s">
        <v>827</v>
      </c>
      <c r="C577" t="s">
        <v>540</v>
      </c>
      <c r="D577" t="s">
        <v>671</v>
      </c>
      <c r="E577">
        <v>0</v>
      </c>
      <c r="F577" t="s">
        <v>672</v>
      </c>
      <c r="G577">
        <v>377140.43</v>
      </c>
      <c r="H577">
        <v>0</v>
      </c>
      <c r="I577">
        <v>0</v>
      </c>
      <c r="J577">
        <v>0</v>
      </c>
      <c r="K577" s="66">
        <v>377140.43</v>
      </c>
    </row>
    <row r="578" spans="1:11" x14ac:dyDescent="0.25">
      <c r="A578" t="s">
        <v>511</v>
      </c>
      <c r="B578" t="s">
        <v>512</v>
      </c>
      <c r="C578" t="s">
        <v>540</v>
      </c>
      <c r="D578" t="s">
        <v>631</v>
      </c>
      <c r="E578">
        <v>0</v>
      </c>
      <c r="F578" t="s">
        <v>632</v>
      </c>
      <c r="G578">
        <v>104060</v>
      </c>
      <c r="H578">
        <v>0</v>
      </c>
      <c r="I578">
        <v>0</v>
      </c>
      <c r="J578">
        <v>0</v>
      </c>
      <c r="K578" s="66">
        <v>104060</v>
      </c>
    </row>
    <row r="579" spans="1:11" x14ac:dyDescent="0.25">
      <c r="A579" t="s">
        <v>410</v>
      </c>
      <c r="B579" t="s">
        <v>411</v>
      </c>
      <c r="C579" t="s">
        <v>540</v>
      </c>
      <c r="D579" t="s">
        <v>559</v>
      </c>
      <c r="E579">
        <v>0</v>
      </c>
      <c r="F579" t="s">
        <v>560</v>
      </c>
      <c r="G579">
        <v>0</v>
      </c>
      <c r="H579">
        <v>4015869</v>
      </c>
      <c r="I579">
        <v>0</v>
      </c>
      <c r="J579">
        <v>2438089.5</v>
      </c>
      <c r="K579" s="66">
        <v>6453958.5</v>
      </c>
    </row>
    <row r="580" spans="1:11" x14ac:dyDescent="0.25">
      <c r="A580" t="s">
        <v>828</v>
      </c>
      <c r="B580" t="s">
        <v>829</v>
      </c>
      <c r="C580" t="s">
        <v>540</v>
      </c>
      <c r="D580" t="s">
        <v>561</v>
      </c>
      <c r="E580">
        <v>0</v>
      </c>
      <c r="F580" t="s">
        <v>562</v>
      </c>
      <c r="G580">
        <v>3440000</v>
      </c>
      <c r="H580">
        <v>2280000</v>
      </c>
      <c r="I580">
        <v>0</v>
      </c>
      <c r="J580">
        <v>0</v>
      </c>
      <c r="K580" s="66">
        <v>5720000</v>
      </c>
    </row>
    <row r="581" spans="1:11" x14ac:dyDescent="0.25">
      <c r="A581" t="s">
        <v>412</v>
      </c>
      <c r="B581" t="s">
        <v>413</v>
      </c>
      <c r="C581" t="s">
        <v>540</v>
      </c>
      <c r="D581" t="s">
        <v>677</v>
      </c>
      <c r="E581">
        <v>366949.68</v>
      </c>
      <c r="F581" t="s">
        <v>678</v>
      </c>
      <c r="G581">
        <v>3091193.05</v>
      </c>
      <c r="H581">
        <v>0</v>
      </c>
      <c r="I581">
        <v>0</v>
      </c>
      <c r="J581">
        <v>0</v>
      </c>
      <c r="K581" s="66">
        <v>3458142.73</v>
      </c>
    </row>
    <row r="582" spans="1:11" x14ac:dyDescent="0.25">
      <c r="A582" t="s">
        <v>414</v>
      </c>
      <c r="B582" t="s">
        <v>415</v>
      </c>
      <c r="C582" t="s">
        <v>540</v>
      </c>
      <c r="D582" t="s">
        <v>553</v>
      </c>
      <c r="E582">
        <v>0</v>
      </c>
      <c r="F582" t="s">
        <v>554</v>
      </c>
      <c r="G582">
        <v>23096268</v>
      </c>
      <c r="H582">
        <v>0</v>
      </c>
      <c r="I582">
        <v>0</v>
      </c>
      <c r="J582">
        <v>0</v>
      </c>
      <c r="K582" s="66">
        <v>23096268</v>
      </c>
    </row>
    <row r="583" spans="1:11" x14ac:dyDescent="0.25">
      <c r="A583" t="s">
        <v>1142</v>
      </c>
      <c r="B583" t="s">
        <v>1143</v>
      </c>
      <c r="C583" t="s">
        <v>540</v>
      </c>
      <c r="D583" t="s">
        <v>559</v>
      </c>
      <c r="E583">
        <v>614433</v>
      </c>
      <c r="F583" t="s">
        <v>560</v>
      </c>
      <c r="G583">
        <v>0</v>
      </c>
      <c r="H583">
        <v>0</v>
      </c>
      <c r="I583">
        <v>0</v>
      </c>
      <c r="J583">
        <v>0</v>
      </c>
      <c r="K583" s="66">
        <v>614433</v>
      </c>
    </row>
    <row r="584" spans="1:11" x14ac:dyDescent="0.25">
      <c r="A584" t="s">
        <v>416</v>
      </c>
      <c r="B584" t="s">
        <v>417</v>
      </c>
      <c r="C584" t="s">
        <v>540</v>
      </c>
      <c r="D584" t="s">
        <v>585</v>
      </c>
      <c r="E584">
        <v>5803317.2999999998</v>
      </c>
      <c r="F584" t="s">
        <v>586</v>
      </c>
      <c r="G584">
        <v>0</v>
      </c>
      <c r="H584">
        <v>0</v>
      </c>
      <c r="I584">
        <v>0</v>
      </c>
      <c r="J584">
        <v>0</v>
      </c>
      <c r="K584" s="66">
        <v>5803317.2999999998</v>
      </c>
    </row>
    <row r="585" spans="1:11" x14ac:dyDescent="0.25">
      <c r="A585" t="s">
        <v>830</v>
      </c>
      <c r="B585" t="s">
        <v>831</v>
      </c>
      <c r="C585" t="s">
        <v>540</v>
      </c>
      <c r="D585" t="s">
        <v>605</v>
      </c>
      <c r="E585">
        <v>142780</v>
      </c>
      <c r="F585" t="s">
        <v>606</v>
      </c>
      <c r="G585">
        <v>4270265.32</v>
      </c>
      <c r="H585">
        <v>0</v>
      </c>
      <c r="I585">
        <v>0</v>
      </c>
      <c r="J585">
        <v>0</v>
      </c>
      <c r="K585" s="66">
        <v>4413045.32</v>
      </c>
    </row>
    <row r="586" spans="1:11" x14ac:dyDescent="0.25">
      <c r="A586" t="s">
        <v>1144</v>
      </c>
      <c r="B586" t="s">
        <v>1145</v>
      </c>
      <c r="C586" t="s">
        <v>540</v>
      </c>
      <c r="D586" t="s">
        <v>1146</v>
      </c>
      <c r="E586">
        <v>400000</v>
      </c>
      <c r="F586" t="s">
        <v>1147</v>
      </c>
      <c r="G586">
        <v>0</v>
      </c>
      <c r="H586">
        <v>0</v>
      </c>
      <c r="I586">
        <v>0</v>
      </c>
      <c r="J586">
        <v>0</v>
      </c>
      <c r="K586" s="66">
        <v>400000</v>
      </c>
    </row>
    <row r="587" spans="1:11" x14ac:dyDescent="0.25">
      <c r="A587" t="s">
        <v>418</v>
      </c>
      <c r="B587" t="s">
        <v>419</v>
      </c>
      <c r="C587" t="s">
        <v>540</v>
      </c>
      <c r="D587" t="s">
        <v>643</v>
      </c>
      <c r="E587">
        <v>520043</v>
      </c>
      <c r="F587" t="s">
        <v>644</v>
      </c>
      <c r="G587">
        <v>3376279.07</v>
      </c>
      <c r="H587">
        <v>0</v>
      </c>
      <c r="I587">
        <v>0</v>
      </c>
      <c r="J587">
        <v>0</v>
      </c>
      <c r="K587" s="66">
        <v>3896322.07</v>
      </c>
    </row>
    <row r="588" spans="1:11" x14ac:dyDescent="0.25">
      <c r="A588" t="s">
        <v>1148</v>
      </c>
      <c r="B588" t="s">
        <v>1149</v>
      </c>
      <c r="C588" t="s">
        <v>540</v>
      </c>
      <c r="D588" t="s">
        <v>559</v>
      </c>
      <c r="E588">
        <v>1610000</v>
      </c>
      <c r="F588" t="s">
        <v>560</v>
      </c>
      <c r="G588">
        <v>0</v>
      </c>
      <c r="H588">
        <v>0</v>
      </c>
      <c r="I588">
        <v>0</v>
      </c>
      <c r="J588">
        <v>0</v>
      </c>
      <c r="K588" s="66">
        <v>1610000</v>
      </c>
    </row>
    <row r="589" spans="1:11" x14ac:dyDescent="0.25">
      <c r="A589" t="s">
        <v>1150</v>
      </c>
      <c r="B589" t="s">
        <v>981</v>
      </c>
      <c r="C589" t="s">
        <v>540</v>
      </c>
      <c r="D589" t="s">
        <v>545</v>
      </c>
      <c r="E589">
        <v>0</v>
      </c>
      <c r="F589" t="s">
        <v>546</v>
      </c>
      <c r="G589">
        <v>223018.68</v>
      </c>
      <c r="H589">
        <v>0</v>
      </c>
      <c r="I589">
        <v>0</v>
      </c>
      <c r="J589">
        <v>0</v>
      </c>
      <c r="K589" s="66">
        <v>223018.68</v>
      </c>
    </row>
    <row r="590" spans="1:11" x14ac:dyDescent="0.25">
      <c r="A590" t="s">
        <v>422</v>
      </c>
      <c r="B590" t="s">
        <v>423</v>
      </c>
      <c r="C590" t="s">
        <v>540</v>
      </c>
      <c r="D590" t="s">
        <v>553</v>
      </c>
      <c r="E590">
        <v>122500</v>
      </c>
      <c r="F590" t="s">
        <v>554</v>
      </c>
      <c r="G590">
        <v>979450</v>
      </c>
      <c r="H590">
        <v>0</v>
      </c>
      <c r="I590">
        <v>0</v>
      </c>
      <c r="J590">
        <v>0</v>
      </c>
      <c r="K590" s="66">
        <v>1101950</v>
      </c>
    </row>
    <row r="591" spans="1:11" x14ac:dyDescent="0.25">
      <c r="A591" t="s">
        <v>1151</v>
      </c>
      <c r="B591" t="s">
        <v>1152</v>
      </c>
      <c r="C591" t="s">
        <v>540</v>
      </c>
      <c r="D591" t="s">
        <v>579</v>
      </c>
      <c r="E591">
        <v>1375219.81</v>
      </c>
      <c r="F591" t="s">
        <v>580</v>
      </c>
      <c r="G591">
        <v>681943.09</v>
      </c>
      <c r="H591">
        <v>0</v>
      </c>
      <c r="I591">
        <v>0</v>
      </c>
      <c r="J591">
        <v>0</v>
      </c>
      <c r="K591" s="66">
        <v>2057162.9</v>
      </c>
    </row>
    <row r="592" spans="1:11" x14ac:dyDescent="0.25">
      <c r="A592" t="s">
        <v>1153</v>
      </c>
      <c r="B592" t="s">
        <v>982</v>
      </c>
      <c r="C592" t="s">
        <v>540</v>
      </c>
      <c r="D592" t="s">
        <v>563</v>
      </c>
      <c r="E592">
        <v>3791052</v>
      </c>
      <c r="F592" t="s">
        <v>564</v>
      </c>
      <c r="G592">
        <v>0</v>
      </c>
      <c r="H592">
        <v>0</v>
      </c>
      <c r="I592">
        <v>0</v>
      </c>
      <c r="J592">
        <v>0</v>
      </c>
      <c r="K592" s="66">
        <v>3791052</v>
      </c>
    </row>
    <row r="593" spans="1:11" x14ac:dyDescent="0.25">
      <c r="A593" t="s">
        <v>424</v>
      </c>
      <c r="B593" t="s">
        <v>425</v>
      </c>
      <c r="C593" t="s">
        <v>540</v>
      </c>
      <c r="D593" t="s">
        <v>617</v>
      </c>
      <c r="E593">
        <v>0</v>
      </c>
      <c r="F593" t="s">
        <v>618</v>
      </c>
      <c r="G593">
        <v>8239140</v>
      </c>
      <c r="H593">
        <v>0</v>
      </c>
      <c r="I593">
        <v>0</v>
      </c>
      <c r="J593">
        <v>0</v>
      </c>
      <c r="K593" s="66">
        <v>8239140</v>
      </c>
    </row>
    <row r="594" spans="1:11" x14ac:dyDescent="0.25">
      <c r="A594" t="s">
        <v>1154</v>
      </c>
      <c r="B594" t="s">
        <v>1155</v>
      </c>
      <c r="C594" t="s">
        <v>540</v>
      </c>
      <c r="D594" t="s">
        <v>661</v>
      </c>
      <c r="E594">
        <v>1635000</v>
      </c>
      <c r="F594" t="s">
        <v>662</v>
      </c>
      <c r="G594">
        <v>0</v>
      </c>
      <c r="H594">
        <v>0</v>
      </c>
      <c r="I594">
        <v>0</v>
      </c>
      <c r="J594">
        <v>0</v>
      </c>
      <c r="K594" s="66">
        <v>1635000</v>
      </c>
    </row>
    <row r="595" spans="1:11" x14ac:dyDescent="0.25">
      <c r="A595" t="s">
        <v>913</v>
      </c>
      <c r="B595" t="s">
        <v>914</v>
      </c>
      <c r="C595" t="s">
        <v>540</v>
      </c>
      <c r="D595" t="s">
        <v>563</v>
      </c>
      <c r="E595">
        <v>0</v>
      </c>
      <c r="F595" t="s">
        <v>564</v>
      </c>
      <c r="G595">
        <v>2904000</v>
      </c>
      <c r="H595">
        <v>0</v>
      </c>
      <c r="I595">
        <v>0</v>
      </c>
      <c r="J595">
        <v>0</v>
      </c>
      <c r="K595" s="66">
        <v>2904000</v>
      </c>
    </row>
    <row r="596" spans="1:11" x14ac:dyDescent="0.25">
      <c r="A596" t="s">
        <v>426</v>
      </c>
      <c r="B596" t="s">
        <v>427</v>
      </c>
      <c r="C596" t="s">
        <v>540</v>
      </c>
      <c r="D596" t="s">
        <v>659</v>
      </c>
      <c r="E596">
        <v>0</v>
      </c>
      <c r="F596" t="s">
        <v>660</v>
      </c>
      <c r="G596">
        <v>13495189</v>
      </c>
      <c r="H596">
        <v>0</v>
      </c>
      <c r="I596">
        <v>19950</v>
      </c>
      <c r="J596">
        <v>0</v>
      </c>
      <c r="K596" s="66">
        <v>13515139</v>
      </c>
    </row>
    <row r="597" spans="1:11" x14ac:dyDescent="0.25">
      <c r="A597" t="s">
        <v>428</v>
      </c>
      <c r="B597" t="s">
        <v>429</v>
      </c>
      <c r="C597" t="s">
        <v>540</v>
      </c>
      <c r="D597" t="s">
        <v>691</v>
      </c>
      <c r="E597">
        <v>272492</v>
      </c>
      <c r="F597" t="s">
        <v>692</v>
      </c>
      <c r="G597">
        <v>1589395</v>
      </c>
      <c r="H597">
        <v>1180657</v>
      </c>
      <c r="I597">
        <v>0</v>
      </c>
      <c r="J597">
        <v>0</v>
      </c>
      <c r="K597" s="66">
        <v>3042544</v>
      </c>
    </row>
    <row r="598" spans="1:11" x14ac:dyDescent="0.25">
      <c r="A598" t="s">
        <v>430</v>
      </c>
      <c r="B598" t="s">
        <v>431</v>
      </c>
      <c r="C598" t="s">
        <v>540</v>
      </c>
      <c r="D598" t="s">
        <v>551</v>
      </c>
      <c r="E598">
        <v>0</v>
      </c>
      <c r="F598" t="s">
        <v>552</v>
      </c>
      <c r="G598">
        <v>5488941</v>
      </c>
      <c r="H598">
        <v>0</v>
      </c>
      <c r="I598">
        <v>0</v>
      </c>
      <c r="J598">
        <v>0</v>
      </c>
      <c r="K598" s="66">
        <v>5488941</v>
      </c>
    </row>
    <row r="599" spans="1:11" x14ac:dyDescent="0.25">
      <c r="A599" t="s">
        <v>432</v>
      </c>
      <c r="B599" t="s">
        <v>433</v>
      </c>
      <c r="C599" t="s">
        <v>540</v>
      </c>
      <c r="D599" t="s">
        <v>603</v>
      </c>
      <c r="E599">
        <v>0</v>
      </c>
      <c r="F599" t="s">
        <v>604</v>
      </c>
      <c r="G599">
        <v>0</v>
      </c>
      <c r="H599">
        <v>0</v>
      </c>
      <c r="I599">
        <v>0</v>
      </c>
      <c r="J599">
        <v>1074310</v>
      </c>
      <c r="K599" s="66">
        <v>1074310</v>
      </c>
    </row>
    <row r="600" spans="1:11" x14ac:dyDescent="0.25">
      <c r="A600" t="s">
        <v>1156</v>
      </c>
      <c r="B600" t="s">
        <v>1157</v>
      </c>
      <c r="C600" t="s">
        <v>540</v>
      </c>
      <c r="D600" t="s">
        <v>1158</v>
      </c>
      <c r="E600">
        <v>358644</v>
      </c>
      <c r="F600" t="s">
        <v>1159</v>
      </c>
      <c r="G600">
        <v>0</v>
      </c>
      <c r="H600">
        <v>0</v>
      </c>
      <c r="I600">
        <v>0</v>
      </c>
      <c r="J600">
        <v>0</v>
      </c>
      <c r="K600" s="66">
        <v>358644</v>
      </c>
    </row>
    <row r="601" spans="1:11" x14ac:dyDescent="0.25">
      <c r="A601" t="s">
        <v>1160</v>
      </c>
      <c r="B601" t="s">
        <v>1161</v>
      </c>
      <c r="C601" t="s">
        <v>540</v>
      </c>
      <c r="D601" t="s">
        <v>661</v>
      </c>
      <c r="E601">
        <v>254000</v>
      </c>
      <c r="F601" t="s">
        <v>662</v>
      </c>
      <c r="G601">
        <v>0</v>
      </c>
      <c r="H601">
        <v>0</v>
      </c>
      <c r="I601">
        <v>0</v>
      </c>
      <c r="J601">
        <v>0</v>
      </c>
      <c r="K601" s="66">
        <v>254000</v>
      </c>
    </row>
    <row r="602" spans="1:11" x14ac:dyDescent="0.25">
      <c r="A602" t="s">
        <v>786</v>
      </c>
      <c r="B602" t="s">
        <v>787</v>
      </c>
      <c r="C602" t="s">
        <v>540</v>
      </c>
      <c r="D602" t="s">
        <v>559</v>
      </c>
      <c r="E602">
        <v>824722.02</v>
      </c>
      <c r="F602" t="s">
        <v>560</v>
      </c>
      <c r="G602">
        <v>0</v>
      </c>
      <c r="H602">
        <v>0</v>
      </c>
      <c r="I602">
        <v>0</v>
      </c>
      <c r="J602">
        <v>0</v>
      </c>
      <c r="K602" s="66">
        <v>824722.02</v>
      </c>
    </row>
    <row r="603" spans="1:11" x14ac:dyDescent="0.25">
      <c r="A603" t="s">
        <v>788</v>
      </c>
      <c r="B603" t="s">
        <v>789</v>
      </c>
      <c r="C603" t="s">
        <v>540</v>
      </c>
      <c r="D603" t="s">
        <v>559</v>
      </c>
      <c r="E603">
        <v>7308400</v>
      </c>
      <c r="F603" t="s">
        <v>560</v>
      </c>
      <c r="G603">
        <v>12765500</v>
      </c>
      <c r="H603">
        <v>0</v>
      </c>
      <c r="I603">
        <v>0</v>
      </c>
      <c r="J603">
        <v>0</v>
      </c>
      <c r="K603" s="66">
        <v>20073900</v>
      </c>
    </row>
    <row r="604" spans="1:11" x14ac:dyDescent="0.25">
      <c r="A604" t="s">
        <v>1162</v>
      </c>
      <c r="B604" t="s">
        <v>983</v>
      </c>
      <c r="C604" t="s">
        <v>540</v>
      </c>
      <c r="D604" t="s">
        <v>1158</v>
      </c>
      <c r="E604">
        <v>0</v>
      </c>
      <c r="F604" t="s">
        <v>1159</v>
      </c>
      <c r="G604">
        <v>969046260</v>
      </c>
      <c r="H604">
        <v>0</v>
      </c>
      <c r="I604">
        <v>0</v>
      </c>
      <c r="J604">
        <v>0</v>
      </c>
      <c r="K604" s="66">
        <v>969046260</v>
      </c>
    </row>
    <row r="605" spans="1:11" x14ac:dyDescent="0.25">
      <c r="A605" t="s">
        <v>515</v>
      </c>
      <c r="B605" t="s">
        <v>516</v>
      </c>
      <c r="C605" t="s">
        <v>540</v>
      </c>
      <c r="D605" t="s">
        <v>693</v>
      </c>
      <c r="E605">
        <v>0</v>
      </c>
      <c r="F605" t="s">
        <v>694</v>
      </c>
      <c r="G605">
        <v>0</v>
      </c>
      <c r="H605">
        <v>430950</v>
      </c>
      <c r="I605">
        <v>0</v>
      </c>
      <c r="J605">
        <v>0</v>
      </c>
      <c r="K605" s="66">
        <v>430950</v>
      </c>
    </row>
    <row r="606" spans="1:11" x14ac:dyDescent="0.25">
      <c r="A606" t="s">
        <v>434</v>
      </c>
      <c r="B606" t="s">
        <v>435</v>
      </c>
      <c r="C606" t="s">
        <v>540</v>
      </c>
      <c r="D606" t="s">
        <v>623</v>
      </c>
      <c r="E606">
        <v>157758.15</v>
      </c>
      <c r="F606" t="s">
        <v>624</v>
      </c>
      <c r="G606">
        <v>4015686.67</v>
      </c>
      <c r="H606">
        <v>544502.98</v>
      </c>
      <c r="I606">
        <v>0</v>
      </c>
      <c r="J606">
        <v>0</v>
      </c>
      <c r="K606" s="66">
        <v>4717947.8</v>
      </c>
    </row>
    <row r="607" spans="1:11" x14ac:dyDescent="0.25">
      <c r="A607" t="s">
        <v>1163</v>
      </c>
      <c r="B607" t="s">
        <v>984</v>
      </c>
      <c r="C607" t="s">
        <v>540</v>
      </c>
      <c r="D607" t="s">
        <v>702</v>
      </c>
      <c r="E607">
        <v>0</v>
      </c>
      <c r="F607" t="s">
        <v>703</v>
      </c>
      <c r="G607">
        <v>2395826.5499999998</v>
      </c>
      <c r="H607">
        <v>0</v>
      </c>
      <c r="I607">
        <v>0</v>
      </c>
      <c r="J607">
        <v>0</v>
      </c>
      <c r="K607" s="66">
        <v>2395826.5499999998</v>
      </c>
    </row>
    <row r="608" spans="1:11" x14ac:dyDescent="0.25">
      <c r="A608" t="s">
        <v>436</v>
      </c>
      <c r="B608" t="s">
        <v>437</v>
      </c>
      <c r="C608" t="s">
        <v>540</v>
      </c>
      <c r="D608" t="s">
        <v>561</v>
      </c>
      <c r="E608">
        <v>0</v>
      </c>
      <c r="F608" t="s">
        <v>562</v>
      </c>
      <c r="G608">
        <v>66594000</v>
      </c>
      <c r="H608">
        <v>4810000</v>
      </c>
      <c r="I608">
        <v>0</v>
      </c>
      <c r="J608">
        <v>0</v>
      </c>
      <c r="K608" s="66">
        <v>71404000</v>
      </c>
    </row>
    <row r="609" spans="1:11" x14ac:dyDescent="0.25">
      <c r="A609" t="s">
        <v>438</v>
      </c>
      <c r="B609" t="s">
        <v>439</v>
      </c>
      <c r="C609" t="s">
        <v>540</v>
      </c>
      <c r="D609" t="s">
        <v>603</v>
      </c>
      <c r="E609">
        <v>0</v>
      </c>
      <c r="F609" t="s">
        <v>604</v>
      </c>
      <c r="G609">
        <v>0</v>
      </c>
      <c r="H609">
        <v>0</v>
      </c>
      <c r="I609">
        <v>0</v>
      </c>
      <c r="J609">
        <v>8115779.6100000003</v>
      </c>
      <c r="K609" s="66">
        <v>8115779.6100000003</v>
      </c>
    </row>
    <row r="610" spans="1:11" x14ac:dyDescent="0.25">
      <c r="A610" t="s">
        <v>444</v>
      </c>
      <c r="B610" t="s">
        <v>445</v>
      </c>
      <c r="C610" t="s">
        <v>540</v>
      </c>
      <c r="D610" t="s">
        <v>603</v>
      </c>
      <c r="E610">
        <v>0</v>
      </c>
      <c r="F610" t="s">
        <v>604</v>
      </c>
      <c r="G610">
        <v>0</v>
      </c>
      <c r="H610">
        <v>0</v>
      </c>
      <c r="I610">
        <v>0</v>
      </c>
      <c r="J610">
        <v>25876207.34</v>
      </c>
      <c r="K610" s="66">
        <v>25876207.34</v>
      </c>
    </row>
    <row r="611" spans="1:11" x14ac:dyDescent="0.25">
      <c r="A611" t="s">
        <v>519</v>
      </c>
      <c r="B611" t="s">
        <v>520</v>
      </c>
      <c r="C611" t="s">
        <v>540</v>
      </c>
      <c r="D611" t="s">
        <v>695</v>
      </c>
      <c r="E611">
        <v>0</v>
      </c>
      <c r="F611" t="s">
        <v>696</v>
      </c>
      <c r="G611">
        <v>2514500</v>
      </c>
      <c r="H611">
        <v>0</v>
      </c>
      <c r="I611">
        <v>0</v>
      </c>
      <c r="J611">
        <v>0</v>
      </c>
      <c r="K611" s="66">
        <v>2514500</v>
      </c>
    </row>
    <row r="612" spans="1:11" x14ac:dyDescent="0.25">
      <c r="A612" t="s">
        <v>446</v>
      </c>
      <c r="B612" t="s">
        <v>447</v>
      </c>
      <c r="C612" t="s">
        <v>540</v>
      </c>
      <c r="D612" t="s">
        <v>633</v>
      </c>
      <c r="E612">
        <v>0</v>
      </c>
      <c r="F612" t="s">
        <v>634</v>
      </c>
      <c r="G612">
        <v>0</v>
      </c>
      <c r="H612">
        <v>0</v>
      </c>
      <c r="I612">
        <v>0</v>
      </c>
      <c r="J612">
        <v>1331</v>
      </c>
      <c r="K612" s="66">
        <v>1331</v>
      </c>
    </row>
    <row r="613" spans="1:11" x14ac:dyDescent="0.25">
      <c r="A613" t="s">
        <v>196</v>
      </c>
      <c r="B613" t="s">
        <v>985</v>
      </c>
      <c r="C613" t="s">
        <v>540</v>
      </c>
      <c r="D613" t="s">
        <v>557</v>
      </c>
      <c r="E613">
        <v>3210000</v>
      </c>
      <c r="F613" t="s">
        <v>558</v>
      </c>
      <c r="G613">
        <v>3175790</v>
      </c>
      <c r="H613">
        <v>0</v>
      </c>
      <c r="I613">
        <v>0</v>
      </c>
      <c r="J613">
        <v>0</v>
      </c>
      <c r="K613" s="66">
        <v>6385790</v>
      </c>
    </row>
    <row r="614" spans="1:11" x14ac:dyDescent="0.25">
      <c r="A614" t="s">
        <v>448</v>
      </c>
      <c r="B614" t="s">
        <v>449</v>
      </c>
      <c r="C614" t="s">
        <v>540</v>
      </c>
      <c r="D614" t="s">
        <v>611</v>
      </c>
      <c r="E614">
        <v>112700.16</v>
      </c>
      <c r="F614" t="s">
        <v>612</v>
      </c>
      <c r="G614">
        <v>1255029.53</v>
      </c>
      <c r="H614">
        <v>0</v>
      </c>
      <c r="I614">
        <v>0</v>
      </c>
      <c r="J614">
        <v>0</v>
      </c>
      <c r="K614" s="66">
        <v>1367729.69</v>
      </c>
    </row>
    <row r="615" spans="1:11" x14ac:dyDescent="0.25">
      <c r="A615" t="s">
        <v>832</v>
      </c>
      <c r="B615" t="s">
        <v>833</v>
      </c>
      <c r="C615" t="s">
        <v>540</v>
      </c>
      <c r="D615" t="s">
        <v>708</v>
      </c>
      <c r="E615">
        <v>0</v>
      </c>
      <c r="F615" t="s">
        <v>709</v>
      </c>
      <c r="G615">
        <v>3871274</v>
      </c>
      <c r="H615">
        <v>12838737.470000001</v>
      </c>
      <c r="I615">
        <v>0</v>
      </c>
      <c r="J615">
        <v>0</v>
      </c>
      <c r="K615" s="66">
        <v>16710011.470000001</v>
      </c>
    </row>
    <row r="616" spans="1:11" x14ac:dyDescent="0.25">
      <c r="A616" t="s">
        <v>1164</v>
      </c>
      <c r="B616" t="s">
        <v>1165</v>
      </c>
      <c r="C616" t="s">
        <v>540</v>
      </c>
      <c r="D616" t="s">
        <v>857</v>
      </c>
      <c r="E616">
        <v>0</v>
      </c>
      <c r="F616" t="s">
        <v>858</v>
      </c>
      <c r="G616">
        <v>380000</v>
      </c>
      <c r="H616">
        <v>0</v>
      </c>
      <c r="I616">
        <v>0</v>
      </c>
      <c r="J616">
        <v>0</v>
      </c>
      <c r="K616" s="66">
        <v>380000</v>
      </c>
    </row>
    <row r="617" spans="1:11" x14ac:dyDescent="0.25">
      <c r="A617" t="s">
        <v>450</v>
      </c>
      <c r="B617" t="s">
        <v>451</v>
      </c>
      <c r="C617" t="s">
        <v>540</v>
      </c>
      <c r="D617" t="s">
        <v>671</v>
      </c>
      <c r="E617">
        <v>0</v>
      </c>
      <c r="F617" t="s">
        <v>697</v>
      </c>
      <c r="G617">
        <v>1190640</v>
      </c>
      <c r="H617">
        <v>0</v>
      </c>
      <c r="I617">
        <v>0</v>
      </c>
      <c r="J617">
        <v>0</v>
      </c>
      <c r="K617" s="66">
        <v>1190640</v>
      </c>
    </row>
    <row r="618" spans="1:11" x14ac:dyDescent="0.25">
      <c r="A618" t="s">
        <v>452</v>
      </c>
      <c r="B618" t="s">
        <v>453</v>
      </c>
      <c r="C618" t="s">
        <v>540</v>
      </c>
      <c r="D618" t="s">
        <v>653</v>
      </c>
      <c r="E618">
        <v>0</v>
      </c>
      <c r="F618" t="s">
        <v>654</v>
      </c>
      <c r="G618">
        <v>23067211.02</v>
      </c>
      <c r="H618">
        <v>20370000</v>
      </c>
      <c r="I618">
        <v>0</v>
      </c>
      <c r="J618">
        <v>0</v>
      </c>
      <c r="K618" s="66">
        <v>43437211.020000003</v>
      </c>
    </row>
    <row r="619" spans="1:11" x14ac:dyDescent="0.25">
      <c r="A619" t="s">
        <v>792</v>
      </c>
      <c r="B619" t="s">
        <v>793</v>
      </c>
      <c r="C619" t="s">
        <v>540</v>
      </c>
      <c r="D619" t="s">
        <v>653</v>
      </c>
      <c r="E619">
        <v>0</v>
      </c>
      <c r="F619" t="s">
        <v>654</v>
      </c>
      <c r="G619">
        <v>0</v>
      </c>
      <c r="H619">
        <v>1262028.42</v>
      </c>
      <c r="I619">
        <v>0</v>
      </c>
      <c r="J619">
        <v>0</v>
      </c>
      <c r="K619" s="66">
        <v>1262028.42</v>
      </c>
    </row>
    <row r="620" spans="1:11" x14ac:dyDescent="0.25">
      <c r="A620" t="s">
        <v>794</v>
      </c>
      <c r="B620" t="s">
        <v>795</v>
      </c>
      <c r="C620" t="s">
        <v>540</v>
      </c>
      <c r="D620" t="s">
        <v>545</v>
      </c>
      <c r="E620">
        <v>601946</v>
      </c>
      <c r="F620" t="s">
        <v>546</v>
      </c>
      <c r="G620">
        <v>422546.15</v>
      </c>
      <c r="H620">
        <v>0</v>
      </c>
      <c r="I620">
        <v>0</v>
      </c>
      <c r="J620">
        <v>0</v>
      </c>
      <c r="K620" s="66">
        <v>1024492.15</v>
      </c>
    </row>
    <row r="621" spans="1:11" x14ac:dyDescent="0.25">
      <c r="A621" t="s">
        <v>521</v>
      </c>
      <c r="B621" t="s">
        <v>522</v>
      </c>
      <c r="C621" t="s">
        <v>540</v>
      </c>
      <c r="D621" t="s">
        <v>585</v>
      </c>
      <c r="E621">
        <v>0</v>
      </c>
      <c r="F621" t="s">
        <v>586</v>
      </c>
      <c r="G621">
        <v>1411979.12</v>
      </c>
      <c r="H621">
        <v>0</v>
      </c>
      <c r="I621">
        <v>0</v>
      </c>
      <c r="J621">
        <v>0</v>
      </c>
      <c r="K621" s="66">
        <v>1411979.12</v>
      </c>
    </row>
    <row r="622" spans="1:11" x14ac:dyDescent="0.25">
      <c r="A622" t="s">
        <v>454</v>
      </c>
      <c r="B622" t="s">
        <v>455</v>
      </c>
      <c r="C622" t="s">
        <v>540</v>
      </c>
      <c r="D622" t="s">
        <v>679</v>
      </c>
      <c r="E622">
        <v>0</v>
      </c>
      <c r="F622" t="s">
        <v>680</v>
      </c>
      <c r="G622">
        <v>395640</v>
      </c>
      <c r="H622">
        <v>0</v>
      </c>
      <c r="I622">
        <v>0</v>
      </c>
      <c r="J622">
        <v>0</v>
      </c>
      <c r="K622" s="66">
        <v>395640</v>
      </c>
    </row>
    <row r="623" spans="1:11" x14ac:dyDescent="0.25">
      <c r="A623" t="s">
        <v>1166</v>
      </c>
      <c r="B623" t="s">
        <v>986</v>
      </c>
      <c r="C623" t="s">
        <v>540</v>
      </c>
      <c r="D623" t="s">
        <v>589</v>
      </c>
      <c r="E623">
        <v>0</v>
      </c>
      <c r="F623" t="s">
        <v>590</v>
      </c>
      <c r="G623">
        <v>901495</v>
      </c>
      <c r="H623">
        <v>0</v>
      </c>
      <c r="I623">
        <v>0</v>
      </c>
      <c r="J623">
        <v>0</v>
      </c>
      <c r="K623" s="66">
        <v>901495</v>
      </c>
    </row>
    <row r="624" spans="1:11" x14ac:dyDescent="0.25">
      <c r="A624" t="s">
        <v>458</v>
      </c>
      <c r="B624" t="s">
        <v>459</v>
      </c>
      <c r="C624" t="s">
        <v>540</v>
      </c>
      <c r="D624" t="s">
        <v>677</v>
      </c>
      <c r="E624">
        <v>0</v>
      </c>
      <c r="F624" t="s">
        <v>678</v>
      </c>
      <c r="G624">
        <v>6417840</v>
      </c>
      <c r="H624">
        <v>12000000</v>
      </c>
      <c r="I624">
        <v>0</v>
      </c>
      <c r="J624">
        <v>0</v>
      </c>
      <c r="K624" s="66">
        <v>18417840</v>
      </c>
    </row>
    <row r="625" spans="1:11" x14ac:dyDescent="0.25">
      <c r="A625" t="s">
        <v>1167</v>
      </c>
      <c r="B625" t="s">
        <v>987</v>
      </c>
      <c r="C625" t="s">
        <v>540</v>
      </c>
      <c r="D625" t="s">
        <v>555</v>
      </c>
      <c r="E625">
        <v>0</v>
      </c>
      <c r="F625" t="s">
        <v>556</v>
      </c>
      <c r="G625">
        <v>36072.33</v>
      </c>
      <c r="H625">
        <v>0</v>
      </c>
      <c r="I625">
        <v>0</v>
      </c>
      <c r="J625">
        <v>0</v>
      </c>
      <c r="K625" s="66">
        <v>36072.33</v>
      </c>
    </row>
    <row r="626" spans="1:11" x14ac:dyDescent="0.25">
      <c r="A626" t="s">
        <v>1168</v>
      </c>
      <c r="B626" t="s">
        <v>1169</v>
      </c>
      <c r="C626" t="s">
        <v>540</v>
      </c>
      <c r="D626" t="s">
        <v>555</v>
      </c>
      <c r="E626">
        <v>2237542.67</v>
      </c>
      <c r="F626" t="s">
        <v>556</v>
      </c>
      <c r="G626">
        <v>0</v>
      </c>
      <c r="H626">
        <v>0</v>
      </c>
      <c r="I626">
        <v>0</v>
      </c>
      <c r="J626">
        <v>0</v>
      </c>
      <c r="K626" s="66">
        <v>2237542.67</v>
      </c>
    </row>
    <row r="627" spans="1:11" x14ac:dyDescent="0.25">
      <c r="A627" t="s">
        <v>1170</v>
      </c>
      <c r="B627" t="s">
        <v>988</v>
      </c>
      <c r="C627" t="s">
        <v>540</v>
      </c>
      <c r="D627" t="s">
        <v>635</v>
      </c>
      <c r="E627">
        <v>0</v>
      </c>
      <c r="F627" t="s">
        <v>636</v>
      </c>
      <c r="G627">
        <v>1103520</v>
      </c>
      <c r="H627">
        <v>0</v>
      </c>
      <c r="I627">
        <v>0</v>
      </c>
      <c r="J627">
        <v>0</v>
      </c>
      <c r="K627" s="66">
        <v>1103520</v>
      </c>
    </row>
    <row r="628" spans="1:11" x14ac:dyDescent="0.25">
      <c r="A628" t="s">
        <v>460</v>
      </c>
      <c r="B628" t="s">
        <v>461</v>
      </c>
      <c r="C628" t="s">
        <v>540</v>
      </c>
      <c r="D628" t="s">
        <v>559</v>
      </c>
      <c r="E628">
        <v>95000</v>
      </c>
      <c r="F628" t="s">
        <v>560</v>
      </c>
      <c r="G628">
        <v>0</v>
      </c>
      <c r="H628">
        <v>0</v>
      </c>
      <c r="I628">
        <v>0</v>
      </c>
      <c r="J628">
        <v>0</v>
      </c>
      <c r="K628" s="66">
        <v>95000</v>
      </c>
    </row>
    <row r="629" spans="1:11" x14ac:dyDescent="0.25">
      <c r="A629" t="s">
        <v>1171</v>
      </c>
      <c r="B629" t="s">
        <v>989</v>
      </c>
      <c r="C629" t="s">
        <v>540</v>
      </c>
      <c r="D629" t="s">
        <v>549</v>
      </c>
      <c r="E629">
        <v>0</v>
      </c>
      <c r="F629" t="s">
        <v>550</v>
      </c>
      <c r="G629">
        <v>827882</v>
      </c>
      <c r="H629">
        <v>0</v>
      </c>
      <c r="I629">
        <v>0</v>
      </c>
      <c r="J629">
        <v>0</v>
      </c>
      <c r="K629" s="66">
        <v>827882</v>
      </c>
    </row>
    <row r="630" spans="1:11" x14ac:dyDescent="0.25">
      <c r="A630" t="s">
        <v>700</v>
      </c>
      <c r="B630" t="s">
        <v>701</v>
      </c>
      <c r="C630" t="s">
        <v>540</v>
      </c>
      <c r="D630" t="s">
        <v>589</v>
      </c>
      <c r="E630">
        <v>540647.6</v>
      </c>
      <c r="F630" t="s">
        <v>590</v>
      </c>
      <c r="G630">
        <v>3902528.82</v>
      </c>
      <c r="H630">
        <v>0</v>
      </c>
      <c r="I630">
        <v>0</v>
      </c>
      <c r="J630">
        <v>0</v>
      </c>
      <c r="K630" s="66">
        <v>4443176.42</v>
      </c>
    </row>
    <row r="631" spans="1:11" x14ac:dyDescent="0.25">
      <c r="A631" t="s">
        <v>462</v>
      </c>
      <c r="B631" t="s">
        <v>463</v>
      </c>
      <c r="C631" t="s">
        <v>540</v>
      </c>
      <c r="D631" t="s">
        <v>702</v>
      </c>
      <c r="E631">
        <v>235583.23</v>
      </c>
      <c r="F631" t="s">
        <v>703</v>
      </c>
      <c r="G631">
        <v>5251932.8499999996</v>
      </c>
      <c r="H631">
        <v>224897.11</v>
      </c>
      <c r="I631">
        <v>0</v>
      </c>
      <c r="J631">
        <v>0</v>
      </c>
      <c r="K631" s="66">
        <v>5712413.1900000004</v>
      </c>
    </row>
    <row r="632" spans="1:11" x14ac:dyDescent="0.25">
      <c r="A632" t="s">
        <v>464</v>
      </c>
      <c r="B632" t="s">
        <v>465</v>
      </c>
      <c r="C632" t="s">
        <v>540</v>
      </c>
      <c r="D632" t="s">
        <v>661</v>
      </c>
      <c r="E632">
        <v>1414475</v>
      </c>
      <c r="F632" t="s">
        <v>662</v>
      </c>
      <c r="G632">
        <v>-140768.75</v>
      </c>
      <c r="H632">
        <v>0</v>
      </c>
      <c r="I632">
        <v>0</v>
      </c>
      <c r="J632">
        <v>-0.01</v>
      </c>
      <c r="K632" s="66">
        <v>1273706.24</v>
      </c>
    </row>
    <row r="633" spans="1:11" x14ac:dyDescent="0.25">
      <c r="A633" t="s">
        <v>1172</v>
      </c>
      <c r="B633" t="s">
        <v>990</v>
      </c>
      <c r="C633" t="s">
        <v>540</v>
      </c>
      <c r="D633" t="s">
        <v>589</v>
      </c>
      <c r="E633">
        <v>0</v>
      </c>
      <c r="F633" t="s">
        <v>590</v>
      </c>
      <c r="G633">
        <v>0</v>
      </c>
      <c r="H633">
        <v>18000000</v>
      </c>
      <c r="I633">
        <v>0</v>
      </c>
      <c r="J633">
        <v>0</v>
      </c>
      <c r="K633" s="66">
        <v>18000000</v>
      </c>
    </row>
    <row r="634" spans="1:11" x14ac:dyDescent="0.25">
      <c r="A634" t="s">
        <v>466</v>
      </c>
      <c r="B634" t="s">
        <v>467</v>
      </c>
      <c r="C634" t="s">
        <v>540</v>
      </c>
      <c r="D634" t="s">
        <v>589</v>
      </c>
      <c r="E634">
        <v>0</v>
      </c>
      <c r="F634" t="s">
        <v>590</v>
      </c>
      <c r="G634">
        <v>589028</v>
      </c>
      <c r="H634">
        <v>0</v>
      </c>
      <c r="I634">
        <v>0</v>
      </c>
      <c r="J634">
        <v>0</v>
      </c>
      <c r="K634" s="66">
        <v>589028</v>
      </c>
    </row>
    <row r="635" spans="1:11" x14ac:dyDescent="0.25">
      <c r="A635" t="s">
        <v>1173</v>
      </c>
      <c r="B635" t="s">
        <v>991</v>
      </c>
      <c r="C635" t="s">
        <v>540</v>
      </c>
      <c r="D635" t="s">
        <v>563</v>
      </c>
      <c r="E635">
        <v>0</v>
      </c>
      <c r="F635" t="s">
        <v>564</v>
      </c>
      <c r="G635">
        <v>7296300</v>
      </c>
      <c r="H635">
        <v>7610900</v>
      </c>
      <c r="I635">
        <v>0</v>
      </c>
      <c r="J635">
        <v>0</v>
      </c>
      <c r="K635" s="66">
        <v>14907200</v>
      </c>
    </row>
    <row r="636" spans="1:11" x14ac:dyDescent="0.25">
      <c r="A636" t="s">
        <v>919</v>
      </c>
      <c r="B636" t="s">
        <v>920</v>
      </c>
      <c r="C636" t="s">
        <v>540</v>
      </c>
      <c r="D636" t="s">
        <v>563</v>
      </c>
      <c r="E636">
        <v>0</v>
      </c>
      <c r="F636" t="s">
        <v>564</v>
      </c>
      <c r="G636">
        <v>75020000</v>
      </c>
      <c r="H636">
        <v>0</v>
      </c>
      <c r="I636">
        <v>0</v>
      </c>
      <c r="J636">
        <v>0</v>
      </c>
      <c r="K636" s="66">
        <v>75020000</v>
      </c>
    </row>
    <row r="637" spans="1:11" x14ac:dyDescent="0.25">
      <c r="A637" t="s">
        <v>1174</v>
      </c>
      <c r="B637" t="s">
        <v>992</v>
      </c>
      <c r="C637" t="s">
        <v>540</v>
      </c>
      <c r="D637" t="s">
        <v>563</v>
      </c>
      <c r="E637">
        <v>0</v>
      </c>
      <c r="F637" t="s">
        <v>564</v>
      </c>
      <c r="G637">
        <v>13210715.300000001</v>
      </c>
      <c r="H637">
        <v>0</v>
      </c>
      <c r="I637">
        <v>0</v>
      </c>
      <c r="J637">
        <v>0</v>
      </c>
      <c r="K637" s="66">
        <v>13210715.300000001</v>
      </c>
    </row>
    <row r="638" spans="1:11" x14ac:dyDescent="0.25">
      <c r="A638" t="s">
        <v>525</v>
      </c>
      <c r="B638" t="s">
        <v>526</v>
      </c>
      <c r="C638" t="s">
        <v>540</v>
      </c>
      <c r="D638" t="s">
        <v>553</v>
      </c>
      <c r="E638">
        <v>1690331.73</v>
      </c>
      <c r="F638" t="s">
        <v>554</v>
      </c>
      <c r="G638">
        <v>3968741.76</v>
      </c>
      <c r="H638">
        <v>0</v>
      </c>
      <c r="I638">
        <v>0</v>
      </c>
      <c r="J638">
        <v>0</v>
      </c>
      <c r="K638" s="66">
        <v>5659073.4900000002</v>
      </c>
    </row>
    <row r="639" spans="1:11" x14ac:dyDescent="0.25">
      <c r="A639" t="s">
        <v>468</v>
      </c>
      <c r="B639" t="s">
        <v>469</v>
      </c>
      <c r="C639" t="s">
        <v>540</v>
      </c>
      <c r="D639" t="s">
        <v>607</v>
      </c>
      <c r="E639">
        <v>0</v>
      </c>
      <c r="F639" t="s">
        <v>608</v>
      </c>
      <c r="G639">
        <v>0</v>
      </c>
      <c r="H639">
        <v>0</v>
      </c>
      <c r="I639">
        <v>17500</v>
      </c>
      <c r="J639">
        <v>-671301.14</v>
      </c>
      <c r="K639" s="66">
        <v>-653801.14</v>
      </c>
    </row>
    <row r="640" spans="1:11" x14ac:dyDescent="0.25">
      <c r="A640" t="s">
        <v>527</v>
      </c>
      <c r="B640" t="s">
        <v>528</v>
      </c>
      <c r="C640" t="s">
        <v>540</v>
      </c>
      <c r="D640" t="s">
        <v>603</v>
      </c>
      <c r="E640">
        <v>693801.12</v>
      </c>
      <c r="F640" t="s">
        <v>604</v>
      </c>
      <c r="G640">
        <v>0</v>
      </c>
      <c r="H640">
        <v>0</v>
      </c>
      <c r="I640">
        <v>0</v>
      </c>
      <c r="J640">
        <v>0</v>
      </c>
      <c r="K640" s="66">
        <v>693801.12</v>
      </c>
    </row>
    <row r="641" spans="1:11" x14ac:dyDescent="0.25">
      <c r="A641" t="s">
        <v>470</v>
      </c>
      <c r="B641" t="s">
        <v>471</v>
      </c>
      <c r="C641" t="s">
        <v>540</v>
      </c>
      <c r="D641" t="s">
        <v>704</v>
      </c>
      <c r="E641">
        <v>3485934.98</v>
      </c>
      <c r="F641" t="s">
        <v>705</v>
      </c>
      <c r="G641">
        <v>4794021.21</v>
      </c>
      <c r="H641">
        <v>0</v>
      </c>
      <c r="I641">
        <v>0</v>
      </c>
      <c r="J641">
        <v>0</v>
      </c>
      <c r="K641" s="66">
        <v>8279956.1900000004</v>
      </c>
    </row>
    <row r="642" spans="1:11" x14ac:dyDescent="0.25">
      <c r="A642" t="s">
        <v>472</v>
      </c>
      <c r="B642" t="s">
        <v>473</v>
      </c>
      <c r="C642" t="s">
        <v>540</v>
      </c>
      <c r="D642" t="s">
        <v>706</v>
      </c>
      <c r="E642">
        <v>0</v>
      </c>
      <c r="F642" t="s">
        <v>707</v>
      </c>
      <c r="G642">
        <v>12242747.390000001</v>
      </c>
      <c r="H642">
        <v>44982025.560000002</v>
      </c>
      <c r="I642">
        <v>0</v>
      </c>
      <c r="J642">
        <v>0</v>
      </c>
      <c r="K642" s="66">
        <v>57224772.950000003</v>
      </c>
    </row>
    <row r="643" spans="1:11" x14ac:dyDescent="0.25">
      <c r="A643" t="s">
        <v>1175</v>
      </c>
      <c r="B643" t="s">
        <v>1176</v>
      </c>
      <c r="C643" t="s">
        <v>540</v>
      </c>
      <c r="D643" t="s">
        <v>1177</v>
      </c>
      <c r="E643">
        <v>298320</v>
      </c>
      <c r="F643" t="s">
        <v>1178</v>
      </c>
      <c r="G643">
        <v>0</v>
      </c>
      <c r="H643">
        <v>0</v>
      </c>
      <c r="I643">
        <v>0</v>
      </c>
      <c r="J643">
        <v>0</v>
      </c>
      <c r="K643" s="66">
        <v>298320</v>
      </c>
    </row>
    <row r="644" spans="1:11" x14ac:dyDescent="0.25">
      <c r="A644" t="s">
        <v>1179</v>
      </c>
      <c r="B644" t="s">
        <v>1180</v>
      </c>
      <c r="C644" t="s">
        <v>540</v>
      </c>
      <c r="D644" t="s">
        <v>1181</v>
      </c>
      <c r="E644">
        <v>5060704</v>
      </c>
      <c r="F644" t="s">
        <v>1182</v>
      </c>
      <c r="G644">
        <v>0</v>
      </c>
      <c r="H644">
        <v>0</v>
      </c>
      <c r="I644">
        <v>0</v>
      </c>
      <c r="J644">
        <v>0</v>
      </c>
      <c r="K644" s="66">
        <v>5060704</v>
      </c>
    </row>
    <row r="645" spans="1:11" x14ac:dyDescent="0.25">
      <c r="A645" t="s">
        <v>1183</v>
      </c>
      <c r="B645" t="s">
        <v>993</v>
      </c>
      <c r="C645" t="s">
        <v>540</v>
      </c>
      <c r="D645" t="s">
        <v>1158</v>
      </c>
      <c r="E645">
        <v>4400000</v>
      </c>
      <c r="F645" t="s">
        <v>1159</v>
      </c>
      <c r="G645">
        <v>11200000</v>
      </c>
      <c r="H645">
        <v>5900000</v>
      </c>
      <c r="I645">
        <v>0</v>
      </c>
      <c r="J645">
        <v>0</v>
      </c>
      <c r="K645" s="66">
        <v>21500000</v>
      </c>
    </row>
    <row r="646" spans="1:11" x14ac:dyDescent="0.25">
      <c r="A646" t="s">
        <v>1184</v>
      </c>
      <c r="B646" t="s">
        <v>994</v>
      </c>
      <c r="C646" t="s">
        <v>540</v>
      </c>
      <c r="D646" t="s">
        <v>1185</v>
      </c>
      <c r="E646">
        <v>0</v>
      </c>
      <c r="F646" t="s">
        <v>1186</v>
      </c>
      <c r="G646">
        <v>3622115.9</v>
      </c>
      <c r="H646">
        <v>4356908.4000000004</v>
      </c>
      <c r="I646">
        <v>0</v>
      </c>
      <c r="J646">
        <v>0</v>
      </c>
      <c r="K646" s="66">
        <v>7979024.2999999998</v>
      </c>
    </row>
    <row r="647" spans="1:11" x14ac:dyDescent="0.25">
      <c r="A647" t="s">
        <v>921</v>
      </c>
      <c r="B647" t="s">
        <v>922</v>
      </c>
      <c r="C647" t="s">
        <v>540</v>
      </c>
      <c r="D647" t="s">
        <v>589</v>
      </c>
      <c r="E647">
        <v>3281721.34</v>
      </c>
      <c r="F647" t="s">
        <v>590</v>
      </c>
      <c r="G647">
        <v>9027887.1999999993</v>
      </c>
      <c r="H647">
        <v>0</v>
      </c>
      <c r="I647">
        <v>0</v>
      </c>
      <c r="J647">
        <v>0</v>
      </c>
      <c r="K647" s="66">
        <v>12309608.539999999</v>
      </c>
    </row>
    <row r="648" spans="1:11" x14ac:dyDescent="0.25">
      <c r="A648" t="s">
        <v>474</v>
      </c>
      <c r="B648" t="s">
        <v>475</v>
      </c>
      <c r="C648" t="s">
        <v>540</v>
      </c>
      <c r="D648" t="s">
        <v>708</v>
      </c>
      <c r="E648">
        <v>0</v>
      </c>
      <c r="F648" t="s">
        <v>709</v>
      </c>
      <c r="G648">
        <v>91234594</v>
      </c>
      <c r="H648">
        <v>0</v>
      </c>
      <c r="I648">
        <v>0</v>
      </c>
      <c r="J648">
        <v>0</v>
      </c>
      <c r="K648" s="66">
        <v>91234594</v>
      </c>
    </row>
    <row r="649" spans="1:11" x14ac:dyDescent="0.25">
      <c r="A649" t="s">
        <v>476</v>
      </c>
      <c r="B649" t="s">
        <v>477</v>
      </c>
      <c r="C649" t="s">
        <v>540</v>
      </c>
      <c r="D649" t="s">
        <v>563</v>
      </c>
      <c r="E649">
        <v>141528636.13999999</v>
      </c>
      <c r="F649" t="s">
        <v>564</v>
      </c>
      <c r="G649">
        <v>0</v>
      </c>
      <c r="H649">
        <v>0</v>
      </c>
      <c r="I649">
        <v>0</v>
      </c>
      <c r="J649">
        <v>6778094.1100000003</v>
      </c>
      <c r="K649" s="66">
        <v>148306730.25</v>
      </c>
    </row>
    <row r="650" spans="1:11" x14ac:dyDescent="0.25">
      <c r="A650" t="s">
        <v>478</v>
      </c>
      <c r="B650" t="s">
        <v>479</v>
      </c>
      <c r="C650" t="s">
        <v>540</v>
      </c>
      <c r="D650" t="s">
        <v>553</v>
      </c>
      <c r="E650">
        <v>72600</v>
      </c>
      <c r="F650" t="s">
        <v>554</v>
      </c>
      <c r="G650">
        <v>277816</v>
      </c>
      <c r="H650">
        <v>0</v>
      </c>
      <c r="I650">
        <v>0</v>
      </c>
      <c r="J650">
        <v>0</v>
      </c>
      <c r="K650" s="66">
        <v>350416</v>
      </c>
    </row>
    <row r="651" spans="1:11" x14ac:dyDescent="0.25">
      <c r="A651" t="s">
        <v>529</v>
      </c>
      <c r="B651" t="s">
        <v>530</v>
      </c>
      <c r="C651" t="s">
        <v>540</v>
      </c>
      <c r="D651" t="s">
        <v>573</v>
      </c>
      <c r="E651">
        <v>718274.12</v>
      </c>
      <c r="F651" t="s">
        <v>574</v>
      </c>
      <c r="G651">
        <v>1493950.79</v>
      </c>
      <c r="H651">
        <v>0</v>
      </c>
      <c r="I651">
        <v>0</v>
      </c>
      <c r="J651">
        <v>0</v>
      </c>
      <c r="K651" s="66">
        <v>2212224.91</v>
      </c>
    </row>
    <row r="652" spans="1:11" x14ac:dyDescent="0.25">
      <c r="A652" t="s">
        <v>480</v>
      </c>
      <c r="B652" t="s">
        <v>834</v>
      </c>
      <c r="C652" t="s">
        <v>540</v>
      </c>
      <c r="D652" t="s">
        <v>677</v>
      </c>
      <c r="E652">
        <v>0</v>
      </c>
      <c r="F652" t="s">
        <v>678</v>
      </c>
      <c r="G652">
        <v>1624385.6</v>
      </c>
      <c r="H652">
        <v>9019642.0500000007</v>
      </c>
      <c r="I652">
        <v>0</v>
      </c>
      <c r="J652">
        <v>0</v>
      </c>
      <c r="K652" s="66">
        <v>10644027.65</v>
      </c>
    </row>
    <row r="653" spans="1:11" x14ac:dyDescent="0.25">
      <c r="A653" t="s">
        <v>1187</v>
      </c>
      <c r="B653" t="s">
        <v>995</v>
      </c>
      <c r="C653" t="s">
        <v>540</v>
      </c>
      <c r="D653" t="s">
        <v>784</v>
      </c>
      <c r="E653">
        <v>0</v>
      </c>
      <c r="F653" t="s">
        <v>785</v>
      </c>
      <c r="G653">
        <v>38844210</v>
      </c>
      <c r="H653">
        <v>19422105</v>
      </c>
      <c r="I653">
        <v>0</v>
      </c>
      <c r="J653">
        <v>0</v>
      </c>
      <c r="K653" s="66">
        <v>58266315</v>
      </c>
    </row>
    <row r="654" spans="1:11" x14ac:dyDescent="0.25">
      <c r="A654" t="s">
        <v>1188</v>
      </c>
      <c r="B654" t="s">
        <v>996</v>
      </c>
      <c r="C654" t="s">
        <v>540</v>
      </c>
      <c r="D654" t="s">
        <v>589</v>
      </c>
      <c r="E654">
        <v>0</v>
      </c>
      <c r="F654" t="s">
        <v>590</v>
      </c>
      <c r="G654">
        <v>11964832.300000001</v>
      </c>
      <c r="H654">
        <v>0</v>
      </c>
      <c r="I654">
        <v>0</v>
      </c>
      <c r="J654">
        <v>0</v>
      </c>
      <c r="K654" s="66">
        <v>11964832.300000001</v>
      </c>
    </row>
    <row r="655" spans="1:11" x14ac:dyDescent="0.25">
      <c r="A655" t="s">
        <v>481</v>
      </c>
      <c r="B655" t="s">
        <v>482</v>
      </c>
      <c r="C655" t="s">
        <v>540</v>
      </c>
      <c r="D655" t="s">
        <v>633</v>
      </c>
      <c r="E655">
        <v>0</v>
      </c>
      <c r="F655" t="s">
        <v>634</v>
      </c>
      <c r="G655">
        <v>2923830</v>
      </c>
      <c r="H655">
        <v>0</v>
      </c>
      <c r="I655">
        <v>0</v>
      </c>
      <c r="J655">
        <v>0</v>
      </c>
      <c r="K655" s="66">
        <v>2923830</v>
      </c>
    </row>
    <row r="656" spans="1:11" x14ac:dyDescent="0.25">
      <c r="A656" t="s">
        <v>483</v>
      </c>
      <c r="B656" t="s">
        <v>484</v>
      </c>
      <c r="C656" t="s">
        <v>540</v>
      </c>
      <c r="D656" t="s">
        <v>679</v>
      </c>
      <c r="E656">
        <v>533169924.69</v>
      </c>
      <c r="F656" t="s">
        <v>680</v>
      </c>
      <c r="G656">
        <v>1742690828.5999999</v>
      </c>
      <c r="H656">
        <v>0</v>
      </c>
      <c r="I656">
        <v>0</v>
      </c>
      <c r="J656">
        <v>0</v>
      </c>
      <c r="K656" s="66">
        <v>2275860753.29</v>
      </c>
    </row>
    <row r="657" spans="1:1" x14ac:dyDescent="0.25">
      <c r="A657" t="s">
        <v>1008</v>
      </c>
    </row>
    <row r="658" spans="1:1" x14ac:dyDescent="0.25">
      <c r="A658" t="s">
        <v>1189</v>
      </c>
    </row>
    <row r="659" spans="1:1" x14ac:dyDescent="0.25">
      <c r="A659" t="s">
        <v>1190</v>
      </c>
    </row>
    <row r="660" spans="1:1" x14ac:dyDescent="0.25">
      <c r="A660" t="s">
        <v>1191</v>
      </c>
    </row>
    <row r="661" spans="1:1" x14ac:dyDescent="0.25">
      <c r="A661" t="s">
        <v>1192</v>
      </c>
    </row>
  </sheetData>
  <mergeCells count="3">
    <mergeCell ref="A1:F1"/>
    <mergeCell ref="A2:F2"/>
    <mergeCell ref="A322:F32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G15" sqref="G15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36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52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5.9499999999999997E-2</v>
      </c>
      <c r="D7" s="69">
        <v>46079</v>
      </c>
      <c r="E7" s="69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14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72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121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3.2300000000000002E-2</v>
      </c>
      <c r="D10" s="69">
        <v>46183</v>
      </c>
      <c r="E10" s="69">
        <v>46360</v>
      </c>
      <c r="F10" s="54">
        <f t="shared" ref="F10:F12" si="0">IFERROR(E10-D10,0)</f>
        <v>177</v>
      </c>
      <c r="G10" s="55">
        <f t="shared" ref="G10:G12" si="1">IFERROR(B10*(C10/365)*F10,0)</f>
        <v>15663.287671232876</v>
      </c>
      <c r="H10" s="56">
        <f t="shared" ref="H10:H12" si="2">IFERROR(B10+G10,0)</f>
        <v>1015663.2876712328</v>
      </c>
      <c r="I10" s="57">
        <f t="shared" ref="I10:I12" ca="1" si="3">IFERROR(E10-TODAY(),"Vencido")</f>
        <v>115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0.04</v>
      </c>
      <c r="D11" s="69">
        <v>46136</v>
      </c>
      <c r="E11" s="69">
        <v>46255</v>
      </c>
      <c r="F11" s="54">
        <f t="shared" si="0"/>
        <v>119</v>
      </c>
      <c r="G11" s="55">
        <f t="shared" si="1"/>
        <v>13041.095890410959</v>
      </c>
      <c r="H11" s="56">
        <f t="shared" si="2"/>
        <v>1013041.0958904109</v>
      </c>
      <c r="I11" s="57">
        <f t="shared" ca="1" si="3"/>
        <v>10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3.9E-2</v>
      </c>
      <c r="D12" s="69">
        <v>46090</v>
      </c>
      <c r="E12" s="69">
        <v>46269</v>
      </c>
      <c r="F12" s="54">
        <f t="shared" si="0"/>
        <v>179</v>
      </c>
      <c r="G12" s="55">
        <f t="shared" si="1"/>
        <v>19126.027397260274</v>
      </c>
      <c r="H12" s="56">
        <f t="shared" si="2"/>
        <v>1019126.0273972603</v>
      </c>
      <c r="I12" s="57">
        <f t="shared" ca="1" si="3"/>
        <v>24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3.2300000000000002E-2</v>
      </c>
      <c r="D13" s="69">
        <v>46178</v>
      </c>
      <c r="E13" s="69">
        <v>46358</v>
      </c>
      <c r="F13" s="54">
        <f t="shared" ref="F13:F19" si="4">IFERROR(E13-D13,0)</f>
        <v>180</v>
      </c>
      <c r="G13" s="55">
        <f t="shared" ref="G13:G19" si="5">IFERROR(B13*(C13/365)*F13,0)</f>
        <v>15928.767123287671</v>
      </c>
      <c r="H13" s="56">
        <f t="shared" ref="H13:H19" si="6">IFERROR(B13+G13,0)</f>
        <v>1015928.7671232877</v>
      </c>
      <c r="I13" s="57">
        <f t="shared" ref="I13:I19" ca="1" si="7">IFERROR(E13-TODAY(),"Vencido")</f>
        <v>113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3.39E-2</v>
      </c>
      <c r="D14" s="69">
        <v>46202</v>
      </c>
      <c r="E14" s="69">
        <v>46379</v>
      </c>
      <c r="F14" s="54">
        <f t="shared" si="4"/>
        <v>177</v>
      </c>
      <c r="G14" s="55">
        <f t="shared" si="5"/>
        <v>16439.178082191782</v>
      </c>
      <c r="H14" s="56">
        <f t="shared" si="6"/>
        <v>1016439.1780821917</v>
      </c>
      <c r="I14" s="57">
        <f t="shared" ca="1" si="7"/>
        <v>134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3.49E-2</v>
      </c>
      <c r="D15" s="69">
        <v>46227</v>
      </c>
      <c r="E15" s="69">
        <v>46407</v>
      </c>
      <c r="F15" s="54">
        <f t="shared" si="4"/>
        <v>180</v>
      </c>
      <c r="G15" s="55">
        <f t="shared" si="5"/>
        <v>17210.95890410959</v>
      </c>
      <c r="H15" s="56">
        <f t="shared" si="6"/>
        <v>1017210.9589041095</v>
      </c>
      <c r="I15" s="57">
        <f t="shared" ca="1" si="7"/>
        <v>162</v>
      </c>
      <c r="J15" s="52"/>
    </row>
    <row r="16" spans="1:10" ht="18" customHeight="1" x14ac:dyDescent="0.25">
      <c r="A16" s="53" t="s">
        <v>929</v>
      </c>
      <c r="B16" s="14">
        <v>2000000</v>
      </c>
      <c r="C16" s="68">
        <v>3.85E-2</v>
      </c>
      <c r="D16" s="69">
        <v>46205</v>
      </c>
      <c r="E16" s="69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140</v>
      </c>
      <c r="J16" s="52"/>
    </row>
    <row r="17" spans="1:10" ht="18" customHeight="1" x14ac:dyDescent="0.25">
      <c r="A17" s="53" t="s">
        <v>929</v>
      </c>
      <c r="B17" s="14">
        <v>1000000</v>
      </c>
      <c r="C17" s="68">
        <v>0.04</v>
      </c>
      <c r="D17" s="69">
        <v>46231</v>
      </c>
      <c r="E17" s="69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139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3.5000000000000003E-2</v>
      </c>
      <c r="D18" s="69">
        <v>46244</v>
      </c>
      <c r="E18" s="69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86</v>
      </c>
      <c r="J18" s="52"/>
    </row>
    <row r="19" spans="1:10" ht="18" customHeight="1" x14ac:dyDescent="0.25">
      <c r="A19" s="53" t="s">
        <v>997</v>
      </c>
      <c r="B19" s="14">
        <v>1000000</v>
      </c>
      <c r="C19" s="68">
        <v>3.5000000000000003E-2</v>
      </c>
      <c r="D19" s="69">
        <v>46238</v>
      </c>
      <c r="E19" s="69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358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237979.17808219179</v>
      </c>
      <c r="H20" s="58">
        <f>SUM(H5:H16)</f>
        <v>13237979.178082192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-46245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-46245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-46245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-46245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-46245</v>
      </c>
      <c r="J25" s="44"/>
    </row>
    <row r="27" spans="1:10" x14ac:dyDescent="0.25">
      <c r="A27" s="81" t="s">
        <v>180</v>
      </c>
      <c r="B27" s="81"/>
      <c r="C27" s="81"/>
      <c r="D27" s="81"/>
      <c r="E27" s="81"/>
      <c r="F27" s="81"/>
      <c r="G27" s="81"/>
      <c r="H27" s="81"/>
      <c r="I27" s="81"/>
      <c r="J27" s="81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2026-08-11T15:07:35Z</dcterms:modified>
  <dc:language>en-US</dc:language>
</cp:coreProperties>
</file>