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D87E8146-EEC7-4B9E-89B6-825572A2E83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99" i="2" l="1"/>
  <c r="AI99" i="2"/>
  <c r="AH99" i="2"/>
  <c r="AG99" i="2"/>
  <c r="AF99" i="2"/>
  <c r="AE99" i="2"/>
  <c r="AD99" i="2"/>
  <c r="AC99" i="2"/>
  <c r="AB99" i="2"/>
  <c r="AA99" i="2"/>
  <c r="Z99" i="2"/>
  <c r="Y99" i="2"/>
  <c r="X99" i="2"/>
  <c r="Q99" i="2"/>
  <c r="J99" i="2"/>
  <c r="I99" i="2"/>
  <c r="H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4" i="7"/>
  <c r="F4" i="7" s="1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Z97" i="2" l="1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1" i="8"/>
  <c r="D261" i="8" s="1"/>
  <c r="E5" i="8"/>
  <c r="D5" i="8"/>
  <c r="F298" i="7"/>
  <c r="F297" i="7"/>
  <c r="F296" i="7"/>
  <c r="F295" i="7"/>
  <c r="F294" i="7"/>
  <c r="C293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9" i="6" l="1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<sst xmlns="http://schemas.openxmlformats.org/spreadsheetml/2006/main" count="4299" uniqueCount="784">
  <si>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</si>
  <si>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</si>
  <si>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</si>
  <si>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</si>
  <si>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</si>
  <si>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</si>
  <si>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</si>
  <si>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</si>
  <si>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</si>
  <si>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</si>
  <si>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</si>
  <si>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</si>
  <si>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</si>
  <si>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</si>
  <si>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</si>
  <si>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</si>
  <si>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</si>
  <si>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</si>
  <si>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</si>
  <si>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</si>
  <si>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</si>
  <si>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</si>
  <si>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</si>
  <si>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</si>
  <si>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</si>
  <si>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</si>
  <si>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</si>
  <si>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</si>
  <si>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</si>
  <si>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</si>
  <si>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</si>
  <si>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</si>
  <si>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</si>
  <si>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</si>
  <si>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</si>
  <si>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</si>
  <si>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</si>
  <si>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</si>
  <si>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</si>
  <si>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</si>
  <si>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</si>
  <si>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</si>
  <si>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</si>
  <si>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</si>
  <si>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</si>
  <si>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</si>
  <si>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</si>
  <si>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</si>
  <si>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</si>
  <si>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</si>
  <si>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</si>
  <si>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</si>
  <si>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</si>
  <si>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</si>
  <si>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</si>
  <si>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</si>
  <si>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</si>
  <si>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</si>
  <si>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</si>
  <si>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</si>
  <si>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</si>
  <si>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</si>
  <si>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</si>
  <si>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</si>
  <si>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</si>
  <si>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</si>
  <si>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</si>
  <si>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</si>
  <si>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</si>
  <si>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</si>
  <si>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</si>
  <si>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</si>
  <si>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</si>
  <si>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</si>
  <si>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</si>
  <si>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</si>
  <si>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</si>
  <si>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</si>
  <si>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</si>
  <si>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</si>
  <si>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</si>
  <si>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</si>
  <si>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</si>
  <si>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</si>
  <si>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</si>
  <si>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</si>
  <si>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</si>
  <si>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</si>
  <si>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</si>
  <si>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</si>
  <si>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</si>
  <si>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</si>
  <si>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</si>
  <si>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</si>
  <si>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</si>
  <si>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</si>
  <si>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</si>
  <si>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</si>
  <si>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</si>
  <si>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</si>
  <si>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</si>
  <si>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</si>
  <si>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</si>
  <si>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</si>
  <si>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</si>
  <si>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</si>
  <si>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</si>
  <si>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</si>
  <si>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</si>
  <si>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</si>
  <si>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</si>
  <si>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</si>
  <si>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</si>
  <si>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</si>
  <si>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</si>
  <si>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</si>
  <si>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</si>
  <si>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</si>
  <si>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</si>
  <si>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</si>
  <si>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</si>
  <si>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</si>
  <si>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</si>
  <si>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</si>
  <si>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</si>
  <si>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</si>
  <si>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</si>
  <si>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</si>
  <si>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</si>
  <si>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</si>
  <si>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</si>
  <si>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</si>
  <si>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</si>
  <si>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</si>
  <si>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</si>
  <si>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</si>
  <si>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</si>
  <si>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</si>
  <si>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</si>
  <si>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</si>
  <si>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</si>
  <si>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</si>
  <si>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</si>
  <si>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</si>
  <si>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</si>
  <si>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</si>
  <si>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</si>
  <si>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</si>
  <si>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</si>
  <si>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</si>
  <si>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</si>
  <si>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</si>
  <si>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</si>
  <si>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</si>
  <si>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</si>
  <si>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</si>
  <si>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</si>
  <si>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</si>
  <si>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</si>
  <si>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</si>
  <si>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</si>
  <si>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</si>
  <si>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</si>
  <si>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</si>
  <si>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</si>
  <si>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</si>
  <si>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</si>
  <si>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</si>
  <si>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</si>
  <si>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</si>
  <si>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</si>
  <si>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</si>
  <si>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</si>
  <si>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</si>
  <si>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</si>
  <si>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</si>
  <si>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</si>
  <si>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</si>
  <si>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</si>
  <si>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</si>
  <si>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</si>
  <si>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</si>
  <si>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</si>
  <si>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</si>
  <si>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</si>
  <si>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</si>
  <si>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</si>
  <si>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</si>
  <si>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</si>
  <si>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</si>
  <si>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</si>
  <si>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</si>
  <si>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</si>
  <si>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</si>
  <si>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</si>
  <si>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</si>
  <si>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</si>
  <si>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</si>
  <si>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</si>
  <si>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</si>
  <si>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</si>
  <si>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</si>
  <si>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</si>
  <si>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</si>
  <si>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</si>
  <si>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</si>
  <si>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</si>
  <si>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</si>
  <si>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</si>
  <si>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</si>
  <si>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</si>
  <si>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</si>
  <si>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</si>
  <si>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</si>
  <si>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</si>
  <si>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</si>
  <si>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</si>
  <si>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</si>
  <si>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</si>
  <si>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</si>
  <si>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</si>
  <si>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</si>
  <si>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</si>
  <si>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</si>
  <si>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</si>
  <si>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</si>
  <si>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</si>
  <si>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</si>
  <si>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</si>
  <si>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</si>
  <si>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</si>
  <si>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</si>
  <si>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</si>
  <si>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</si>
  <si>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</si>
  <si>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</si>
  <si>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</si>
  <si>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</si>
  <si>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00020</t>
  </si>
  <si>
    <t>CERROSUD S.A. (CAE)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</si>
  <si>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</si>
  <si>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</si>
  <si>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</si>
  <si>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</si>
  <si>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</si>
  <si>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</si>
  <si>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</si>
  <si>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</si>
  <si>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</si>
  <si>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</si>
  <si>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</si>
  <si>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</si>
  <si>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</si>
  <si>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</si>
  <si>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</si>
  <si>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</si>
  <si>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</si>
  <si>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</si>
  <si>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</si>
  <si>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</si>
  <si>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</si>
  <si>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</si>
  <si>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</si>
  <si>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</si>
  <si>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</si>
  <si>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</si>
  <si>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</si>
  <si>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</si>
  <si>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</si>
  <si>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</si>
  <si>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</si>
  <si>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</si>
  <si>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</si>
  <si>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</si>
  <si>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</si>
  <si>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</si>
  <si>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</si>
  <si>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</si>
  <si>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</si>
  <si>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</si>
  <si>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</si>
  <si>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</si>
  <si>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</si>
  <si>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</si>
  <si>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</si>
  <si>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</si>
  <si>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</si>
  <si>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</si>
  <si>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</si>
  <si>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</si>
  <si>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</si>
  <si>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</si>
  <si>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</si>
  <si>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</si>
  <si>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</si>
  <si>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</si>
  <si>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</si>
  <si>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</si>
  <si>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</si>
  <si>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</si>
  <si>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</si>
  <si>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</si>
  <si>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</si>
  <si>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</si>
  <si>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</si>
  <si>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</si>
  <si>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</si>
  <si>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</si>
  <si>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</si>
  <si>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</si>
  <si>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</si>
  <si>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</si>
  <si>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</si>
  <si>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</si>
  <si>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</si>
  <si>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</si>
  <si>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</si>
  <si>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</si>
  <si>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</si>
  <si>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</si>
  <si>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</si>
  <si>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</si>
  <si>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</si>
  <si>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</si>
  <si>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</si>
  <si>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</si>
  <si>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</si>
  <si>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</si>
  <si>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</si>
  <si>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</si>
  <si>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</si>
  <si>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</si>
  <si>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</si>
  <si>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</si>
  <si>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</si>
  <si>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</si>
  <si>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</si>
  <si>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</si>
  <si>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</si>
  <si>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</si>
  <si>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</si>
  <si>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</si>
  <si>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</si>
  <si>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</si>
  <si>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</si>
  <si>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</si>
  <si>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</si>
  <si>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</si>
  <si>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</si>
  <si>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</si>
  <si>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</si>
  <si>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</si>
  <si>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</si>
  <si>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</si>
  <si>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</si>
  <si>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</si>
  <si>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</si>
  <si>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</si>
  <si>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</si>
  <si>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</si>
  <si>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</si>
  <si>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</si>
  <si>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</si>
  <si>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</si>
  <si>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</si>
  <si>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</si>
  <si>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</si>
  <si>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</si>
  <si>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</si>
  <si>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</si>
  <si>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</si>
  <si>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</si>
  <si>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</si>
  <si>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</si>
  <si>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</si>
  <si>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</si>
  <si>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00762</t>
  </si>
  <si>
    <t>IACONO JORGE ALBERTO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</si>
  <si>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</si>
  <si>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</si>
  <si>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</si>
  <si>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</si>
  <si>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</si>
  <si>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</si>
  <si>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</si>
  <si>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</si>
  <si>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</si>
  <si>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</si>
  <si>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</si>
  <si>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</si>
  <si>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</si>
  <si>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</si>
  <si>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</si>
  <si>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</si>
  <si>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</si>
  <si>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</si>
  <si>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</si>
  <si>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</si>
  <si>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</si>
  <si>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</si>
  <si>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</si>
  <si>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</si>
  <si>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</si>
  <si>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</si>
  <si>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</si>
  <si>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</si>
  <si>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</si>
  <si>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</si>
  <si>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09588</t>
  </si>
  <si>
    <t>LATORRE TRINA XAVIER ALEJANDRO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</si>
  <si>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</si>
  <si>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</si>
  <si>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</si>
  <si>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</si>
  <si>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</si>
  <si>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</si>
  <si>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</si>
  <si>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</si>
  <si>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</si>
  <si>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</si>
  <si>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</si>
  <si>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</si>
  <si>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</si>
  <si>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</si>
  <si>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</si>
  <si>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</si>
  <si>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</si>
  <si>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</si>
  <si>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</si>
  <si>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</si>
  <si>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</si>
  <si>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</si>
  <si>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</si>
  <si>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</si>
  <si>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</si>
  <si>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</si>
  <si>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</si>
  <si>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</si>
  <si>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</si>
  <si>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</si>
  <si>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</si>
  <si>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</si>
  <si>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</si>
  <si>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</si>
  <si>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</si>
  <si>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</si>
  <si>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</si>
  <si>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</si>
  <si>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</si>
  <si>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</si>
  <si>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</si>
  <si>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</si>
  <si>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</si>
  <si>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</si>
  <si>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</si>
  <si>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</si>
  <si>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</si>
  <si>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</si>
  <si>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</si>
  <si>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</si>
  <si>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</si>
  <si>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</si>
  <si>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</si>
  <si>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</si>
  <si>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</si>
  <si>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</si>
  <si>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</si>
  <si>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</si>
  <si>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</si>
  <si>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</si>
  <si>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</si>
  <si>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</si>
  <si>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</si>
  <si>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</si>
  <si>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</si>
  <si>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</si>
  <si>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</si>
  <si>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</si>
  <si>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</si>
  <si>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</si>
  <si>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</si>
  <si>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</si>
  <si>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</si>
  <si>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</si>
  <si>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</si>
  <si>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</si>
  <si>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</si>
  <si>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</si>
  <si>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</si>
  <si>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</si>
  <si>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</si>
  <si>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</si>
  <si>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</si>
  <si>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</si>
  <si>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</si>
  <si>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</si>
  <si>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</si>
  <si>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</si>
  <si>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</si>
  <si>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</si>
  <si>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</si>
  <si>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</si>
  <si>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</si>
  <si>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</si>
  <si>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</si>
  <si>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</si>
  <si>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</si>
  <si>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</si>
  <si>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</si>
  <si>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</si>
  <si>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</si>
  <si>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</si>
  <si>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</si>
  <si>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</si>
  <si>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</si>
  <si>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</si>
  <si>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</si>
  <si>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</si>
  <si>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</si>
  <si>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</si>
  <si>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</si>
  <si>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</si>
  <si>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</si>
  <si>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</si>
  <si>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</si>
  <si>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</si>
  <si>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</si>
  <si>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</si>
  <si>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</si>
  <si>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</si>
  <si>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</si>
  <si>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</si>
  <si>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</si>
  <si>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</si>
  <si>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</si>
  <si>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</si>
  <si>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</si>
  <si>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</si>
  <si>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</si>
  <si>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</si>
  <si>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</si>
  <si>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</si>
  <si>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</si>
  <si>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</si>
  <si>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</si>
  <si>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</si>
  <si>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</si>
  <si>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</si>
  <si>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</si>
  <si>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</si>
  <si>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</si>
  <si>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</si>
  <si>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</si>
  <si>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</si>
  <si>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</si>
  <si>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</si>
  <si>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</si>
  <si>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</si>
  <si>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</si>
  <si>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</si>
  <si>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</si>
  <si>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</si>
  <si>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</si>
  <si>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</si>
  <si>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</si>
  <si>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</si>
  <si>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</si>
  <si>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</si>
  <si>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</si>
  <si>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</si>
  <si>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</si>
  <si>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</si>
  <si>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</si>
  <si>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</si>
  <si>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</si>
  <si>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</si>
  <si>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</si>
  <si>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</si>
  <si>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</si>
  <si>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</si>
  <si>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</si>
  <si>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</si>
  <si>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</si>
  <si>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</si>
  <si>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</si>
  <si>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</si>
  <si>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</si>
  <si>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</si>
  <si>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</si>
  <si>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</si>
  <si>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</si>
  <si>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</si>
  <si>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</si>
  <si>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</si>
  <si>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</si>
  <si>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</si>
  <si>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</si>
  <si>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</si>
  <si>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</si>
  <si>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</si>
  <si>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</si>
  <si>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</si>
  <si>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</si>
  <si>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</si>
  <si>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</si>
  <si>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</si>
  <si>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</si>
  <si>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</si>
  <si>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</si>
  <si>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</si>
  <si>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</si>
  <si>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</si>
  <si>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</si>
  <si>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</si>
  <si>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FRIGOSUR SRL</t>
  </si>
  <si>
    <t>MARDI SA</t>
  </si>
  <si>
    <t>NATUSUR SA</t>
  </si>
  <si>
    <t>CJ - Cheques en cartera (Ordenados por fecha de vencimiento)</t>
  </si>
  <si>
    <t>Usuario: NICOLAS VELLINI</t>
  </si>
  <si>
    <t> 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</si>
  <si>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</si>
  <si>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</si>
  <si>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</si>
  <si>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</si>
  <si>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</si>
  <si>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</si>
  <si>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</si>
  <si>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</si>
  <si>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</si>
  <si>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</si>
  <si>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</si>
  <si>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</si>
  <si>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</si>
  <si>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</si>
  <si>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</si>
  <si>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</si>
  <si>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</si>
  <si>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</si>
  <si>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</si>
  <si>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/>
  </si>
  <si>
    <t>I7358</t>
  </si>
  <si>
    <t>BANCO DE LA NACION ARGENTINA</t>
  </si>
  <si>
    <t>014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</si>
  <si>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</si>
  <si>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</si>
  <si>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</si>
  <si>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</si>
  <si>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</si>
  <si>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</si>
  <si>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</si>
  <si>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</si>
  <si>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I7238</t>
  </si>
  <si>
    <t>ICBC-INDUSTRIAL AND COMMERCIAL BANK OF CHINA</t>
  </si>
  <si>
    <t>025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</si>
  <si>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</si>
  <si>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</si>
  <si>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</si>
  <si>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</si>
  <si>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</si>
  <si>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</si>
  <si>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</si>
  <si>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</si>
  <si>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</si>
  <si>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I7222</t>
  </si>
  <si>
    <t>BANCO DE GALICIA Y BUENOS AIRES S.A.</t>
  </si>
  <si>
    <t>I636</t>
  </si>
  <si>
    <t>285</t>
  </si>
  <si>
    <t>I596</t>
  </si>
  <si>
    <t>BANCO MACRO BANSUD S.A.</t>
  </si>
  <si>
    <t>I7302</t>
  </si>
  <si>
    <t>191</t>
  </si>
  <si>
    <t>I7310</t>
  </si>
  <si>
    <t>BANCO CREDICOOP COOPERATIVO LIMITADO</t>
  </si>
  <si>
    <t>I6</t>
  </si>
  <si>
    <t>I468</t>
  </si>
  <si>
    <t>I7253</t>
  </si>
  <si>
    <t>I7335</t>
  </si>
  <si>
    <t>I208</t>
  </si>
  <si>
    <t>I227</t>
  </si>
  <si>
    <t>I7149</t>
  </si>
  <si>
    <t>I7159</t>
  </si>
  <si>
    <t>I443</t>
  </si>
  <si>
    <t>FERNANDEZ CARLOS LEONARDO</t>
  </si>
  <si>
    <t>I7338</t>
  </si>
  <si>
    <t>005</t>
  </si>
  <si>
    <t>ABM AMRO BANK N.V.</t>
  </si>
  <si>
    <t>I7203</t>
  </si>
  <si>
    <t>Parámetros</t>
  </si>
  <si>
    <t>Cuenta corriente   valor: VAL01</t>
  </si>
  <si>
    <t>Vencimiento al   valor: 20280902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</si>
  <si>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</si>
  <si>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</si>
  <si>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</si>
  <si>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</si>
  <si>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</si>
  <si>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</si>
  <si>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03879</t>
  </si>
  <si>
    <t>AUTOSIGLO S.A.</t>
  </si>
  <si>
    <t>05004</t>
  </si>
  <si>
    <t>BENEDETTO PELOSI S. A</t>
  </si>
  <si>
    <t>09436</t>
  </si>
  <si>
    <t>BISCOCHEA MARIA VICTORIA</t>
  </si>
  <si>
    <t>08035</t>
  </si>
  <si>
    <t>BUENOS AIRES EXPRESS S.R.L.</t>
  </si>
  <si>
    <t>08210</t>
  </si>
  <si>
    <t>COCCO HERNAN PABLO</t>
  </si>
  <si>
    <t>05510</t>
  </si>
  <si>
    <t>COMERCIAL DEL MAR S.A.</t>
  </si>
  <si>
    <t>07577</t>
  </si>
  <si>
    <t>COMPAÑIA GRAFICA AUTOADHESIVA E INDUMENTARIAS.A.</t>
  </si>
  <si>
    <t>04859</t>
  </si>
  <si>
    <t>COSTANERA UNO SA</t>
  </si>
  <si>
    <t>04590</t>
  </si>
  <si>
    <t>DISTRIBUIDORA ARIES SRL</t>
  </si>
  <si>
    <t>07759</t>
  </si>
  <si>
    <t>DISTRIBUIDORA EJAD S.R.L.</t>
  </si>
  <si>
    <t>05997</t>
  </si>
  <si>
    <t>EUROCAFE S.R.L.</t>
  </si>
  <si>
    <t>08913</t>
  </si>
  <si>
    <t>FIER LUCIANO DANIEL</t>
  </si>
  <si>
    <t>08225</t>
  </si>
  <si>
    <t>FIREFISH SA</t>
  </si>
  <si>
    <t>01750</t>
  </si>
  <si>
    <t>FRIOPACK S.A.</t>
  </si>
  <si>
    <t>08161</t>
  </si>
  <si>
    <t>GANACA7 S.R.L.</t>
  </si>
  <si>
    <t>08661</t>
  </si>
  <si>
    <t>GOROSITO ALEJO ALONCIO</t>
  </si>
  <si>
    <t>04686</t>
  </si>
  <si>
    <t>HAUNOLD VIVIANA</t>
  </si>
  <si>
    <t>07060</t>
  </si>
  <si>
    <t>HUGO SANGUINETTI S R L</t>
  </si>
  <si>
    <t>07587</t>
  </si>
  <si>
    <t>INDUSTRIAL PUERTO S.A</t>
  </si>
  <si>
    <t>00272</t>
  </si>
  <si>
    <t>JOSE SANTIAGO E HIJOS SAICFIA Y DS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</si>
  <si>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</si>
  <si>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</si>
  <si>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</si>
  <si>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</si>
  <si>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</si>
  <si>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</si>
  <si>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</si>
  <si>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</si>
  <si>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</si>
  <si>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</si>
  <si>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</si>
  <si>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</si>
  <si>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</si>
  <si>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</si>
  <si>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</si>
  <si>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</si>
  <si>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07335</t>
  </si>
  <si>
    <t>RICARDO PABLO ANDRADE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</si>
  <si>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</si>
  <si>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</si>
  <si>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</si>
  <si>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</si>
  <si>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</si>
  <si>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</si>
  <si>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</si>
  <si>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</si>
  <si>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</si>
  <si>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</si>
  <si>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</si>
  <si>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</si>
  <si>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</si>
  <si>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</si>
  <si>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</si>
  <si>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</si>
  <si>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</si>
  <si>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</si>
  <si>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</si>
  <si>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</si>
  <si>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</si>
  <si>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</si>
  <si>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</si>
  <si>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</si>
  <si>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</si>
  <si>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</si>
  <si>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08752</t>
  </si>
  <si>
    <t>VILLAR MARCELA NOELIA</t>
  </si>
  <si>
    <t>09576</t>
  </si>
  <si>
    <t>WANBARU ICE 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</si>
</sst>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1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74" activePane="bottomLeft" state="frozen"/>
      <selection activeCell="A3" sqref="A3"/>
      <selection pane="bottomLeft" activeCell="A99" sqref="A99:XFD9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0" t="s">
        <v>57</v>
      </c>
      <c r="D2" s="70"/>
      <c r="E2" s="70"/>
      <c r="F2" s="70"/>
      <c r="G2" s="70"/>
      <c r="H2" s="70"/>
      <c r="I2" s="70"/>
      <c r="J2" s="71" t="s">
        <v>58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2" t="s">
        <v>59</v>
      </c>
      <c r="X2" s="72"/>
      <c r="Y2" s="72"/>
      <c r="Z2" s="72"/>
      <c r="AA2" s="72"/>
      <c r="AB2" s="72"/>
      <c r="AC2" s="72"/>
      <c r="AD2" s="72"/>
      <c r="AE2" s="72"/>
      <c r="AF2" s="1"/>
      <c r="AG2" s="73"/>
      <c r="AH2" s="73"/>
      <c r="AI2" s="73"/>
      <c r="AJ2" s="73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 t="shared" ref="AC97:AE98" si="5">+AC96</f>
        <v>10000000</v>
      </c>
      <c r="AD97" s="65">
        <f t="shared" si="5"/>
        <v>220000</v>
      </c>
      <c r="AE97" s="65">
        <f t="shared" si="5"/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 t="shared" si="5"/>
        <v>10000000</v>
      </c>
      <c r="AD98" s="65">
        <f t="shared" si="5"/>
        <v>220000</v>
      </c>
      <c r="AE98" s="65">
        <f t="shared" si="5"/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5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>+H98</f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5">
        <f>+'[1]CF Dia V1'!$CV$102</f>
        <v>4496965997</v>
      </c>
      <c r="AB99" s="65">
        <f>+AB98</f>
        <v>1028533.4021649999</v>
      </c>
      <c r="AC99" s="65">
        <f>+AC98</f>
        <v>10000000</v>
      </c>
      <c r="AD99" s="65">
        <f>+AD98</f>
        <v>220000</v>
      </c>
      <c r="AE99" s="65">
        <f>+AE98</f>
        <v>280000</v>
      </c>
      <c r="AF99" s="65">
        <f>+'[1]CF Dia V1'!$CV$97</f>
        <v>12774427.1315</v>
      </c>
      <c r="AG99" s="65">
        <f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-18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-3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8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18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78" t="s">
        <v>139</v>
      </c>
      <c r="B2" s="78"/>
      <c r="C2" s="78"/>
      <c r="D2" s="78"/>
      <c r="E2" s="78"/>
      <c r="F2" s="78"/>
      <c r="G2" s="78"/>
      <c r="H2" s="78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X300"/>
  <sheetViews>
    <sheetView showGridLines="0" zoomScale="80" zoomScaleNormal="80" workbookViewId="0">
      <pane ySplit="3" topLeftCell="A4" activePane="bottomLeft" state="frozen"/>
      <selection pane="bottomLeft" activeCell="C52" sqref="C52:C183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9" t="s">
        <v>147</v>
      </c>
      <c r="B1" s="69"/>
      <c r="C1" s="69"/>
      <c r="D1" s="69"/>
      <c r="E1" s="69"/>
      <c r="F1" s="69"/>
      <c r="G1" s="69"/>
    </row>
    <row r="2" spans="1:7" ht="15.75" customHeight="1" x14ac:dyDescent="0.25">
      <c r="A2" s="79" t="s">
        <v>148</v>
      </c>
      <c r="B2" s="79"/>
      <c r="C2" s="79"/>
      <c r="D2" s="79"/>
      <c r="E2" s="79"/>
      <c r="F2" s="79"/>
      <c r="G2" s="7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hidden="1" customHeight="1" x14ac:dyDescent="0.25">
      <c r="A4" t="s">
        <v>598</v>
      </c>
      <c r="B4">
        <v>2219061</v>
      </c>
      <c r="C4" s="68">
        <v>3400000</v>
      </c>
      <c r="D4" s="13">
        <v>46168</v>
      </c>
      <c r="E4" s="67">
        <f>+L36</f>
        <v>46127</v>
      </c>
      <c r="F4" s="40">
        <f>+E4+2</f>
        <v>46129</v>
      </c>
      <c r="G4" s="27"/>
    </row>
    <row r="5" spans="1:7" ht="15.75" hidden="1" customHeight="1" x14ac:dyDescent="0.25">
      <c r="A5" t="s">
        <v>601</v>
      </c>
      <c r="B5">
        <v>281</v>
      </c>
      <c r="C5" s="68">
        <v>1000000</v>
      </c>
      <c r="D5" s="13">
        <v>46169</v>
      </c>
      <c r="E5" s="67">
        <f t="shared" ref="E5:E68" si="0">+L37</f>
        <v>46160</v>
      </c>
      <c r="F5" s="40">
        <f t="shared" ref="F5:F68" si="1">+E5+2</f>
        <v>46162</v>
      </c>
      <c r="G5" s="27"/>
    </row>
    <row r="6" spans="1:7" ht="15.75" hidden="1" customHeight="1" x14ac:dyDescent="0.25">
      <c r="A6" t="s">
        <v>601</v>
      </c>
      <c r="B6">
        <v>3122689</v>
      </c>
      <c r="C6" s="68">
        <v>658914</v>
      </c>
      <c r="D6" s="13">
        <v>46170</v>
      </c>
      <c r="E6" s="67">
        <f t="shared" si="0"/>
        <v>46162</v>
      </c>
      <c r="F6" s="40">
        <f t="shared" si="1"/>
        <v>46164</v>
      </c>
      <c r="G6" s="27"/>
    </row>
    <row r="7" spans="1:7" ht="15.75" hidden="1" customHeight="1" x14ac:dyDescent="0.25">
      <c r="A7" t="s">
        <v>604</v>
      </c>
      <c r="B7">
        <v>13378069</v>
      </c>
      <c r="C7" s="68">
        <v>2465900</v>
      </c>
      <c r="D7" s="13">
        <v>46171</v>
      </c>
      <c r="E7" s="67">
        <f t="shared" si="0"/>
        <v>46163</v>
      </c>
      <c r="F7" s="40">
        <f t="shared" si="1"/>
        <v>46165</v>
      </c>
      <c r="G7" s="27"/>
    </row>
    <row r="8" spans="1:7" ht="15.75" hidden="1" customHeight="1" x14ac:dyDescent="0.25">
      <c r="A8" t="s">
        <v>600</v>
      </c>
      <c r="B8">
        <v>78055886</v>
      </c>
      <c r="C8" s="68">
        <v>500000</v>
      </c>
      <c r="D8" s="13">
        <v>46172</v>
      </c>
      <c r="E8" s="67">
        <f t="shared" si="0"/>
        <v>46163</v>
      </c>
      <c r="F8" s="40">
        <f t="shared" si="1"/>
        <v>46165</v>
      </c>
      <c r="G8" s="27"/>
    </row>
    <row r="9" spans="1:7" ht="15.75" hidden="1" customHeight="1" x14ac:dyDescent="0.25">
      <c r="A9" t="s">
        <v>601</v>
      </c>
      <c r="B9">
        <v>80657184</v>
      </c>
      <c r="C9" s="68">
        <v>536720.94999999995</v>
      </c>
      <c r="D9" s="13">
        <v>46173</v>
      </c>
      <c r="E9" s="67">
        <f t="shared" si="0"/>
        <v>46163</v>
      </c>
      <c r="F9" s="40">
        <f t="shared" si="1"/>
        <v>46165</v>
      </c>
      <c r="G9" s="27"/>
    </row>
    <row r="10" spans="1:7" ht="15.75" hidden="1" customHeight="1" x14ac:dyDescent="0.25">
      <c r="A10" t="s">
        <v>659</v>
      </c>
      <c r="B10">
        <v>2430</v>
      </c>
      <c r="C10" s="68">
        <v>70000000</v>
      </c>
      <c r="D10" s="13">
        <v>46174</v>
      </c>
      <c r="E10" s="67">
        <f t="shared" si="0"/>
        <v>46164</v>
      </c>
      <c r="F10" s="40">
        <f t="shared" si="1"/>
        <v>46166</v>
      </c>
      <c r="G10" s="27"/>
    </row>
    <row r="11" spans="1:7" ht="15.75" hidden="1" customHeight="1" x14ac:dyDescent="0.25">
      <c r="A11" t="s">
        <v>603</v>
      </c>
      <c r="B11">
        <v>6818</v>
      </c>
      <c r="C11" s="68">
        <v>22336160</v>
      </c>
      <c r="D11" s="13">
        <v>46175</v>
      </c>
      <c r="E11" s="67">
        <f t="shared" si="0"/>
        <v>46167</v>
      </c>
      <c r="F11" s="40">
        <f t="shared" si="1"/>
        <v>46169</v>
      </c>
      <c r="G11" s="27"/>
    </row>
    <row r="12" spans="1:7" ht="15.75" hidden="1" customHeight="1" x14ac:dyDescent="0.25">
      <c r="A12" t="s">
        <v>610</v>
      </c>
      <c r="B12">
        <v>9487744</v>
      </c>
      <c r="C12" s="68">
        <v>8879287.4600000009</v>
      </c>
      <c r="D12" s="13">
        <v>46176</v>
      </c>
      <c r="E12" s="67">
        <f t="shared" si="0"/>
        <v>46167</v>
      </c>
      <c r="F12" s="40">
        <f t="shared" si="1"/>
        <v>46169</v>
      </c>
      <c r="G12" s="27"/>
    </row>
    <row r="13" spans="1:7" ht="15.75" hidden="1" customHeight="1" x14ac:dyDescent="0.25">
      <c r="A13" t="s">
        <v>604</v>
      </c>
      <c r="B13">
        <v>13378071</v>
      </c>
      <c r="C13" s="68">
        <v>2500000</v>
      </c>
      <c r="D13" s="13">
        <v>46177</v>
      </c>
      <c r="E13" s="67">
        <f t="shared" si="0"/>
        <v>46167</v>
      </c>
      <c r="F13" s="40">
        <f t="shared" si="1"/>
        <v>46169</v>
      </c>
      <c r="G13" s="27"/>
    </row>
    <row r="14" spans="1:7" ht="15.75" hidden="1" customHeight="1" x14ac:dyDescent="0.25">
      <c r="A14" t="s">
        <v>604</v>
      </c>
      <c r="B14">
        <v>13378072</v>
      </c>
      <c r="C14" s="68">
        <v>2500000</v>
      </c>
      <c r="D14" s="13">
        <v>46178</v>
      </c>
      <c r="E14" s="67">
        <f t="shared" si="0"/>
        <v>46167</v>
      </c>
      <c r="F14" s="40">
        <f t="shared" si="1"/>
        <v>46169</v>
      </c>
      <c r="G14" s="27"/>
    </row>
    <row r="15" spans="1:7" ht="15.75" hidden="1" customHeight="1" x14ac:dyDescent="0.25">
      <c r="A15" t="s">
        <v>604</v>
      </c>
      <c r="B15">
        <v>13378073</v>
      </c>
      <c r="C15" s="68">
        <v>2500000</v>
      </c>
      <c r="D15" s="13">
        <v>46179</v>
      </c>
      <c r="E15" s="67">
        <f t="shared" si="0"/>
        <v>46167</v>
      </c>
      <c r="F15" s="40">
        <f t="shared" si="1"/>
        <v>46169</v>
      </c>
      <c r="G15" s="27"/>
    </row>
    <row r="16" spans="1:7" ht="15.75" hidden="1" customHeight="1" x14ac:dyDescent="0.25">
      <c r="A16" t="s">
        <v>612</v>
      </c>
      <c r="B16">
        <v>66612110</v>
      </c>
      <c r="C16" s="68">
        <v>14000000</v>
      </c>
      <c r="D16" s="13">
        <v>46180</v>
      </c>
      <c r="E16" s="67">
        <f t="shared" si="0"/>
        <v>46167</v>
      </c>
      <c r="F16" s="40">
        <f t="shared" si="1"/>
        <v>46169</v>
      </c>
      <c r="G16" s="27"/>
    </row>
    <row r="17" spans="1:10" ht="15.75" hidden="1" customHeight="1" x14ac:dyDescent="0.25">
      <c r="A17" t="s">
        <v>608</v>
      </c>
      <c r="B17">
        <v>66487132</v>
      </c>
      <c r="C17" s="68">
        <v>4796000</v>
      </c>
      <c r="D17" s="13">
        <v>46181</v>
      </c>
      <c r="E17" s="67">
        <f t="shared" si="0"/>
        <v>46167</v>
      </c>
      <c r="F17" s="40">
        <f t="shared" si="1"/>
        <v>46169</v>
      </c>
      <c r="G17" s="27"/>
    </row>
    <row r="18" spans="1:10" ht="15.75" hidden="1" customHeight="1" x14ac:dyDescent="0.25">
      <c r="A18" t="s">
        <v>605</v>
      </c>
      <c r="B18">
        <v>40631416</v>
      </c>
      <c r="C18" s="68">
        <v>422645</v>
      </c>
      <c r="D18" s="13">
        <v>46182</v>
      </c>
      <c r="E18" s="67">
        <f t="shared" si="0"/>
        <v>46167</v>
      </c>
      <c r="F18" s="40">
        <f t="shared" si="1"/>
        <v>46169</v>
      </c>
      <c r="G18" s="27"/>
    </row>
    <row r="19" spans="1:10" ht="15.75" hidden="1" customHeight="1" x14ac:dyDescent="0.25">
      <c r="A19" t="s">
        <v>605</v>
      </c>
      <c r="B19">
        <v>66823490</v>
      </c>
      <c r="C19" s="68">
        <v>1490156.91</v>
      </c>
      <c r="D19" s="13">
        <v>46183</v>
      </c>
      <c r="E19" s="67">
        <f t="shared" si="0"/>
        <v>46167</v>
      </c>
      <c r="F19" s="40">
        <f t="shared" si="1"/>
        <v>46169</v>
      </c>
      <c r="G19" s="27"/>
    </row>
    <row r="20" spans="1:10" ht="15.75" hidden="1" customHeight="1" x14ac:dyDescent="0.25">
      <c r="A20" t="s">
        <v>605</v>
      </c>
      <c r="B20">
        <v>90003063</v>
      </c>
      <c r="C20" s="68">
        <v>330756</v>
      </c>
      <c r="D20" s="13">
        <v>46184</v>
      </c>
      <c r="E20" s="67">
        <f t="shared" si="0"/>
        <v>46167</v>
      </c>
      <c r="F20" s="40">
        <f t="shared" si="1"/>
        <v>46169</v>
      </c>
      <c r="G20" s="27"/>
    </row>
    <row r="21" spans="1:10" ht="15.75" hidden="1" customHeight="1" x14ac:dyDescent="0.25">
      <c r="A21" t="s">
        <v>659</v>
      </c>
      <c r="B21">
        <v>29305989</v>
      </c>
      <c r="C21" s="68">
        <v>15000000</v>
      </c>
      <c r="D21" s="13">
        <v>46185</v>
      </c>
      <c r="E21" s="67">
        <f t="shared" si="0"/>
        <v>46167</v>
      </c>
      <c r="F21" s="40">
        <f t="shared" si="1"/>
        <v>46169</v>
      </c>
      <c r="G21" s="27"/>
    </row>
    <row r="22" spans="1:10" ht="15.75" hidden="1" customHeight="1" x14ac:dyDescent="0.25">
      <c r="A22" t="s">
        <v>659</v>
      </c>
      <c r="B22">
        <v>29305988</v>
      </c>
      <c r="C22" s="68">
        <v>8573913.8200000003</v>
      </c>
      <c r="D22" s="13">
        <v>46186</v>
      </c>
      <c r="E22" s="67">
        <f t="shared" si="0"/>
        <v>46167</v>
      </c>
      <c r="F22" s="40">
        <f t="shared" si="1"/>
        <v>46169</v>
      </c>
      <c r="G22" s="27"/>
    </row>
    <row r="23" spans="1:10" ht="15.75" hidden="1" customHeight="1" x14ac:dyDescent="0.25">
      <c r="A23" t="s">
        <v>600</v>
      </c>
      <c r="B23">
        <v>78055897</v>
      </c>
      <c r="C23" s="68">
        <v>907700</v>
      </c>
      <c r="D23" s="13">
        <v>46187</v>
      </c>
      <c r="E23" s="67">
        <f t="shared" si="0"/>
        <v>46168</v>
      </c>
      <c r="F23" s="40">
        <f t="shared" si="1"/>
        <v>46170</v>
      </c>
      <c r="G23" s="27"/>
    </row>
    <row r="24" spans="1:10" ht="15.75" hidden="1" customHeight="1" x14ac:dyDescent="0.25">
      <c r="A24" t="s">
        <v>600</v>
      </c>
      <c r="B24">
        <v>78055902</v>
      </c>
      <c r="C24" s="68">
        <v>960000</v>
      </c>
      <c r="D24" s="13">
        <v>46188</v>
      </c>
      <c r="E24" s="67">
        <f t="shared" si="0"/>
        <v>46168</v>
      </c>
      <c r="F24" s="40">
        <f t="shared" si="1"/>
        <v>46170</v>
      </c>
      <c r="G24" s="27"/>
    </row>
    <row r="25" spans="1:10" ht="15.75" hidden="1" customHeight="1" x14ac:dyDescent="0.25">
      <c r="A25" t="s">
        <v>606</v>
      </c>
      <c r="B25">
        <v>4716</v>
      </c>
      <c r="C25" s="68">
        <v>1300000</v>
      </c>
      <c r="D25" s="13">
        <v>46189</v>
      </c>
      <c r="E25" s="67">
        <f t="shared" si="0"/>
        <v>46168</v>
      </c>
      <c r="F25" s="40">
        <f t="shared" si="1"/>
        <v>46170</v>
      </c>
      <c r="G25" s="27"/>
    </row>
    <row r="26" spans="1:10" ht="15.75" hidden="1" customHeight="1" x14ac:dyDescent="0.25">
      <c r="A26" t="s">
        <v>606</v>
      </c>
      <c r="B26">
        <v>4633</v>
      </c>
      <c r="C26" s="68">
        <v>1162600</v>
      </c>
      <c r="D26" s="13">
        <v>46190</v>
      </c>
      <c r="E26" s="67">
        <f t="shared" si="0"/>
        <v>46168</v>
      </c>
      <c r="F26" s="40">
        <f t="shared" si="1"/>
        <v>46170</v>
      </c>
      <c r="G26" s="27"/>
    </row>
    <row r="27" spans="1:10" ht="15.75" hidden="1" customHeight="1" x14ac:dyDescent="0.25">
      <c r="A27" t="s">
        <v>606</v>
      </c>
      <c r="B27">
        <v>4742</v>
      </c>
      <c r="C27" s="68">
        <v>1200000</v>
      </c>
      <c r="D27" s="13">
        <v>46191</v>
      </c>
      <c r="E27" s="67">
        <f t="shared" si="0"/>
        <v>46168</v>
      </c>
      <c r="F27" s="40">
        <f t="shared" si="1"/>
        <v>46170</v>
      </c>
      <c r="G27" s="27"/>
    </row>
    <row r="28" spans="1:10" ht="15.75" hidden="1" customHeight="1" x14ac:dyDescent="0.25">
      <c r="A28" t="s">
        <v>600</v>
      </c>
      <c r="B28">
        <v>78055908</v>
      </c>
      <c r="C28" s="68">
        <v>1130000</v>
      </c>
      <c r="D28" s="13">
        <v>46192</v>
      </c>
      <c r="E28" s="67">
        <f t="shared" si="0"/>
        <v>46168</v>
      </c>
      <c r="F28" s="40">
        <f t="shared" si="1"/>
        <v>46170</v>
      </c>
      <c r="G28" s="27"/>
    </row>
    <row r="29" spans="1:10" ht="15.75" hidden="1" customHeight="1" x14ac:dyDescent="0.25">
      <c r="A29" t="s">
        <v>614</v>
      </c>
      <c r="B29">
        <v>16</v>
      </c>
      <c r="C29" s="68">
        <v>19042210</v>
      </c>
      <c r="D29" s="13">
        <v>46193</v>
      </c>
      <c r="E29" s="67">
        <f t="shared" si="0"/>
        <v>46169</v>
      </c>
      <c r="F29" s="40">
        <f t="shared" si="1"/>
        <v>46171</v>
      </c>
      <c r="G29" s="27"/>
    </row>
    <row r="30" spans="1:10" ht="15.75" hidden="1" customHeight="1" x14ac:dyDescent="0.25">
      <c r="A30" t="s">
        <v>608</v>
      </c>
      <c r="B30">
        <v>66486893</v>
      </c>
      <c r="C30" s="68">
        <v>5000000</v>
      </c>
      <c r="D30" s="13">
        <v>46194</v>
      </c>
      <c r="E30" s="67">
        <f t="shared" si="0"/>
        <v>46169</v>
      </c>
      <c r="F30" s="40">
        <f t="shared" si="1"/>
        <v>46171</v>
      </c>
      <c r="G30" s="27"/>
    </row>
    <row r="31" spans="1:10" ht="15.75" hidden="1" customHeight="1" x14ac:dyDescent="0.25">
      <c r="A31" t="s">
        <v>600</v>
      </c>
      <c r="B31">
        <v>78055903</v>
      </c>
      <c r="C31" s="68">
        <v>960000</v>
      </c>
      <c r="D31" s="13">
        <v>46195</v>
      </c>
      <c r="E31" s="67">
        <f t="shared" si="0"/>
        <v>46169</v>
      </c>
      <c r="F31" s="40">
        <f t="shared" si="1"/>
        <v>46171</v>
      </c>
      <c r="G31" s="27"/>
    </row>
    <row r="32" spans="1:10" ht="15.75" hidden="1" customHeight="1" x14ac:dyDescent="0.25">
      <c r="A32" t="s">
        <v>606</v>
      </c>
      <c r="B32">
        <v>4717</v>
      </c>
      <c r="C32" s="68">
        <v>1300000</v>
      </c>
      <c r="D32" s="13">
        <v>46196</v>
      </c>
      <c r="E32" s="67">
        <f t="shared" si="0"/>
        <v>46169</v>
      </c>
      <c r="F32" s="40">
        <f t="shared" si="1"/>
        <v>46171</v>
      </c>
      <c r="G32" s="27"/>
      <c r="J32" t="s">
        <v>617</v>
      </c>
    </row>
    <row r="33" spans="1:24" ht="15.75" hidden="1" customHeight="1" x14ac:dyDescent="0.25">
      <c r="A33" t="s">
        <v>606</v>
      </c>
      <c r="B33">
        <v>4743</v>
      </c>
      <c r="C33" s="68">
        <v>1200000</v>
      </c>
      <c r="D33" s="13">
        <v>46197</v>
      </c>
      <c r="E33" s="67">
        <f t="shared" si="0"/>
        <v>46169</v>
      </c>
      <c r="F33" s="40">
        <f t="shared" si="1"/>
        <v>46171</v>
      </c>
      <c r="G33" s="27"/>
      <c r="J33" t="s">
        <v>618</v>
      </c>
    </row>
    <row r="34" spans="1:24" ht="15.75" hidden="1" customHeight="1" x14ac:dyDescent="0.25">
      <c r="A34" t="s">
        <v>606</v>
      </c>
      <c r="B34">
        <v>4772</v>
      </c>
      <c r="C34" s="68">
        <v>1300000</v>
      </c>
      <c r="D34" s="13">
        <v>46198</v>
      </c>
      <c r="E34" s="67">
        <f t="shared" si="0"/>
        <v>46169</v>
      </c>
      <c r="F34" s="40">
        <f t="shared" si="1"/>
        <v>46171</v>
      </c>
      <c r="G34" s="27"/>
      <c r="J34" t="s">
        <v>619</v>
      </c>
    </row>
    <row r="35" spans="1:24" ht="15.75" hidden="1" customHeight="1" x14ac:dyDescent="0.25">
      <c r="A35" t="s">
        <v>600</v>
      </c>
      <c r="B35">
        <v>78055909</v>
      </c>
      <c r="C35" s="68">
        <v>1130000</v>
      </c>
      <c r="D35" s="13">
        <v>46199</v>
      </c>
      <c r="E35" s="67">
        <f t="shared" si="0"/>
        <v>46169</v>
      </c>
      <c r="F35" s="40">
        <f t="shared" si="1"/>
        <v>46171</v>
      </c>
      <c r="G35" s="27"/>
      <c r="J35" t="s">
        <v>620</v>
      </c>
      <c r="K35" t="s">
        <v>621</v>
      </c>
      <c r="L35" t="s">
        <v>622</v>
      </c>
      <c r="M35" t="s">
        <v>623</v>
      </c>
      <c r="N35" t="s">
        <v>624</v>
      </c>
      <c r="O35" t="s">
        <v>625</v>
      </c>
      <c r="P35" t="s">
        <v>626</v>
      </c>
      <c r="Q35" t="s">
        <v>627</v>
      </c>
      <c r="R35" t="s">
        <v>628</v>
      </c>
      <c r="S35" t="s">
        <v>629</v>
      </c>
      <c r="T35" t="s">
        <v>630</v>
      </c>
      <c r="U35" t="s">
        <v>631</v>
      </c>
      <c r="V35" t="s">
        <v>632</v>
      </c>
      <c r="W35" t="s">
        <v>633</v>
      </c>
      <c r="X35" t="s">
        <v>634</v>
      </c>
    </row>
    <row r="36" spans="1:24" ht="15.75" hidden="1" customHeight="1" x14ac:dyDescent="0.25">
      <c r="A36" t="s">
        <v>605</v>
      </c>
      <c r="B36">
        <v>29153824</v>
      </c>
      <c r="C36" s="68">
        <v>8049582.4500000002</v>
      </c>
      <c r="D36" s="13">
        <v>46200</v>
      </c>
      <c r="E36" s="67">
        <f t="shared" si="0"/>
        <v>46170</v>
      </c>
      <c r="F36" s="40">
        <f t="shared" si="1"/>
        <v>46172</v>
      </c>
      <c r="G36" s="27"/>
      <c r="J36" t="s">
        <v>635</v>
      </c>
      <c r="K36" t="s">
        <v>636</v>
      </c>
      <c r="L36" s="67">
        <v>46127</v>
      </c>
      <c r="M36">
        <v>23454</v>
      </c>
      <c r="N36">
        <v>2219061</v>
      </c>
      <c r="O36" t="s">
        <v>637</v>
      </c>
      <c r="P36" t="s">
        <v>638</v>
      </c>
      <c r="Q36">
        <v>3400000</v>
      </c>
      <c r="R36" t="s">
        <v>598</v>
      </c>
      <c r="S36" t="s">
        <v>639</v>
      </c>
      <c r="T36" t="s">
        <v>640</v>
      </c>
      <c r="U36" t="s">
        <v>639</v>
      </c>
      <c r="V36" t="s">
        <v>641</v>
      </c>
      <c r="W36" t="s">
        <v>639</v>
      </c>
      <c r="X36" t="s">
        <v>639</v>
      </c>
    </row>
    <row r="37" spans="1:24" ht="15.75" hidden="1" customHeight="1" x14ac:dyDescent="0.25">
      <c r="A37" t="s">
        <v>600</v>
      </c>
      <c r="B37">
        <v>78055904</v>
      </c>
      <c r="C37" s="68">
        <v>960000</v>
      </c>
      <c r="D37" s="13">
        <v>46201</v>
      </c>
      <c r="E37" s="67">
        <f t="shared" si="0"/>
        <v>46170</v>
      </c>
      <c r="F37" s="40">
        <f t="shared" si="1"/>
        <v>46172</v>
      </c>
      <c r="G37" s="27"/>
      <c r="J37" t="s">
        <v>635</v>
      </c>
      <c r="K37" t="s">
        <v>636</v>
      </c>
      <c r="L37" s="67">
        <v>46160</v>
      </c>
      <c r="M37">
        <v>23800</v>
      </c>
      <c r="N37">
        <v>281</v>
      </c>
      <c r="O37" t="s">
        <v>637</v>
      </c>
      <c r="P37" t="s">
        <v>642</v>
      </c>
      <c r="Q37">
        <v>1000000</v>
      </c>
      <c r="R37" t="s">
        <v>601</v>
      </c>
      <c r="S37" t="s">
        <v>639</v>
      </c>
      <c r="T37" t="s">
        <v>643</v>
      </c>
      <c r="U37" t="s">
        <v>639</v>
      </c>
      <c r="V37" t="s">
        <v>644</v>
      </c>
      <c r="W37" t="s">
        <v>645</v>
      </c>
      <c r="X37" t="s">
        <v>646</v>
      </c>
    </row>
    <row r="38" spans="1:24" ht="15.75" hidden="1" customHeight="1" x14ac:dyDescent="0.25">
      <c r="A38" t="s">
        <v>600</v>
      </c>
      <c r="B38">
        <v>78055910</v>
      </c>
      <c r="C38" s="68">
        <v>1130000</v>
      </c>
      <c r="D38" s="13">
        <v>46202</v>
      </c>
      <c r="E38" s="67">
        <f t="shared" si="0"/>
        <v>46170</v>
      </c>
      <c r="F38" s="40">
        <f t="shared" si="1"/>
        <v>46172</v>
      </c>
      <c r="G38" s="27"/>
      <c r="J38" t="s">
        <v>635</v>
      </c>
      <c r="K38" t="s">
        <v>636</v>
      </c>
      <c r="L38" s="67">
        <v>46162</v>
      </c>
      <c r="M38">
        <v>23801</v>
      </c>
      <c r="N38">
        <v>3122689</v>
      </c>
      <c r="O38" t="s">
        <v>637</v>
      </c>
      <c r="P38" t="s">
        <v>647</v>
      </c>
      <c r="Q38">
        <v>658914</v>
      </c>
      <c r="R38" t="s">
        <v>601</v>
      </c>
      <c r="S38" t="s">
        <v>639</v>
      </c>
      <c r="T38" t="s">
        <v>643</v>
      </c>
      <c r="U38" t="s">
        <v>639</v>
      </c>
      <c r="V38" t="s">
        <v>648</v>
      </c>
      <c r="W38" t="s">
        <v>645</v>
      </c>
      <c r="X38" t="s">
        <v>646</v>
      </c>
    </row>
    <row r="39" spans="1:24" ht="15.75" hidden="1" customHeight="1" x14ac:dyDescent="0.25">
      <c r="A39" t="s">
        <v>600</v>
      </c>
      <c r="B39">
        <v>78055920</v>
      </c>
      <c r="C39" s="68">
        <v>1130000</v>
      </c>
      <c r="D39" s="13">
        <v>46203</v>
      </c>
      <c r="E39" s="67">
        <f t="shared" si="0"/>
        <v>46170</v>
      </c>
      <c r="F39" s="40">
        <f t="shared" si="1"/>
        <v>46172</v>
      </c>
      <c r="G39" s="27"/>
      <c r="J39" t="s">
        <v>635</v>
      </c>
      <c r="K39" t="s">
        <v>636</v>
      </c>
      <c r="L39" s="67">
        <v>46163</v>
      </c>
      <c r="M39">
        <v>23533</v>
      </c>
      <c r="N39">
        <v>13378069</v>
      </c>
      <c r="O39" t="s">
        <v>649</v>
      </c>
      <c r="P39" t="s">
        <v>650</v>
      </c>
      <c r="Q39">
        <v>2465900</v>
      </c>
      <c r="R39" t="s">
        <v>604</v>
      </c>
      <c r="S39" t="s">
        <v>639</v>
      </c>
      <c r="T39" t="s">
        <v>651</v>
      </c>
      <c r="U39" t="s">
        <v>639</v>
      </c>
      <c r="V39" t="s">
        <v>652</v>
      </c>
      <c r="W39" t="s">
        <v>645</v>
      </c>
      <c r="X39" t="s">
        <v>646</v>
      </c>
    </row>
    <row r="40" spans="1:24" ht="15.75" hidden="1" customHeight="1" x14ac:dyDescent="0.25">
      <c r="A40" t="s">
        <v>607</v>
      </c>
      <c r="B40">
        <v>136</v>
      </c>
      <c r="C40" s="68">
        <v>3000206.61</v>
      </c>
      <c r="D40" s="13">
        <v>46204</v>
      </c>
      <c r="E40" s="67">
        <f t="shared" si="0"/>
        <v>46170</v>
      </c>
      <c r="F40" s="40">
        <f t="shared" si="1"/>
        <v>46172</v>
      </c>
      <c r="G40" s="27"/>
      <c r="J40" t="s">
        <v>635</v>
      </c>
      <c r="K40" t="s">
        <v>636</v>
      </c>
      <c r="L40" s="67">
        <v>46163</v>
      </c>
      <c r="M40">
        <v>23557</v>
      </c>
      <c r="N40">
        <v>78055886</v>
      </c>
      <c r="O40" t="s">
        <v>649</v>
      </c>
      <c r="P40" t="s">
        <v>653</v>
      </c>
      <c r="Q40">
        <v>500000</v>
      </c>
      <c r="R40" t="s">
        <v>600</v>
      </c>
      <c r="S40" t="s">
        <v>639</v>
      </c>
      <c r="T40" t="s">
        <v>654</v>
      </c>
      <c r="U40" t="s">
        <v>639</v>
      </c>
      <c r="V40" t="s">
        <v>655</v>
      </c>
      <c r="W40" t="s">
        <v>645</v>
      </c>
      <c r="X40" t="s">
        <v>646</v>
      </c>
    </row>
    <row r="41" spans="1:24" ht="15.75" hidden="1" customHeight="1" x14ac:dyDescent="0.25">
      <c r="A41" t="s">
        <v>607</v>
      </c>
      <c r="B41">
        <v>137</v>
      </c>
      <c r="C41" s="68">
        <v>3300000</v>
      </c>
      <c r="D41" s="13">
        <v>46205</v>
      </c>
      <c r="E41" s="67">
        <f t="shared" si="0"/>
        <v>46170</v>
      </c>
      <c r="F41" s="40">
        <f t="shared" si="1"/>
        <v>46172</v>
      </c>
      <c r="G41" s="27"/>
      <c r="J41" t="s">
        <v>635</v>
      </c>
      <c r="K41" t="s">
        <v>636</v>
      </c>
      <c r="L41" s="67">
        <v>46163</v>
      </c>
      <c r="M41">
        <v>23805</v>
      </c>
      <c r="N41">
        <v>80657184</v>
      </c>
      <c r="O41" t="s">
        <v>637</v>
      </c>
      <c r="P41" t="s">
        <v>656</v>
      </c>
      <c r="Q41">
        <v>536720.94999999995</v>
      </c>
      <c r="R41" t="s">
        <v>601</v>
      </c>
      <c r="S41" t="s">
        <v>639</v>
      </c>
      <c r="T41" t="s">
        <v>643</v>
      </c>
      <c r="U41" t="s">
        <v>639</v>
      </c>
      <c r="V41" t="s">
        <v>657</v>
      </c>
      <c r="W41" t="s">
        <v>645</v>
      </c>
      <c r="X41" t="s">
        <v>646</v>
      </c>
    </row>
    <row r="42" spans="1:24" ht="15.75" hidden="1" customHeight="1" x14ac:dyDescent="0.25">
      <c r="A42" t="s">
        <v>607</v>
      </c>
      <c r="B42">
        <v>139</v>
      </c>
      <c r="C42" s="68">
        <v>3029000</v>
      </c>
      <c r="D42" s="13">
        <v>46206</v>
      </c>
      <c r="E42" s="67">
        <f t="shared" si="0"/>
        <v>46170</v>
      </c>
      <c r="F42" s="40">
        <f t="shared" si="1"/>
        <v>46172</v>
      </c>
      <c r="G42" s="27"/>
      <c r="J42" t="s">
        <v>635</v>
      </c>
      <c r="K42" t="s">
        <v>636</v>
      </c>
      <c r="L42" s="67">
        <v>46164</v>
      </c>
      <c r="M42">
        <v>23808</v>
      </c>
      <c r="N42">
        <v>2430</v>
      </c>
      <c r="O42" t="s">
        <v>637</v>
      </c>
      <c r="P42" t="s">
        <v>658</v>
      </c>
      <c r="Q42">
        <v>70000000</v>
      </c>
      <c r="R42" t="s">
        <v>659</v>
      </c>
      <c r="S42" t="s">
        <v>639</v>
      </c>
      <c r="T42" t="s">
        <v>660</v>
      </c>
      <c r="U42" t="s">
        <v>639</v>
      </c>
      <c r="V42" t="s">
        <v>661</v>
      </c>
      <c r="W42" t="s">
        <v>645</v>
      </c>
      <c r="X42" t="s">
        <v>646</v>
      </c>
    </row>
    <row r="43" spans="1:24" ht="15.75" hidden="1" customHeight="1" x14ac:dyDescent="0.25">
      <c r="A43" t="s">
        <v>602</v>
      </c>
      <c r="B43">
        <v>5221</v>
      </c>
      <c r="C43" s="68">
        <v>1626750</v>
      </c>
      <c r="D43" s="13">
        <v>46207</v>
      </c>
      <c r="E43" s="67">
        <f t="shared" si="0"/>
        <v>46171</v>
      </c>
      <c r="F43" s="40">
        <f t="shared" si="1"/>
        <v>46173</v>
      </c>
      <c r="G43" s="27"/>
      <c r="J43" t="s">
        <v>635</v>
      </c>
      <c r="K43" t="s">
        <v>636</v>
      </c>
      <c r="L43" s="67">
        <v>46167</v>
      </c>
      <c r="M43">
        <v>23480</v>
      </c>
      <c r="N43">
        <v>6818</v>
      </c>
      <c r="O43" t="s">
        <v>649</v>
      </c>
      <c r="P43" t="s">
        <v>662</v>
      </c>
      <c r="Q43">
        <v>22336160</v>
      </c>
      <c r="R43" t="s">
        <v>603</v>
      </c>
      <c r="S43" t="s">
        <v>639</v>
      </c>
      <c r="T43" t="s">
        <v>663</v>
      </c>
      <c r="U43" t="s">
        <v>639</v>
      </c>
      <c r="V43" t="s">
        <v>664</v>
      </c>
      <c r="W43" t="s">
        <v>645</v>
      </c>
      <c r="X43" t="s">
        <v>646</v>
      </c>
    </row>
    <row r="44" spans="1:24" ht="15.75" hidden="1" customHeight="1" x14ac:dyDescent="0.25">
      <c r="A44" t="s">
        <v>600</v>
      </c>
      <c r="B44">
        <v>78055905</v>
      </c>
      <c r="C44" s="68">
        <v>960000</v>
      </c>
      <c r="D44" s="13">
        <v>46208</v>
      </c>
      <c r="E44" s="67">
        <f t="shared" si="0"/>
        <v>46171</v>
      </c>
      <c r="F44" s="40">
        <f t="shared" si="1"/>
        <v>46173</v>
      </c>
      <c r="G44" s="27"/>
      <c r="J44" t="s">
        <v>635</v>
      </c>
      <c r="K44" t="s">
        <v>636</v>
      </c>
      <c r="L44" s="67">
        <v>46167</v>
      </c>
      <c r="M44">
        <v>23501</v>
      </c>
      <c r="N44">
        <v>9487744</v>
      </c>
      <c r="O44" t="s">
        <v>649</v>
      </c>
      <c r="P44" t="s">
        <v>642</v>
      </c>
      <c r="Q44">
        <v>8879287.4600000009</v>
      </c>
      <c r="R44" t="s">
        <v>610</v>
      </c>
      <c r="S44" t="s">
        <v>639</v>
      </c>
      <c r="T44" t="s">
        <v>665</v>
      </c>
      <c r="U44" t="s">
        <v>639</v>
      </c>
      <c r="V44" t="s">
        <v>644</v>
      </c>
      <c r="W44" t="s">
        <v>645</v>
      </c>
      <c r="X44" t="s">
        <v>646</v>
      </c>
    </row>
    <row r="45" spans="1:24" ht="15.75" hidden="1" customHeight="1" x14ac:dyDescent="0.25">
      <c r="A45" t="s">
        <v>606</v>
      </c>
      <c r="B45">
        <v>4718</v>
      </c>
      <c r="C45" s="68">
        <v>1300000</v>
      </c>
      <c r="D45" s="13">
        <v>46209</v>
      </c>
      <c r="E45" s="67">
        <f t="shared" si="0"/>
        <v>46171</v>
      </c>
      <c r="F45" s="40">
        <f t="shared" si="1"/>
        <v>46173</v>
      </c>
      <c r="G45" s="27"/>
      <c r="J45" t="s">
        <v>635</v>
      </c>
      <c r="K45" t="s">
        <v>636</v>
      </c>
      <c r="L45" s="67">
        <v>46167</v>
      </c>
      <c r="M45">
        <v>23535</v>
      </c>
      <c r="N45">
        <v>13378071</v>
      </c>
      <c r="O45" t="s">
        <v>649</v>
      </c>
      <c r="P45" t="s">
        <v>650</v>
      </c>
      <c r="Q45">
        <v>2500000</v>
      </c>
      <c r="R45" t="s">
        <v>604</v>
      </c>
      <c r="S45" t="s">
        <v>639</v>
      </c>
      <c r="T45" t="s">
        <v>651</v>
      </c>
      <c r="U45" t="s">
        <v>639</v>
      </c>
      <c r="V45" t="s">
        <v>652</v>
      </c>
      <c r="W45" t="s">
        <v>645</v>
      </c>
      <c r="X45" t="s">
        <v>646</v>
      </c>
    </row>
    <row r="46" spans="1:24" ht="15.75" hidden="1" customHeight="1" x14ac:dyDescent="0.25">
      <c r="A46" t="s">
        <v>606</v>
      </c>
      <c r="B46">
        <v>4744</v>
      </c>
      <c r="C46" s="68">
        <v>1200000</v>
      </c>
      <c r="D46" s="13">
        <v>46210</v>
      </c>
      <c r="E46" s="67">
        <f t="shared" si="0"/>
        <v>46171</v>
      </c>
      <c r="F46" s="40">
        <f t="shared" si="1"/>
        <v>46173</v>
      </c>
      <c r="G46" s="27"/>
      <c r="J46" t="s">
        <v>635</v>
      </c>
      <c r="K46" t="s">
        <v>636</v>
      </c>
      <c r="L46" s="67">
        <v>46167</v>
      </c>
      <c r="M46">
        <v>23536</v>
      </c>
      <c r="N46">
        <v>13378072</v>
      </c>
      <c r="O46" t="s">
        <v>649</v>
      </c>
      <c r="P46" t="s">
        <v>650</v>
      </c>
      <c r="Q46">
        <v>2500000</v>
      </c>
      <c r="R46" t="s">
        <v>604</v>
      </c>
      <c r="S46" t="s">
        <v>639</v>
      </c>
      <c r="T46" t="s">
        <v>651</v>
      </c>
      <c r="U46" t="s">
        <v>639</v>
      </c>
      <c r="V46" t="s">
        <v>652</v>
      </c>
      <c r="W46" t="s">
        <v>645</v>
      </c>
      <c r="X46" t="s">
        <v>646</v>
      </c>
    </row>
    <row r="47" spans="1:24" ht="15.75" hidden="1" customHeight="1" x14ac:dyDescent="0.25">
      <c r="A47" t="s">
        <v>606</v>
      </c>
      <c r="B47">
        <v>4773</v>
      </c>
      <c r="C47" s="68">
        <v>1300000</v>
      </c>
      <c r="D47" s="13">
        <v>46211</v>
      </c>
      <c r="E47" s="67">
        <f t="shared" si="0"/>
        <v>46171</v>
      </c>
      <c r="F47" s="40">
        <f t="shared" si="1"/>
        <v>46173</v>
      </c>
      <c r="G47" s="27"/>
      <c r="J47" t="s">
        <v>635</v>
      </c>
      <c r="K47" t="s">
        <v>636</v>
      </c>
      <c r="L47" s="67">
        <v>46167</v>
      </c>
      <c r="M47">
        <v>23537</v>
      </c>
      <c r="N47">
        <v>13378073</v>
      </c>
      <c r="O47" t="s">
        <v>649</v>
      </c>
      <c r="P47" t="s">
        <v>650</v>
      </c>
      <c r="Q47">
        <v>2500000</v>
      </c>
      <c r="R47" t="s">
        <v>604</v>
      </c>
      <c r="S47" t="s">
        <v>639</v>
      </c>
      <c r="T47" t="s">
        <v>651</v>
      </c>
      <c r="U47" t="s">
        <v>639</v>
      </c>
      <c r="V47" t="s">
        <v>652</v>
      </c>
      <c r="W47" t="s">
        <v>645</v>
      </c>
      <c r="X47" t="s">
        <v>646</v>
      </c>
    </row>
    <row r="48" spans="1:24" ht="15.75" hidden="1" customHeight="1" x14ac:dyDescent="0.25">
      <c r="A48" t="s">
        <v>605</v>
      </c>
      <c r="B48">
        <v>29253319</v>
      </c>
      <c r="C48" s="68">
        <v>10000000</v>
      </c>
      <c r="D48" s="13">
        <v>46212</v>
      </c>
      <c r="E48" s="67">
        <f t="shared" si="0"/>
        <v>46171</v>
      </c>
      <c r="F48" s="40">
        <f t="shared" si="1"/>
        <v>46173</v>
      </c>
      <c r="G48" s="27"/>
      <c r="J48" t="s">
        <v>635</v>
      </c>
      <c r="K48" t="s">
        <v>636</v>
      </c>
      <c r="L48" s="67">
        <v>46167</v>
      </c>
      <c r="M48">
        <v>23585</v>
      </c>
      <c r="N48">
        <v>66612110</v>
      </c>
      <c r="O48" t="s">
        <v>649</v>
      </c>
      <c r="P48" t="s">
        <v>666</v>
      </c>
      <c r="Q48">
        <v>14000000</v>
      </c>
      <c r="R48" t="s">
        <v>612</v>
      </c>
      <c r="S48" t="s">
        <v>639</v>
      </c>
      <c r="T48" t="s">
        <v>667</v>
      </c>
      <c r="U48" t="s">
        <v>639</v>
      </c>
      <c r="V48" t="s">
        <v>668</v>
      </c>
      <c r="W48" t="s">
        <v>645</v>
      </c>
      <c r="X48" t="s">
        <v>646</v>
      </c>
    </row>
    <row r="49" spans="1:24" ht="15.75" hidden="1" customHeight="1" x14ac:dyDescent="0.25">
      <c r="A49" t="s">
        <v>613</v>
      </c>
      <c r="B49">
        <v>29265630</v>
      </c>
      <c r="C49" s="68">
        <v>9197760</v>
      </c>
      <c r="D49" s="13">
        <v>46213</v>
      </c>
      <c r="E49" s="67">
        <f t="shared" si="0"/>
        <v>46171</v>
      </c>
      <c r="F49" s="40">
        <f t="shared" si="1"/>
        <v>46173</v>
      </c>
      <c r="G49" s="27"/>
      <c r="J49" t="s">
        <v>635</v>
      </c>
      <c r="K49" t="s">
        <v>636</v>
      </c>
      <c r="L49" s="67">
        <v>46167</v>
      </c>
      <c r="M49">
        <v>23589</v>
      </c>
      <c r="N49">
        <v>66487132</v>
      </c>
      <c r="O49" t="s">
        <v>649</v>
      </c>
      <c r="P49" t="s">
        <v>666</v>
      </c>
      <c r="Q49">
        <v>4796000</v>
      </c>
      <c r="R49" t="s">
        <v>608</v>
      </c>
      <c r="S49" t="s">
        <v>639</v>
      </c>
      <c r="T49" t="s">
        <v>669</v>
      </c>
      <c r="U49" t="s">
        <v>639</v>
      </c>
      <c r="V49" t="s">
        <v>668</v>
      </c>
      <c r="W49" t="s">
        <v>645</v>
      </c>
      <c r="X49" t="s">
        <v>646</v>
      </c>
    </row>
    <row r="50" spans="1:24" ht="15.75" hidden="1" customHeight="1" x14ac:dyDescent="0.25">
      <c r="A50" t="s">
        <v>600</v>
      </c>
      <c r="B50">
        <v>78055911</v>
      </c>
      <c r="C50" s="68">
        <v>1130000</v>
      </c>
      <c r="D50" s="13">
        <v>46214</v>
      </c>
      <c r="E50" s="67">
        <f t="shared" si="0"/>
        <v>46171</v>
      </c>
      <c r="F50" s="40">
        <f t="shared" si="1"/>
        <v>46173</v>
      </c>
      <c r="G50" s="27"/>
      <c r="J50" t="s">
        <v>635</v>
      </c>
      <c r="K50" t="s">
        <v>636</v>
      </c>
      <c r="L50" s="67">
        <v>46167</v>
      </c>
      <c r="M50">
        <v>23708</v>
      </c>
      <c r="N50">
        <v>40631416</v>
      </c>
      <c r="O50" t="s">
        <v>637</v>
      </c>
      <c r="P50" t="s">
        <v>670</v>
      </c>
      <c r="Q50">
        <v>422645</v>
      </c>
      <c r="R50" t="s">
        <v>605</v>
      </c>
      <c r="S50" t="s">
        <v>639</v>
      </c>
      <c r="T50" t="s">
        <v>671</v>
      </c>
      <c r="U50" t="s">
        <v>639</v>
      </c>
      <c r="V50" t="s">
        <v>672</v>
      </c>
      <c r="W50" t="s">
        <v>645</v>
      </c>
      <c r="X50" t="s">
        <v>646</v>
      </c>
    </row>
    <row r="51" spans="1:24" ht="15.75" hidden="1" customHeight="1" x14ac:dyDescent="0.25">
      <c r="A51" t="s">
        <v>600</v>
      </c>
      <c r="B51">
        <v>78055921</v>
      </c>
      <c r="C51" s="68">
        <v>1130000</v>
      </c>
      <c r="D51" s="13">
        <v>46215</v>
      </c>
      <c r="E51" s="67">
        <f t="shared" si="0"/>
        <v>46171</v>
      </c>
      <c r="F51" s="40">
        <f t="shared" si="1"/>
        <v>46173</v>
      </c>
      <c r="G51" s="27"/>
      <c r="J51" t="s">
        <v>635</v>
      </c>
      <c r="K51" t="s">
        <v>636</v>
      </c>
      <c r="L51" s="67">
        <v>46167</v>
      </c>
      <c r="M51">
        <v>23709</v>
      </c>
      <c r="N51">
        <v>66823490</v>
      </c>
      <c r="O51" t="s">
        <v>637</v>
      </c>
      <c r="P51" t="s">
        <v>666</v>
      </c>
      <c r="Q51">
        <v>1490156.91</v>
      </c>
      <c r="R51" t="s">
        <v>605</v>
      </c>
      <c r="S51" t="s">
        <v>639</v>
      </c>
      <c r="T51" t="s">
        <v>671</v>
      </c>
      <c r="U51" t="s">
        <v>639</v>
      </c>
      <c r="V51" t="s">
        <v>668</v>
      </c>
      <c r="W51" t="s">
        <v>645</v>
      </c>
      <c r="X51" t="s">
        <v>646</v>
      </c>
    </row>
    <row r="52" spans="1:24" ht="15.75" customHeight="1" x14ac:dyDescent="0.25">
      <c r="A52" t="s">
        <v>615</v>
      </c>
      <c r="B52">
        <v>1579</v>
      </c>
      <c r="C52" s="68">
        <v>22000000</v>
      </c>
      <c r="D52" s="13">
        <v>46216</v>
      </c>
      <c r="E52" s="67">
        <f t="shared" si="0"/>
        <v>46171</v>
      </c>
      <c r="F52" s="40">
        <f t="shared" si="1"/>
        <v>46173</v>
      </c>
      <c r="G52" s="27"/>
      <c r="J52" t="s">
        <v>635</v>
      </c>
      <c r="K52" t="s">
        <v>636</v>
      </c>
      <c r="L52" s="67">
        <v>46167</v>
      </c>
      <c r="M52">
        <v>23710</v>
      </c>
      <c r="N52">
        <v>90003063</v>
      </c>
      <c r="O52" t="s">
        <v>637</v>
      </c>
      <c r="P52" t="s">
        <v>656</v>
      </c>
      <c r="Q52">
        <v>330756</v>
      </c>
      <c r="R52" t="s">
        <v>605</v>
      </c>
      <c r="S52" t="s">
        <v>639</v>
      </c>
      <c r="T52" t="s">
        <v>671</v>
      </c>
      <c r="U52" t="s">
        <v>639</v>
      </c>
      <c r="V52" t="s">
        <v>657</v>
      </c>
      <c r="W52" t="s">
        <v>645</v>
      </c>
      <c r="X52" t="s">
        <v>646</v>
      </c>
    </row>
    <row r="53" spans="1:24" ht="15.75" hidden="1" customHeight="1" x14ac:dyDescent="0.25">
      <c r="A53" t="s">
        <v>601</v>
      </c>
      <c r="B53">
        <v>67175417</v>
      </c>
      <c r="C53" s="68">
        <v>7200000</v>
      </c>
      <c r="D53" s="13">
        <v>46217</v>
      </c>
      <c r="E53" s="67">
        <f t="shared" si="0"/>
        <v>46171</v>
      </c>
      <c r="F53" s="40">
        <f t="shared" si="1"/>
        <v>46173</v>
      </c>
      <c r="G53" s="27"/>
      <c r="J53" t="s">
        <v>635</v>
      </c>
      <c r="K53" t="s">
        <v>636</v>
      </c>
      <c r="L53" s="67">
        <v>46167</v>
      </c>
      <c r="M53">
        <v>23811</v>
      </c>
      <c r="N53">
        <v>29305989</v>
      </c>
      <c r="O53" t="s">
        <v>637</v>
      </c>
      <c r="P53" t="s">
        <v>670</v>
      </c>
      <c r="Q53">
        <v>15000000</v>
      </c>
      <c r="R53" t="s">
        <v>659</v>
      </c>
      <c r="S53" t="s">
        <v>639</v>
      </c>
      <c r="T53" t="s">
        <v>660</v>
      </c>
      <c r="U53" t="s">
        <v>639</v>
      </c>
      <c r="V53" t="s">
        <v>672</v>
      </c>
      <c r="W53" t="s">
        <v>645</v>
      </c>
      <c r="X53" t="s">
        <v>646</v>
      </c>
    </row>
    <row r="54" spans="1:24" ht="15.75" hidden="1" customHeight="1" x14ac:dyDescent="0.25">
      <c r="A54" t="s">
        <v>659</v>
      </c>
      <c r="B54">
        <v>1544</v>
      </c>
      <c r="C54" s="68">
        <v>13248793.5</v>
      </c>
      <c r="D54" s="13">
        <v>46218</v>
      </c>
      <c r="E54" s="67">
        <f t="shared" si="0"/>
        <v>46171</v>
      </c>
      <c r="F54" s="40">
        <f t="shared" si="1"/>
        <v>46173</v>
      </c>
      <c r="G54" s="27"/>
      <c r="J54" t="s">
        <v>635</v>
      </c>
      <c r="K54" t="s">
        <v>636</v>
      </c>
      <c r="L54" s="67">
        <v>46167</v>
      </c>
      <c r="M54">
        <v>23814</v>
      </c>
      <c r="N54">
        <v>29305988</v>
      </c>
      <c r="O54" t="s">
        <v>637</v>
      </c>
      <c r="P54" t="s">
        <v>670</v>
      </c>
      <c r="Q54">
        <v>8573913.8200000003</v>
      </c>
      <c r="R54" t="s">
        <v>659</v>
      </c>
      <c r="S54" t="s">
        <v>639</v>
      </c>
      <c r="T54" t="s">
        <v>660</v>
      </c>
      <c r="U54" t="s">
        <v>639</v>
      </c>
      <c r="V54" t="s">
        <v>672</v>
      </c>
      <c r="W54" t="s">
        <v>645</v>
      </c>
      <c r="X54" t="s">
        <v>646</v>
      </c>
    </row>
    <row r="55" spans="1:24" ht="15.75" hidden="1" customHeight="1" x14ac:dyDescent="0.25">
      <c r="A55" t="s">
        <v>659</v>
      </c>
      <c r="B55">
        <v>18908</v>
      </c>
      <c r="C55" s="68">
        <v>3675116.4</v>
      </c>
      <c r="D55" s="13">
        <v>46219</v>
      </c>
      <c r="E55" s="67">
        <f t="shared" si="0"/>
        <v>46171</v>
      </c>
      <c r="F55" s="40">
        <f t="shared" si="1"/>
        <v>46173</v>
      </c>
      <c r="G55" s="27"/>
      <c r="J55" t="s">
        <v>635</v>
      </c>
      <c r="K55" t="s">
        <v>636</v>
      </c>
      <c r="L55" s="67">
        <v>46168</v>
      </c>
      <c r="M55">
        <v>23567</v>
      </c>
      <c r="N55">
        <v>78055897</v>
      </c>
      <c r="O55" t="s">
        <v>649</v>
      </c>
      <c r="P55" t="s">
        <v>653</v>
      </c>
      <c r="Q55">
        <v>907700</v>
      </c>
      <c r="R55" t="s">
        <v>600</v>
      </c>
      <c r="S55" t="s">
        <v>639</v>
      </c>
      <c r="T55" t="s">
        <v>654</v>
      </c>
      <c r="U55" t="s">
        <v>639</v>
      </c>
      <c r="V55" t="s">
        <v>655</v>
      </c>
      <c r="W55" t="s">
        <v>645</v>
      </c>
      <c r="X55" t="s">
        <v>646</v>
      </c>
    </row>
    <row r="56" spans="1:24" ht="15.75" hidden="1" customHeight="1" x14ac:dyDescent="0.25">
      <c r="A56" t="s">
        <v>603</v>
      </c>
      <c r="B56">
        <v>6894</v>
      </c>
      <c r="C56" s="68">
        <v>19015040</v>
      </c>
      <c r="D56" s="13">
        <v>46220</v>
      </c>
      <c r="E56" s="67">
        <f t="shared" si="0"/>
        <v>46174</v>
      </c>
      <c r="F56" s="40">
        <f t="shared" si="1"/>
        <v>46176</v>
      </c>
      <c r="G56" s="27"/>
      <c r="J56" t="s">
        <v>635</v>
      </c>
      <c r="K56" t="s">
        <v>636</v>
      </c>
      <c r="L56" s="67">
        <v>46168</v>
      </c>
      <c r="M56">
        <v>23601</v>
      </c>
      <c r="N56">
        <v>78055902</v>
      </c>
      <c r="O56" t="s">
        <v>649</v>
      </c>
      <c r="P56" t="s">
        <v>653</v>
      </c>
      <c r="Q56">
        <v>960000</v>
      </c>
      <c r="R56" t="s">
        <v>600</v>
      </c>
      <c r="S56" t="s">
        <v>639</v>
      </c>
      <c r="T56" t="s">
        <v>654</v>
      </c>
      <c r="U56" t="s">
        <v>639</v>
      </c>
      <c r="V56" t="s">
        <v>655</v>
      </c>
      <c r="W56" t="s">
        <v>645</v>
      </c>
      <c r="X56" t="s">
        <v>646</v>
      </c>
    </row>
    <row r="57" spans="1:24" ht="15.75" hidden="1" customHeight="1" x14ac:dyDescent="0.25">
      <c r="A57" t="s">
        <v>600</v>
      </c>
      <c r="B57">
        <v>78055906</v>
      </c>
      <c r="C57" s="68">
        <v>960000</v>
      </c>
      <c r="D57" s="13">
        <v>46221</v>
      </c>
      <c r="E57" s="67">
        <f t="shared" si="0"/>
        <v>46174</v>
      </c>
      <c r="F57" s="40">
        <f t="shared" si="1"/>
        <v>46176</v>
      </c>
      <c r="G57" s="27"/>
      <c r="J57" t="s">
        <v>635</v>
      </c>
      <c r="K57" t="s">
        <v>636</v>
      </c>
      <c r="L57" s="67">
        <v>46168</v>
      </c>
      <c r="M57">
        <v>23610</v>
      </c>
      <c r="N57">
        <v>4716</v>
      </c>
      <c r="O57" t="s">
        <v>649</v>
      </c>
      <c r="P57" t="s">
        <v>662</v>
      </c>
      <c r="Q57">
        <v>1300000</v>
      </c>
      <c r="R57" t="s">
        <v>606</v>
      </c>
      <c r="S57" t="s">
        <v>639</v>
      </c>
      <c r="T57" t="s">
        <v>673</v>
      </c>
      <c r="U57" t="s">
        <v>639</v>
      </c>
      <c r="V57" t="s">
        <v>664</v>
      </c>
      <c r="W57" t="s">
        <v>645</v>
      </c>
      <c r="X57" t="s">
        <v>646</v>
      </c>
    </row>
    <row r="58" spans="1:24" ht="15.75" hidden="1" customHeight="1" x14ac:dyDescent="0.25">
      <c r="A58" t="s">
        <v>614</v>
      </c>
      <c r="B58">
        <v>9845350</v>
      </c>
      <c r="C58" s="68">
        <v>10000000</v>
      </c>
      <c r="D58" s="13">
        <v>46222</v>
      </c>
      <c r="E58" s="67">
        <f t="shared" si="0"/>
        <v>46174</v>
      </c>
      <c r="F58" s="40">
        <f t="shared" si="1"/>
        <v>46176</v>
      </c>
      <c r="G58" s="27"/>
      <c r="J58" t="s">
        <v>635</v>
      </c>
      <c r="K58" t="s">
        <v>636</v>
      </c>
      <c r="L58" s="67">
        <v>46168</v>
      </c>
      <c r="M58">
        <v>23620</v>
      </c>
      <c r="N58">
        <v>4633</v>
      </c>
      <c r="O58" t="s">
        <v>649</v>
      </c>
      <c r="P58" t="s">
        <v>662</v>
      </c>
      <c r="Q58">
        <v>1162600</v>
      </c>
      <c r="R58" t="s">
        <v>606</v>
      </c>
      <c r="S58" t="s">
        <v>639</v>
      </c>
      <c r="T58" t="s">
        <v>673</v>
      </c>
      <c r="U58" t="s">
        <v>639</v>
      </c>
      <c r="V58" t="s">
        <v>664</v>
      </c>
      <c r="W58" t="s">
        <v>645</v>
      </c>
      <c r="X58" t="s">
        <v>646</v>
      </c>
    </row>
    <row r="59" spans="1:24" ht="15.75" hidden="1" customHeight="1" x14ac:dyDescent="0.25">
      <c r="A59" t="s">
        <v>614</v>
      </c>
      <c r="B59">
        <v>9845351</v>
      </c>
      <c r="C59" s="68">
        <v>12575630</v>
      </c>
      <c r="D59" s="13">
        <v>46223</v>
      </c>
      <c r="E59" s="67">
        <f t="shared" si="0"/>
        <v>46174</v>
      </c>
      <c r="F59" s="40">
        <f t="shared" si="1"/>
        <v>46176</v>
      </c>
      <c r="G59" s="27"/>
      <c r="J59" t="s">
        <v>635</v>
      </c>
      <c r="K59" t="s">
        <v>636</v>
      </c>
      <c r="L59" s="67">
        <v>46168</v>
      </c>
      <c r="M59">
        <v>23624</v>
      </c>
      <c r="N59">
        <v>4742</v>
      </c>
      <c r="O59" t="s">
        <v>649</v>
      </c>
      <c r="P59" t="s">
        <v>662</v>
      </c>
      <c r="Q59">
        <v>1200000</v>
      </c>
      <c r="R59" t="s">
        <v>606</v>
      </c>
      <c r="S59" t="s">
        <v>639</v>
      </c>
      <c r="T59" t="s">
        <v>673</v>
      </c>
      <c r="U59" t="s">
        <v>639</v>
      </c>
      <c r="V59" t="s">
        <v>664</v>
      </c>
      <c r="W59" t="s">
        <v>645</v>
      </c>
      <c r="X59" t="s">
        <v>646</v>
      </c>
    </row>
    <row r="60" spans="1:24" ht="15.75" hidden="1" customHeight="1" x14ac:dyDescent="0.25">
      <c r="A60" t="s">
        <v>606</v>
      </c>
      <c r="B60">
        <v>4782</v>
      </c>
      <c r="C60" s="68">
        <v>1300000</v>
      </c>
      <c r="D60" s="13">
        <v>46224</v>
      </c>
      <c r="E60" s="67">
        <f t="shared" si="0"/>
        <v>46174</v>
      </c>
      <c r="F60" s="40">
        <f t="shared" si="1"/>
        <v>46176</v>
      </c>
      <c r="G60" s="27"/>
      <c r="J60" t="s">
        <v>635</v>
      </c>
      <c r="K60" t="s">
        <v>636</v>
      </c>
      <c r="L60" s="67">
        <v>46168</v>
      </c>
      <c r="M60">
        <v>23661</v>
      </c>
      <c r="N60">
        <v>78055908</v>
      </c>
      <c r="O60" t="s">
        <v>649</v>
      </c>
      <c r="P60" t="s">
        <v>653</v>
      </c>
      <c r="Q60">
        <v>1130000</v>
      </c>
      <c r="R60" t="s">
        <v>600</v>
      </c>
      <c r="S60" t="s">
        <v>639</v>
      </c>
      <c r="T60" t="s">
        <v>654</v>
      </c>
      <c r="U60" t="s">
        <v>639</v>
      </c>
      <c r="V60" t="s">
        <v>655</v>
      </c>
      <c r="W60" t="s">
        <v>645</v>
      </c>
      <c r="X60" t="s">
        <v>646</v>
      </c>
    </row>
    <row r="61" spans="1:24" ht="15.75" hidden="1" customHeight="1" x14ac:dyDescent="0.25">
      <c r="A61" t="s">
        <v>605</v>
      </c>
      <c r="B61">
        <v>29253321</v>
      </c>
      <c r="C61" s="68">
        <v>10000000</v>
      </c>
      <c r="D61" s="13">
        <v>46225</v>
      </c>
      <c r="E61" s="67">
        <f t="shared" si="0"/>
        <v>46174</v>
      </c>
      <c r="F61" s="40">
        <f t="shared" si="1"/>
        <v>46176</v>
      </c>
      <c r="G61" s="27"/>
      <c r="J61" t="s">
        <v>635</v>
      </c>
      <c r="K61" t="s">
        <v>636</v>
      </c>
      <c r="L61" s="67">
        <v>46169</v>
      </c>
      <c r="M61">
        <v>23539</v>
      </c>
      <c r="N61">
        <v>16</v>
      </c>
      <c r="O61" t="s">
        <v>649</v>
      </c>
      <c r="P61" t="s">
        <v>638</v>
      </c>
      <c r="Q61">
        <v>19042210</v>
      </c>
      <c r="R61" t="s">
        <v>614</v>
      </c>
      <c r="S61" t="s">
        <v>639</v>
      </c>
      <c r="T61" t="s">
        <v>674</v>
      </c>
      <c r="U61" t="s">
        <v>639</v>
      </c>
      <c r="V61" t="s">
        <v>641</v>
      </c>
      <c r="W61" t="s">
        <v>645</v>
      </c>
      <c r="X61" t="s">
        <v>646</v>
      </c>
    </row>
    <row r="62" spans="1:24" ht="15.75" hidden="1" customHeight="1" x14ac:dyDescent="0.25">
      <c r="A62" t="s">
        <v>600</v>
      </c>
      <c r="B62">
        <v>78055912</v>
      </c>
      <c r="C62" s="68">
        <v>1130000</v>
      </c>
      <c r="D62" s="13">
        <v>46226</v>
      </c>
      <c r="E62" s="67">
        <f t="shared" si="0"/>
        <v>46174</v>
      </c>
      <c r="F62" s="40">
        <f t="shared" si="1"/>
        <v>46176</v>
      </c>
      <c r="G62" s="27"/>
      <c r="J62" t="s">
        <v>635</v>
      </c>
      <c r="K62" t="s">
        <v>636</v>
      </c>
      <c r="L62" s="67">
        <v>46169</v>
      </c>
      <c r="M62">
        <v>23588</v>
      </c>
      <c r="N62">
        <v>66486893</v>
      </c>
      <c r="O62" t="s">
        <v>649</v>
      </c>
      <c r="P62" t="s">
        <v>666</v>
      </c>
      <c r="Q62">
        <v>5000000</v>
      </c>
      <c r="R62" t="s">
        <v>608</v>
      </c>
      <c r="S62" t="s">
        <v>639</v>
      </c>
      <c r="T62" t="s">
        <v>669</v>
      </c>
      <c r="U62" t="s">
        <v>639</v>
      </c>
      <c r="V62" t="s">
        <v>668</v>
      </c>
      <c r="W62" t="s">
        <v>645</v>
      </c>
      <c r="X62" t="s">
        <v>646</v>
      </c>
    </row>
    <row r="63" spans="1:24" ht="15.75" hidden="1" customHeight="1" x14ac:dyDescent="0.25">
      <c r="A63" t="s">
        <v>600</v>
      </c>
      <c r="B63">
        <v>78055922</v>
      </c>
      <c r="C63" s="68">
        <v>1130000</v>
      </c>
      <c r="D63" s="13">
        <v>46227</v>
      </c>
      <c r="E63" s="67">
        <f t="shared" si="0"/>
        <v>46174</v>
      </c>
      <c r="F63" s="40">
        <f t="shared" si="1"/>
        <v>46176</v>
      </c>
      <c r="G63" s="27"/>
      <c r="J63" t="s">
        <v>635</v>
      </c>
      <c r="K63" t="s">
        <v>636</v>
      </c>
      <c r="L63" s="67">
        <v>46169</v>
      </c>
      <c r="M63">
        <v>23602</v>
      </c>
      <c r="N63">
        <v>78055903</v>
      </c>
      <c r="O63" t="s">
        <v>649</v>
      </c>
      <c r="P63" t="s">
        <v>653</v>
      </c>
      <c r="Q63">
        <v>960000</v>
      </c>
      <c r="R63" t="s">
        <v>600</v>
      </c>
      <c r="S63" t="s">
        <v>639</v>
      </c>
      <c r="T63" t="s">
        <v>654</v>
      </c>
      <c r="U63" t="s">
        <v>639</v>
      </c>
      <c r="V63" t="s">
        <v>655</v>
      </c>
      <c r="W63" t="s">
        <v>645</v>
      </c>
      <c r="X63" t="s">
        <v>646</v>
      </c>
    </row>
    <row r="64" spans="1:24" ht="15.75" hidden="1" customHeight="1" x14ac:dyDescent="0.25">
      <c r="A64" t="s">
        <v>612</v>
      </c>
      <c r="B64">
        <v>66789087</v>
      </c>
      <c r="C64" s="68">
        <v>19500000</v>
      </c>
      <c r="D64" s="13">
        <v>46228</v>
      </c>
      <c r="E64" s="67">
        <f t="shared" si="0"/>
        <v>46174</v>
      </c>
      <c r="F64" s="40">
        <f t="shared" si="1"/>
        <v>46176</v>
      </c>
      <c r="G64" s="27"/>
      <c r="J64" t="s">
        <v>635</v>
      </c>
      <c r="K64" t="s">
        <v>636</v>
      </c>
      <c r="L64" s="67">
        <v>46169</v>
      </c>
      <c r="M64">
        <v>23611</v>
      </c>
      <c r="N64">
        <v>4717</v>
      </c>
      <c r="O64" t="s">
        <v>649</v>
      </c>
      <c r="P64" t="s">
        <v>662</v>
      </c>
      <c r="Q64">
        <v>1300000</v>
      </c>
      <c r="R64" t="s">
        <v>606</v>
      </c>
      <c r="S64" t="s">
        <v>639</v>
      </c>
      <c r="T64" t="s">
        <v>673</v>
      </c>
      <c r="U64" t="s">
        <v>639</v>
      </c>
      <c r="V64" t="s">
        <v>664</v>
      </c>
      <c r="W64" t="s">
        <v>645</v>
      </c>
      <c r="X64" t="s">
        <v>646</v>
      </c>
    </row>
    <row r="65" spans="1:24" ht="15.75" hidden="1" customHeight="1" x14ac:dyDescent="0.25">
      <c r="A65" t="s">
        <v>605</v>
      </c>
      <c r="B65">
        <v>9917592</v>
      </c>
      <c r="C65" s="68">
        <v>715865.58</v>
      </c>
      <c r="D65" s="13">
        <v>46229</v>
      </c>
      <c r="E65" s="67">
        <f t="shared" si="0"/>
        <v>46174</v>
      </c>
      <c r="F65" s="40">
        <f t="shared" si="1"/>
        <v>46176</v>
      </c>
      <c r="G65" s="27"/>
      <c r="J65" t="s">
        <v>635</v>
      </c>
      <c r="K65" t="s">
        <v>636</v>
      </c>
      <c r="L65" s="67">
        <v>46169</v>
      </c>
      <c r="M65">
        <v>23625</v>
      </c>
      <c r="N65">
        <v>4743</v>
      </c>
      <c r="O65" t="s">
        <v>649</v>
      </c>
      <c r="P65" t="s">
        <v>662</v>
      </c>
      <c r="Q65">
        <v>1200000</v>
      </c>
      <c r="R65" t="s">
        <v>606</v>
      </c>
      <c r="S65" t="s">
        <v>639</v>
      </c>
      <c r="T65" t="s">
        <v>673</v>
      </c>
      <c r="U65" t="s">
        <v>639</v>
      </c>
      <c r="V65" t="s">
        <v>664</v>
      </c>
      <c r="W65" t="s">
        <v>645</v>
      </c>
      <c r="X65" t="s">
        <v>646</v>
      </c>
    </row>
    <row r="66" spans="1:24" ht="15.75" hidden="1" customHeight="1" x14ac:dyDescent="0.25">
      <c r="A66" t="s">
        <v>659</v>
      </c>
      <c r="B66">
        <v>30069125</v>
      </c>
      <c r="C66" s="68">
        <v>13297142.220000001</v>
      </c>
      <c r="D66" s="13">
        <v>46230</v>
      </c>
      <c r="E66" s="67">
        <f t="shared" si="0"/>
        <v>46174</v>
      </c>
      <c r="F66" s="40">
        <f t="shared" si="1"/>
        <v>46176</v>
      </c>
      <c r="G66" s="27"/>
      <c r="J66" t="s">
        <v>635</v>
      </c>
      <c r="K66" t="s">
        <v>636</v>
      </c>
      <c r="L66" s="67">
        <v>46169</v>
      </c>
      <c r="M66">
        <v>23630</v>
      </c>
      <c r="N66">
        <v>4772</v>
      </c>
      <c r="O66" t="s">
        <v>649</v>
      </c>
      <c r="P66" t="s">
        <v>662</v>
      </c>
      <c r="Q66">
        <v>1300000</v>
      </c>
      <c r="R66" t="s">
        <v>606</v>
      </c>
      <c r="S66" t="s">
        <v>639</v>
      </c>
      <c r="T66" t="s">
        <v>673</v>
      </c>
      <c r="U66" t="s">
        <v>639</v>
      </c>
      <c r="V66" t="s">
        <v>664</v>
      </c>
      <c r="W66" t="s">
        <v>645</v>
      </c>
      <c r="X66" t="s">
        <v>646</v>
      </c>
    </row>
    <row r="67" spans="1:24" ht="15.75" hidden="1" customHeight="1" x14ac:dyDescent="0.25">
      <c r="A67" t="s">
        <v>608</v>
      </c>
      <c r="B67">
        <v>66643962</v>
      </c>
      <c r="C67" s="68">
        <v>4457800</v>
      </c>
      <c r="D67" s="13">
        <v>46231</v>
      </c>
      <c r="E67" s="67">
        <f t="shared" si="0"/>
        <v>46175</v>
      </c>
      <c r="F67" s="40">
        <f t="shared" si="1"/>
        <v>46177</v>
      </c>
      <c r="G67" s="27"/>
      <c r="J67" t="s">
        <v>635</v>
      </c>
      <c r="K67" t="s">
        <v>636</v>
      </c>
      <c r="L67" s="67">
        <v>46169</v>
      </c>
      <c r="M67">
        <v>23662</v>
      </c>
      <c r="N67">
        <v>78055909</v>
      </c>
      <c r="O67" t="s">
        <v>649</v>
      </c>
      <c r="P67" t="s">
        <v>653</v>
      </c>
      <c r="Q67">
        <v>1130000</v>
      </c>
      <c r="R67" t="s">
        <v>600</v>
      </c>
      <c r="S67" t="s">
        <v>639</v>
      </c>
      <c r="T67" t="s">
        <v>654</v>
      </c>
      <c r="U67" t="s">
        <v>639</v>
      </c>
      <c r="V67" t="s">
        <v>655</v>
      </c>
      <c r="W67" t="s">
        <v>645</v>
      </c>
      <c r="X67" t="s">
        <v>646</v>
      </c>
    </row>
    <row r="68" spans="1:24" ht="15.75" hidden="1" customHeight="1" x14ac:dyDescent="0.25">
      <c r="A68" t="s">
        <v>600</v>
      </c>
      <c r="B68">
        <v>78055907</v>
      </c>
      <c r="C68" s="68">
        <v>943200</v>
      </c>
      <c r="D68" s="13">
        <v>46232</v>
      </c>
      <c r="E68" s="67">
        <f t="shared" si="0"/>
        <v>46175</v>
      </c>
      <c r="F68" s="40">
        <f t="shared" si="1"/>
        <v>46177</v>
      </c>
      <c r="G68" s="27"/>
      <c r="J68" t="s">
        <v>635</v>
      </c>
      <c r="K68" t="s">
        <v>636</v>
      </c>
      <c r="L68" s="67">
        <v>46170</v>
      </c>
      <c r="M68">
        <v>23550</v>
      </c>
      <c r="N68">
        <v>29153824</v>
      </c>
      <c r="O68" t="s">
        <v>649</v>
      </c>
      <c r="P68" t="s">
        <v>670</v>
      </c>
      <c r="Q68">
        <v>8049582.4500000002</v>
      </c>
      <c r="R68" t="s">
        <v>605</v>
      </c>
      <c r="S68" t="s">
        <v>639</v>
      </c>
      <c r="T68" t="s">
        <v>671</v>
      </c>
      <c r="U68" t="s">
        <v>639</v>
      </c>
      <c r="V68" t="s">
        <v>672</v>
      </c>
      <c r="W68" t="s">
        <v>645</v>
      </c>
      <c r="X68" t="s">
        <v>646</v>
      </c>
    </row>
    <row r="69" spans="1:24" ht="15.75" hidden="1" customHeight="1" x14ac:dyDescent="0.25">
      <c r="A69" t="s">
        <v>606</v>
      </c>
      <c r="B69">
        <v>4783</v>
      </c>
      <c r="C69" s="68">
        <v>1300000</v>
      </c>
      <c r="D69" s="13">
        <v>46233</v>
      </c>
      <c r="E69" s="67">
        <f t="shared" ref="E69:E132" si="2">+L101</f>
        <v>46175</v>
      </c>
      <c r="F69" s="40">
        <f t="shared" ref="F69:F132" si="3">+E69+2</f>
        <v>46177</v>
      </c>
      <c r="G69" s="27"/>
      <c r="J69" t="s">
        <v>635</v>
      </c>
      <c r="K69" t="s">
        <v>636</v>
      </c>
      <c r="L69" s="67">
        <v>46170</v>
      </c>
      <c r="M69">
        <v>23603</v>
      </c>
      <c r="N69">
        <v>78055904</v>
      </c>
      <c r="O69" t="s">
        <v>649</v>
      </c>
      <c r="P69" t="s">
        <v>653</v>
      </c>
      <c r="Q69">
        <v>960000</v>
      </c>
      <c r="R69" t="s">
        <v>600</v>
      </c>
      <c r="S69" t="s">
        <v>639</v>
      </c>
      <c r="T69" t="s">
        <v>654</v>
      </c>
      <c r="U69" t="s">
        <v>639</v>
      </c>
      <c r="V69" t="s">
        <v>655</v>
      </c>
      <c r="W69" t="s">
        <v>645</v>
      </c>
      <c r="X69" t="s">
        <v>646</v>
      </c>
    </row>
    <row r="70" spans="1:24" ht="15.75" hidden="1" customHeight="1" x14ac:dyDescent="0.25">
      <c r="A70" t="s">
        <v>600</v>
      </c>
      <c r="B70">
        <v>78055913</v>
      </c>
      <c r="C70" s="68">
        <v>1130000</v>
      </c>
      <c r="D70" s="13">
        <v>46234</v>
      </c>
      <c r="E70" s="67">
        <f t="shared" si="2"/>
        <v>46175</v>
      </c>
      <c r="F70" s="40">
        <f t="shared" si="3"/>
        <v>46177</v>
      </c>
      <c r="G70" s="27"/>
      <c r="J70" t="s">
        <v>635</v>
      </c>
      <c r="K70" t="s">
        <v>636</v>
      </c>
      <c r="L70" s="67">
        <v>46170</v>
      </c>
      <c r="M70">
        <v>23663</v>
      </c>
      <c r="N70">
        <v>78055910</v>
      </c>
      <c r="O70" t="s">
        <v>649</v>
      </c>
      <c r="P70" t="s">
        <v>653</v>
      </c>
      <c r="Q70">
        <v>1130000</v>
      </c>
      <c r="R70" t="s">
        <v>600</v>
      </c>
      <c r="S70" t="s">
        <v>639</v>
      </c>
      <c r="T70" t="s">
        <v>654</v>
      </c>
      <c r="U70" t="s">
        <v>639</v>
      </c>
      <c r="V70" t="s">
        <v>655</v>
      </c>
      <c r="W70" t="s">
        <v>645</v>
      </c>
      <c r="X70" t="s">
        <v>646</v>
      </c>
    </row>
    <row r="71" spans="1:24" ht="15.75" hidden="1" customHeight="1" x14ac:dyDescent="0.25">
      <c r="A71" t="s">
        <v>600</v>
      </c>
      <c r="B71">
        <v>78055923</v>
      </c>
      <c r="C71" s="68">
        <v>1130000</v>
      </c>
      <c r="D71" s="13">
        <v>46235</v>
      </c>
      <c r="E71" s="67">
        <f t="shared" si="2"/>
        <v>46175</v>
      </c>
      <c r="F71" s="40">
        <f t="shared" si="3"/>
        <v>46177</v>
      </c>
      <c r="G71" s="27"/>
      <c r="J71" t="s">
        <v>635</v>
      </c>
      <c r="K71" t="s">
        <v>636</v>
      </c>
      <c r="L71" s="67">
        <v>46170</v>
      </c>
      <c r="M71">
        <v>23674</v>
      </c>
      <c r="N71">
        <v>78055920</v>
      </c>
      <c r="O71" t="s">
        <v>649</v>
      </c>
      <c r="P71" t="s">
        <v>653</v>
      </c>
      <c r="Q71">
        <v>1130000</v>
      </c>
      <c r="R71" t="s">
        <v>600</v>
      </c>
      <c r="S71" t="s">
        <v>639</v>
      </c>
      <c r="T71" t="s">
        <v>654</v>
      </c>
      <c r="U71" t="s">
        <v>639</v>
      </c>
      <c r="V71" t="s">
        <v>655</v>
      </c>
      <c r="W71" t="s">
        <v>645</v>
      </c>
      <c r="X71" t="s">
        <v>646</v>
      </c>
    </row>
    <row r="72" spans="1:24" ht="15.75" hidden="1" customHeight="1" x14ac:dyDescent="0.25">
      <c r="A72" t="s">
        <v>600</v>
      </c>
      <c r="B72">
        <v>78055930</v>
      </c>
      <c r="C72" s="68">
        <v>1480000</v>
      </c>
      <c r="D72" s="13">
        <v>46236</v>
      </c>
      <c r="E72" s="67">
        <f t="shared" si="2"/>
        <v>46175</v>
      </c>
      <c r="F72" s="40">
        <f t="shared" si="3"/>
        <v>46177</v>
      </c>
      <c r="G72" s="27"/>
      <c r="J72" t="s">
        <v>635</v>
      </c>
      <c r="K72" t="s">
        <v>636</v>
      </c>
      <c r="L72" s="67">
        <v>46170</v>
      </c>
      <c r="M72">
        <v>23758</v>
      </c>
      <c r="N72">
        <v>136</v>
      </c>
      <c r="O72" t="s">
        <v>649</v>
      </c>
      <c r="P72" t="s">
        <v>662</v>
      </c>
      <c r="Q72">
        <v>3000206.61</v>
      </c>
      <c r="R72" t="s">
        <v>607</v>
      </c>
      <c r="S72" t="s">
        <v>639</v>
      </c>
      <c r="T72" t="s">
        <v>675</v>
      </c>
      <c r="U72" t="s">
        <v>639</v>
      </c>
      <c r="V72" t="s">
        <v>664</v>
      </c>
      <c r="W72" t="s">
        <v>645</v>
      </c>
      <c r="X72" t="s">
        <v>646</v>
      </c>
    </row>
    <row r="73" spans="1:24" ht="15.75" hidden="1" customHeight="1" x14ac:dyDescent="0.25">
      <c r="A73" t="s">
        <v>600</v>
      </c>
      <c r="B73">
        <v>78055940</v>
      </c>
      <c r="C73" s="68">
        <v>1440000</v>
      </c>
      <c r="D73" s="13">
        <v>46237</v>
      </c>
      <c r="E73" s="67">
        <f t="shared" si="2"/>
        <v>46175</v>
      </c>
      <c r="F73" s="40">
        <f t="shared" si="3"/>
        <v>46177</v>
      </c>
      <c r="G73" s="27"/>
      <c r="J73" t="s">
        <v>635</v>
      </c>
      <c r="K73" t="s">
        <v>636</v>
      </c>
      <c r="L73" s="67">
        <v>46170</v>
      </c>
      <c r="M73">
        <v>23759</v>
      </c>
      <c r="N73">
        <v>137</v>
      </c>
      <c r="O73" t="s">
        <v>649</v>
      </c>
      <c r="P73" t="s">
        <v>662</v>
      </c>
      <c r="Q73">
        <v>3300000</v>
      </c>
      <c r="R73" t="s">
        <v>607</v>
      </c>
      <c r="S73" t="s">
        <v>639</v>
      </c>
      <c r="T73" t="s">
        <v>675</v>
      </c>
      <c r="U73" t="s">
        <v>639</v>
      </c>
      <c r="V73" t="s">
        <v>664</v>
      </c>
      <c r="W73" t="s">
        <v>645</v>
      </c>
      <c r="X73" t="s">
        <v>646</v>
      </c>
    </row>
    <row r="74" spans="1:24" ht="15.75" hidden="1" customHeight="1" x14ac:dyDescent="0.25">
      <c r="A74" t="s">
        <v>608</v>
      </c>
      <c r="B74">
        <v>66643850</v>
      </c>
      <c r="C74" s="68">
        <v>4400000</v>
      </c>
      <c r="D74" s="13">
        <v>46238</v>
      </c>
      <c r="E74" s="67">
        <f t="shared" si="2"/>
        <v>46176</v>
      </c>
      <c r="F74" s="40">
        <f t="shared" si="3"/>
        <v>46178</v>
      </c>
      <c r="G74" s="27"/>
      <c r="J74" t="s">
        <v>635</v>
      </c>
      <c r="K74" t="s">
        <v>636</v>
      </c>
      <c r="L74" s="67">
        <v>46170</v>
      </c>
      <c r="M74">
        <v>23760</v>
      </c>
      <c r="N74">
        <v>139</v>
      </c>
      <c r="O74" t="s">
        <v>649</v>
      </c>
      <c r="P74" t="s">
        <v>662</v>
      </c>
      <c r="Q74">
        <v>3029000</v>
      </c>
      <c r="R74" t="s">
        <v>607</v>
      </c>
      <c r="S74" t="s">
        <v>639</v>
      </c>
      <c r="T74" t="s">
        <v>675</v>
      </c>
      <c r="U74" t="s">
        <v>639</v>
      </c>
      <c r="V74" t="s">
        <v>664</v>
      </c>
      <c r="W74" t="s">
        <v>645</v>
      </c>
      <c r="X74" t="s">
        <v>646</v>
      </c>
    </row>
    <row r="75" spans="1:24" ht="15.75" hidden="1" customHeight="1" x14ac:dyDescent="0.25">
      <c r="A75" t="s">
        <v>606</v>
      </c>
      <c r="B75">
        <v>4745</v>
      </c>
      <c r="C75" s="68">
        <v>1200000</v>
      </c>
      <c r="D75" s="13">
        <v>46239</v>
      </c>
      <c r="E75" s="67">
        <f t="shared" si="2"/>
        <v>46176</v>
      </c>
      <c r="F75" s="40">
        <f t="shared" si="3"/>
        <v>46178</v>
      </c>
      <c r="G75" s="27"/>
      <c r="J75" t="s">
        <v>635</v>
      </c>
      <c r="K75" t="s">
        <v>636</v>
      </c>
      <c r="L75" s="67">
        <v>46171</v>
      </c>
      <c r="M75">
        <v>23596</v>
      </c>
      <c r="N75">
        <v>5221</v>
      </c>
      <c r="O75" t="s">
        <v>649</v>
      </c>
      <c r="P75" t="s">
        <v>653</v>
      </c>
      <c r="Q75">
        <v>1626750</v>
      </c>
      <c r="R75" t="s">
        <v>602</v>
      </c>
      <c r="S75" t="s">
        <v>639</v>
      </c>
      <c r="T75" t="s">
        <v>676</v>
      </c>
      <c r="U75" t="s">
        <v>639</v>
      </c>
      <c r="V75" t="s">
        <v>655</v>
      </c>
      <c r="W75" t="s">
        <v>645</v>
      </c>
      <c r="X75" t="s">
        <v>646</v>
      </c>
    </row>
    <row r="76" spans="1:24" ht="15.75" hidden="1" customHeight="1" x14ac:dyDescent="0.25">
      <c r="A76" t="s">
        <v>606</v>
      </c>
      <c r="B76">
        <v>4784</v>
      </c>
      <c r="C76" s="68">
        <v>1300000</v>
      </c>
      <c r="D76" s="13">
        <v>46240</v>
      </c>
      <c r="E76" s="67">
        <f t="shared" si="2"/>
        <v>46176</v>
      </c>
      <c r="F76" s="40">
        <f t="shared" si="3"/>
        <v>46178</v>
      </c>
      <c r="G76" s="27"/>
      <c r="J76" t="s">
        <v>635</v>
      </c>
      <c r="K76" t="s">
        <v>636</v>
      </c>
      <c r="L76" s="67">
        <v>46171</v>
      </c>
      <c r="M76">
        <v>23604</v>
      </c>
      <c r="N76">
        <v>78055905</v>
      </c>
      <c r="O76" t="s">
        <v>649</v>
      </c>
      <c r="P76" t="s">
        <v>653</v>
      </c>
      <c r="Q76">
        <v>960000</v>
      </c>
      <c r="R76" t="s">
        <v>600</v>
      </c>
      <c r="S76" t="s">
        <v>639</v>
      </c>
      <c r="T76" t="s">
        <v>654</v>
      </c>
      <c r="U76" t="s">
        <v>639</v>
      </c>
      <c r="V76" t="s">
        <v>655</v>
      </c>
      <c r="W76" t="s">
        <v>645</v>
      </c>
      <c r="X76" t="s">
        <v>646</v>
      </c>
    </row>
    <row r="77" spans="1:24" ht="15.75" hidden="1" customHeight="1" x14ac:dyDescent="0.25">
      <c r="A77" t="s">
        <v>613</v>
      </c>
      <c r="B77">
        <v>29265625</v>
      </c>
      <c r="C77" s="68">
        <v>11202048</v>
      </c>
      <c r="D77" s="13">
        <v>46241</v>
      </c>
      <c r="E77" s="67">
        <f t="shared" si="2"/>
        <v>46176</v>
      </c>
      <c r="F77" s="40">
        <f t="shared" si="3"/>
        <v>46178</v>
      </c>
      <c r="G77" s="27"/>
      <c r="J77" t="s">
        <v>635</v>
      </c>
      <c r="K77" t="s">
        <v>636</v>
      </c>
      <c r="L77" s="67">
        <v>46171</v>
      </c>
      <c r="M77">
        <v>23612</v>
      </c>
      <c r="N77">
        <v>4718</v>
      </c>
      <c r="O77" t="s">
        <v>649</v>
      </c>
      <c r="P77" t="s">
        <v>662</v>
      </c>
      <c r="Q77">
        <v>1300000</v>
      </c>
      <c r="R77" t="s">
        <v>606</v>
      </c>
      <c r="S77" t="s">
        <v>639</v>
      </c>
      <c r="T77" t="s">
        <v>673</v>
      </c>
      <c r="U77" t="s">
        <v>639</v>
      </c>
      <c r="V77" t="s">
        <v>664</v>
      </c>
      <c r="W77" t="s">
        <v>645</v>
      </c>
      <c r="X77" t="s">
        <v>646</v>
      </c>
    </row>
    <row r="78" spans="1:24" ht="15.75" hidden="1" customHeight="1" x14ac:dyDescent="0.25">
      <c r="A78" t="s">
        <v>606</v>
      </c>
      <c r="B78">
        <v>4746</v>
      </c>
      <c r="C78" s="68">
        <v>1200000</v>
      </c>
      <c r="D78" s="13">
        <v>46242</v>
      </c>
      <c r="E78" s="67">
        <f t="shared" si="2"/>
        <v>46177</v>
      </c>
      <c r="F78" s="40">
        <f t="shared" si="3"/>
        <v>46179</v>
      </c>
      <c r="G78" s="27"/>
      <c r="J78" t="s">
        <v>635</v>
      </c>
      <c r="K78" t="s">
        <v>636</v>
      </c>
      <c r="L78" s="67">
        <v>46171</v>
      </c>
      <c r="M78">
        <v>23626</v>
      </c>
      <c r="N78">
        <v>4744</v>
      </c>
      <c r="O78" t="s">
        <v>649</v>
      </c>
      <c r="P78" t="s">
        <v>662</v>
      </c>
      <c r="Q78">
        <v>1200000</v>
      </c>
      <c r="R78" t="s">
        <v>606</v>
      </c>
      <c r="S78" t="s">
        <v>639</v>
      </c>
      <c r="T78" t="s">
        <v>673</v>
      </c>
      <c r="U78" t="s">
        <v>639</v>
      </c>
      <c r="V78" t="s">
        <v>664</v>
      </c>
      <c r="W78" t="s">
        <v>645</v>
      </c>
      <c r="X78" t="s">
        <v>646</v>
      </c>
    </row>
    <row r="79" spans="1:24" ht="15.75" hidden="1" customHeight="1" x14ac:dyDescent="0.25">
      <c r="A79" t="s">
        <v>605</v>
      </c>
      <c r="B79">
        <v>29253322</v>
      </c>
      <c r="C79" s="68">
        <v>10000000</v>
      </c>
      <c r="D79" s="13">
        <v>46243</v>
      </c>
      <c r="E79" s="67">
        <f t="shared" si="2"/>
        <v>46177</v>
      </c>
      <c r="F79" s="40">
        <f t="shared" si="3"/>
        <v>46179</v>
      </c>
      <c r="G79" s="27"/>
      <c r="J79" t="s">
        <v>635</v>
      </c>
      <c r="K79" t="s">
        <v>636</v>
      </c>
      <c r="L79" s="67">
        <v>46171</v>
      </c>
      <c r="M79">
        <v>23631</v>
      </c>
      <c r="N79">
        <v>4773</v>
      </c>
      <c r="O79" t="s">
        <v>649</v>
      </c>
      <c r="P79" t="s">
        <v>662</v>
      </c>
      <c r="Q79">
        <v>1300000</v>
      </c>
      <c r="R79" t="s">
        <v>606</v>
      </c>
      <c r="S79" t="s">
        <v>639</v>
      </c>
      <c r="T79" t="s">
        <v>673</v>
      </c>
      <c r="U79" t="s">
        <v>639</v>
      </c>
      <c r="V79" t="s">
        <v>664</v>
      </c>
      <c r="W79" t="s">
        <v>645</v>
      </c>
      <c r="X79" t="s">
        <v>646</v>
      </c>
    </row>
    <row r="80" spans="1:24" ht="15.75" hidden="1" customHeight="1" x14ac:dyDescent="0.25">
      <c r="A80" t="s">
        <v>600</v>
      </c>
      <c r="B80">
        <v>78055924</v>
      </c>
      <c r="C80" s="68">
        <v>1130000</v>
      </c>
      <c r="D80" s="13">
        <v>46244</v>
      </c>
      <c r="E80" s="67">
        <f t="shared" si="2"/>
        <v>46177</v>
      </c>
      <c r="F80" s="40">
        <f t="shared" si="3"/>
        <v>46179</v>
      </c>
      <c r="G80" s="27"/>
      <c r="J80" t="s">
        <v>635</v>
      </c>
      <c r="K80" t="s">
        <v>636</v>
      </c>
      <c r="L80" s="67">
        <v>46171</v>
      </c>
      <c r="M80">
        <v>23645</v>
      </c>
      <c r="N80">
        <v>29253319</v>
      </c>
      <c r="O80" t="s">
        <v>649</v>
      </c>
      <c r="P80" t="s">
        <v>670</v>
      </c>
      <c r="Q80">
        <v>10000000</v>
      </c>
      <c r="R80" t="s">
        <v>605</v>
      </c>
      <c r="S80" t="s">
        <v>639</v>
      </c>
      <c r="T80" t="s">
        <v>671</v>
      </c>
      <c r="U80" t="s">
        <v>639</v>
      </c>
      <c r="V80" t="s">
        <v>672</v>
      </c>
      <c r="W80" t="s">
        <v>645</v>
      </c>
      <c r="X80" t="s">
        <v>646</v>
      </c>
    </row>
    <row r="81" spans="1:24" ht="15.75" hidden="1" customHeight="1" x14ac:dyDescent="0.25">
      <c r="A81" t="s">
        <v>600</v>
      </c>
      <c r="B81">
        <v>78055931</v>
      </c>
      <c r="C81" s="68">
        <v>1480000</v>
      </c>
      <c r="D81" s="13">
        <v>46245</v>
      </c>
      <c r="E81" s="67">
        <f t="shared" si="2"/>
        <v>46177</v>
      </c>
      <c r="F81" s="40">
        <f t="shared" si="3"/>
        <v>46179</v>
      </c>
      <c r="G81" s="27"/>
      <c r="J81" t="s">
        <v>635</v>
      </c>
      <c r="K81" t="s">
        <v>636</v>
      </c>
      <c r="L81" s="67">
        <v>46171</v>
      </c>
      <c r="M81">
        <v>23657</v>
      </c>
      <c r="N81">
        <v>29265630</v>
      </c>
      <c r="O81" t="s">
        <v>649</v>
      </c>
      <c r="P81" t="s">
        <v>670</v>
      </c>
      <c r="Q81">
        <v>9197760</v>
      </c>
      <c r="R81" t="s">
        <v>613</v>
      </c>
      <c r="S81" t="s">
        <v>639</v>
      </c>
      <c r="T81" t="s">
        <v>677</v>
      </c>
      <c r="U81" t="s">
        <v>639</v>
      </c>
      <c r="V81" t="s">
        <v>672</v>
      </c>
      <c r="W81" t="s">
        <v>645</v>
      </c>
      <c r="X81" t="s">
        <v>646</v>
      </c>
    </row>
    <row r="82" spans="1:24" ht="15.75" hidden="1" customHeight="1" x14ac:dyDescent="0.25">
      <c r="A82" t="s">
        <v>600</v>
      </c>
      <c r="B82">
        <v>78055941</v>
      </c>
      <c r="C82" s="68">
        <v>1440000</v>
      </c>
      <c r="D82" s="13">
        <v>46246</v>
      </c>
      <c r="E82" s="67">
        <f t="shared" si="2"/>
        <v>46177</v>
      </c>
      <c r="F82" s="40">
        <f t="shared" si="3"/>
        <v>46179</v>
      </c>
      <c r="G82" s="27"/>
      <c r="J82" t="s">
        <v>635</v>
      </c>
      <c r="K82" t="s">
        <v>636</v>
      </c>
      <c r="L82" s="67">
        <v>46171</v>
      </c>
      <c r="M82">
        <v>23664</v>
      </c>
      <c r="N82">
        <v>78055911</v>
      </c>
      <c r="O82" t="s">
        <v>649</v>
      </c>
      <c r="P82" t="s">
        <v>653</v>
      </c>
      <c r="Q82">
        <v>1130000</v>
      </c>
      <c r="R82" t="s">
        <v>600</v>
      </c>
      <c r="S82" t="s">
        <v>639</v>
      </c>
      <c r="T82" t="s">
        <v>654</v>
      </c>
      <c r="U82" t="s">
        <v>639</v>
      </c>
      <c r="V82" t="s">
        <v>655</v>
      </c>
      <c r="W82" t="s">
        <v>645</v>
      </c>
      <c r="X82" t="s">
        <v>646</v>
      </c>
    </row>
    <row r="83" spans="1:24" ht="15.75" hidden="1" customHeight="1" x14ac:dyDescent="0.25">
      <c r="A83" t="s">
        <v>604</v>
      </c>
      <c r="B83">
        <v>13653578</v>
      </c>
      <c r="C83" s="68">
        <v>2342680</v>
      </c>
      <c r="D83" s="13">
        <v>46247</v>
      </c>
      <c r="E83" s="67">
        <f t="shared" si="2"/>
        <v>46177</v>
      </c>
      <c r="F83" s="40">
        <f t="shared" si="3"/>
        <v>46179</v>
      </c>
      <c r="G83" s="27"/>
      <c r="J83" t="s">
        <v>635</v>
      </c>
      <c r="K83" t="s">
        <v>636</v>
      </c>
      <c r="L83" s="67">
        <v>46171</v>
      </c>
      <c r="M83">
        <v>23675</v>
      </c>
      <c r="N83">
        <v>78055921</v>
      </c>
      <c r="O83" t="s">
        <v>649</v>
      </c>
      <c r="P83" t="s">
        <v>653</v>
      </c>
      <c r="Q83">
        <v>1130000</v>
      </c>
      <c r="R83" t="s">
        <v>600</v>
      </c>
      <c r="S83" t="s">
        <v>639</v>
      </c>
      <c r="T83" t="s">
        <v>654</v>
      </c>
      <c r="U83" t="s">
        <v>639</v>
      </c>
      <c r="V83" t="s">
        <v>655</v>
      </c>
      <c r="W83" t="s">
        <v>645</v>
      </c>
      <c r="X83" t="s">
        <v>646</v>
      </c>
    </row>
    <row r="84" spans="1:24" ht="15.75" hidden="1" customHeight="1" x14ac:dyDescent="0.25">
      <c r="A84" t="s">
        <v>603</v>
      </c>
      <c r="B84">
        <v>6948</v>
      </c>
      <c r="C84" s="68">
        <v>17842880</v>
      </c>
      <c r="D84" s="13">
        <v>46248</v>
      </c>
      <c r="E84" s="67">
        <f t="shared" si="2"/>
        <v>46178</v>
      </c>
      <c r="F84" s="40">
        <f t="shared" si="3"/>
        <v>46180</v>
      </c>
      <c r="G84" s="27"/>
      <c r="J84" t="s">
        <v>635</v>
      </c>
      <c r="K84" t="s">
        <v>636</v>
      </c>
      <c r="L84" s="67">
        <v>46171</v>
      </c>
      <c r="M84">
        <v>23744</v>
      </c>
      <c r="N84">
        <v>1579</v>
      </c>
      <c r="O84" t="s">
        <v>649</v>
      </c>
      <c r="P84" t="s">
        <v>662</v>
      </c>
      <c r="Q84">
        <v>22000000</v>
      </c>
      <c r="R84" t="s">
        <v>615</v>
      </c>
      <c r="S84" t="s">
        <v>639</v>
      </c>
      <c r="T84" t="s">
        <v>678</v>
      </c>
      <c r="U84" t="s">
        <v>639</v>
      </c>
      <c r="V84" t="s">
        <v>664</v>
      </c>
      <c r="W84" t="s">
        <v>645</v>
      </c>
      <c r="X84" t="s">
        <v>646</v>
      </c>
    </row>
    <row r="85" spans="1:24" ht="15.75" hidden="1" customHeight="1" x14ac:dyDescent="0.25">
      <c r="A85" t="s">
        <v>606</v>
      </c>
      <c r="B85">
        <v>4719</v>
      </c>
      <c r="C85" s="68">
        <v>1300000</v>
      </c>
      <c r="D85" s="13">
        <v>46249</v>
      </c>
      <c r="E85" s="67">
        <f t="shared" si="2"/>
        <v>46178</v>
      </c>
      <c r="F85" s="40">
        <f t="shared" si="3"/>
        <v>46180</v>
      </c>
      <c r="G85" s="27"/>
      <c r="J85" t="s">
        <v>635</v>
      </c>
      <c r="K85" t="s">
        <v>636</v>
      </c>
      <c r="L85" s="67">
        <v>46171</v>
      </c>
      <c r="M85">
        <v>23802</v>
      </c>
      <c r="N85">
        <v>67175417</v>
      </c>
      <c r="O85" t="s">
        <v>649</v>
      </c>
      <c r="P85" t="s">
        <v>666</v>
      </c>
      <c r="Q85">
        <v>7200000</v>
      </c>
      <c r="R85" t="s">
        <v>601</v>
      </c>
      <c r="S85" t="s">
        <v>639</v>
      </c>
      <c r="T85" t="s">
        <v>643</v>
      </c>
      <c r="U85" t="s">
        <v>639</v>
      </c>
      <c r="V85" t="s">
        <v>668</v>
      </c>
      <c r="W85" t="s">
        <v>645</v>
      </c>
      <c r="X85" t="s">
        <v>646</v>
      </c>
    </row>
    <row r="86" spans="1:24" ht="15.75" hidden="1" customHeight="1" x14ac:dyDescent="0.25">
      <c r="A86" t="s">
        <v>606</v>
      </c>
      <c r="B86">
        <v>4747</v>
      </c>
      <c r="C86" s="68">
        <v>953100</v>
      </c>
      <c r="D86" s="13">
        <v>46250</v>
      </c>
      <c r="E86" s="67">
        <f t="shared" si="2"/>
        <v>46178</v>
      </c>
      <c r="F86" s="40">
        <f t="shared" si="3"/>
        <v>46180</v>
      </c>
      <c r="G86" s="27"/>
      <c r="J86" t="s">
        <v>635</v>
      </c>
      <c r="K86" t="s">
        <v>636</v>
      </c>
      <c r="L86" s="67">
        <v>46171</v>
      </c>
      <c r="M86">
        <v>23807</v>
      </c>
      <c r="N86">
        <v>1544</v>
      </c>
      <c r="O86" t="s">
        <v>637</v>
      </c>
      <c r="P86" t="s">
        <v>638</v>
      </c>
      <c r="Q86">
        <v>13248793.5</v>
      </c>
      <c r="R86" t="s">
        <v>659</v>
      </c>
      <c r="S86" t="s">
        <v>639</v>
      </c>
      <c r="T86" t="s">
        <v>660</v>
      </c>
      <c r="U86" t="s">
        <v>639</v>
      </c>
      <c r="V86" t="s">
        <v>641</v>
      </c>
      <c r="W86" t="s">
        <v>645</v>
      </c>
      <c r="X86" t="s">
        <v>646</v>
      </c>
    </row>
    <row r="87" spans="1:24" ht="15.75" hidden="1" customHeight="1" x14ac:dyDescent="0.25">
      <c r="A87" t="s">
        <v>605</v>
      </c>
      <c r="B87">
        <v>29253320</v>
      </c>
      <c r="C87" s="68">
        <v>8077630</v>
      </c>
      <c r="D87" s="13">
        <v>46251</v>
      </c>
      <c r="E87" s="67">
        <f t="shared" si="2"/>
        <v>46178</v>
      </c>
      <c r="F87" s="40">
        <f t="shared" si="3"/>
        <v>46180</v>
      </c>
      <c r="G87" s="27"/>
      <c r="J87" t="s">
        <v>635</v>
      </c>
      <c r="K87" t="s">
        <v>636</v>
      </c>
      <c r="L87" s="67">
        <v>46171</v>
      </c>
      <c r="M87">
        <v>23809</v>
      </c>
      <c r="N87">
        <v>18908</v>
      </c>
      <c r="O87" t="s">
        <v>649</v>
      </c>
      <c r="P87" t="s">
        <v>653</v>
      </c>
      <c r="Q87">
        <v>3675116.4</v>
      </c>
      <c r="R87" t="s">
        <v>659</v>
      </c>
      <c r="S87" t="s">
        <v>639</v>
      </c>
      <c r="T87" t="s">
        <v>660</v>
      </c>
      <c r="U87" t="s">
        <v>639</v>
      </c>
      <c r="V87" t="s">
        <v>655</v>
      </c>
      <c r="W87" t="s">
        <v>645</v>
      </c>
      <c r="X87" t="s">
        <v>646</v>
      </c>
    </row>
    <row r="88" spans="1:24" ht="15.75" hidden="1" customHeight="1" x14ac:dyDescent="0.25">
      <c r="A88" t="s">
        <v>613</v>
      </c>
      <c r="B88">
        <v>29265626</v>
      </c>
      <c r="C88" s="68">
        <v>10296000</v>
      </c>
      <c r="D88" s="13">
        <v>46252</v>
      </c>
      <c r="E88" s="67">
        <f t="shared" si="2"/>
        <v>46178</v>
      </c>
      <c r="F88" s="40">
        <f t="shared" si="3"/>
        <v>46180</v>
      </c>
      <c r="G88" s="27"/>
      <c r="J88" t="s">
        <v>635</v>
      </c>
      <c r="K88" t="s">
        <v>636</v>
      </c>
      <c r="L88" s="67">
        <v>46174</v>
      </c>
      <c r="M88">
        <v>23540</v>
      </c>
      <c r="N88">
        <v>6894</v>
      </c>
      <c r="O88" t="s">
        <v>649</v>
      </c>
      <c r="P88" t="s">
        <v>662</v>
      </c>
      <c r="Q88">
        <v>19015040</v>
      </c>
      <c r="R88" t="s">
        <v>603</v>
      </c>
      <c r="S88" t="s">
        <v>639</v>
      </c>
      <c r="T88" t="s">
        <v>663</v>
      </c>
      <c r="U88" t="s">
        <v>639</v>
      </c>
      <c r="V88" t="s">
        <v>664</v>
      </c>
      <c r="W88" t="s">
        <v>645</v>
      </c>
      <c r="X88" t="s">
        <v>646</v>
      </c>
    </row>
    <row r="89" spans="1:24" ht="15.75" hidden="1" customHeight="1" x14ac:dyDescent="0.25">
      <c r="A89" t="s">
        <v>600</v>
      </c>
      <c r="B89">
        <v>78055915</v>
      </c>
      <c r="C89" s="68">
        <v>1130000</v>
      </c>
      <c r="D89" s="13">
        <v>46253</v>
      </c>
      <c r="E89" s="67">
        <f t="shared" si="2"/>
        <v>46178</v>
      </c>
      <c r="F89" s="40">
        <f t="shared" si="3"/>
        <v>46180</v>
      </c>
      <c r="G89" s="27"/>
      <c r="J89" t="s">
        <v>635</v>
      </c>
      <c r="K89" t="s">
        <v>636</v>
      </c>
      <c r="L89" s="67">
        <v>46174</v>
      </c>
      <c r="M89">
        <v>23605</v>
      </c>
      <c r="N89">
        <v>78055906</v>
      </c>
      <c r="O89" t="s">
        <v>649</v>
      </c>
      <c r="P89" t="s">
        <v>653</v>
      </c>
      <c r="Q89">
        <v>960000</v>
      </c>
      <c r="R89" t="s">
        <v>600</v>
      </c>
      <c r="S89" t="s">
        <v>639</v>
      </c>
      <c r="T89" t="s">
        <v>654</v>
      </c>
      <c r="U89" t="s">
        <v>639</v>
      </c>
      <c r="V89" t="s">
        <v>655</v>
      </c>
      <c r="W89" t="s">
        <v>645</v>
      </c>
      <c r="X89" t="s">
        <v>646</v>
      </c>
    </row>
    <row r="90" spans="1:24" ht="15.75" hidden="1" customHeight="1" x14ac:dyDescent="0.25">
      <c r="A90" t="s">
        <v>600</v>
      </c>
      <c r="B90">
        <v>78055925</v>
      </c>
      <c r="C90" s="68">
        <v>1130000</v>
      </c>
      <c r="D90" s="13">
        <v>46254</v>
      </c>
      <c r="E90" s="67">
        <f t="shared" si="2"/>
        <v>46178</v>
      </c>
      <c r="F90" s="40">
        <f t="shared" si="3"/>
        <v>46180</v>
      </c>
      <c r="G90" s="27"/>
      <c r="J90" t="s">
        <v>635</v>
      </c>
      <c r="K90" t="s">
        <v>636</v>
      </c>
      <c r="L90" s="67">
        <v>46174</v>
      </c>
      <c r="M90">
        <v>23621</v>
      </c>
      <c r="N90">
        <v>9845350</v>
      </c>
      <c r="O90" t="s">
        <v>649</v>
      </c>
      <c r="P90" t="s">
        <v>642</v>
      </c>
      <c r="Q90">
        <v>10000000</v>
      </c>
      <c r="R90" t="s">
        <v>614</v>
      </c>
      <c r="S90" t="s">
        <v>639</v>
      </c>
      <c r="T90" t="s">
        <v>674</v>
      </c>
      <c r="U90" t="s">
        <v>639</v>
      </c>
      <c r="V90" t="s">
        <v>644</v>
      </c>
      <c r="W90" t="s">
        <v>645</v>
      </c>
      <c r="X90" t="s">
        <v>646</v>
      </c>
    </row>
    <row r="91" spans="1:24" ht="15.75" hidden="1" customHeight="1" x14ac:dyDescent="0.25">
      <c r="A91" t="s">
        <v>600</v>
      </c>
      <c r="B91">
        <v>78055932</v>
      </c>
      <c r="C91" s="68">
        <v>1480000</v>
      </c>
      <c r="D91" s="13">
        <v>46255</v>
      </c>
      <c r="E91" s="67">
        <f t="shared" si="2"/>
        <v>46178</v>
      </c>
      <c r="F91" s="40">
        <f t="shared" si="3"/>
        <v>46180</v>
      </c>
      <c r="G91" s="27"/>
      <c r="J91" t="s">
        <v>635</v>
      </c>
      <c r="K91" t="s">
        <v>636</v>
      </c>
      <c r="L91" s="67">
        <v>46174</v>
      </c>
      <c r="M91">
        <v>23622</v>
      </c>
      <c r="N91">
        <v>9845351</v>
      </c>
      <c r="O91" t="s">
        <v>649</v>
      </c>
      <c r="P91" t="s">
        <v>642</v>
      </c>
      <c r="Q91">
        <v>12575630</v>
      </c>
      <c r="R91" t="s">
        <v>614</v>
      </c>
      <c r="S91" t="s">
        <v>639</v>
      </c>
      <c r="T91" t="s">
        <v>674</v>
      </c>
      <c r="U91" t="s">
        <v>639</v>
      </c>
      <c r="V91" t="s">
        <v>644</v>
      </c>
      <c r="W91" t="s">
        <v>645</v>
      </c>
      <c r="X91" t="s">
        <v>646</v>
      </c>
    </row>
    <row r="92" spans="1:24" ht="15.75" hidden="1" customHeight="1" x14ac:dyDescent="0.25">
      <c r="A92" t="s">
        <v>605</v>
      </c>
      <c r="B92">
        <v>29302289</v>
      </c>
      <c r="C92" s="68">
        <v>465356.51</v>
      </c>
      <c r="D92" s="13">
        <v>46256</v>
      </c>
      <c r="E92" s="67">
        <f t="shared" si="2"/>
        <v>46178</v>
      </c>
      <c r="F92" s="40">
        <f t="shared" si="3"/>
        <v>46180</v>
      </c>
      <c r="G92" s="27"/>
      <c r="J92" t="s">
        <v>635</v>
      </c>
      <c r="K92" t="s">
        <v>636</v>
      </c>
      <c r="L92" s="67">
        <v>46174</v>
      </c>
      <c r="M92">
        <v>23635</v>
      </c>
      <c r="N92">
        <v>4782</v>
      </c>
      <c r="O92" t="s">
        <v>649</v>
      </c>
      <c r="P92" t="s">
        <v>662</v>
      </c>
      <c r="Q92">
        <v>1300000</v>
      </c>
      <c r="R92" t="s">
        <v>606</v>
      </c>
      <c r="S92" t="s">
        <v>639</v>
      </c>
      <c r="T92" t="s">
        <v>673</v>
      </c>
      <c r="U92" t="s">
        <v>639</v>
      </c>
      <c r="V92" t="s">
        <v>664</v>
      </c>
      <c r="W92" t="s">
        <v>645</v>
      </c>
      <c r="X92" t="s">
        <v>646</v>
      </c>
    </row>
    <row r="93" spans="1:24" ht="15.75" hidden="1" customHeight="1" x14ac:dyDescent="0.25">
      <c r="A93" t="s">
        <v>600</v>
      </c>
      <c r="B93">
        <v>78055942</v>
      </c>
      <c r="C93" s="68">
        <v>1440000</v>
      </c>
      <c r="D93" s="13">
        <v>46257</v>
      </c>
      <c r="E93" s="67">
        <f t="shared" si="2"/>
        <v>46178</v>
      </c>
      <c r="F93" s="40">
        <f t="shared" si="3"/>
        <v>46180</v>
      </c>
      <c r="G93" s="27"/>
      <c r="J93" t="s">
        <v>635</v>
      </c>
      <c r="K93" t="s">
        <v>636</v>
      </c>
      <c r="L93" s="67">
        <v>46174</v>
      </c>
      <c r="M93">
        <v>23647</v>
      </c>
      <c r="N93">
        <v>29253321</v>
      </c>
      <c r="O93" t="s">
        <v>649</v>
      </c>
      <c r="P93" t="s">
        <v>670</v>
      </c>
      <c r="Q93">
        <v>10000000</v>
      </c>
      <c r="R93" t="s">
        <v>605</v>
      </c>
      <c r="S93" t="s">
        <v>639</v>
      </c>
      <c r="T93" t="s">
        <v>671</v>
      </c>
      <c r="U93" t="s">
        <v>639</v>
      </c>
      <c r="V93" t="s">
        <v>672</v>
      </c>
      <c r="W93" t="s">
        <v>645</v>
      </c>
      <c r="X93" t="s">
        <v>646</v>
      </c>
    </row>
    <row r="94" spans="1:24" ht="15.75" hidden="1" customHeight="1" x14ac:dyDescent="0.25">
      <c r="A94" t="s">
        <v>604</v>
      </c>
      <c r="B94">
        <v>13653579</v>
      </c>
      <c r="C94" s="68">
        <v>2250000</v>
      </c>
      <c r="D94" s="13">
        <v>46258</v>
      </c>
      <c r="E94" s="67">
        <f t="shared" si="2"/>
        <v>46178</v>
      </c>
      <c r="F94" s="40">
        <f t="shared" si="3"/>
        <v>46180</v>
      </c>
      <c r="G94" s="27"/>
      <c r="J94" t="s">
        <v>635</v>
      </c>
      <c r="K94" t="s">
        <v>636</v>
      </c>
      <c r="L94" s="67">
        <v>46174</v>
      </c>
      <c r="M94">
        <v>23665</v>
      </c>
      <c r="N94">
        <v>78055912</v>
      </c>
      <c r="O94" t="s">
        <v>649</v>
      </c>
      <c r="P94" t="s">
        <v>653</v>
      </c>
      <c r="Q94">
        <v>1130000</v>
      </c>
      <c r="R94" t="s">
        <v>600</v>
      </c>
      <c r="S94" t="s">
        <v>639</v>
      </c>
      <c r="T94" t="s">
        <v>654</v>
      </c>
      <c r="U94" t="s">
        <v>639</v>
      </c>
      <c r="V94" t="s">
        <v>655</v>
      </c>
      <c r="W94" t="s">
        <v>645</v>
      </c>
      <c r="X94" t="s">
        <v>646</v>
      </c>
    </row>
    <row r="95" spans="1:24" ht="15.75" hidden="1" customHeight="1" x14ac:dyDescent="0.25">
      <c r="A95" t="s">
        <v>601</v>
      </c>
      <c r="B95">
        <v>67175571</v>
      </c>
      <c r="C95" s="68">
        <v>7200000</v>
      </c>
      <c r="D95" s="13">
        <v>46259</v>
      </c>
      <c r="E95" s="67">
        <f t="shared" si="2"/>
        <v>46178</v>
      </c>
      <c r="F95" s="40">
        <f t="shared" si="3"/>
        <v>46180</v>
      </c>
      <c r="G95" s="27"/>
      <c r="J95" t="s">
        <v>635</v>
      </c>
      <c r="K95" t="s">
        <v>636</v>
      </c>
      <c r="L95" s="67">
        <v>46174</v>
      </c>
      <c r="M95">
        <v>23676</v>
      </c>
      <c r="N95">
        <v>78055922</v>
      </c>
      <c r="O95" t="s">
        <v>649</v>
      </c>
      <c r="P95" t="s">
        <v>653</v>
      </c>
      <c r="Q95">
        <v>1130000</v>
      </c>
      <c r="R95" t="s">
        <v>600</v>
      </c>
      <c r="S95" t="s">
        <v>639</v>
      </c>
      <c r="T95" t="s">
        <v>654</v>
      </c>
      <c r="U95" t="s">
        <v>639</v>
      </c>
      <c r="V95" t="s">
        <v>655</v>
      </c>
      <c r="W95" t="s">
        <v>645</v>
      </c>
      <c r="X95" t="s">
        <v>646</v>
      </c>
    </row>
    <row r="96" spans="1:24" ht="15.75" hidden="1" customHeight="1" x14ac:dyDescent="0.25">
      <c r="A96" t="s">
        <v>606</v>
      </c>
      <c r="B96">
        <v>4720</v>
      </c>
      <c r="C96" s="68">
        <v>949750</v>
      </c>
      <c r="D96" s="13">
        <v>46260</v>
      </c>
      <c r="E96" s="67">
        <f t="shared" si="2"/>
        <v>46181</v>
      </c>
      <c r="F96" s="40">
        <f t="shared" si="3"/>
        <v>46183</v>
      </c>
      <c r="G96" s="27"/>
      <c r="J96" t="s">
        <v>635</v>
      </c>
      <c r="K96" t="s">
        <v>636</v>
      </c>
      <c r="L96" s="67">
        <v>46174</v>
      </c>
      <c r="M96">
        <v>23702</v>
      </c>
      <c r="N96">
        <v>66789087</v>
      </c>
      <c r="O96" t="s">
        <v>649</v>
      </c>
      <c r="P96" t="s">
        <v>666</v>
      </c>
      <c r="Q96">
        <v>19500000</v>
      </c>
      <c r="R96" t="s">
        <v>612</v>
      </c>
      <c r="S96" t="s">
        <v>639</v>
      </c>
      <c r="T96" t="s">
        <v>667</v>
      </c>
      <c r="U96" t="s">
        <v>639</v>
      </c>
      <c r="V96" t="s">
        <v>668</v>
      </c>
      <c r="W96" t="s">
        <v>645</v>
      </c>
      <c r="X96" t="s">
        <v>646</v>
      </c>
    </row>
    <row r="97" spans="1:24" ht="15.75" hidden="1" customHeight="1" x14ac:dyDescent="0.25">
      <c r="A97" t="s">
        <v>606</v>
      </c>
      <c r="B97">
        <v>4774</v>
      </c>
      <c r="C97" s="68">
        <v>1300000</v>
      </c>
      <c r="D97" s="13">
        <v>46261</v>
      </c>
      <c r="E97" s="67">
        <f t="shared" si="2"/>
        <v>46181</v>
      </c>
      <c r="F97" s="40">
        <f t="shared" si="3"/>
        <v>46183</v>
      </c>
      <c r="G97" s="27"/>
      <c r="J97" t="s">
        <v>635</v>
      </c>
      <c r="K97" t="s">
        <v>636</v>
      </c>
      <c r="L97" s="67">
        <v>46174</v>
      </c>
      <c r="M97">
        <v>23704</v>
      </c>
      <c r="N97">
        <v>9917592</v>
      </c>
      <c r="O97" t="s">
        <v>637</v>
      </c>
      <c r="P97" t="s">
        <v>642</v>
      </c>
      <c r="Q97">
        <v>715865.58</v>
      </c>
      <c r="R97" t="s">
        <v>605</v>
      </c>
      <c r="S97" t="s">
        <v>639</v>
      </c>
      <c r="T97" t="s">
        <v>671</v>
      </c>
      <c r="U97" t="s">
        <v>639</v>
      </c>
      <c r="V97" t="s">
        <v>644</v>
      </c>
      <c r="W97" t="s">
        <v>645</v>
      </c>
      <c r="X97" t="s">
        <v>646</v>
      </c>
    </row>
    <row r="98" spans="1:24" ht="15.75" hidden="1" customHeight="1" x14ac:dyDescent="0.25">
      <c r="A98" t="s">
        <v>606</v>
      </c>
      <c r="B98">
        <v>4785</v>
      </c>
      <c r="C98" s="68">
        <v>1300000</v>
      </c>
      <c r="D98" s="13">
        <v>46262</v>
      </c>
      <c r="E98" s="67">
        <f t="shared" si="2"/>
        <v>46181</v>
      </c>
      <c r="F98" s="40">
        <f t="shared" si="3"/>
        <v>46183</v>
      </c>
      <c r="G98" s="27"/>
      <c r="J98" t="s">
        <v>635</v>
      </c>
      <c r="K98" t="s">
        <v>636</v>
      </c>
      <c r="L98" s="67">
        <v>46174</v>
      </c>
      <c r="M98">
        <v>23806</v>
      </c>
      <c r="N98">
        <v>30069125</v>
      </c>
      <c r="O98" t="s">
        <v>637</v>
      </c>
      <c r="P98" t="s">
        <v>653</v>
      </c>
      <c r="Q98">
        <v>13297142.220000001</v>
      </c>
      <c r="R98" t="s">
        <v>659</v>
      </c>
      <c r="S98" t="s">
        <v>639</v>
      </c>
      <c r="T98" t="s">
        <v>660</v>
      </c>
      <c r="U98" t="s">
        <v>639</v>
      </c>
      <c r="V98" t="s">
        <v>655</v>
      </c>
      <c r="W98" t="s">
        <v>645</v>
      </c>
      <c r="X98" t="s">
        <v>646</v>
      </c>
    </row>
    <row r="99" spans="1:24" ht="15.75" hidden="1" customHeight="1" x14ac:dyDescent="0.25">
      <c r="A99" t="s">
        <v>614</v>
      </c>
      <c r="B99">
        <v>9845354</v>
      </c>
      <c r="C99" s="68">
        <v>18288270</v>
      </c>
      <c r="D99" s="13">
        <v>46263</v>
      </c>
      <c r="E99" s="67">
        <f t="shared" si="2"/>
        <v>46181</v>
      </c>
      <c r="F99" s="40">
        <f t="shared" si="3"/>
        <v>46183</v>
      </c>
      <c r="G99" s="27"/>
      <c r="J99" t="s">
        <v>635</v>
      </c>
      <c r="K99" t="s">
        <v>636</v>
      </c>
      <c r="L99" s="67">
        <v>46175</v>
      </c>
      <c r="M99">
        <v>23595</v>
      </c>
      <c r="N99">
        <v>66643962</v>
      </c>
      <c r="O99" t="s">
        <v>649</v>
      </c>
      <c r="P99" t="s">
        <v>666</v>
      </c>
      <c r="Q99">
        <v>4457800</v>
      </c>
      <c r="R99" t="s">
        <v>608</v>
      </c>
      <c r="S99" t="s">
        <v>639</v>
      </c>
      <c r="T99" t="s">
        <v>669</v>
      </c>
      <c r="U99" t="s">
        <v>639</v>
      </c>
      <c r="V99" t="s">
        <v>668</v>
      </c>
      <c r="W99" t="s">
        <v>645</v>
      </c>
      <c r="X99" t="s">
        <v>646</v>
      </c>
    </row>
    <row r="100" spans="1:24" ht="15.75" hidden="1" customHeight="1" x14ac:dyDescent="0.25">
      <c r="A100" t="s">
        <v>613</v>
      </c>
      <c r="B100">
        <v>29265628</v>
      </c>
      <c r="C100" s="68">
        <v>14826240</v>
      </c>
      <c r="D100" s="13">
        <v>46264</v>
      </c>
      <c r="E100" s="67">
        <f t="shared" si="2"/>
        <v>46181</v>
      </c>
      <c r="F100" s="40">
        <f t="shared" si="3"/>
        <v>46183</v>
      </c>
      <c r="G100" s="27"/>
      <c r="J100" t="s">
        <v>635</v>
      </c>
      <c r="K100" t="s">
        <v>636</v>
      </c>
      <c r="L100" s="67">
        <v>46175</v>
      </c>
      <c r="M100">
        <v>23606</v>
      </c>
      <c r="N100">
        <v>78055907</v>
      </c>
      <c r="O100" t="s">
        <v>649</v>
      </c>
      <c r="P100" t="s">
        <v>653</v>
      </c>
      <c r="Q100">
        <v>943200</v>
      </c>
      <c r="R100" t="s">
        <v>600</v>
      </c>
      <c r="S100" t="s">
        <v>639</v>
      </c>
      <c r="T100" t="s">
        <v>654</v>
      </c>
      <c r="U100" t="s">
        <v>639</v>
      </c>
      <c r="V100" t="s">
        <v>655</v>
      </c>
      <c r="W100" t="s">
        <v>645</v>
      </c>
      <c r="X100" t="s">
        <v>646</v>
      </c>
    </row>
    <row r="101" spans="1:24" ht="15.75" hidden="1" customHeight="1" x14ac:dyDescent="0.25">
      <c r="A101" t="s">
        <v>600</v>
      </c>
      <c r="B101">
        <v>78055916</v>
      </c>
      <c r="C101" s="68">
        <v>1130000</v>
      </c>
      <c r="D101" s="13">
        <v>46265</v>
      </c>
      <c r="E101" s="67">
        <f t="shared" si="2"/>
        <v>46181</v>
      </c>
      <c r="F101" s="40">
        <f t="shared" si="3"/>
        <v>46183</v>
      </c>
      <c r="G101" s="27"/>
      <c r="J101" t="s">
        <v>635</v>
      </c>
      <c r="K101" t="s">
        <v>636</v>
      </c>
      <c r="L101" s="67">
        <v>46175</v>
      </c>
      <c r="M101">
        <v>23636</v>
      </c>
      <c r="N101">
        <v>4783</v>
      </c>
      <c r="O101" t="s">
        <v>649</v>
      </c>
      <c r="P101" t="s">
        <v>662</v>
      </c>
      <c r="Q101">
        <v>1300000</v>
      </c>
      <c r="R101" t="s">
        <v>606</v>
      </c>
      <c r="S101" t="s">
        <v>639</v>
      </c>
      <c r="T101" t="s">
        <v>673</v>
      </c>
      <c r="U101" t="s">
        <v>639</v>
      </c>
      <c r="V101" t="s">
        <v>664</v>
      </c>
      <c r="W101" t="s">
        <v>645</v>
      </c>
      <c r="X101" t="s">
        <v>646</v>
      </c>
    </row>
    <row r="102" spans="1:24" ht="15.75" hidden="1" customHeight="1" x14ac:dyDescent="0.25">
      <c r="A102" t="s">
        <v>600</v>
      </c>
      <c r="B102">
        <v>78055926</v>
      </c>
      <c r="C102" s="68">
        <v>1130000</v>
      </c>
      <c r="D102" s="13">
        <v>46266</v>
      </c>
      <c r="E102" s="67">
        <f t="shared" si="2"/>
        <v>46181</v>
      </c>
      <c r="F102" s="40">
        <f t="shared" si="3"/>
        <v>46183</v>
      </c>
      <c r="G102" s="27"/>
      <c r="J102" t="s">
        <v>635</v>
      </c>
      <c r="K102" t="s">
        <v>636</v>
      </c>
      <c r="L102" s="67">
        <v>46175</v>
      </c>
      <c r="M102">
        <v>23666</v>
      </c>
      <c r="N102">
        <v>78055913</v>
      </c>
      <c r="O102" t="s">
        <v>649</v>
      </c>
      <c r="P102" t="s">
        <v>653</v>
      </c>
      <c r="Q102">
        <v>1130000</v>
      </c>
      <c r="R102" t="s">
        <v>600</v>
      </c>
      <c r="S102" t="s">
        <v>639</v>
      </c>
      <c r="T102" t="s">
        <v>654</v>
      </c>
      <c r="U102" t="s">
        <v>639</v>
      </c>
      <c r="V102" t="s">
        <v>655</v>
      </c>
      <c r="W102" t="s">
        <v>645</v>
      </c>
      <c r="X102" t="s">
        <v>646</v>
      </c>
    </row>
    <row r="103" spans="1:24" ht="15.75" hidden="1" customHeight="1" x14ac:dyDescent="0.25">
      <c r="A103" t="s">
        <v>600</v>
      </c>
      <c r="B103">
        <v>78055933</v>
      </c>
      <c r="C103" s="68">
        <v>1480000</v>
      </c>
      <c r="D103" s="13">
        <v>46267</v>
      </c>
      <c r="E103" s="67">
        <f t="shared" si="2"/>
        <v>46181</v>
      </c>
      <c r="F103" s="40">
        <f t="shared" si="3"/>
        <v>46183</v>
      </c>
      <c r="G103" s="27"/>
      <c r="J103" t="s">
        <v>635</v>
      </c>
      <c r="K103" t="s">
        <v>636</v>
      </c>
      <c r="L103" s="67">
        <v>46175</v>
      </c>
      <c r="M103">
        <v>23677</v>
      </c>
      <c r="N103">
        <v>78055923</v>
      </c>
      <c r="O103" t="s">
        <v>649</v>
      </c>
      <c r="P103" t="s">
        <v>653</v>
      </c>
      <c r="Q103">
        <v>1130000</v>
      </c>
      <c r="R103" t="s">
        <v>600</v>
      </c>
      <c r="S103" t="s">
        <v>639</v>
      </c>
      <c r="T103" t="s">
        <v>654</v>
      </c>
      <c r="U103" t="s">
        <v>639</v>
      </c>
      <c r="V103" t="s">
        <v>655</v>
      </c>
      <c r="W103" t="s">
        <v>645</v>
      </c>
      <c r="X103" t="s">
        <v>646</v>
      </c>
    </row>
    <row r="104" spans="1:24" ht="15.75" hidden="1" customHeight="1" x14ac:dyDescent="0.25">
      <c r="A104" t="s">
        <v>611</v>
      </c>
      <c r="B104">
        <v>9564668</v>
      </c>
      <c r="C104" s="68">
        <v>6348840</v>
      </c>
      <c r="D104" s="13">
        <v>46268</v>
      </c>
      <c r="E104" s="67">
        <f t="shared" si="2"/>
        <v>46181</v>
      </c>
      <c r="F104" s="40">
        <f t="shared" si="3"/>
        <v>46183</v>
      </c>
      <c r="G104" s="27"/>
      <c r="J104" t="s">
        <v>635</v>
      </c>
      <c r="K104" t="s">
        <v>636</v>
      </c>
      <c r="L104" s="67">
        <v>46175</v>
      </c>
      <c r="M104">
        <v>23684</v>
      </c>
      <c r="N104">
        <v>78055930</v>
      </c>
      <c r="O104" t="s">
        <v>649</v>
      </c>
      <c r="P104" t="s">
        <v>653</v>
      </c>
      <c r="Q104">
        <v>1480000</v>
      </c>
      <c r="R104" t="s">
        <v>600</v>
      </c>
      <c r="S104" t="s">
        <v>639</v>
      </c>
      <c r="T104" t="s">
        <v>654</v>
      </c>
      <c r="U104" t="s">
        <v>639</v>
      </c>
      <c r="V104" t="s">
        <v>655</v>
      </c>
      <c r="W104" t="s">
        <v>645</v>
      </c>
      <c r="X104" t="s">
        <v>646</v>
      </c>
    </row>
    <row r="105" spans="1:24" ht="15.75" hidden="1" customHeight="1" x14ac:dyDescent="0.25">
      <c r="A105" t="s">
        <v>611</v>
      </c>
      <c r="B105">
        <v>9564669</v>
      </c>
      <c r="C105" s="68">
        <v>6000000</v>
      </c>
      <c r="D105" s="13">
        <v>46269</v>
      </c>
      <c r="E105" s="67">
        <f t="shared" si="2"/>
        <v>46181</v>
      </c>
      <c r="F105" s="40">
        <f t="shared" si="3"/>
        <v>46183</v>
      </c>
      <c r="G105" s="27"/>
      <c r="J105" t="s">
        <v>635</v>
      </c>
      <c r="K105" t="s">
        <v>636</v>
      </c>
      <c r="L105" s="67">
        <v>46175</v>
      </c>
      <c r="M105">
        <v>23721</v>
      </c>
      <c r="N105">
        <v>78055940</v>
      </c>
      <c r="O105" t="s">
        <v>649</v>
      </c>
      <c r="P105" t="s">
        <v>653</v>
      </c>
      <c r="Q105">
        <v>1440000</v>
      </c>
      <c r="R105" t="s">
        <v>600</v>
      </c>
      <c r="S105" t="s">
        <v>639</v>
      </c>
      <c r="T105" t="s">
        <v>654</v>
      </c>
      <c r="U105" t="s">
        <v>639</v>
      </c>
      <c r="V105" t="s">
        <v>655</v>
      </c>
      <c r="W105" t="s">
        <v>645</v>
      </c>
      <c r="X105" t="s">
        <v>646</v>
      </c>
    </row>
    <row r="106" spans="1:24" ht="15.75" hidden="1" customHeight="1" x14ac:dyDescent="0.25">
      <c r="A106" t="s">
        <v>611</v>
      </c>
      <c r="B106">
        <v>9564670</v>
      </c>
      <c r="C106" s="68">
        <v>6000000</v>
      </c>
      <c r="D106" s="13">
        <v>46270</v>
      </c>
      <c r="E106" s="67">
        <f t="shared" si="2"/>
        <v>46181</v>
      </c>
      <c r="F106" s="40">
        <f t="shared" si="3"/>
        <v>46183</v>
      </c>
      <c r="G106" s="27"/>
      <c r="J106" t="s">
        <v>635</v>
      </c>
      <c r="K106" t="s">
        <v>636</v>
      </c>
      <c r="L106" s="67">
        <v>46176</v>
      </c>
      <c r="M106">
        <v>23594</v>
      </c>
      <c r="N106">
        <v>66643850</v>
      </c>
      <c r="O106" t="s">
        <v>649</v>
      </c>
      <c r="P106" t="s">
        <v>666</v>
      </c>
      <c r="Q106">
        <v>4400000</v>
      </c>
      <c r="R106" t="s">
        <v>608</v>
      </c>
      <c r="S106" t="s">
        <v>639</v>
      </c>
      <c r="T106" t="s">
        <v>669</v>
      </c>
      <c r="U106" t="s">
        <v>639</v>
      </c>
      <c r="V106" t="s">
        <v>668</v>
      </c>
      <c r="W106" t="s">
        <v>645</v>
      </c>
      <c r="X106" t="s">
        <v>646</v>
      </c>
    </row>
    <row r="107" spans="1:24" ht="15.75" hidden="1" customHeight="1" x14ac:dyDescent="0.25">
      <c r="A107" t="s">
        <v>611</v>
      </c>
      <c r="B107">
        <v>9564671</v>
      </c>
      <c r="C107" s="68">
        <v>6000000</v>
      </c>
      <c r="D107" s="13">
        <v>46271</v>
      </c>
      <c r="E107" s="67">
        <f t="shared" si="2"/>
        <v>46181</v>
      </c>
      <c r="F107" s="40">
        <f t="shared" si="3"/>
        <v>46183</v>
      </c>
      <c r="G107" s="27"/>
      <c r="J107" t="s">
        <v>635</v>
      </c>
      <c r="K107" t="s">
        <v>636</v>
      </c>
      <c r="L107" s="67">
        <v>46176</v>
      </c>
      <c r="M107">
        <v>23627</v>
      </c>
      <c r="N107">
        <v>4745</v>
      </c>
      <c r="O107" t="s">
        <v>649</v>
      </c>
      <c r="P107" t="s">
        <v>662</v>
      </c>
      <c r="Q107">
        <v>1200000</v>
      </c>
      <c r="R107" t="s">
        <v>606</v>
      </c>
      <c r="S107" t="s">
        <v>639</v>
      </c>
      <c r="T107" t="s">
        <v>673</v>
      </c>
      <c r="U107" t="s">
        <v>639</v>
      </c>
      <c r="V107" t="s">
        <v>664</v>
      </c>
      <c r="W107" t="s">
        <v>645</v>
      </c>
      <c r="X107" t="s">
        <v>646</v>
      </c>
    </row>
    <row r="108" spans="1:24" ht="15.75" hidden="1" customHeight="1" x14ac:dyDescent="0.25">
      <c r="A108" t="s">
        <v>611</v>
      </c>
      <c r="B108">
        <v>9564672</v>
      </c>
      <c r="C108" s="68">
        <v>6000000</v>
      </c>
      <c r="D108" s="13">
        <v>46272</v>
      </c>
      <c r="E108" s="67">
        <f t="shared" si="2"/>
        <v>46181</v>
      </c>
      <c r="F108" s="40">
        <f t="shared" si="3"/>
        <v>46183</v>
      </c>
      <c r="G108" s="27"/>
      <c r="J108" t="s">
        <v>635</v>
      </c>
      <c r="K108" t="s">
        <v>636</v>
      </c>
      <c r="L108" s="67">
        <v>46176</v>
      </c>
      <c r="M108">
        <v>23637</v>
      </c>
      <c r="N108">
        <v>4784</v>
      </c>
      <c r="O108" t="s">
        <v>649</v>
      </c>
      <c r="P108" t="s">
        <v>662</v>
      </c>
      <c r="Q108">
        <v>1300000</v>
      </c>
      <c r="R108" t="s">
        <v>606</v>
      </c>
      <c r="S108" t="s">
        <v>639</v>
      </c>
      <c r="T108" t="s">
        <v>673</v>
      </c>
      <c r="U108" t="s">
        <v>639</v>
      </c>
      <c r="V108" t="s">
        <v>664</v>
      </c>
      <c r="W108" t="s">
        <v>645</v>
      </c>
      <c r="X108" t="s">
        <v>646</v>
      </c>
    </row>
    <row r="109" spans="1:24" ht="15.75" hidden="1" customHeight="1" x14ac:dyDescent="0.25">
      <c r="A109" t="s">
        <v>611</v>
      </c>
      <c r="B109">
        <v>9564673</v>
      </c>
      <c r="C109" s="68">
        <v>6000000</v>
      </c>
      <c r="D109" s="13">
        <v>46273</v>
      </c>
      <c r="E109" s="67">
        <f t="shared" si="2"/>
        <v>46181</v>
      </c>
      <c r="F109" s="40">
        <f t="shared" si="3"/>
        <v>46183</v>
      </c>
      <c r="G109" s="27"/>
      <c r="J109" t="s">
        <v>635</v>
      </c>
      <c r="K109" t="s">
        <v>636</v>
      </c>
      <c r="L109" s="67">
        <v>46176</v>
      </c>
      <c r="M109">
        <v>23653</v>
      </c>
      <c r="N109">
        <v>29265625</v>
      </c>
      <c r="O109" t="s">
        <v>649</v>
      </c>
      <c r="P109" t="s">
        <v>670</v>
      </c>
      <c r="Q109">
        <v>11202048</v>
      </c>
      <c r="R109" t="s">
        <v>613</v>
      </c>
      <c r="S109" t="s">
        <v>639</v>
      </c>
      <c r="T109" t="s">
        <v>677</v>
      </c>
      <c r="U109" t="s">
        <v>639</v>
      </c>
      <c r="V109" t="s">
        <v>672</v>
      </c>
      <c r="W109" t="s">
        <v>645</v>
      </c>
      <c r="X109" t="s">
        <v>646</v>
      </c>
    </row>
    <row r="110" spans="1:24" ht="15.75" hidden="1" customHeight="1" x14ac:dyDescent="0.25">
      <c r="A110" t="s">
        <v>612</v>
      </c>
      <c r="B110">
        <v>66789124</v>
      </c>
      <c r="C110" s="68">
        <v>13467723.99</v>
      </c>
      <c r="D110" s="13">
        <v>46274</v>
      </c>
      <c r="E110" s="67">
        <f t="shared" si="2"/>
        <v>46181</v>
      </c>
      <c r="F110" s="40">
        <f t="shared" si="3"/>
        <v>46183</v>
      </c>
      <c r="G110" s="27"/>
      <c r="J110" t="s">
        <v>635</v>
      </c>
      <c r="K110" t="s">
        <v>636</v>
      </c>
      <c r="L110" s="67">
        <v>46177</v>
      </c>
      <c r="M110">
        <v>23628</v>
      </c>
      <c r="N110">
        <v>4746</v>
      </c>
      <c r="O110" t="s">
        <v>649</v>
      </c>
      <c r="P110" t="s">
        <v>662</v>
      </c>
      <c r="Q110">
        <v>1200000</v>
      </c>
      <c r="R110" t="s">
        <v>606</v>
      </c>
      <c r="S110" t="s">
        <v>639</v>
      </c>
      <c r="T110" t="s">
        <v>673</v>
      </c>
      <c r="U110" t="s">
        <v>639</v>
      </c>
      <c r="V110" t="s">
        <v>664</v>
      </c>
      <c r="W110" t="s">
        <v>645</v>
      </c>
      <c r="X110" t="s">
        <v>646</v>
      </c>
    </row>
    <row r="111" spans="1:24" ht="15.75" hidden="1" customHeight="1" x14ac:dyDescent="0.25">
      <c r="A111" t="s">
        <v>600</v>
      </c>
      <c r="B111">
        <v>78055943</v>
      </c>
      <c r="C111" s="68">
        <v>1440000</v>
      </c>
      <c r="D111" s="13">
        <v>46275</v>
      </c>
      <c r="E111" s="67">
        <f t="shared" si="2"/>
        <v>46181</v>
      </c>
      <c r="F111" s="40">
        <f t="shared" si="3"/>
        <v>46183</v>
      </c>
      <c r="G111" s="27"/>
      <c r="J111" t="s">
        <v>635</v>
      </c>
      <c r="K111" t="s">
        <v>636</v>
      </c>
      <c r="L111" s="67">
        <v>46177</v>
      </c>
      <c r="M111">
        <v>23648</v>
      </c>
      <c r="N111">
        <v>29253322</v>
      </c>
      <c r="O111" t="s">
        <v>649</v>
      </c>
      <c r="P111" t="s">
        <v>670</v>
      </c>
      <c r="Q111">
        <v>10000000</v>
      </c>
      <c r="R111" t="s">
        <v>605</v>
      </c>
      <c r="S111" t="s">
        <v>639</v>
      </c>
      <c r="T111" t="s">
        <v>671</v>
      </c>
      <c r="U111" t="s">
        <v>639</v>
      </c>
      <c r="V111" t="s">
        <v>672</v>
      </c>
      <c r="W111" t="s">
        <v>645</v>
      </c>
      <c r="X111" t="s">
        <v>646</v>
      </c>
    </row>
    <row r="112" spans="1:24" ht="15.75" hidden="1" customHeight="1" x14ac:dyDescent="0.25">
      <c r="A112" t="s">
        <v>604</v>
      </c>
      <c r="B112">
        <v>13653580</v>
      </c>
      <c r="C112" s="68">
        <v>2250000</v>
      </c>
      <c r="D112" s="13">
        <v>46276</v>
      </c>
      <c r="E112" s="67">
        <f t="shared" si="2"/>
        <v>46181</v>
      </c>
      <c r="F112" s="40">
        <f t="shared" si="3"/>
        <v>46183</v>
      </c>
      <c r="G112" s="27"/>
      <c r="J112" t="s">
        <v>635</v>
      </c>
      <c r="K112" t="s">
        <v>636</v>
      </c>
      <c r="L112" s="67">
        <v>46177</v>
      </c>
      <c r="M112">
        <v>23678</v>
      </c>
      <c r="N112">
        <v>78055924</v>
      </c>
      <c r="O112" t="s">
        <v>649</v>
      </c>
      <c r="P112" t="s">
        <v>653</v>
      </c>
      <c r="Q112">
        <v>1130000</v>
      </c>
      <c r="R112" t="s">
        <v>600</v>
      </c>
      <c r="S112" t="s">
        <v>639</v>
      </c>
      <c r="T112" t="s">
        <v>654</v>
      </c>
      <c r="U112" t="s">
        <v>639</v>
      </c>
      <c r="V112" t="s">
        <v>655</v>
      </c>
      <c r="W112" t="s">
        <v>645</v>
      </c>
      <c r="X112" t="s">
        <v>646</v>
      </c>
    </row>
    <row r="113" spans="1:24" ht="15.75" hidden="1" customHeight="1" x14ac:dyDescent="0.25">
      <c r="A113" t="s">
        <v>604</v>
      </c>
      <c r="B113">
        <v>13653581</v>
      </c>
      <c r="C113" s="68">
        <v>2250000</v>
      </c>
      <c r="D113" s="13">
        <v>46277</v>
      </c>
      <c r="E113" s="67">
        <f t="shared" si="2"/>
        <v>46181</v>
      </c>
      <c r="F113" s="40">
        <f t="shared" si="3"/>
        <v>46183</v>
      </c>
      <c r="G113" s="27"/>
      <c r="J113" t="s">
        <v>635</v>
      </c>
      <c r="K113" t="s">
        <v>636</v>
      </c>
      <c r="L113" s="67">
        <v>46177</v>
      </c>
      <c r="M113">
        <v>23685</v>
      </c>
      <c r="N113">
        <v>78055931</v>
      </c>
      <c r="O113" t="s">
        <v>649</v>
      </c>
      <c r="P113" t="s">
        <v>653</v>
      </c>
      <c r="Q113">
        <v>1480000</v>
      </c>
      <c r="R113" t="s">
        <v>600</v>
      </c>
      <c r="S113" t="s">
        <v>639</v>
      </c>
      <c r="T113" t="s">
        <v>654</v>
      </c>
      <c r="U113" t="s">
        <v>639</v>
      </c>
      <c r="V113" t="s">
        <v>655</v>
      </c>
      <c r="W113" t="s">
        <v>645</v>
      </c>
      <c r="X113" t="s">
        <v>646</v>
      </c>
    </row>
    <row r="114" spans="1:24" ht="15.75" hidden="1" customHeight="1" x14ac:dyDescent="0.25">
      <c r="A114" t="s">
        <v>607</v>
      </c>
      <c r="B114">
        <v>147</v>
      </c>
      <c r="C114" s="68">
        <v>2015000</v>
      </c>
      <c r="D114" s="13">
        <v>46278</v>
      </c>
      <c r="E114" s="67">
        <f t="shared" si="2"/>
        <v>46181</v>
      </c>
      <c r="F114" s="40">
        <f t="shared" si="3"/>
        <v>46183</v>
      </c>
      <c r="G114" s="27"/>
      <c r="J114" t="s">
        <v>635</v>
      </c>
      <c r="K114" t="s">
        <v>636</v>
      </c>
      <c r="L114" s="67">
        <v>46177</v>
      </c>
      <c r="M114">
        <v>23722</v>
      </c>
      <c r="N114">
        <v>78055941</v>
      </c>
      <c r="O114" t="s">
        <v>649</v>
      </c>
      <c r="P114" t="s">
        <v>653</v>
      </c>
      <c r="Q114">
        <v>1440000</v>
      </c>
      <c r="R114" t="s">
        <v>600</v>
      </c>
      <c r="S114" t="s">
        <v>639</v>
      </c>
      <c r="T114" t="s">
        <v>654</v>
      </c>
      <c r="U114" t="s">
        <v>639</v>
      </c>
      <c r="V114" t="s">
        <v>655</v>
      </c>
      <c r="W114" t="s">
        <v>645</v>
      </c>
      <c r="X114" t="s">
        <v>646</v>
      </c>
    </row>
    <row r="115" spans="1:24" ht="15.75" hidden="1" customHeight="1" x14ac:dyDescent="0.25">
      <c r="A115" t="s">
        <v>607</v>
      </c>
      <c r="B115">
        <v>148</v>
      </c>
      <c r="C115" s="68">
        <v>2000100</v>
      </c>
      <c r="D115" s="13">
        <v>46279</v>
      </c>
      <c r="E115" s="67">
        <f t="shared" si="2"/>
        <v>46181</v>
      </c>
      <c r="F115" s="40">
        <f t="shared" si="3"/>
        <v>46183</v>
      </c>
      <c r="G115" s="27"/>
      <c r="J115" t="s">
        <v>635</v>
      </c>
      <c r="K115" t="s">
        <v>636</v>
      </c>
      <c r="L115" s="67">
        <v>46177</v>
      </c>
      <c r="M115">
        <v>23740</v>
      </c>
      <c r="N115">
        <v>13653578</v>
      </c>
      <c r="O115" t="s">
        <v>649</v>
      </c>
      <c r="P115" t="s">
        <v>650</v>
      </c>
      <c r="Q115">
        <v>2342680</v>
      </c>
      <c r="R115" t="s">
        <v>604</v>
      </c>
      <c r="S115" t="s">
        <v>639</v>
      </c>
      <c r="T115" t="s">
        <v>651</v>
      </c>
      <c r="U115" t="s">
        <v>639</v>
      </c>
      <c r="V115" t="s">
        <v>652</v>
      </c>
      <c r="W115" t="s">
        <v>645</v>
      </c>
      <c r="X115" t="s">
        <v>646</v>
      </c>
    </row>
    <row r="116" spans="1:24" ht="15.75" hidden="1" customHeight="1" x14ac:dyDescent="0.25">
      <c r="A116" t="s">
        <v>607</v>
      </c>
      <c r="B116">
        <v>149</v>
      </c>
      <c r="C116" s="68">
        <v>3000070</v>
      </c>
      <c r="D116" s="13">
        <v>46280</v>
      </c>
      <c r="E116" s="67">
        <f t="shared" si="2"/>
        <v>46181</v>
      </c>
      <c r="F116" s="40">
        <f t="shared" si="3"/>
        <v>46183</v>
      </c>
      <c r="G116" s="27"/>
      <c r="J116" t="s">
        <v>635</v>
      </c>
      <c r="K116" t="s">
        <v>636</v>
      </c>
      <c r="L116" s="67">
        <v>46178</v>
      </c>
      <c r="M116">
        <v>23593</v>
      </c>
      <c r="N116">
        <v>6948</v>
      </c>
      <c r="O116" t="s">
        <v>649</v>
      </c>
      <c r="P116" t="s">
        <v>662</v>
      </c>
      <c r="Q116">
        <v>17842880</v>
      </c>
      <c r="R116" t="s">
        <v>603</v>
      </c>
      <c r="S116" t="s">
        <v>639</v>
      </c>
      <c r="T116" t="s">
        <v>663</v>
      </c>
      <c r="U116" t="s">
        <v>639</v>
      </c>
      <c r="V116" t="s">
        <v>664</v>
      </c>
      <c r="W116" t="s">
        <v>645</v>
      </c>
      <c r="X116" t="s">
        <v>646</v>
      </c>
    </row>
    <row r="117" spans="1:24" ht="15.75" hidden="1" customHeight="1" x14ac:dyDescent="0.25">
      <c r="A117" t="s">
        <v>607</v>
      </c>
      <c r="B117">
        <v>150</v>
      </c>
      <c r="C117" s="68">
        <v>3000007.69</v>
      </c>
      <c r="D117" s="13">
        <v>46281</v>
      </c>
      <c r="E117" s="67">
        <f t="shared" si="2"/>
        <v>46181</v>
      </c>
      <c r="F117" s="40">
        <f t="shared" si="3"/>
        <v>46183</v>
      </c>
      <c r="G117" s="27"/>
      <c r="J117" t="s">
        <v>635</v>
      </c>
      <c r="K117" t="s">
        <v>636</v>
      </c>
      <c r="L117" s="67">
        <v>46178</v>
      </c>
      <c r="M117">
        <v>23613</v>
      </c>
      <c r="N117">
        <v>4719</v>
      </c>
      <c r="O117" t="s">
        <v>649</v>
      </c>
      <c r="P117" t="s">
        <v>662</v>
      </c>
      <c r="Q117">
        <v>1300000</v>
      </c>
      <c r="R117" t="s">
        <v>606</v>
      </c>
      <c r="S117" t="s">
        <v>639</v>
      </c>
      <c r="T117" t="s">
        <v>673</v>
      </c>
      <c r="U117" t="s">
        <v>639</v>
      </c>
      <c r="V117" t="s">
        <v>664</v>
      </c>
      <c r="W117" t="s">
        <v>645</v>
      </c>
      <c r="X117" t="s">
        <v>646</v>
      </c>
    </row>
    <row r="118" spans="1:24" ht="15.75" hidden="1" customHeight="1" x14ac:dyDescent="0.25">
      <c r="A118" t="s">
        <v>607</v>
      </c>
      <c r="B118">
        <v>144</v>
      </c>
      <c r="C118" s="68">
        <v>3000818.18</v>
      </c>
      <c r="D118" s="13">
        <v>46282</v>
      </c>
      <c r="E118" s="67">
        <f t="shared" si="2"/>
        <v>46181</v>
      </c>
      <c r="F118" s="40">
        <f t="shared" si="3"/>
        <v>46183</v>
      </c>
      <c r="G118" s="27"/>
      <c r="J118" t="s">
        <v>635</v>
      </c>
      <c r="K118" t="s">
        <v>636</v>
      </c>
      <c r="L118" s="67">
        <v>46178</v>
      </c>
      <c r="M118">
        <v>23629</v>
      </c>
      <c r="N118">
        <v>4747</v>
      </c>
      <c r="O118" t="s">
        <v>649</v>
      </c>
      <c r="P118" t="s">
        <v>662</v>
      </c>
      <c r="Q118">
        <v>953100</v>
      </c>
      <c r="R118" t="s">
        <v>606</v>
      </c>
      <c r="S118" t="s">
        <v>639</v>
      </c>
      <c r="T118" t="s">
        <v>673</v>
      </c>
      <c r="U118" t="s">
        <v>639</v>
      </c>
      <c r="V118" t="s">
        <v>664</v>
      </c>
      <c r="W118" t="s">
        <v>645</v>
      </c>
      <c r="X118" t="s">
        <v>646</v>
      </c>
    </row>
    <row r="119" spans="1:24" ht="15.75" hidden="1" customHeight="1" x14ac:dyDescent="0.25">
      <c r="A119" t="s">
        <v>607</v>
      </c>
      <c r="B119">
        <v>145</v>
      </c>
      <c r="C119" s="68">
        <v>3050000</v>
      </c>
      <c r="D119" s="13">
        <v>46283</v>
      </c>
      <c r="E119" s="67">
        <f t="shared" si="2"/>
        <v>46181</v>
      </c>
      <c r="F119" s="40">
        <f t="shared" si="3"/>
        <v>46183</v>
      </c>
      <c r="G119" s="27"/>
      <c r="J119" t="s">
        <v>635</v>
      </c>
      <c r="K119" t="s">
        <v>636</v>
      </c>
      <c r="L119" s="67">
        <v>46178</v>
      </c>
      <c r="M119">
        <v>23646</v>
      </c>
      <c r="N119">
        <v>29253320</v>
      </c>
      <c r="O119" t="s">
        <v>649</v>
      </c>
      <c r="P119" t="s">
        <v>670</v>
      </c>
      <c r="Q119">
        <v>8077630</v>
      </c>
      <c r="R119" t="s">
        <v>605</v>
      </c>
      <c r="S119" t="s">
        <v>639</v>
      </c>
      <c r="T119" t="s">
        <v>671</v>
      </c>
      <c r="U119" t="s">
        <v>639</v>
      </c>
      <c r="V119" t="s">
        <v>672</v>
      </c>
      <c r="W119" t="s">
        <v>645</v>
      </c>
      <c r="X119" t="s">
        <v>646</v>
      </c>
    </row>
    <row r="120" spans="1:24" ht="15.75" hidden="1" customHeight="1" x14ac:dyDescent="0.25">
      <c r="A120" t="s">
        <v>607</v>
      </c>
      <c r="B120">
        <v>146</v>
      </c>
      <c r="C120" s="68">
        <v>3004000</v>
      </c>
      <c r="D120" s="13">
        <v>46284</v>
      </c>
      <c r="E120" s="67">
        <f t="shared" si="2"/>
        <v>46181</v>
      </c>
      <c r="F120" s="40">
        <f t="shared" si="3"/>
        <v>46183</v>
      </c>
      <c r="G120" s="27"/>
      <c r="J120" t="s">
        <v>635</v>
      </c>
      <c r="K120" t="s">
        <v>636</v>
      </c>
      <c r="L120" s="67">
        <v>46178</v>
      </c>
      <c r="M120">
        <v>23654</v>
      </c>
      <c r="N120">
        <v>29265626</v>
      </c>
      <c r="O120" t="s">
        <v>649</v>
      </c>
      <c r="P120" t="s">
        <v>670</v>
      </c>
      <c r="Q120">
        <v>10296000</v>
      </c>
      <c r="R120" t="s">
        <v>613</v>
      </c>
      <c r="S120" t="s">
        <v>639</v>
      </c>
      <c r="T120" t="s">
        <v>677</v>
      </c>
      <c r="U120" t="s">
        <v>639</v>
      </c>
      <c r="V120" t="s">
        <v>672</v>
      </c>
      <c r="W120" t="s">
        <v>645</v>
      </c>
      <c r="X120" t="s">
        <v>646</v>
      </c>
    </row>
    <row r="121" spans="1:24" ht="15.75" hidden="1" customHeight="1" x14ac:dyDescent="0.25">
      <c r="A121" t="s">
        <v>599</v>
      </c>
      <c r="B121">
        <v>12924537</v>
      </c>
      <c r="C121" s="68">
        <v>10000000</v>
      </c>
      <c r="D121" s="13">
        <v>46285</v>
      </c>
      <c r="E121" s="67">
        <f t="shared" si="2"/>
        <v>46181</v>
      </c>
      <c r="F121" s="40">
        <f t="shared" si="3"/>
        <v>46183</v>
      </c>
      <c r="G121" s="27"/>
      <c r="J121" t="s">
        <v>635</v>
      </c>
      <c r="K121" t="s">
        <v>636</v>
      </c>
      <c r="L121" s="67">
        <v>46178</v>
      </c>
      <c r="M121">
        <v>23668</v>
      </c>
      <c r="N121">
        <v>78055915</v>
      </c>
      <c r="O121" t="s">
        <v>649</v>
      </c>
      <c r="P121" t="s">
        <v>653</v>
      </c>
      <c r="Q121">
        <v>1130000</v>
      </c>
      <c r="R121" t="s">
        <v>600</v>
      </c>
      <c r="S121" t="s">
        <v>639</v>
      </c>
      <c r="T121" t="s">
        <v>654</v>
      </c>
      <c r="U121" t="s">
        <v>639</v>
      </c>
      <c r="V121" t="s">
        <v>655</v>
      </c>
      <c r="W121" t="s">
        <v>645</v>
      </c>
      <c r="X121" t="s">
        <v>646</v>
      </c>
    </row>
    <row r="122" spans="1:24" ht="15.75" hidden="1" customHeight="1" x14ac:dyDescent="0.25">
      <c r="A122" t="s">
        <v>608</v>
      </c>
      <c r="B122">
        <v>66787400</v>
      </c>
      <c r="C122" s="68">
        <v>4000000</v>
      </c>
      <c r="D122" s="13">
        <v>46286</v>
      </c>
      <c r="E122" s="67">
        <f t="shared" si="2"/>
        <v>46181</v>
      </c>
      <c r="F122" s="40">
        <f t="shared" si="3"/>
        <v>46183</v>
      </c>
      <c r="G122" s="27"/>
      <c r="J122" t="s">
        <v>635</v>
      </c>
      <c r="K122" t="s">
        <v>636</v>
      </c>
      <c r="L122" s="67">
        <v>46178</v>
      </c>
      <c r="M122">
        <v>23679</v>
      </c>
      <c r="N122">
        <v>78055925</v>
      </c>
      <c r="O122" t="s">
        <v>649</v>
      </c>
      <c r="P122" t="s">
        <v>653</v>
      </c>
      <c r="Q122">
        <v>1130000</v>
      </c>
      <c r="R122" t="s">
        <v>600</v>
      </c>
      <c r="S122" t="s">
        <v>639</v>
      </c>
      <c r="T122" t="s">
        <v>654</v>
      </c>
      <c r="U122" t="s">
        <v>639</v>
      </c>
      <c r="V122" t="s">
        <v>655</v>
      </c>
      <c r="W122" t="s">
        <v>645</v>
      </c>
      <c r="X122" t="s">
        <v>646</v>
      </c>
    </row>
    <row r="123" spans="1:24" ht="15.75" hidden="1" customHeight="1" x14ac:dyDescent="0.25">
      <c r="A123" t="s">
        <v>611</v>
      </c>
      <c r="B123">
        <v>9564661</v>
      </c>
      <c r="C123" s="68">
        <v>4851540</v>
      </c>
      <c r="D123" s="13">
        <v>46287</v>
      </c>
      <c r="E123" s="67">
        <f t="shared" si="2"/>
        <v>46181</v>
      </c>
      <c r="F123" s="40">
        <f t="shared" si="3"/>
        <v>46183</v>
      </c>
      <c r="G123" s="27"/>
      <c r="J123" t="s">
        <v>635</v>
      </c>
      <c r="K123" t="s">
        <v>636</v>
      </c>
      <c r="L123" s="67">
        <v>46178</v>
      </c>
      <c r="M123">
        <v>23686</v>
      </c>
      <c r="N123">
        <v>78055932</v>
      </c>
      <c r="O123" t="s">
        <v>649</v>
      </c>
      <c r="P123" t="s">
        <v>653</v>
      </c>
      <c r="Q123">
        <v>1480000</v>
      </c>
      <c r="R123" t="s">
        <v>600</v>
      </c>
      <c r="S123" t="s">
        <v>639</v>
      </c>
      <c r="T123" t="s">
        <v>654</v>
      </c>
      <c r="U123" t="s">
        <v>639</v>
      </c>
      <c r="V123" t="s">
        <v>655</v>
      </c>
      <c r="W123" t="s">
        <v>645</v>
      </c>
      <c r="X123" t="s">
        <v>646</v>
      </c>
    </row>
    <row r="124" spans="1:24" ht="15.75" hidden="1" customHeight="1" x14ac:dyDescent="0.25">
      <c r="A124" t="s">
        <v>611</v>
      </c>
      <c r="B124">
        <v>9564662</v>
      </c>
      <c r="C124" s="68">
        <v>4700000</v>
      </c>
      <c r="D124" s="13">
        <v>46288</v>
      </c>
      <c r="E124" s="67">
        <f t="shared" si="2"/>
        <v>46181</v>
      </c>
      <c r="F124" s="40">
        <f t="shared" si="3"/>
        <v>46183</v>
      </c>
      <c r="G124" s="27"/>
      <c r="J124" t="s">
        <v>635</v>
      </c>
      <c r="K124" t="s">
        <v>636</v>
      </c>
      <c r="L124" s="67">
        <v>46178</v>
      </c>
      <c r="M124">
        <v>23707</v>
      </c>
      <c r="N124">
        <v>29302289</v>
      </c>
      <c r="O124" t="s">
        <v>649</v>
      </c>
      <c r="P124" t="s">
        <v>670</v>
      </c>
      <c r="Q124">
        <v>465356.51</v>
      </c>
      <c r="R124" t="s">
        <v>605</v>
      </c>
      <c r="S124" t="s">
        <v>639</v>
      </c>
      <c r="T124" t="s">
        <v>671</v>
      </c>
      <c r="U124" t="s">
        <v>639</v>
      </c>
      <c r="V124" t="s">
        <v>672</v>
      </c>
      <c r="W124" t="s">
        <v>645</v>
      </c>
      <c r="X124" t="s">
        <v>646</v>
      </c>
    </row>
    <row r="125" spans="1:24" ht="15.75" hidden="1" customHeight="1" x14ac:dyDescent="0.25">
      <c r="A125" t="s">
        <v>611</v>
      </c>
      <c r="B125">
        <v>9564663</v>
      </c>
      <c r="C125" s="68">
        <v>4700000</v>
      </c>
      <c r="D125" s="13">
        <v>46289</v>
      </c>
      <c r="E125" s="67">
        <f t="shared" si="2"/>
        <v>46181</v>
      </c>
      <c r="F125" s="40">
        <f t="shared" si="3"/>
        <v>46183</v>
      </c>
      <c r="G125" s="27"/>
      <c r="J125" t="s">
        <v>635</v>
      </c>
      <c r="K125" t="s">
        <v>636</v>
      </c>
      <c r="L125" s="67">
        <v>46178</v>
      </c>
      <c r="M125">
        <v>23723</v>
      </c>
      <c r="N125">
        <v>78055942</v>
      </c>
      <c r="O125" t="s">
        <v>649</v>
      </c>
      <c r="P125" t="s">
        <v>653</v>
      </c>
      <c r="Q125">
        <v>1440000</v>
      </c>
      <c r="R125" t="s">
        <v>600</v>
      </c>
      <c r="S125" t="s">
        <v>639</v>
      </c>
      <c r="T125" t="s">
        <v>654</v>
      </c>
      <c r="U125" t="s">
        <v>639</v>
      </c>
      <c r="V125" t="s">
        <v>655</v>
      </c>
      <c r="W125" t="s">
        <v>645</v>
      </c>
      <c r="X125" t="s">
        <v>646</v>
      </c>
    </row>
    <row r="126" spans="1:24" ht="15.75" hidden="1" customHeight="1" x14ac:dyDescent="0.25">
      <c r="A126" t="s">
        <v>611</v>
      </c>
      <c r="B126">
        <v>9564664</v>
      </c>
      <c r="C126" s="68">
        <v>4700000</v>
      </c>
      <c r="D126" s="13">
        <v>46290</v>
      </c>
      <c r="E126" s="67">
        <f t="shared" si="2"/>
        <v>46181</v>
      </c>
      <c r="F126" s="40">
        <f t="shared" si="3"/>
        <v>46183</v>
      </c>
      <c r="G126" s="27"/>
      <c r="J126" t="s">
        <v>635</v>
      </c>
      <c r="K126" t="s">
        <v>636</v>
      </c>
      <c r="L126" s="67">
        <v>46178</v>
      </c>
      <c r="M126">
        <v>23741</v>
      </c>
      <c r="N126">
        <v>13653579</v>
      </c>
      <c r="O126" t="s">
        <v>649</v>
      </c>
      <c r="P126" t="s">
        <v>650</v>
      </c>
      <c r="Q126">
        <v>2250000</v>
      </c>
      <c r="R126" t="s">
        <v>604</v>
      </c>
      <c r="S126" t="s">
        <v>639</v>
      </c>
      <c r="T126" t="s">
        <v>651</v>
      </c>
      <c r="U126" t="s">
        <v>639</v>
      </c>
      <c r="V126" t="s">
        <v>652</v>
      </c>
      <c r="W126" t="s">
        <v>645</v>
      </c>
      <c r="X126" t="s">
        <v>646</v>
      </c>
    </row>
    <row r="127" spans="1:24" ht="15.75" hidden="1" customHeight="1" x14ac:dyDescent="0.25">
      <c r="A127" t="s">
        <v>659</v>
      </c>
      <c r="B127">
        <v>90028097</v>
      </c>
      <c r="C127" s="68">
        <v>5540000</v>
      </c>
      <c r="D127" s="13">
        <v>46291</v>
      </c>
      <c r="E127" s="67">
        <f t="shared" si="2"/>
        <v>46181</v>
      </c>
      <c r="F127" s="40">
        <f t="shared" si="3"/>
        <v>46183</v>
      </c>
      <c r="G127" s="27"/>
      <c r="J127" t="s">
        <v>635</v>
      </c>
      <c r="K127" t="s">
        <v>636</v>
      </c>
      <c r="L127" s="67">
        <v>46178</v>
      </c>
      <c r="M127">
        <v>23803</v>
      </c>
      <c r="N127">
        <v>67175571</v>
      </c>
      <c r="O127" t="s">
        <v>649</v>
      </c>
      <c r="P127" t="s">
        <v>666</v>
      </c>
      <c r="Q127">
        <v>7200000</v>
      </c>
      <c r="R127" t="s">
        <v>601</v>
      </c>
      <c r="S127" t="s">
        <v>639</v>
      </c>
      <c r="T127" t="s">
        <v>643</v>
      </c>
      <c r="U127" t="s">
        <v>639</v>
      </c>
      <c r="V127" t="s">
        <v>668</v>
      </c>
      <c r="W127" t="s">
        <v>645</v>
      </c>
      <c r="X127" t="s">
        <v>646</v>
      </c>
    </row>
    <row r="128" spans="1:24" ht="15.75" hidden="1" customHeight="1" x14ac:dyDescent="0.25">
      <c r="A128" t="s">
        <v>606</v>
      </c>
      <c r="B128">
        <v>4775</v>
      </c>
      <c r="C128" s="68">
        <v>1300000</v>
      </c>
      <c r="D128" s="13">
        <v>46292</v>
      </c>
      <c r="E128" s="67">
        <f t="shared" si="2"/>
        <v>46182</v>
      </c>
      <c r="F128" s="40">
        <f t="shared" si="3"/>
        <v>46184</v>
      </c>
      <c r="G128" s="27"/>
      <c r="J128" t="s">
        <v>635</v>
      </c>
      <c r="K128" t="s">
        <v>636</v>
      </c>
      <c r="L128" s="67">
        <v>46181</v>
      </c>
      <c r="M128">
        <v>23614</v>
      </c>
      <c r="N128">
        <v>4720</v>
      </c>
      <c r="O128" t="s">
        <v>649</v>
      </c>
      <c r="P128" t="s">
        <v>662</v>
      </c>
      <c r="Q128">
        <v>949750</v>
      </c>
      <c r="R128" t="s">
        <v>606</v>
      </c>
      <c r="S128" t="s">
        <v>639</v>
      </c>
      <c r="T128" t="s">
        <v>673</v>
      </c>
      <c r="U128" t="s">
        <v>639</v>
      </c>
      <c r="V128" t="s">
        <v>664</v>
      </c>
      <c r="W128" t="s">
        <v>645</v>
      </c>
      <c r="X128" t="s">
        <v>646</v>
      </c>
    </row>
    <row r="129" spans="1:24" ht="15.75" hidden="1" customHeight="1" x14ac:dyDescent="0.25">
      <c r="A129" t="s">
        <v>606</v>
      </c>
      <c r="B129">
        <v>4786</v>
      </c>
      <c r="C129" s="68">
        <v>1300000</v>
      </c>
      <c r="D129" s="13">
        <v>46293</v>
      </c>
      <c r="E129" s="67">
        <f t="shared" si="2"/>
        <v>46182</v>
      </c>
      <c r="F129" s="40">
        <f t="shared" si="3"/>
        <v>46184</v>
      </c>
      <c r="G129" s="27"/>
      <c r="J129" t="s">
        <v>635</v>
      </c>
      <c r="K129" t="s">
        <v>636</v>
      </c>
      <c r="L129" s="67">
        <v>46181</v>
      </c>
      <c r="M129">
        <v>23632</v>
      </c>
      <c r="N129">
        <v>4774</v>
      </c>
      <c r="O129" t="s">
        <v>649</v>
      </c>
      <c r="P129" t="s">
        <v>662</v>
      </c>
      <c r="Q129">
        <v>1300000</v>
      </c>
      <c r="R129" t="s">
        <v>606</v>
      </c>
      <c r="S129" t="s">
        <v>639</v>
      </c>
      <c r="T129" t="s">
        <v>673</v>
      </c>
      <c r="U129" t="s">
        <v>639</v>
      </c>
      <c r="V129" t="s">
        <v>664</v>
      </c>
      <c r="W129" t="s">
        <v>645</v>
      </c>
      <c r="X129" t="s">
        <v>646</v>
      </c>
    </row>
    <row r="130" spans="1:24" ht="15.75" hidden="1" customHeight="1" x14ac:dyDescent="0.25">
      <c r="A130" t="s">
        <v>600</v>
      </c>
      <c r="B130">
        <v>78055917</v>
      </c>
      <c r="C130" s="68">
        <v>1143500</v>
      </c>
      <c r="D130" s="13">
        <v>46294</v>
      </c>
      <c r="E130" s="67">
        <f t="shared" si="2"/>
        <v>46182</v>
      </c>
      <c r="F130" s="40">
        <f t="shared" si="3"/>
        <v>46184</v>
      </c>
      <c r="G130" s="27"/>
      <c r="J130" t="s">
        <v>635</v>
      </c>
      <c r="K130" t="s">
        <v>636</v>
      </c>
      <c r="L130" s="67">
        <v>46181</v>
      </c>
      <c r="M130">
        <v>23638</v>
      </c>
      <c r="N130">
        <v>4785</v>
      </c>
      <c r="O130" t="s">
        <v>649</v>
      </c>
      <c r="P130" t="s">
        <v>662</v>
      </c>
      <c r="Q130">
        <v>1300000</v>
      </c>
      <c r="R130" t="s">
        <v>606</v>
      </c>
      <c r="S130" t="s">
        <v>639</v>
      </c>
      <c r="T130" t="s">
        <v>673</v>
      </c>
      <c r="U130" t="s">
        <v>639</v>
      </c>
      <c r="V130" t="s">
        <v>664</v>
      </c>
      <c r="W130" t="s">
        <v>645</v>
      </c>
      <c r="X130" t="s">
        <v>646</v>
      </c>
    </row>
    <row r="131" spans="1:24" ht="15.75" hidden="1" customHeight="1" x14ac:dyDescent="0.25">
      <c r="A131" t="s">
        <v>600</v>
      </c>
      <c r="B131">
        <v>78055927</v>
      </c>
      <c r="C131" s="68">
        <v>1130000</v>
      </c>
      <c r="D131" s="13">
        <v>46295</v>
      </c>
      <c r="E131" s="67">
        <f t="shared" si="2"/>
        <v>46182</v>
      </c>
      <c r="F131" s="40">
        <f t="shared" si="3"/>
        <v>46184</v>
      </c>
      <c r="G131" s="27"/>
      <c r="J131" t="s">
        <v>635</v>
      </c>
      <c r="K131" t="s">
        <v>636</v>
      </c>
      <c r="L131" s="67">
        <v>46181</v>
      </c>
      <c r="M131">
        <v>23652</v>
      </c>
      <c r="N131">
        <v>9845354</v>
      </c>
      <c r="O131" t="s">
        <v>649</v>
      </c>
      <c r="P131" t="s">
        <v>642</v>
      </c>
      <c r="Q131">
        <v>18288270</v>
      </c>
      <c r="R131" t="s">
        <v>614</v>
      </c>
      <c r="S131" t="s">
        <v>639</v>
      </c>
      <c r="T131" t="s">
        <v>674</v>
      </c>
      <c r="U131" t="s">
        <v>639</v>
      </c>
      <c r="V131" t="s">
        <v>644</v>
      </c>
      <c r="W131" t="s">
        <v>645</v>
      </c>
      <c r="X131" t="s">
        <v>646</v>
      </c>
    </row>
    <row r="132" spans="1:24" ht="15.75" hidden="1" customHeight="1" x14ac:dyDescent="0.25">
      <c r="A132" t="s">
        <v>600</v>
      </c>
      <c r="B132">
        <v>78055934</v>
      </c>
      <c r="C132" s="68">
        <v>1480000</v>
      </c>
      <c r="D132" s="13">
        <v>46296</v>
      </c>
      <c r="E132" s="67">
        <f t="shared" si="2"/>
        <v>46182</v>
      </c>
      <c r="F132" s="40">
        <f t="shared" si="3"/>
        <v>46184</v>
      </c>
      <c r="G132" s="27"/>
      <c r="J132" t="s">
        <v>635</v>
      </c>
      <c r="K132" t="s">
        <v>636</v>
      </c>
      <c r="L132" s="67">
        <v>46181</v>
      </c>
      <c r="M132">
        <v>23656</v>
      </c>
      <c r="N132">
        <v>29265628</v>
      </c>
      <c r="O132" t="s">
        <v>649</v>
      </c>
      <c r="P132" t="s">
        <v>670</v>
      </c>
      <c r="Q132">
        <v>14826240</v>
      </c>
      <c r="R132" t="s">
        <v>613</v>
      </c>
      <c r="S132" t="s">
        <v>639</v>
      </c>
      <c r="T132" t="s">
        <v>677</v>
      </c>
      <c r="U132" t="s">
        <v>639</v>
      </c>
      <c r="V132" t="s">
        <v>672</v>
      </c>
      <c r="W132" t="s">
        <v>645</v>
      </c>
      <c r="X132" t="s">
        <v>646</v>
      </c>
    </row>
    <row r="133" spans="1:24" ht="15.75" hidden="1" customHeight="1" x14ac:dyDescent="0.25">
      <c r="A133" t="s">
        <v>600</v>
      </c>
      <c r="B133">
        <v>78055944</v>
      </c>
      <c r="C133" s="68">
        <v>1440000</v>
      </c>
      <c r="D133" s="13">
        <v>46297</v>
      </c>
      <c r="E133" s="67">
        <f t="shared" ref="E133:E196" si="4">+L165</f>
        <v>46182</v>
      </c>
      <c r="F133" s="40">
        <f t="shared" ref="F133:F196" si="5">+E133+2</f>
        <v>46184</v>
      </c>
      <c r="G133" s="27"/>
      <c r="J133" t="s">
        <v>635</v>
      </c>
      <c r="K133" t="s">
        <v>636</v>
      </c>
      <c r="L133" s="67">
        <v>46181</v>
      </c>
      <c r="M133">
        <v>23669</v>
      </c>
      <c r="N133">
        <v>78055916</v>
      </c>
      <c r="O133" t="s">
        <v>649</v>
      </c>
      <c r="P133" t="s">
        <v>653</v>
      </c>
      <c r="Q133">
        <v>1130000</v>
      </c>
      <c r="R133" t="s">
        <v>600</v>
      </c>
      <c r="S133" t="s">
        <v>639</v>
      </c>
      <c r="T133" t="s">
        <v>654</v>
      </c>
      <c r="U133" t="s">
        <v>639</v>
      </c>
      <c r="V133" t="s">
        <v>655</v>
      </c>
      <c r="W133" t="s">
        <v>645</v>
      </c>
      <c r="X133" t="s">
        <v>646</v>
      </c>
    </row>
    <row r="134" spans="1:24" ht="15.75" hidden="1" customHeight="1" x14ac:dyDescent="0.25">
      <c r="A134" t="s">
        <v>599</v>
      </c>
      <c r="B134">
        <v>12924538</v>
      </c>
      <c r="C134" s="68">
        <v>10000000</v>
      </c>
      <c r="D134" s="13">
        <v>46298</v>
      </c>
      <c r="E134" s="67">
        <f t="shared" si="4"/>
        <v>46182</v>
      </c>
      <c r="F134" s="40">
        <f t="shared" si="5"/>
        <v>46184</v>
      </c>
      <c r="G134" s="27"/>
      <c r="J134" t="s">
        <v>635</v>
      </c>
      <c r="K134" t="s">
        <v>636</v>
      </c>
      <c r="L134" s="67">
        <v>46181</v>
      </c>
      <c r="M134">
        <v>23680</v>
      </c>
      <c r="N134">
        <v>78055926</v>
      </c>
      <c r="O134" t="s">
        <v>649</v>
      </c>
      <c r="P134" t="s">
        <v>653</v>
      </c>
      <c r="Q134">
        <v>1130000</v>
      </c>
      <c r="R134" t="s">
        <v>600</v>
      </c>
      <c r="S134" t="s">
        <v>639</v>
      </c>
      <c r="T134" t="s">
        <v>654</v>
      </c>
      <c r="U134" t="s">
        <v>639</v>
      </c>
      <c r="V134" t="s">
        <v>655</v>
      </c>
      <c r="W134" t="s">
        <v>645</v>
      </c>
      <c r="X134" t="s">
        <v>646</v>
      </c>
    </row>
    <row r="135" spans="1:24" ht="15.75" hidden="1" customHeight="1" x14ac:dyDescent="0.25">
      <c r="A135" t="s">
        <v>606</v>
      </c>
      <c r="B135">
        <v>4776</v>
      </c>
      <c r="C135" s="68">
        <v>1300000</v>
      </c>
      <c r="D135" s="13">
        <v>46299</v>
      </c>
      <c r="E135" s="67">
        <f t="shared" si="4"/>
        <v>46183</v>
      </c>
      <c r="F135" s="40">
        <f t="shared" si="5"/>
        <v>46185</v>
      </c>
      <c r="G135" s="27"/>
      <c r="J135" t="s">
        <v>635</v>
      </c>
      <c r="K135" t="s">
        <v>636</v>
      </c>
      <c r="L135" s="67">
        <v>46181</v>
      </c>
      <c r="M135">
        <v>23687</v>
      </c>
      <c r="N135">
        <v>78055933</v>
      </c>
      <c r="O135" t="s">
        <v>649</v>
      </c>
      <c r="P135" t="s">
        <v>653</v>
      </c>
      <c r="Q135">
        <v>1480000</v>
      </c>
      <c r="R135" t="s">
        <v>600</v>
      </c>
      <c r="S135" t="s">
        <v>639</v>
      </c>
      <c r="T135" t="s">
        <v>654</v>
      </c>
      <c r="U135" t="s">
        <v>639</v>
      </c>
      <c r="V135" t="s">
        <v>655</v>
      </c>
      <c r="W135" t="s">
        <v>645</v>
      </c>
      <c r="X135" t="s">
        <v>646</v>
      </c>
    </row>
    <row r="136" spans="1:24" ht="15.75" hidden="1" customHeight="1" x14ac:dyDescent="0.25">
      <c r="A136" t="s">
        <v>606</v>
      </c>
      <c r="B136">
        <v>4787</v>
      </c>
      <c r="C136" s="68">
        <v>1162600</v>
      </c>
      <c r="D136" s="13">
        <v>46300</v>
      </c>
      <c r="E136" s="67">
        <f t="shared" si="4"/>
        <v>46183</v>
      </c>
      <c r="F136" s="40">
        <f t="shared" si="5"/>
        <v>46185</v>
      </c>
      <c r="G136" s="27"/>
      <c r="J136" t="s">
        <v>635</v>
      </c>
      <c r="K136" t="s">
        <v>636</v>
      </c>
      <c r="L136" s="67">
        <v>46181</v>
      </c>
      <c r="M136">
        <v>23696</v>
      </c>
      <c r="N136">
        <v>9564668</v>
      </c>
      <c r="O136" t="s">
        <v>649</v>
      </c>
      <c r="P136" t="s">
        <v>642</v>
      </c>
      <c r="Q136">
        <v>6348840</v>
      </c>
      <c r="R136" t="s">
        <v>611</v>
      </c>
      <c r="S136" t="s">
        <v>639</v>
      </c>
      <c r="T136" t="s">
        <v>679</v>
      </c>
      <c r="U136" t="s">
        <v>639</v>
      </c>
      <c r="V136" t="s">
        <v>644</v>
      </c>
      <c r="W136" t="s">
        <v>645</v>
      </c>
      <c r="X136" t="s">
        <v>646</v>
      </c>
    </row>
    <row r="137" spans="1:24" ht="15.75" hidden="1" customHeight="1" x14ac:dyDescent="0.25">
      <c r="A137" t="s">
        <v>614</v>
      </c>
      <c r="B137">
        <v>9845358</v>
      </c>
      <c r="C137" s="68">
        <v>26628525</v>
      </c>
      <c r="D137" s="13">
        <v>46301</v>
      </c>
      <c r="E137" s="67">
        <f t="shared" si="4"/>
        <v>46183</v>
      </c>
      <c r="F137" s="40">
        <f t="shared" si="5"/>
        <v>46185</v>
      </c>
      <c r="G137" s="27"/>
      <c r="J137" t="s">
        <v>635</v>
      </c>
      <c r="K137" t="s">
        <v>636</v>
      </c>
      <c r="L137" s="67">
        <v>46181</v>
      </c>
      <c r="M137">
        <v>23697</v>
      </c>
      <c r="N137">
        <v>9564669</v>
      </c>
      <c r="O137" t="s">
        <v>649</v>
      </c>
      <c r="P137" t="s">
        <v>642</v>
      </c>
      <c r="Q137">
        <v>6000000</v>
      </c>
      <c r="R137" t="s">
        <v>611</v>
      </c>
      <c r="S137" t="s">
        <v>639</v>
      </c>
      <c r="T137" t="s">
        <v>679</v>
      </c>
      <c r="U137" t="s">
        <v>639</v>
      </c>
      <c r="V137" t="s">
        <v>644</v>
      </c>
      <c r="W137" t="s">
        <v>645</v>
      </c>
      <c r="X137" t="s">
        <v>646</v>
      </c>
    </row>
    <row r="138" spans="1:24" ht="15.75" hidden="1" customHeight="1" x14ac:dyDescent="0.25">
      <c r="A138" t="s">
        <v>614</v>
      </c>
      <c r="B138">
        <v>9845359</v>
      </c>
      <c r="C138" s="68">
        <v>26628525</v>
      </c>
      <c r="D138" s="13">
        <v>46302</v>
      </c>
      <c r="E138" s="67">
        <f t="shared" si="4"/>
        <v>46183</v>
      </c>
      <c r="F138" s="40">
        <f t="shared" si="5"/>
        <v>46185</v>
      </c>
      <c r="G138" s="27"/>
      <c r="J138" t="s">
        <v>635</v>
      </c>
      <c r="K138" t="s">
        <v>636</v>
      </c>
      <c r="L138" s="67">
        <v>46181</v>
      </c>
      <c r="M138">
        <v>23698</v>
      </c>
      <c r="N138">
        <v>9564670</v>
      </c>
      <c r="O138" t="s">
        <v>649</v>
      </c>
      <c r="P138" t="s">
        <v>642</v>
      </c>
      <c r="Q138">
        <v>6000000</v>
      </c>
      <c r="R138" t="s">
        <v>611</v>
      </c>
      <c r="S138" t="s">
        <v>639</v>
      </c>
      <c r="T138" t="s">
        <v>679</v>
      </c>
      <c r="U138" t="s">
        <v>639</v>
      </c>
      <c r="V138" t="s">
        <v>644</v>
      </c>
      <c r="W138" t="s">
        <v>645</v>
      </c>
      <c r="X138" t="s">
        <v>646</v>
      </c>
    </row>
    <row r="139" spans="1:24" ht="15.75" customHeight="1" x14ac:dyDescent="0.25">
      <c r="A139" t="s">
        <v>615</v>
      </c>
      <c r="B139">
        <v>1580</v>
      </c>
      <c r="C139" s="68">
        <v>22500000</v>
      </c>
      <c r="D139" s="13">
        <v>46303</v>
      </c>
      <c r="E139" s="67">
        <f t="shared" si="4"/>
        <v>46183</v>
      </c>
      <c r="F139" s="40">
        <f t="shared" si="5"/>
        <v>46185</v>
      </c>
      <c r="G139" s="27"/>
      <c r="J139" t="s">
        <v>635</v>
      </c>
      <c r="K139" t="s">
        <v>636</v>
      </c>
      <c r="L139" s="67">
        <v>46181</v>
      </c>
      <c r="M139">
        <v>23699</v>
      </c>
      <c r="N139">
        <v>9564671</v>
      </c>
      <c r="O139" t="s">
        <v>649</v>
      </c>
      <c r="P139" t="s">
        <v>642</v>
      </c>
      <c r="Q139">
        <v>6000000</v>
      </c>
      <c r="R139" t="s">
        <v>611</v>
      </c>
      <c r="S139" t="s">
        <v>639</v>
      </c>
      <c r="T139" t="s">
        <v>679</v>
      </c>
      <c r="U139" t="s">
        <v>639</v>
      </c>
      <c r="V139" t="s">
        <v>644</v>
      </c>
      <c r="W139" t="s">
        <v>645</v>
      </c>
      <c r="X139" t="s">
        <v>646</v>
      </c>
    </row>
    <row r="140" spans="1:24" ht="15.75" hidden="1" customHeight="1" x14ac:dyDescent="0.25">
      <c r="A140" t="s">
        <v>599</v>
      </c>
      <c r="B140">
        <v>12924539</v>
      </c>
      <c r="C140" s="68">
        <v>10000000</v>
      </c>
      <c r="D140" s="13">
        <v>46304</v>
      </c>
      <c r="E140" s="67">
        <f t="shared" si="4"/>
        <v>46183</v>
      </c>
      <c r="F140" s="40">
        <f t="shared" si="5"/>
        <v>46185</v>
      </c>
      <c r="G140" s="27"/>
      <c r="J140" t="s">
        <v>635</v>
      </c>
      <c r="K140" t="s">
        <v>636</v>
      </c>
      <c r="L140" s="67">
        <v>46181</v>
      </c>
      <c r="M140">
        <v>23700</v>
      </c>
      <c r="N140">
        <v>9564672</v>
      </c>
      <c r="O140" t="s">
        <v>649</v>
      </c>
      <c r="P140" t="s">
        <v>642</v>
      </c>
      <c r="Q140">
        <v>6000000</v>
      </c>
      <c r="R140" t="s">
        <v>611</v>
      </c>
      <c r="S140" t="s">
        <v>639</v>
      </c>
      <c r="T140" t="s">
        <v>679</v>
      </c>
      <c r="U140" t="s">
        <v>639</v>
      </c>
      <c r="V140" t="s">
        <v>644</v>
      </c>
      <c r="W140" t="s">
        <v>645</v>
      </c>
      <c r="X140" t="s">
        <v>646</v>
      </c>
    </row>
    <row r="141" spans="1:24" ht="15.75" hidden="1" customHeight="1" x14ac:dyDescent="0.25">
      <c r="A141" t="s">
        <v>608</v>
      </c>
      <c r="B141">
        <v>66787457</v>
      </c>
      <c r="C141" s="68">
        <v>4000000</v>
      </c>
      <c r="D141" s="13">
        <v>46305</v>
      </c>
      <c r="E141" s="67">
        <f t="shared" si="4"/>
        <v>46183</v>
      </c>
      <c r="F141" s="40">
        <f t="shared" si="5"/>
        <v>46185</v>
      </c>
      <c r="G141" s="27"/>
      <c r="J141" t="s">
        <v>635</v>
      </c>
      <c r="K141" t="s">
        <v>636</v>
      </c>
      <c r="L141" s="67">
        <v>46181</v>
      </c>
      <c r="M141">
        <v>23701</v>
      </c>
      <c r="N141">
        <v>9564673</v>
      </c>
      <c r="O141" t="s">
        <v>649</v>
      </c>
      <c r="P141" t="s">
        <v>642</v>
      </c>
      <c r="Q141">
        <v>6000000</v>
      </c>
      <c r="R141" t="s">
        <v>611</v>
      </c>
      <c r="S141" t="s">
        <v>639</v>
      </c>
      <c r="T141" t="s">
        <v>679</v>
      </c>
      <c r="U141" t="s">
        <v>639</v>
      </c>
      <c r="V141" t="s">
        <v>644</v>
      </c>
      <c r="W141" t="s">
        <v>645</v>
      </c>
      <c r="X141" t="s">
        <v>646</v>
      </c>
    </row>
    <row r="142" spans="1:24" ht="15.75" hidden="1" customHeight="1" x14ac:dyDescent="0.25">
      <c r="A142" t="s">
        <v>659</v>
      </c>
      <c r="B142">
        <v>9953736</v>
      </c>
      <c r="C142" s="68">
        <v>7500000</v>
      </c>
      <c r="D142" s="13">
        <v>46306</v>
      </c>
      <c r="E142" s="67">
        <f t="shared" si="4"/>
        <v>46183</v>
      </c>
      <c r="F142" s="40">
        <f t="shared" si="5"/>
        <v>46185</v>
      </c>
      <c r="G142" s="27"/>
      <c r="J142" t="s">
        <v>635</v>
      </c>
      <c r="K142" t="s">
        <v>636</v>
      </c>
      <c r="L142" s="67">
        <v>46181</v>
      </c>
      <c r="M142">
        <v>23703</v>
      </c>
      <c r="N142">
        <v>66789124</v>
      </c>
      <c r="O142" t="s">
        <v>649</v>
      </c>
      <c r="P142" t="s">
        <v>666</v>
      </c>
      <c r="Q142">
        <v>13467723.99</v>
      </c>
      <c r="R142" t="s">
        <v>612</v>
      </c>
      <c r="S142" t="s">
        <v>639</v>
      </c>
      <c r="T142" t="s">
        <v>667</v>
      </c>
      <c r="U142" t="s">
        <v>639</v>
      </c>
      <c r="V142" t="s">
        <v>668</v>
      </c>
      <c r="W142" t="s">
        <v>645</v>
      </c>
      <c r="X142" t="s">
        <v>646</v>
      </c>
    </row>
    <row r="143" spans="1:24" ht="15.75" hidden="1" customHeight="1" x14ac:dyDescent="0.25">
      <c r="A143" t="s">
        <v>600</v>
      </c>
      <c r="B143">
        <v>78055928</v>
      </c>
      <c r="C143" s="68">
        <v>1130000</v>
      </c>
      <c r="D143" s="13">
        <v>46307</v>
      </c>
      <c r="E143" s="67">
        <f t="shared" si="4"/>
        <v>46184</v>
      </c>
      <c r="F143" s="40">
        <f t="shared" si="5"/>
        <v>46186</v>
      </c>
      <c r="G143" s="27"/>
      <c r="J143" t="s">
        <v>635</v>
      </c>
      <c r="K143" t="s">
        <v>636</v>
      </c>
      <c r="L143" s="67">
        <v>46181</v>
      </c>
      <c r="M143">
        <v>23724</v>
      </c>
      <c r="N143">
        <v>78055943</v>
      </c>
      <c r="O143" t="s">
        <v>649</v>
      </c>
      <c r="P143" t="s">
        <v>653</v>
      </c>
      <c r="Q143">
        <v>1440000</v>
      </c>
      <c r="R143" t="s">
        <v>600</v>
      </c>
      <c r="S143" t="s">
        <v>639</v>
      </c>
      <c r="T143" t="s">
        <v>654</v>
      </c>
      <c r="U143" t="s">
        <v>639</v>
      </c>
      <c r="V143" t="s">
        <v>655</v>
      </c>
      <c r="W143" t="s">
        <v>645</v>
      </c>
      <c r="X143" t="s">
        <v>646</v>
      </c>
    </row>
    <row r="144" spans="1:24" ht="15.75" hidden="1" customHeight="1" x14ac:dyDescent="0.25">
      <c r="A144" t="s">
        <v>600</v>
      </c>
      <c r="B144">
        <v>78055935</v>
      </c>
      <c r="C144" s="68">
        <v>1480000</v>
      </c>
      <c r="D144" s="13">
        <v>46308</v>
      </c>
      <c r="E144" s="67">
        <f t="shared" si="4"/>
        <v>46184</v>
      </c>
      <c r="F144" s="40">
        <f t="shared" si="5"/>
        <v>46186</v>
      </c>
      <c r="G144" s="27"/>
      <c r="J144" t="s">
        <v>635</v>
      </c>
      <c r="K144" t="s">
        <v>636</v>
      </c>
      <c r="L144" s="67">
        <v>46181</v>
      </c>
      <c r="M144">
        <v>23742</v>
      </c>
      <c r="N144">
        <v>13653580</v>
      </c>
      <c r="O144" t="s">
        <v>649</v>
      </c>
      <c r="P144" t="s">
        <v>650</v>
      </c>
      <c r="Q144">
        <v>2250000</v>
      </c>
      <c r="R144" t="s">
        <v>604</v>
      </c>
      <c r="S144" t="s">
        <v>639</v>
      </c>
      <c r="T144" t="s">
        <v>651</v>
      </c>
      <c r="U144" t="s">
        <v>639</v>
      </c>
      <c r="V144" t="s">
        <v>652</v>
      </c>
      <c r="W144" t="s">
        <v>645</v>
      </c>
      <c r="X144" t="s">
        <v>646</v>
      </c>
    </row>
    <row r="145" spans="1:24" ht="15.75" hidden="1" customHeight="1" x14ac:dyDescent="0.25">
      <c r="A145" t="s">
        <v>600</v>
      </c>
      <c r="B145">
        <v>78055945</v>
      </c>
      <c r="C145" s="68">
        <v>1440000</v>
      </c>
      <c r="D145" s="13">
        <v>46309</v>
      </c>
      <c r="E145" s="67">
        <f t="shared" si="4"/>
        <v>46184</v>
      </c>
      <c r="F145" s="40">
        <f t="shared" si="5"/>
        <v>46186</v>
      </c>
      <c r="G145" s="27"/>
      <c r="J145" t="s">
        <v>635</v>
      </c>
      <c r="K145" t="s">
        <v>636</v>
      </c>
      <c r="L145" s="67">
        <v>46181</v>
      </c>
      <c r="M145">
        <v>23743</v>
      </c>
      <c r="N145">
        <v>13653581</v>
      </c>
      <c r="O145" t="s">
        <v>649</v>
      </c>
      <c r="P145" t="s">
        <v>650</v>
      </c>
      <c r="Q145">
        <v>2250000</v>
      </c>
      <c r="R145" t="s">
        <v>604</v>
      </c>
      <c r="S145" t="s">
        <v>639</v>
      </c>
      <c r="T145" t="s">
        <v>651</v>
      </c>
      <c r="U145" t="s">
        <v>639</v>
      </c>
      <c r="V145" t="s">
        <v>652</v>
      </c>
      <c r="W145" t="s">
        <v>645</v>
      </c>
      <c r="X145" t="s">
        <v>646</v>
      </c>
    </row>
    <row r="146" spans="1:24" ht="15.75" hidden="1" customHeight="1" x14ac:dyDescent="0.25">
      <c r="A146" t="s">
        <v>599</v>
      </c>
      <c r="B146">
        <v>12924540</v>
      </c>
      <c r="C146" s="68">
        <v>10000000</v>
      </c>
      <c r="D146" s="13">
        <v>46310</v>
      </c>
      <c r="E146" s="67">
        <f t="shared" si="4"/>
        <v>46184</v>
      </c>
      <c r="F146" s="40">
        <f t="shared" si="5"/>
        <v>46186</v>
      </c>
      <c r="G146" s="27"/>
      <c r="J146" t="s">
        <v>635</v>
      </c>
      <c r="K146" t="s">
        <v>636</v>
      </c>
      <c r="L146" s="67">
        <v>46181</v>
      </c>
      <c r="M146">
        <v>23748</v>
      </c>
      <c r="N146">
        <v>147</v>
      </c>
      <c r="O146" t="s">
        <v>649</v>
      </c>
      <c r="P146" t="s">
        <v>662</v>
      </c>
      <c r="Q146">
        <v>2015000</v>
      </c>
      <c r="R146" t="s">
        <v>607</v>
      </c>
      <c r="S146" t="s">
        <v>639</v>
      </c>
      <c r="T146" t="s">
        <v>675</v>
      </c>
      <c r="U146" t="s">
        <v>639</v>
      </c>
      <c r="V146" t="s">
        <v>664</v>
      </c>
      <c r="W146" t="s">
        <v>645</v>
      </c>
      <c r="X146" t="s">
        <v>646</v>
      </c>
    </row>
    <row r="147" spans="1:24" ht="15.75" hidden="1" customHeight="1" x14ac:dyDescent="0.25">
      <c r="A147" t="s">
        <v>659</v>
      </c>
      <c r="B147">
        <v>30069126</v>
      </c>
      <c r="C147" s="68">
        <v>40518212.380000003</v>
      </c>
      <c r="D147" s="13">
        <v>46311</v>
      </c>
      <c r="E147" s="67">
        <f t="shared" si="4"/>
        <v>46184</v>
      </c>
      <c r="F147" s="40">
        <f t="shared" si="5"/>
        <v>46186</v>
      </c>
      <c r="G147" s="27"/>
      <c r="J147" t="s">
        <v>635</v>
      </c>
      <c r="K147" t="s">
        <v>636</v>
      </c>
      <c r="L147" s="67">
        <v>46181</v>
      </c>
      <c r="M147">
        <v>23749</v>
      </c>
      <c r="N147">
        <v>148</v>
      </c>
      <c r="O147" t="s">
        <v>649</v>
      </c>
      <c r="P147" t="s">
        <v>662</v>
      </c>
      <c r="Q147">
        <v>2000100</v>
      </c>
      <c r="R147" t="s">
        <v>607</v>
      </c>
      <c r="S147" t="s">
        <v>639</v>
      </c>
      <c r="T147" t="s">
        <v>675</v>
      </c>
      <c r="U147" t="s">
        <v>639</v>
      </c>
      <c r="V147" t="s">
        <v>664</v>
      </c>
      <c r="W147" t="s">
        <v>645</v>
      </c>
      <c r="X147" t="s">
        <v>646</v>
      </c>
    </row>
    <row r="148" spans="1:24" ht="15.75" hidden="1" customHeight="1" x14ac:dyDescent="0.25">
      <c r="A148" t="s">
        <v>616</v>
      </c>
      <c r="B148">
        <v>6760642</v>
      </c>
      <c r="C148" s="68">
        <v>24824194.600000001</v>
      </c>
      <c r="D148" s="13">
        <v>46312</v>
      </c>
      <c r="E148" s="67">
        <f t="shared" si="4"/>
        <v>46185</v>
      </c>
      <c r="F148" s="40">
        <f t="shared" si="5"/>
        <v>46187</v>
      </c>
      <c r="G148" s="27"/>
      <c r="J148" t="s">
        <v>635</v>
      </c>
      <c r="K148" t="s">
        <v>636</v>
      </c>
      <c r="L148" s="67">
        <v>46181</v>
      </c>
      <c r="M148">
        <v>23750</v>
      </c>
      <c r="N148">
        <v>149</v>
      </c>
      <c r="O148" t="s">
        <v>649</v>
      </c>
      <c r="P148" t="s">
        <v>662</v>
      </c>
      <c r="Q148">
        <v>3000070</v>
      </c>
      <c r="R148" t="s">
        <v>607</v>
      </c>
      <c r="S148" t="s">
        <v>639</v>
      </c>
      <c r="T148" t="s">
        <v>675</v>
      </c>
      <c r="U148" t="s">
        <v>639</v>
      </c>
      <c r="V148" t="s">
        <v>664</v>
      </c>
      <c r="W148" t="s">
        <v>645</v>
      </c>
      <c r="X148" t="s">
        <v>646</v>
      </c>
    </row>
    <row r="149" spans="1:24" ht="15.75" hidden="1" customHeight="1" x14ac:dyDescent="0.25">
      <c r="A149" t="s">
        <v>606</v>
      </c>
      <c r="B149">
        <v>4777</v>
      </c>
      <c r="C149" s="68">
        <v>1269025</v>
      </c>
      <c r="D149" s="13">
        <v>46313</v>
      </c>
      <c r="E149" s="67">
        <f t="shared" si="4"/>
        <v>46185</v>
      </c>
      <c r="F149" s="40">
        <f t="shared" si="5"/>
        <v>46187</v>
      </c>
      <c r="G149" s="27"/>
      <c r="J149" t="s">
        <v>635</v>
      </c>
      <c r="K149" t="s">
        <v>636</v>
      </c>
      <c r="L149" s="67">
        <v>46181</v>
      </c>
      <c r="M149">
        <v>23751</v>
      </c>
      <c r="N149">
        <v>150</v>
      </c>
      <c r="O149" t="s">
        <v>649</v>
      </c>
      <c r="P149" t="s">
        <v>662</v>
      </c>
      <c r="Q149">
        <v>3000007.69</v>
      </c>
      <c r="R149" t="s">
        <v>607</v>
      </c>
      <c r="S149" t="s">
        <v>639</v>
      </c>
      <c r="T149" t="s">
        <v>675</v>
      </c>
      <c r="U149" t="s">
        <v>639</v>
      </c>
      <c r="V149" t="s">
        <v>664</v>
      </c>
      <c r="W149" t="s">
        <v>645</v>
      </c>
      <c r="X149" t="s">
        <v>646</v>
      </c>
    </row>
    <row r="150" spans="1:24" ht="15.75" hidden="1" customHeight="1" x14ac:dyDescent="0.25">
      <c r="A150" t="s">
        <v>603</v>
      </c>
      <c r="B150">
        <v>6973</v>
      </c>
      <c r="C150" s="68">
        <v>43814020</v>
      </c>
      <c r="D150" s="13">
        <v>46314</v>
      </c>
      <c r="E150" s="67">
        <f t="shared" si="4"/>
        <v>46185</v>
      </c>
      <c r="F150" s="40">
        <f t="shared" si="5"/>
        <v>46187</v>
      </c>
      <c r="G150" s="27"/>
      <c r="J150" t="s">
        <v>635</v>
      </c>
      <c r="K150" t="s">
        <v>636</v>
      </c>
      <c r="L150" s="67">
        <v>46181</v>
      </c>
      <c r="M150">
        <v>23752</v>
      </c>
      <c r="N150">
        <v>144</v>
      </c>
      <c r="O150" t="s">
        <v>649</v>
      </c>
      <c r="P150" t="s">
        <v>662</v>
      </c>
      <c r="Q150">
        <v>3000818.18</v>
      </c>
      <c r="R150" t="s">
        <v>607</v>
      </c>
      <c r="S150" t="s">
        <v>639</v>
      </c>
      <c r="T150" t="s">
        <v>675</v>
      </c>
      <c r="U150" t="s">
        <v>639</v>
      </c>
      <c r="V150" t="s">
        <v>664</v>
      </c>
      <c r="W150" t="s">
        <v>645</v>
      </c>
      <c r="X150" t="s">
        <v>646</v>
      </c>
    </row>
    <row r="151" spans="1:24" ht="15.75" hidden="1" customHeight="1" x14ac:dyDescent="0.25">
      <c r="A151" t="s">
        <v>600</v>
      </c>
      <c r="B151">
        <v>78055929</v>
      </c>
      <c r="C151" s="68">
        <v>1148175</v>
      </c>
      <c r="D151" s="13">
        <v>46315</v>
      </c>
      <c r="E151" s="67">
        <f t="shared" si="4"/>
        <v>46185</v>
      </c>
      <c r="F151" s="40">
        <f t="shared" si="5"/>
        <v>46187</v>
      </c>
      <c r="G151" s="27"/>
      <c r="J151" t="s">
        <v>635</v>
      </c>
      <c r="K151" t="s">
        <v>636</v>
      </c>
      <c r="L151" s="67">
        <v>46181</v>
      </c>
      <c r="M151">
        <v>23753</v>
      </c>
      <c r="N151">
        <v>145</v>
      </c>
      <c r="O151" t="s">
        <v>649</v>
      </c>
      <c r="P151" t="s">
        <v>662</v>
      </c>
      <c r="Q151">
        <v>3050000</v>
      </c>
      <c r="R151" t="s">
        <v>607</v>
      </c>
      <c r="S151" t="s">
        <v>639</v>
      </c>
      <c r="T151" t="s">
        <v>675</v>
      </c>
      <c r="U151" t="s">
        <v>639</v>
      </c>
      <c r="V151" t="s">
        <v>664</v>
      </c>
      <c r="W151" t="s">
        <v>645</v>
      </c>
      <c r="X151" t="s">
        <v>646</v>
      </c>
    </row>
    <row r="152" spans="1:24" ht="15.75" hidden="1" customHeight="1" x14ac:dyDescent="0.25">
      <c r="A152" t="s">
        <v>600</v>
      </c>
      <c r="B152">
        <v>78055936</v>
      </c>
      <c r="C152" s="68">
        <v>1480000</v>
      </c>
      <c r="D152" s="13">
        <v>46316</v>
      </c>
      <c r="E152" s="67">
        <f t="shared" si="4"/>
        <v>46185</v>
      </c>
      <c r="F152" s="40">
        <f t="shared" si="5"/>
        <v>46187</v>
      </c>
      <c r="G152" s="27"/>
      <c r="J152" t="s">
        <v>635</v>
      </c>
      <c r="K152" t="s">
        <v>636</v>
      </c>
      <c r="L152" s="67">
        <v>46181</v>
      </c>
      <c r="M152">
        <v>23754</v>
      </c>
      <c r="N152">
        <v>146</v>
      </c>
      <c r="O152" t="s">
        <v>649</v>
      </c>
      <c r="P152" t="s">
        <v>662</v>
      </c>
      <c r="Q152">
        <v>3004000</v>
      </c>
      <c r="R152" t="s">
        <v>607</v>
      </c>
      <c r="S152" t="s">
        <v>639</v>
      </c>
      <c r="T152" t="s">
        <v>675</v>
      </c>
      <c r="U152" t="s">
        <v>639</v>
      </c>
      <c r="V152" t="s">
        <v>664</v>
      </c>
      <c r="W152" t="s">
        <v>645</v>
      </c>
      <c r="X152" t="s">
        <v>646</v>
      </c>
    </row>
    <row r="153" spans="1:24" ht="15.75" hidden="1" customHeight="1" x14ac:dyDescent="0.25">
      <c r="A153" t="s">
        <v>605</v>
      </c>
      <c r="B153">
        <v>29273703</v>
      </c>
      <c r="C153" s="68">
        <v>1339800</v>
      </c>
      <c r="D153" s="13">
        <v>46317</v>
      </c>
      <c r="E153" s="67">
        <f t="shared" si="4"/>
        <v>46185</v>
      </c>
      <c r="F153" s="40">
        <f t="shared" si="5"/>
        <v>46187</v>
      </c>
      <c r="G153" s="27"/>
      <c r="J153" t="s">
        <v>635</v>
      </c>
      <c r="K153" t="s">
        <v>636</v>
      </c>
      <c r="L153" s="67">
        <v>46181</v>
      </c>
      <c r="M153">
        <v>23761</v>
      </c>
      <c r="N153">
        <v>12924537</v>
      </c>
      <c r="O153" t="s">
        <v>649</v>
      </c>
      <c r="P153" t="s">
        <v>642</v>
      </c>
      <c r="Q153">
        <v>10000000</v>
      </c>
      <c r="R153" t="s">
        <v>599</v>
      </c>
      <c r="S153" t="s">
        <v>639</v>
      </c>
      <c r="T153" t="s">
        <v>680</v>
      </c>
      <c r="U153" t="s">
        <v>639</v>
      </c>
      <c r="V153" t="s">
        <v>644</v>
      </c>
      <c r="W153" t="s">
        <v>639</v>
      </c>
      <c r="X153" t="s">
        <v>639</v>
      </c>
    </row>
    <row r="154" spans="1:24" ht="15.75" hidden="1" customHeight="1" x14ac:dyDescent="0.25">
      <c r="A154" t="s">
        <v>600</v>
      </c>
      <c r="B154">
        <v>78055946</v>
      </c>
      <c r="C154" s="68">
        <v>1440000</v>
      </c>
      <c r="D154" s="13">
        <v>46318</v>
      </c>
      <c r="E154" s="67">
        <f t="shared" si="4"/>
        <v>46185</v>
      </c>
      <c r="F154" s="40">
        <f t="shared" si="5"/>
        <v>46187</v>
      </c>
      <c r="G154" s="27"/>
      <c r="J154" t="s">
        <v>635</v>
      </c>
      <c r="K154" t="s">
        <v>636</v>
      </c>
      <c r="L154" s="67">
        <v>46181</v>
      </c>
      <c r="M154">
        <v>23768</v>
      </c>
      <c r="N154">
        <v>66787400</v>
      </c>
      <c r="O154" t="s">
        <v>649</v>
      </c>
      <c r="P154" t="s">
        <v>666</v>
      </c>
      <c r="Q154">
        <v>4000000</v>
      </c>
      <c r="R154" t="s">
        <v>608</v>
      </c>
      <c r="S154" t="s">
        <v>639</v>
      </c>
      <c r="T154" t="s">
        <v>669</v>
      </c>
      <c r="U154" t="s">
        <v>639</v>
      </c>
      <c r="V154" t="s">
        <v>668</v>
      </c>
      <c r="W154" t="s">
        <v>645</v>
      </c>
      <c r="X154" t="s">
        <v>646</v>
      </c>
    </row>
    <row r="155" spans="1:24" ht="15.75" customHeight="1" x14ac:dyDescent="0.25">
      <c r="A155" t="s">
        <v>615</v>
      </c>
      <c r="B155">
        <v>1581</v>
      </c>
      <c r="C155" s="68">
        <v>21500000</v>
      </c>
      <c r="D155" s="13">
        <v>46319</v>
      </c>
      <c r="E155" s="67">
        <f t="shared" si="4"/>
        <v>46185</v>
      </c>
      <c r="F155" s="40">
        <f t="shared" si="5"/>
        <v>46187</v>
      </c>
      <c r="G155" s="27"/>
      <c r="J155" t="s">
        <v>635</v>
      </c>
      <c r="K155" t="s">
        <v>636</v>
      </c>
      <c r="L155" s="67">
        <v>46181</v>
      </c>
      <c r="M155">
        <v>23772</v>
      </c>
      <c r="N155">
        <v>9564661</v>
      </c>
      <c r="O155" t="s">
        <v>649</v>
      </c>
      <c r="P155" t="s">
        <v>642</v>
      </c>
      <c r="Q155">
        <v>4851540</v>
      </c>
      <c r="R155" t="s">
        <v>611</v>
      </c>
      <c r="S155" t="s">
        <v>639</v>
      </c>
      <c r="T155" t="s">
        <v>679</v>
      </c>
      <c r="U155" t="s">
        <v>639</v>
      </c>
      <c r="V155" t="s">
        <v>644</v>
      </c>
      <c r="W155" t="s">
        <v>645</v>
      </c>
      <c r="X155" t="s">
        <v>646</v>
      </c>
    </row>
    <row r="156" spans="1:24" ht="15.75" hidden="1" customHeight="1" x14ac:dyDescent="0.25">
      <c r="A156" t="s">
        <v>599</v>
      </c>
      <c r="B156">
        <v>12924541</v>
      </c>
      <c r="C156" s="68">
        <v>8228865</v>
      </c>
      <c r="D156" s="13">
        <v>46320</v>
      </c>
      <c r="E156" s="67">
        <f t="shared" si="4"/>
        <v>46185</v>
      </c>
      <c r="F156" s="40">
        <f t="shared" si="5"/>
        <v>46187</v>
      </c>
      <c r="G156" s="27"/>
      <c r="J156" t="s">
        <v>635</v>
      </c>
      <c r="K156" t="s">
        <v>636</v>
      </c>
      <c r="L156" s="67">
        <v>46181</v>
      </c>
      <c r="M156">
        <v>23773</v>
      </c>
      <c r="N156">
        <v>9564662</v>
      </c>
      <c r="O156" t="s">
        <v>649</v>
      </c>
      <c r="P156" t="s">
        <v>642</v>
      </c>
      <c r="Q156">
        <v>4700000</v>
      </c>
      <c r="R156" t="s">
        <v>611</v>
      </c>
      <c r="S156" t="s">
        <v>639</v>
      </c>
      <c r="T156" t="s">
        <v>679</v>
      </c>
      <c r="U156" t="s">
        <v>639</v>
      </c>
      <c r="V156" t="s">
        <v>644</v>
      </c>
      <c r="W156" t="s">
        <v>645</v>
      </c>
      <c r="X156" t="s">
        <v>646</v>
      </c>
    </row>
    <row r="157" spans="1:24" ht="15.75" hidden="1" customHeight="1" x14ac:dyDescent="0.25">
      <c r="A157" t="s">
        <v>608</v>
      </c>
      <c r="B157">
        <v>66787525</v>
      </c>
      <c r="C157" s="68">
        <v>4000000</v>
      </c>
      <c r="D157" s="13">
        <v>46321</v>
      </c>
      <c r="E157" s="67">
        <f t="shared" si="4"/>
        <v>46185</v>
      </c>
      <c r="F157" s="40">
        <f t="shared" si="5"/>
        <v>46187</v>
      </c>
      <c r="G157" s="27"/>
      <c r="J157" t="s">
        <v>635</v>
      </c>
      <c r="K157" t="s">
        <v>636</v>
      </c>
      <c r="L157" s="67">
        <v>46181</v>
      </c>
      <c r="M157">
        <v>23774</v>
      </c>
      <c r="N157">
        <v>9564663</v>
      </c>
      <c r="O157" t="s">
        <v>649</v>
      </c>
      <c r="P157" t="s">
        <v>642</v>
      </c>
      <c r="Q157">
        <v>4700000</v>
      </c>
      <c r="R157" t="s">
        <v>611</v>
      </c>
      <c r="S157" t="s">
        <v>639</v>
      </c>
      <c r="T157" t="s">
        <v>679</v>
      </c>
      <c r="U157" t="s">
        <v>639</v>
      </c>
      <c r="V157" t="s">
        <v>644</v>
      </c>
      <c r="W157" t="s">
        <v>645</v>
      </c>
      <c r="X157" t="s">
        <v>646</v>
      </c>
    </row>
    <row r="158" spans="1:24" ht="15.75" hidden="1" customHeight="1" x14ac:dyDescent="0.25">
      <c r="A158" t="s">
        <v>608</v>
      </c>
      <c r="B158">
        <v>66787578</v>
      </c>
      <c r="C158" s="68">
        <v>250230</v>
      </c>
      <c r="D158" s="13">
        <v>46322</v>
      </c>
      <c r="E158" s="67">
        <f t="shared" si="4"/>
        <v>46185</v>
      </c>
      <c r="F158" s="40">
        <f t="shared" si="5"/>
        <v>46187</v>
      </c>
      <c r="G158" s="27"/>
      <c r="J158" t="s">
        <v>635</v>
      </c>
      <c r="K158" t="s">
        <v>636</v>
      </c>
      <c r="L158" s="67">
        <v>46181</v>
      </c>
      <c r="M158">
        <v>23775</v>
      </c>
      <c r="N158">
        <v>9564664</v>
      </c>
      <c r="O158" t="s">
        <v>649</v>
      </c>
      <c r="P158" t="s">
        <v>642</v>
      </c>
      <c r="Q158">
        <v>4700000</v>
      </c>
      <c r="R158" t="s">
        <v>611</v>
      </c>
      <c r="S158" t="s">
        <v>639</v>
      </c>
      <c r="T158" t="s">
        <v>679</v>
      </c>
      <c r="U158" t="s">
        <v>639</v>
      </c>
      <c r="V158" t="s">
        <v>644</v>
      </c>
      <c r="W158" t="s">
        <v>645</v>
      </c>
      <c r="X158" t="s">
        <v>646</v>
      </c>
    </row>
    <row r="159" spans="1:24" ht="15.75" hidden="1" customHeight="1" x14ac:dyDescent="0.25">
      <c r="A159" t="s">
        <v>601</v>
      </c>
      <c r="B159">
        <v>67175703</v>
      </c>
      <c r="C159" s="68">
        <v>7286515</v>
      </c>
      <c r="D159" s="13">
        <v>46323</v>
      </c>
      <c r="E159" s="67">
        <f t="shared" si="4"/>
        <v>46185</v>
      </c>
      <c r="F159" s="40">
        <f t="shared" si="5"/>
        <v>46187</v>
      </c>
      <c r="G159" s="27"/>
      <c r="J159" t="s">
        <v>635</v>
      </c>
      <c r="K159" t="s">
        <v>636</v>
      </c>
      <c r="L159" s="67">
        <v>46181</v>
      </c>
      <c r="M159">
        <v>23813</v>
      </c>
      <c r="N159">
        <v>90028097</v>
      </c>
      <c r="O159" t="s">
        <v>637</v>
      </c>
      <c r="P159" t="s">
        <v>656</v>
      </c>
      <c r="Q159">
        <v>5540000</v>
      </c>
      <c r="R159" t="s">
        <v>659</v>
      </c>
      <c r="S159" t="s">
        <v>639</v>
      </c>
      <c r="T159" t="s">
        <v>660</v>
      </c>
      <c r="U159" t="s">
        <v>639</v>
      </c>
      <c r="V159" t="s">
        <v>657</v>
      </c>
      <c r="W159" t="s">
        <v>645</v>
      </c>
      <c r="X159" t="s">
        <v>646</v>
      </c>
    </row>
    <row r="160" spans="1:24" ht="15.75" hidden="1" customHeight="1" x14ac:dyDescent="0.25">
      <c r="A160" t="s">
        <v>610</v>
      </c>
      <c r="B160">
        <v>9487748</v>
      </c>
      <c r="C160" s="68">
        <v>9263100</v>
      </c>
      <c r="D160" s="13">
        <v>46324</v>
      </c>
      <c r="E160" s="67">
        <f t="shared" si="4"/>
        <v>46188</v>
      </c>
      <c r="F160" s="40">
        <f t="shared" si="5"/>
        <v>46190</v>
      </c>
      <c r="G160" s="27"/>
      <c r="J160" t="s">
        <v>635</v>
      </c>
      <c r="K160" t="s">
        <v>636</v>
      </c>
      <c r="L160" s="67">
        <v>46182</v>
      </c>
      <c r="M160">
        <v>23623</v>
      </c>
      <c r="N160">
        <v>4775</v>
      </c>
      <c r="O160" t="s">
        <v>649</v>
      </c>
      <c r="P160" t="s">
        <v>662</v>
      </c>
      <c r="Q160">
        <v>1300000</v>
      </c>
      <c r="R160" t="s">
        <v>606</v>
      </c>
      <c r="S160" t="s">
        <v>639</v>
      </c>
      <c r="T160" t="s">
        <v>673</v>
      </c>
      <c r="U160" t="s">
        <v>639</v>
      </c>
      <c r="V160" t="s">
        <v>664</v>
      </c>
      <c r="W160" t="s">
        <v>645</v>
      </c>
      <c r="X160" t="s">
        <v>646</v>
      </c>
    </row>
    <row r="161" spans="1:24" ht="15.75" hidden="1" customHeight="1" x14ac:dyDescent="0.25">
      <c r="A161" t="s">
        <v>682</v>
      </c>
      <c r="B161">
        <v>90000116</v>
      </c>
      <c r="C161" s="68">
        <v>6000000</v>
      </c>
      <c r="D161" s="13">
        <v>46325</v>
      </c>
      <c r="E161" s="67">
        <f t="shared" si="4"/>
        <v>46188</v>
      </c>
      <c r="F161" s="40">
        <f t="shared" si="5"/>
        <v>46190</v>
      </c>
      <c r="G161" s="27"/>
      <c r="J161" t="s">
        <v>635</v>
      </c>
      <c r="K161" t="s">
        <v>636</v>
      </c>
      <c r="L161" s="67">
        <v>46182</v>
      </c>
      <c r="M161">
        <v>23639</v>
      </c>
      <c r="N161">
        <v>4786</v>
      </c>
      <c r="O161" t="s">
        <v>649</v>
      </c>
      <c r="P161" t="s">
        <v>662</v>
      </c>
      <c r="Q161">
        <v>1300000</v>
      </c>
      <c r="R161" t="s">
        <v>606</v>
      </c>
      <c r="S161" t="s">
        <v>639</v>
      </c>
      <c r="T161" t="s">
        <v>673</v>
      </c>
      <c r="U161" t="s">
        <v>639</v>
      </c>
      <c r="V161" t="s">
        <v>664</v>
      </c>
      <c r="W161" t="s">
        <v>645</v>
      </c>
      <c r="X161" t="s">
        <v>646</v>
      </c>
    </row>
    <row r="162" spans="1:24" ht="15.75" hidden="1" customHeight="1" x14ac:dyDescent="0.25">
      <c r="A162" t="s">
        <v>682</v>
      </c>
      <c r="B162">
        <v>90000117</v>
      </c>
      <c r="C162" s="68">
        <v>6000000</v>
      </c>
      <c r="D162" s="13">
        <v>46326</v>
      </c>
      <c r="E162" s="67">
        <f t="shared" si="4"/>
        <v>46188</v>
      </c>
      <c r="F162" s="40">
        <f t="shared" si="5"/>
        <v>46190</v>
      </c>
      <c r="G162" s="27"/>
      <c r="J162" t="s">
        <v>635</v>
      </c>
      <c r="K162" t="s">
        <v>636</v>
      </c>
      <c r="L162" s="67">
        <v>46182</v>
      </c>
      <c r="M162">
        <v>23670</v>
      </c>
      <c r="N162">
        <v>78055917</v>
      </c>
      <c r="O162" t="s">
        <v>649</v>
      </c>
      <c r="P162" t="s">
        <v>653</v>
      </c>
      <c r="Q162">
        <v>1143500</v>
      </c>
      <c r="R162" t="s">
        <v>600</v>
      </c>
      <c r="S162" t="s">
        <v>639</v>
      </c>
      <c r="T162" t="s">
        <v>654</v>
      </c>
      <c r="U162" t="s">
        <v>639</v>
      </c>
      <c r="V162" t="s">
        <v>655</v>
      </c>
      <c r="W162" t="s">
        <v>645</v>
      </c>
      <c r="X162" t="s">
        <v>646</v>
      </c>
    </row>
    <row r="163" spans="1:24" ht="15.75" hidden="1" customHeight="1" x14ac:dyDescent="0.25">
      <c r="A163" t="s">
        <v>682</v>
      </c>
      <c r="B163">
        <v>90000118</v>
      </c>
      <c r="C163" s="68">
        <v>4658569</v>
      </c>
      <c r="D163" s="13">
        <v>46327</v>
      </c>
      <c r="E163" s="67">
        <f t="shared" si="4"/>
        <v>46188</v>
      </c>
      <c r="F163" s="40">
        <f t="shared" si="5"/>
        <v>46190</v>
      </c>
      <c r="G163" s="27"/>
      <c r="J163" t="s">
        <v>635</v>
      </c>
      <c r="K163" t="s">
        <v>636</v>
      </c>
      <c r="L163" s="67">
        <v>46182</v>
      </c>
      <c r="M163">
        <v>23681</v>
      </c>
      <c r="N163">
        <v>78055927</v>
      </c>
      <c r="O163" t="s">
        <v>649</v>
      </c>
      <c r="P163" t="s">
        <v>653</v>
      </c>
      <c r="Q163">
        <v>1130000</v>
      </c>
      <c r="R163" t="s">
        <v>600</v>
      </c>
      <c r="S163" t="s">
        <v>639</v>
      </c>
      <c r="T163" t="s">
        <v>654</v>
      </c>
      <c r="U163" t="s">
        <v>639</v>
      </c>
      <c r="V163" t="s">
        <v>655</v>
      </c>
      <c r="W163" t="s">
        <v>645</v>
      </c>
      <c r="X163" t="s">
        <v>646</v>
      </c>
    </row>
    <row r="164" spans="1:24" ht="15.75" hidden="1" customHeight="1" x14ac:dyDescent="0.25">
      <c r="A164" t="s">
        <v>599</v>
      </c>
      <c r="B164">
        <v>12924553</v>
      </c>
      <c r="C164" s="68">
        <v>10000000</v>
      </c>
      <c r="D164" s="13">
        <v>46328</v>
      </c>
      <c r="E164" s="67">
        <f t="shared" si="4"/>
        <v>46188</v>
      </c>
      <c r="F164" s="40">
        <f t="shared" si="5"/>
        <v>46190</v>
      </c>
      <c r="G164" s="27"/>
      <c r="J164" t="s">
        <v>635</v>
      </c>
      <c r="K164" t="s">
        <v>636</v>
      </c>
      <c r="L164" s="67">
        <v>46182</v>
      </c>
      <c r="M164">
        <v>23688</v>
      </c>
      <c r="N164">
        <v>78055934</v>
      </c>
      <c r="O164" t="s">
        <v>649</v>
      </c>
      <c r="P164" t="s">
        <v>653</v>
      </c>
      <c r="Q164">
        <v>1480000</v>
      </c>
      <c r="R164" t="s">
        <v>600</v>
      </c>
      <c r="S164" t="s">
        <v>639</v>
      </c>
      <c r="T164" t="s">
        <v>654</v>
      </c>
      <c r="U164" t="s">
        <v>639</v>
      </c>
      <c r="V164" t="s">
        <v>655</v>
      </c>
      <c r="W164" t="s">
        <v>645</v>
      </c>
      <c r="X164" t="s">
        <v>646</v>
      </c>
    </row>
    <row r="165" spans="1:24" ht="15.75" hidden="1" customHeight="1" x14ac:dyDescent="0.25">
      <c r="A165" t="s">
        <v>599</v>
      </c>
      <c r="B165">
        <v>12924554</v>
      </c>
      <c r="C165" s="68">
        <v>10000000</v>
      </c>
      <c r="D165" s="13">
        <v>46329</v>
      </c>
      <c r="E165" s="67">
        <f t="shared" si="4"/>
        <v>46188</v>
      </c>
      <c r="F165" s="40">
        <f t="shared" si="5"/>
        <v>46190</v>
      </c>
      <c r="G165" s="27"/>
      <c r="J165" t="s">
        <v>635</v>
      </c>
      <c r="K165" t="s">
        <v>636</v>
      </c>
      <c r="L165" s="67">
        <v>46182</v>
      </c>
      <c r="M165">
        <v>23725</v>
      </c>
      <c r="N165">
        <v>78055944</v>
      </c>
      <c r="O165" t="s">
        <v>649</v>
      </c>
      <c r="P165" t="s">
        <v>653</v>
      </c>
      <c r="Q165">
        <v>1440000</v>
      </c>
      <c r="R165" t="s">
        <v>600</v>
      </c>
      <c r="S165" t="s">
        <v>639</v>
      </c>
      <c r="T165" t="s">
        <v>654</v>
      </c>
      <c r="U165" t="s">
        <v>639</v>
      </c>
      <c r="V165" t="s">
        <v>655</v>
      </c>
      <c r="W165" t="s">
        <v>645</v>
      </c>
      <c r="X165" t="s">
        <v>646</v>
      </c>
    </row>
    <row r="166" spans="1:24" ht="15.75" hidden="1" customHeight="1" x14ac:dyDescent="0.25">
      <c r="A166" t="s">
        <v>607</v>
      </c>
      <c r="B166">
        <v>152</v>
      </c>
      <c r="C166" s="68">
        <v>3004000</v>
      </c>
      <c r="D166" s="13">
        <v>46330</v>
      </c>
      <c r="E166" s="67">
        <f t="shared" si="4"/>
        <v>46188</v>
      </c>
      <c r="F166" s="40">
        <f t="shared" si="5"/>
        <v>46190</v>
      </c>
      <c r="G166" s="27"/>
      <c r="J166" t="s">
        <v>635</v>
      </c>
      <c r="K166" t="s">
        <v>636</v>
      </c>
      <c r="L166" s="67">
        <v>46182</v>
      </c>
      <c r="M166">
        <v>23762</v>
      </c>
      <c r="N166">
        <v>12924538</v>
      </c>
      <c r="O166" t="s">
        <v>649</v>
      </c>
      <c r="P166" t="s">
        <v>642</v>
      </c>
      <c r="Q166">
        <v>10000000</v>
      </c>
      <c r="R166" t="s">
        <v>599</v>
      </c>
      <c r="S166" t="s">
        <v>639</v>
      </c>
      <c r="T166" t="s">
        <v>680</v>
      </c>
      <c r="U166" t="s">
        <v>639</v>
      </c>
      <c r="V166" t="s">
        <v>644</v>
      </c>
      <c r="W166" t="s">
        <v>639</v>
      </c>
      <c r="X166" t="s">
        <v>639</v>
      </c>
    </row>
    <row r="167" spans="1:24" ht="15.75" hidden="1" customHeight="1" x14ac:dyDescent="0.25">
      <c r="A167" t="s">
        <v>607</v>
      </c>
      <c r="B167">
        <v>153</v>
      </c>
      <c r="C167" s="68">
        <v>3050000</v>
      </c>
      <c r="D167" s="13">
        <v>46331</v>
      </c>
      <c r="E167" s="67">
        <f t="shared" si="4"/>
        <v>46188</v>
      </c>
      <c r="F167" s="40">
        <f t="shared" si="5"/>
        <v>46190</v>
      </c>
      <c r="G167" s="27"/>
      <c r="J167" t="s">
        <v>635</v>
      </c>
      <c r="K167" t="s">
        <v>636</v>
      </c>
      <c r="L167" s="67">
        <v>46183</v>
      </c>
      <c r="M167">
        <v>23633</v>
      </c>
      <c r="N167">
        <v>4776</v>
      </c>
      <c r="O167" t="s">
        <v>649</v>
      </c>
      <c r="P167" t="s">
        <v>662</v>
      </c>
      <c r="Q167">
        <v>1300000</v>
      </c>
      <c r="R167" t="s">
        <v>606</v>
      </c>
      <c r="S167" t="s">
        <v>639</v>
      </c>
      <c r="T167" t="s">
        <v>673</v>
      </c>
      <c r="U167" t="s">
        <v>639</v>
      </c>
      <c r="V167" t="s">
        <v>664</v>
      </c>
      <c r="W167" t="s">
        <v>645</v>
      </c>
      <c r="X167" t="s">
        <v>646</v>
      </c>
    </row>
    <row r="168" spans="1:24" ht="15.75" hidden="1" customHeight="1" x14ac:dyDescent="0.25">
      <c r="A168" t="s">
        <v>607</v>
      </c>
      <c r="B168">
        <v>154</v>
      </c>
      <c r="C168" s="68">
        <v>1200000</v>
      </c>
      <c r="D168" s="13">
        <v>46332</v>
      </c>
      <c r="E168" s="67">
        <f t="shared" si="4"/>
        <v>46188</v>
      </c>
      <c r="F168" s="40">
        <f t="shared" si="5"/>
        <v>46190</v>
      </c>
      <c r="G168" s="27"/>
      <c r="J168" t="s">
        <v>635</v>
      </c>
      <c r="K168" t="s">
        <v>636</v>
      </c>
      <c r="L168" s="67">
        <v>46183</v>
      </c>
      <c r="M168">
        <v>23640</v>
      </c>
      <c r="N168">
        <v>4787</v>
      </c>
      <c r="O168" t="s">
        <v>649</v>
      </c>
      <c r="P168" t="s">
        <v>662</v>
      </c>
      <c r="Q168">
        <v>1162600</v>
      </c>
      <c r="R168" t="s">
        <v>606</v>
      </c>
      <c r="S168" t="s">
        <v>639</v>
      </c>
      <c r="T168" t="s">
        <v>673</v>
      </c>
      <c r="U168" t="s">
        <v>639</v>
      </c>
      <c r="V168" t="s">
        <v>664</v>
      </c>
      <c r="W168" t="s">
        <v>645</v>
      </c>
      <c r="X168" t="s">
        <v>646</v>
      </c>
    </row>
    <row r="169" spans="1:24" ht="15.75" hidden="1" customHeight="1" x14ac:dyDescent="0.25">
      <c r="A169" t="s">
        <v>600</v>
      </c>
      <c r="B169">
        <v>78055937</v>
      </c>
      <c r="C169" s="68">
        <v>1480000</v>
      </c>
      <c r="D169" s="13">
        <v>46333</v>
      </c>
      <c r="E169" s="67">
        <f t="shared" si="4"/>
        <v>46189</v>
      </c>
      <c r="F169" s="40">
        <f t="shared" si="5"/>
        <v>46191</v>
      </c>
      <c r="G169" s="27"/>
      <c r="J169" t="s">
        <v>635</v>
      </c>
      <c r="K169" t="s">
        <v>636</v>
      </c>
      <c r="L169" s="67">
        <v>46183</v>
      </c>
      <c r="M169">
        <v>23672</v>
      </c>
      <c r="N169">
        <v>9845358</v>
      </c>
      <c r="O169" t="s">
        <v>649</v>
      </c>
      <c r="P169" t="s">
        <v>642</v>
      </c>
      <c r="Q169">
        <v>26628525</v>
      </c>
      <c r="R169" t="s">
        <v>614</v>
      </c>
      <c r="S169" t="s">
        <v>639</v>
      </c>
      <c r="T169" t="s">
        <v>674</v>
      </c>
      <c r="U169" t="s">
        <v>639</v>
      </c>
      <c r="V169" t="s">
        <v>644</v>
      </c>
      <c r="W169" t="s">
        <v>645</v>
      </c>
      <c r="X169" t="s">
        <v>646</v>
      </c>
    </row>
    <row r="170" spans="1:24" ht="15.75" hidden="1" customHeight="1" x14ac:dyDescent="0.25">
      <c r="A170" t="s">
        <v>600</v>
      </c>
      <c r="B170">
        <v>78055947</v>
      </c>
      <c r="C170" s="68">
        <v>1440000</v>
      </c>
      <c r="D170" s="13">
        <v>46334</v>
      </c>
      <c r="E170" s="67">
        <f t="shared" si="4"/>
        <v>46189</v>
      </c>
      <c r="F170" s="40">
        <f t="shared" si="5"/>
        <v>46191</v>
      </c>
      <c r="G170" s="27"/>
      <c r="J170" t="s">
        <v>635</v>
      </c>
      <c r="K170" t="s">
        <v>636</v>
      </c>
      <c r="L170" s="67">
        <v>46183</v>
      </c>
      <c r="M170">
        <v>23673</v>
      </c>
      <c r="N170">
        <v>9845359</v>
      </c>
      <c r="O170" t="s">
        <v>649</v>
      </c>
      <c r="P170" t="s">
        <v>642</v>
      </c>
      <c r="Q170">
        <v>26628525</v>
      </c>
      <c r="R170" t="s">
        <v>614</v>
      </c>
      <c r="S170" t="s">
        <v>639</v>
      </c>
      <c r="T170" t="s">
        <v>674</v>
      </c>
      <c r="U170" t="s">
        <v>639</v>
      </c>
      <c r="V170" t="s">
        <v>644</v>
      </c>
      <c r="W170" t="s">
        <v>645</v>
      </c>
      <c r="X170" t="s">
        <v>646</v>
      </c>
    </row>
    <row r="171" spans="1:24" ht="15.75" hidden="1" customHeight="1" x14ac:dyDescent="0.25">
      <c r="A171" t="s">
        <v>604</v>
      </c>
      <c r="B171">
        <v>13653569</v>
      </c>
      <c r="C171" s="68">
        <v>2983045</v>
      </c>
      <c r="D171" s="13">
        <v>46335</v>
      </c>
      <c r="E171" s="67">
        <f t="shared" si="4"/>
        <v>46189</v>
      </c>
      <c r="F171" s="40">
        <f t="shared" si="5"/>
        <v>46191</v>
      </c>
      <c r="G171" s="27"/>
      <c r="J171" t="s">
        <v>635</v>
      </c>
      <c r="K171" t="s">
        <v>636</v>
      </c>
      <c r="L171" s="67">
        <v>46183</v>
      </c>
      <c r="M171">
        <v>23745</v>
      </c>
      <c r="N171">
        <v>1580</v>
      </c>
      <c r="O171" t="s">
        <v>649</v>
      </c>
      <c r="P171" t="s">
        <v>662</v>
      </c>
      <c r="Q171">
        <v>22500000</v>
      </c>
      <c r="R171" t="s">
        <v>615</v>
      </c>
      <c r="S171" t="s">
        <v>639</v>
      </c>
      <c r="T171" t="s">
        <v>678</v>
      </c>
      <c r="U171" t="s">
        <v>639</v>
      </c>
      <c r="V171" t="s">
        <v>664</v>
      </c>
      <c r="W171" t="s">
        <v>645</v>
      </c>
      <c r="X171" t="s">
        <v>646</v>
      </c>
    </row>
    <row r="172" spans="1:24" ht="15.75" hidden="1" customHeight="1" x14ac:dyDescent="0.25">
      <c r="A172" t="s">
        <v>606</v>
      </c>
      <c r="B172">
        <v>4857</v>
      </c>
      <c r="C172" s="68">
        <v>1300000</v>
      </c>
      <c r="D172" s="13">
        <v>46336</v>
      </c>
      <c r="E172" s="67">
        <f t="shared" si="4"/>
        <v>46189</v>
      </c>
      <c r="F172" s="40">
        <f t="shared" si="5"/>
        <v>46191</v>
      </c>
      <c r="G172" s="27"/>
      <c r="J172" t="s">
        <v>635</v>
      </c>
      <c r="K172" t="s">
        <v>636</v>
      </c>
      <c r="L172" s="67">
        <v>46183</v>
      </c>
      <c r="M172">
        <v>23763</v>
      </c>
      <c r="N172">
        <v>12924539</v>
      </c>
      <c r="O172" t="s">
        <v>649</v>
      </c>
      <c r="P172" t="s">
        <v>642</v>
      </c>
      <c r="Q172">
        <v>10000000</v>
      </c>
      <c r="R172" t="s">
        <v>599</v>
      </c>
      <c r="S172" t="s">
        <v>639</v>
      </c>
      <c r="T172" t="s">
        <v>680</v>
      </c>
      <c r="U172" t="s">
        <v>639</v>
      </c>
      <c r="V172" t="s">
        <v>644</v>
      </c>
      <c r="W172" t="s">
        <v>639</v>
      </c>
      <c r="X172" t="s">
        <v>639</v>
      </c>
    </row>
    <row r="173" spans="1:24" ht="15.75" hidden="1" customHeight="1" x14ac:dyDescent="0.25">
      <c r="A173" t="s">
        <v>600</v>
      </c>
      <c r="B173">
        <v>78055938</v>
      </c>
      <c r="C173" s="68">
        <v>1480000</v>
      </c>
      <c r="D173" s="13">
        <v>46337</v>
      </c>
      <c r="E173" s="67">
        <f t="shared" si="4"/>
        <v>46190</v>
      </c>
      <c r="F173" s="40">
        <f t="shared" si="5"/>
        <v>46192</v>
      </c>
      <c r="G173" s="27"/>
      <c r="J173" t="s">
        <v>635</v>
      </c>
      <c r="K173" t="s">
        <v>636</v>
      </c>
      <c r="L173" s="67">
        <v>46183</v>
      </c>
      <c r="M173">
        <v>23769</v>
      </c>
      <c r="N173">
        <v>66787457</v>
      </c>
      <c r="O173" t="s">
        <v>649</v>
      </c>
      <c r="P173" t="s">
        <v>666</v>
      </c>
      <c r="Q173">
        <v>4000000</v>
      </c>
      <c r="R173" t="s">
        <v>608</v>
      </c>
      <c r="S173" t="s">
        <v>639</v>
      </c>
      <c r="T173" t="s">
        <v>669</v>
      </c>
      <c r="U173" t="s">
        <v>639</v>
      </c>
      <c r="V173" t="s">
        <v>668</v>
      </c>
      <c r="W173" t="s">
        <v>645</v>
      </c>
      <c r="X173" t="s">
        <v>646</v>
      </c>
    </row>
    <row r="174" spans="1:24" ht="15.75" hidden="1" customHeight="1" x14ac:dyDescent="0.25">
      <c r="A174" t="s">
        <v>600</v>
      </c>
      <c r="B174">
        <v>78055948</v>
      </c>
      <c r="C174" s="68">
        <v>1440000</v>
      </c>
      <c r="D174" s="13">
        <v>46338</v>
      </c>
      <c r="E174" s="67">
        <f t="shared" si="4"/>
        <v>46190</v>
      </c>
      <c r="F174" s="40">
        <f t="shared" si="5"/>
        <v>46192</v>
      </c>
      <c r="G174" s="27"/>
      <c r="J174" t="s">
        <v>635</v>
      </c>
      <c r="K174" t="s">
        <v>636</v>
      </c>
      <c r="L174" s="67">
        <v>46183</v>
      </c>
      <c r="M174">
        <v>23810</v>
      </c>
      <c r="N174">
        <v>9953736</v>
      </c>
      <c r="O174" t="s">
        <v>637</v>
      </c>
      <c r="P174" t="s">
        <v>642</v>
      </c>
      <c r="Q174">
        <v>7500000</v>
      </c>
      <c r="R174" t="s">
        <v>659</v>
      </c>
      <c r="S174" t="s">
        <v>639</v>
      </c>
      <c r="T174" t="s">
        <v>660</v>
      </c>
      <c r="U174" t="s">
        <v>639</v>
      </c>
      <c r="V174" t="s">
        <v>644</v>
      </c>
      <c r="W174" t="s">
        <v>645</v>
      </c>
      <c r="X174" t="s">
        <v>646</v>
      </c>
    </row>
    <row r="175" spans="1:24" ht="15.75" hidden="1" customHeight="1" x14ac:dyDescent="0.25">
      <c r="A175" t="s">
        <v>604</v>
      </c>
      <c r="B175">
        <v>13653570</v>
      </c>
      <c r="C175" s="68">
        <v>3050000</v>
      </c>
      <c r="D175" s="13">
        <v>46339</v>
      </c>
      <c r="E175" s="67">
        <f t="shared" si="4"/>
        <v>46190</v>
      </c>
      <c r="F175" s="40">
        <f t="shared" si="5"/>
        <v>46192</v>
      </c>
      <c r="G175" s="27"/>
      <c r="J175" t="s">
        <v>635</v>
      </c>
      <c r="K175" t="s">
        <v>636</v>
      </c>
      <c r="L175" s="67">
        <v>46184</v>
      </c>
      <c r="M175">
        <v>23682</v>
      </c>
      <c r="N175">
        <v>78055928</v>
      </c>
      <c r="O175" t="s">
        <v>649</v>
      </c>
      <c r="P175" t="s">
        <v>653</v>
      </c>
      <c r="Q175">
        <v>1130000</v>
      </c>
      <c r="R175" t="s">
        <v>600</v>
      </c>
      <c r="S175" t="s">
        <v>639</v>
      </c>
      <c r="T175" t="s">
        <v>654</v>
      </c>
      <c r="U175" t="s">
        <v>639</v>
      </c>
      <c r="V175" t="s">
        <v>655</v>
      </c>
      <c r="W175" t="s">
        <v>645</v>
      </c>
      <c r="X175" t="s">
        <v>646</v>
      </c>
    </row>
    <row r="176" spans="1:24" ht="15.75" hidden="1" customHeight="1" x14ac:dyDescent="0.25">
      <c r="A176" t="s">
        <v>606</v>
      </c>
      <c r="B176">
        <v>4858</v>
      </c>
      <c r="C176" s="68">
        <v>1300000</v>
      </c>
      <c r="D176" s="13">
        <v>46340</v>
      </c>
      <c r="E176" s="67">
        <f t="shared" si="4"/>
        <v>46190</v>
      </c>
      <c r="F176" s="40">
        <f t="shared" si="5"/>
        <v>46192</v>
      </c>
      <c r="G176" s="27"/>
      <c r="J176" t="s">
        <v>635</v>
      </c>
      <c r="K176" t="s">
        <v>636</v>
      </c>
      <c r="L176" s="67">
        <v>46184</v>
      </c>
      <c r="M176">
        <v>23689</v>
      </c>
      <c r="N176">
        <v>78055935</v>
      </c>
      <c r="O176" t="s">
        <v>649</v>
      </c>
      <c r="P176" t="s">
        <v>653</v>
      </c>
      <c r="Q176">
        <v>1480000</v>
      </c>
      <c r="R176" t="s">
        <v>600</v>
      </c>
      <c r="S176" t="s">
        <v>639</v>
      </c>
      <c r="T176" t="s">
        <v>654</v>
      </c>
      <c r="U176" t="s">
        <v>639</v>
      </c>
      <c r="V176" t="s">
        <v>655</v>
      </c>
      <c r="W176" t="s">
        <v>645</v>
      </c>
      <c r="X176" t="s">
        <v>646</v>
      </c>
    </row>
    <row r="177" spans="1:24" ht="15.75" hidden="1" customHeight="1" x14ac:dyDescent="0.25">
      <c r="A177" t="s">
        <v>600</v>
      </c>
      <c r="B177">
        <v>78055939</v>
      </c>
      <c r="C177" s="68">
        <v>1460205</v>
      </c>
      <c r="D177" s="13">
        <v>46341</v>
      </c>
      <c r="E177" s="67">
        <f t="shared" si="4"/>
        <v>46191</v>
      </c>
      <c r="F177" s="40">
        <f t="shared" si="5"/>
        <v>46193</v>
      </c>
      <c r="G177" s="27"/>
      <c r="J177" t="s">
        <v>635</v>
      </c>
      <c r="K177" t="s">
        <v>636</v>
      </c>
      <c r="L177" s="67">
        <v>46184</v>
      </c>
      <c r="M177">
        <v>23726</v>
      </c>
      <c r="N177">
        <v>78055945</v>
      </c>
      <c r="O177" t="s">
        <v>649</v>
      </c>
      <c r="P177" t="s">
        <v>653</v>
      </c>
      <c r="Q177">
        <v>1440000</v>
      </c>
      <c r="R177" t="s">
        <v>600</v>
      </c>
      <c r="S177" t="s">
        <v>639</v>
      </c>
      <c r="T177" t="s">
        <v>654</v>
      </c>
      <c r="U177" t="s">
        <v>639</v>
      </c>
      <c r="V177" t="s">
        <v>655</v>
      </c>
      <c r="W177" t="s">
        <v>645</v>
      </c>
      <c r="X177" t="s">
        <v>646</v>
      </c>
    </row>
    <row r="178" spans="1:24" ht="15.75" hidden="1" customHeight="1" x14ac:dyDescent="0.25">
      <c r="A178" t="s">
        <v>600</v>
      </c>
      <c r="B178">
        <v>78055949</v>
      </c>
      <c r="C178" s="68">
        <v>1420740</v>
      </c>
      <c r="D178" s="13">
        <v>46342</v>
      </c>
      <c r="E178" s="67">
        <f t="shared" si="4"/>
        <v>46191</v>
      </c>
      <c r="F178" s="40">
        <f t="shared" si="5"/>
        <v>46193</v>
      </c>
      <c r="G178" s="27"/>
      <c r="J178" t="s">
        <v>635</v>
      </c>
      <c r="K178" t="s">
        <v>636</v>
      </c>
      <c r="L178" s="67">
        <v>46184</v>
      </c>
      <c r="M178">
        <v>23764</v>
      </c>
      <c r="N178">
        <v>12924540</v>
      </c>
      <c r="O178" t="s">
        <v>649</v>
      </c>
      <c r="P178" t="s">
        <v>642</v>
      </c>
      <c r="Q178">
        <v>10000000</v>
      </c>
      <c r="R178" t="s">
        <v>599</v>
      </c>
      <c r="S178" t="s">
        <v>639</v>
      </c>
      <c r="T178" t="s">
        <v>680</v>
      </c>
      <c r="U178" t="s">
        <v>639</v>
      </c>
      <c r="V178" t="s">
        <v>644</v>
      </c>
      <c r="W178" t="s">
        <v>639</v>
      </c>
      <c r="X178" t="s">
        <v>639</v>
      </c>
    </row>
    <row r="179" spans="1:24" ht="15.75" hidden="1" customHeight="1" x14ac:dyDescent="0.25">
      <c r="A179" t="s">
        <v>604</v>
      </c>
      <c r="B179">
        <v>13653571</v>
      </c>
      <c r="C179" s="68">
        <v>3050000</v>
      </c>
      <c r="D179" s="13">
        <v>46343</v>
      </c>
      <c r="E179" s="67">
        <f t="shared" si="4"/>
        <v>46191</v>
      </c>
      <c r="F179" s="40">
        <f t="shared" si="5"/>
        <v>46193</v>
      </c>
      <c r="G179" s="27"/>
      <c r="J179" t="s">
        <v>635</v>
      </c>
      <c r="K179" t="s">
        <v>636</v>
      </c>
      <c r="L179" s="67">
        <v>46184</v>
      </c>
      <c r="M179">
        <v>23812</v>
      </c>
      <c r="N179">
        <v>30069126</v>
      </c>
      <c r="O179" t="s">
        <v>637</v>
      </c>
      <c r="P179" t="s">
        <v>653</v>
      </c>
      <c r="Q179">
        <v>40518212.380000003</v>
      </c>
      <c r="R179" t="s">
        <v>659</v>
      </c>
      <c r="S179" t="s">
        <v>639</v>
      </c>
      <c r="T179" t="s">
        <v>660</v>
      </c>
      <c r="U179" t="s">
        <v>639</v>
      </c>
      <c r="V179" t="s">
        <v>655</v>
      </c>
      <c r="W179" t="s">
        <v>645</v>
      </c>
      <c r="X179" t="s">
        <v>646</v>
      </c>
    </row>
    <row r="180" spans="1:24" ht="15.75" hidden="1" customHeight="1" x14ac:dyDescent="0.25">
      <c r="A180" t="s">
        <v>603</v>
      </c>
      <c r="B180">
        <v>7069</v>
      </c>
      <c r="C180" s="68">
        <v>28375270</v>
      </c>
      <c r="D180" s="13">
        <v>46344</v>
      </c>
      <c r="E180" s="67">
        <f t="shared" si="4"/>
        <v>46192</v>
      </c>
      <c r="F180" s="40">
        <f t="shared" si="5"/>
        <v>46194</v>
      </c>
      <c r="G180" s="27"/>
      <c r="J180" t="s">
        <v>635</v>
      </c>
      <c r="K180" t="s">
        <v>636</v>
      </c>
      <c r="L180" s="67">
        <v>46185</v>
      </c>
      <c r="M180">
        <v>23387</v>
      </c>
      <c r="N180">
        <v>6760642</v>
      </c>
      <c r="O180" t="s">
        <v>649</v>
      </c>
      <c r="P180" t="s">
        <v>670</v>
      </c>
      <c r="Q180">
        <v>24824194.600000001</v>
      </c>
      <c r="R180" t="s">
        <v>616</v>
      </c>
      <c r="S180" t="s">
        <v>639</v>
      </c>
      <c r="T180" t="s">
        <v>681</v>
      </c>
      <c r="U180" t="s">
        <v>639</v>
      </c>
      <c r="V180" t="s">
        <v>672</v>
      </c>
      <c r="W180" t="s">
        <v>645</v>
      </c>
      <c r="X180" t="s">
        <v>646</v>
      </c>
    </row>
    <row r="181" spans="1:24" ht="15.75" hidden="1" customHeight="1" x14ac:dyDescent="0.25">
      <c r="A181" t="s">
        <v>605</v>
      </c>
      <c r="B181">
        <v>29273700</v>
      </c>
      <c r="C181" s="68">
        <v>1339800</v>
      </c>
      <c r="D181" s="13">
        <v>46345</v>
      </c>
      <c r="E181" s="67">
        <f t="shared" si="4"/>
        <v>46192</v>
      </c>
      <c r="F181" s="40">
        <f t="shared" si="5"/>
        <v>46194</v>
      </c>
      <c r="G181" s="27"/>
      <c r="J181" t="s">
        <v>635</v>
      </c>
      <c r="K181" t="s">
        <v>636</v>
      </c>
      <c r="L181" s="67">
        <v>46185</v>
      </c>
      <c r="M181">
        <v>23634</v>
      </c>
      <c r="N181">
        <v>4777</v>
      </c>
      <c r="O181" t="s">
        <v>649</v>
      </c>
      <c r="P181" t="s">
        <v>662</v>
      </c>
      <c r="Q181">
        <v>1269025</v>
      </c>
      <c r="R181" t="s">
        <v>606</v>
      </c>
      <c r="S181" t="s">
        <v>639</v>
      </c>
      <c r="T181" t="s">
        <v>673</v>
      </c>
      <c r="U181" t="s">
        <v>639</v>
      </c>
      <c r="V181" t="s">
        <v>664</v>
      </c>
      <c r="W181" t="s">
        <v>645</v>
      </c>
      <c r="X181" t="s">
        <v>646</v>
      </c>
    </row>
    <row r="182" spans="1:24" ht="15.75" hidden="1" customHeight="1" x14ac:dyDescent="0.25">
      <c r="A182" t="s">
        <v>604</v>
      </c>
      <c r="B182">
        <v>13653572</v>
      </c>
      <c r="C182" s="68">
        <v>3050000</v>
      </c>
      <c r="D182" s="13">
        <v>46346</v>
      </c>
      <c r="E182" s="67">
        <f t="shared" si="4"/>
        <v>46192</v>
      </c>
      <c r="F182" s="40">
        <f t="shared" si="5"/>
        <v>46194</v>
      </c>
      <c r="G182" s="27"/>
      <c r="J182" t="s">
        <v>635</v>
      </c>
      <c r="K182" t="s">
        <v>636</v>
      </c>
      <c r="L182" s="67">
        <v>46185</v>
      </c>
      <c r="M182">
        <v>23650</v>
      </c>
      <c r="N182">
        <v>6973</v>
      </c>
      <c r="O182" t="s">
        <v>649</v>
      </c>
      <c r="P182" t="s">
        <v>662</v>
      </c>
      <c r="Q182">
        <v>43814020</v>
      </c>
      <c r="R182" t="s">
        <v>603</v>
      </c>
      <c r="S182" t="s">
        <v>639</v>
      </c>
      <c r="T182" t="s">
        <v>663</v>
      </c>
      <c r="U182" t="s">
        <v>639</v>
      </c>
      <c r="V182" t="s">
        <v>664</v>
      </c>
      <c r="W182" t="s">
        <v>645</v>
      </c>
      <c r="X182" t="s">
        <v>646</v>
      </c>
    </row>
    <row r="183" spans="1:24" ht="15.75" customHeight="1" x14ac:dyDescent="0.25">
      <c r="A183" t="s">
        <v>615</v>
      </c>
      <c r="B183">
        <v>1582</v>
      </c>
      <c r="C183" s="68">
        <v>21096432.5</v>
      </c>
      <c r="D183" s="13">
        <v>46347</v>
      </c>
      <c r="E183" s="67">
        <f t="shared" si="4"/>
        <v>46192</v>
      </c>
      <c r="F183" s="40">
        <f t="shared" si="5"/>
        <v>46194</v>
      </c>
      <c r="G183" s="27"/>
      <c r="J183" t="s">
        <v>635</v>
      </c>
      <c r="K183" t="s">
        <v>636</v>
      </c>
      <c r="L183" s="67">
        <v>46185</v>
      </c>
      <c r="M183">
        <v>23683</v>
      </c>
      <c r="N183">
        <v>78055929</v>
      </c>
      <c r="O183" t="s">
        <v>649</v>
      </c>
      <c r="P183" t="s">
        <v>653</v>
      </c>
      <c r="Q183">
        <v>1148175</v>
      </c>
      <c r="R183" t="s">
        <v>600</v>
      </c>
      <c r="S183" t="s">
        <v>639</v>
      </c>
      <c r="T183" t="s">
        <v>654</v>
      </c>
      <c r="U183" t="s">
        <v>639</v>
      </c>
      <c r="V183" t="s">
        <v>655</v>
      </c>
      <c r="W183" t="s">
        <v>645</v>
      </c>
      <c r="X183" t="s">
        <v>646</v>
      </c>
    </row>
    <row r="184" spans="1:24" ht="15.75" hidden="1" customHeight="1" x14ac:dyDescent="0.25">
      <c r="A184" t="s">
        <v>607</v>
      </c>
      <c r="B184">
        <v>157</v>
      </c>
      <c r="C184" s="68">
        <v>3000060</v>
      </c>
      <c r="D184" s="13">
        <v>46348</v>
      </c>
      <c r="E184" s="67">
        <f t="shared" si="4"/>
        <v>46192</v>
      </c>
      <c r="F184" s="40">
        <f t="shared" si="5"/>
        <v>46194</v>
      </c>
      <c r="G184" s="27"/>
      <c r="J184" t="s">
        <v>635</v>
      </c>
      <c r="K184" t="s">
        <v>636</v>
      </c>
      <c r="L184" s="67">
        <v>46185</v>
      </c>
      <c r="M184">
        <v>23690</v>
      </c>
      <c r="N184">
        <v>78055936</v>
      </c>
      <c r="O184" t="s">
        <v>649</v>
      </c>
      <c r="P184" t="s">
        <v>653</v>
      </c>
      <c r="Q184">
        <v>1480000</v>
      </c>
      <c r="R184" t="s">
        <v>600</v>
      </c>
      <c r="S184" t="s">
        <v>639</v>
      </c>
      <c r="T184" t="s">
        <v>654</v>
      </c>
      <c r="U184" t="s">
        <v>639</v>
      </c>
      <c r="V184" t="s">
        <v>655</v>
      </c>
      <c r="W184" t="s">
        <v>645</v>
      </c>
      <c r="X184" t="s">
        <v>646</v>
      </c>
    </row>
    <row r="185" spans="1:24" ht="15.75" hidden="1" customHeight="1" x14ac:dyDescent="0.25">
      <c r="A185" t="s">
        <v>607</v>
      </c>
      <c r="B185">
        <v>158</v>
      </c>
      <c r="C185" s="68">
        <v>3000900</v>
      </c>
      <c r="D185" s="13">
        <v>46349</v>
      </c>
      <c r="E185" s="67">
        <f t="shared" si="4"/>
        <v>46192</v>
      </c>
      <c r="F185" s="40">
        <f t="shared" si="5"/>
        <v>46194</v>
      </c>
      <c r="G185" s="27"/>
      <c r="J185" t="s">
        <v>635</v>
      </c>
      <c r="K185" t="s">
        <v>636</v>
      </c>
      <c r="L185" s="67">
        <v>46185</v>
      </c>
      <c r="M185">
        <v>23706</v>
      </c>
      <c r="N185">
        <v>29273703</v>
      </c>
      <c r="O185" t="s">
        <v>637</v>
      </c>
      <c r="P185" t="s">
        <v>670</v>
      </c>
      <c r="Q185">
        <v>1339800</v>
      </c>
      <c r="R185" t="s">
        <v>605</v>
      </c>
      <c r="S185" t="s">
        <v>639</v>
      </c>
      <c r="T185" t="s">
        <v>671</v>
      </c>
      <c r="U185" t="s">
        <v>639</v>
      </c>
      <c r="V185" t="s">
        <v>672</v>
      </c>
      <c r="W185" t="s">
        <v>645</v>
      </c>
      <c r="X185" t="s">
        <v>646</v>
      </c>
    </row>
    <row r="186" spans="1:24" ht="15.75" hidden="1" customHeight="1" x14ac:dyDescent="0.25">
      <c r="A186" t="s">
        <v>607</v>
      </c>
      <c r="B186">
        <v>159</v>
      </c>
      <c r="C186" s="68">
        <v>2364000</v>
      </c>
      <c r="D186" s="13">
        <v>46350</v>
      </c>
      <c r="E186" s="67">
        <f t="shared" si="4"/>
        <v>46192</v>
      </c>
      <c r="F186" s="40">
        <f t="shared" si="5"/>
        <v>46194</v>
      </c>
      <c r="G186" s="27"/>
      <c r="J186" t="s">
        <v>635</v>
      </c>
      <c r="K186" t="s">
        <v>636</v>
      </c>
      <c r="L186" s="67">
        <v>46185</v>
      </c>
      <c r="M186">
        <v>23727</v>
      </c>
      <c r="N186">
        <v>78055946</v>
      </c>
      <c r="O186" t="s">
        <v>649</v>
      </c>
      <c r="P186" t="s">
        <v>653</v>
      </c>
      <c r="Q186">
        <v>1440000</v>
      </c>
      <c r="R186" t="s">
        <v>600</v>
      </c>
      <c r="S186" t="s">
        <v>639</v>
      </c>
      <c r="T186" t="s">
        <v>654</v>
      </c>
      <c r="U186" t="s">
        <v>639</v>
      </c>
      <c r="V186" t="s">
        <v>655</v>
      </c>
      <c r="W186" t="s">
        <v>645</v>
      </c>
      <c r="X186" t="s">
        <v>646</v>
      </c>
    </row>
    <row r="187" spans="1:24" ht="15.75" hidden="1" customHeight="1" x14ac:dyDescent="0.25">
      <c r="A187" t="s">
        <v>606</v>
      </c>
      <c r="B187">
        <v>4859</v>
      </c>
      <c r="C187" s="68">
        <v>1300000</v>
      </c>
      <c r="D187" s="13">
        <v>46351</v>
      </c>
      <c r="E187" s="67">
        <f t="shared" si="4"/>
        <v>46192</v>
      </c>
      <c r="F187" s="40">
        <f t="shared" si="5"/>
        <v>46194</v>
      </c>
      <c r="G187" s="27"/>
      <c r="J187" t="s">
        <v>635</v>
      </c>
      <c r="K187" t="s">
        <v>636</v>
      </c>
      <c r="L187" s="67">
        <v>46185</v>
      </c>
      <c r="M187">
        <v>23746</v>
      </c>
      <c r="N187">
        <v>1581</v>
      </c>
      <c r="O187" t="s">
        <v>649</v>
      </c>
      <c r="P187" t="s">
        <v>662</v>
      </c>
      <c r="Q187">
        <v>21500000</v>
      </c>
      <c r="R187" t="s">
        <v>615</v>
      </c>
      <c r="S187" t="s">
        <v>639</v>
      </c>
      <c r="T187" t="s">
        <v>678</v>
      </c>
      <c r="U187" t="s">
        <v>639</v>
      </c>
      <c r="V187" t="s">
        <v>664</v>
      </c>
      <c r="W187" t="s">
        <v>645</v>
      </c>
      <c r="X187" t="s">
        <v>646</v>
      </c>
    </row>
    <row r="188" spans="1:24" ht="15.75" hidden="1" customHeight="1" x14ac:dyDescent="0.25">
      <c r="A188" t="s">
        <v>604</v>
      </c>
      <c r="B188">
        <v>13653573</v>
      </c>
      <c r="C188" s="68">
        <v>3050000</v>
      </c>
      <c r="D188" s="13">
        <v>46352</v>
      </c>
      <c r="E188" s="67">
        <f t="shared" si="4"/>
        <v>46195</v>
      </c>
      <c r="F188" s="40">
        <f t="shared" si="5"/>
        <v>46197</v>
      </c>
      <c r="G188" s="27"/>
      <c r="J188" t="s">
        <v>635</v>
      </c>
      <c r="K188" t="s">
        <v>636</v>
      </c>
      <c r="L188" s="67">
        <v>46185</v>
      </c>
      <c r="M188">
        <v>23765</v>
      </c>
      <c r="N188">
        <v>12924541</v>
      </c>
      <c r="O188" t="s">
        <v>649</v>
      </c>
      <c r="P188" t="s">
        <v>642</v>
      </c>
      <c r="Q188">
        <v>8228865</v>
      </c>
      <c r="R188" t="s">
        <v>599</v>
      </c>
      <c r="S188" t="s">
        <v>639</v>
      </c>
      <c r="T188" t="s">
        <v>680</v>
      </c>
      <c r="U188" t="s">
        <v>639</v>
      </c>
      <c r="V188" t="s">
        <v>644</v>
      </c>
      <c r="W188" t="s">
        <v>639</v>
      </c>
      <c r="X188" t="s">
        <v>639</v>
      </c>
    </row>
    <row r="189" spans="1:24" ht="15.75" hidden="1" customHeight="1" x14ac:dyDescent="0.25">
      <c r="A189" t="s">
        <v>604</v>
      </c>
      <c r="B189">
        <v>13653574</v>
      </c>
      <c r="C189" s="68">
        <v>3050000</v>
      </c>
      <c r="D189" s="13">
        <v>46353</v>
      </c>
      <c r="E189" s="67">
        <f t="shared" si="4"/>
        <v>46195</v>
      </c>
      <c r="F189" s="40">
        <f t="shared" si="5"/>
        <v>46197</v>
      </c>
      <c r="G189" s="27"/>
      <c r="J189" t="s">
        <v>635</v>
      </c>
      <c r="K189" t="s">
        <v>636</v>
      </c>
      <c r="L189" s="67">
        <v>46185</v>
      </c>
      <c r="M189">
        <v>23770</v>
      </c>
      <c r="N189">
        <v>66787525</v>
      </c>
      <c r="O189" t="s">
        <v>649</v>
      </c>
      <c r="P189" t="s">
        <v>666</v>
      </c>
      <c r="Q189">
        <v>4000000</v>
      </c>
      <c r="R189" t="s">
        <v>608</v>
      </c>
      <c r="S189" t="s">
        <v>639</v>
      </c>
      <c r="T189" t="s">
        <v>669</v>
      </c>
      <c r="U189" t="s">
        <v>639</v>
      </c>
      <c r="V189" t="s">
        <v>668</v>
      </c>
      <c r="W189" t="s">
        <v>645</v>
      </c>
      <c r="X189" t="s">
        <v>646</v>
      </c>
    </row>
    <row r="190" spans="1:24" ht="15.75" hidden="1" customHeight="1" x14ac:dyDescent="0.25">
      <c r="A190" t="s">
        <v>604</v>
      </c>
      <c r="B190">
        <v>13653575</v>
      </c>
      <c r="C190" s="68">
        <v>3050000</v>
      </c>
      <c r="D190" s="13">
        <v>46354</v>
      </c>
      <c r="E190" s="67">
        <f t="shared" si="4"/>
        <v>46195</v>
      </c>
      <c r="F190" s="40">
        <f t="shared" si="5"/>
        <v>46197</v>
      </c>
      <c r="G190" s="27"/>
      <c r="J190" t="s">
        <v>635</v>
      </c>
      <c r="K190" t="s">
        <v>636</v>
      </c>
      <c r="L190" s="67">
        <v>46185</v>
      </c>
      <c r="M190">
        <v>23771</v>
      </c>
      <c r="N190">
        <v>66787578</v>
      </c>
      <c r="O190" t="s">
        <v>649</v>
      </c>
      <c r="P190" t="s">
        <v>666</v>
      </c>
      <c r="Q190">
        <v>250230</v>
      </c>
      <c r="R190" t="s">
        <v>608</v>
      </c>
      <c r="S190" t="s">
        <v>639</v>
      </c>
      <c r="T190" t="s">
        <v>669</v>
      </c>
      <c r="U190" t="s">
        <v>639</v>
      </c>
      <c r="V190" t="s">
        <v>668</v>
      </c>
      <c r="W190" t="s">
        <v>645</v>
      </c>
      <c r="X190" t="s">
        <v>646</v>
      </c>
    </row>
    <row r="191" spans="1:24" ht="15.75" hidden="1" customHeight="1" x14ac:dyDescent="0.25">
      <c r="A191" t="s">
        <v>607</v>
      </c>
      <c r="B191">
        <v>155</v>
      </c>
      <c r="C191" s="68">
        <v>3000380</v>
      </c>
      <c r="D191" s="13">
        <v>46355</v>
      </c>
      <c r="E191" s="67">
        <f t="shared" si="4"/>
        <v>46195</v>
      </c>
      <c r="F191" s="40">
        <f t="shared" si="5"/>
        <v>46197</v>
      </c>
      <c r="G191" s="27"/>
      <c r="J191" t="s">
        <v>635</v>
      </c>
      <c r="K191" t="s">
        <v>636</v>
      </c>
      <c r="L191" s="67">
        <v>46185</v>
      </c>
      <c r="M191">
        <v>23804</v>
      </c>
      <c r="N191">
        <v>67175703</v>
      </c>
      <c r="O191" t="s">
        <v>649</v>
      </c>
      <c r="P191" t="s">
        <v>666</v>
      </c>
      <c r="Q191">
        <v>7286515</v>
      </c>
      <c r="R191" t="s">
        <v>601</v>
      </c>
      <c r="S191" t="s">
        <v>639</v>
      </c>
      <c r="T191" t="s">
        <v>643</v>
      </c>
      <c r="U191" t="s">
        <v>639</v>
      </c>
      <c r="V191" t="s">
        <v>668</v>
      </c>
      <c r="W191" t="s">
        <v>645</v>
      </c>
      <c r="X191" t="s">
        <v>646</v>
      </c>
    </row>
    <row r="192" spans="1:24" ht="15.75" hidden="1" customHeight="1" x14ac:dyDescent="0.25">
      <c r="A192" t="s">
        <v>607</v>
      </c>
      <c r="B192">
        <v>156</v>
      </c>
      <c r="C192" s="68">
        <v>3019000</v>
      </c>
      <c r="D192" s="13">
        <v>46356</v>
      </c>
      <c r="E192" s="67">
        <f t="shared" si="4"/>
        <v>46195</v>
      </c>
      <c r="F192" s="40">
        <f t="shared" si="5"/>
        <v>46197</v>
      </c>
      <c r="G192" s="27"/>
      <c r="J192" t="s">
        <v>635</v>
      </c>
      <c r="K192" t="s">
        <v>636</v>
      </c>
      <c r="L192" s="67">
        <v>46188</v>
      </c>
      <c r="M192">
        <v>23658</v>
      </c>
      <c r="N192">
        <v>9487748</v>
      </c>
      <c r="O192" t="s">
        <v>649</v>
      </c>
      <c r="P192" t="s">
        <v>642</v>
      </c>
      <c r="Q192">
        <v>9263100</v>
      </c>
      <c r="R192" t="s">
        <v>610</v>
      </c>
      <c r="S192" t="s">
        <v>639</v>
      </c>
      <c r="T192" t="s">
        <v>665</v>
      </c>
      <c r="U192" t="s">
        <v>639</v>
      </c>
      <c r="V192" t="s">
        <v>644</v>
      </c>
      <c r="W192" t="s">
        <v>645</v>
      </c>
      <c r="X192" t="s">
        <v>646</v>
      </c>
    </row>
    <row r="193" spans="1:24" ht="15.75" hidden="1" customHeight="1" x14ac:dyDescent="0.25">
      <c r="A193" t="s">
        <v>614</v>
      </c>
      <c r="B193">
        <v>9845372</v>
      </c>
      <c r="C193" s="68">
        <v>14268870</v>
      </c>
      <c r="D193" s="13">
        <v>46357</v>
      </c>
      <c r="E193" s="67">
        <f t="shared" si="4"/>
        <v>46195</v>
      </c>
      <c r="F193" s="40">
        <f t="shared" si="5"/>
        <v>46197</v>
      </c>
      <c r="G193" s="27"/>
      <c r="J193" t="s">
        <v>635</v>
      </c>
      <c r="K193" t="s">
        <v>636</v>
      </c>
      <c r="L193" s="67">
        <v>46188</v>
      </c>
      <c r="M193">
        <v>23711</v>
      </c>
      <c r="N193">
        <v>90000116</v>
      </c>
      <c r="O193" t="s">
        <v>649</v>
      </c>
      <c r="P193" t="s">
        <v>656</v>
      </c>
      <c r="Q193">
        <v>6000000</v>
      </c>
      <c r="R193" t="s">
        <v>682</v>
      </c>
      <c r="S193" t="s">
        <v>639</v>
      </c>
      <c r="T193" t="s">
        <v>683</v>
      </c>
      <c r="U193" t="s">
        <v>639</v>
      </c>
      <c r="V193" t="s">
        <v>657</v>
      </c>
      <c r="W193" t="s">
        <v>645</v>
      </c>
      <c r="X193" t="s">
        <v>646</v>
      </c>
    </row>
    <row r="194" spans="1:24" ht="15.75" hidden="1" customHeight="1" x14ac:dyDescent="0.25">
      <c r="A194" t="s">
        <v>606</v>
      </c>
      <c r="B194">
        <v>4860</v>
      </c>
      <c r="C194" s="68">
        <v>1300000</v>
      </c>
      <c r="D194" s="13">
        <v>46358</v>
      </c>
      <c r="E194" s="67">
        <f t="shared" si="4"/>
        <v>46195</v>
      </c>
      <c r="F194" s="40">
        <f t="shared" si="5"/>
        <v>46197</v>
      </c>
      <c r="G194" s="27"/>
      <c r="J194" t="s">
        <v>635</v>
      </c>
      <c r="K194" t="s">
        <v>636</v>
      </c>
      <c r="L194" s="67">
        <v>46188</v>
      </c>
      <c r="M194">
        <v>23712</v>
      </c>
      <c r="N194">
        <v>90000117</v>
      </c>
      <c r="O194" t="s">
        <v>649</v>
      </c>
      <c r="P194" t="s">
        <v>656</v>
      </c>
      <c r="Q194">
        <v>6000000</v>
      </c>
      <c r="R194" t="s">
        <v>682</v>
      </c>
      <c r="S194" t="s">
        <v>639</v>
      </c>
      <c r="T194" t="s">
        <v>683</v>
      </c>
      <c r="U194" t="s">
        <v>639</v>
      </c>
      <c r="V194" t="s">
        <v>657</v>
      </c>
      <c r="W194" t="s">
        <v>645</v>
      </c>
      <c r="X194" t="s">
        <v>646</v>
      </c>
    </row>
    <row r="195" spans="1:24" ht="15.75" hidden="1" customHeight="1" x14ac:dyDescent="0.25">
      <c r="A195" t="s">
        <v>611</v>
      </c>
      <c r="B195">
        <v>9985872</v>
      </c>
      <c r="C195" s="68">
        <v>6526515</v>
      </c>
      <c r="D195" s="13">
        <v>46359</v>
      </c>
      <c r="E195" s="67">
        <f t="shared" si="4"/>
        <v>46195</v>
      </c>
      <c r="F195" s="40">
        <f t="shared" si="5"/>
        <v>46197</v>
      </c>
      <c r="G195" s="27"/>
      <c r="J195" t="s">
        <v>635</v>
      </c>
      <c r="K195" t="s">
        <v>636</v>
      </c>
      <c r="L195" s="67">
        <v>46188</v>
      </c>
      <c r="M195">
        <v>23713</v>
      </c>
      <c r="N195">
        <v>90000118</v>
      </c>
      <c r="O195" t="s">
        <v>649</v>
      </c>
      <c r="P195" t="s">
        <v>656</v>
      </c>
      <c r="Q195">
        <v>4658569</v>
      </c>
      <c r="R195" t="s">
        <v>682</v>
      </c>
      <c r="S195" t="s">
        <v>639</v>
      </c>
      <c r="T195" t="s">
        <v>683</v>
      </c>
      <c r="U195" t="s">
        <v>639</v>
      </c>
      <c r="V195" t="s">
        <v>657</v>
      </c>
      <c r="W195" t="s">
        <v>645</v>
      </c>
      <c r="X195" t="s">
        <v>646</v>
      </c>
    </row>
    <row r="196" spans="1:24" ht="15.75" hidden="1" customHeight="1" x14ac:dyDescent="0.25">
      <c r="A196" t="s">
        <v>611</v>
      </c>
      <c r="B196">
        <v>9985873</v>
      </c>
      <c r="C196" s="68">
        <v>10000000</v>
      </c>
      <c r="D196" s="13">
        <v>46360</v>
      </c>
      <c r="E196" s="67">
        <f t="shared" si="4"/>
        <v>46195</v>
      </c>
      <c r="F196" s="40">
        <f t="shared" si="5"/>
        <v>46197</v>
      </c>
      <c r="G196" s="27"/>
      <c r="J196" t="s">
        <v>635</v>
      </c>
      <c r="K196" t="s">
        <v>636</v>
      </c>
      <c r="L196" s="67">
        <v>46188</v>
      </c>
      <c r="M196">
        <v>23766</v>
      </c>
      <c r="N196">
        <v>12924553</v>
      </c>
      <c r="O196" t="s">
        <v>649</v>
      </c>
      <c r="P196" t="s">
        <v>642</v>
      </c>
      <c r="Q196">
        <v>10000000</v>
      </c>
      <c r="R196" t="s">
        <v>599</v>
      </c>
      <c r="S196" t="s">
        <v>639</v>
      </c>
      <c r="T196" t="s">
        <v>680</v>
      </c>
      <c r="U196" t="s">
        <v>639</v>
      </c>
      <c r="V196" t="s">
        <v>644</v>
      </c>
      <c r="W196" t="s">
        <v>639</v>
      </c>
      <c r="X196" t="s">
        <v>639</v>
      </c>
    </row>
    <row r="197" spans="1:24" ht="15.75" hidden="1" customHeight="1" x14ac:dyDescent="0.25">
      <c r="A197" t="s">
        <v>611</v>
      </c>
      <c r="B197">
        <v>9985874</v>
      </c>
      <c r="C197" s="68">
        <v>10000000</v>
      </c>
      <c r="D197" s="13">
        <v>46361</v>
      </c>
      <c r="E197" s="67">
        <f t="shared" ref="E197:E215" si="6">+L229</f>
        <v>46195</v>
      </c>
      <c r="F197" s="40">
        <f t="shared" ref="F197:F215" si="7">+E197+2</f>
        <v>46197</v>
      </c>
      <c r="G197" s="27"/>
      <c r="J197" t="s">
        <v>635</v>
      </c>
      <c r="K197" t="s">
        <v>636</v>
      </c>
      <c r="L197" s="67">
        <v>46188</v>
      </c>
      <c r="M197">
        <v>23767</v>
      </c>
      <c r="N197">
        <v>12924554</v>
      </c>
      <c r="O197" t="s">
        <v>649</v>
      </c>
      <c r="P197" t="s">
        <v>642</v>
      </c>
      <c r="Q197">
        <v>10000000</v>
      </c>
      <c r="R197" t="s">
        <v>599</v>
      </c>
      <c r="S197" t="s">
        <v>639</v>
      </c>
      <c r="T197" t="s">
        <v>680</v>
      </c>
      <c r="U197" t="s">
        <v>639</v>
      </c>
      <c r="V197" t="s">
        <v>644</v>
      </c>
      <c r="W197" t="s">
        <v>639</v>
      </c>
      <c r="X197" t="s">
        <v>639</v>
      </c>
    </row>
    <row r="198" spans="1:24" ht="15.75" hidden="1" customHeight="1" x14ac:dyDescent="0.25">
      <c r="A198" t="s">
        <v>611</v>
      </c>
      <c r="B198">
        <v>9985875</v>
      </c>
      <c r="C198" s="68">
        <v>10000000</v>
      </c>
      <c r="D198" s="13">
        <v>46362</v>
      </c>
      <c r="E198" s="67">
        <f t="shared" si="6"/>
        <v>46195</v>
      </c>
      <c r="F198" s="40">
        <f t="shared" si="7"/>
        <v>46197</v>
      </c>
      <c r="G198" s="27"/>
      <c r="J198" t="s">
        <v>635</v>
      </c>
      <c r="K198" t="s">
        <v>636</v>
      </c>
      <c r="L198" s="67">
        <v>46188</v>
      </c>
      <c r="M198">
        <v>23776</v>
      </c>
      <c r="N198">
        <v>152</v>
      </c>
      <c r="O198" t="s">
        <v>649</v>
      </c>
      <c r="P198" t="s">
        <v>662</v>
      </c>
      <c r="Q198">
        <v>3004000</v>
      </c>
      <c r="R198" t="s">
        <v>607</v>
      </c>
      <c r="S198" t="s">
        <v>639</v>
      </c>
      <c r="T198" t="s">
        <v>675</v>
      </c>
      <c r="U198" t="s">
        <v>639</v>
      </c>
      <c r="V198" t="s">
        <v>664</v>
      </c>
      <c r="W198" t="s">
        <v>645</v>
      </c>
      <c r="X198" t="s">
        <v>646</v>
      </c>
    </row>
    <row r="199" spans="1:24" ht="15.75" hidden="1" customHeight="1" x14ac:dyDescent="0.25">
      <c r="A199" t="s">
        <v>611</v>
      </c>
      <c r="B199">
        <v>9985876</v>
      </c>
      <c r="C199" s="68">
        <v>10000000</v>
      </c>
      <c r="D199" s="13">
        <v>46363</v>
      </c>
      <c r="E199" s="67">
        <f t="shared" si="6"/>
        <v>46195</v>
      </c>
      <c r="F199" s="40">
        <f t="shared" si="7"/>
        <v>46197</v>
      </c>
      <c r="G199" s="27"/>
      <c r="J199" t="s">
        <v>635</v>
      </c>
      <c r="K199" t="s">
        <v>636</v>
      </c>
      <c r="L199" s="67">
        <v>46188</v>
      </c>
      <c r="M199">
        <v>23777</v>
      </c>
      <c r="N199">
        <v>153</v>
      </c>
      <c r="O199" t="s">
        <v>649</v>
      </c>
      <c r="P199" t="s">
        <v>662</v>
      </c>
      <c r="Q199">
        <v>3050000</v>
      </c>
      <c r="R199" t="s">
        <v>607</v>
      </c>
      <c r="S199" t="s">
        <v>639</v>
      </c>
      <c r="T199" t="s">
        <v>675</v>
      </c>
      <c r="U199" t="s">
        <v>639</v>
      </c>
      <c r="V199" t="s">
        <v>664</v>
      </c>
      <c r="W199" t="s">
        <v>645</v>
      </c>
      <c r="X199" t="s">
        <v>646</v>
      </c>
    </row>
    <row r="200" spans="1:24" ht="15.75" hidden="1" customHeight="1" x14ac:dyDescent="0.25">
      <c r="A200" t="s">
        <v>611</v>
      </c>
      <c r="B200">
        <v>9985877</v>
      </c>
      <c r="C200" s="68">
        <v>10000000</v>
      </c>
      <c r="D200" s="13">
        <v>46364</v>
      </c>
      <c r="E200" s="67">
        <f t="shared" si="6"/>
        <v>46195</v>
      </c>
      <c r="F200" s="40">
        <f t="shared" si="7"/>
        <v>46197</v>
      </c>
      <c r="G200" s="27"/>
      <c r="J200" t="s">
        <v>635</v>
      </c>
      <c r="K200" t="s">
        <v>636</v>
      </c>
      <c r="L200" s="67">
        <v>46188</v>
      </c>
      <c r="M200">
        <v>23778</v>
      </c>
      <c r="N200">
        <v>154</v>
      </c>
      <c r="O200" t="s">
        <v>649</v>
      </c>
      <c r="P200" t="s">
        <v>662</v>
      </c>
      <c r="Q200">
        <v>1200000</v>
      </c>
      <c r="R200" t="s">
        <v>607</v>
      </c>
      <c r="S200" t="s">
        <v>639</v>
      </c>
      <c r="T200" t="s">
        <v>675</v>
      </c>
      <c r="U200" t="s">
        <v>639</v>
      </c>
      <c r="V200" t="s">
        <v>664</v>
      </c>
      <c r="W200" t="s">
        <v>645</v>
      </c>
      <c r="X200" t="s">
        <v>646</v>
      </c>
    </row>
    <row r="201" spans="1:24" ht="15.75" hidden="1" customHeight="1" x14ac:dyDescent="0.25">
      <c r="A201" t="s">
        <v>611</v>
      </c>
      <c r="B201">
        <v>9985878</v>
      </c>
      <c r="C201" s="68">
        <v>10000000</v>
      </c>
      <c r="D201" s="13">
        <v>46365</v>
      </c>
      <c r="E201" s="67">
        <f t="shared" si="6"/>
        <v>46195</v>
      </c>
      <c r="F201" s="40">
        <f t="shared" si="7"/>
        <v>46197</v>
      </c>
      <c r="G201" s="27"/>
      <c r="J201" t="s">
        <v>635</v>
      </c>
      <c r="K201" t="s">
        <v>636</v>
      </c>
      <c r="L201" s="67">
        <v>46189</v>
      </c>
      <c r="M201">
        <v>23691</v>
      </c>
      <c r="N201">
        <v>78055937</v>
      </c>
      <c r="O201" t="s">
        <v>649</v>
      </c>
      <c r="P201" t="s">
        <v>653</v>
      </c>
      <c r="Q201">
        <v>1480000</v>
      </c>
      <c r="R201" t="s">
        <v>600</v>
      </c>
      <c r="S201" t="s">
        <v>639</v>
      </c>
      <c r="T201" t="s">
        <v>654</v>
      </c>
      <c r="U201" t="s">
        <v>639</v>
      </c>
      <c r="V201" t="s">
        <v>655</v>
      </c>
      <c r="W201" t="s">
        <v>645</v>
      </c>
      <c r="X201" t="s">
        <v>646</v>
      </c>
    </row>
    <row r="202" spans="1:24" ht="15.75" hidden="1" customHeight="1" x14ac:dyDescent="0.25">
      <c r="A202" t="s">
        <v>604</v>
      </c>
      <c r="B202">
        <v>13653576</v>
      </c>
      <c r="C202" s="68">
        <v>3050000</v>
      </c>
      <c r="D202" s="13">
        <v>46366</v>
      </c>
      <c r="E202" s="67">
        <f t="shared" si="6"/>
        <v>46196</v>
      </c>
      <c r="F202" s="40">
        <f t="shared" si="7"/>
        <v>46198</v>
      </c>
      <c r="G202" s="27"/>
      <c r="J202" t="s">
        <v>635</v>
      </c>
      <c r="K202" t="s">
        <v>636</v>
      </c>
      <c r="L202" s="67">
        <v>46189</v>
      </c>
      <c r="M202">
        <v>23728</v>
      </c>
      <c r="N202">
        <v>78055947</v>
      </c>
      <c r="O202" t="s">
        <v>649</v>
      </c>
      <c r="P202" t="s">
        <v>684</v>
      </c>
      <c r="Q202">
        <v>1440000</v>
      </c>
      <c r="R202" t="s">
        <v>600</v>
      </c>
      <c r="S202" t="s">
        <v>639</v>
      </c>
      <c r="T202" t="s">
        <v>654</v>
      </c>
      <c r="U202" t="s">
        <v>639</v>
      </c>
      <c r="V202" t="s">
        <v>685</v>
      </c>
      <c r="W202" t="s">
        <v>645</v>
      </c>
      <c r="X202" t="s">
        <v>646</v>
      </c>
    </row>
    <row r="203" spans="1:24" ht="15.75" hidden="1" customHeight="1" x14ac:dyDescent="0.25">
      <c r="A203" t="s">
        <v>606</v>
      </c>
      <c r="B203">
        <v>4861</v>
      </c>
      <c r="C203" s="68">
        <v>1300000</v>
      </c>
      <c r="D203" s="13">
        <v>46367</v>
      </c>
      <c r="E203" s="67">
        <f t="shared" si="6"/>
        <v>46196</v>
      </c>
      <c r="F203" s="40">
        <f t="shared" si="7"/>
        <v>46198</v>
      </c>
      <c r="G203" s="27"/>
      <c r="J203" t="s">
        <v>635</v>
      </c>
      <c r="K203" t="s">
        <v>636</v>
      </c>
      <c r="L203" s="67">
        <v>46189</v>
      </c>
      <c r="M203">
        <v>23731</v>
      </c>
      <c r="N203">
        <v>13653569</v>
      </c>
      <c r="O203" t="s">
        <v>649</v>
      </c>
      <c r="P203" t="s">
        <v>650</v>
      </c>
      <c r="Q203">
        <v>2983045</v>
      </c>
      <c r="R203" t="s">
        <v>604</v>
      </c>
      <c r="S203" t="s">
        <v>639</v>
      </c>
      <c r="T203" t="s">
        <v>651</v>
      </c>
      <c r="U203" t="s">
        <v>639</v>
      </c>
      <c r="V203" t="s">
        <v>652</v>
      </c>
      <c r="W203" t="s">
        <v>645</v>
      </c>
      <c r="X203" t="s">
        <v>646</v>
      </c>
    </row>
    <row r="204" spans="1:24" ht="15.75" hidden="1" customHeight="1" x14ac:dyDescent="0.25">
      <c r="A204" t="s">
        <v>604</v>
      </c>
      <c r="B204">
        <v>13653577</v>
      </c>
      <c r="C204" s="68">
        <v>3050000</v>
      </c>
      <c r="D204" s="13">
        <v>46368</v>
      </c>
      <c r="E204" s="67">
        <f t="shared" si="6"/>
        <v>46197</v>
      </c>
      <c r="F204" s="40">
        <f t="shared" si="7"/>
        <v>46199</v>
      </c>
      <c r="G204" s="27"/>
      <c r="J204" t="s">
        <v>635</v>
      </c>
      <c r="K204" t="s">
        <v>636</v>
      </c>
      <c r="L204" s="67">
        <v>46189</v>
      </c>
      <c r="M204">
        <v>23794</v>
      </c>
      <c r="N204">
        <v>4857</v>
      </c>
      <c r="O204" t="s">
        <v>649</v>
      </c>
      <c r="P204" t="s">
        <v>662</v>
      </c>
      <c r="Q204">
        <v>1300000</v>
      </c>
      <c r="R204" t="s">
        <v>606</v>
      </c>
      <c r="S204" t="s">
        <v>639</v>
      </c>
      <c r="T204" t="s">
        <v>673</v>
      </c>
      <c r="U204" t="s">
        <v>639</v>
      </c>
      <c r="V204" t="s">
        <v>664</v>
      </c>
      <c r="W204" t="s">
        <v>645</v>
      </c>
      <c r="X204" t="s">
        <v>646</v>
      </c>
    </row>
    <row r="205" spans="1:24" ht="15.75" hidden="1" customHeight="1" x14ac:dyDescent="0.25">
      <c r="A205" t="s">
        <v>613</v>
      </c>
      <c r="B205">
        <v>29339958</v>
      </c>
      <c r="C205" s="68">
        <v>9609600</v>
      </c>
      <c r="D205" s="13">
        <v>46369</v>
      </c>
      <c r="E205" s="67">
        <f t="shared" si="6"/>
        <v>46197</v>
      </c>
      <c r="F205" s="40">
        <f t="shared" si="7"/>
        <v>46199</v>
      </c>
      <c r="G205" s="27"/>
      <c r="J205" t="s">
        <v>635</v>
      </c>
      <c r="K205" t="s">
        <v>636</v>
      </c>
      <c r="L205" s="67">
        <v>46190</v>
      </c>
      <c r="M205">
        <v>23692</v>
      </c>
      <c r="N205">
        <v>78055938</v>
      </c>
      <c r="O205" t="s">
        <v>649</v>
      </c>
      <c r="P205" t="s">
        <v>653</v>
      </c>
      <c r="Q205">
        <v>1480000</v>
      </c>
      <c r="R205" t="s">
        <v>600</v>
      </c>
      <c r="S205" t="s">
        <v>639</v>
      </c>
      <c r="T205" t="s">
        <v>654</v>
      </c>
      <c r="U205" t="s">
        <v>639</v>
      </c>
      <c r="V205" t="s">
        <v>655</v>
      </c>
      <c r="W205" t="s">
        <v>645</v>
      </c>
      <c r="X205" t="s">
        <v>646</v>
      </c>
    </row>
    <row r="206" spans="1:24" ht="15.75" hidden="1" customHeight="1" x14ac:dyDescent="0.25">
      <c r="A206" t="s">
        <v>606</v>
      </c>
      <c r="B206">
        <v>4862</v>
      </c>
      <c r="C206" s="68">
        <v>949750</v>
      </c>
      <c r="D206" s="13">
        <v>46370</v>
      </c>
      <c r="E206" s="67">
        <f t="shared" si="6"/>
        <v>46197</v>
      </c>
      <c r="F206" s="40">
        <f t="shared" si="7"/>
        <v>46199</v>
      </c>
      <c r="G206" s="27"/>
      <c r="J206" t="s">
        <v>635</v>
      </c>
      <c r="K206" t="s">
        <v>636</v>
      </c>
      <c r="L206" s="67">
        <v>46190</v>
      </c>
      <c r="M206">
        <v>23729</v>
      </c>
      <c r="N206">
        <v>78055948</v>
      </c>
      <c r="O206" t="s">
        <v>649</v>
      </c>
      <c r="P206" t="s">
        <v>653</v>
      </c>
      <c r="Q206">
        <v>1440000</v>
      </c>
      <c r="R206" t="s">
        <v>600</v>
      </c>
      <c r="S206" t="s">
        <v>639</v>
      </c>
      <c r="T206" t="s">
        <v>654</v>
      </c>
      <c r="U206" t="s">
        <v>639</v>
      </c>
      <c r="V206" t="s">
        <v>655</v>
      </c>
      <c r="W206" t="s">
        <v>645</v>
      </c>
      <c r="X206" t="s">
        <v>646</v>
      </c>
    </row>
    <row r="207" spans="1:24" ht="15.75" hidden="1" customHeight="1" x14ac:dyDescent="0.25">
      <c r="A207" t="s">
        <v>603</v>
      </c>
      <c r="B207">
        <v>7067</v>
      </c>
      <c r="C207" s="68">
        <v>23839200</v>
      </c>
      <c r="D207" s="13">
        <v>46371</v>
      </c>
      <c r="E207" s="67">
        <f t="shared" si="6"/>
        <v>46199</v>
      </c>
      <c r="F207" s="40">
        <f t="shared" si="7"/>
        <v>46201</v>
      </c>
      <c r="G207" s="27"/>
      <c r="J207" t="s">
        <v>635</v>
      </c>
      <c r="K207" t="s">
        <v>636</v>
      </c>
      <c r="L207" s="67">
        <v>46190</v>
      </c>
      <c r="M207">
        <v>23732</v>
      </c>
      <c r="N207">
        <v>13653570</v>
      </c>
      <c r="O207" t="s">
        <v>649</v>
      </c>
      <c r="P207" t="s">
        <v>650</v>
      </c>
      <c r="Q207">
        <v>3050000</v>
      </c>
      <c r="R207" t="s">
        <v>604</v>
      </c>
      <c r="S207" t="s">
        <v>639</v>
      </c>
      <c r="T207" t="s">
        <v>651</v>
      </c>
      <c r="U207" t="s">
        <v>639</v>
      </c>
      <c r="V207" t="s">
        <v>652</v>
      </c>
      <c r="W207" t="s">
        <v>645</v>
      </c>
      <c r="X207" t="s">
        <v>646</v>
      </c>
    </row>
    <row r="208" spans="1:24" ht="15.75" hidden="1" customHeight="1" x14ac:dyDescent="0.25">
      <c r="A208" t="s">
        <v>607</v>
      </c>
      <c r="B208">
        <v>160</v>
      </c>
      <c r="C208" s="68">
        <v>3000720</v>
      </c>
      <c r="D208" s="13">
        <v>46372</v>
      </c>
      <c r="E208" s="67">
        <f t="shared" si="6"/>
        <v>46202</v>
      </c>
      <c r="F208" s="40">
        <f t="shared" si="7"/>
        <v>46204</v>
      </c>
      <c r="G208" s="27"/>
      <c r="J208" t="s">
        <v>635</v>
      </c>
      <c r="K208" t="s">
        <v>636</v>
      </c>
      <c r="L208" s="67">
        <v>46190</v>
      </c>
      <c r="M208">
        <v>23795</v>
      </c>
      <c r="N208">
        <v>4858</v>
      </c>
      <c r="O208" t="s">
        <v>649</v>
      </c>
      <c r="P208" t="s">
        <v>662</v>
      </c>
      <c r="Q208">
        <v>1300000</v>
      </c>
      <c r="R208" t="s">
        <v>606</v>
      </c>
      <c r="S208" t="s">
        <v>639</v>
      </c>
      <c r="T208" t="s">
        <v>673</v>
      </c>
      <c r="U208" t="s">
        <v>639</v>
      </c>
      <c r="V208" t="s">
        <v>664</v>
      </c>
      <c r="W208" t="s">
        <v>645</v>
      </c>
      <c r="X208" t="s">
        <v>646</v>
      </c>
    </row>
    <row r="209" spans="1:24" ht="15.75" hidden="1" customHeight="1" x14ac:dyDescent="0.25">
      <c r="A209" t="s">
        <v>607</v>
      </c>
      <c r="B209">
        <v>161</v>
      </c>
      <c r="C209" s="68">
        <v>2086000</v>
      </c>
      <c r="D209" s="13">
        <v>46373</v>
      </c>
      <c r="E209" s="67">
        <f t="shared" si="6"/>
        <v>46202</v>
      </c>
      <c r="F209" s="40">
        <f t="shared" si="7"/>
        <v>46204</v>
      </c>
      <c r="G209" s="27"/>
      <c r="J209" t="s">
        <v>635</v>
      </c>
      <c r="K209" t="s">
        <v>636</v>
      </c>
      <c r="L209" s="67">
        <v>46191</v>
      </c>
      <c r="M209">
        <v>23693</v>
      </c>
      <c r="N209">
        <v>78055939</v>
      </c>
      <c r="O209" t="s">
        <v>649</v>
      </c>
      <c r="P209" t="s">
        <v>653</v>
      </c>
      <c r="Q209">
        <v>1460205</v>
      </c>
      <c r="R209" t="s">
        <v>600</v>
      </c>
      <c r="S209" t="s">
        <v>639</v>
      </c>
      <c r="T209" t="s">
        <v>654</v>
      </c>
      <c r="U209" t="s">
        <v>639</v>
      </c>
      <c r="V209" t="s">
        <v>655</v>
      </c>
      <c r="W209" t="s">
        <v>645</v>
      </c>
      <c r="X209" t="s">
        <v>646</v>
      </c>
    </row>
    <row r="210" spans="1:24" ht="15.75" hidden="1" customHeight="1" x14ac:dyDescent="0.25">
      <c r="A210" t="s">
        <v>607</v>
      </c>
      <c r="B210">
        <v>162</v>
      </c>
      <c r="C210" s="68">
        <v>2600000</v>
      </c>
      <c r="D210" s="13">
        <v>46374</v>
      </c>
      <c r="E210" s="67">
        <f t="shared" si="6"/>
        <v>46202</v>
      </c>
      <c r="F210" s="40">
        <f t="shared" si="7"/>
        <v>46204</v>
      </c>
      <c r="G210" s="27"/>
      <c r="J210" t="s">
        <v>635</v>
      </c>
      <c r="K210" t="s">
        <v>636</v>
      </c>
      <c r="L210" s="67">
        <v>46191</v>
      </c>
      <c r="M210">
        <v>23730</v>
      </c>
      <c r="N210">
        <v>78055949</v>
      </c>
      <c r="O210" t="s">
        <v>649</v>
      </c>
      <c r="P210" t="s">
        <v>653</v>
      </c>
      <c r="Q210">
        <v>1420740</v>
      </c>
      <c r="R210" t="s">
        <v>600</v>
      </c>
      <c r="S210" t="s">
        <v>639</v>
      </c>
      <c r="T210" t="s">
        <v>654</v>
      </c>
      <c r="U210" t="s">
        <v>639</v>
      </c>
      <c r="V210" t="s">
        <v>655</v>
      </c>
      <c r="W210" t="s">
        <v>645</v>
      </c>
      <c r="X210" t="s">
        <v>646</v>
      </c>
    </row>
    <row r="211" spans="1:24" ht="15.75" hidden="1" customHeight="1" x14ac:dyDescent="0.25">
      <c r="A211" t="s">
        <v>607</v>
      </c>
      <c r="B211">
        <v>163</v>
      </c>
      <c r="C211" s="68">
        <v>3000040</v>
      </c>
      <c r="D211" s="13">
        <v>46375</v>
      </c>
      <c r="E211" s="67">
        <f t="shared" si="6"/>
        <v>46202</v>
      </c>
      <c r="F211" s="40">
        <f t="shared" si="7"/>
        <v>46204</v>
      </c>
      <c r="G211" s="27"/>
      <c r="J211" t="s">
        <v>635</v>
      </c>
      <c r="K211" t="s">
        <v>636</v>
      </c>
      <c r="L211" s="67">
        <v>46191</v>
      </c>
      <c r="M211">
        <v>23733</v>
      </c>
      <c r="N211">
        <v>13653571</v>
      </c>
      <c r="O211" t="s">
        <v>649</v>
      </c>
      <c r="P211" t="s">
        <v>650</v>
      </c>
      <c r="Q211">
        <v>3050000</v>
      </c>
      <c r="R211" t="s">
        <v>604</v>
      </c>
      <c r="S211" t="s">
        <v>639</v>
      </c>
      <c r="T211" t="s">
        <v>651</v>
      </c>
      <c r="U211" t="s">
        <v>639</v>
      </c>
      <c r="V211" t="s">
        <v>652</v>
      </c>
      <c r="W211" t="s">
        <v>645</v>
      </c>
      <c r="X211" t="s">
        <v>646</v>
      </c>
    </row>
    <row r="212" spans="1:24" ht="15.75" hidden="1" customHeight="1" x14ac:dyDescent="0.25">
      <c r="A212" t="s">
        <v>607</v>
      </c>
      <c r="B212">
        <v>164</v>
      </c>
      <c r="C212" s="68">
        <v>3000400</v>
      </c>
      <c r="D212" s="13">
        <v>46376</v>
      </c>
      <c r="E212" s="67">
        <f t="shared" si="6"/>
        <v>46202</v>
      </c>
      <c r="F212" s="40">
        <f t="shared" si="7"/>
        <v>46204</v>
      </c>
      <c r="G212" s="27"/>
      <c r="J212" t="s">
        <v>635</v>
      </c>
      <c r="K212" t="s">
        <v>636</v>
      </c>
      <c r="L212" s="67">
        <v>46192</v>
      </c>
      <c r="M212">
        <v>23671</v>
      </c>
      <c r="N212">
        <v>7069</v>
      </c>
      <c r="O212" t="s">
        <v>649</v>
      </c>
      <c r="P212" t="s">
        <v>662</v>
      </c>
      <c r="Q212">
        <v>28375270</v>
      </c>
      <c r="R212" t="s">
        <v>603</v>
      </c>
      <c r="S212" t="s">
        <v>639</v>
      </c>
      <c r="T212" t="s">
        <v>663</v>
      </c>
      <c r="U212" t="s">
        <v>639</v>
      </c>
      <c r="V212" t="s">
        <v>664</v>
      </c>
      <c r="W212" t="s">
        <v>645</v>
      </c>
      <c r="X212" t="s">
        <v>646</v>
      </c>
    </row>
    <row r="213" spans="1:24" ht="15.75" hidden="1" customHeight="1" x14ac:dyDescent="0.25">
      <c r="A213" t="s">
        <v>607</v>
      </c>
      <c r="B213">
        <v>165</v>
      </c>
      <c r="C213" s="68">
        <v>3500000</v>
      </c>
      <c r="D213" s="13">
        <v>46377</v>
      </c>
      <c r="E213" s="67">
        <f t="shared" si="6"/>
        <v>46202</v>
      </c>
      <c r="F213" s="40">
        <f t="shared" si="7"/>
        <v>46204</v>
      </c>
      <c r="G213" s="27"/>
      <c r="J213" t="s">
        <v>635</v>
      </c>
      <c r="K213" t="s">
        <v>636</v>
      </c>
      <c r="L213" s="67">
        <v>46192</v>
      </c>
      <c r="M213">
        <v>23705</v>
      </c>
      <c r="N213">
        <v>29273700</v>
      </c>
      <c r="O213" t="s">
        <v>637</v>
      </c>
      <c r="P213" t="s">
        <v>670</v>
      </c>
      <c r="Q213">
        <v>1339800</v>
      </c>
      <c r="R213" t="s">
        <v>605</v>
      </c>
      <c r="S213" t="s">
        <v>639</v>
      </c>
      <c r="T213" t="s">
        <v>671</v>
      </c>
      <c r="U213" t="s">
        <v>639</v>
      </c>
      <c r="V213" t="s">
        <v>672</v>
      </c>
      <c r="W213" t="s">
        <v>645</v>
      </c>
      <c r="X213" t="s">
        <v>646</v>
      </c>
    </row>
    <row r="214" spans="1:24" ht="15.75" hidden="1" customHeight="1" x14ac:dyDescent="0.25">
      <c r="A214" t="s">
        <v>607</v>
      </c>
      <c r="B214">
        <v>166</v>
      </c>
      <c r="C214" s="68">
        <v>3047000</v>
      </c>
      <c r="D214" s="13">
        <v>46378</v>
      </c>
      <c r="E214" s="67">
        <f t="shared" si="6"/>
        <v>46202</v>
      </c>
      <c r="F214" s="40">
        <f t="shared" si="7"/>
        <v>46204</v>
      </c>
      <c r="G214" s="27"/>
      <c r="J214" t="s">
        <v>635</v>
      </c>
      <c r="K214" t="s">
        <v>636</v>
      </c>
      <c r="L214" s="67">
        <v>46192</v>
      </c>
      <c r="M214">
        <v>23734</v>
      </c>
      <c r="N214">
        <v>13653572</v>
      </c>
      <c r="O214" t="s">
        <v>649</v>
      </c>
      <c r="P214" t="s">
        <v>650</v>
      </c>
      <c r="Q214">
        <v>3050000</v>
      </c>
      <c r="R214" t="s">
        <v>604</v>
      </c>
      <c r="S214" t="s">
        <v>639</v>
      </c>
      <c r="T214" t="s">
        <v>651</v>
      </c>
      <c r="U214" t="s">
        <v>639</v>
      </c>
      <c r="V214" t="s">
        <v>652</v>
      </c>
      <c r="W214" t="s">
        <v>645</v>
      </c>
      <c r="X214" t="s">
        <v>646</v>
      </c>
    </row>
    <row r="215" spans="1:24" ht="15.75" hidden="1" customHeight="1" x14ac:dyDescent="0.25">
      <c r="A215" t="s">
        <v>609</v>
      </c>
      <c r="B215">
        <v>3436588</v>
      </c>
      <c r="C215" s="68">
        <v>1934482.85</v>
      </c>
      <c r="D215" s="13">
        <v>46379</v>
      </c>
      <c r="E215" s="67">
        <f t="shared" si="6"/>
        <v>46223</v>
      </c>
      <c r="F215" s="40">
        <f t="shared" si="7"/>
        <v>46225</v>
      </c>
      <c r="G215" s="27"/>
      <c r="J215" t="s">
        <v>635</v>
      </c>
      <c r="K215" t="s">
        <v>636</v>
      </c>
      <c r="L215" s="67">
        <v>46192</v>
      </c>
      <c r="M215">
        <v>23747</v>
      </c>
      <c r="N215">
        <v>1582</v>
      </c>
      <c r="O215" t="s">
        <v>649</v>
      </c>
      <c r="P215" t="s">
        <v>662</v>
      </c>
      <c r="Q215">
        <v>21096432.5</v>
      </c>
      <c r="R215" t="s">
        <v>615</v>
      </c>
      <c r="S215" t="s">
        <v>639</v>
      </c>
      <c r="T215" t="s">
        <v>678</v>
      </c>
      <c r="U215" t="s">
        <v>639</v>
      </c>
      <c r="V215" t="s">
        <v>664</v>
      </c>
      <c r="W215" t="s">
        <v>645</v>
      </c>
      <c r="X215" t="s">
        <v>646</v>
      </c>
    </row>
    <row r="216" spans="1:24" ht="15.75" customHeight="1" x14ac:dyDescent="0.25">
      <c r="D216" s="13"/>
      <c r="E216" s="67"/>
      <c r="F216" s="40"/>
      <c r="G216" s="27"/>
      <c r="J216" t="s">
        <v>635</v>
      </c>
      <c r="K216" t="s">
        <v>636</v>
      </c>
      <c r="L216" s="67">
        <v>46192</v>
      </c>
      <c r="M216">
        <v>23781</v>
      </c>
      <c r="N216">
        <v>157</v>
      </c>
      <c r="O216" t="s">
        <v>649</v>
      </c>
      <c r="P216" t="s">
        <v>662</v>
      </c>
      <c r="Q216">
        <v>3000060</v>
      </c>
      <c r="R216" t="s">
        <v>607</v>
      </c>
      <c r="S216" t="s">
        <v>639</v>
      </c>
      <c r="T216" t="s">
        <v>675</v>
      </c>
      <c r="U216" t="s">
        <v>639</v>
      </c>
      <c r="V216" t="s">
        <v>664</v>
      </c>
      <c r="W216" t="s">
        <v>645</v>
      </c>
      <c r="X216" t="s">
        <v>646</v>
      </c>
    </row>
    <row r="217" spans="1:24" ht="15.75" customHeight="1" x14ac:dyDescent="0.25">
      <c r="D217" s="13"/>
      <c r="E217" s="67"/>
      <c r="F217" s="40"/>
      <c r="G217" s="27"/>
      <c r="J217" t="s">
        <v>635</v>
      </c>
      <c r="K217" t="s">
        <v>636</v>
      </c>
      <c r="L217" s="67">
        <v>46192</v>
      </c>
      <c r="M217">
        <v>23782</v>
      </c>
      <c r="N217">
        <v>158</v>
      </c>
      <c r="O217" t="s">
        <v>649</v>
      </c>
      <c r="P217" t="s">
        <v>662</v>
      </c>
      <c r="Q217">
        <v>3000900</v>
      </c>
      <c r="R217" t="s">
        <v>607</v>
      </c>
      <c r="S217" t="s">
        <v>639</v>
      </c>
      <c r="T217" t="s">
        <v>675</v>
      </c>
      <c r="U217" t="s">
        <v>639</v>
      </c>
      <c r="V217" t="s">
        <v>664</v>
      </c>
      <c r="W217" t="s">
        <v>645</v>
      </c>
      <c r="X217" t="s">
        <v>646</v>
      </c>
    </row>
    <row r="218" spans="1:24" ht="15.75" customHeight="1" x14ac:dyDescent="0.25">
      <c r="D218" s="13"/>
      <c r="E218" s="67"/>
      <c r="F218" s="40"/>
      <c r="G218" s="27"/>
      <c r="J218" t="s">
        <v>635</v>
      </c>
      <c r="K218" t="s">
        <v>636</v>
      </c>
      <c r="L218" s="67">
        <v>46192</v>
      </c>
      <c r="M218">
        <v>23783</v>
      </c>
      <c r="N218">
        <v>159</v>
      </c>
      <c r="O218" t="s">
        <v>649</v>
      </c>
      <c r="P218" t="s">
        <v>662</v>
      </c>
      <c r="Q218">
        <v>2364000</v>
      </c>
      <c r="R218" t="s">
        <v>607</v>
      </c>
      <c r="S218" t="s">
        <v>639</v>
      </c>
      <c r="T218" t="s">
        <v>675</v>
      </c>
      <c r="U218" t="s">
        <v>639</v>
      </c>
      <c r="V218" t="s">
        <v>664</v>
      </c>
      <c r="W218" t="s">
        <v>645</v>
      </c>
      <c r="X218" t="s">
        <v>646</v>
      </c>
    </row>
    <row r="219" spans="1:24" ht="15.75" customHeight="1" x14ac:dyDescent="0.25">
      <c r="D219" s="13"/>
      <c r="E219" s="67"/>
      <c r="F219" s="40"/>
      <c r="G219" s="27"/>
      <c r="J219" t="s">
        <v>635</v>
      </c>
      <c r="K219" t="s">
        <v>636</v>
      </c>
      <c r="L219" s="67">
        <v>46192</v>
      </c>
      <c r="M219">
        <v>23796</v>
      </c>
      <c r="N219">
        <v>4859</v>
      </c>
      <c r="O219" t="s">
        <v>649</v>
      </c>
      <c r="P219" t="s">
        <v>662</v>
      </c>
      <c r="Q219">
        <v>1300000</v>
      </c>
      <c r="R219" t="s">
        <v>606</v>
      </c>
      <c r="S219" t="s">
        <v>639</v>
      </c>
      <c r="T219" t="s">
        <v>673</v>
      </c>
      <c r="U219" t="s">
        <v>639</v>
      </c>
      <c r="V219" t="s">
        <v>664</v>
      </c>
      <c r="W219" t="s">
        <v>645</v>
      </c>
      <c r="X219" t="s">
        <v>646</v>
      </c>
    </row>
    <row r="220" spans="1:24" ht="15.75" customHeight="1" x14ac:dyDescent="0.25">
      <c r="D220" s="13"/>
      <c r="E220" s="67"/>
      <c r="F220" s="40"/>
      <c r="G220" s="27"/>
      <c r="J220" t="s">
        <v>635</v>
      </c>
      <c r="K220" t="s">
        <v>636</v>
      </c>
      <c r="L220" s="67">
        <v>46195</v>
      </c>
      <c r="M220">
        <v>23735</v>
      </c>
      <c r="N220">
        <v>13653573</v>
      </c>
      <c r="O220" t="s">
        <v>649</v>
      </c>
      <c r="P220" t="s">
        <v>650</v>
      </c>
      <c r="Q220">
        <v>3050000</v>
      </c>
      <c r="R220" t="s">
        <v>604</v>
      </c>
      <c r="S220" t="s">
        <v>639</v>
      </c>
      <c r="T220" t="s">
        <v>651</v>
      </c>
      <c r="U220" t="s">
        <v>639</v>
      </c>
      <c r="V220" t="s">
        <v>652</v>
      </c>
      <c r="W220" t="s">
        <v>645</v>
      </c>
      <c r="X220" t="s">
        <v>646</v>
      </c>
    </row>
    <row r="221" spans="1:24" ht="15.75" customHeight="1" x14ac:dyDescent="0.25">
      <c r="D221" s="13"/>
      <c r="E221" s="67"/>
      <c r="F221" s="40"/>
      <c r="G221" s="27"/>
      <c r="J221" t="s">
        <v>635</v>
      </c>
      <c r="K221" t="s">
        <v>636</v>
      </c>
      <c r="L221" s="67">
        <v>46195</v>
      </c>
      <c r="M221">
        <v>23736</v>
      </c>
      <c r="N221">
        <v>13653574</v>
      </c>
      <c r="O221" t="s">
        <v>649</v>
      </c>
      <c r="P221" t="s">
        <v>650</v>
      </c>
      <c r="Q221">
        <v>3050000</v>
      </c>
      <c r="R221" t="s">
        <v>604</v>
      </c>
      <c r="S221" t="s">
        <v>639</v>
      </c>
      <c r="T221" t="s">
        <v>651</v>
      </c>
      <c r="U221" t="s">
        <v>639</v>
      </c>
      <c r="V221" t="s">
        <v>652</v>
      </c>
      <c r="W221" t="s">
        <v>645</v>
      </c>
      <c r="X221" t="s">
        <v>646</v>
      </c>
    </row>
    <row r="222" spans="1:24" ht="15.75" customHeight="1" x14ac:dyDescent="0.25">
      <c r="D222" s="13"/>
      <c r="E222" s="67"/>
      <c r="F222" s="40"/>
      <c r="G222" s="27"/>
      <c r="J222" t="s">
        <v>635</v>
      </c>
      <c r="K222" t="s">
        <v>636</v>
      </c>
      <c r="L222" s="67">
        <v>46195</v>
      </c>
      <c r="M222">
        <v>23737</v>
      </c>
      <c r="N222">
        <v>13653575</v>
      </c>
      <c r="O222" t="s">
        <v>649</v>
      </c>
      <c r="P222" t="s">
        <v>650</v>
      </c>
      <c r="Q222">
        <v>3050000</v>
      </c>
      <c r="R222" t="s">
        <v>604</v>
      </c>
      <c r="S222" t="s">
        <v>639</v>
      </c>
      <c r="T222" t="s">
        <v>651</v>
      </c>
      <c r="U222" t="s">
        <v>639</v>
      </c>
      <c r="V222" t="s">
        <v>652</v>
      </c>
      <c r="W222" t="s">
        <v>645</v>
      </c>
      <c r="X222" t="s">
        <v>646</v>
      </c>
    </row>
    <row r="223" spans="1:24" ht="15.75" customHeight="1" x14ac:dyDescent="0.25">
      <c r="D223" s="13"/>
      <c r="E223" s="67"/>
      <c r="F223" s="40"/>
      <c r="G223" s="27"/>
      <c r="J223" t="s">
        <v>635</v>
      </c>
      <c r="K223" t="s">
        <v>636</v>
      </c>
      <c r="L223" s="67">
        <v>46195</v>
      </c>
      <c r="M223">
        <v>23779</v>
      </c>
      <c r="N223">
        <v>155</v>
      </c>
      <c r="O223" t="s">
        <v>649</v>
      </c>
      <c r="P223" t="s">
        <v>662</v>
      </c>
      <c r="Q223">
        <v>3000380</v>
      </c>
      <c r="R223" t="s">
        <v>607</v>
      </c>
      <c r="S223" t="s">
        <v>639</v>
      </c>
      <c r="T223" t="s">
        <v>675</v>
      </c>
      <c r="U223" t="s">
        <v>639</v>
      </c>
      <c r="V223" t="s">
        <v>664</v>
      </c>
      <c r="W223" t="s">
        <v>645</v>
      </c>
      <c r="X223" t="s">
        <v>646</v>
      </c>
    </row>
    <row r="224" spans="1:24" ht="15.75" customHeight="1" x14ac:dyDescent="0.25">
      <c r="D224" s="13"/>
      <c r="E224" s="67"/>
      <c r="F224" s="40"/>
      <c r="G224" s="27"/>
      <c r="J224" t="s">
        <v>635</v>
      </c>
      <c r="K224" t="s">
        <v>636</v>
      </c>
      <c r="L224" s="67">
        <v>46195</v>
      </c>
      <c r="M224">
        <v>23780</v>
      </c>
      <c r="N224">
        <v>156</v>
      </c>
      <c r="O224" t="s">
        <v>649</v>
      </c>
      <c r="P224" t="s">
        <v>662</v>
      </c>
      <c r="Q224">
        <v>3019000</v>
      </c>
      <c r="R224" t="s">
        <v>607</v>
      </c>
      <c r="S224" t="s">
        <v>639</v>
      </c>
      <c r="T224" t="s">
        <v>675</v>
      </c>
      <c r="U224" t="s">
        <v>639</v>
      </c>
      <c r="V224" t="s">
        <v>664</v>
      </c>
      <c r="W224" t="s">
        <v>645</v>
      </c>
      <c r="X224" t="s">
        <v>646</v>
      </c>
    </row>
    <row r="225" spans="4:24" ht="15.75" customHeight="1" x14ac:dyDescent="0.25">
      <c r="D225" s="13"/>
      <c r="E225" s="67"/>
      <c r="F225" s="40"/>
      <c r="G225" s="27"/>
      <c r="J225" t="s">
        <v>635</v>
      </c>
      <c r="K225" t="s">
        <v>636</v>
      </c>
      <c r="L225" s="67">
        <v>46195</v>
      </c>
      <c r="M225">
        <v>23792</v>
      </c>
      <c r="N225">
        <v>9845372</v>
      </c>
      <c r="O225" t="s">
        <v>649</v>
      </c>
      <c r="P225" t="s">
        <v>642</v>
      </c>
      <c r="Q225">
        <v>14268870</v>
      </c>
      <c r="R225" t="s">
        <v>614</v>
      </c>
      <c r="S225" t="s">
        <v>639</v>
      </c>
      <c r="T225" t="s">
        <v>674</v>
      </c>
      <c r="U225" t="s">
        <v>639</v>
      </c>
      <c r="V225" t="s">
        <v>644</v>
      </c>
      <c r="W225" t="s">
        <v>645</v>
      </c>
      <c r="X225" t="s">
        <v>646</v>
      </c>
    </row>
    <row r="226" spans="4:24" ht="15.75" customHeight="1" x14ac:dyDescent="0.25">
      <c r="D226" s="13"/>
      <c r="E226" s="67"/>
      <c r="F226" s="40"/>
      <c r="G226" s="27"/>
      <c r="J226" t="s">
        <v>635</v>
      </c>
      <c r="K226" t="s">
        <v>636</v>
      </c>
      <c r="L226" s="67">
        <v>46195</v>
      </c>
      <c r="M226">
        <v>23797</v>
      </c>
      <c r="N226">
        <v>4860</v>
      </c>
      <c r="O226" t="s">
        <v>649</v>
      </c>
      <c r="P226" t="s">
        <v>662</v>
      </c>
      <c r="Q226">
        <v>1300000</v>
      </c>
      <c r="R226" t="s">
        <v>606</v>
      </c>
      <c r="S226" t="s">
        <v>639</v>
      </c>
      <c r="T226" t="s">
        <v>673</v>
      </c>
      <c r="U226" t="s">
        <v>639</v>
      </c>
      <c r="V226" t="s">
        <v>664</v>
      </c>
      <c r="W226" t="s">
        <v>645</v>
      </c>
      <c r="X226" t="s">
        <v>646</v>
      </c>
    </row>
    <row r="227" spans="4:24" ht="15.75" customHeight="1" x14ac:dyDescent="0.25">
      <c r="D227" s="13"/>
      <c r="E227" s="67"/>
      <c r="F227" s="40"/>
      <c r="G227" s="27"/>
      <c r="J227" t="s">
        <v>635</v>
      </c>
      <c r="K227" t="s">
        <v>636</v>
      </c>
      <c r="L227" s="67">
        <v>46195</v>
      </c>
      <c r="M227">
        <v>23815</v>
      </c>
      <c r="N227">
        <v>9985872</v>
      </c>
      <c r="O227" t="s">
        <v>649</v>
      </c>
      <c r="P227" t="s">
        <v>642</v>
      </c>
      <c r="Q227">
        <v>6526515</v>
      </c>
      <c r="R227" t="s">
        <v>611</v>
      </c>
      <c r="S227" t="s">
        <v>639</v>
      </c>
      <c r="T227" t="s">
        <v>679</v>
      </c>
      <c r="U227" t="s">
        <v>639</v>
      </c>
      <c r="V227" t="s">
        <v>644</v>
      </c>
      <c r="W227" t="s">
        <v>645</v>
      </c>
      <c r="X227" t="s">
        <v>646</v>
      </c>
    </row>
    <row r="228" spans="4:24" ht="15.75" customHeight="1" x14ac:dyDescent="0.25">
      <c r="D228" s="13"/>
      <c r="E228" s="67"/>
      <c r="F228" s="40"/>
      <c r="G228" s="27"/>
      <c r="J228" t="s">
        <v>635</v>
      </c>
      <c r="K228" t="s">
        <v>636</v>
      </c>
      <c r="L228" s="67">
        <v>46195</v>
      </c>
      <c r="M228">
        <v>23816</v>
      </c>
      <c r="N228">
        <v>9985873</v>
      </c>
      <c r="O228" t="s">
        <v>649</v>
      </c>
      <c r="P228" t="s">
        <v>642</v>
      </c>
      <c r="Q228">
        <v>10000000</v>
      </c>
      <c r="R228" t="s">
        <v>611</v>
      </c>
      <c r="S228" t="s">
        <v>639</v>
      </c>
      <c r="T228" t="s">
        <v>679</v>
      </c>
      <c r="U228" t="s">
        <v>639</v>
      </c>
      <c r="V228" t="s">
        <v>644</v>
      </c>
      <c r="W228" t="s">
        <v>645</v>
      </c>
      <c r="X228" t="s">
        <v>646</v>
      </c>
    </row>
    <row r="229" spans="4:24" ht="15.75" customHeight="1" x14ac:dyDescent="0.25">
      <c r="D229" s="13"/>
      <c r="E229" s="67"/>
      <c r="F229" s="40"/>
      <c r="G229" s="27"/>
      <c r="J229" t="s">
        <v>635</v>
      </c>
      <c r="K229" t="s">
        <v>636</v>
      </c>
      <c r="L229" s="67">
        <v>46195</v>
      </c>
      <c r="M229">
        <v>23817</v>
      </c>
      <c r="N229">
        <v>9985874</v>
      </c>
      <c r="O229" t="s">
        <v>649</v>
      </c>
      <c r="P229" t="s">
        <v>642</v>
      </c>
      <c r="Q229">
        <v>10000000</v>
      </c>
      <c r="R229" t="s">
        <v>611</v>
      </c>
      <c r="S229" t="s">
        <v>639</v>
      </c>
      <c r="T229" t="s">
        <v>679</v>
      </c>
      <c r="U229" t="s">
        <v>639</v>
      </c>
      <c r="V229" t="s">
        <v>644</v>
      </c>
      <c r="W229" t="s">
        <v>645</v>
      </c>
      <c r="X229" t="s">
        <v>646</v>
      </c>
    </row>
    <row r="230" spans="4:24" ht="15.75" customHeight="1" x14ac:dyDescent="0.25">
      <c r="D230" s="13"/>
      <c r="E230" s="67"/>
      <c r="F230" s="40"/>
      <c r="G230" s="27"/>
      <c r="J230" t="s">
        <v>635</v>
      </c>
      <c r="K230" t="s">
        <v>636</v>
      </c>
      <c r="L230" s="67">
        <v>46195</v>
      </c>
      <c r="M230">
        <v>23818</v>
      </c>
      <c r="N230">
        <v>9985875</v>
      </c>
      <c r="O230" t="s">
        <v>649</v>
      </c>
      <c r="P230" t="s">
        <v>642</v>
      </c>
      <c r="Q230">
        <v>10000000</v>
      </c>
      <c r="R230" t="s">
        <v>611</v>
      </c>
      <c r="S230" t="s">
        <v>639</v>
      </c>
      <c r="T230" t="s">
        <v>679</v>
      </c>
      <c r="U230" t="s">
        <v>639</v>
      </c>
      <c r="V230" t="s">
        <v>644</v>
      </c>
      <c r="W230" t="s">
        <v>645</v>
      </c>
      <c r="X230" t="s">
        <v>646</v>
      </c>
    </row>
    <row r="231" spans="4:24" ht="15.75" customHeight="1" x14ac:dyDescent="0.25">
      <c r="D231" s="13"/>
      <c r="E231" s="67"/>
      <c r="F231" s="40"/>
      <c r="G231" s="27"/>
      <c r="J231" t="s">
        <v>635</v>
      </c>
      <c r="K231" t="s">
        <v>636</v>
      </c>
      <c r="L231" s="67">
        <v>46195</v>
      </c>
      <c r="M231">
        <v>23819</v>
      </c>
      <c r="N231">
        <v>9985876</v>
      </c>
      <c r="O231" t="s">
        <v>649</v>
      </c>
      <c r="P231" t="s">
        <v>642</v>
      </c>
      <c r="Q231">
        <v>10000000</v>
      </c>
      <c r="R231" t="s">
        <v>611</v>
      </c>
      <c r="S231" t="s">
        <v>639</v>
      </c>
      <c r="T231" t="s">
        <v>679</v>
      </c>
      <c r="U231" t="s">
        <v>639</v>
      </c>
      <c r="V231" t="s">
        <v>644</v>
      </c>
      <c r="W231" t="s">
        <v>645</v>
      </c>
      <c r="X231" t="s">
        <v>646</v>
      </c>
    </row>
    <row r="232" spans="4:24" ht="15.75" customHeight="1" x14ac:dyDescent="0.25">
      <c r="D232" s="13"/>
      <c r="E232" s="67"/>
      <c r="F232" s="40"/>
      <c r="G232" s="27"/>
      <c r="J232" t="s">
        <v>635</v>
      </c>
      <c r="K232" t="s">
        <v>636</v>
      </c>
      <c r="L232" s="67">
        <v>46195</v>
      </c>
      <c r="M232">
        <v>23820</v>
      </c>
      <c r="N232">
        <v>9985877</v>
      </c>
      <c r="O232" t="s">
        <v>649</v>
      </c>
      <c r="P232" t="s">
        <v>642</v>
      </c>
      <c r="Q232">
        <v>10000000</v>
      </c>
      <c r="R232" t="s">
        <v>611</v>
      </c>
      <c r="S232" t="s">
        <v>639</v>
      </c>
      <c r="T232" t="s">
        <v>679</v>
      </c>
      <c r="U232" t="s">
        <v>639</v>
      </c>
      <c r="V232" t="s">
        <v>644</v>
      </c>
      <c r="W232" t="s">
        <v>645</v>
      </c>
      <c r="X232" t="s">
        <v>646</v>
      </c>
    </row>
    <row r="233" spans="4:24" ht="15.75" customHeight="1" x14ac:dyDescent="0.25">
      <c r="D233" s="13"/>
      <c r="E233" s="67"/>
      <c r="F233" s="40"/>
      <c r="G233" s="27"/>
      <c r="J233" t="s">
        <v>635</v>
      </c>
      <c r="K233" t="s">
        <v>636</v>
      </c>
      <c r="L233" s="67">
        <v>46195</v>
      </c>
      <c r="M233">
        <v>23821</v>
      </c>
      <c r="N233">
        <v>9985878</v>
      </c>
      <c r="O233" t="s">
        <v>649</v>
      </c>
      <c r="P233" t="s">
        <v>642</v>
      </c>
      <c r="Q233">
        <v>10000000</v>
      </c>
      <c r="R233" t="s">
        <v>611</v>
      </c>
      <c r="S233" t="s">
        <v>639</v>
      </c>
      <c r="T233" t="s">
        <v>679</v>
      </c>
      <c r="U233" t="s">
        <v>639</v>
      </c>
      <c r="V233" t="s">
        <v>644</v>
      </c>
      <c r="W233" t="s">
        <v>645</v>
      </c>
      <c r="X233" t="s">
        <v>646</v>
      </c>
    </row>
    <row r="234" spans="4:24" ht="15.75" customHeight="1" x14ac:dyDescent="0.25">
      <c r="D234" s="13"/>
      <c r="E234" s="67"/>
      <c r="F234" s="40"/>
      <c r="G234" s="27"/>
      <c r="J234" t="s">
        <v>635</v>
      </c>
      <c r="K234" t="s">
        <v>636</v>
      </c>
      <c r="L234" s="67">
        <v>46196</v>
      </c>
      <c r="M234">
        <v>23738</v>
      </c>
      <c r="N234">
        <v>13653576</v>
      </c>
      <c r="O234" t="s">
        <v>649</v>
      </c>
      <c r="P234" t="s">
        <v>650</v>
      </c>
      <c r="Q234">
        <v>3050000</v>
      </c>
      <c r="R234" t="s">
        <v>604</v>
      </c>
      <c r="S234" t="s">
        <v>639</v>
      </c>
      <c r="T234" t="s">
        <v>651</v>
      </c>
      <c r="U234" t="s">
        <v>639</v>
      </c>
      <c r="V234" t="s">
        <v>652</v>
      </c>
      <c r="W234" t="s">
        <v>645</v>
      </c>
      <c r="X234" t="s">
        <v>646</v>
      </c>
    </row>
    <row r="235" spans="4:24" ht="15.75" customHeight="1" x14ac:dyDescent="0.25">
      <c r="D235" s="13"/>
      <c r="E235" s="67"/>
      <c r="F235" s="40"/>
      <c r="G235" s="27"/>
      <c r="J235" t="s">
        <v>635</v>
      </c>
      <c r="K235" t="s">
        <v>636</v>
      </c>
      <c r="L235" s="67">
        <v>46196</v>
      </c>
      <c r="M235">
        <v>23798</v>
      </c>
      <c r="N235">
        <v>4861</v>
      </c>
      <c r="O235" t="s">
        <v>649</v>
      </c>
      <c r="P235" t="s">
        <v>662</v>
      </c>
      <c r="Q235">
        <v>1300000</v>
      </c>
      <c r="R235" t="s">
        <v>606</v>
      </c>
      <c r="S235" t="s">
        <v>639</v>
      </c>
      <c r="T235" t="s">
        <v>673</v>
      </c>
      <c r="U235" t="s">
        <v>639</v>
      </c>
      <c r="V235" t="s">
        <v>664</v>
      </c>
      <c r="W235" t="s">
        <v>645</v>
      </c>
      <c r="X235" t="s">
        <v>646</v>
      </c>
    </row>
    <row r="236" spans="4:24" ht="15.75" customHeight="1" x14ac:dyDescent="0.25">
      <c r="D236" s="13"/>
      <c r="E236" s="67"/>
      <c r="F236" s="40"/>
      <c r="G236" s="27"/>
      <c r="J236" t="s">
        <v>635</v>
      </c>
      <c r="K236" t="s">
        <v>636</v>
      </c>
      <c r="L236" s="67">
        <v>46197</v>
      </c>
      <c r="M236">
        <v>23739</v>
      </c>
      <c r="N236">
        <v>13653577</v>
      </c>
      <c r="O236" t="s">
        <v>649</v>
      </c>
      <c r="P236" t="s">
        <v>650</v>
      </c>
      <c r="Q236">
        <v>3050000</v>
      </c>
      <c r="R236" t="s">
        <v>604</v>
      </c>
      <c r="S236" t="s">
        <v>639</v>
      </c>
      <c r="T236" t="s">
        <v>651</v>
      </c>
      <c r="U236" t="s">
        <v>639</v>
      </c>
      <c r="V236" t="s">
        <v>652</v>
      </c>
      <c r="W236" t="s">
        <v>645</v>
      </c>
      <c r="X236" t="s">
        <v>646</v>
      </c>
    </row>
    <row r="237" spans="4:24" ht="15.75" customHeight="1" x14ac:dyDescent="0.25">
      <c r="D237" s="13"/>
      <c r="E237" s="67"/>
      <c r="F237" s="40"/>
      <c r="G237" s="27"/>
      <c r="J237" t="s">
        <v>635</v>
      </c>
      <c r="K237" t="s">
        <v>636</v>
      </c>
      <c r="L237" s="67">
        <v>46197</v>
      </c>
      <c r="M237">
        <v>23793</v>
      </c>
      <c r="N237">
        <v>29339958</v>
      </c>
      <c r="O237" t="s">
        <v>649</v>
      </c>
      <c r="P237" t="s">
        <v>670</v>
      </c>
      <c r="Q237">
        <v>9609600</v>
      </c>
      <c r="R237" t="s">
        <v>613</v>
      </c>
      <c r="S237" t="s">
        <v>639</v>
      </c>
      <c r="T237" t="s">
        <v>677</v>
      </c>
      <c r="U237" t="s">
        <v>639</v>
      </c>
      <c r="V237" t="s">
        <v>672</v>
      </c>
      <c r="W237" t="s">
        <v>645</v>
      </c>
      <c r="X237" t="s">
        <v>646</v>
      </c>
    </row>
    <row r="238" spans="4:24" ht="15.75" customHeight="1" x14ac:dyDescent="0.25">
      <c r="D238" s="13"/>
      <c r="E238" s="67"/>
      <c r="F238" s="40"/>
      <c r="G238" s="27"/>
      <c r="J238" t="s">
        <v>635</v>
      </c>
      <c r="K238" t="s">
        <v>636</v>
      </c>
      <c r="L238" s="67">
        <v>46197</v>
      </c>
      <c r="M238">
        <v>23799</v>
      </c>
      <c r="N238">
        <v>4862</v>
      </c>
      <c r="O238" t="s">
        <v>649</v>
      </c>
      <c r="P238" t="s">
        <v>662</v>
      </c>
      <c r="Q238">
        <v>949750</v>
      </c>
      <c r="R238" t="s">
        <v>606</v>
      </c>
      <c r="S238" t="s">
        <v>639</v>
      </c>
      <c r="T238" t="s">
        <v>673</v>
      </c>
      <c r="U238" t="s">
        <v>639</v>
      </c>
      <c r="V238" t="s">
        <v>664</v>
      </c>
      <c r="W238" t="s">
        <v>645</v>
      </c>
      <c r="X238" t="s">
        <v>646</v>
      </c>
    </row>
    <row r="239" spans="4:24" ht="15.75" customHeight="1" x14ac:dyDescent="0.25">
      <c r="D239" s="13"/>
      <c r="E239" s="67"/>
      <c r="F239" s="40"/>
      <c r="G239" s="27"/>
      <c r="J239" t="s">
        <v>635</v>
      </c>
      <c r="K239" t="s">
        <v>636</v>
      </c>
      <c r="L239" s="67">
        <v>46199</v>
      </c>
      <c r="M239">
        <v>23791</v>
      </c>
      <c r="N239">
        <v>7067</v>
      </c>
      <c r="O239" t="s">
        <v>649</v>
      </c>
      <c r="P239" t="s">
        <v>662</v>
      </c>
      <c r="Q239">
        <v>23839200</v>
      </c>
      <c r="R239" t="s">
        <v>603</v>
      </c>
      <c r="S239" t="s">
        <v>639</v>
      </c>
      <c r="T239" t="s">
        <v>663</v>
      </c>
      <c r="U239" t="s">
        <v>639</v>
      </c>
      <c r="V239" t="s">
        <v>664</v>
      </c>
      <c r="W239" t="s">
        <v>645</v>
      </c>
      <c r="X239" t="s">
        <v>646</v>
      </c>
    </row>
    <row r="240" spans="4:24" ht="15.75" customHeight="1" x14ac:dyDescent="0.25">
      <c r="D240" s="13"/>
      <c r="E240" s="67"/>
      <c r="F240" s="40"/>
      <c r="G240" s="27"/>
      <c r="J240" t="s">
        <v>635</v>
      </c>
      <c r="K240" t="s">
        <v>636</v>
      </c>
      <c r="L240" s="67">
        <v>46202</v>
      </c>
      <c r="M240">
        <v>23784</v>
      </c>
      <c r="N240">
        <v>160</v>
      </c>
      <c r="O240" t="s">
        <v>649</v>
      </c>
      <c r="P240" t="s">
        <v>662</v>
      </c>
      <c r="Q240">
        <v>3000720</v>
      </c>
      <c r="R240" t="s">
        <v>607</v>
      </c>
      <c r="S240" t="s">
        <v>639</v>
      </c>
      <c r="T240" t="s">
        <v>675</v>
      </c>
      <c r="U240" t="s">
        <v>639</v>
      </c>
      <c r="V240" t="s">
        <v>664</v>
      </c>
      <c r="W240" t="s">
        <v>645</v>
      </c>
      <c r="X240" t="s">
        <v>646</v>
      </c>
    </row>
    <row r="241" spans="4:24" ht="15.75" customHeight="1" x14ac:dyDescent="0.25">
      <c r="D241" s="13"/>
      <c r="E241" s="67"/>
      <c r="F241" s="40"/>
      <c r="G241" s="27"/>
      <c r="J241" t="s">
        <v>635</v>
      </c>
      <c r="K241" t="s">
        <v>636</v>
      </c>
      <c r="L241" s="67">
        <v>46202</v>
      </c>
      <c r="M241">
        <v>23785</v>
      </c>
      <c r="N241">
        <v>161</v>
      </c>
      <c r="O241" t="s">
        <v>649</v>
      </c>
      <c r="P241" t="s">
        <v>662</v>
      </c>
      <c r="Q241">
        <v>2086000</v>
      </c>
      <c r="R241" t="s">
        <v>607</v>
      </c>
      <c r="S241" t="s">
        <v>639</v>
      </c>
      <c r="T241" t="s">
        <v>675</v>
      </c>
      <c r="U241" t="s">
        <v>639</v>
      </c>
      <c r="V241" t="s">
        <v>664</v>
      </c>
      <c r="W241" t="s">
        <v>645</v>
      </c>
      <c r="X241" t="s">
        <v>646</v>
      </c>
    </row>
    <row r="242" spans="4:24" ht="15.75" customHeight="1" x14ac:dyDescent="0.25">
      <c r="D242" s="13"/>
      <c r="E242" s="67"/>
      <c r="F242" s="40"/>
      <c r="G242" s="27"/>
      <c r="J242" t="s">
        <v>635</v>
      </c>
      <c r="K242" t="s">
        <v>636</v>
      </c>
      <c r="L242" s="67">
        <v>46202</v>
      </c>
      <c r="M242">
        <v>23786</v>
      </c>
      <c r="N242">
        <v>162</v>
      </c>
      <c r="O242" t="s">
        <v>649</v>
      </c>
      <c r="P242" t="s">
        <v>662</v>
      </c>
      <c r="Q242">
        <v>2600000</v>
      </c>
      <c r="R242" t="s">
        <v>607</v>
      </c>
      <c r="S242" t="s">
        <v>639</v>
      </c>
      <c r="T242" t="s">
        <v>675</v>
      </c>
      <c r="U242" t="s">
        <v>639</v>
      </c>
      <c r="V242" t="s">
        <v>664</v>
      </c>
      <c r="W242" t="s">
        <v>645</v>
      </c>
      <c r="X242" t="s">
        <v>646</v>
      </c>
    </row>
    <row r="243" spans="4:24" ht="15.75" customHeight="1" x14ac:dyDescent="0.25">
      <c r="D243" s="13"/>
      <c r="E243" s="67"/>
      <c r="F243" s="40"/>
      <c r="G243" s="27"/>
      <c r="J243" t="s">
        <v>635</v>
      </c>
      <c r="K243" t="s">
        <v>636</v>
      </c>
      <c r="L243" s="67">
        <v>46202</v>
      </c>
      <c r="M243">
        <v>23787</v>
      </c>
      <c r="N243">
        <v>163</v>
      </c>
      <c r="O243" t="s">
        <v>649</v>
      </c>
      <c r="P243" t="s">
        <v>662</v>
      </c>
      <c r="Q243">
        <v>3000040</v>
      </c>
      <c r="R243" t="s">
        <v>607</v>
      </c>
      <c r="S243" t="s">
        <v>639</v>
      </c>
      <c r="T243" t="s">
        <v>675</v>
      </c>
      <c r="U243" t="s">
        <v>639</v>
      </c>
      <c r="V243" t="s">
        <v>664</v>
      </c>
      <c r="W243" t="s">
        <v>645</v>
      </c>
      <c r="X243" t="s">
        <v>646</v>
      </c>
    </row>
    <row r="244" spans="4:24" ht="15.75" customHeight="1" x14ac:dyDescent="0.25">
      <c r="D244" s="13"/>
      <c r="E244" s="67"/>
      <c r="F244" s="40"/>
      <c r="G244" s="27"/>
      <c r="J244" t="s">
        <v>635</v>
      </c>
      <c r="K244" t="s">
        <v>636</v>
      </c>
      <c r="L244" s="67">
        <v>46202</v>
      </c>
      <c r="M244">
        <v>23788</v>
      </c>
      <c r="N244">
        <v>164</v>
      </c>
      <c r="O244" t="s">
        <v>649</v>
      </c>
      <c r="P244" t="s">
        <v>662</v>
      </c>
      <c r="Q244">
        <v>3000400</v>
      </c>
      <c r="R244" t="s">
        <v>607</v>
      </c>
      <c r="S244" t="s">
        <v>639</v>
      </c>
      <c r="T244" t="s">
        <v>675</v>
      </c>
      <c r="U244" t="s">
        <v>639</v>
      </c>
      <c r="V244" t="s">
        <v>664</v>
      </c>
      <c r="W244" t="s">
        <v>645</v>
      </c>
      <c r="X244" t="s">
        <v>646</v>
      </c>
    </row>
    <row r="245" spans="4:24" ht="15.75" customHeight="1" x14ac:dyDescent="0.25">
      <c r="D245" s="13"/>
      <c r="E245" s="67"/>
      <c r="F245" s="40"/>
      <c r="G245" s="27"/>
      <c r="J245" t="s">
        <v>635</v>
      </c>
      <c r="K245" t="s">
        <v>636</v>
      </c>
      <c r="L245" s="67">
        <v>46202</v>
      </c>
      <c r="M245">
        <v>23789</v>
      </c>
      <c r="N245">
        <v>165</v>
      </c>
      <c r="O245" t="s">
        <v>649</v>
      </c>
      <c r="P245" t="s">
        <v>662</v>
      </c>
      <c r="Q245">
        <v>3500000</v>
      </c>
      <c r="R245" t="s">
        <v>607</v>
      </c>
      <c r="S245" t="s">
        <v>639</v>
      </c>
      <c r="T245" t="s">
        <v>675</v>
      </c>
      <c r="U245" t="s">
        <v>639</v>
      </c>
      <c r="V245" t="s">
        <v>664</v>
      </c>
      <c r="W245" t="s">
        <v>645</v>
      </c>
      <c r="X245" t="s">
        <v>646</v>
      </c>
    </row>
    <row r="246" spans="4:24" ht="15.75" customHeight="1" x14ac:dyDescent="0.25">
      <c r="D246" s="13"/>
      <c r="E246" s="67"/>
      <c r="F246" s="40"/>
      <c r="G246" s="27"/>
      <c r="J246" t="s">
        <v>635</v>
      </c>
      <c r="K246" t="s">
        <v>636</v>
      </c>
      <c r="L246" s="67">
        <v>46202</v>
      </c>
      <c r="M246">
        <v>23790</v>
      </c>
      <c r="N246">
        <v>166</v>
      </c>
      <c r="O246" t="s">
        <v>649</v>
      </c>
      <c r="P246" t="s">
        <v>662</v>
      </c>
      <c r="Q246">
        <v>3047000</v>
      </c>
      <c r="R246" t="s">
        <v>607</v>
      </c>
      <c r="S246" t="s">
        <v>639</v>
      </c>
      <c r="T246" t="s">
        <v>675</v>
      </c>
      <c r="U246" t="s">
        <v>639</v>
      </c>
      <c r="V246" t="s">
        <v>664</v>
      </c>
      <c r="W246" t="s">
        <v>645</v>
      </c>
      <c r="X246" t="s">
        <v>646</v>
      </c>
    </row>
    <row r="247" spans="4:24" ht="15.75" customHeight="1" x14ac:dyDescent="0.25">
      <c r="D247" s="13"/>
      <c r="E247" s="67"/>
      <c r="F247" s="40"/>
      <c r="G247" s="27"/>
      <c r="J247" t="s">
        <v>635</v>
      </c>
      <c r="K247" t="s">
        <v>636</v>
      </c>
      <c r="L247" s="67">
        <v>46223</v>
      </c>
      <c r="M247">
        <v>23267</v>
      </c>
      <c r="N247">
        <v>3436588</v>
      </c>
      <c r="O247" t="s">
        <v>649</v>
      </c>
      <c r="P247" t="s">
        <v>647</v>
      </c>
      <c r="Q247">
        <v>1934482.85</v>
      </c>
      <c r="R247" t="s">
        <v>609</v>
      </c>
      <c r="S247" t="s">
        <v>639</v>
      </c>
      <c r="T247" t="s">
        <v>686</v>
      </c>
      <c r="U247" t="s">
        <v>639</v>
      </c>
      <c r="V247" t="s">
        <v>648</v>
      </c>
      <c r="W247" t="s">
        <v>645</v>
      </c>
      <c r="X247" t="s">
        <v>646</v>
      </c>
    </row>
    <row r="248" spans="4:24" ht="15.75" customHeight="1" x14ac:dyDescent="0.25">
      <c r="D248" s="13"/>
      <c r="E248" s="67"/>
      <c r="F248" s="40"/>
      <c r="G248" s="27"/>
      <c r="J248" t="s">
        <v>619</v>
      </c>
    </row>
    <row r="249" spans="4:24" ht="15.75" customHeight="1" x14ac:dyDescent="0.25">
      <c r="D249" s="13"/>
      <c r="E249" s="67"/>
      <c r="F249" s="40"/>
      <c r="G249" s="27"/>
      <c r="J249" t="s">
        <v>687</v>
      </c>
    </row>
    <row r="250" spans="4:24" ht="15.75" customHeight="1" x14ac:dyDescent="0.25">
      <c r="D250" s="13"/>
      <c r="E250" s="67"/>
      <c r="F250" s="40"/>
      <c r="G250" s="27"/>
      <c r="J250" t="s">
        <v>688</v>
      </c>
    </row>
    <row r="251" spans="4:24" ht="15.75" customHeight="1" x14ac:dyDescent="0.25">
      <c r="D251" s="13"/>
      <c r="E251" s="67"/>
      <c r="F251" s="40"/>
      <c r="G251" s="27"/>
      <c r="J251" t="s">
        <v>689</v>
      </c>
    </row>
    <row r="252" spans="4:24" ht="15.75" customHeight="1" x14ac:dyDescent="0.25">
      <c r="D252" s="13"/>
      <c r="E252" s="67"/>
      <c r="F252" s="40"/>
      <c r="G252" s="27"/>
    </row>
    <row r="253" spans="4:24" ht="15.75" customHeight="1" x14ac:dyDescent="0.25">
      <c r="D253" s="13"/>
      <c r="E253" s="67"/>
      <c r="F253" s="40"/>
      <c r="G253" s="27"/>
    </row>
    <row r="254" spans="4:24" ht="15.75" customHeight="1" x14ac:dyDescent="0.25">
      <c r="D254" s="13"/>
      <c r="E254" s="67"/>
      <c r="F254" s="40"/>
      <c r="G254" s="27"/>
    </row>
    <row r="255" spans="4:24" ht="15.75" customHeight="1" x14ac:dyDescent="0.25">
      <c r="D255" s="13"/>
      <c r="E255" s="67"/>
      <c r="F255" s="40"/>
      <c r="G255" s="27"/>
    </row>
    <row r="256" spans="4:24" ht="15.75" customHeight="1" x14ac:dyDescent="0.25">
      <c r="D256" s="13"/>
      <c r="E256" s="67"/>
      <c r="F256" s="40"/>
      <c r="G256" s="27"/>
    </row>
    <row r="257" spans="4:7" ht="15.75" customHeight="1" x14ac:dyDescent="0.25">
      <c r="D257" s="13"/>
      <c r="E257" s="67"/>
      <c r="F257" s="40"/>
      <c r="G257" s="27"/>
    </row>
    <row r="258" spans="4:7" ht="15.75" customHeight="1" x14ac:dyDescent="0.25">
      <c r="D258" s="13"/>
      <c r="E258" s="67"/>
      <c r="F258" s="40"/>
      <c r="G258" s="27"/>
    </row>
    <row r="259" spans="4:7" ht="15.75" customHeight="1" x14ac:dyDescent="0.25">
      <c r="D259" s="13"/>
      <c r="E259" s="67"/>
      <c r="F259" s="40"/>
      <c r="G259" s="27"/>
    </row>
    <row r="260" spans="4:7" ht="15.75" customHeight="1" x14ac:dyDescent="0.25">
      <c r="D260" s="13"/>
      <c r="E260" s="67"/>
      <c r="F260" s="40"/>
      <c r="G260" s="27"/>
    </row>
    <row r="261" spans="4:7" ht="15.75" customHeight="1" x14ac:dyDescent="0.25">
      <c r="D261" s="13"/>
      <c r="E261" s="67"/>
      <c r="F261" s="40"/>
      <c r="G261" s="27"/>
    </row>
    <row r="262" spans="4:7" ht="15.75" customHeight="1" x14ac:dyDescent="0.25">
      <c r="D262" s="13"/>
      <c r="E262" s="67"/>
      <c r="F262" s="40"/>
      <c r="G262" s="27"/>
    </row>
    <row r="263" spans="4:7" ht="15.75" customHeight="1" x14ac:dyDescent="0.25">
      <c r="D263" s="13"/>
      <c r="E263" s="67"/>
      <c r="F263" s="40"/>
      <c r="G263" s="27"/>
    </row>
    <row r="264" spans="4:7" ht="15.75" customHeight="1" x14ac:dyDescent="0.25">
      <c r="D264" s="13"/>
      <c r="E264" s="67"/>
      <c r="F264" s="40"/>
      <c r="G264" s="27"/>
    </row>
    <row r="265" spans="4:7" ht="15.75" customHeight="1" x14ac:dyDescent="0.25">
      <c r="D265" s="13"/>
      <c r="E265" s="67"/>
      <c r="F265" s="40"/>
      <c r="G265" s="27"/>
    </row>
    <row r="266" spans="4:7" ht="15.75" customHeight="1" x14ac:dyDescent="0.25">
      <c r="D266" s="13"/>
      <c r="E266" s="67"/>
      <c r="F266" s="40"/>
      <c r="G266" s="27"/>
    </row>
    <row r="267" spans="4:7" ht="15.75" customHeight="1" x14ac:dyDescent="0.25">
      <c r="D267" s="13"/>
      <c r="E267" s="67"/>
      <c r="F267" s="40"/>
      <c r="G267" s="27"/>
    </row>
    <row r="268" spans="4:7" ht="15.75" customHeight="1" x14ac:dyDescent="0.25">
      <c r="D268" s="13"/>
      <c r="E268" s="67"/>
      <c r="F268" s="40"/>
      <c r="G268" s="27"/>
    </row>
    <row r="269" spans="4:7" ht="15.75" customHeight="1" x14ac:dyDescent="0.25">
      <c r="D269" s="13"/>
      <c r="E269" s="67"/>
      <c r="F269" s="40"/>
      <c r="G269" s="27"/>
    </row>
    <row r="270" spans="4:7" ht="15.75" customHeight="1" x14ac:dyDescent="0.25">
      <c r="D270" s="13"/>
      <c r="E270" s="67"/>
      <c r="F270" s="40"/>
      <c r="G270" s="27"/>
    </row>
    <row r="271" spans="4:7" ht="15.75" customHeight="1" x14ac:dyDescent="0.25">
      <c r="D271" s="13"/>
      <c r="E271" s="67"/>
      <c r="F271" s="40"/>
      <c r="G271" s="27"/>
    </row>
    <row r="272" spans="4:7" ht="15.75" customHeight="1" x14ac:dyDescent="0.25">
      <c r="D272" s="13"/>
      <c r="E272" s="67"/>
      <c r="F272" s="40"/>
      <c r="G272" s="27"/>
    </row>
    <row r="273" spans="4:7" ht="15.75" customHeight="1" x14ac:dyDescent="0.25">
      <c r="D273" s="13"/>
      <c r="E273" s="67"/>
      <c r="F273" s="40"/>
      <c r="G273" s="27"/>
    </row>
    <row r="274" spans="4:7" ht="15.75" customHeight="1" x14ac:dyDescent="0.25">
      <c r="D274" s="13"/>
      <c r="E274" s="67"/>
      <c r="F274" s="40"/>
      <c r="G274" s="27"/>
    </row>
    <row r="275" spans="4:7" ht="15.75" customHeight="1" x14ac:dyDescent="0.25">
      <c r="D275" s="13"/>
      <c r="E275" s="67"/>
      <c r="F275" s="40"/>
      <c r="G275" s="27"/>
    </row>
    <row r="276" spans="4:7" ht="15.75" customHeight="1" x14ac:dyDescent="0.25">
      <c r="D276" s="13"/>
      <c r="E276" s="67"/>
      <c r="F276" s="40"/>
      <c r="G276" s="27"/>
    </row>
    <row r="277" spans="4:7" ht="15.75" customHeight="1" x14ac:dyDescent="0.25">
      <c r="D277" s="13"/>
      <c r="E277" s="67"/>
      <c r="F277" s="40"/>
      <c r="G277" s="27"/>
    </row>
    <row r="278" spans="4:7" ht="15.75" customHeight="1" x14ac:dyDescent="0.25">
      <c r="D278" s="13"/>
      <c r="E278" s="67"/>
      <c r="F278" s="40"/>
      <c r="G278" s="27"/>
    </row>
    <row r="279" spans="4:7" ht="15.75" customHeight="1" x14ac:dyDescent="0.25">
      <c r="D279" s="13"/>
      <c r="E279" s="67"/>
      <c r="F279" s="40"/>
      <c r="G279" s="27"/>
    </row>
    <row r="280" spans="4:7" ht="15.75" customHeight="1" x14ac:dyDescent="0.25">
      <c r="D280" s="13"/>
      <c r="E280" s="67"/>
      <c r="F280" s="40"/>
      <c r="G280" s="27"/>
    </row>
    <row r="281" spans="4:7" ht="15.75" customHeight="1" x14ac:dyDescent="0.25">
      <c r="D281" s="13"/>
      <c r="E281" s="67"/>
      <c r="F281" s="40"/>
      <c r="G281" s="27"/>
    </row>
    <row r="282" spans="4:7" ht="15.75" customHeight="1" x14ac:dyDescent="0.25">
      <c r="D282" s="13"/>
      <c r="E282" s="67"/>
      <c r="F282" s="40"/>
      <c r="G282" s="27"/>
    </row>
    <row r="283" spans="4:7" ht="15.75" customHeight="1" x14ac:dyDescent="0.25">
      <c r="D283" s="13"/>
      <c r="E283" s="67"/>
      <c r="F283" s="40"/>
      <c r="G283" s="27"/>
    </row>
    <row r="284" spans="4:7" ht="15.75" customHeight="1" x14ac:dyDescent="0.25">
      <c r="D284" s="13"/>
      <c r="E284" s="67"/>
      <c r="F284" s="40"/>
      <c r="G284" s="27"/>
    </row>
    <row r="285" spans="4:7" ht="15.75" customHeight="1" x14ac:dyDescent="0.25">
      <c r="D285" s="13"/>
      <c r="E285" s="67"/>
      <c r="F285" s="40"/>
      <c r="G285" s="27"/>
    </row>
    <row r="286" spans="4:7" ht="15.75" customHeight="1" x14ac:dyDescent="0.25">
      <c r="D286" s="13"/>
      <c r="E286" s="67"/>
      <c r="F286" s="40"/>
      <c r="G286" s="27"/>
    </row>
    <row r="287" spans="4:7" ht="15.75" customHeight="1" x14ac:dyDescent="0.25">
      <c r="D287" s="13"/>
      <c r="E287" s="67"/>
      <c r="F287" s="40"/>
      <c r="G287" s="27"/>
    </row>
    <row r="288" spans="4:7" ht="15.75" customHeight="1" x14ac:dyDescent="0.25">
      <c r="D288" s="13"/>
      <c r="E288" s="67"/>
      <c r="F288" s="40"/>
      <c r="G288" s="27"/>
    </row>
    <row r="289" spans="1:7" ht="15.75" customHeight="1" x14ac:dyDescent="0.25">
      <c r="D289" s="13"/>
      <c r="E289" s="67"/>
      <c r="F289" s="40"/>
      <c r="G289" s="27"/>
    </row>
    <row r="290" spans="1:7" ht="15.75" customHeight="1" x14ac:dyDescent="0.25">
      <c r="D290" s="13"/>
      <c r="E290" s="67"/>
      <c r="F290" s="40"/>
      <c r="G290" s="27"/>
    </row>
    <row r="291" spans="1:7" ht="15.75" customHeight="1" x14ac:dyDescent="0.25">
      <c r="D291" s="13"/>
      <c r="E291" s="67"/>
      <c r="F291" s="40"/>
      <c r="G291" s="27"/>
    </row>
    <row r="292" spans="1:7" ht="15.75" customHeight="1" x14ac:dyDescent="0.25">
      <c r="D292" s="13"/>
      <c r="E292" s="67"/>
      <c r="F292" s="40"/>
      <c r="G292" s="27"/>
    </row>
    <row r="293" spans="1:7" ht="18" customHeight="1" x14ac:dyDescent="0.25">
      <c r="A293" s="41" t="s">
        <v>155</v>
      </c>
      <c r="B293" s="42"/>
      <c r="C293" s="43">
        <f>SUM(C4:C292)</f>
        <v>1224537171.5999999</v>
      </c>
      <c r="D293" s="42"/>
      <c r="E293" s="42"/>
      <c r="F293" s="42"/>
      <c r="G293" s="42"/>
    </row>
    <row r="294" spans="1:7" ht="15.75" customHeight="1" x14ac:dyDescent="0.25">
      <c r="A294" s="44"/>
      <c r="B294" s="44"/>
      <c r="C294" s="45"/>
      <c r="D294" s="46"/>
      <c r="E294" s="46"/>
      <c r="F294" s="47" t="str">
        <f>IF(E294="","",E294+2)</f>
        <v/>
      </c>
      <c r="G294" s="44"/>
    </row>
    <row r="295" spans="1:7" ht="15.75" customHeight="1" x14ac:dyDescent="0.25">
      <c r="A295" s="44"/>
      <c r="B295" s="44"/>
      <c r="C295" s="45"/>
      <c r="D295" s="46"/>
      <c r="E295" s="46"/>
      <c r="F295" s="47" t="str">
        <f>IF(E295="","",E295+2)</f>
        <v/>
      </c>
      <c r="G295" s="44"/>
    </row>
    <row r="296" spans="1:7" ht="15.75" customHeight="1" x14ac:dyDescent="0.25">
      <c r="A296" s="44"/>
      <c r="B296" s="44"/>
      <c r="C296" s="45"/>
      <c r="D296" s="46"/>
      <c r="E296" s="46"/>
      <c r="F296" s="47" t="str">
        <f>IF(E296="","",E296+2)</f>
        <v/>
      </c>
      <c r="G296" s="44"/>
    </row>
    <row r="297" spans="1:7" ht="15.75" customHeight="1" x14ac:dyDescent="0.25">
      <c r="A297" s="44"/>
      <c r="B297" s="44"/>
      <c r="C297" s="45"/>
      <c r="D297" s="46"/>
      <c r="E297" s="46"/>
      <c r="F297" s="47" t="str">
        <f>IF(E297="","",E297+2)</f>
        <v/>
      </c>
      <c r="G297" s="44"/>
    </row>
    <row r="298" spans="1:7" ht="15.75" customHeight="1" x14ac:dyDescent="0.25">
      <c r="A298" s="44"/>
      <c r="B298" s="44"/>
      <c r="C298" s="45"/>
      <c r="D298" s="46"/>
      <c r="E298" s="46"/>
      <c r="F298" s="47" t="str">
        <f>IF(E298="","",E298+2)</f>
        <v/>
      </c>
      <c r="G298" s="44"/>
    </row>
    <row r="300" spans="1:7" ht="15" customHeight="1" x14ac:dyDescent="0.25">
      <c r="A300" s="80" t="s">
        <v>156</v>
      </c>
      <c r="B300" s="80"/>
      <c r="C300" s="80"/>
      <c r="D300" s="80"/>
      <c r="E300" s="80"/>
      <c r="F300" s="80"/>
      <c r="G300" s="80"/>
    </row>
  </sheetData>
  <autoFilter ref="A3:X215" xr:uid="{00000000-0001-0000-0600-000000000000}">
    <filterColumn colId="0">
      <filters>
        <filter val="MARDI SA"/>
      </filters>
    </filterColumn>
  </autoFilter>
  <mergeCells count="3">
    <mergeCell ref="A1:G1"/>
    <mergeCell ref="A2:G2"/>
    <mergeCell ref="A300:G30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3"/>
  <sheetViews>
    <sheetView showGridLines="0" zoomScaleNormal="100" workbookViewId="0">
      <pane ySplit="4" topLeftCell="A5" activePane="bottomLeft" state="frozen"/>
      <selection pane="bottomLeft" activeCell="C6" sqref="C6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9" t="s">
        <v>158</v>
      </c>
      <c r="B2" s="79"/>
      <c r="C2" s="79"/>
      <c r="D2" s="79"/>
      <c r="E2" s="79"/>
      <c r="F2" s="79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26791605.850000001</v>
      </c>
      <c r="D5" s="24">
        <f t="shared" ref="D5:D261" si="0">IFERROR(C5/$D$3,0)</f>
        <v>19136.861321428572</v>
      </c>
      <c r="E5" s="50">
        <f t="shared" ref="E5:E68" si="1">IFERROR(C5/SUM($C$5:$C$260),0)</f>
        <v>4.6865419043630677E-3</v>
      </c>
      <c r="F5" s="51"/>
    </row>
    <row r="6" spans="1:6" ht="15.75" customHeight="1" x14ac:dyDescent="0.25">
      <c r="A6" t="s">
        <v>185</v>
      </c>
      <c r="B6" t="s">
        <v>184</v>
      </c>
      <c r="C6">
        <v>9575000.0099999998</v>
      </c>
      <c r="D6" s="24">
        <f t="shared" si="0"/>
        <v>6839.2857214285714</v>
      </c>
      <c r="E6" s="50">
        <f t="shared" si="1"/>
        <v>1.6749141142333498E-3</v>
      </c>
      <c r="F6" s="51"/>
    </row>
    <row r="7" spans="1:6" ht="15.75" customHeight="1" x14ac:dyDescent="0.25">
      <c r="A7" t="s">
        <v>187</v>
      </c>
      <c r="B7" t="s">
        <v>186</v>
      </c>
      <c r="C7">
        <v>1.08</v>
      </c>
      <c r="D7" s="24">
        <f t="shared" si="0"/>
        <v>7.7142857142857145E-4</v>
      </c>
      <c r="E7" s="50">
        <f t="shared" si="1"/>
        <v>1.8891981634285326E-10</v>
      </c>
      <c r="F7" s="51"/>
    </row>
    <row r="8" spans="1:6" ht="15.75" customHeight="1" x14ac:dyDescent="0.25">
      <c r="A8" t="s">
        <v>189</v>
      </c>
      <c r="B8" t="s">
        <v>188</v>
      </c>
      <c r="C8">
        <v>534552.59</v>
      </c>
      <c r="D8" s="24">
        <f t="shared" si="0"/>
        <v>381.82327857142855</v>
      </c>
      <c r="E8" s="50">
        <f t="shared" si="1"/>
        <v>9.3507015859626408E-5</v>
      </c>
      <c r="F8" s="51"/>
    </row>
    <row r="9" spans="1:6" ht="15.75" customHeight="1" x14ac:dyDescent="0.25">
      <c r="A9" t="s">
        <v>191</v>
      </c>
      <c r="B9" t="s">
        <v>190</v>
      </c>
      <c r="C9">
        <v>139998</v>
      </c>
      <c r="D9" s="24">
        <f t="shared" si="0"/>
        <v>99.998571428571424</v>
      </c>
      <c r="E9" s="50">
        <f t="shared" si="1"/>
        <v>2.4489255970709969E-5</v>
      </c>
      <c r="F9" s="51"/>
    </row>
    <row r="10" spans="1:6" ht="15.75" customHeight="1" x14ac:dyDescent="0.25">
      <c r="A10" t="s">
        <v>193</v>
      </c>
      <c r="B10" t="s">
        <v>192</v>
      </c>
      <c r="C10">
        <v>7974898.25</v>
      </c>
      <c r="D10" s="24">
        <f t="shared" si="0"/>
        <v>5696.3558928571429</v>
      </c>
      <c r="E10" s="50">
        <f t="shared" si="1"/>
        <v>1.3950151043916126E-3</v>
      </c>
      <c r="F10" s="51"/>
    </row>
    <row r="11" spans="1:6" ht="15.75" customHeight="1" x14ac:dyDescent="0.25">
      <c r="A11" t="s">
        <v>195</v>
      </c>
      <c r="B11" t="s">
        <v>194</v>
      </c>
      <c r="C11">
        <v>560000</v>
      </c>
      <c r="D11" s="24">
        <f t="shared" si="0"/>
        <v>400</v>
      </c>
      <c r="E11" s="50">
        <f t="shared" si="1"/>
        <v>9.7958423288886865E-5</v>
      </c>
      <c r="F11" s="51"/>
    </row>
    <row r="12" spans="1:6" ht="15.75" customHeight="1" x14ac:dyDescent="0.25">
      <c r="A12" t="s">
        <v>197</v>
      </c>
      <c r="B12" t="s">
        <v>196</v>
      </c>
      <c r="C12">
        <v>2339054.8199999998</v>
      </c>
      <c r="D12" s="24">
        <f t="shared" si="0"/>
        <v>1670.7534428571428</v>
      </c>
      <c r="E12" s="50">
        <f t="shared" si="1"/>
        <v>4.0916093241691261E-4</v>
      </c>
      <c r="F12" s="51"/>
    </row>
    <row r="13" spans="1:6" ht="15.75" customHeight="1" x14ac:dyDescent="0.25">
      <c r="A13" t="s">
        <v>691</v>
      </c>
      <c r="B13" t="s">
        <v>690</v>
      </c>
      <c r="C13">
        <v>861101.34</v>
      </c>
      <c r="D13" s="24">
        <f t="shared" si="0"/>
        <v>615.0723857142857</v>
      </c>
      <c r="E13" s="50">
        <f t="shared" si="1"/>
        <v>1.5062880278276372E-4</v>
      </c>
      <c r="F13" s="51"/>
    </row>
    <row r="14" spans="1:6" ht="15.75" customHeight="1" x14ac:dyDescent="0.25">
      <c r="A14" t="s">
        <v>199</v>
      </c>
      <c r="B14" t="s">
        <v>198</v>
      </c>
      <c r="C14">
        <v>1256396.3500000001</v>
      </c>
      <c r="D14" s="24">
        <f t="shared" si="0"/>
        <v>897.42596428571437</v>
      </c>
      <c r="E14" s="50">
        <f t="shared" si="1"/>
        <v>2.1977608119984367E-4</v>
      </c>
      <c r="F14" s="51"/>
    </row>
    <row r="15" spans="1:6" ht="15.75" customHeight="1" x14ac:dyDescent="0.25">
      <c r="A15" t="s">
        <v>201</v>
      </c>
      <c r="B15" t="s">
        <v>200</v>
      </c>
      <c r="C15">
        <v>2411258.38</v>
      </c>
      <c r="D15" s="24">
        <f t="shared" si="0"/>
        <v>1722.3274142857142</v>
      </c>
      <c r="E15" s="50">
        <f t="shared" si="1"/>
        <v>4.2179119472663502E-4</v>
      </c>
      <c r="F15" s="51"/>
    </row>
    <row r="16" spans="1:6" ht="15.75" customHeight="1" x14ac:dyDescent="0.25">
      <c r="A16" t="s">
        <v>203</v>
      </c>
      <c r="B16" t="s">
        <v>202</v>
      </c>
      <c r="C16">
        <v>3495000</v>
      </c>
      <c r="D16" s="24">
        <f t="shared" si="0"/>
        <v>2496.4285714285716</v>
      </c>
      <c r="E16" s="50">
        <f t="shared" si="1"/>
        <v>6.1136551677617784E-4</v>
      </c>
      <c r="F16" s="51"/>
    </row>
    <row r="17" spans="1:6" ht="15.75" customHeight="1" x14ac:dyDescent="0.25">
      <c r="A17" t="s">
        <v>693</v>
      </c>
      <c r="B17" t="s">
        <v>692</v>
      </c>
      <c r="C17">
        <v>343156</v>
      </c>
      <c r="D17" s="24">
        <f t="shared" si="0"/>
        <v>245.11142857142858</v>
      </c>
      <c r="E17" s="50">
        <f t="shared" si="1"/>
        <v>6.0026822682359394E-5</v>
      </c>
      <c r="F17" s="51"/>
    </row>
    <row r="18" spans="1:6" ht="15.75" customHeight="1" x14ac:dyDescent="0.25">
      <c r="A18" t="s">
        <v>695</v>
      </c>
      <c r="B18" t="s">
        <v>694</v>
      </c>
      <c r="C18">
        <v>13387941.35</v>
      </c>
      <c r="D18" s="24">
        <f t="shared" si="0"/>
        <v>9562.8152499999997</v>
      </c>
      <c r="E18" s="50">
        <f t="shared" si="1"/>
        <v>2.341895760232306E-3</v>
      </c>
      <c r="F18" s="51"/>
    </row>
    <row r="19" spans="1:6" ht="15.75" customHeight="1" x14ac:dyDescent="0.25">
      <c r="A19" t="s">
        <v>205</v>
      </c>
      <c r="B19" t="s">
        <v>204</v>
      </c>
      <c r="C19">
        <v>28069976.960000001</v>
      </c>
      <c r="D19" s="24">
        <f t="shared" si="0"/>
        <v>20049.983542857142</v>
      </c>
      <c r="E19" s="50">
        <f t="shared" si="1"/>
        <v>4.910161937066039E-3</v>
      </c>
      <c r="F19" s="51"/>
    </row>
    <row r="20" spans="1:6" ht="15.75" customHeight="1" x14ac:dyDescent="0.25">
      <c r="A20" t="s">
        <v>697</v>
      </c>
      <c r="B20" t="s">
        <v>696</v>
      </c>
      <c r="C20">
        <v>698369.22</v>
      </c>
      <c r="D20" s="24">
        <f t="shared" si="0"/>
        <v>498.8351571428571</v>
      </c>
      <c r="E20" s="50">
        <f t="shared" si="1"/>
        <v>1.2216276368694597E-4</v>
      </c>
      <c r="F20" s="51"/>
    </row>
    <row r="21" spans="1:6" ht="15.75" customHeight="1" x14ac:dyDescent="0.25">
      <c r="A21" t="s">
        <v>207</v>
      </c>
      <c r="B21" t="s">
        <v>206</v>
      </c>
      <c r="C21">
        <v>3092058.01</v>
      </c>
      <c r="D21" s="24">
        <f t="shared" si="0"/>
        <v>2208.6128642857143</v>
      </c>
      <c r="E21" s="50">
        <f t="shared" si="1"/>
        <v>5.4088058460245204E-4</v>
      </c>
      <c r="F21" s="51"/>
    </row>
    <row r="22" spans="1:6" ht="15.75" customHeight="1" x14ac:dyDescent="0.25">
      <c r="A22" t="s">
        <v>209</v>
      </c>
      <c r="B22" t="s">
        <v>208</v>
      </c>
      <c r="C22">
        <v>1444000.03</v>
      </c>
      <c r="D22" s="24">
        <f t="shared" si="0"/>
        <v>1031.4285928571428</v>
      </c>
      <c r="E22" s="50">
        <f t="shared" si="1"/>
        <v>2.5259279672840238E-4</v>
      </c>
      <c r="F22" s="51"/>
    </row>
    <row r="23" spans="1:6" ht="15.75" customHeight="1" x14ac:dyDescent="0.25">
      <c r="A23" t="s">
        <v>211</v>
      </c>
      <c r="B23" t="s">
        <v>210</v>
      </c>
      <c r="C23">
        <v>831001.63</v>
      </c>
      <c r="D23" s="24">
        <f t="shared" si="0"/>
        <v>593.57259285714281</v>
      </c>
      <c r="E23" s="50">
        <f t="shared" si="1"/>
        <v>1.4536358825945525E-4</v>
      </c>
      <c r="F23" s="51"/>
    </row>
    <row r="24" spans="1:6" ht="15.75" customHeight="1" x14ac:dyDescent="0.25">
      <c r="A24" t="s">
        <v>213</v>
      </c>
      <c r="B24" t="s">
        <v>212</v>
      </c>
      <c r="C24">
        <v>4477000</v>
      </c>
      <c r="D24" s="24">
        <f t="shared" si="0"/>
        <v>3197.8571428571427</v>
      </c>
      <c r="E24" s="50">
        <f t="shared" si="1"/>
        <v>7.8314260904347583E-4</v>
      </c>
      <c r="F24" s="51"/>
    </row>
    <row r="25" spans="1:6" ht="15.75" customHeight="1" x14ac:dyDescent="0.25">
      <c r="A25" t="s">
        <v>215</v>
      </c>
      <c r="B25" t="s">
        <v>214</v>
      </c>
      <c r="C25">
        <v>1612628.48</v>
      </c>
      <c r="D25" s="24">
        <f t="shared" si="0"/>
        <v>1151.8774857142857</v>
      </c>
      <c r="E25" s="50">
        <f t="shared" si="1"/>
        <v>2.8209025580634684E-4</v>
      </c>
      <c r="F25" s="51"/>
    </row>
    <row r="26" spans="1:6" ht="15.75" customHeight="1" x14ac:dyDescent="0.25">
      <c r="A26" t="s">
        <v>217</v>
      </c>
      <c r="B26" t="s">
        <v>216</v>
      </c>
      <c r="C26">
        <v>657070.06999999995</v>
      </c>
      <c r="D26" s="24">
        <f t="shared" si="0"/>
        <v>469.33576428571428</v>
      </c>
      <c r="E26" s="50">
        <f t="shared" si="1"/>
        <v>1.1493847865628307E-4</v>
      </c>
      <c r="F26" s="51"/>
    </row>
    <row r="27" spans="1:6" ht="15.75" customHeight="1" x14ac:dyDescent="0.25">
      <c r="A27" t="s">
        <v>699</v>
      </c>
      <c r="B27" t="s">
        <v>698</v>
      </c>
      <c r="C27">
        <v>5397392.4000000004</v>
      </c>
      <c r="D27" s="24">
        <f t="shared" si="0"/>
        <v>3855.280285714286</v>
      </c>
      <c r="E27" s="50">
        <f t="shared" si="1"/>
        <v>9.4414294531325175E-4</v>
      </c>
      <c r="F27" s="51"/>
    </row>
    <row r="28" spans="1:6" ht="15.75" customHeight="1" x14ac:dyDescent="0.25">
      <c r="A28" t="s">
        <v>219</v>
      </c>
      <c r="B28" t="s">
        <v>218</v>
      </c>
      <c r="C28">
        <v>2790260</v>
      </c>
      <c r="D28" s="24">
        <f t="shared" si="0"/>
        <v>1993.0428571428572</v>
      </c>
      <c r="E28" s="50">
        <f t="shared" si="1"/>
        <v>4.8808833958223117E-4</v>
      </c>
      <c r="F28" s="51"/>
    </row>
    <row r="29" spans="1:6" ht="15.75" customHeight="1" x14ac:dyDescent="0.25">
      <c r="A29" t="s">
        <v>221</v>
      </c>
      <c r="B29" t="s">
        <v>220</v>
      </c>
      <c r="C29">
        <v>1854029.87</v>
      </c>
      <c r="D29" s="24">
        <f t="shared" si="0"/>
        <v>1324.3070500000001</v>
      </c>
      <c r="E29" s="50">
        <f t="shared" si="1"/>
        <v>3.2431757642089264E-4</v>
      </c>
      <c r="F29" s="51"/>
    </row>
    <row r="30" spans="1:6" ht="15.75" customHeight="1" x14ac:dyDescent="0.25">
      <c r="A30" t="s">
        <v>701</v>
      </c>
      <c r="B30" t="s">
        <v>700</v>
      </c>
      <c r="C30">
        <v>527348.25</v>
      </c>
      <c r="D30" s="24">
        <f t="shared" si="0"/>
        <v>376.67732142857142</v>
      </c>
      <c r="E30" s="50">
        <f t="shared" si="1"/>
        <v>9.2246791239560238E-5</v>
      </c>
      <c r="F30" s="51"/>
    </row>
    <row r="31" spans="1:6" ht="15.75" customHeight="1" x14ac:dyDescent="0.25">
      <c r="A31" t="s">
        <v>223</v>
      </c>
      <c r="B31" t="s">
        <v>222</v>
      </c>
      <c r="C31">
        <v>3000000</v>
      </c>
      <c r="D31" s="24">
        <f t="shared" si="0"/>
        <v>2142.8571428571427</v>
      </c>
      <c r="E31" s="50">
        <f t="shared" si="1"/>
        <v>5.2477726761903677E-4</v>
      </c>
      <c r="F31" s="51"/>
    </row>
    <row r="32" spans="1:6" ht="15.75" customHeight="1" x14ac:dyDescent="0.25">
      <c r="A32" t="s">
        <v>703</v>
      </c>
      <c r="B32" t="s">
        <v>702</v>
      </c>
      <c r="C32">
        <v>118465.57</v>
      </c>
      <c r="D32" s="24">
        <f t="shared" si="0"/>
        <v>84.618264285714289</v>
      </c>
      <c r="E32" s="50">
        <f t="shared" si="1"/>
        <v>2.0722679377177246E-5</v>
      </c>
      <c r="F32" s="51"/>
    </row>
    <row r="33" spans="1:6" ht="15.75" customHeight="1" x14ac:dyDescent="0.25">
      <c r="A33" t="s">
        <v>225</v>
      </c>
      <c r="B33" t="s">
        <v>224</v>
      </c>
      <c r="C33">
        <v>25967935</v>
      </c>
      <c r="D33" s="24">
        <f t="shared" si="0"/>
        <v>18548.525000000001</v>
      </c>
      <c r="E33" s="50">
        <f t="shared" si="1"/>
        <v>4.5424606583362509E-3</v>
      </c>
      <c r="F33" s="51"/>
    </row>
    <row r="34" spans="1:6" ht="15.75" customHeight="1" x14ac:dyDescent="0.25">
      <c r="A34" t="s">
        <v>227</v>
      </c>
      <c r="B34" t="s">
        <v>226</v>
      </c>
      <c r="C34">
        <v>2945263.42</v>
      </c>
      <c r="D34" s="24">
        <f t="shared" si="0"/>
        <v>2103.7595857142855</v>
      </c>
      <c r="E34" s="50">
        <f t="shared" si="1"/>
        <v>5.1520242998863311E-4</v>
      </c>
      <c r="F34" s="51"/>
    </row>
    <row r="35" spans="1:6" ht="15.75" customHeight="1" x14ac:dyDescent="0.25">
      <c r="A35" t="s">
        <v>229</v>
      </c>
      <c r="B35" t="s">
        <v>228</v>
      </c>
      <c r="C35">
        <v>6280328.04</v>
      </c>
      <c r="D35" s="24">
        <f t="shared" si="0"/>
        <v>4485.9485999999997</v>
      </c>
      <c r="E35" s="50">
        <f t="shared" si="1"/>
        <v>1.0985911295274735E-3</v>
      </c>
      <c r="F35" s="51"/>
    </row>
    <row r="36" spans="1:6" ht="15.75" customHeight="1" x14ac:dyDescent="0.25">
      <c r="A36" t="s">
        <v>231</v>
      </c>
      <c r="B36" t="s">
        <v>230</v>
      </c>
      <c r="C36">
        <v>3016972.71</v>
      </c>
      <c r="D36" s="24">
        <f t="shared" si="0"/>
        <v>2154.9805071428573</v>
      </c>
      <c r="E36" s="50">
        <f t="shared" si="1"/>
        <v>5.277462317450002E-4</v>
      </c>
      <c r="F36" s="51"/>
    </row>
    <row r="37" spans="1:6" ht="15.75" customHeight="1" x14ac:dyDescent="0.25">
      <c r="A37" t="s">
        <v>233</v>
      </c>
      <c r="B37" t="s">
        <v>232</v>
      </c>
      <c r="C37">
        <v>543048</v>
      </c>
      <c r="D37" s="24">
        <f t="shared" si="0"/>
        <v>387.89142857142855</v>
      </c>
      <c r="E37" s="50">
        <f t="shared" si="1"/>
        <v>9.4993081875327566E-5</v>
      </c>
      <c r="F37" s="51"/>
    </row>
    <row r="38" spans="1:6" ht="15.75" customHeight="1" x14ac:dyDescent="0.25">
      <c r="A38" t="s">
        <v>235</v>
      </c>
      <c r="B38" t="s">
        <v>234</v>
      </c>
      <c r="C38">
        <v>2363325.2999999998</v>
      </c>
      <c r="D38" s="24">
        <f t="shared" si="0"/>
        <v>1688.0894999999998</v>
      </c>
      <c r="E38" s="50">
        <f t="shared" si="1"/>
        <v>4.1340646447631343E-4</v>
      </c>
      <c r="F38" s="51"/>
    </row>
    <row r="39" spans="1:6" ht="15.75" customHeight="1" x14ac:dyDescent="0.25">
      <c r="A39" t="s">
        <v>237</v>
      </c>
      <c r="B39" t="s">
        <v>236</v>
      </c>
      <c r="C39">
        <v>3950829.21</v>
      </c>
      <c r="D39" s="24">
        <f t="shared" si="0"/>
        <v>2822.0208642857142</v>
      </c>
      <c r="E39" s="50">
        <f t="shared" si="1"/>
        <v>6.9110178588442585E-4</v>
      </c>
      <c r="F39" s="51"/>
    </row>
    <row r="40" spans="1:6" ht="15.75" customHeight="1" x14ac:dyDescent="0.25">
      <c r="A40" t="s">
        <v>239</v>
      </c>
      <c r="B40" t="s">
        <v>238</v>
      </c>
      <c r="C40">
        <v>102973.18</v>
      </c>
      <c r="D40" s="24">
        <f t="shared" si="0"/>
        <v>73.55227142857143</v>
      </c>
      <c r="E40" s="50">
        <f t="shared" si="1"/>
        <v>1.8012661346147747E-5</v>
      </c>
      <c r="F40" s="51"/>
    </row>
    <row r="41" spans="1:6" ht="15.75" customHeight="1" x14ac:dyDescent="0.25">
      <c r="A41" t="s">
        <v>241</v>
      </c>
      <c r="B41" t="s">
        <v>240</v>
      </c>
      <c r="C41">
        <v>217</v>
      </c>
      <c r="D41" s="24">
        <f t="shared" si="0"/>
        <v>0.155</v>
      </c>
      <c r="E41" s="50">
        <f t="shared" si="1"/>
        <v>3.7958889024443661E-8</v>
      </c>
      <c r="F41" s="51"/>
    </row>
    <row r="42" spans="1:6" ht="15.75" customHeight="1" x14ac:dyDescent="0.25">
      <c r="A42" t="s">
        <v>705</v>
      </c>
      <c r="B42" t="s">
        <v>704</v>
      </c>
      <c r="C42">
        <v>268800</v>
      </c>
      <c r="D42" s="24">
        <f t="shared" si="0"/>
        <v>192</v>
      </c>
      <c r="E42" s="50">
        <f t="shared" si="1"/>
        <v>4.7020043178665694E-5</v>
      </c>
      <c r="F42" s="51"/>
    </row>
    <row r="43" spans="1:6" ht="15.75" customHeight="1" x14ac:dyDescent="0.25">
      <c r="A43" t="s">
        <v>707</v>
      </c>
      <c r="B43" t="s">
        <v>706</v>
      </c>
      <c r="C43">
        <v>337060.79</v>
      </c>
      <c r="D43" s="24">
        <f t="shared" si="0"/>
        <v>240.75770714285713</v>
      </c>
      <c r="E43" s="50">
        <f t="shared" si="1"/>
        <v>5.8960613465904647E-5</v>
      </c>
      <c r="F43" s="51"/>
    </row>
    <row r="44" spans="1:6" ht="15.75" customHeight="1" x14ac:dyDescent="0.25">
      <c r="A44" t="s">
        <v>709</v>
      </c>
      <c r="B44" t="s">
        <v>708</v>
      </c>
      <c r="C44">
        <v>953480</v>
      </c>
      <c r="D44" s="24">
        <f t="shared" si="0"/>
        <v>681.05714285714282</v>
      </c>
      <c r="E44" s="50">
        <f t="shared" si="1"/>
        <v>1.6678820970979973E-4</v>
      </c>
      <c r="F44" s="51"/>
    </row>
    <row r="45" spans="1:6" ht="15.75" customHeight="1" x14ac:dyDescent="0.25">
      <c r="A45" t="s">
        <v>243</v>
      </c>
      <c r="B45" t="s">
        <v>242</v>
      </c>
      <c r="C45">
        <v>1679296.08</v>
      </c>
      <c r="D45" s="24">
        <f t="shared" si="0"/>
        <v>1199.4972</v>
      </c>
      <c r="E45" s="50">
        <f t="shared" si="1"/>
        <v>2.9375213612858647E-4</v>
      </c>
      <c r="F45" s="51"/>
    </row>
    <row r="46" spans="1:6" ht="15.75" customHeight="1" x14ac:dyDescent="0.25">
      <c r="A46" t="s">
        <v>245</v>
      </c>
      <c r="B46" t="s">
        <v>244</v>
      </c>
      <c r="C46">
        <v>12357867.34</v>
      </c>
      <c r="D46" s="24">
        <f t="shared" si="0"/>
        <v>8827.0481</v>
      </c>
      <c r="E46" s="50">
        <f t="shared" si="1"/>
        <v>2.1617092854279113E-3</v>
      </c>
      <c r="F46" s="51"/>
    </row>
    <row r="47" spans="1:6" ht="15.75" customHeight="1" x14ac:dyDescent="0.25">
      <c r="A47" t="s">
        <v>247</v>
      </c>
      <c r="B47" t="s">
        <v>246</v>
      </c>
      <c r="C47">
        <v>201234750</v>
      </c>
      <c r="D47" s="24">
        <f t="shared" si="0"/>
        <v>143739.10714285713</v>
      </c>
      <c r="E47" s="50">
        <f t="shared" si="1"/>
        <v>3.5201140751666651E-2</v>
      </c>
      <c r="F47" s="51"/>
    </row>
    <row r="48" spans="1:6" ht="15.75" customHeight="1" x14ac:dyDescent="0.25">
      <c r="A48" t="s">
        <v>249</v>
      </c>
      <c r="B48" t="s">
        <v>248</v>
      </c>
      <c r="C48">
        <v>578279855.59000003</v>
      </c>
      <c r="D48" s="24">
        <f t="shared" si="0"/>
        <v>413057.03970714286</v>
      </c>
      <c r="E48" s="50">
        <f t="shared" si="1"/>
        <v>0.10115604084521714</v>
      </c>
      <c r="F48" s="51"/>
    </row>
    <row r="49" spans="1:6" ht="15.75" customHeight="1" x14ac:dyDescent="0.25">
      <c r="A49" t="s">
        <v>249</v>
      </c>
      <c r="B49" t="s">
        <v>250</v>
      </c>
      <c r="C49">
        <v>200865891.83000001</v>
      </c>
      <c r="D49" s="24">
        <f t="shared" si="0"/>
        <v>143475.63702142859</v>
      </c>
      <c r="E49" s="50">
        <f t="shared" si="1"/>
        <v>3.5136617957469467E-2</v>
      </c>
      <c r="F49" s="51"/>
    </row>
    <row r="50" spans="1:6" ht="15.75" customHeight="1" x14ac:dyDescent="0.25">
      <c r="A50" t="s">
        <v>249</v>
      </c>
      <c r="B50" t="s">
        <v>251</v>
      </c>
      <c r="C50">
        <v>350330876.61000001</v>
      </c>
      <c r="D50" s="24">
        <f t="shared" si="0"/>
        <v>250236.34043571429</v>
      </c>
      <c r="E50" s="50">
        <f t="shared" si="1"/>
        <v>6.1281893396659244E-2</v>
      </c>
      <c r="F50" s="51"/>
    </row>
    <row r="51" spans="1:6" ht="15.75" customHeight="1" x14ac:dyDescent="0.25">
      <c r="A51" t="s">
        <v>253</v>
      </c>
      <c r="B51" t="s">
        <v>252</v>
      </c>
      <c r="C51">
        <v>4157535.95</v>
      </c>
      <c r="D51" s="24">
        <f t="shared" si="0"/>
        <v>2969.668535714286</v>
      </c>
      <c r="E51" s="50">
        <f t="shared" si="1"/>
        <v>7.2726011862297209E-4</v>
      </c>
      <c r="F51" s="51"/>
    </row>
    <row r="52" spans="1:6" ht="15.75" customHeight="1" x14ac:dyDescent="0.25">
      <c r="A52" t="s">
        <v>255</v>
      </c>
      <c r="B52" t="s">
        <v>254</v>
      </c>
      <c r="C52">
        <v>4971931.2</v>
      </c>
      <c r="D52" s="24">
        <f t="shared" si="0"/>
        <v>3551.3794285714289</v>
      </c>
      <c r="E52" s="50">
        <f t="shared" si="1"/>
        <v>8.6971882330861292E-4</v>
      </c>
      <c r="F52" s="51"/>
    </row>
    <row r="53" spans="1:6" ht="15.75" customHeight="1" x14ac:dyDescent="0.25">
      <c r="A53" t="s">
        <v>711</v>
      </c>
      <c r="B53" t="s">
        <v>710</v>
      </c>
      <c r="C53">
        <v>631452.06000000006</v>
      </c>
      <c r="D53" s="24">
        <f t="shared" si="0"/>
        <v>451.03718571428573</v>
      </c>
      <c r="E53" s="50">
        <f t="shared" si="1"/>
        <v>1.1045722889307069E-4</v>
      </c>
      <c r="F53" s="51"/>
    </row>
    <row r="54" spans="1:6" ht="15.75" customHeight="1" x14ac:dyDescent="0.25">
      <c r="A54" t="s">
        <v>257</v>
      </c>
      <c r="B54" t="s">
        <v>256</v>
      </c>
      <c r="C54">
        <v>2431084.48</v>
      </c>
      <c r="D54" s="24">
        <f t="shared" si="0"/>
        <v>1736.4889142857144</v>
      </c>
      <c r="E54" s="50">
        <f t="shared" si="1"/>
        <v>4.2525929025514895E-4</v>
      </c>
      <c r="F54" s="51"/>
    </row>
    <row r="55" spans="1:6" ht="15.75" customHeight="1" x14ac:dyDescent="0.25">
      <c r="A55" t="s">
        <v>259</v>
      </c>
      <c r="B55" t="s">
        <v>258</v>
      </c>
      <c r="C55">
        <v>-204.43</v>
      </c>
      <c r="D55" s="24">
        <f t="shared" si="0"/>
        <v>-0.14602142857142858</v>
      </c>
      <c r="E55" s="50">
        <f t="shared" si="1"/>
        <v>-3.5760072273119898E-8</v>
      </c>
      <c r="F55" s="51"/>
    </row>
    <row r="56" spans="1:6" ht="15.75" customHeight="1" x14ac:dyDescent="0.25">
      <c r="A56" t="s">
        <v>261</v>
      </c>
      <c r="B56" t="s">
        <v>260</v>
      </c>
      <c r="C56">
        <v>4667405.5999999996</v>
      </c>
      <c r="D56" s="24">
        <f t="shared" si="0"/>
        <v>3333.8611428571426</v>
      </c>
      <c r="E56" s="50">
        <f t="shared" si="1"/>
        <v>8.1644945254593022E-4</v>
      </c>
      <c r="F56" s="51"/>
    </row>
    <row r="57" spans="1:6" ht="15.75" customHeight="1" x14ac:dyDescent="0.25">
      <c r="A57" t="s">
        <v>263</v>
      </c>
      <c r="B57" t="s">
        <v>262</v>
      </c>
      <c r="C57">
        <v>24202248.489999998</v>
      </c>
      <c r="D57" s="24">
        <f t="shared" si="0"/>
        <v>17287.320349999998</v>
      </c>
      <c r="E57" s="50">
        <f t="shared" si="1"/>
        <v>4.233596610939719E-3</v>
      </c>
      <c r="F57" s="51"/>
    </row>
    <row r="58" spans="1:6" ht="15.75" customHeight="1" x14ac:dyDescent="0.25">
      <c r="A58" t="s">
        <v>265</v>
      </c>
      <c r="B58" t="s">
        <v>264</v>
      </c>
      <c r="C58">
        <v>-106108.29</v>
      </c>
      <c r="D58" s="24">
        <f t="shared" si="0"/>
        <v>-75.791635714285704</v>
      </c>
      <c r="E58" s="50">
        <f t="shared" si="1"/>
        <v>-1.8561072832642787E-5</v>
      </c>
      <c r="F58" s="51"/>
    </row>
    <row r="59" spans="1:6" ht="15.75" customHeight="1" x14ac:dyDescent="0.25">
      <c r="A59" t="s">
        <v>267</v>
      </c>
      <c r="B59" t="s">
        <v>266</v>
      </c>
      <c r="C59">
        <v>2391716.25</v>
      </c>
      <c r="D59" s="24">
        <f t="shared" si="0"/>
        <v>1708.3687500000001</v>
      </c>
      <c r="E59" s="50">
        <f t="shared" si="1"/>
        <v>4.1837277286501637E-4</v>
      </c>
      <c r="F59" s="51"/>
    </row>
    <row r="60" spans="1:6" ht="15.75" customHeight="1" x14ac:dyDescent="0.25">
      <c r="A60" t="s">
        <v>269</v>
      </c>
      <c r="B60" t="s">
        <v>268</v>
      </c>
      <c r="C60">
        <v>9588963.6199999992</v>
      </c>
      <c r="D60" s="24">
        <f t="shared" si="0"/>
        <v>6849.2597285714282</v>
      </c>
      <c r="E60" s="50">
        <f t="shared" si="1"/>
        <v>1.6773567092673157E-3</v>
      </c>
      <c r="F60" s="51"/>
    </row>
    <row r="61" spans="1:6" ht="15.75" customHeight="1" x14ac:dyDescent="0.25">
      <c r="A61" t="s">
        <v>271</v>
      </c>
      <c r="B61" t="s">
        <v>270</v>
      </c>
      <c r="C61">
        <v>1502312.34</v>
      </c>
      <c r="D61" s="24">
        <f t="shared" si="0"/>
        <v>1073.0802428571428</v>
      </c>
      <c r="E61" s="50">
        <f t="shared" si="1"/>
        <v>2.6279312163185378E-4</v>
      </c>
      <c r="F61" s="51"/>
    </row>
    <row r="62" spans="1:6" ht="15.75" customHeight="1" x14ac:dyDescent="0.25">
      <c r="A62" t="s">
        <v>273</v>
      </c>
      <c r="B62" t="s">
        <v>272</v>
      </c>
      <c r="C62">
        <v>2740168.14</v>
      </c>
      <c r="D62" s="24">
        <f t="shared" si="0"/>
        <v>1957.2629571428572</v>
      </c>
      <c r="E62" s="50">
        <f t="shared" si="1"/>
        <v>4.793259831086461E-4</v>
      </c>
      <c r="F62" s="51"/>
    </row>
    <row r="63" spans="1:6" ht="15.75" customHeight="1" x14ac:dyDescent="0.25">
      <c r="A63" t="s">
        <v>713</v>
      </c>
      <c r="B63" t="s">
        <v>712</v>
      </c>
      <c r="C63">
        <v>19904.5</v>
      </c>
      <c r="D63" s="24">
        <f t="shared" si="0"/>
        <v>14.217499999999999</v>
      </c>
      <c r="E63" s="50">
        <f t="shared" si="1"/>
        <v>3.4818097077743724E-6</v>
      </c>
      <c r="F63" s="51"/>
    </row>
    <row r="64" spans="1:6" ht="15.75" customHeight="1" x14ac:dyDescent="0.25">
      <c r="A64" t="s">
        <v>275</v>
      </c>
      <c r="B64" t="s">
        <v>274</v>
      </c>
      <c r="C64">
        <v>888251.15</v>
      </c>
      <c r="D64" s="24">
        <f t="shared" si="0"/>
        <v>634.46510714285716</v>
      </c>
      <c r="E64" s="50">
        <f t="shared" si="1"/>
        <v>1.5537800381882239E-4</v>
      </c>
      <c r="F64" s="51"/>
    </row>
    <row r="65" spans="1:6" ht="15.75" customHeight="1" x14ac:dyDescent="0.25">
      <c r="A65" t="s">
        <v>277</v>
      </c>
      <c r="B65" t="s">
        <v>276</v>
      </c>
      <c r="C65">
        <v>5189513.66</v>
      </c>
      <c r="D65" s="24">
        <f t="shared" si="0"/>
        <v>3706.7954714285715</v>
      </c>
      <c r="E65" s="50">
        <f t="shared" si="1"/>
        <v>9.0777959958882233E-4</v>
      </c>
      <c r="F65" s="51"/>
    </row>
    <row r="66" spans="1:6" ht="15.75" customHeight="1" x14ac:dyDescent="0.25">
      <c r="A66" t="s">
        <v>715</v>
      </c>
      <c r="B66" t="s">
        <v>714</v>
      </c>
      <c r="C66">
        <v>701437</v>
      </c>
      <c r="D66" s="24">
        <f t="shared" si="0"/>
        <v>501.0264285714286</v>
      </c>
      <c r="E66" s="50">
        <f t="shared" si="1"/>
        <v>1.226993974222981E-4</v>
      </c>
      <c r="F66" s="51"/>
    </row>
    <row r="67" spans="1:6" ht="15.75" customHeight="1" x14ac:dyDescent="0.25">
      <c r="A67" t="s">
        <v>279</v>
      </c>
      <c r="B67" t="s">
        <v>278</v>
      </c>
      <c r="C67">
        <v>86273631.200000003</v>
      </c>
      <c r="D67" s="24">
        <f t="shared" si="0"/>
        <v>61624.022285714287</v>
      </c>
      <c r="E67" s="50">
        <f t="shared" si="1"/>
        <v>1.5091480149569495E-2</v>
      </c>
      <c r="F67" s="51"/>
    </row>
    <row r="68" spans="1:6" ht="15.75" customHeight="1" x14ac:dyDescent="0.25">
      <c r="A68" t="s">
        <v>281</v>
      </c>
      <c r="B68" t="s">
        <v>280</v>
      </c>
      <c r="C68">
        <v>60000</v>
      </c>
      <c r="D68" s="24">
        <f t="shared" si="0"/>
        <v>42.857142857142854</v>
      </c>
      <c r="E68" s="50">
        <f t="shared" si="1"/>
        <v>1.0495545352380735E-5</v>
      </c>
      <c r="F68" s="51"/>
    </row>
    <row r="69" spans="1:6" ht="15.75" customHeight="1" x14ac:dyDescent="0.25">
      <c r="A69" t="s">
        <v>283</v>
      </c>
      <c r="B69" t="s">
        <v>282</v>
      </c>
      <c r="C69">
        <v>12844225.01</v>
      </c>
      <c r="D69" s="24">
        <f t="shared" si="0"/>
        <v>9174.4464357142861</v>
      </c>
      <c r="E69" s="50">
        <f t="shared" ref="E69:E132" si="2">IFERROR(C69/SUM($C$5:$C$260),0)</f>
        <v>2.2467857684772986E-3</v>
      </c>
      <c r="F69" s="51"/>
    </row>
    <row r="70" spans="1:6" ht="15.75" customHeight="1" x14ac:dyDescent="0.25">
      <c r="A70" t="s">
        <v>285</v>
      </c>
      <c r="B70" t="s">
        <v>284</v>
      </c>
      <c r="C70">
        <v>202008.05</v>
      </c>
      <c r="D70" s="24">
        <f t="shared" si="0"/>
        <v>144.29146428571428</v>
      </c>
      <c r="E70" s="50">
        <f t="shared" si="2"/>
        <v>3.5336410838683252E-5</v>
      </c>
      <c r="F70" s="51"/>
    </row>
    <row r="71" spans="1:6" ht="15.75" customHeight="1" x14ac:dyDescent="0.25">
      <c r="A71" t="s">
        <v>287</v>
      </c>
      <c r="B71" t="s">
        <v>286</v>
      </c>
      <c r="C71">
        <v>23412309.359999999</v>
      </c>
      <c r="D71" s="24">
        <f t="shared" si="0"/>
        <v>16723.078114285712</v>
      </c>
      <c r="E71" s="50">
        <f t="shared" si="2"/>
        <v>4.0954159115307994E-3</v>
      </c>
      <c r="F71" s="51"/>
    </row>
    <row r="72" spans="1:6" ht="15.75" customHeight="1" x14ac:dyDescent="0.25">
      <c r="A72" t="s">
        <v>289</v>
      </c>
      <c r="B72" t="s">
        <v>288</v>
      </c>
      <c r="C72">
        <v>3080000</v>
      </c>
      <c r="D72" s="24">
        <f t="shared" si="0"/>
        <v>2200</v>
      </c>
      <c r="E72" s="50">
        <f t="shared" si="2"/>
        <v>5.3877132808887774E-4</v>
      </c>
      <c r="F72" s="51"/>
    </row>
    <row r="73" spans="1:6" ht="15.75" customHeight="1" x14ac:dyDescent="0.25">
      <c r="A73" t="s">
        <v>291</v>
      </c>
      <c r="B73" t="s">
        <v>290</v>
      </c>
      <c r="C73">
        <v>24304004.34</v>
      </c>
      <c r="D73" s="24">
        <f t="shared" si="0"/>
        <v>17360.003099999998</v>
      </c>
      <c r="E73" s="50">
        <f t="shared" si="2"/>
        <v>4.2513963299154701E-3</v>
      </c>
      <c r="F73" s="51"/>
    </row>
    <row r="74" spans="1:6" ht="15.75" customHeight="1" x14ac:dyDescent="0.25">
      <c r="A74" t="s">
        <v>293</v>
      </c>
      <c r="B74" t="s">
        <v>292</v>
      </c>
      <c r="C74">
        <v>10060882.66</v>
      </c>
      <c r="D74" s="24">
        <f t="shared" si="0"/>
        <v>7186.3447571428569</v>
      </c>
      <c r="E74" s="50">
        <f t="shared" si="2"/>
        <v>1.7599075040501822E-3</v>
      </c>
      <c r="F74" s="51"/>
    </row>
    <row r="75" spans="1:6" ht="15.75" customHeight="1" x14ac:dyDescent="0.25">
      <c r="A75" t="s">
        <v>295</v>
      </c>
      <c r="B75" t="s">
        <v>294</v>
      </c>
      <c r="C75">
        <v>7603636.2199999997</v>
      </c>
      <c r="D75" s="24">
        <f t="shared" si="0"/>
        <v>5431.1687285714288</v>
      </c>
      <c r="E75" s="50">
        <f t="shared" si="2"/>
        <v>1.3300718131669137E-3</v>
      </c>
      <c r="F75" s="51"/>
    </row>
    <row r="76" spans="1:6" ht="15.75" customHeight="1" x14ac:dyDescent="0.25">
      <c r="A76" t="s">
        <v>297</v>
      </c>
      <c r="B76" t="s">
        <v>296</v>
      </c>
      <c r="C76">
        <v>529883.57999999996</v>
      </c>
      <c r="D76" s="24">
        <f t="shared" si="0"/>
        <v>378.48827142857141</v>
      </c>
      <c r="E76" s="50">
        <f t="shared" si="2"/>
        <v>9.2690285756197752E-5</v>
      </c>
      <c r="F76" s="51"/>
    </row>
    <row r="77" spans="1:6" ht="15.75" customHeight="1" x14ac:dyDescent="0.25">
      <c r="A77" t="s">
        <v>299</v>
      </c>
      <c r="B77" t="s">
        <v>298</v>
      </c>
      <c r="C77">
        <v>90750</v>
      </c>
      <c r="D77" s="24">
        <f t="shared" si="0"/>
        <v>64.821428571428569</v>
      </c>
      <c r="E77" s="50">
        <f t="shared" si="2"/>
        <v>1.5874512345475864E-5</v>
      </c>
      <c r="F77" s="51"/>
    </row>
    <row r="78" spans="1:6" ht="15.75" customHeight="1" x14ac:dyDescent="0.25">
      <c r="A78" t="s">
        <v>717</v>
      </c>
      <c r="B78" t="s">
        <v>716</v>
      </c>
      <c r="C78">
        <v>223999.99</v>
      </c>
      <c r="D78" s="24">
        <f t="shared" si="0"/>
        <v>159.99999285714284</v>
      </c>
      <c r="E78" s="50">
        <f t="shared" si="2"/>
        <v>3.9183367566297183E-5</v>
      </c>
      <c r="F78" s="51"/>
    </row>
    <row r="79" spans="1:6" ht="15.75" customHeight="1" x14ac:dyDescent="0.25">
      <c r="A79" t="s">
        <v>301</v>
      </c>
      <c r="B79" t="s">
        <v>300</v>
      </c>
      <c r="C79">
        <v>715981.2</v>
      </c>
      <c r="D79" s="24">
        <f t="shared" si="0"/>
        <v>511.41514285714283</v>
      </c>
      <c r="E79" s="50">
        <f t="shared" si="2"/>
        <v>1.2524355260086636E-4</v>
      </c>
      <c r="F79" s="51"/>
    </row>
    <row r="80" spans="1:6" ht="15.75" customHeight="1" x14ac:dyDescent="0.25">
      <c r="A80" t="s">
        <v>303</v>
      </c>
      <c r="B80" t="s">
        <v>302</v>
      </c>
      <c r="C80">
        <v>290181.01</v>
      </c>
      <c r="D80" s="24">
        <f t="shared" si="0"/>
        <v>207.27215000000001</v>
      </c>
      <c r="E80" s="50">
        <f t="shared" si="2"/>
        <v>5.0760132514244127E-5</v>
      </c>
      <c r="F80" s="51"/>
    </row>
    <row r="81" spans="1:6" ht="15.75" customHeight="1" x14ac:dyDescent="0.25">
      <c r="A81" t="s">
        <v>305</v>
      </c>
      <c r="B81" t="s">
        <v>304</v>
      </c>
      <c r="C81">
        <v>11021016.039999999</v>
      </c>
      <c r="D81" s="24">
        <f t="shared" si="0"/>
        <v>7872.1543142857136</v>
      </c>
      <c r="E81" s="50">
        <f t="shared" si="2"/>
        <v>1.9278595612855921E-3</v>
      </c>
      <c r="F81" s="51"/>
    </row>
    <row r="82" spans="1:6" ht="15.75" customHeight="1" x14ac:dyDescent="0.25">
      <c r="A82" t="s">
        <v>307</v>
      </c>
      <c r="B82" t="s">
        <v>306</v>
      </c>
      <c r="C82">
        <v>588573.68999999994</v>
      </c>
      <c r="D82" s="24">
        <f t="shared" si="0"/>
        <v>420.40977857142855</v>
      </c>
      <c r="E82" s="50">
        <f t="shared" si="2"/>
        <v>1.0295669761021799E-4</v>
      </c>
      <c r="F82" s="51"/>
    </row>
    <row r="83" spans="1:6" ht="15.75" customHeight="1" x14ac:dyDescent="0.25">
      <c r="A83" t="s">
        <v>309</v>
      </c>
      <c r="B83" t="s">
        <v>308</v>
      </c>
      <c r="C83">
        <v>86993905.680000007</v>
      </c>
      <c r="D83" s="24">
        <f t="shared" si="0"/>
        <v>62138.504057142862</v>
      </c>
      <c r="E83" s="50">
        <f t="shared" si="2"/>
        <v>1.5217474707419536E-2</v>
      </c>
      <c r="F83" s="51"/>
    </row>
    <row r="84" spans="1:6" ht="15.75" customHeight="1" x14ac:dyDescent="0.25">
      <c r="A84" t="s">
        <v>311</v>
      </c>
      <c r="B84" t="s">
        <v>310</v>
      </c>
      <c r="C84">
        <v>3073380.01</v>
      </c>
      <c r="D84" s="24">
        <f t="shared" si="0"/>
        <v>2195.2714357142854</v>
      </c>
      <c r="E84" s="50">
        <f t="shared" si="2"/>
        <v>5.3761332133425591E-4</v>
      </c>
      <c r="F84" s="51"/>
    </row>
    <row r="85" spans="1:6" ht="15.75" customHeight="1" x14ac:dyDescent="0.25">
      <c r="A85" t="s">
        <v>313</v>
      </c>
      <c r="B85" t="s">
        <v>312</v>
      </c>
      <c r="C85">
        <v>1903232.75</v>
      </c>
      <c r="D85" s="24">
        <f t="shared" si="0"/>
        <v>1359.4519642857142</v>
      </c>
      <c r="E85" s="50">
        <f t="shared" si="2"/>
        <v>3.3292442739602174E-4</v>
      </c>
      <c r="F85" s="51"/>
    </row>
    <row r="86" spans="1:6" ht="15.75" customHeight="1" x14ac:dyDescent="0.25">
      <c r="A86" t="s">
        <v>315</v>
      </c>
      <c r="B86" t="s">
        <v>314</v>
      </c>
      <c r="C86">
        <v>780000</v>
      </c>
      <c r="D86" s="24">
        <f t="shared" si="0"/>
        <v>557.14285714285711</v>
      </c>
      <c r="E86" s="50">
        <f t="shared" si="2"/>
        <v>1.3644208958094956E-4</v>
      </c>
      <c r="F86" s="51"/>
    </row>
    <row r="87" spans="1:6" ht="15.75" customHeight="1" x14ac:dyDescent="0.25">
      <c r="A87" t="s">
        <v>317</v>
      </c>
      <c r="B87" t="s">
        <v>316</v>
      </c>
      <c r="C87">
        <v>180000</v>
      </c>
      <c r="D87" s="24">
        <f t="shared" si="0"/>
        <v>128.57142857142858</v>
      </c>
      <c r="E87" s="50">
        <f t="shared" si="2"/>
        <v>3.1486636057142208E-5</v>
      </c>
      <c r="F87" s="51"/>
    </row>
    <row r="88" spans="1:6" ht="15.75" customHeight="1" x14ac:dyDescent="0.25">
      <c r="A88" t="s">
        <v>319</v>
      </c>
      <c r="B88" t="s">
        <v>318</v>
      </c>
      <c r="C88">
        <v>0.02</v>
      </c>
      <c r="D88" s="24">
        <f t="shared" si="0"/>
        <v>1.4285714285714285E-5</v>
      </c>
      <c r="E88" s="50">
        <f t="shared" si="2"/>
        <v>3.498515117460245E-12</v>
      </c>
      <c r="F88" s="51"/>
    </row>
    <row r="89" spans="1:6" ht="15.75" customHeight="1" x14ac:dyDescent="0.25">
      <c r="A89" t="s">
        <v>321</v>
      </c>
      <c r="B89" t="s">
        <v>320</v>
      </c>
      <c r="C89">
        <v>5409389.7000000002</v>
      </c>
      <c r="D89" s="24">
        <f t="shared" si="0"/>
        <v>3863.8497857142856</v>
      </c>
      <c r="E89" s="50">
        <f t="shared" si="2"/>
        <v>9.4624158208418707E-4</v>
      </c>
      <c r="F89" s="51"/>
    </row>
    <row r="90" spans="1:6" ht="15.75" customHeight="1" x14ac:dyDescent="0.25">
      <c r="A90" t="s">
        <v>323</v>
      </c>
      <c r="B90" t="s">
        <v>322</v>
      </c>
      <c r="C90">
        <v>13376568.15</v>
      </c>
      <c r="D90" s="24">
        <f t="shared" si="0"/>
        <v>9554.6915357142861</v>
      </c>
      <c r="E90" s="50">
        <f t="shared" si="2"/>
        <v>2.3399062946256113E-3</v>
      </c>
      <c r="F90" s="51"/>
    </row>
    <row r="91" spans="1:6" ht="15.75" customHeight="1" x14ac:dyDescent="0.25">
      <c r="A91" t="s">
        <v>325</v>
      </c>
      <c r="B91" t="s">
        <v>324</v>
      </c>
      <c r="C91">
        <v>259372.83</v>
      </c>
      <c r="D91" s="24">
        <f t="shared" si="0"/>
        <v>185.26630714285713</v>
      </c>
      <c r="E91" s="50">
        <f t="shared" si="2"/>
        <v>4.5370988340672305E-5</v>
      </c>
      <c r="F91" s="51"/>
    </row>
    <row r="92" spans="1:6" ht="15.75" customHeight="1" x14ac:dyDescent="0.25">
      <c r="A92" t="s">
        <v>719</v>
      </c>
      <c r="B92" t="s">
        <v>718</v>
      </c>
      <c r="C92">
        <v>790000</v>
      </c>
      <c r="D92" s="24">
        <f t="shared" si="0"/>
        <v>564.28571428571433</v>
      </c>
      <c r="E92" s="50">
        <f t="shared" si="2"/>
        <v>1.3819134713967968E-4</v>
      </c>
      <c r="F92" s="51"/>
    </row>
    <row r="93" spans="1:6" ht="15.75" customHeight="1" x14ac:dyDescent="0.25">
      <c r="A93" t="s">
        <v>327</v>
      </c>
      <c r="B93" t="s">
        <v>326</v>
      </c>
      <c r="C93">
        <v>5203943.8</v>
      </c>
      <c r="D93" s="24">
        <f t="shared" si="0"/>
        <v>3717.1027142857142</v>
      </c>
      <c r="E93" s="50">
        <f t="shared" si="2"/>
        <v>9.1030380273567568E-4</v>
      </c>
      <c r="F93" s="51"/>
    </row>
    <row r="94" spans="1:6" ht="15.75" customHeight="1" x14ac:dyDescent="0.25">
      <c r="A94" t="s">
        <v>329</v>
      </c>
      <c r="B94" t="s">
        <v>328</v>
      </c>
      <c r="C94">
        <v>-3904.38</v>
      </c>
      <c r="D94" s="24">
        <f t="shared" si="0"/>
        <v>-2.7888428571428574</v>
      </c>
      <c r="E94" s="50">
        <f t="shared" si="2"/>
        <v>-6.8297662271547165E-7</v>
      </c>
      <c r="F94" s="51"/>
    </row>
    <row r="95" spans="1:6" ht="15.75" customHeight="1" x14ac:dyDescent="0.25">
      <c r="A95" t="s">
        <v>721</v>
      </c>
      <c r="B95" t="s">
        <v>720</v>
      </c>
      <c r="C95">
        <v>533280.99</v>
      </c>
      <c r="D95" s="24">
        <f t="shared" si="0"/>
        <v>380.91499285714286</v>
      </c>
      <c r="E95" s="50">
        <f t="shared" si="2"/>
        <v>9.3284580268458294E-5</v>
      </c>
      <c r="F95" s="51"/>
    </row>
    <row r="96" spans="1:6" ht="15.75" customHeight="1" x14ac:dyDescent="0.25">
      <c r="A96" t="s">
        <v>331</v>
      </c>
      <c r="B96" t="s">
        <v>330</v>
      </c>
      <c r="C96">
        <v>811093.25</v>
      </c>
      <c r="D96" s="24">
        <f t="shared" si="0"/>
        <v>579.35232142857137</v>
      </c>
      <c r="E96" s="50">
        <f t="shared" si="2"/>
        <v>1.418810998397481E-4</v>
      </c>
      <c r="F96" s="51"/>
    </row>
    <row r="97" spans="1:6" ht="15.75" customHeight="1" x14ac:dyDescent="0.25">
      <c r="A97" t="s">
        <v>333</v>
      </c>
      <c r="B97" t="s">
        <v>332</v>
      </c>
      <c r="C97">
        <v>1728535.96</v>
      </c>
      <c r="D97" s="24">
        <f t="shared" si="0"/>
        <v>1234.6685428571429</v>
      </c>
      <c r="E97" s="50">
        <f t="shared" si="2"/>
        <v>3.0236545935668287E-4</v>
      </c>
      <c r="F97" s="51"/>
    </row>
    <row r="98" spans="1:6" ht="15.75" customHeight="1" x14ac:dyDescent="0.25">
      <c r="A98" t="s">
        <v>335</v>
      </c>
      <c r="B98" t="s">
        <v>334</v>
      </c>
      <c r="C98">
        <v>40367.35</v>
      </c>
      <c r="D98" s="24">
        <f t="shared" si="0"/>
        <v>28.833821428571426</v>
      </c>
      <c r="E98" s="50">
        <f t="shared" si="2"/>
        <v>7.0612892113404407E-6</v>
      </c>
      <c r="F98" s="51"/>
    </row>
    <row r="99" spans="1:6" ht="15.75" customHeight="1" x14ac:dyDescent="0.25">
      <c r="A99" t="s">
        <v>723</v>
      </c>
      <c r="B99" t="s">
        <v>722</v>
      </c>
      <c r="C99">
        <v>430845.68</v>
      </c>
      <c r="D99" s="24">
        <f t="shared" si="0"/>
        <v>307.7469142857143</v>
      </c>
      <c r="E99" s="50">
        <f t="shared" si="2"/>
        <v>7.5366006238621961E-5</v>
      </c>
      <c r="F99" s="51"/>
    </row>
    <row r="100" spans="1:6" ht="15.75" customHeight="1" x14ac:dyDescent="0.25">
      <c r="A100" t="s">
        <v>725</v>
      </c>
      <c r="B100" t="s">
        <v>724</v>
      </c>
      <c r="C100">
        <v>152460</v>
      </c>
      <c r="D100" s="24">
        <f t="shared" si="0"/>
        <v>108.9</v>
      </c>
      <c r="E100" s="50">
        <f t="shared" si="2"/>
        <v>2.6669180740399448E-5</v>
      </c>
      <c r="F100" s="51"/>
    </row>
    <row r="101" spans="1:6" ht="15.75" customHeight="1" x14ac:dyDescent="0.25">
      <c r="A101" t="s">
        <v>337</v>
      </c>
      <c r="B101" t="s">
        <v>336</v>
      </c>
      <c r="C101">
        <v>210995.48</v>
      </c>
      <c r="D101" s="24">
        <f t="shared" si="0"/>
        <v>150.71105714285716</v>
      </c>
      <c r="E101" s="50">
        <f t="shared" si="2"/>
        <v>3.690854382478904E-5</v>
      </c>
      <c r="F101" s="51"/>
    </row>
    <row r="102" spans="1:6" ht="15.75" customHeight="1" x14ac:dyDescent="0.25">
      <c r="A102" t="s">
        <v>339</v>
      </c>
      <c r="B102" t="s">
        <v>338</v>
      </c>
      <c r="C102">
        <v>29484000</v>
      </c>
      <c r="D102" s="24">
        <f t="shared" si="0"/>
        <v>21060</v>
      </c>
      <c r="E102" s="50">
        <f t="shared" si="2"/>
        <v>5.157510986159893E-3</v>
      </c>
      <c r="F102" s="51"/>
    </row>
    <row r="103" spans="1:6" ht="15.75" customHeight="1" x14ac:dyDescent="0.25">
      <c r="A103" t="s">
        <v>341</v>
      </c>
      <c r="B103" t="s">
        <v>340</v>
      </c>
      <c r="C103">
        <v>742083.01</v>
      </c>
      <c r="D103" s="24">
        <f t="shared" si="0"/>
        <v>530.05929285714285</v>
      </c>
      <c r="E103" s="50">
        <f t="shared" si="2"/>
        <v>1.2980943144477012E-4</v>
      </c>
      <c r="F103" s="51"/>
    </row>
    <row r="104" spans="1:6" ht="15.75" customHeight="1" x14ac:dyDescent="0.25">
      <c r="A104" t="s">
        <v>343</v>
      </c>
      <c r="B104" t="s">
        <v>342</v>
      </c>
      <c r="C104">
        <v>-387219.15</v>
      </c>
      <c r="D104" s="24">
        <f t="shared" si="0"/>
        <v>-276.58510714285717</v>
      </c>
      <c r="E104" s="50">
        <f t="shared" si="2"/>
        <v>-6.7734602502255321E-5</v>
      </c>
      <c r="F104" s="51"/>
    </row>
    <row r="105" spans="1:6" ht="15.75" customHeight="1" x14ac:dyDescent="0.25">
      <c r="A105" t="s">
        <v>345</v>
      </c>
      <c r="B105" t="s">
        <v>344</v>
      </c>
      <c r="C105">
        <v>44102.080000000002</v>
      </c>
      <c r="D105" s="24">
        <f t="shared" si="0"/>
        <v>31.501485714285714</v>
      </c>
      <c r="E105" s="50">
        <f t="shared" si="2"/>
        <v>7.7145896795720574E-6</v>
      </c>
      <c r="F105" s="51"/>
    </row>
    <row r="106" spans="1:6" ht="15.75" customHeight="1" x14ac:dyDescent="0.25">
      <c r="A106" t="s">
        <v>347</v>
      </c>
      <c r="B106" t="s">
        <v>346</v>
      </c>
      <c r="C106">
        <v>1742400</v>
      </c>
      <c r="D106" s="24">
        <f t="shared" si="0"/>
        <v>1244.5714285714287</v>
      </c>
      <c r="E106" s="50">
        <f t="shared" si="2"/>
        <v>3.0479063703313657E-4</v>
      </c>
      <c r="F106" s="51"/>
    </row>
    <row r="107" spans="1:6" ht="15.75" customHeight="1" x14ac:dyDescent="0.25">
      <c r="A107" t="s">
        <v>349</v>
      </c>
      <c r="B107" t="s">
        <v>348</v>
      </c>
      <c r="C107">
        <v>3755751.5</v>
      </c>
      <c r="D107" s="24">
        <f t="shared" si="0"/>
        <v>2682.6796428571429</v>
      </c>
      <c r="E107" s="50">
        <f t="shared" si="2"/>
        <v>6.5697767000869956E-4</v>
      </c>
      <c r="F107" s="51"/>
    </row>
    <row r="108" spans="1:6" ht="15.75" customHeight="1" x14ac:dyDescent="0.25">
      <c r="A108" t="s">
        <v>351</v>
      </c>
      <c r="B108" t="s">
        <v>350</v>
      </c>
      <c r="C108">
        <v>21780</v>
      </c>
      <c r="D108" s="24">
        <f t="shared" si="0"/>
        <v>15.557142857142857</v>
      </c>
      <c r="E108" s="50">
        <f t="shared" si="2"/>
        <v>3.8098829629142069E-6</v>
      </c>
      <c r="F108" s="51"/>
    </row>
    <row r="109" spans="1:6" ht="15.75" customHeight="1" x14ac:dyDescent="0.25">
      <c r="A109" t="s">
        <v>353</v>
      </c>
      <c r="B109" t="s">
        <v>352</v>
      </c>
      <c r="C109">
        <v>2905579.12</v>
      </c>
      <c r="D109" s="24">
        <f t="shared" si="0"/>
        <v>2075.4136571428571</v>
      </c>
      <c r="E109" s="50">
        <f t="shared" si="2"/>
        <v>5.0826062381484176E-4</v>
      </c>
      <c r="F109" s="51"/>
    </row>
    <row r="110" spans="1:6" ht="15.75" customHeight="1" x14ac:dyDescent="0.25">
      <c r="A110" t="s">
        <v>355</v>
      </c>
      <c r="B110" t="s">
        <v>354</v>
      </c>
      <c r="C110">
        <v>232994.79</v>
      </c>
      <c r="D110" s="24">
        <f t="shared" si="0"/>
        <v>166.42484999999999</v>
      </c>
      <c r="E110" s="50">
        <f t="shared" si="2"/>
        <v>4.0756789755223757E-5</v>
      </c>
      <c r="F110" s="51"/>
    </row>
    <row r="111" spans="1:6" ht="15.75" customHeight="1" x14ac:dyDescent="0.25">
      <c r="A111" t="s">
        <v>727</v>
      </c>
      <c r="B111" t="s">
        <v>726</v>
      </c>
      <c r="C111">
        <v>78000</v>
      </c>
      <c r="D111" s="24">
        <f t="shared" si="0"/>
        <v>55.714285714285715</v>
      </c>
      <c r="E111" s="50">
        <f t="shared" si="2"/>
        <v>1.3644208958094956E-5</v>
      </c>
      <c r="F111" s="51"/>
    </row>
    <row r="112" spans="1:6" ht="15.75" customHeight="1" x14ac:dyDescent="0.25">
      <c r="A112" t="s">
        <v>357</v>
      </c>
      <c r="B112" t="s">
        <v>356</v>
      </c>
      <c r="C112">
        <v>1332000</v>
      </c>
      <c r="D112" s="24">
        <f t="shared" si="0"/>
        <v>951.42857142857144</v>
      </c>
      <c r="E112" s="50">
        <f t="shared" si="2"/>
        <v>2.3300110682285234E-4</v>
      </c>
      <c r="F112" s="51"/>
    </row>
    <row r="113" spans="1:6" ht="15.75" customHeight="1" x14ac:dyDescent="0.25">
      <c r="A113" t="s">
        <v>359</v>
      </c>
      <c r="B113" t="s">
        <v>358</v>
      </c>
      <c r="C113">
        <v>50231000.009999998</v>
      </c>
      <c r="D113" s="24">
        <f t="shared" si="0"/>
        <v>35879.285721428569</v>
      </c>
      <c r="E113" s="50">
        <f t="shared" si="2"/>
        <v>8.7866956450065366E-3</v>
      </c>
      <c r="F113" s="51"/>
    </row>
    <row r="114" spans="1:6" ht="15.75" customHeight="1" x14ac:dyDescent="0.25">
      <c r="A114" t="s">
        <v>361</v>
      </c>
      <c r="B114" t="s">
        <v>360</v>
      </c>
      <c r="C114">
        <v>701943.97</v>
      </c>
      <c r="D114" s="24">
        <f t="shared" si="0"/>
        <v>501.38854999999995</v>
      </c>
      <c r="E114" s="50">
        <f t="shared" si="2"/>
        <v>1.2278807953275303E-4</v>
      </c>
      <c r="F114" s="51"/>
    </row>
    <row r="115" spans="1:6" ht="15.75" customHeight="1" x14ac:dyDescent="0.25">
      <c r="A115" t="s">
        <v>363</v>
      </c>
      <c r="B115" t="s">
        <v>362</v>
      </c>
      <c r="C115">
        <v>11788847.74</v>
      </c>
      <c r="D115" s="24">
        <f t="shared" si="0"/>
        <v>8420.6055285714283</v>
      </c>
      <c r="E115" s="50">
        <f t="shared" si="2"/>
        <v>2.0621731017913523E-3</v>
      </c>
      <c r="F115" s="51"/>
    </row>
    <row r="116" spans="1:6" ht="15.75" customHeight="1" x14ac:dyDescent="0.25">
      <c r="A116" t="s">
        <v>729</v>
      </c>
      <c r="B116" t="s">
        <v>728</v>
      </c>
      <c r="C116">
        <v>4935696.3600000003</v>
      </c>
      <c r="D116" s="24">
        <f t="shared" si="0"/>
        <v>3525.4974000000002</v>
      </c>
      <c r="E116" s="50">
        <f t="shared" si="2"/>
        <v>8.6338041653267529E-4</v>
      </c>
      <c r="F116" s="51"/>
    </row>
    <row r="117" spans="1:6" ht="15.75" customHeight="1" x14ac:dyDescent="0.25">
      <c r="A117" t="s">
        <v>365</v>
      </c>
      <c r="B117" t="s">
        <v>364</v>
      </c>
      <c r="C117">
        <v>3580804.55</v>
      </c>
      <c r="D117" s="24">
        <f t="shared" si="0"/>
        <v>2557.7175357142855</v>
      </c>
      <c r="E117" s="50">
        <f t="shared" si="2"/>
        <v>6.2637494254227152E-4</v>
      </c>
      <c r="F117" s="51"/>
    </row>
    <row r="118" spans="1:6" ht="15.75" customHeight="1" x14ac:dyDescent="0.25">
      <c r="A118" t="s">
        <v>367</v>
      </c>
      <c r="B118" t="s">
        <v>366</v>
      </c>
      <c r="C118">
        <v>71925.95</v>
      </c>
      <c r="D118" s="24">
        <f t="shared" si="0"/>
        <v>51.375678571428573</v>
      </c>
      <c r="E118" s="50">
        <f t="shared" si="2"/>
        <v>1.2581701170634485E-5</v>
      </c>
      <c r="F118" s="51"/>
    </row>
    <row r="119" spans="1:6" ht="15.75" customHeight="1" x14ac:dyDescent="0.25">
      <c r="A119" t="s">
        <v>369</v>
      </c>
      <c r="B119" t="s">
        <v>368</v>
      </c>
      <c r="C119">
        <v>56726954.850000001</v>
      </c>
      <c r="D119" s="24">
        <f t="shared" si="0"/>
        <v>40519.253464285714</v>
      </c>
      <c r="E119" s="50">
        <f t="shared" si="2"/>
        <v>9.9230054555104891E-3</v>
      </c>
      <c r="F119" s="51"/>
    </row>
    <row r="120" spans="1:6" ht="15.75" customHeight="1" x14ac:dyDescent="0.25">
      <c r="A120" t="s">
        <v>371</v>
      </c>
      <c r="B120" t="s">
        <v>370</v>
      </c>
      <c r="C120">
        <v>-258135.9</v>
      </c>
      <c r="D120" s="24">
        <f t="shared" si="0"/>
        <v>-184.38278571428572</v>
      </c>
      <c r="E120" s="50">
        <f t="shared" si="2"/>
        <v>-4.5154617425460302E-5</v>
      </c>
      <c r="F120" s="51"/>
    </row>
    <row r="121" spans="1:6" ht="15.75" customHeight="1" x14ac:dyDescent="0.25">
      <c r="A121" t="s">
        <v>373</v>
      </c>
      <c r="B121" t="s">
        <v>372</v>
      </c>
      <c r="C121">
        <v>1516957426.1400001</v>
      </c>
      <c r="D121" s="24">
        <f t="shared" si="0"/>
        <v>1083541.0186714286</v>
      </c>
      <c r="E121" s="50">
        <f t="shared" si="2"/>
        <v>0.26535492439471869</v>
      </c>
      <c r="F121" s="51"/>
    </row>
    <row r="122" spans="1:6" ht="15.75" customHeight="1" x14ac:dyDescent="0.25">
      <c r="A122" t="s">
        <v>375</v>
      </c>
      <c r="B122" t="s">
        <v>374</v>
      </c>
      <c r="C122">
        <v>620730</v>
      </c>
      <c r="D122" s="24">
        <f t="shared" si="0"/>
        <v>443.37857142857143</v>
      </c>
      <c r="E122" s="50">
        <f t="shared" si="2"/>
        <v>1.0858166444305489E-4</v>
      </c>
      <c r="F122" s="51"/>
    </row>
    <row r="123" spans="1:6" ht="15.75" customHeight="1" x14ac:dyDescent="0.25">
      <c r="A123" t="s">
        <v>731</v>
      </c>
      <c r="B123" t="s">
        <v>730</v>
      </c>
      <c r="C123">
        <v>17383949</v>
      </c>
      <c r="D123" s="24">
        <f t="shared" si="0"/>
        <v>12417.106428571429</v>
      </c>
      <c r="E123" s="50">
        <f t="shared" si="2"/>
        <v>3.0409004188828954E-3</v>
      </c>
      <c r="F123" s="51"/>
    </row>
    <row r="124" spans="1:6" ht="15.75" customHeight="1" x14ac:dyDescent="0.25">
      <c r="A124" t="s">
        <v>377</v>
      </c>
      <c r="B124" t="s">
        <v>376</v>
      </c>
      <c r="C124">
        <v>1366662.33</v>
      </c>
      <c r="D124" s="24">
        <f t="shared" si="0"/>
        <v>976.18737857142867</v>
      </c>
      <c r="E124" s="50">
        <f t="shared" si="2"/>
        <v>2.3906444109842212E-4</v>
      </c>
      <c r="F124" s="51"/>
    </row>
    <row r="125" spans="1:6" ht="15.75" customHeight="1" x14ac:dyDescent="0.25">
      <c r="A125" t="s">
        <v>379</v>
      </c>
      <c r="B125" t="s">
        <v>378</v>
      </c>
      <c r="C125">
        <v>88538261.290000007</v>
      </c>
      <c r="D125" s="24">
        <f t="shared" si="0"/>
        <v>63241.615207142859</v>
      </c>
      <c r="E125" s="50">
        <f t="shared" si="2"/>
        <v>1.5487622279835512E-2</v>
      </c>
      <c r="F125" s="51"/>
    </row>
    <row r="126" spans="1:6" ht="15.75" customHeight="1" x14ac:dyDescent="0.25">
      <c r="A126" t="s">
        <v>733</v>
      </c>
      <c r="B126" t="s">
        <v>732</v>
      </c>
      <c r="C126">
        <v>59049.21</v>
      </c>
      <c r="D126" s="24">
        <f t="shared" si="0"/>
        <v>42.17800714285714</v>
      </c>
      <c r="E126" s="50">
        <f t="shared" si="2"/>
        <v>1.0329227692954234E-5</v>
      </c>
      <c r="F126" s="51"/>
    </row>
    <row r="127" spans="1:6" ht="15.75" customHeight="1" x14ac:dyDescent="0.25">
      <c r="A127" t="s">
        <v>381</v>
      </c>
      <c r="B127" t="s">
        <v>380</v>
      </c>
      <c r="C127">
        <v>5896891</v>
      </c>
      <c r="D127" s="24">
        <f t="shared" si="0"/>
        <v>4212.0649999999996</v>
      </c>
      <c r="E127" s="50">
        <f t="shared" si="2"/>
        <v>1.0315181154757632E-3</v>
      </c>
      <c r="F127" s="51"/>
    </row>
    <row r="128" spans="1:6" ht="15.75" customHeight="1" x14ac:dyDescent="0.25">
      <c r="A128" t="s">
        <v>383</v>
      </c>
      <c r="B128" t="s">
        <v>382</v>
      </c>
      <c r="C128">
        <v>13218589.529999999</v>
      </c>
      <c r="D128" s="24">
        <f t="shared" si="0"/>
        <v>9441.8496642857135</v>
      </c>
      <c r="E128" s="50">
        <f t="shared" si="2"/>
        <v>2.3122717651103356E-3</v>
      </c>
      <c r="F128" s="51"/>
    </row>
    <row r="129" spans="1:6" ht="15.75" customHeight="1" x14ac:dyDescent="0.25">
      <c r="A129" t="s">
        <v>385</v>
      </c>
      <c r="B129" t="s">
        <v>384</v>
      </c>
      <c r="C129">
        <v>4033491.61</v>
      </c>
      <c r="D129" s="24">
        <f t="shared" si="0"/>
        <v>2881.0654357142857</v>
      </c>
      <c r="E129" s="50">
        <f t="shared" si="2"/>
        <v>7.0556156868670315E-4</v>
      </c>
      <c r="F129" s="51"/>
    </row>
    <row r="130" spans="1:6" ht="15.75" customHeight="1" x14ac:dyDescent="0.25">
      <c r="A130" t="s">
        <v>387</v>
      </c>
      <c r="B130" t="s">
        <v>386</v>
      </c>
      <c r="C130">
        <v>-0.01</v>
      </c>
      <c r="D130" s="24">
        <f t="shared" si="0"/>
        <v>-7.1428571428571427E-6</v>
      </c>
      <c r="E130" s="50">
        <f t="shared" si="2"/>
        <v>-1.7492575587301225E-12</v>
      </c>
      <c r="F130" s="51"/>
    </row>
    <row r="131" spans="1:6" ht="15.75" customHeight="1" x14ac:dyDescent="0.25">
      <c r="A131" t="s">
        <v>389</v>
      </c>
      <c r="B131" t="s">
        <v>388</v>
      </c>
      <c r="C131">
        <v>45491833.200000003</v>
      </c>
      <c r="D131" s="24">
        <f t="shared" si="0"/>
        <v>32494.166571428574</v>
      </c>
      <c r="E131" s="50">
        <f t="shared" si="2"/>
        <v>7.9576933085589944E-3</v>
      </c>
      <c r="F131" s="51"/>
    </row>
    <row r="132" spans="1:6" ht="15.75" customHeight="1" x14ac:dyDescent="0.25">
      <c r="A132" t="s">
        <v>391</v>
      </c>
      <c r="B132" t="s">
        <v>390</v>
      </c>
      <c r="C132">
        <v>723098.53</v>
      </c>
      <c r="D132" s="24">
        <f t="shared" si="0"/>
        <v>516.49895000000004</v>
      </c>
      <c r="E132" s="50">
        <f t="shared" si="2"/>
        <v>1.2648855693091402E-4</v>
      </c>
      <c r="F132" s="51"/>
    </row>
    <row r="133" spans="1:6" ht="15.75" customHeight="1" x14ac:dyDescent="0.25">
      <c r="A133" t="s">
        <v>393</v>
      </c>
      <c r="B133" t="s">
        <v>392</v>
      </c>
      <c r="C133">
        <v>4183059.13</v>
      </c>
      <c r="D133" s="24">
        <f t="shared" si="0"/>
        <v>2987.8993785714283</v>
      </c>
      <c r="E133" s="50">
        <f t="shared" ref="E133:E196" si="3">IFERROR(C133/SUM($C$5:$C$260),0)</f>
        <v>7.3172478017675502E-4</v>
      </c>
      <c r="F133" s="51"/>
    </row>
    <row r="134" spans="1:6" ht="15.75" customHeight="1" x14ac:dyDescent="0.25">
      <c r="A134" t="s">
        <v>395</v>
      </c>
      <c r="B134" t="s">
        <v>394</v>
      </c>
      <c r="C134">
        <v>102620724.22</v>
      </c>
      <c r="D134" s="24">
        <f t="shared" si="0"/>
        <v>73300.517299999992</v>
      </c>
      <c r="E134" s="50">
        <f t="shared" si="3"/>
        <v>1.7951007752419437E-2</v>
      </c>
      <c r="F134" s="51"/>
    </row>
    <row r="135" spans="1:6" ht="15.75" customHeight="1" x14ac:dyDescent="0.25">
      <c r="A135" t="s">
        <v>735</v>
      </c>
      <c r="B135" t="s">
        <v>734</v>
      </c>
      <c r="C135">
        <v>7570922.9400000004</v>
      </c>
      <c r="D135" s="24">
        <f t="shared" si="0"/>
        <v>5407.8020999999999</v>
      </c>
      <c r="E135" s="50">
        <f t="shared" si="3"/>
        <v>1.3243494179358284E-3</v>
      </c>
      <c r="F135" s="51"/>
    </row>
    <row r="136" spans="1:6" ht="15.75" customHeight="1" x14ac:dyDescent="0.25">
      <c r="A136" t="s">
        <v>397</v>
      </c>
      <c r="B136" t="s">
        <v>396</v>
      </c>
      <c r="C136">
        <v>335045.59999999998</v>
      </c>
      <c r="D136" s="24">
        <f t="shared" si="0"/>
        <v>239.31828571428571</v>
      </c>
      <c r="E136" s="50">
        <f t="shared" si="3"/>
        <v>5.8608104831926911E-5</v>
      </c>
      <c r="F136" s="51"/>
    </row>
    <row r="137" spans="1:6" ht="15.75" customHeight="1" x14ac:dyDescent="0.25">
      <c r="A137" t="s">
        <v>399</v>
      </c>
      <c r="B137" t="s">
        <v>398</v>
      </c>
      <c r="C137">
        <v>1782642.4</v>
      </c>
      <c r="D137" s="24">
        <f t="shared" si="0"/>
        <v>1273.316</v>
      </c>
      <c r="E137" s="50">
        <f t="shared" si="3"/>
        <v>3.1183006927128063E-4</v>
      </c>
      <c r="F137" s="51"/>
    </row>
    <row r="138" spans="1:6" ht="15.75" customHeight="1" x14ac:dyDescent="0.25">
      <c r="A138" t="s">
        <v>401</v>
      </c>
      <c r="B138" t="s">
        <v>400</v>
      </c>
      <c r="C138">
        <v>1665850</v>
      </c>
      <c r="D138" s="24">
        <f t="shared" si="0"/>
        <v>1189.8928571428571</v>
      </c>
      <c r="E138" s="50">
        <f t="shared" si="3"/>
        <v>2.9140007042105748E-4</v>
      </c>
      <c r="F138" s="51"/>
    </row>
    <row r="139" spans="1:6" ht="15.75" customHeight="1" x14ac:dyDescent="0.25">
      <c r="A139" t="s">
        <v>403</v>
      </c>
      <c r="B139" t="s">
        <v>402</v>
      </c>
      <c r="C139">
        <v>7000000</v>
      </c>
      <c r="D139" s="24">
        <f t="shared" si="0"/>
        <v>5000</v>
      </c>
      <c r="E139" s="50">
        <f t="shared" si="3"/>
        <v>1.2244802911110858E-3</v>
      </c>
      <c r="F139" s="51"/>
    </row>
    <row r="140" spans="1:6" ht="15.75" customHeight="1" x14ac:dyDescent="0.25">
      <c r="A140" t="s">
        <v>405</v>
      </c>
      <c r="B140" t="s">
        <v>404</v>
      </c>
      <c r="C140">
        <v>3219470</v>
      </c>
      <c r="D140" s="24">
        <f t="shared" si="0"/>
        <v>2299.6214285714286</v>
      </c>
      <c r="E140" s="50">
        <f t="shared" si="3"/>
        <v>5.6316822326048677E-4</v>
      </c>
      <c r="F140" s="51"/>
    </row>
    <row r="141" spans="1:6" ht="15.75" customHeight="1" x14ac:dyDescent="0.25">
      <c r="A141" t="s">
        <v>737</v>
      </c>
      <c r="B141" t="s">
        <v>736</v>
      </c>
      <c r="C141">
        <v>789844.92</v>
      </c>
      <c r="D141" s="24">
        <f t="shared" si="0"/>
        <v>564.17494285714292</v>
      </c>
      <c r="E141" s="50">
        <f t="shared" si="3"/>
        <v>1.3816421965345892E-4</v>
      </c>
      <c r="F141" s="51"/>
    </row>
    <row r="142" spans="1:6" ht="15.75" customHeight="1" x14ac:dyDescent="0.25">
      <c r="A142" t="s">
        <v>407</v>
      </c>
      <c r="B142" t="s">
        <v>406</v>
      </c>
      <c r="C142">
        <v>343869.18</v>
      </c>
      <c r="D142" s="24">
        <f t="shared" si="0"/>
        <v>245.62084285714286</v>
      </c>
      <c r="E142" s="50">
        <f t="shared" si="3"/>
        <v>6.0151576232932905E-5</v>
      </c>
      <c r="F142" s="51"/>
    </row>
    <row r="143" spans="1:6" ht="15.75" customHeight="1" x14ac:dyDescent="0.25">
      <c r="A143" t="s">
        <v>739</v>
      </c>
      <c r="B143" t="s">
        <v>738</v>
      </c>
      <c r="C143">
        <v>229900</v>
      </c>
      <c r="D143" s="24">
        <f t="shared" si="0"/>
        <v>164.21428571428572</v>
      </c>
      <c r="E143" s="50">
        <f t="shared" si="3"/>
        <v>4.0215431275205517E-5</v>
      </c>
      <c r="F143" s="51"/>
    </row>
    <row r="144" spans="1:6" ht="15.75" customHeight="1" x14ac:dyDescent="0.25">
      <c r="A144" t="s">
        <v>409</v>
      </c>
      <c r="B144" t="s">
        <v>408</v>
      </c>
      <c r="C144">
        <v>742500</v>
      </c>
      <c r="D144" s="24">
        <f t="shared" si="0"/>
        <v>530.35714285714289</v>
      </c>
      <c r="E144" s="50">
        <f t="shared" si="3"/>
        <v>1.298823737357116E-4</v>
      </c>
      <c r="F144" s="51"/>
    </row>
    <row r="145" spans="1:6" ht="15.75" customHeight="1" x14ac:dyDescent="0.25">
      <c r="A145" t="s">
        <v>411</v>
      </c>
      <c r="B145" t="s">
        <v>410</v>
      </c>
      <c r="C145">
        <v>6435300</v>
      </c>
      <c r="D145" s="24">
        <f t="shared" si="0"/>
        <v>4596.6428571428569</v>
      </c>
      <c r="E145" s="50">
        <f t="shared" si="3"/>
        <v>1.1256997167695957E-3</v>
      </c>
      <c r="F145" s="51"/>
    </row>
    <row r="146" spans="1:6" ht="15.75" customHeight="1" x14ac:dyDescent="0.25">
      <c r="A146" t="s">
        <v>413</v>
      </c>
      <c r="B146" t="s">
        <v>412</v>
      </c>
      <c r="C146">
        <v>304483.67</v>
      </c>
      <c r="D146" s="24">
        <f t="shared" si="0"/>
        <v>217.48833571428571</v>
      </c>
      <c r="E146" s="50">
        <f t="shared" si="3"/>
        <v>5.326203612573882E-5</v>
      </c>
      <c r="F146" s="51"/>
    </row>
    <row r="147" spans="1:6" ht="15.75" customHeight="1" x14ac:dyDescent="0.25">
      <c r="A147" t="s">
        <v>415</v>
      </c>
      <c r="B147" t="s">
        <v>414</v>
      </c>
      <c r="C147">
        <v>31500789.989999998</v>
      </c>
      <c r="D147" s="24">
        <f t="shared" si="0"/>
        <v>22500.564278571426</v>
      </c>
      <c r="E147" s="50">
        <f t="shared" si="3"/>
        <v>5.5102994995977683E-3</v>
      </c>
      <c r="F147" s="51"/>
    </row>
    <row r="148" spans="1:6" ht="15.75" customHeight="1" x14ac:dyDescent="0.25">
      <c r="A148" t="s">
        <v>417</v>
      </c>
      <c r="B148" t="s">
        <v>416</v>
      </c>
      <c r="C148">
        <v>2915177</v>
      </c>
      <c r="D148" s="24">
        <f t="shared" si="0"/>
        <v>2082.2692857142856</v>
      </c>
      <c r="E148" s="50">
        <f t="shared" si="3"/>
        <v>5.0993954022862025E-4</v>
      </c>
      <c r="F148" s="51"/>
    </row>
    <row r="149" spans="1:6" ht="15.75" customHeight="1" x14ac:dyDescent="0.25">
      <c r="A149" t="s">
        <v>419</v>
      </c>
      <c r="B149" t="s">
        <v>418</v>
      </c>
      <c r="C149">
        <v>11845076.42</v>
      </c>
      <c r="D149" s="24">
        <f t="shared" si="0"/>
        <v>8460.7688714285705</v>
      </c>
      <c r="E149" s="50">
        <f t="shared" si="3"/>
        <v>2.0720089461420941E-3</v>
      </c>
      <c r="F149" s="51"/>
    </row>
    <row r="150" spans="1:6" ht="15.75" customHeight="1" x14ac:dyDescent="0.25">
      <c r="A150" t="s">
        <v>421</v>
      </c>
      <c r="B150" t="s">
        <v>420</v>
      </c>
      <c r="C150">
        <v>298329916.04000002</v>
      </c>
      <c r="D150" s="24">
        <f t="shared" si="0"/>
        <v>213092.7971714286</v>
      </c>
      <c r="E150" s="50">
        <f t="shared" si="3"/>
        <v>5.2185586062829289E-2</v>
      </c>
      <c r="F150" s="51"/>
    </row>
    <row r="151" spans="1:6" ht="15.75" customHeight="1" x14ac:dyDescent="0.25">
      <c r="A151" t="s">
        <v>423</v>
      </c>
      <c r="B151" t="s">
        <v>422</v>
      </c>
      <c r="C151">
        <v>630252.1</v>
      </c>
      <c r="D151" s="24">
        <f t="shared" si="0"/>
        <v>450.18007142857141</v>
      </c>
      <c r="E151" s="50">
        <f t="shared" si="3"/>
        <v>1.102473249830533E-4</v>
      </c>
      <c r="F151" s="51"/>
    </row>
    <row r="152" spans="1:6" ht="15.75" customHeight="1" x14ac:dyDescent="0.25">
      <c r="A152" t="s">
        <v>425</v>
      </c>
      <c r="B152" t="s">
        <v>424</v>
      </c>
      <c r="C152">
        <v>3670293</v>
      </c>
      <c r="D152" s="24">
        <f t="shared" si="0"/>
        <v>2621.6378571428572</v>
      </c>
      <c r="E152" s="50">
        <f t="shared" si="3"/>
        <v>6.4202877730042574E-4</v>
      </c>
      <c r="F152" s="51"/>
    </row>
    <row r="153" spans="1:6" ht="15.75" customHeight="1" x14ac:dyDescent="0.25">
      <c r="A153" t="s">
        <v>427</v>
      </c>
      <c r="B153" t="s">
        <v>426</v>
      </c>
      <c r="C153">
        <v>35394057.5</v>
      </c>
      <c r="D153" s="24">
        <f t="shared" si="0"/>
        <v>25281.469642857144</v>
      </c>
      <c r="E153" s="50">
        <f t="shared" si="3"/>
        <v>6.1913322616003585E-3</v>
      </c>
      <c r="F153" s="51"/>
    </row>
    <row r="154" spans="1:6" ht="15.75" customHeight="1" x14ac:dyDescent="0.25">
      <c r="A154" t="s">
        <v>429</v>
      </c>
      <c r="B154" t="s">
        <v>428</v>
      </c>
      <c r="C154">
        <v>12427272</v>
      </c>
      <c r="D154" s="24">
        <f t="shared" si="0"/>
        <v>8876.6228571428564</v>
      </c>
      <c r="E154" s="50">
        <f t="shared" si="3"/>
        <v>2.1738499480395209E-3</v>
      </c>
      <c r="F154" s="51"/>
    </row>
    <row r="155" spans="1:6" ht="15.75" customHeight="1" x14ac:dyDescent="0.25">
      <c r="A155" t="s">
        <v>431</v>
      </c>
      <c r="B155" t="s">
        <v>430</v>
      </c>
      <c r="C155">
        <v>82539.429999999993</v>
      </c>
      <c r="D155" s="24">
        <f t="shared" si="0"/>
        <v>58.956735714285706</v>
      </c>
      <c r="E155" s="50">
        <f t="shared" si="3"/>
        <v>1.4438272182077583E-5</v>
      </c>
      <c r="F155" s="51"/>
    </row>
    <row r="156" spans="1:6" ht="15.75" customHeight="1" x14ac:dyDescent="0.25">
      <c r="A156" t="s">
        <v>741</v>
      </c>
      <c r="B156" t="s">
        <v>740</v>
      </c>
      <c r="C156">
        <v>2640220</v>
      </c>
      <c r="D156" s="24">
        <f t="shared" si="0"/>
        <v>1885.8714285714286</v>
      </c>
      <c r="E156" s="50">
        <f t="shared" si="3"/>
        <v>4.6184247917104444E-4</v>
      </c>
      <c r="F156" s="51"/>
    </row>
    <row r="157" spans="1:6" ht="15.75" customHeight="1" x14ac:dyDescent="0.25">
      <c r="A157" t="s">
        <v>433</v>
      </c>
      <c r="B157" t="s">
        <v>432</v>
      </c>
      <c r="C157">
        <v>1101100</v>
      </c>
      <c r="D157" s="24">
        <f t="shared" si="0"/>
        <v>786.5</v>
      </c>
      <c r="E157" s="50">
        <f t="shared" si="3"/>
        <v>1.9261074979177379E-4</v>
      </c>
      <c r="F157" s="51"/>
    </row>
    <row r="158" spans="1:6" ht="15.75" customHeight="1" x14ac:dyDescent="0.25">
      <c r="A158" t="s">
        <v>435</v>
      </c>
      <c r="B158" t="s">
        <v>434</v>
      </c>
      <c r="C158">
        <v>97471753.400000006</v>
      </c>
      <c r="D158" s="24">
        <f t="shared" si="0"/>
        <v>69622.681000000011</v>
      </c>
      <c r="E158" s="50">
        <f t="shared" si="3"/>
        <v>1.7050320139762855E-2</v>
      </c>
      <c r="F158" s="51"/>
    </row>
    <row r="159" spans="1:6" ht="15.75" customHeight="1" x14ac:dyDescent="0.25">
      <c r="A159" t="s">
        <v>437</v>
      </c>
      <c r="B159" t="s">
        <v>436</v>
      </c>
      <c r="C159">
        <v>5555528.6799999997</v>
      </c>
      <c r="D159" s="24">
        <f t="shared" si="0"/>
        <v>3968.2347714285711</v>
      </c>
      <c r="E159" s="50">
        <f t="shared" si="3"/>
        <v>9.7180505362319796E-4</v>
      </c>
      <c r="F159" s="51"/>
    </row>
    <row r="160" spans="1:6" ht="15.75" customHeight="1" x14ac:dyDescent="0.25">
      <c r="A160" t="s">
        <v>439</v>
      </c>
      <c r="B160" t="s">
        <v>438</v>
      </c>
      <c r="C160">
        <v>15520000</v>
      </c>
      <c r="D160" s="24">
        <f t="shared" si="0"/>
        <v>11085.714285714286</v>
      </c>
      <c r="E160" s="50">
        <f t="shared" si="3"/>
        <v>2.7148477311491502E-3</v>
      </c>
      <c r="F160" s="51"/>
    </row>
    <row r="161" spans="1:6" ht="15.75" customHeight="1" x14ac:dyDescent="0.25">
      <c r="A161" t="s">
        <v>441</v>
      </c>
      <c r="B161" t="s">
        <v>440</v>
      </c>
      <c r="C161">
        <v>58760</v>
      </c>
      <c r="D161" s="24">
        <f t="shared" si="0"/>
        <v>41.971428571428568</v>
      </c>
      <c r="E161" s="50">
        <f t="shared" si="3"/>
        <v>1.0278637415098201E-5</v>
      </c>
      <c r="F161" s="51"/>
    </row>
    <row r="162" spans="1:6" ht="15.75" customHeight="1" x14ac:dyDescent="0.25">
      <c r="A162" t="s">
        <v>443</v>
      </c>
      <c r="B162" t="s">
        <v>442</v>
      </c>
      <c r="C162">
        <v>0.01</v>
      </c>
      <c r="D162" s="24">
        <f t="shared" si="0"/>
        <v>7.1428571428571427E-6</v>
      </c>
      <c r="E162" s="50">
        <f t="shared" si="3"/>
        <v>1.7492575587301225E-12</v>
      </c>
      <c r="F162" s="51"/>
    </row>
    <row r="163" spans="1:6" ht="15.75" customHeight="1" x14ac:dyDescent="0.25">
      <c r="A163" t="s">
        <v>743</v>
      </c>
      <c r="B163" t="s">
        <v>742</v>
      </c>
      <c r="C163">
        <v>2255142.36</v>
      </c>
      <c r="D163" s="24">
        <f t="shared" si="0"/>
        <v>1610.8159714285714</v>
      </c>
      <c r="E163" s="50">
        <f t="shared" si="3"/>
        <v>3.944824819242487E-4</v>
      </c>
      <c r="F163" s="51"/>
    </row>
    <row r="164" spans="1:6" ht="15.75" customHeight="1" x14ac:dyDescent="0.25">
      <c r="A164" t="s">
        <v>445</v>
      </c>
      <c r="B164" t="s">
        <v>444</v>
      </c>
      <c r="C164">
        <v>24472998.18</v>
      </c>
      <c r="D164" s="24">
        <f t="shared" si="0"/>
        <v>17480.712985714286</v>
      </c>
      <c r="E164" s="50">
        <f t="shared" si="3"/>
        <v>4.2809577051153534E-3</v>
      </c>
      <c r="F164" s="51"/>
    </row>
    <row r="165" spans="1:6" ht="15.75" customHeight="1" x14ac:dyDescent="0.25">
      <c r="A165" t="s">
        <v>447</v>
      </c>
      <c r="B165" t="s">
        <v>446</v>
      </c>
      <c r="C165">
        <v>56013184.390000001</v>
      </c>
      <c r="D165" s="24">
        <f t="shared" si="0"/>
        <v>40009.417421428574</v>
      </c>
      <c r="E165" s="50">
        <f t="shared" si="3"/>
        <v>9.7981486182751616E-3</v>
      </c>
      <c r="F165" s="51"/>
    </row>
    <row r="166" spans="1:6" ht="15.75" customHeight="1" x14ac:dyDescent="0.25">
      <c r="A166" t="s">
        <v>449</v>
      </c>
      <c r="B166" t="s">
        <v>448</v>
      </c>
      <c r="C166">
        <v>4465027.5999999996</v>
      </c>
      <c r="D166" s="24">
        <f t="shared" si="0"/>
        <v>3189.3054285714284</v>
      </c>
      <c r="E166" s="50">
        <f t="shared" si="3"/>
        <v>7.8104832792386179E-4</v>
      </c>
      <c r="F166" s="51"/>
    </row>
    <row r="167" spans="1:6" ht="15.75" customHeight="1" x14ac:dyDescent="0.25">
      <c r="A167" t="s">
        <v>451</v>
      </c>
      <c r="B167" t="s">
        <v>450</v>
      </c>
      <c r="C167">
        <v>1560000</v>
      </c>
      <c r="D167" s="24">
        <f t="shared" si="0"/>
        <v>1114.2857142857142</v>
      </c>
      <c r="E167" s="50">
        <f t="shared" si="3"/>
        <v>2.7288417916189911E-4</v>
      </c>
      <c r="F167" s="51"/>
    </row>
    <row r="168" spans="1:6" ht="15.75" customHeight="1" x14ac:dyDescent="0.25">
      <c r="A168" t="s">
        <v>453</v>
      </c>
      <c r="B168" t="s">
        <v>452</v>
      </c>
      <c r="C168">
        <v>154138.26999999999</v>
      </c>
      <c r="D168" s="24">
        <f t="shared" si="0"/>
        <v>110.09876428571428</v>
      </c>
      <c r="E168" s="50">
        <f t="shared" si="3"/>
        <v>2.6962753388708448E-5</v>
      </c>
      <c r="F168" s="51"/>
    </row>
    <row r="169" spans="1:6" ht="15.75" customHeight="1" x14ac:dyDescent="0.25">
      <c r="A169" t="s">
        <v>455</v>
      </c>
      <c r="B169" t="s">
        <v>454</v>
      </c>
      <c r="C169">
        <v>13351649.470000001</v>
      </c>
      <c r="D169" s="24">
        <f t="shared" si="0"/>
        <v>9536.8924785714298</v>
      </c>
      <c r="E169" s="50">
        <f t="shared" si="3"/>
        <v>2.3355473756912536E-3</v>
      </c>
      <c r="F169" s="51"/>
    </row>
    <row r="170" spans="1:6" ht="15.75" customHeight="1" x14ac:dyDescent="0.25">
      <c r="A170" t="s">
        <v>457</v>
      </c>
      <c r="B170" t="s">
        <v>456</v>
      </c>
      <c r="C170">
        <v>763386.25</v>
      </c>
      <c r="D170" s="24">
        <f t="shared" si="0"/>
        <v>545.27589285714282</v>
      </c>
      <c r="E170" s="50">
        <f t="shared" si="3"/>
        <v>1.335359168043143E-4</v>
      </c>
      <c r="F170" s="51"/>
    </row>
    <row r="171" spans="1:6" ht="15.75" customHeight="1" x14ac:dyDescent="0.25">
      <c r="A171" t="s">
        <v>459</v>
      </c>
      <c r="B171" t="s">
        <v>458</v>
      </c>
      <c r="C171">
        <v>4530000</v>
      </c>
      <c r="D171" s="24">
        <f t="shared" si="0"/>
        <v>3235.7142857142858</v>
      </c>
      <c r="E171" s="50">
        <f t="shared" si="3"/>
        <v>7.924136741047455E-4</v>
      </c>
      <c r="F171" s="51"/>
    </row>
    <row r="172" spans="1:6" ht="15.75" customHeight="1" x14ac:dyDescent="0.25">
      <c r="A172" t="s">
        <v>461</v>
      </c>
      <c r="B172" t="s">
        <v>460</v>
      </c>
      <c r="C172">
        <v>15009821.289999999</v>
      </c>
      <c r="D172" s="24">
        <f t="shared" si="0"/>
        <v>10721.30092142857</v>
      </c>
      <c r="E172" s="50">
        <f t="shared" si="3"/>
        <v>2.6256043346720818E-3</v>
      </c>
      <c r="F172" s="51"/>
    </row>
    <row r="173" spans="1:6" ht="15.75" customHeight="1" x14ac:dyDescent="0.25">
      <c r="A173" t="s">
        <v>463</v>
      </c>
      <c r="B173" t="s">
        <v>462</v>
      </c>
      <c r="C173">
        <v>2731347</v>
      </c>
      <c r="D173" s="24">
        <f t="shared" si="0"/>
        <v>1950.9621428571429</v>
      </c>
      <c r="E173" s="50">
        <f t="shared" si="3"/>
        <v>4.7778293852648439E-4</v>
      </c>
      <c r="F173" s="51"/>
    </row>
    <row r="174" spans="1:6" ht="15.75" customHeight="1" x14ac:dyDescent="0.25">
      <c r="A174" t="s">
        <v>465</v>
      </c>
      <c r="B174" t="s">
        <v>464</v>
      </c>
      <c r="C174">
        <v>916817</v>
      </c>
      <c r="D174" s="24">
        <f t="shared" si="0"/>
        <v>654.86928571428575</v>
      </c>
      <c r="E174" s="50">
        <f t="shared" si="3"/>
        <v>1.6037490672222749E-4</v>
      </c>
      <c r="F174" s="51"/>
    </row>
    <row r="175" spans="1:6" ht="15.75" customHeight="1" x14ac:dyDescent="0.25">
      <c r="A175" t="s">
        <v>467</v>
      </c>
      <c r="B175" t="s">
        <v>466</v>
      </c>
      <c r="C175">
        <v>31345117.710000001</v>
      </c>
      <c r="D175" s="24">
        <f t="shared" si="0"/>
        <v>22389.369792857142</v>
      </c>
      <c r="E175" s="50">
        <f t="shared" si="3"/>
        <v>5.4830684083502935E-3</v>
      </c>
      <c r="F175" s="51"/>
    </row>
    <row r="176" spans="1:6" ht="15.75" customHeight="1" x14ac:dyDescent="0.25">
      <c r="A176" t="s">
        <v>469</v>
      </c>
      <c r="B176" t="s">
        <v>468</v>
      </c>
      <c r="C176">
        <v>18607213.84</v>
      </c>
      <c r="D176" s="24">
        <f t="shared" si="0"/>
        <v>13290.867028571429</v>
      </c>
      <c r="E176" s="50">
        <f t="shared" si="3"/>
        <v>3.2548809456527748E-3</v>
      </c>
      <c r="F176" s="51"/>
    </row>
    <row r="177" spans="1:6" ht="15.75" customHeight="1" x14ac:dyDescent="0.25">
      <c r="A177" t="s">
        <v>471</v>
      </c>
      <c r="B177" t="s">
        <v>470</v>
      </c>
      <c r="C177">
        <v>1886650</v>
      </c>
      <c r="D177" s="24">
        <f t="shared" si="0"/>
        <v>1347.6071428571429</v>
      </c>
      <c r="E177" s="50">
        <f t="shared" si="3"/>
        <v>3.3002367731781857E-4</v>
      </c>
      <c r="F177" s="51"/>
    </row>
    <row r="178" spans="1:6" ht="15.75" customHeight="1" x14ac:dyDescent="0.25">
      <c r="A178" t="s">
        <v>473</v>
      </c>
      <c r="B178" t="s">
        <v>472</v>
      </c>
      <c r="C178">
        <v>32256884.210000001</v>
      </c>
      <c r="D178" s="24">
        <f t="shared" si="0"/>
        <v>23040.631578571429</v>
      </c>
      <c r="E178" s="50">
        <f t="shared" si="3"/>
        <v>5.6425598525424838E-3</v>
      </c>
      <c r="F178" s="51"/>
    </row>
    <row r="179" spans="1:6" ht="15.75" customHeight="1" x14ac:dyDescent="0.25">
      <c r="A179" t="s">
        <v>745</v>
      </c>
      <c r="B179" t="s">
        <v>744</v>
      </c>
      <c r="C179">
        <v>3527150</v>
      </c>
      <c r="D179" s="24">
        <f t="shared" si="0"/>
        <v>2519.3928571428573</v>
      </c>
      <c r="E179" s="50">
        <f t="shared" si="3"/>
        <v>6.1698937982749516E-4</v>
      </c>
      <c r="F179" s="51"/>
    </row>
    <row r="180" spans="1:6" ht="15.75" customHeight="1" x14ac:dyDescent="0.25">
      <c r="A180" t="s">
        <v>475</v>
      </c>
      <c r="B180" t="s">
        <v>474</v>
      </c>
      <c r="C180">
        <v>-2698.26</v>
      </c>
      <c r="D180" s="24">
        <f t="shared" si="0"/>
        <v>-1.9273285714285715</v>
      </c>
      <c r="E180" s="50">
        <f t="shared" si="3"/>
        <v>-4.719951700419141E-7</v>
      </c>
      <c r="F180" s="51"/>
    </row>
    <row r="181" spans="1:6" ht="15.75" customHeight="1" x14ac:dyDescent="0.25">
      <c r="A181" t="s">
        <v>477</v>
      </c>
      <c r="B181" t="s">
        <v>476</v>
      </c>
      <c r="C181">
        <v>1750000</v>
      </c>
      <c r="D181" s="24">
        <f t="shared" si="0"/>
        <v>1250</v>
      </c>
      <c r="E181" s="50">
        <f t="shared" si="3"/>
        <v>3.0612007277777144E-4</v>
      </c>
      <c r="F181" s="51"/>
    </row>
    <row r="182" spans="1:6" ht="15.75" customHeight="1" x14ac:dyDescent="0.25">
      <c r="A182" t="s">
        <v>479</v>
      </c>
      <c r="B182" t="s">
        <v>478</v>
      </c>
      <c r="C182">
        <v>10682153.33</v>
      </c>
      <c r="D182" s="24">
        <f t="shared" si="0"/>
        <v>7630.1095214285715</v>
      </c>
      <c r="E182" s="50">
        <f t="shared" si="3"/>
        <v>1.8685837456016649E-3</v>
      </c>
      <c r="F182" s="51"/>
    </row>
    <row r="183" spans="1:6" ht="15.75" customHeight="1" x14ac:dyDescent="0.25">
      <c r="A183" t="s">
        <v>747</v>
      </c>
      <c r="B183" t="s">
        <v>746</v>
      </c>
      <c r="C183">
        <v>733986</v>
      </c>
      <c r="D183" s="24">
        <f t="shared" si="0"/>
        <v>524.27571428571423</v>
      </c>
      <c r="E183" s="50">
        <f t="shared" si="3"/>
        <v>1.2839305585020876E-4</v>
      </c>
      <c r="F183" s="51"/>
    </row>
    <row r="184" spans="1:6" ht="15.75" customHeight="1" x14ac:dyDescent="0.25">
      <c r="A184" t="s">
        <v>481</v>
      </c>
      <c r="B184" t="s">
        <v>480</v>
      </c>
      <c r="C184">
        <v>55777500</v>
      </c>
      <c r="D184" s="24">
        <f t="shared" si="0"/>
        <v>39841.071428571428</v>
      </c>
      <c r="E184" s="50">
        <f t="shared" si="3"/>
        <v>9.7569213482069407E-3</v>
      </c>
      <c r="F184" s="51"/>
    </row>
    <row r="185" spans="1:6" ht="15.75" customHeight="1" x14ac:dyDescent="0.25">
      <c r="A185" t="s">
        <v>483</v>
      </c>
      <c r="B185" t="s">
        <v>482</v>
      </c>
      <c r="C185">
        <v>52572169.619999997</v>
      </c>
      <c r="D185" s="24">
        <f t="shared" si="0"/>
        <v>37551.54972857143</v>
      </c>
      <c r="E185" s="50">
        <f t="shared" si="3"/>
        <v>9.196226508662711E-3</v>
      </c>
      <c r="F185" s="51"/>
    </row>
    <row r="186" spans="1:6" ht="15.75" customHeight="1" x14ac:dyDescent="0.25">
      <c r="A186" t="s">
        <v>485</v>
      </c>
      <c r="B186" t="s">
        <v>484</v>
      </c>
      <c r="C186">
        <v>18956160.079999998</v>
      </c>
      <c r="D186" s="24">
        <f t="shared" si="0"/>
        <v>13540.114342857141</v>
      </c>
      <c r="E186" s="50">
        <f t="shared" si="3"/>
        <v>3.3159206304438204E-3</v>
      </c>
      <c r="F186" s="51"/>
    </row>
    <row r="187" spans="1:6" ht="15.75" customHeight="1" x14ac:dyDescent="0.25">
      <c r="A187" t="s">
        <v>487</v>
      </c>
      <c r="B187" t="s">
        <v>486</v>
      </c>
      <c r="C187">
        <v>2081515.94</v>
      </c>
      <c r="D187" s="24">
        <f t="shared" si="0"/>
        <v>1486.7971</v>
      </c>
      <c r="E187" s="50">
        <f t="shared" si="3"/>
        <v>3.6411074916622364E-4</v>
      </c>
      <c r="F187" s="51"/>
    </row>
    <row r="188" spans="1:6" ht="15.75" customHeight="1" x14ac:dyDescent="0.25">
      <c r="A188" t="s">
        <v>489</v>
      </c>
      <c r="B188" t="s">
        <v>488</v>
      </c>
      <c r="C188">
        <v>13151812.220000001</v>
      </c>
      <c r="D188" s="24">
        <f t="shared" si="0"/>
        <v>9394.1515857142858</v>
      </c>
      <c r="E188" s="50">
        <f t="shared" si="3"/>
        <v>2.3005906936834197E-3</v>
      </c>
      <c r="F188" s="51"/>
    </row>
    <row r="189" spans="1:6" ht="15.75" customHeight="1" x14ac:dyDescent="0.25">
      <c r="A189" t="s">
        <v>491</v>
      </c>
      <c r="B189" t="s">
        <v>490</v>
      </c>
      <c r="C189">
        <v>3540557.83</v>
      </c>
      <c r="D189" s="24">
        <f t="shared" si="0"/>
        <v>2528.9698785714286</v>
      </c>
      <c r="E189" s="50">
        <f t="shared" si="3"/>
        <v>6.1933475462486209E-4</v>
      </c>
      <c r="F189" s="51"/>
    </row>
    <row r="190" spans="1:6" ht="15.75" customHeight="1" x14ac:dyDescent="0.25">
      <c r="A190" t="s">
        <v>493</v>
      </c>
      <c r="B190" t="s">
        <v>492</v>
      </c>
      <c r="C190">
        <v>17199750</v>
      </c>
      <c r="D190" s="24">
        <f t="shared" si="0"/>
        <v>12285.535714285714</v>
      </c>
      <c r="E190" s="50">
        <f t="shared" si="3"/>
        <v>3.0086792695768424E-3</v>
      </c>
      <c r="F190" s="51"/>
    </row>
    <row r="191" spans="1:6" ht="15.75" customHeight="1" x14ac:dyDescent="0.25">
      <c r="A191" t="s">
        <v>495</v>
      </c>
      <c r="B191" t="s">
        <v>494</v>
      </c>
      <c r="C191">
        <v>724029.73</v>
      </c>
      <c r="D191" s="24">
        <f t="shared" si="0"/>
        <v>517.1640928571428</v>
      </c>
      <c r="E191" s="50">
        <f t="shared" si="3"/>
        <v>1.2665144779478297E-4</v>
      </c>
      <c r="F191" s="51"/>
    </row>
    <row r="192" spans="1:6" ht="15.75" customHeight="1" x14ac:dyDescent="0.25">
      <c r="A192" t="s">
        <v>749</v>
      </c>
      <c r="B192" t="s">
        <v>748</v>
      </c>
      <c r="C192">
        <v>395670</v>
      </c>
      <c r="D192" s="24">
        <f t="shared" si="0"/>
        <v>282.62142857142857</v>
      </c>
      <c r="E192" s="50">
        <f t="shared" si="3"/>
        <v>6.9212873826274754E-5</v>
      </c>
      <c r="F192" s="51"/>
    </row>
    <row r="193" spans="1:6" ht="15.75" customHeight="1" x14ac:dyDescent="0.25">
      <c r="A193" t="s">
        <v>751</v>
      </c>
      <c r="B193" t="s">
        <v>750</v>
      </c>
      <c r="C193">
        <v>7826658.7400000002</v>
      </c>
      <c r="D193" s="24">
        <f t="shared" si="0"/>
        <v>5590.470528571429</v>
      </c>
      <c r="E193" s="50">
        <f t="shared" si="3"/>
        <v>1.3690841960546176E-3</v>
      </c>
      <c r="F193" s="51"/>
    </row>
    <row r="194" spans="1:6" ht="15.75" customHeight="1" x14ac:dyDescent="0.25">
      <c r="A194" t="s">
        <v>497</v>
      </c>
      <c r="B194" t="s">
        <v>496</v>
      </c>
      <c r="C194">
        <v>9364916</v>
      </c>
      <c r="D194" s="24">
        <f t="shared" si="0"/>
        <v>6689.2257142857143</v>
      </c>
      <c r="E194" s="50">
        <f t="shared" si="3"/>
        <v>1.6381650099872665E-3</v>
      </c>
      <c r="F194" s="51"/>
    </row>
    <row r="195" spans="1:6" ht="15.75" customHeight="1" x14ac:dyDescent="0.25">
      <c r="A195" t="s">
        <v>499</v>
      </c>
      <c r="B195" t="s">
        <v>498</v>
      </c>
      <c r="C195">
        <v>5422248.3799999999</v>
      </c>
      <c r="D195" s="24">
        <f t="shared" si="0"/>
        <v>3873.034557142857</v>
      </c>
      <c r="E195" s="50">
        <f t="shared" si="3"/>
        <v>9.4849089640271613E-4</v>
      </c>
      <c r="F195" s="51"/>
    </row>
    <row r="196" spans="1:6" ht="15.75" customHeight="1" x14ac:dyDescent="0.25">
      <c r="A196" t="s">
        <v>753</v>
      </c>
      <c r="B196" t="s">
        <v>752</v>
      </c>
      <c r="C196">
        <v>1000000</v>
      </c>
      <c r="D196" s="24">
        <f t="shared" si="0"/>
        <v>714.28571428571433</v>
      </c>
      <c r="E196" s="50">
        <f t="shared" si="3"/>
        <v>1.7492575587301225E-4</v>
      </c>
      <c r="F196" s="51"/>
    </row>
    <row r="197" spans="1:6" ht="15.75" customHeight="1" x14ac:dyDescent="0.25">
      <c r="A197" t="s">
        <v>501</v>
      </c>
      <c r="B197" t="s">
        <v>500</v>
      </c>
      <c r="C197">
        <v>15570570.5</v>
      </c>
      <c r="D197" s="24">
        <f t="shared" si="0"/>
        <v>11121.836071428572</v>
      </c>
      <c r="E197" s="50">
        <f t="shared" ref="E197:E260" si="4">IFERROR(C197/SUM($C$5:$C$260),0)</f>
        <v>2.7236938140865266E-3</v>
      </c>
      <c r="F197" s="51"/>
    </row>
    <row r="198" spans="1:6" ht="15.75" customHeight="1" x14ac:dyDescent="0.25">
      <c r="A198" t="s">
        <v>755</v>
      </c>
      <c r="B198" t="s">
        <v>754</v>
      </c>
      <c r="C198">
        <v>144499.99</v>
      </c>
      <c r="D198" s="24">
        <f t="shared" si="0"/>
        <v>103.21427857142857</v>
      </c>
      <c r="E198" s="50">
        <f t="shared" si="4"/>
        <v>2.527676997439271E-5</v>
      </c>
      <c r="F198" s="51"/>
    </row>
    <row r="199" spans="1:6" ht="15.75" customHeight="1" x14ac:dyDescent="0.25">
      <c r="A199" t="s">
        <v>503</v>
      </c>
      <c r="B199" t="s">
        <v>502</v>
      </c>
      <c r="C199">
        <v>13467900.16</v>
      </c>
      <c r="D199" s="24">
        <f t="shared" si="0"/>
        <v>9619.9286857142852</v>
      </c>
      <c r="E199" s="50">
        <f t="shared" si="4"/>
        <v>2.3558826155102627E-3</v>
      </c>
      <c r="F199" s="51"/>
    </row>
    <row r="200" spans="1:6" ht="15.75" customHeight="1" x14ac:dyDescent="0.25">
      <c r="A200" t="s">
        <v>505</v>
      </c>
      <c r="B200" t="s">
        <v>504</v>
      </c>
      <c r="C200">
        <v>3182300</v>
      </c>
      <c r="D200" s="24">
        <f t="shared" si="0"/>
        <v>2273.0714285714284</v>
      </c>
      <c r="E200" s="50">
        <f t="shared" si="4"/>
        <v>5.5666623291468693E-4</v>
      </c>
      <c r="F200" s="51"/>
    </row>
    <row r="201" spans="1:6" ht="15.75" customHeight="1" x14ac:dyDescent="0.25">
      <c r="A201" t="s">
        <v>507</v>
      </c>
      <c r="B201" t="s">
        <v>506</v>
      </c>
      <c r="C201">
        <v>2560211.65</v>
      </c>
      <c r="D201" s="24">
        <f t="shared" si="0"/>
        <v>1828.722607142857</v>
      </c>
      <c r="E201" s="50">
        <f t="shared" si="4"/>
        <v>4.4784695807114191E-4</v>
      </c>
      <c r="F201" s="51"/>
    </row>
    <row r="202" spans="1:6" ht="15.75" customHeight="1" x14ac:dyDescent="0.25">
      <c r="A202" t="s">
        <v>509</v>
      </c>
      <c r="B202" t="s">
        <v>508</v>
      </c>
      <c r="C202">
        <v>143199.87</v>
      </c>
      <c r="D202" s="24">
        <f t="shared" si="0"/>
        <v>102.28562142857143</v>
      </c>
      <c r="E202" s="50">
        <f t="shared" si="4"/>
        <v>2.5049345500667091E-5</v>
      </c>
      <c r="F202" s="51"/>
    </row>
    <row r="203" spans="1:6" ht="15.75" customHeight="1" x14ac:dyDescent="0.25">
      <c r="A203" t="s">
        <v>511</v>
      </c>
      <c r="B203" t="s">
        <v>510</v>
      </c>
      <c r="C203">
        <v>16855300</v>
      </c>
      <c r="D203" s="24">
        <f t="shared" si="0"/>
        <v>12039.5</v>
      </c>
      <c r="E203" s="50">
        <f t="shared" si="4"/>
        <v>2.9484260929663834E-3</v>
      </c>
      <c r="F203" s="51"/>
    </row>
    <row r="204" spans="1:6" ht="15.75" customHeight="1" x14ac:dyDescent="0.25">
      <c r="A204" t="s">
        <v>513</v>
      </c>
      <c r="B204" t="s">
        <v>512</v>
      </c>
      <c r="C204">
        <v>1020600</v>
      </c>
      <c r="D204" s="24">
        <f t="shared" si="0"/>
        <v>729</v>
      </c>
      <c r="E204" s="50">
        <f t="shared" si="4"/>
        <v>1.7852922644399631E-4</v>
      </c>
      <c r="F204" s="51"/>
    </row>
    <row r="205" spans="1:6" ht="15.75" customHeight="1" x14ac:dyDescent="0.25">
      <c r="A205" t="s">
        <v>515</v>
      </c>
      <c r="B205" t="s">
        <v>514</v>
      </c>
      <c r="C205">
        <v>17693998</v>
      </c>
      <c r="D205" s="24">
        <f t="shared" si="0"/>
        <v>12638.57</v>
      </c>
      <c r="E205" s="50">
        <f t="shared" si="4"/>
        <v>3.0951359745655673E-3</v>
      </c>
      <c r="F205" s="51"/>
    </row>
    <row r="206" spans="1:6" ht="15.75" customHeight="1" x14ac:dyDescent="0.25">
      <c r="A206" t="s">
        <v>517</v>
      </c>
      <c r="B206" t="s">
        <v>516</v>
      </c>
      <c r="C206">
        <v>3584279.55</v>
      </c>
      <c r="D206" s="24">
        <f t="shared" si="0"/>
        <v>2560.1996785714286</v>
      </c>
      <c r="E206" s="50">
        <f t="shared" si="4"/>
        <v>6.2698280954393015E-4</v>
      </c>
      <c r="F206" s="51"/>
    </row>
    <row r="207" spans="1:6" ht="15.75" customHeight="1" x14ac:dyDescent="0.25">
      <c r="A207" t="s">
        <v>519</v>
      </c>
      <c r="B207" t="s">
        <v>518</v>
      </c>
      <c r="C207">
        <v>3293422</v>
      </c>
      <c r="D207" s="24">
        <f t="shared" si="0"/>
        <v>2352.4442857142858</v>
      </c>
      <c r="E207" s="50">
        <f t="shared" si="4"/>
        <v>5.7610433275880773E-4</v>
      </c>
      <c r="F207" s="51"/>
    </row>
    <row r="208" spans="1:6" ht="15.75" customHeight="1" x14ac:dyDescent="0.25">
      <c r="A208" t="s">
        <v>521</v>
      </c>
      <c r="B208" t="s">
        <v>520</v>
      </c>
      <c r="C208">
        <v>8422034.7799999993</v>
      </c>
      <c r="D208" s="24">
        <f t="shared" si="0"/>
        <v>6015.7391285714284</v>
      </c>
      <c r="E208" s="50">
        <f t="shared" si="4"/>
        <v>1.4732307998802984E-3</v>
      </c>
      <c r="F208" s="51"/>
    </row>
    <row r="209" spans="1:6" ht="15.75" customHeight="1" x14ac:dyDescent="0.25">
      <c r="A209" t="s">
        <v>523</v>
      </c>
      <c r="B209" t="s">
        <v>522</v>
      </c>
      <c r="C209">
        <v>1074310</v>
      </c>
      <c r="D209" s="24">
        <f t="shared" si="0"/>
        <v>767.36428571428576</v>
      </c>
      <c r="E209" s="50">
        <f t="shared" si="4"/>
        <v>1.8792448879193579E-4</v>
      </c>
      <c r="F209" s="51"/>
    </row>
    <row r="210" spans="1:6" ht="15.75" customHeight="1" x14ac:dyDescent="0.25">
      <c r="A210" t="s">
        <v>525</v>
      </c>
      <c r="B210" t="s">
        <v>524</v>
      </c>
      <c r="C210">
        <v>4460150.75</v>
      </c>
      <c r="D210" s="24">
        <f t="shared" si="0"/>
        <v>3185.8219642857143</v>
      </c>
      <c r="E210" s="50">
        <f t="shared" si="4"/>
        <v>7.8019524125133252E-4</v>
      </c>
      <c r="F210" s="51"/>
    </row>
    <row r="211" spans="1:6" ht="15.75" customHeight="1" x14ac:dyDescent="0.25">
      <c r="A211" t="s">
        <v>527</v>
      </c>
      <c r="B211" t="s">
        <v>526</v>
      </c>
      <c r="C211">
        <v>1271600</v>
      </c>
      <c r="D211" s="24">
        <f t="shared" si="0"/>
        <v>908.28571428571433</v>
      </c>
      <c r="E211" s="50">
        <f t="shared" si="4"/>
        <v>2.224355911681224E-4</v>
      </c>
      <c r="F211" s="51"/>
    </row>
    <row r="212" spans="1:6" ht="15.75" customHeight="1" x14ac:dyDescent="0.25">
      <c r="A212" t="s">
        <v>529</v>
      </c>
      <c r="B212" t="s">
        <v>528</v>
      </c>
      <c r="C212">
        <v>925630.69</v>
      </c>
      <c r="D212" s="24">
        <f t="shared" si="0"/>
        <v>661.16477857142854</v>
      </c>
      <c r="E212" s="50">
        <f t="shared" si="4"/>
        <v>1.6191664810750789E-4</v>
      </c>
      <c r="F212" s="51"/>
    </row>
    <row r="213" spans="1:6" ht="15.75" customHeight="1" x14ac:dyDescent="0.25">
      <c r="A213" t="s">
        <v>757</v>
      </c>
      <c r="B213" t="s">
        <v>756</v>
      </c>
      <c r="C213">
        <v>248261.75</v>
      </c>
      <c r="D213" s="24">
        <f t="shared" si="0"/>
        <v>177.32982142857142</v>
      </c>
      <c r="E213" s="50">
        <f t="shared" si="4"/>
        <v>4.3427374273106799E-5</v>
      </c>
      <c r="F213" s="51"/>
    </row>
    <row r="214" spans="1:6" ht="15.75" customHeight="1" x14ac:dyDescent="0.25">
      <c r="A214" t="s">
        <v>531</v>
      </c>
      <c r="B214" t="s">
        <v>530</v>
      </c>
      <c r="C214">
        <v>308126.71999999997</v>
      </c>
      <c r="D214" s="24">
        <f t="shared" si="0"/>
        <v>220.09051428571428</v>
      </c>
      <c r="E214" s="50">
        <f t="shared" si="4"/>
        <v>5.3899299400672E-5</v>
      </c>
      <c r="F214" s="51"/>
    </row>
    <row r="215" spans="1:6" ht="15.75" customHeight="1" x14ac:dyDescent="0.25">
      <c r="A215" t="s">
        <v>533</v>
      </c>
      <c r="B215" t="s">
        <v>532</v>
      </c>
      <c r="C215">
        <v>48990000</v>
      </c>
      <c r="D215" s="24">
        <f t="shared" si="0"/>
        <v>34992.857142857145</v>
      </c>
      <c r="E215" s="50">
        <f t="shared" si="4"/>
        <v>8.5696127802188712E-3</v>
      </c>
      <c r="F215" s="51"/>
    </row>
    <row r="216" spans="1:6" ht="15.75" customHeight="1" x14ac:dyDescent="0.25">
      <c r="A216" t="s">
        <v>535</v>
      </c>
      <c r="B216" t="s">
        <v>534</v>
      </c>
      <c r="C216">
        <v>8115779.6100000003</v>
      </c>
      <c r="D216" s="24">
        <f t="shared" si="0"/>
        <v>5796.9854357142858</v>
      </c>
      <c r="E216" s="50">
        <f t="shared" si="4"/>
        <v>1.4196588827780307E-3</v>
      </c>
      <c r="F216" s="51"/>
    </row>
    <row r="217" spans="1:6" ht="15.75" customHeight="1" x14ac:dyDescent="0.25">
      <c r="A217" t="s">
        <v>759</v>
      </c>
      <c r="B217" t="s">
        <v>758</v>
      </c>
      <c r="C217">
        <v>668261.64</v>
      </c>
      <c r="D217" s="24">
        <f t="shared" si="0"/>
        <v>477.32974285714289</v>
      </c>
      <c r="E217" s="50">
        <f t="shared" si="4"/>
        <v>1.1689617249793881E-4</v>
      </c>
      <c r="F217" s="51"/>
    </row>
    <row r="218" spans="1:6" ht="15.75" customHeight="1" x14ac:dyDescent="0.25">
      <c r="A218" t="s">
        <v>537</v>
      </c>
      <c r="B218" t="s">
        <v>536</v>
      </c>
      <c r="C218">
        <v>8034400</v>
      </c>
      <c r="D218" s="24">
        <f t="shared" si="0"/>
        <v>5738.8571428571431</v>
      </c>
      <c r="E218" s="50">
        <f t="shared" si="4"/>
        <v>1.4054234929861296E-3</v>
      </c>
      <c r="F218" s="51"/>
    </row>
    <row r="219" spans="1:6" ht="15.75" customHeight="1" x14ac:dyDescent="0.25">
      <c r="A219" t="s">
        <v>539</v>
      </c>
      <c r="B219" t="s">
        <v>538</v>
      </c>
      <c r="C219">
        <v>11105380</v>
      </c>
      <c r="D219" s="24">
        <f t="shared" si="0"/>
        <v>7932.4142857142861</v>
      </c>
      <c r="E219" s="50">
        <f t="shared" si="4"/>
        <v>1.9426169907570329E-3</v>
      </c>
      <c r="F219" s="51"/>
    </row>
    <row r="220" spans="1:6" ht="15.75" customHeight="1" x14ac:dyDescent="0.25">
      <c r="A220" t="s">
        <v>761</v>
      </c>
      <c r="B220" t="s">
        <v>760</v>
      </c>
      <c r="C220">
        <v>33011550</v>
      </c>
      <c r="D220" s="24">
        <f t="shared" si="0"/>
        <v>23579.678571428572</v>
      </c>
      <c r="E220" s="50">
        <f t="shared" si="4"/>
        <v>5.7745703362897379E-3</v>
      </c>
      <c r="F220" s="51"/>
    </row>
    <row r="221" spans="1:6" ht="15.75" customHeight="1" x14ac:dyDescent="0.25">
      <c r="A221" t="s">
        <v>541</v>
      </c>
      <c r="B221" t="s">
        <v>540</v>
      </c>
      <c r="C221">
        <v>25876207.34</v>
      </c>
      <c r="D221" s="24">
        <f t="shared" si="0"/>
        <v>18483.005242857143</v>
      </c>
      <c r="E221" s="50">
        <f t="shared" si="4"/>
        <v>4.5264151280762881E-3</v>
      </c>
      <c r="F221" s="51"/>
    </row>
    <row r="222" spans="1:6" ht="15.75" customHeight="1" x14ac:dyDescent="0.25">
      <c r="A222" t="s">
        <v>763</v>
      </c>
      <c r="B222" t="s">
        <v>762</v>
      </c>
      <c r="C222">
        <v>1900000</v>
      </c>
      <c r="D222" s="24">
        <f t="shared" si="0"/>
        <v>1357.1428571428571</v>
      </c>
      <c r="E222" s="50">
        <f t="shared" si="4"/>
        <v>3.3235893615872329E-4</v>
      </c>
      <c r="F222" s="51"/>
    </row>
    <row r="223" spans="1:6" ht="15.75" customHeight="1" x14ac:dyDescent="0.25">
      <c r="A223" t="s">
        <v>543</v>
      </c>
      <c r="B223" t="s">
        <v>542</v>
      </c>
      <c r="C223">
        <v>1331</v>
      </c>
      <c r="D223" s="24">
        <f t="shared" si="0"/>
        <v>0.95071428571428573</v>
      </c>
      <c r="E223" s="50">
        <f t="shared" si="4"/>
        <v>2.3282618106697931E-7</v>
      </c>
      <c r="F223" s="51"/>
    </row>
    <row r="224" spans="1:6" ht="15.75" customHeight="1" x14ac:dyDescent="0.25">
      <c r="A224" t="s">
        <v>545</v>
      </c>
      <c r="B224" t="s">
        <v>544</v>
      </c>
      <c r="C224">
        <v>2149249.9300000002</v>
      </c>
      <c r="D224" s="24">
        <f t="shared" si="0"/>
        <v>1535.1785214285715</v>
      </c>
      <c r="E224" s="50">
        <f t="shared" si="4"/>
        <v>3.7595916856526871E-4</v>
      </c>
      <c r="F224" s="51"/>
    </row>
    <row r="225" spans="1:6" ht="15.75" customHeight="1" x14ac:dyDescent="0.25">
      <c r="A225" t="s">
        <v>547</v>
      </c>
      <c r="B225" t="s">
        <v>546</v>
      </c>
      <c r="C225">
        <v>4089800</v>
      </c>
      <c r="D225" s="24">
        <f t="shared" si="0"/>
        <v>2921.2857142857142</v>
      </c>
      <c r="E225" s="50">
        <f t="shared" si="4"/>
        <v>7.1541135636944556E-4</v>
      </c>
      <c r="F225" s="51"/>
    </row>
    <row r="226" spans="1:6" ht="15.75" customHeight="1" x14ac:dyDescent="0.25">
      <c r="A226" t="s">
        <v>765</v>
      </c>
      <c r="B226" t="s">
        <v>764</v>
      </c>
      <c r="C226">
        <v>556600</v>
      </c>
      <c r="D226" s="24">
        <f t="shared" si="0"/>
        <v>397.57142857142856</v>
      </c>
      <c r="E226" s="50">
        <f t="shared" si="4"/>
        <v>9.7363675718918627E-5</v>
      </c>
      <c r="F226" s="51"/>
    </row>
    <row r="227" spans="1:6" ht="15.75" customHeight="1" x14ac:dyDescent="0.25">
      <c r="A227" t="s">
        <v>549</v>
      </c>
      <c r="B227" t="s">
        <v>548</v>
      </c>
      <c r="C227">
        <v>20502022</v>
      </c>
      <c r="D227" s="24">
        <f t="shared" si="0"/>
        <v>14644.301428571429</v>
      </c>
      <c r="E227" s="50">
        <f t="shared" si="4"/>
        <v>3.5863316952751264E-3</v>
      </c>
      <c r="F227" s="51"/>
    </row>
    <row r="228" spans="1:6" ht="15.75" customHeight="1" x14ac:dyDescent="0.25">
      <c r="A228" t="s">
        <v>551</v>
      </c>
      <c r="B228" t="s">
        <v>550</v>
      </c>
      <c r="C228">
        <v>209215.09</v>
      </c>
      <c r="D228" s="24">
        <f t="shared" si="0"/>
        <v>149.43934999999999</v>
      </c>
      <c r="E228" s="50">
        <f t="shared" si="4"/>
        <v>3.6597107758290289E-5</v>
      </c>
      <c r="F228" s="51"/>
    </row>
    <row r="229" spans="1:6" ht="15.75" customHeight="1" x14ac:dyDescent="0.25">
      <c r="A229" t="s">
        <v>767</v>
      </c>
      <c r="B229" t="s">
        <v>766</v>
      </c>
      <c r="C229">
        <v>2332776.96</v>
      </c>
      <c r="D229" s="24">
        <f t="shared" si="0"/>
        <v>1666.2692571428572</v>
      </c>
      <c r="E229" s="50">
        <f t="shared" si="4"/>
        <v>4.0806277301114766E-4</v>
      </c>
      <c r="F229" s="51"/>
    </row>
    <row r="230" spans="1:6" ht="15.75" customHeight="1" x14ac:dyDescent="0.25">
      <c r="A230" t="s">
        <v>553</v>
      </c>
      <c r="B230" t="s">
        <v>552</v>
      </c>
      <c r="C230">
        <v>94650</v>
      </c>
      <c r="D230" s="24">
        <f t="shared" si="0"/>
        <v>67.607142857142861</v>
      </c>
      <c r="E230" s="50">
        <f t="shared" si="4"/>
        <v>1.655672279338061E-5</v>
      </c>
      <c r="F230" s="51"/>
    </row>
    <row r="231" spans="1:6" ht="15.75" customHeight="1" x14ac:dyDescent="0.25">
      <c r="A231" t="s">
        <v>555</v>
      </c>
      <c r="B231" t="s">
        <v>554</v>
      </c>
      <c r="C231">
        <v>5454380.2699999996</v>
      </c>
      <c r="D231" s="24">
        <f t="shared" si="0"/>
        <v>3895.9859071428568</v>
      </c>
      <c r="E231" s="50">
        <f t="shared" si="4"/>
        <v>9.5411159154859461E-4</v>
      </c>
      <c r="F231" s="51"/>
    </row>
    <row r="232" spans="1:6" ht="15.75" customHeight="1" x14ac:dyDescent="0.25">
      <c r="A232" t="s">
        <v>557</v>
      </c>
      <c r="B232" t="s">
        <v>556</v>
      </c>
      <c r="C232">
        <v>7263780</v>
      </c>
      <c r="D232" s="24">
        <f t="shared" si="0"/>
        <v>5188.4142857142861</v>
      </c>
      <c r="E232" s="50">
        <f t="shared" si="4"/>
        <v>1.2706222069952689E-3</v>
      </c>
      <c r="F232" s="51"/>
    </row>
    <row r="233" spans="1:6" ht="15.75" customHeight="1" x14ac:dyDescent="0.25">
      <c r="A233" t="s">
        <v>769</v>
      </c>
      <c r="B233" t="s">
        <v>768</v>
      </c>
      <c r="C233">
        <v>1445042.13</v>
      </c>
      <c r="D233" s="24">
        <f t="shared" si="0"/>
        <v>1032.1729499999999</v>
      </c>
      <c r="E233" s="50">
        <f t="shared" si="4"/>
        <v>2.5277508685859763E-4</v>
      </c>
      <c r="F233" s="51"/>
    </row>
    <row r="234" spans="1:6" ht="15.75" customHeight="1" x14ac:dyDescent="0.25">
      <c r="A234" t="s">
        <v>559</v>
      </c>
      <c r="B234" t="s">
        <v>558</v>
      </c>
      <c r="C234">
        <v>830000</v>
      </c>
      <c r="D234" s="24">
        <f t="shared" si="0"/>
        <v>592.85714285714289</v>
      </c>
      <c r="E234" s="50">
        <f t="shared" si="4"/>
        <v>1.4518837737460016E-4</v>
      </c>
      <c r="F234" s="51"/>
    </row>
    <row r="235" spans="1:6" ht="15.75" customHeight="1" x14ac:dyDescent="0.25">
      <c r="A235" t="s">
        <v>561</v>
      </c>
      <c r="B235" t="s">
        <v>560</v>
      </c>
      <c r="C235">
        <v>2225209</v>
      </c>
      <c r="D235" s="24">
        <f t="shared" si="0"/>
        <v>1589.4349999999999</v>
      </c>
      <c r="E235" s="50">
        <f t="shared" si="4"/>
        <v>3.8924636630042971E-4</v>
      </c>
      <c r="F235" s="51"/>
    </row>
    <row r="236" spans="1:6" ht="15.75" customHeight="1" x14ac:dyDescent="0.25">
      <c r="A236" t="s">
        <v>563</v>
      </c>
      <c r="B236" t="s">
        <v>562</v>
      </c>
      <c r="C236">
        <v>-0.01</v>
      </c>
      <c r="D236" s="24">
        <f t="shared" si="0"/>
        <v>-7.1428571428571427E-6</v>
      </c>
      <c r="E236" s="50">
        <f t="shared" si="4"/>
        <v>-1.7492575587301225E-12</v>
      </c>
      <c r="F236" s="51"/>
    </row>
    <row r="237" spans="1:6" ht="15.75" customHeight="1" x14ac:dyDescent="0.25">
      <c r="A237" t="s">
        <v>565</v>
      </c>
      <c r="B237" t="s">
        <v>564</v>
      </c>
      <c r="C237">
        <v>2009931</v>
      </c>
      <c r="D237" s="24">
        <f t="shared" si="0"/>
        <v>1435.665</v>
      </c>
      <c r="E237" s="50">
        <f t="shared" si="4"/>
        <v>3.515886994275994E-4</v>
      </c>
      <c r="F237" s="51"/>
    </row>
    <row r="238" spans="1:6" ht="15.75" customHeight="1" x14ac:dyDescent="0.25">
      <c r="A238" t="s">
        <v>771</v>
      </c>
      <c r="B238" t="s">
        <v>770</v>
      </c>
      <c r="C238">
        <v>193600</v>
      </c>
      <c r="D238" s="24">
        <f t="shared" si="0"/>
        <v>138.28571428571428</v>
      </c>
      <c r="E238" s="50">
        <f t="shared" si="4"/>
        <v>3.3865626337015173E-5</v>
      </c>
      <c r="F238" s="51"/>
    </row>
    <row r="239" spans="1:6" ht="15.75" customHeight="1" x14ac:dyDescent="0.25">
      <c r="A239" t="s">
        <v>567</v>
      </c>
      <c r="B239" t="s">
        <v>566</v>
      </c>
      <c r="C239">
        <v>8905600</v>
      </c>
      <c r="D239" s="24">
        <f t="shared" si="0"/>
        <v>6361.1428571428569</v>
      </c>
      <c r="E239" s="50">
        <f t="shared" si="4"/>
        <v>1.557818811502698E-3</v>
      </c>
      <c r="F239" s="51"/>
    </row>
    <row r="240" spans="1:6" ht="15.75" customHeight="1" x14ac:dyDescent="0.25">
      <c r="A240" t="s">
        <v>773</v>
      </c>
      <c r="B240" t="s">
        <v>772</v>
      </c>
      <c r="C240">
        <v>6077500</v>
      </c>
      <c r="D240" s="24">
        <f t="shared" si="0"/>
        <v>4341.0714285714284</v>
      </c>
      <c r="E240" s="50">
        <f t="shared" si="4"/>
        <v>1.063111281318232E-3</v>
      </c>
      <c r="F240" s="51"/>
    </row>
    <row r="241" spans="1:6" ht="15.75" customHeight="1" x14ac:dyDescent="0.25">
      <c r="A241" t="s">
        <v>569</v>
      </c>
      <c r="B241" t="s">
        <v>568</v>
      </c>
      <c r="C241">
        <v>12821563.85</v>
      </c>
      <c r="D241" s="24">
        <f t="shared" si="0"/>
        <v>9158.2598928571424</v>
      </c>
      <c r="E241" s="50">
        <f t="shared" si="4"/>
        <v>2.242821747935339E-3</v>
      </c>
      <c r="F241" s="51"/>
    </row>
    <row r="242" spans="1:6" ht="15.75" customHeight="1" x14ac:dyDescent="0.25">
      <c r="A242" t="s">
        <v>775</v>
      </c>
      <c r="B242" t="s">
        <v>774</v>
      </c>
      <c r="C242">
        <v>2825118.48</v>
      </c>
      <c r="D242" s="24">
        <f t="shared" si="0"/>
        <v>2017.9417714285714</v>
      </c>
      <c r="E242" s="50">
        <f t="shared" si="4"/>
        <v>4.9418598554481542E-4</v>
      </c>
      <c r="F242" s="51"/>
    </row>
    <row r="243" spans="1:6" ht="15.75" customHeight="1" x14ac:dyDescent="0.25">
      <c r="A243" t="s">
        <v>571</v>
      </c>
      <c r="B243" t="s">
        <v>570</v>
      </c>
      <c r="C243">
        <v>3824713.2</v>
      </c>
      <c r="D243" s="24">
        <f t="shared" si="0"/>
        <v>2731.9380000000001</v>
      </c>
      <c r="E243" s="50">
        <f t="shared" si="4"/>
        <v>6.6904084750748756E-4</v>
      </c>
      <c r="F243" s="51"/>
    </row>
    <row r="244" spans="1:6" ht="15.75" customHeight="1" x14ac:dyDescent="0.25">
      <c r="A244" t="s">
        <v>573</v>
      </c>
      <c r="B244" t="s">
        <v>572</v>
      </c>
      <c r="C244">
        <v>-653801.14</v>
      </c>
      <c r="D244" s="24">
        <f t="shared" si="0"/>
        <v>-467.00081428571428</v>
      </c>
      <c r="E244" s="50">
        <f t="shared" si="4"/>
        <v>-1.1436665860513711E-4</v>
      </c>
      <c r="F244" s="51"/>
    </row>
    <row r="245" spans="1:6" ht="15.75" customHeight="1" x14ac:dyDescent="0.25">
      <c r="A245" t="s">
        <v>777</v>
      </c>
      <c r="B245" t="s">
        <v>776</v>
      </c>
      <c r="C245">
        <v>969400.17</v>
      </c>
      <c r="D245" s="24">
        <f t="shared" si="0"/>
        <v>692.42869285714289</v>
      </c>
      <c r="E245" s="50">
        <f t="shared" si="4"/>
        <v>1.6957305748067659E-4</v>
      </c>
      <c r="F245" s="51"/>
    </row>
    <row r="246" spans="1:6" ht="15.75" customHeight="1" x14ac:dyDescent="0.25">
      <c r="A246" t="s">
        <v>575</v>
      </c>
      <c r="B246" t="s">
        <v>574</v>
      </c>
      <c r="C246">
        <v>564523.07999999996</v>
      </c>
      <c r="D246" s="24">
        <f t="shared" si="0"/>
        <v>403.23077142857142</v>
      </c>
      <c r="E246" s="50">
        <f t="shared" si="4"/>
        <v>9.8749626476760956E-5</v>
      </c>
      <c r="F246" s="51"/>
    </row>
    <row r="247" spans="1:6" ht="15.75" customHeight="1" x14ac:dyDescent="0.25">
      <c r="A247" t="s">
        <v>577</v>
      </c>
      <c r="B247" t="s">
        <v>576</v>
      </c>
      <c r="C247">
        <v>93996825.709999993</v>
      </c>
      <c r="D247" s="24">
        <f t="shared" si="0"/>
        <v>67140.589792857136</v>
      </c>
      <c r="E247" s="50">
        <f t="shared" si="4"/>
        <v>1.6442465786985543E-2</v>
      </c>
      <c r="F247" s="51"/>
    </row>
    <row r="248" spans="1:6" ht="15.75" customHeight="1" x14ac:dyDescent="0.25">
      <c r="A248" t="s">
        <v>579</v>
      </c>
      <c r="B248" t="s">
        <v>578</v>
      </c>
      <c r="C248">
        <v>787623.42</v>
      </c>
      <c r="D248" s="24">
        <f t="shared" si="0"/>
        <v>562.5881571428572</v>
      </c>
      <c r="E248" s="50">
        <f t="shared" si="4"/>
        <v>1.3777562208678701E-4</v>
      </c>
      <c r="F248" s="51"/>
    </row>
    <row r="249" spans="1:6" ht="15.75" customHeight="1" x14ac:dyDescent="0.25">
      <c r="A249" t="s">
        <v>581</v>
      </c>
      <c r="B249" t="s">
        <v>580</v>
      </c>
      <c r="C249">
        <v>16607798.4</v>
      </c>
      <c r="D249" s="24">
        <f t="shared" ref="D249:D260" si="5">IFERROR(C249/$D$3,0)</f>
        <v>11862.713142857143</v>
      </c>
      <c r="E249" s="50">
        <f t="shared" si="4"/>
        <v>2.9051316885066038E-3</v>
      </c>
      <c r="F249" s="51"/>
    </row>
    <row r="250" spans="1:6" ht="15.75" customHeight="1" x14ac:dyDescent="0.25">
      <c r="A250" t="s">
        <v>779</v>
      </c>
      <c r="B250" t="s">
        <v>778</v>
      </c>
      <c r="C250">
        <v>11600000</v>
      </c>
      <c r="D250" s="24">
        <f t="shared" si="5"/>
        <v>8285.7142857142862</v>
      </c>
      <c r="E250" s="50">
        <f t="shared" si="4"/>
        <v>2.029138768126942E-3</v>
      </c>
      <c r="F250" s="51"/>
    </row>
    <row r="251" spans="1:6" ht="15.75" customHeight="1" x14ac:dyDescent="0.25">
      <c r="A251" t="s">
        <v>583</v>
      </c>
      <c r="B251" t="s">
        <v>582</v>
      </c>
      <c r="C251">
        <v>19628712</v>
      </c>
      <c r="D251" s="24">
        <f t="shared" si="5"/>
        <v>14020.508571428571</v>
      </c>
      <c r="E251" s="50">
        <f t="shared" si="4"/>
        <v>3.433567283413666E-3</v>
      </c>
      <c r="F251" s="51"/>
    </row>
    <row r="252" spans="1:6" ht="15.75" customHeight="1" x14ac:dyDescent="0.25">
      <c r="A252" t="s">
        <v>781</v>
      </c>
      <c r="B252" t="s">
        <v>780</v>
      </c>
      <c r="C252">
        <v>398313.12</v>
      </c>
      <c r="D252" s="24">
        <f t="shared" si="5"/>
        <v>284.5093714285714</v>
      </c>
      <c r="E252" s="50">
        <f t="shared" si="4"/>
        <v>6.9675223590137832E-5</v>
      </c>
      <c r="F252" s="51"/>
    </row>
    <row r="253" spans="1:6" ht="15.75" customHeight="1" x14ac:dyDescent="0.25">
      <c r="A253" t="s">
        <v>585</v>
      </c>
      <c r="B253" t="s">
        <v>584</v>
      </c>
      <c r="C253">
        <v>26391383.199999999</v>
      </c>
      <c r="D253" s="24">
        <f t="shared" si="5"/>
        <v>18850.988000000001</v>
      </c>
      <c r="E253" s="50">
        <f t="shared" si="4"/>
        <v>4.6165326547943173E-3</v>
      </c>
      <c r="F253" s="51"/>
    </row>
    <row r="254" spans="1:6" ht="15.75" customHeight="1" x14ac:dyDescent="0.25">
      <c r="A254" t="s">
        <v>587</v>
      </c>
      <c r="B254" t="s">
        <v>586</v>
      </c>
      <c r="C254">
        <v>-1.1100000000000001</v>
      </c>
      <c r="D254" s="24">
        <f t="shared" si="5"/>
        <v>-7.9285714285714289E-4</v>
      </c>
      <c r="E254" s="50">
        <f t="shared" si="4"/>
        <v>-1.9416758901904362E-10</v>
      </c>
      <c r="F254" s="51"/>
    </row>
    <row r="255" spans="1:6" ht="15.75" customHeight="1" x14ac:dyDescent="0.25">
      <c r="A255" t="s">
        <v>589</v>
      </c>
      <c r="B255" t="s">
        <v>588</v>
      </c>
      <c r="C255">
        <v>90024</v>
      </c>
      <c r="D255" s="24">
        <f t="shared" si="5"/>
        <v>64.30285714285715</v>
      </c>
      <c r="E255" s="50">
        <f t="shared" si="4"/>
        <v>1.5747516246712056E-5</v>
      </c>
      <c r="F255" s="51"/>
    </row>
    <row r="256" spans="1:6" ht="15.75" customHeight="1" x14ac:dyDescent="0.25">
      <c r="A256" t="s">
        <v>783</v>
      </c>
      <c r="B256" t="s">
        <v>782</v>
      </c>
      <c r="C256">
        <v>1150660.82</v>
      </c>
      <c r="D256" s="24">
        <f t="shared" si="5"/>
        <v>821.90058571428574</v>
      </c>
      <c r="E256" s="50">
        <f t="shared" si="4"/>
        <v>2.0128021369196012E-4</v>
      </c>
      <c r="F256" s="51"/>
    </row>
    <row r="257" spans="1:6" ht="15.75" customHeight="1" x14ac:dyDescent="0.25">
      <c r="A257" t="s">
        <v>591</v>
      </c>
      <c r="B257" t="s">
        <v>590</v>
      </c>
      <c r="C257">
        <v>8560835.2300000004</v>
      </c>
      <c r="D257" s="24">
        <f t="shared" si="5"/>
        <v>6114.8823071428578</v>
      </c>
      <c r="E257" s="50">
        <f t="shared" si="4"/>
        <v>1.4975105735120628E-3</v>
      </c>
      <c r="F257" s="51"/>
    </row>
    <row r="258" spans="1:6" ht="15.75" customHeight="1" x14ac:dyDescent="0.25">
      <c r="A258" t="s">
        <v>593</v>
      </c>
      <c r="B258" t="s">
        <v>592</v>
      </c>
      <c r="C258">
        <v>1485120</v>
      </c>
      <c r="D258" s="24">
        <f t="shared" si="5"/>
        <v>1060.8</v>
      </c>
      <c r="E258" s="50">
        <f t="shared" si="4"/>
        <v>2.5978573856212797E-4</v>
      </c>
      <c r="F258" s="51"/>
    </row>
    <row r="259" spans="1:6" ht="15.75" customHeight="1" x14ac:dyDescent="0.25">
      <c r="A259" t="s">
        <v>595</v>
      </c>
      <c r="B259" t="s">
        <v>594</v>
      </c>
      <c r="C259">
        <v>400841705.05000001</v>
      </c>
      <c r="D259" s="24">
        <f t="shared" si="5"/>
        <v>286315.50360714289</v>
      </c>
      <c r="E259" s="50">
        <f t="shared" si="4"/>
        <v>7.011753824129828E-2</v>
      </c>
      <c r="F259" s="51"/>
    </row>
    <row r="260" spans="1:6" ht="15.75" customHeight="1" x14ac:dyDescent="0.25">
      <c r="A260" t="s">
        <v>597</v>
      </c>
      <c r="B260" t="s">
        <v>596</v>
      </c>
      <c r="C260">
        <v>2271569.94</v>
      </c>
      <c r="D260" s="24">
        <f t="shared" si="5"/>
        <v>1622.549957142857</v>
      </c>
      <c r="E260" s="50">
        <f t="shared" si="4"/>
        <v>3.9735608877291309E-4</v>
      </c>
      <c r="F260" s="51"/>
    </row>
    <row r="261" spans="1:6" ht="18" customHeight="1" x14ac:dyDescent="0.25">
      <c r="A261" s="41" t="s">
        <v>166</v>
      </c>
      <c r="B261" s="42"/>
      <c r="C261" s="43">
        <f>SUM(C5:C260)</f>
        <v>5716711041.2599974</v>
      </c>
      <c r="D261" s="43">
        <f t="shared" si="0"/>
        <v>4083365.0294714267</v>
      </c>
      <c r="E261" s="53">
        <v>1</v>
      </c>
      <c r="F261" s="42"/>
    </row>
    <row r="263" spans="1:6" ht="15" customHeight="1" x14ac:dyDescent="0.25">
      <c r="A263" s="80" t="s">
        <v>167</v>
      </c>
      <c r="B263" s="80"/>
      <c r="C263" s="80"/>
      <c r="D263" s="80"/>
      <c r="E263" s="80"/>
      <c r="F263" s="80"/>
    </row>
  </sheetData>
  <mergeCells count="3">
    <mergeCell ref="A1:F1"/>
    <mergeCell ref="A2:F2"/>
    <mergeCell ref="A263:F26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9" t="s">
        <v>169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106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122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84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52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3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10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17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80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94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158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-46175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-46175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-46175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-46175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-46175</v>
      </c>
      <c r="J20" s="44"/>
    </row>
    <row r="22" spans="1:10" x14ac:dyDescent="0.25">
      <c r="A22" s="80" t="s">
        <v>180</v>
      </c>
      <c r="B22" s="80"/>
      <c r="C22" s="80"/>
      <c r="D22" s="80"/>
      <c r="E22" s="80"/>
      <c r="F22" s="80"/>
      <c r="G22" s="80"/>
      <c r="H22" s="80"/>
      <c r="I22" s="80"/>
      <c r="J22" s="80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2026-06-02T14:32:30Z</dcterms:modified>
  <dc:language>en-US</dc:language>
</cp:coreProperties>
</file>