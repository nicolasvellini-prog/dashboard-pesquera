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FB95BB9A-6BE2-4A50-960A-0F2DB18C9C43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03" i="2" l="1"/>
  <c r="AI103" i="2"/>
  <c r="AH103" i="2"/>
  <c r="AG103" i="2"/>
  <c r="AF103" i="2"/>
  <c r="AE103" i="2"/>
  <c r="AD103" i="2"/>
  <c r="AC103" i="2"/>
  <c r="AA103" i="2"/>
  <c r="Z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Z100" i="2" l="1"/>
  <c r="Z101" i="2" s="1"/>
  <c r="Z102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03" i="6" l="1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<sst xmlns="http://schemas.openxmlformats.org/spreadsheetml/2006/main" count="3509" uniqueCount="1156">
  <si>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</si>
  <si>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</si>
  <si>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</si>
  <si>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</si>
  <si>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</si>
  <si>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</si>
  <si>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</si>
  <si>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</si>
  <si>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</si>
  <si>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</si>
  <si>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</si>
  <si>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</si>
  <si>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</si>
  <si>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</si>
  <si>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</si>
  <si>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</si>
  <si>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</si>
  <si>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</si>
  <si>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</si>
  <si>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</si>
  <si>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</si>
  <si>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</si>
  <si>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</si>
  <si>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</si>
  <si>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</si>
  <si>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</si>
  <si>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</si>
  <si>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</si>
  <si>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</si>
  <si>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</si>
  <si>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</si>
  <si>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</si>
  <si>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</si>
  <si>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</si>
  <si>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</si>
  <si>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</si>
  <si>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</si>
  <si>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</si>
  <si>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</si>
  <si>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</si>
  <si>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</si>
  <si>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</si>
  <si>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</si>
  <si>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</si>
  <si>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</si>
  <si>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</si>
  <si>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</si>
  <si>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</si>
  <si>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</si>
  <si>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</si>
  <si>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</si>
  <si>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</si>
  <si>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</si>
  <si>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</si>
  <si>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</si>
  <si>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</si>
  <si>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</si>
  <si>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</si>
  <si>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</si>
  <si>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</si>
  <si>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</si>
  <si>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</si>
  <si>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</si>
  <si>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</si>
  <si>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</si>
  <si>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</si>
  <si>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</si>
  <si>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</si>
  <si>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</si>
  <si>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</si>
  <si>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</si>
  <si>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</si>
  <si>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</si>
  <si>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</si>
  <si>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</si>
  <si>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</si>
  <si>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</si>
  <si>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</si>
  <si>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</si>
  <si>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</si>
  <si>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</si>
  <si>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</si>
  <si>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</si>
  <si>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</si>
  <si>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</si>
  <si>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</si>
  <si>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</si>
  <si>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</si>
  <si>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</si>
  <si>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</si>
  <si>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</si>
  <si>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</si>
  <si>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</si>
  <si>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</si>
  <si>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</si>
  <si>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</si>
  <si>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</si>
  <si>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</si>
  <si>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</si>
  <si>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</si>
  <si>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</si>
  <si>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</si>
  <si>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</si>
  <si>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</si>
  <si>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</si>
  <si>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</si>
  <si>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</si>
  <si>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</si>
  <si>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</si>
  <si>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</si>
  <si>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</si>
  <si>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</si>
  <si>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</si>
  <si>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</si>
  <si>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</si>
  <si>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</si>
  <si>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</si>
  <si>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</si>
  <si>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</si>
  <si>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</si>
  <si>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</si>
  <si>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</si>
  <si>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</si>
  <si>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</si>
  <si>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</si>
  <si>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</si>
  <si>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</si>
  <si>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</si>
  <si>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</si>
  <si>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</si>
  <si>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</si>
  <si>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</si>
  <si>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</si>
  <si>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</si>
  <si>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</si>
  <si>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</si>
  <si>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</si>
  <si>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</si>
  <si>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</si>
  <si>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</si>
  <si>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</si>
  <si>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</si>
  <si>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</si>
  <si>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</si>
  <si>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</si>
  <si>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</si>
  <si>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</si>
  <si>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</si>
  <si>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</si>
  <si>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</si>
  <si>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</si>
  <si>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</si>
  <si>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</si>
  <si>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</si>
  <si>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</si>
  <si>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</si>
  <si>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</si>
  <si>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</si>
  <si>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</si>
  <si>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</si>
  <si>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</si>
  <si>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</si>
  <si>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</si>
  <si>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</si>
  <si>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</si>
  <si>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</si>
  <si>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</si>
  <si>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</si>
  <si>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</si>
  <si>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</si>
  <si>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</si>
  <si>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</si>
  <si>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</si>
  <si>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</si>
  <si>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</si>
  <si>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</si>
  <si>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</si>
  <si>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</si>
  <si>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</si>
  <si>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</si>
  <si>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</si>
  <si>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</si>
  <si>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</si>
  <si>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</si>
  <si>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</si>
  <si>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</si>
  <si>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</si>
  <si>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</si>
  <si>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</si>
  <si>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</si>
  <si>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</si>
  <si>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</si>
  <si>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</si>
  <si>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</si>
  <si>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</si>
  <si>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</si>
  <si>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</si>
  <si>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</si>
  <si>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</si>
  <si>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</si>
  <si>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</si>
  <si>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</si>
  <si>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</si>
  <si>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</si>
  <si>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07910</t>
  </si>
  <si>
    <t>BALIÑA GERARDO DANIEL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</si>
  <si>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</si>
  <si>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</si>
  <si>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</si>
  <si>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</si>
  <si>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</si>
  <si>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</si>
  <si>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</si>
  <si>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</si>
  <si>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</si>
  <si>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</si>
  <si>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</si>
  <si>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</si>
  <si>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</si>
  <si>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</si>
  <si>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</si>
  <si>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</si>
  <si>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</si>
  <si>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</si>
  <si>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</si>
  <si>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</si>
  <si>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</si>
  <si>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</si>
  <si>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</si>
  <si>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</si>
  <si>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</si>
  <si>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</si>
  <si>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</si>
  <si>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</si>
  <si>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</si>
  <si>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</si>
  <si>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</si>
  <si>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</si>
  <si>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</si>
  <si>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</si>
  <si>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</si>
  <si>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</si>
  <si>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</si>
  <si>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</si>
  <si>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</si>
  <si>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</si>
  <si>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</si>
  <si>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</si>
  <si>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</si>
  <si>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</si>
  <si>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</si>
  <si>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</si>
  <si>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</si>
  <si>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</si>
  <si>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</si>
  <si>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</si>
  <si>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</si>
  <si>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</si>
  <si>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</si>
  <si>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</si>
  <si>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</si>
  <si>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</si>
  <si>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</si>
  <si>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</si>
  <si>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</si>
  <si>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</si>
  <si>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</si>
  <si>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</si>
  <si>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</si>
  <si>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</si>
  <si>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</si>
  <si>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</si>
  <si>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</si>
  <si>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</si>
  <si>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</si>
  <si>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</si>
  <si>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</si>
  <si>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</si>
  <si>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</si>
  <si>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</si>
  <si>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</si>
  <si>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</si>
  <si>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</si>
  <si>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</si>
  <si>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</si>
  <si>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</si>
  <si>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</si>
  <si>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</si>
  <si>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</si>
  <si>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</si>
  <si>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</si>
  <si>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</si>
  <si>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</si>
  <si>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</si>
  <si>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</si>
  <si>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</si>
  <si>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</si>
  <si>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</si>
  <si>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</si>
  <si>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</si>
  <si>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</si>
  <si>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</si>
  <si>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</si>
  <si>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</si>
  <si>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</si>
  <si>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</si>
  <si>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</si>
  <si>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</si>
  <si>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</si>
  <si>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</si>
  <si>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</si>
  <si>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</si>
  <si>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</si>
  <si>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</si>
  <si>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</si>
  <si>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</si>
  <si>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</si>
  <si>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</si>
  <si>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</si>
  <si>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</si>
  <si>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</si>
  <si>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</si>
  <si>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</si>
  <si>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</si>
  <si>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</si>
  <si>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</si>
  <si>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</si>
  <si>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</si>
  <si>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</si>
  <si>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</si>
  <si>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</si>
  <si>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</si>
  <si>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</si>
  <si>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</si>
  <si>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</si>
  <si>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</si>
  <si>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</si>
  <si>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</si>
  <si>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</si>
  <si>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</si>
  <si>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</si>
  <si>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</si>
  <si>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</si>
  <si>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</si>
  <si>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</si>
  <si>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</si>
  <si>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</si>
  <si>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</si>
  <si>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</si>
  <si>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</si>
  <si>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</si>
  <si>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</si>
  <si>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</si>
  <si>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</si>
  <si>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</si>
  <si>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</si>
  <si>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</si>
  <si>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</si>
  <si>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</si>
  <si>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</si>
  <si>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</si>
  <si>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</si>
  <si>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</si>
  <si>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</si>
  <si>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</si>
  <si>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</si>
  <si>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</si>
  <si>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</si>
  <si>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</si>
  <si>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</si>
  <si>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</si>
  <si>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</si>
  <si>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</si>
  <si>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</si>
  <si>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</si>
  <si>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</si>
  <si>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</si>
  <si>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</si>
  <si>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</si>
  <si>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</si>
  <si>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</si>
  <si>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</si>
  <si>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</si>
  <si>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</si>
  <si>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</si>
  <si>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</si>
  <si>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</si>
  <si>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</si>
  <si>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</si>
  <si>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</si>
  <si>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</si>
  <si>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</si>
  <si>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</si>
  <si>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</si>
  <si>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</si>
  <si>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</si>
  <si>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</si>
  <si>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</si>
  <si>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</si>
  <si>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</si>
  <si>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</si>
  <si>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</si>
  <si>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</si>
  <si>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</si>
  <si>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</si>
  <si>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</si>
  <si>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</si>
  <si>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</si>
  <si>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</si>
  <si>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</si>
  <si>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</si>
  <si>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</si>
  <si>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</si>
  <si>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</si>
  <si>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</si>
  <si>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</si>
  <si>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</si>
  <si>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</si>
  <si>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</si>
  <si>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</si>
  <si>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</si>
  <si>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</si>
  <si>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</si>
  <si>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</si>
  <si>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</si>
  <si>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</si>
  <si>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</si>
  <si>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</si>
  <si>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</si>
  <si>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</si>
  <si>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</si>
  <si>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</si>
  <si>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</si>
  <si>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</si>
  <si>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</si>
  <si>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</si>
  <si>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</si>
  <si>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</si>
  <si>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</si>
  <si>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</si>
  <si>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</si>
  <si>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</si>
  <si>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</si>
  <si>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</si>
  <si>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</si>
  <si>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</si>
  <si>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</si>
  <si>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</si>
  <si>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</si>
  <si>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</si>
  <si>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</si>
  <si>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</si>
  <si>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</si>
  <si>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</si>
  <si>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</si>
  <si>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</si>
  <si>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</si>
  <si>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</si>
  <si>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</si>
  <si>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</si>
  <si>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</si>
  <si>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</si>
  <si>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</si>
  <si>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</si>
  <si>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</si>
  <si>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</si>
  <si>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</si>
  <si>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</si>
  <si>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</si>
  <si>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</si>
  <si>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</si>
  <si>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</si>
  <si>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</si>
  <si>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</si>
  <si>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</si>
  <si>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</si>
  <si>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</si>
  <si>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</si>
  <si>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</si>
  <si>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</si>
  <si>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</si>
  <si>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</si>
  <si>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</si>
  <si>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</si>
  <si>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</si>
  <si>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</si>
  <si>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</si>
  <si>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</si>
  <si>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</si>
  <si>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</si>
  <si>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</si>
  <si>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</si>
  <si>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</si>
  <si>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</si>
  <si>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</si>
  <si>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</si>
  <si>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</si>
  <si>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</si>
  <si>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</si>
  <si>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</si>
  <si>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</si>
  <si>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</si>
  <si>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</si>
  <si>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</si>
  <si>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</si>
  <si>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</si>
  <si>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</si>
  <si>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</si>
  <si>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</si>
  <si>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</si>
  <si>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</si>
  <si>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</si>
  <si>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</si>
  <si>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</si>
  <si>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</si>
  <si>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</si>
  <si>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</si>
  <si>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</si>
  <si>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</si>
  <si>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</si>
  <si>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</si>
  <si>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</si>
  <si>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</si>
  <si>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</si>
  <si>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</si>
  <si>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</si>
  <si>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</si>
  <si>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</si>
  <si>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</si>
  <si>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</si>
  <si>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</si>
  <si>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</si>
  <si>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</si>
  <si>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</si>
  <si>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</si>
  <si>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</si>
  <si>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</si>
  <si>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</si>
  <si>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</si>
  <si>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</si>
  <si>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</si>
  <si>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</si>
  <si>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</si>
  <si>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</si>
  <si>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Usuario: NICOLAS VELLINI</t>
  </si>
  <si>
    <t> </t>
  </si>
  <si>
    <t>Parámetros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</si>
  <si>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</si>
  <si>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</si>
  <si>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</si>
  <si>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</si>
  <si>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</si>
  <si>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</si>
  <si>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05004</t>
  </si>
  <si>
    <t>BENEDETTO PELOSI S. 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</si>
  <si>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</si>
  <si>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</si>
  <si>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</si>
  <si>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</si>
  <si>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</si>
  <si>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</si>
  <si>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</si>
  <si>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</si>
  <si>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</si>
  <si>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</si>
  <si>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08225</t>
  </si>
  <si>
    <t>FIREFISH SA</t>
  </si>
  <si>
    <t>08161</t>
  </si>
  <si>
    <t>GANACA7 S.R.L.</t>
  </si>
  <si>
    <t>08661</t>
  </si>
  <si>
    <t>GOROSITO ALEJO ALONCIO</t>
  </si>
  <si>
    <t>04686</t>
  </si>
  <si>
    <t>HAUNOLD VIVIANA</t>
  </si>
  <si>
    <t>07587</t>
  </si>
  <si>
    <t>INDUSTRIAL PUERTO S.A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</si>
  <si>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</si>
  <si>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</si>
  <si>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</si>
  <si>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</si>
  <si>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</si>
  <si>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</si>
  <si>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</si>
  <si>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</si>
  <si>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</si>
  <si>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</si>
  <si>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</si>
  <si>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</si>
  <si>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</si>
  <si>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</si>
  <si>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</si>
  <si>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</si>
  <si>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</si>
  <si>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</si>
  <si>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</si>
  <si>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</si>
  <si>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</si>
  <si>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</si>
  <si>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</si>
  <si>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</si>
  <si>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</si>
  <si>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</si>
  <si>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</si>
  <si>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</si>
  <si>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</si>
  <si>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</si>
  <si>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</si>
  <si>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</si>
  <si>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</si>
  <si>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</si>
  <si>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</si>
  <si>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</si>
  <si>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</si>
  <si>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</si>
  <si>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</si>
  <si>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</si>
  <si>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</si>
  <si>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</si>
  <si>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09576</t>
  </si>
  <si>
    <t>WANBARU ICE S.A.</t>
  </si>
  <si>
    <t>PV - Análisis de Vencimientos 30-60-90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</si>
  <si>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</si>
  <si>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</si>
  <si>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</si>
  <si>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</si>
  <si>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</si>
  <si>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</si>
  <si>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</si>
  <si>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</si>
  <si>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</si>
  <si>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08938</t>
  </si>
  <si>
    <t> AGROLOG S.A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</si>
  <si>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</si>
  <si>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</si>
  <si>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</si>
  <si>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</si>
  <si>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</si>
  <si>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</si>
  <si>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</si>
  <si>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</si>
  <si>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</si>
  <si>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</si>
  <si>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</si>
  <si>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</si>
  <si>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</si>
  <si>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00182</t>
  </si>
  <si>
    <t>ABB S.A.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</si>
  <si>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</si>
  <si>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</si>
  <si>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</si>
  <si>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</si>
  <si>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</si>
  <si>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</si>
  <si>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</si>
  <si>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</si>
  <si>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08847</t>
  </si>
  <si>
    <t>AGUILERA GLADYS ELIZABETH</t>
  </si>
  <si>
    <t>HONORARIOS PROFESIONALES</t>
  </si>
  <si>
    <t>PR027</t>
  </si>
  <si>
    <t>PROVEEDURIA - INSUMOS PARA BUQUES</t>
  </si>
  <si>
    <t>PR041</t>
  </si>
  <si>
    <t>SERVICIOS DE TELEFONIA</t>
  </si>
  <si>
    <t>PR053</t>
  </si>
  <si>
    <t>07309</t>
  </si>
  <si>
    <t>ANGLADA ALFONSO</t>
  </si>
  <si>
    <t>SERVICIOS ADMINISTRATIVOS</t>
  </si>
  <si>
    <t>PR158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</si>
  <si>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</si>
  <si>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</si>
  <si>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</si>
  <si>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</si>
  <si>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</si>
  <si>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</si>
  <si>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09607</t>
  </si>
  <si>
    <t>ASTRADA LUCA</t>
  </si>
  <si>
    <t>BIDONES DE AGUA</t>
  </si>
  <si>
    <t>PR105</t>
  </si>
  <si>
    <t>TRANSPORTES Y FLETES</t>
  </si>
  <si>
    <t>PR054</t>
  </si>
  <si>
    <t>REPARACIONES RODADOS</t>
  </si>
  <si>
    <t>PR188</t>
  </si>
  <si>
    <t>08159</t>
  </si>
  <si>
    <t>BENEDETTI JORGE ALEJANDRO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</si>
  <si>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</si>
  <si>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</si>
  <si>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</si>
  <si>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</si>
  <si>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</si>
  <si>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</si>
  <si>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09605</t>
  </si>
  <si>
    <t>BERGEON MARTIN RAMON</t>
  </si>
  <si>
    <t>SERVICIOS DE TERCEROS-ALQUILER</t>
  </si>
  <si>
    <t>PR0101</t>
  </si>
  <si>
    <t>MANTEN. Y DEPURACION POZOS DE AGUA</t>
  </si>
  <si>
    <t>PR085</t>
  </si>
  <si>
    <t>PROVEEDURIA-LACTEOS P/ BUQUES</t>
  </si>
  <si>
    <t>PR109</t>
  </si>
  <si>
    <t>09568</t>
  </si>
  <si>
    <t>BOSCH CESAR MARCELO</t>
  </si>
  <si>
    <t>REPARACIONES Y MANTENIMIENTO FRIGORIFICO</t>
  </si>
  <si>
    <t>PR171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</si>
  <si>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</si>
  <si>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</si>
  <si>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</si>
  <si>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</si>
  <si>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</si>
  <si>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</si>
  <si>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07670</t>
  </si>
  <si>
    <t>CAPORELLA NICOLAS EZEQUIEL</t>
  </si>
  <si>
    <t>08147</t>
  </si>
  <si>
    <t>CARLOS JORGE DIEGO</t>
  </si>
  <si>
    <t>00098</t>
  </si>
  <si>
    <t>CARMELO GARRIDO E HIJOS S R L</t>
  </si>
  <si>
    <t>TALLER y CARPINTERIA NAVAL</t>
  </si>
  <si>
    <t>PR052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</si>
  <si>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</si>
  <si>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</si>
  <si>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</si>
  <si>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</si>
  <si>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</si>
  <si>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</si>
  <si>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05344</t>
  </si>
  <si>
    <t>CASIMIRO FELIX TOYOS E HIJOS SA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</si>
  <si>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</si>
  <si>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</si>
  <si>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</si>
  <si>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</si>
  <si>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</si>
  <si>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</si>
  <si>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09173</t>
  </si>
  <si>
    <t>CONTRERAS PONCE LISETTE ROSANA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</si>
  <si>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</si>
  <si>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</si>
  <si>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</si>
  <si>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</si>
  <si>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</si>
  <si>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</si>
  <si>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</si>
  <si>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</si>
  <si>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</si>
  <si>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</si>
  <si>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</si>
  <si>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</si>
  <si>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</si>
  <si>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</si>
  <si>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09612</t>
  </si>
  <si>
    <t>DEBONI ALEJANDRO MARTIN</t>
  </si>
  <si>
    <t>ALQUILERES</t>
  </si>
  <si>
    <t>8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</si>
  <si>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</si>
  <si>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</si>
  <si>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</si>
  <si>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</si>
  <si>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</si>
  <si>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</si>
  <si>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</si>
  <si>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</si>
  <si>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</si>
  <si>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</si>
  <si>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</si>
  <si>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</si>
  <si>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</si>
  <si>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</si>
  <si>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</si>
  <si>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</si>
  <si>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</si>
  <si>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</si>
  <si>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</si>
  <si>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</si>
  <si>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06004</t>
  </si>
  <si>
    <t>EUROPATAGONICA S A</t>
  </si>
  <si>
    <t>GARRAFAS DE FREON</t>
  </si>
  <si>
    <t>PR185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</si>
  <si>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</si>
  <si>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</si>
  <si>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</si>
  <si>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</si>
  <si>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</si>
  <si>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</si>
  <si>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</si>
  <si>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</si>
  <si>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</si>
  <si>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</si>
  <si>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</si>
  <si>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</si>
  <si>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07752</t>
  </si>
  <si>
    <t>FIGUEROA SILVIA GRACIELA</t>
  </si>
  <si>
    <t>MATAFUEGOS Y ELEMNTOS DE SEGURIDAD BUQUES/EMPRESA</t>
  </si>
  <si>
    <t>PR089</t>
  </si>
  <si>
    <t>Empresas del Grupo</t>
  </si>
  <si>
    <t>0</t>
  </si>
  <si>
    <t>05733</t>
  </si>
  <si>
    <t>GARCIA ALBERTO OMAR</t>
  </si>
  <si>
    <t>PROVEEDURIA-POLLERIA/GRANJA P/ BUQUES</t>
  </si>
  <si>
    <t>PR108</t>
  </si>
  <si>
    <t>09094</t>
  </si>
  <si>
    <t>GLARIA ANABELA</t>
  </si>
  <si>
    <t>09613</t>
  </si>
  <si>
    <t>GONZALEZ JORGE ANDRES</t>
  </si>
  <si>
    <t>CARPINTERIA DE ALUMINIO</t>
  </si>
  <si>
    <t>PR009</t>
  </si>
  <si>
    <t>SERVICIO DE LAVADO</t>
  </si>
  <si>
    <t>PR002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</si>
  <si>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</si>
  <si>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</si>
  <si>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</si>
  <si>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</si>
  <si>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</si>
  <si>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</si>
  <si>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</si>
  <si>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</si>
  <si>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</si>
  <si>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</si>
  <si>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</si>
  <si>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</si>
  <si>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</si>
  <si>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</si>
  <si>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08640</t>
  </si>
  <si>
    <t>JARDINES DE LA FACULTAD SA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</si>
  <si>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</si>
  <si>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</si>
  <si>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</si>
  <si>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</si>
  <si>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</si>
  <si>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</si>
  <si>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</si>
  <si>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</si>
  <si>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</si>
  <si>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</si>
  <si>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</si>
  <si>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</si>
  <si>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09016</t>
  </si>
  <si>
    <t>MELLADO CEBALLOS RUBEN MARCOS</t>
  </si>
  <si>
    <t>09043</t>
  </si>
  <si>
    <t>MONCADA MARIA DEL CARMEN</t>
  </si>
  <si>
    <t>SEGURIDAD-VIGILANCIA EMPRESA</t>
  </si>
  <si>
    <t>PR073</t>
  </si>
  <si>
    <t>08887</t>
  </si>
  <si>
    <t>MONTENEGRO MARIA VIVIANA</t>
  </si>
  <si>
    <t>REPARACIONES Y MANTENIMIENTO BUQUES</t>
  </si>
  <si>
    <t>PR186</t>
  </si>
  <si>
    <t>EMERGENCIA MEDICA</t>
  </si>
  <si>
    <t>PR097</t>
  </si>
  <si>
    <t>MATERIALES Y EQUIPOS PARA SALVAMENTO</t>
  </si>
  <si>
    <t>PR033</t>
  </si>
  <si>
    <t>05807</t>
  </si>
  <si>
    <t>NISENBAUM CARLOS DANIEL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</si>
  <si>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</si>
  <si>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</si>
  <si>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</si>
  <si>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</si>
  <si>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</si>
  <si>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</si>
  <si>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</si>
  <si>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</si>
  <si>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09502</t>
  </si>
  <si>
    <t>PIJUAN JUAN IGNACIO</t>
  </si>
  <si>
    <t>09598</t>
  </si>
  <si>
    <t>PINO FABIAN FERNANDO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</si>
  <si>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</si>
  <si>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</si>
  <si>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</si>
  <si>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</si>
  <si>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</si>
  <si>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</si>
  <si>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</si>
  <si>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</si>
  <si>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07390</t>
  </si>
  <si>
    <t>ROBERTS OSCAR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</si>
  <si>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</si>
  <si>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</si>
  <si>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</si>
  <si>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</si>
  <si>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</si>
  <si>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</si>
  <si>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08597</t>
  </si>
  <si>
    <t>SEMAVE S R L</t>
  </si>
  <si>
    <t>REPARACIONES ELECTRICAS BUQUE/PLANTA</t>
  </si>
  <si>
    <t>PR083</t>
  </si>
  <si>
    <t>MAT. Y EQUIPOS PARA BUQUES</t>
  </si>
  <si>
    <t>PR203</t>
  </si>
  <si>
    <t>09330</t>
  </si>
  <si>
    <t>STRUVAY NANCY VIVIANA</t>
  </si>
  <si>
    <t>PR165</t>
  </si>
  <si>
    <t>05092</t>
  </si>
  <si>
    <t>TENES S.A.</t>
  </si>
  <si>
    <t>GOMERIA</t>
  </si>
  <si>
    <t>PR080</t>
  </si>
  <si>
    <t>08953</t>
  </si>
  <si>
    <t>TODO BOMBAS S. R. L.</t>
  </si>
  <si>
    <t>SUPERMERCADO-PROVEEDURIA</t>
  </si>
  <si>
    <t>CL007</t>
  </si>
  <si>
    <t>00084</t>
  </si>
  <si>
    <t>TORRES Y LIVA SACIF</t>
  </si>
  <si>
    <t>PROVEEDURIA:BAZAR P/BUQUES</t>
  </si>
  <si>
    <t>PR069</t>
  </si>
  <si>
    <t>TRANSPORTE DE PASAJEROS</t>
  </si>
  <si>
    <t>PR001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</si>
  <si>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</si>
  <si>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</si>
  <si>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</si>
  <si>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</si>
  <si>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</si>
  <si>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</si>
  <si>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</si>
  <si>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</si>
  <si>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ROLLOS DE ETIQUETAS PARA CONTENEDORES</t>
  </si>
  <si>
    <t>PR212</t>
  </si>
  <si>
    <t>POLIETILENO P/ EXPORTACION</t>
  </si>
  <si>
    <t>PR038</t>
  </si>
  <si>
    <t>08158</t>
  </si>
  <si>
    <t>VIVAS MARIA INES</t>
  </si>
  <si>
    <t>Código de proveedor   desde:     hasta: </t>
  </si>
  <si>
    <t>Deuda al día   valor: 20260602</t>
  </si>
  <si>
    <t>No incluye   valor: PR006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</si>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</sst>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  <numFmt numFmtId="172" formatCode="_-&quot;$&quot;\ * #,##0.00_-;\-&quot;$&quot;\ * #,##0.00_-;_-&quot;$&quot;\ * &quot;-&quot;??_-;_-@_-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172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167" fontId="7" fillId="2" borderId="1" xfId="0" applyNumberFormat="1" applyFont="1" applyFill="1" applyBorder="1" applyAlignment="1">
      <alignment horizontal="right" vertical="center"/>
    </xf>
    <xf numFmtId="0" fontId="25" fillId="9" borderId="4" xfId="0" applyFont="1" applyFill="1" applyBorder="1" applyAlignment="1">
      <alignment horizontal="left" vertical="center" indent="1"/>
    </xf>
    <xf numFmtId="10" fontId="11" fillId="10" borderId="4" xfId="0" applyNumberFormat="1" applyFont="1" applyFill="1" applyBorder="1" applyAlignment="1">
      <alignment horizontal="right" vertical="center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R3" zoomScaleNormal="100" workbookViewId="0">
      <pane ySplit="1" topLeftCell="A85" activePane="bottomLeft" state="frozen"/>
      <selection activeCell="A3" sqref="A3"/>
      <selection pane="bottomLeft" activeCell="AJ104" sqref="AJ104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 t="shared" ref="AC95:AE96" si="4">+AC94</f>
        <v>10000000</v>
      </c>
      <c r="AD95" s="65">
        <f t="shared" si="4"/>
        <v>220000</v>
      </c>
      <c r="AE95" s="65">
        <f t="shared" si="4"/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 t="shared" si="4"/>
        <v>10000000</v>
      </c>
      <c r="AD96" s="65">
        <f t="shared" si="4"/>
        <v>220000</v>
      </c>
      <c r="AE96" s="65">
        <f t="shared" si="4"/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5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5">
        <f>+'[1]CF Dia V1'!$CT$102</f>
        <v>4628913889</v>
      </c>
      <c r="AB97" s="65">
        <f>+AB96</f>
        <v>1048306.3957399999</v>
      </c>
      <c r="AC97" s="65">
        <f t="shared" ref="AC97:AE98" si="5">+AC96</f>
        <v>10000000</v>
      </c>
      <c r="AD97" s="65">
        <f t="shared" si="5"/>
        <v>220000</v>
      </c>
      <c r="AE97" s="65">
        <f t="shared" si="5"/>
        <v>280000</v>
      </c>
      <c r="AF97" s="65">
        <f>+'[1]CF Dia V1'!$CT$97</f>
        <v>10968761.151000001</v>
      </c>
      <c r="AG97" s="65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5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5">
        <f>+'[1]CF Dia V1'!$CU$102</f>
        <v>4562436968</v>
      </c>
      <c r="AB98" s="65">
        <f>+'[1]CF Dia V1'!$CU$103</f>
        <v>1028533.4021649999</v>
      </c>
      <c r="AC98" s="65">
        <f t="shared" si="5"/>
        <v>10000000</v>
      </c>
      <c r="AD98" s="65">
        <f t="shared" si="5"/>
        <v>220000</v>
      </c>
      <c r="AE98" s="65">
        <f t="shared" si="5"/>
        <v>280000</v>
      </c>
      <c r="AF98" s="65">
        <f>+'[1]CF Dia V1'!$CU$97</f>
        <v>11754724.031500001</v>
      </c>
      <c r="AG98" s="65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5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>+H98</f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5">
        <f>+'[1]CF Dia V1'!$CV$102</f>
        <v>4496965997</v>
      </c>
      <c r="AB99" s="65">
        <f t="shared" ref="AB99:AE100" si="6">+AB98</f>
        <v>1028533.4021649999</v>
      </c>
      <c r="AC99" s="65">
        <f t="shared" si="6"/>
        <v>10000000</v>
      </c>
      <c r="AD99" s="65">
        <f t="shared" si="6"/>
        <v>220000</v>
      </c>
      <c r="AE99" s="65">
        <f t="shared" si="6"/>
        <v>280000</v>
      </c>
      <c r="AF99" s="65">
        <f>+'[1]CF Dia V1'!$CV$97</f>
        <v>12774427.1315</v>
      </c>
      <c r="AG99" s="65">
        <f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5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>+H99</f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>+Z99</f>
        <v>191016771.98655012</v>
      </c>
      <c r="AA100" s="65">
        <f>+'[1]CF Dia V1'!$CW$102</f>
        <v>4472804706</v>
      </c>
      <c r="AB100" s="65">
        <f t="shared" si="6"/>
        <v>1028533.4021649999</v>
      </c>
      <c r="AC100" s="65">
        <f t="shared" si="6"/>
        <v>10000000</v>
      </c>
      <c r="AD100" s="65">
        <f t="shared" si="6"/>
        <v>220000</v>
      </c>
      <c r="AE100" s="65">
        <f t="shared" si="6"/>
        <v>280000</v>
      </c>
      <c r="AF100" s="65">
        <f>+'[1]CF Dia V1'!$CW$97</f>
        <v>12799702.291499998</v>
      </c>
      <c r="AG100" s="65">
        <f>+AG99</f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5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>+H100</f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>+Z100</f>
        <v>191016771.98655012</v>
      </c>
      <c r="AA101" s="65">
        <f>+'[1]CF Dia V1'!$CX$102</f>
        <v>4799416274</v>
      </c>
      <c r="AB101" s="65">
        <f t="shared" ref="AB101:AE102" si="7">+AB100</f>
        <v>1028533.4021649999</v>
      </c>
      <c r="AC101" s="65">
        <f t="shared" si="7"/>
        <v>10000000</v>
      </c>
      <c r="AD101" s="65">
        <f t="shared" si="7"/>
        <v>220000</v>
      </c>
      <c r="AE101" s="65">
        <f t="shared" si="7"/>
        <v>280000</v>
      </c>
      <c r="AF101" s="65">
        <f>+'[1]CF Dia V1'!$CX$97</f>
        <v>13832646.739500001</v>
      </c>
      <c r="AG101" s="65">
        <f>+AG100</f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5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>+H101</f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>+Z101</f>
        <v>191016771.98655012</v>
      </c>
      <c r="AA102" s="65">
        <f>+'[1]CF Dia V1'!$CY$102</f>
        <v>4744842059</v>
      </c>
      <c r="AB102" s="65">
        <f t="shared" si="7"/>
        <v>1028533.4021649999</v>
      </c>
      <c r="AC102" s="65">
        <f t="shared" si="7"/>
        <v>10000000</v>
      </c>
      <c r="AD102" s="65">
        <f t="shared" si="7"/>
        <v>220000</v>
      </c>
      <c r="AE102" s="65">
        <f t="shared" si="7"/>
        <v>280000</v>
      </c>
      <c r="AF102" s="65">
        <f>+'[1]CF Dia V1'!$CY$97</f>
        <v>14177312.419500001</v>
      </c>
      <c r="AG102" s="65">
        <f>+AG101</f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5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>+H102</f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>+Z102</f>
        <v>191016771.98655012</v>
      </c>
      <c r="AA103" s="65">
        <f>+'[1]CF Dia V1'!$CZ$102</f>
        <v>5023890065</v>
      </c>
      <c r="AB103" s="65">
        <v>1202455.9875649996</v>
      </c>
      <c r="AC103" s="65">
        <f>+AC102</f>
        <v>10000000</v>
      </c>
      <c r="AD103" s="65">
        <f>+AD102</f>
        <v>220000</v>
      </c>
      <c r="AE103" s="65">
        <f>+AE102</f>
        <v>280000</v>
      </c>
      <c r="AF103" s="65">
        <f>+'[1]CF Dia V1'!$CZ$97</f>
        <v>15757126.767000001</v>
      </c>
      <c r="AG103" s="65">
        <f>+AG102</f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-24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-9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2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12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914</v>
      </c>
      <c r="B4" t="s">
        <v>935</v>
      </c>
      <c r="C4" s="69">
        <v>1934482.85</v>
      </c>
      <c r="D4" s="13">
        <v>46168</v>
      </c>
      <c r="E4" s="66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915</v>
      </c>
      <c r="B5" t="s">
        <v>936</v>
      </c>
      <c r="C5" s="69">
        <v>4000000</v>
      </c>
      <c r="D5" s="13">
        <v>46169</v>
      </c>
      <c r="E5" s="66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915</v>
      </c>
      <c r="B6" t="s">
        <v>937</v>
      </c>
      <c r="C6" s="69">
        <v>4000000</v>
      </c>
      <c r="D6" s="13">
        <v>46170</v>
      </c>
      <c r="E6" s="66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916</v>
      </c>
      <c r="B7" t="s">
        <v>938</v>
      </c>
      <c r="C7" s="69">
        <v>5000000</v>
      </c>
      <c r="D7" s="13">
        <v>46171</v>
      </c>
      <c r="E7" s="66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915</v>
      </c>
      <c r="B8" t="s">
        <v>939</v>
      </c>
      <c r="C8" s="69">
        <v>4000000</v>
      </c>
      <c r="D8" s="13">
        <v>46172</v>
      </c>
      <c r="E8" s="66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917</v>
      </c>
      <c r="B9" t="s">
        <v>940</v>
      </c>
      <c r="C9" s="69">
        <v>3099000</v>
      </c>
      <c r="D9" s="13">
        <v>46173</v>
      </c>
      <c r="E9" s="66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916</v>
      </c>
      <c r="B10" t="s">
        <v>941</v>
      </c>
      <c r="C10" s="69">
        <v>4322000</v>
      </c>
      <c r="D10" s="13">
        <v>46174</v>
      </c>
      <c r="E10" s="66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917</v>
      </c>
      <c r="B11" t="s">
        <v>942</v>
      </c>
      <c r="C11" s="69">
        <v>2600000</v>
      </c>
      <c r="D11" s="13">
        <v>46175</v>
      </c>
      <c r="E11" s="66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917</v>
      </c>
      <c r="B12" t="s">
        <v>943</v>
      </c>
      <c r="C12" s="69">
        <v>3000600</v>
      </c>
      <c r="D12" s="13">
        <v>46176</v>
      </c>
      <c r="E12" s="66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917</v>
      </c>
      <c r="B13" t="s">
        <v>944</v>
      </c>
      <c r="C13" s="69">
        <v>3000040</v>
      </c>
      <c r="D13" s="13">
        <v>46177</v>
      </c>
      <c r="E13" s="66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915</v>
      </c>
      <c r="B14" t="s">
        <v>945</v>
      </c>
      <c r="C14" s="69">
        <v>4000000</v>
      </c>
      <c r="D14" s="13">
        <v>46178</v>
      </c>
      <c r="E14" s="66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915</v>
      </c>
      <c r="B15" t="s">
        <v>946</v>
      </c>
      <c r="C15" s="69">
        <v>4000000</v>
      </c>
      <c r="D15" s="13">
        <v>46179</v>
      </c>
      <c r="E15" s="66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918</v>
      </c>
      <c r="B16" t="s">
        <v>947</v>
      </c>
      <c r="C16" s="69">
        <v>4074325</v>
      </c>
      <c r="D16" s="13">
        <v>46180</v>
      </c>
      <c r="E16" s="66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916</v>
      </c>
      <c r="B17" t="s">
        <v>948</v>
      </c>
      <c r="C17" s="69">
        <v>5000000</v>
      </c>
      <c r="D17" s="13">
        <v>46181</v>
      </c>
      <c r="E17" s="66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918</v>
      </c>
      <c r="B18" t="s">
        <v>949</v>
      </c>
      <c r="C18" s="69">
        <v>5000000</v>
      </c>
      <c r="D18" s="13">
        <v>46182</v>
      </c>
      <c r="E18" s="66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918</v>
      </c>
      <c r="B19" t="s">
        <v>950</v>
      </c>
      <c r="C19" s="69">
        <v>5000000</v>
      </c>
      <c r="D19" s="13">
        <v>46183</v>
      </c>
      <c r="E19" s="66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918</v>
      </c>
      <c r="B20" t="s">
        <v>951</v>
      </c>
      <c r="C20" s="69">
        <v>5000000</v>
      </c>
      <c r="D20" s="13">
        <v>46184</v>
      </c>
      <c r="E20" s="66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918</v>
      </c>
      <c r="B21" t="s">
        <v>952</v>
      </c>
      <c r="C21" s="69">
        <v>5000000</v>
      </c>
      <c r="D21" s="13">
        <v>46185</v>
      </c>
      <c r="E21" s="66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915</v>
      </c>
      <c r="B22" t="s">
        <v>953</v>
      </c>
      <c r="C22" s="69">
        <v>3977525</v>
      </c>
      <c r="D22" s="13">
        <v>46186</v>
      </c>
      <c r="E22" s="66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917</v>
      </c>
      <c r="B23" t="s">
        <v>954</v>
      </c>
      <c r="C23" s="69">
        <v>1000100</v>
      </c>
      <c r="D23" s="13">
        <v>46187</v>
      </c>
      <c r="E23" s="66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917</v>
      </c>
      <c r="B24" t="s">
        <v>955</v>
      </c>
      <c r="C24" s="69">
        <v>3000100</v>
      </c>
      <c r="D24" s="13">
        <v>46188</v>
      </c>
      <c r="E24" s="66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917</v>
      </c>
      <c r="B25" t="s">
        <v>956</v>
      </c>
      <c r="C25" s="69">
        <v>3000100</v>
      </c>
      <c r="D25" s="13">
        <v>46189</v>
      </c>
      <c r="E25" s="66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917</v>
      </c>
      <c r="B26" t="s">
        <v>957</v>
      </c>
      <c r="C26" s="69">
        <v>3032000</v>
      </c>
      <c r="D26" s="13">
        <v>46190</v>
      </c>
      <c r="E26" s="66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919</v>
      </c>
      <c r="B27" t="s">
        <v>958</v>
      </c>
      <c r="C27" s="69">
        <v>28607040</v>
      </c>
      <c r="D27" s="13">
        <v>46191</v>
      </c>
      <c r="E27" s="66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920</v>
      </c>
      <c r="B28" t="s">
        <v>959</v>
      </c>
      <c r="C28" s="69">
        <v>1479937.5</v>
      </c>
      <c r="D28" s="13">
        <v>46192</v>
      </c>
      <c r="E28" s="66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916</v>
      </c>
      <c r="B29" t="s">
        <v>960</v>
      </c>
      <c r="C29" s="69">
        <v>5000000</v>
      </c>
      <c r="D29" s="13">
        <v>46193</v>
      </c>
      <c r="E29" s="66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921</v>
      </c>
      <c r="B30" t="s">
        <v>961</v>
      </c>
      <c r="C30" s="69">
        <v>843325</v>
      </c>
      <c r="D30" s="13">
        <v>46194</v>
      </c>
      <c r="E30" s="66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920</v>
      </c>
      <c r="B31" t="s">
        <v>962</v>
      </c>
      <c r="C31" s="69">
        <v>1500000</v>
      </c>
      <c r="D31" s="13">
        <v>46195</v>
      </c>
      <c r="E31" s="66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920</v>
      </c>
      <c r="B32" t="s">
        <v>963</v>
      </c>
      <c r="C32" s="69">
        <v>1381275</v>
      </c>
      <c r="D32" s="13">
        <v>46196</v>
      </c>
      <c r="E32" s="66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916</v>
      </c>
      <c r="B33" t="s">
        <v>964</v>
      </c>
      <c r="C33" s="69">
        <v>5000000</v>
      </c>
      <c r="D33" s="13">
        <v>46197</v>
      </c>
      <c r="E33" s="66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921</v>
      </c>
      <c r="B34" t="s">
        <v>965</v>
      </c>
      <c r="C34" s="69">
        <v>1300000</v>
      </c>
      <c r="D34" s="13">
        <v>46198</v>
      </c>
      <c r="E34" s="66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920</v>
      </c>
      <c r="B35" t="s">
        <v>966</v>
      </c>
      <c r="C35" s="69">
        <v>1400000</v>
      </c>
      <c r="D35" s="13">
        <v>46199</v>
      </c>
      <c r="E35" s="66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920</v>
      </c>
      <c r="B36" t="s">
        <v>967</v>
      </c>
      <c r="C36" s="69">
        <v>1500000</v>
      </c>
      <c r="D36" s="13">
        <v>46200</v>
      </c>
      <c r="E36" s="66">
        <v>46202.000138888892</v>
      </c>
      <c r="F36" s="40">
        <f t="shared" si="0"/>
        <v>46204.000138888892</v>
      </c>
      <c r="G36" s="27"/>
      <c r="L36" s="67"/>
    </row>
    <row r="37" spans="1:12" ht="15.75" customHeight="1" x14ac:dyDescent="0.25">
      <c r="A37" t="s">
        <v>916</v>
      </c>
      <c r="B37" t="s">
        <v>968</v>
      </c>
      <c r="C37" s="69">
        <v>5000000</v>
      </c>
      <c r="D37" s="13">
        <v>46201</v>
      </c>
      <c r="E37" s="66">
        <v>46201.000138888892</v>
      </c>
      <c r="F37" s="40">
        <f t="shared" si="0"/>
        <v>46203.000138888892</v>
      </c>
      <c r="G37" s="27"/>
      <c r="L37" s="67"/>
    </row>
    <row r="38" spans="1:12" ht="15.75" customHeight="1" x14ac:dyDescent="0.25">
      <c r="A38" t="s">
        <v>917</v>
      </c>
      <c r="B38" t="s">
        <v>969</v>
      </c>
      <c r="C38" s="69">
        <v>3000040</v>
      </c>
      <c r="D38" s="13">
        <v>46202</v>
      </c>
      <c r="E38" s="66">
        <v>46201.000138888892</v>
      </c>
      <c r="F38" s="40">
        <f t="shared" si="0"/>
        <v>46203.000138888892</v>
      </c>
      <c r="G38" s="27"/>
      <c r="L38" s="67"/>
    </row>
    <row r="39" spans="1:12" ht="15.75" customHeight="1" x14ac:dyDescent="0.25">
      <c r="A39" t="s">
        <v>917</v>
      </c>
      <c r="B39" t="s">
        <v>970</v>
      </c>
      <c r="C39" s="69">
        <v>3000400</v>
      </c>
      <c r="D39" s="13">
        <v>46203</v>
      </c>
      <c r="E39" s="66">
        <v>46201.000138888892</v>
      </c>
      <c r="F39" s="40">
        <f t="shared" si="0"/>
        <v>46203.000138888892</v>
      </c>
      <c r="G39" s="27"/>
      <c r="L39" s="67"/>
    </row>
    <row r="40" spans="1:12" ht="15.75" customHeight="1" x14ac:dyDescent="0.25">
      <c r="A40" t="s">
        <v>917</v>
      </c>
      <c r="B40" t="s">
        <v>971</v>
      </c>
      <c r="C40" s="69">
        <v>3047000</v>
      </c>
      <c r="D40" s="13">
        <v>46204</v>
      </c>
      <c r="E40" s="66">
        <v>46201.000138888892</v>
      </c>
      <c r="F40" s="40">
        <f t="shared" si="0"/>
        <v>46203.000138888892</v>
      </c>
      <c r="G40" s="27"/>
      <c r="L40" s="67"/>
    </row>
    <row r="41" spans="1:12" ht="15.75" customHeight="1" x14ac:dyDescent="0.25">
      <c r="A41" t="s">
        <v>917</v>
      </c>
      <c r="B41" t="s">
        <v>972</v>
      </c>
      <c r="C41" s="69">
        <v>3500000</v>
      </c>
      <c r="D41" s="13">
        <v>46205</v>
      </c>
      <c r="E41" s="66">
        <v>46201.000138888892</v>
      </c>
      <c r="F41" s="40">
        <f t="shared" si="0"/>
        <v>46203.000138888892</v>
      </c>
      <c r="G41" s="27"/>
      <c r="L41" s="67"/>
    </row>
    <row r="42" spans="1:12" ht="15.75" customHeight="1" x14ac:dyDescent="0.25">
      <c r="A42" t="s">
        <v>916</v>
      </c>
      <c r="B42" t="s">
        <v>973</v>
      </c>
      <c r="C42" s="69">
        <v>5000000</v>
      </c>
      <c r="D42" s="13">
        <v>46206</v>
      </c>
      <c r="E42" s="66">
        <v>46200.000138888892</v>
      </c>
      <c r="F42" s="40">
        <f t="shared" si="0"/>
        <v>46202.000138888892</v>
      </c>
      <c r="G42" s="27"/>
      <c r="L42" s="67"/>
    </row>
    <row r="43" spans="1:12" ht="15.75" customHeight="1" x14ac:dyDescent="0.25">
      <c r="A43" t="s">
        <v>916</v>
      </c>
      <c r="B43" t="s">
        <v>974</v>
      </c>
      <c r="C43" s="69">
        <v>5000000</v>
      </c>
      <c r="D43" s="13">
        <v>46207</v>
      </c>
      <c r="E43" s="66">
        <v>46200.000138888892</v>
      </c>
      <c r="F43" s="40">
        <f t="shared" si="0"/>
        <v>46202.000138888892</v>
      </c>
      <c r="G43" s="27"/>
      <c r="L43" s="67"/>
    </row>
    <row r="44" spans="1:12" ht="15.75" customHeight="1" x14ac:dyDescent="0.25">
      <c r="A44" t="s">
        <v>922</v>
      </c>
      <c r="B44" t="s">
        <v>975</v>
      </c>
      <c r="C44" s="69">
        <v>14107155</v>
      </c>
      <c r="D44" s="13">
        <v>46208</v>
      </c>
      <c r="E44" s="66">
        <v>46200.000138888892</v>
      </c>
      <c r="F44" s="40">
        <f t="shared" si="0"/>
        <v>46202.000138888892</v>
      </c>
      <c r="G44" s="27"/>
      <c r="L44" s="67"/>
    </row>
    <row r="45" spans="1:12" ht="15.75" customHeight="1" x14ac:dyDescent="0.25">
      <c r="A45" t="s">
        <v>922</v>
      </c>
      <c r="B45" t="s">
        <v>976</v>
      </c>
      <c r="C45" s="69">
        <v>15000000</v>
      </c>
      <c r="D45" s="13">
        <v>46209</v>
      </c>
      <c r="E45" s="66">
        <v>46200.000138888892</v>
      </c>
      <c r="F45" s="40">
        <f t="shared" si="0"/>
        <v>46202.000138888892</v>
      </c>
      <c r="G45" s="27"/>
      <c r="L45" s="67"/>
    </row>
    <row r="46" spans="1:12" ht="15.75" customHeight="1" x14ac:dyDescent="0.25">
      <c r="A46" t="s">
        <v>923</v>
      </c>
      <c r="B46" t="s">
        <v>977</v>
      </c>
      <c r="C46" s="69">
        <v>23687070</v>
      </c>
      <c r="D46" s="13">
        <v>46210</v>
      </c>
      <c r="E46" s="66">
        <v>46200.000138888892</v>
      </c>
      <c r="F46" s="40">
        <f t="shared" si="0"/>
        <v>46202.000138888892</v>
      </c>
      <c r="G46" s="27"/>
      <c r="L46" s="67"/>
    </row>
    <row r="47" spans="1:12" ht="15.75" customHeight="1" x14ac:dyDescent="0.25">
      <c r="A47" t="s">
        <v>917</v>
      </c>
      <c r="B47" t="s">
        <v>978</v>
      </c>
      <c r="C47" s="69">
        <v>2600000</v>
      </c>
      <c r="D47" s="13">
        <v>46211</v>
      </c>
      <c r="E47" s="66">
        <v>46200.000138888892</v>
      </c>
      <c r="F47" s="40">
        <f t="shared" si="0"/>
        <v>46202.000138888892</v>
      </c>
      <c r="G47" s="27"/>
      <c r="L47" s="67"/>
    </row>
    <row r="48" spans="1:12" ht="15.75" customHeight="1" x14ac:dyDescent="0.25">
      <c r="A48" t="s">
        <v>917</v>
      </c>
      <c r="B48" t="s">
        <v>979</v>
      </c>
      <c r="C48" s="69">
        <v>3000720</v>
      </c>
      <c r="D48" s="13">
        <v>46212</v>
      </c>
      <c r="E48" s="66">
        <v>46200.000138888892</v>
      </c>
      <c r="F48" s="40">
        <f t="shared" si="0"/>
        <v>46202.000138888892</v>
      </c>
      <c r="G48" s="27"/>
      <c r="L48" s="67"/>
    </row>
    <row r="49" spans="1:12" ht="15.75" customHeight="1" x14ac:dyDescent="0.25">
      <c r="A49" t="s">
        <v>917</v>
      </c>
      <c r="B49" t="s">
        <v>980</v>
      </c>
      <c r="C49" s="69">
        <v>2086000</v>
      </c>
      <c r="D49" s="13">
        <v>46213</v>
      </c>
      <c r="E49" s="66">
        <v>46200.000138888892</v>
      </c>
      <c r="F49" s="40">
        <f t="shared" si="0"/>
        <v>46202.000138888892</v>
      </c>
      <c r="G49" s="27"/>
      <c r="L49" s="67"/>
    </row>
    <row r="50" spans="1:12" ht="15.75" customHeight="1" x14ac:dyDescent="0.25">
      <c r="A50" t="s">
        <v>916</v>
      </c>
      <c r="B50" t="s">
        <v>981</v>
      </c>
      <c r="C50" s="69">
        <v>5690000</v>
      </c>
      <c r="D50" s="13">
        <v>46214</v>
      </c>
      <c r="E50" s="66">
        <v>46199.000138888892</v>
      </c>
      <c r="F50" s="40">
        <f t="shared" si="0"/>
        <v>46201.000138888892</v>
      </c>
      <c r="G50" s="27"/>
      <c r="L50" s="67"/>
    </row>
    <row r="51" spans="1:12" ht="15.75" customHeight="1" x14ac:dyDescent="0.25">
      <c r="A51" t="s">
        <v>921</v>
      </c>
      <c r="B51" t="s">
        <v>982</v>
      </c>
      <c r="C51" s="69">
        <v>1300000</v>
      </c>
      <c r="D51" s="13">
        <v>46215</v>
      </c>
      <c r="E51" s="66">
        <v>46199.000138888892</v>
      </c>
      <c r="F51" s="40">
        <f t="shared" si="0"/>
        <v>46201.000138888892</v>
      </c>
      <c r="G51" s="27"/>
      <c r="L51" s="67"/>
    </row>
    <row r="52" spans="1:12" ht="15.75" customHeight="1" x14ac:dyDescent="0.25">
      <c r="A52" t="s">
        <v>924</v>
      </c>
      <c r="B52" t="s">
        <v>983</v>
      </c>
      <c r="C52" s="69">
        <v>17304197.5</v>
      </c>
      <c r="D52" s="13">
        <v>46216</v>
      </c>
      <c r="E52" s="66">
        <v>46199.000138888892</v>
      </c>
      <c r="F52" s="40">
        <f t="shared" si="0"/>
        <v>46201.000138888892</v>
      </c>
      <c r="G52" s="27"/>
      <c r="L52" s="67"/>
    </row>
    <row r="53" spans="1:12" ht="15.75" customHeight="1" x14ac:dyDescent="0.25">
      <c r="A53" t="s">
        <v>920</v>
      </c>
      <c r="B53" t="s">
        <v>984</v>
      </c>
      <c r="C53" s="69">
        <v>1500000</v>
      </c>
      <c r="D53" s="13">
        <v>46217</v>
      </c>
      <c r="E53" s="66">
        <v>46199.000138888892</v>
      </c>
      <c r="F53" s="40">
        <f t="shared" si="0"/>
        <v>46201.000138888892</v>
      </c>
      <c r="G53" s="27"/>
      <c r="L53" s="67"/>
    </row>
    <row r="54" spans="1:12" ht="15.75" customHeight="1" x14ac:dyDescent="0.25">
      <c r="A54" t="s">
        <v>924</v>
      </c>
      <c r="B54" t="s">
        <v>985</v>
      </c>
      <c r="C54" s="69">
        <v>16500000</v>
      </c>
      <c r="D54" s="13">
        <v>46218</v>
      </c>
      <c r="E54" s="66">
        <v>46199.000138888892</v>
      </c>
      <c r="F54" s="40">
        <f t="shared" si="0"/>
        <v>46201.000138888892</v>
      </c>
      <c r="G54" s="27"/>
      <c r="L54" s="67"/>
    </row>
    <row r="55" spans="1:12" ht="15.75" customHeight="1" x14ac:dyDescent="0.25">
      <c r="A55" t="s">
        <v>920</v>
      </c>
      <c r="B55" t="s">
        <v>986</v>
      </c>
      <c r="C55" s="69">
        <v>1400000</v>
      </c>
      <c r="D55" s="13">
        <v>46219</v>
      </c>
      <c r="E55" s="66">
        <v>46199.000138888892</v>
      </c>
      <c r="F55" s="40">
        <f t="shared" si="0"/>
        <v>46201.000138888892</v>
      </c>
      <c r="G55" s="27"/>
      <c r="L55" s="67"/>
    </row>
    <row r="56" spans="1:12" ht="15.75" customHeight="1" x14ac:dyDescent="0.25">
      <c r="A56" t="s">
        <v>921</v>
      </c>
      <c r="B56" t="s">
        <v>987</v>
      </c>
      <c r="C56" s="69">
        <v>1700000</v>
      </c>
      <c r="D56" s="13">
        <v>46220</v>
      </c>
      <c r="E56" s="66">
        <v>46199.000138888892</v>
      </c>
      <c r="F56" s="40">
        <f t="shared" si="0"/>
        <v>46201.000138888892</v>
      </c>
      <c r="G56" s="27"/>
      <c r="L56" s="67"/>
    </row>
    <row r="57" spans="1:12" ht="15.75" customHeight="1" x14ac:dyDescent="0.25">
      <c r="A57" t="s">
        <v>919</v>
      </c>
      <c r="B57" t="s">
        <v>988</v>
      </c>
      <c r="C57" s="69">
        <v>23839200</v>
      </c>
      <c r="D57" s="13">
        <v>46221</v>
      </c>
      <c r="E57" s="66">
        <v>46199.000138888892</v>
      </c>
      <c r="F57" s="40">
        <f t="shared" si="0"/>
        <v>46201.000138888892</v>
      </c>
      <c r="G57" s="27"/>
      <c r="L57" s="67"/>
    </row>
    <row r="58" spans="1:12" ht="15.75" customHeight="1" x14ac:dyDescent="0.25">
      <c r="A58" t="s">
        <v>920</v>
      </c>
      <c r="B58" t="s">
        <v>989</v>
      </c>
      <c r="C58" s="69">
        <v>1400000</v>
      </c>
      <c r="D58" s="13">
        <v>46222</v>
      </c>
      <c r="E58" s="66">
        <v>46198.000138888892</v>
      </c>
      <c r="F58" s="40">
        <f t="shared" si="0"/>
        <v>46200.000138888892</v>
      </c>
      <c r="G58" s="27"/>
      <c r="L58" s="67"/>
    </row>
    <row r="59" spans="1:12" ht="15.75" customHeight="1" x14ac:dyDescent="0.25">
      <c r="A59" t="s">
        <v>920</v>
      </c>
      <c r="B59" t="s">
        <v>990</v>
      </c>
      <c r="C59" s="69">
        <v>1500000</v>
      </c>
      <c r="D59" s="13">
        <v>46223</v>
      </c>
      <c r="E59" s="66">
        <v>46198.000138888892</v>
      </c>
      <c r="F59" s="40">
        <f t="shared" si="0"/>
        <v>46200.000138888892</v>
      </c>
      <c r="G59" s="27"/>
      <c r="L59" s="67"/>
    </row>
    <row r="60" spans="1:12" ht="15.75" customHeight="1" x14ac:dyDescent="0.25">
      <c r="A60" t="s">
        <v>921</v>
      </c>
      <c r="B60" t="s">
        <v>991</v>
      </c>
      <c r="C60" s="69">
        <v>1300000</v>
      </c>
      <c r="D60" s="13">
        <v>46224</v>
      </c>
      <c r="E60" s="66">
        <v>46197.000138888892</v>
      </c>
      <c r="F60" s="40">
        <f t="shared" si="0"/>
        <v>46199.000138888892</v>
      </c>
      <c r="G60" s="27"/>
      <c r="L60" s="67"/>
    </row>
    <row r="61" spans="1:12" ht="15.75" customHeight="1" x14ac:dyDescent="0.25">
      <c r="A61" t="s">
        <v>921</v>
      </c>
      <c r="B61" t="s">
        <v>992</v>
      </c>
      <c r="C61" s="69">
        <v>1433000</v>
      </c>
      <c r="D61" s="13">
        <v>46225</v>
      </c>
      <c r="E61" s="66">
        <v>46197.000138888892</v>
      </c>
      <c r="F61" s="40">
        <f t="shared" si="0"/>
        <v>46199.000138888892</v>
      </c>
      <c r="G61" s="27"/>
      <c r="L61" s="67"/>
    </row>
    <row r="62" spans="1:12" ht="15.75" customHeight="1" x14ac:dyDescent="0.25">
      <c r="A62" t="s">
        <v>925</v>
      </c>
      <c r="B62" t="s">
        <v>993</v>
      </c>
      <c r="C62" s="69">
        <v>9609600</v>
      </c>
      <c r="D62" s="13">
        <v>46226</v>
      </c>
      <c r="E62" s="66">
        <v>46197.000138888892</v>
      </c>
      <c r="F62" s="40">
        <f t="shared" si="0"/>
        <v>46199.000138888892</v>
      </c>
      <c r="G62" s="27"/>
      <c r="L62" s="67"/>
    </row>
    <row r="63" spans="1:12" ht="15.75" customHeight="1" x14ac:dyDescent="0.25">
      <c r="A63" t="s">
        <v>921</v>
      </c>
      <c r="B63" t="s">
        <v>994</v>
      </c>
      <c r="C63" s="69">
        <v>949750</v>
      </c>
      <c r="D63" s="13">
        <v>46227</v>
      </c>
      <c r="E63" s="66">
        <v>46197.000138888892</v>
      </c>
      <c r="F63" s="40">
        <f t="shared" si="0"/>
        <v>46199.000138888892</v>
      </c>
      <c r="G63" s="27"/>
      <c r="L63" s="67"/>
    </row>
    <row r="64" spans="1:12" ht="15.75" customHeight="1" x14ac:dyDescent="0.25">
      <c r="A64" t="s">
        <v>915</v>
      </c>
      <c r="B64" t="s">
        <v>995</v>
      </c>
      <c r="C64" s="69">
        <v>3050000</v>
      </c>
      <c r="D64" s="13">
        <v>46228</v>
      </c>
      <c r="E64" s="66">
        <v>46197.000138888892</v>
      </c>
      <c r="F64" s="40">
        <f t="shared" si="0"/>
        <v>46199.000138888892</v>
      </c>
      <c r="G64" s="27"/>
      <c r="L64" s="67"/>
    </row>
    <row r="65" spans="1:12" ht="15.75" customHeight="1" x14ac:dyDescent="0.25">
      <c r="A65" t="s">
        <v>921</v>
      </c>
      <c r="B65" t="s">
        <v>996</v>
      </c>
      <c r="C65" s="69">
        <v>1300000</v>
      </c>
      <c r="D65" s="13">
        <v>46229</v>
      </c>
      <c r="E65" s="66">
        <v>46196.000138888892</v>
      </c>
      <c r="F65" s="40">
        <f t="shared" si="0"/>
        <v>46198.000138888892</v>
      </c>
      <c r="G65" s="27"/>
      <c r="L65" s="67"/>
    </row>
    <row r="66" spans="1:12" ht="15.75" customHeight="1" x14ac:dyDescent="0.25">
      <c r="A66" t="s">
        <v>920</v>
      </c>
      <c r="B66" t="s">
        <v>997</v>
      </c>
      <c r="C66" s="69">
        <v>1500000</v>
      </c>
      <c r="D66" s="13">
        <v>46230</v>
      </c>
      <c r="E66" s="66">
        <v>46196.000138888892</v>
      </c>
      <c r="F66" s="40">
        <f t="shared" si="0"/>
        <v>46198.000138888892</v>
      </c>
      <c r="G66" s="27"/>
      <c r="L66" s="67"/>
    </row>
    <row r="67" spans="1:12" ht="15.75" customHeight="1" x14ac:dyDescent="0.25">
      <c r="A67" t="s">
        <v>920</v>
      </c>
      <c r="B67" t="s">
        <v>998</v>
      </c>
      <c r="C67" s="69">
        <v>1400000</v>
      </c>
      <c r="D67" s="13">
        <v>46231</v>
      </c>
      <c r="E67" s="66">
        <v>46196.000138888892</v>
      </c>
      <c r="F67" s="40">
        <f t="shared" si="0"/>
        <v>46198.000138888892</v>
      </c>
      <c r="G67" s="27"/>
      <c r="L67" s="67"/>
    </row>
    <row r="68" spans="1:12" ht="15.75" customHeight="1" x14ac:dyDescent="0.25">
      <c r="A68" t="s">
        <v>921</v>
      </c>
      <c r="B68" t="s">
        <v>999</v>
      </c>
      <c r="C68" s="69">
        <v>1700000</v>
      </c>
      <c r="D68" s="13">
        <v>46232</v>
      </c>
      <c r="E68" s="66">
        <v>46196.000138888892</v>
      </c>
      <c r="F68" s="40">
        <f t="shared" si="0"/>
        <v>46198.000138888892</v>
      </c>
      <c r="G68" s="27"/>
      <c r="L68" s="67"/>
    </row>
    <row r="69" spans="1:12" ht="15.75" customHeight="1" x14ac:dyDescent="0.25">
      <c r="A69" t="s">
        <v>921</v>
      </c>
      <c r="B69" t="s">
        <v>1000</v>
      </c>
      <c r="C69" s="69">
        <v>1300000</v>
      </c>
      <c r="D69" s="13">
        <v>46233</v>
      </c>
      <c r="E69" s="66">
        <v>46196.000138888892</v>
      </c>
      <c r="F69" s="40">
        <f t="shared" ref="F69:F132" si="1">+E69+2</f>
        <v>46198.000138888892</v>
      </c>
      <c r="G69" s="27"/>
      <c r="L69" s="67"/>
    </row>
    <row r="70" spans="1:12" ht="15.75" customHeight="1" x14ac:dyDescent="0.25">
      <c r="A70" t="s">
        <v>915</v>
      </c>
      <c r="B70" t="s">
        <v>1001</v>
      </c>
      <c r="C70" s="69">
        <v>3050000</v>
      </c>
      <c r="D70" s="13">
        <v>46234</v>
      </c>
      <c r="E70" s="66">
        <v>46196.000138888892</v>
      </c>
      <c r="F70" s="40">
        <f t="shared" si="1"/>
        <v>46198.000138888892</v>
      </c>
      <c r="G70" s="27"/>
      <c r="L70" s="67"/>
    </row>
    <row r="71" spans="1:12" ht="15.75" customHeight="1" x14ac:dyDescent="0.25">
      <c r="A71" t="s">
        <v>921</v>
      </c>
      <c r="B71" t="s">
        <v>1002</v>
      </c>
      <c r="C71" s="69">
        <v>1300000</v>
      </c>
      <c r="D71" s="13">
        <v>46235</v>
      </c>
      <c r="E71" s="66">
        <v>46195.000138888892</v>
      </c>
      <c r="F71" s="40">
        <f t="shared" si="1"/>
        <v>46197.000138888892</v>
      </c>
      <c r="G71" s="27"/>
      <c r="L71" s="67"/>
    </row>
    <row r="72" spans="1:12" ht="15.75" customHeight="1" x14ac:dyDescent="0.25">
      <c r="A72" t="s">
        <v>920</v>
      </c>
      <c r="B72" t="s">
        <v>1003</v>
      </c>
      <c r="C72" s="69">
        <v>1400000</v>
      </c>
      <c r="D72" s="13">
        <v>46236</v>
      </c>
      <c r="E72" s="66">
        <v>46195.000138888892</v>
      </c>
      <c r="F72" s="40">
        <f t="shared" si="1"/>
        <v>46197.000138888892</v>
      </c>
      <c r="G72" s="27"/>
      <c r="L72" s="67"/>
    </row>
    <row r="73" spans="1:12" ht="15.75" customHeight="1" x14ac:dyDescent="0.25">
      <c r="A73" t="s">
        <v>920</v>
      </c>
      <c r="B73" t="s">
        <v>1004</v>
      </c>
      <c r="C73" s="69">
        <v>1500000</v>
      </c>
      <c r="D73" s="13">
        <v>46237</v>
      </c>
      <c r="E73" s="66">
        <v>46195.000138888892</v>
      </c>
      <c r="F73" s="40">
        <f t="shared" si="1"/>
        <v>46197.000138888892</v>
      </c>
      <c r="G73" s="27"/>
      <c r="L73" s="67"/>
    </row>
    <row r="74" spans="1:12" ht="15.75" customHeight="1" x14ac:dyDescent="0.25">
      <c r="A74" t="s">
        <v>921</v>
      </c>
      <c r="B74" t="s">
        <v>1005</v>
      </c>
      <c r="C74" s="69">
        <v>1700000</v>
      </c>
      <c r="D74" s="13">
        <v>46238</v>
      </c>
      <c r="E74" s="66">
        <v>46195.000138888892</v>
      </c>
      <c r="F74" s="40">
        <f t="shared" si="1"/>
        <v>46197.000138888892</v>
      </c>
      <c r="G74" s="27"/>
      <c r="L74" s="67"/>
    </row>
    <row r="75" spans="1:12" ht="15.75" customHeight="1" x14ac:dyDescent="0.25">
      <c r="A75" t="s">
        <v>926</v>
      </c>
      <c r="B75" t="s">
        <v>1006</v>
      </c>
      <c r="C75" s="69">
        <v>32881480.800000001</v>
      </c>
      <c r="D75" s="13">
        <v>46239</v>
      </c>
      <c r="E75" s="66">
        <v>46195.000138888892</v>
      </c>
      <c r="F75" s="40">
        <f t="shared" si="1"/>
        <v>46197.000138888892</v>
      </c>
      <c r="G75" s="27"/>
      <c r="L75" s="67"/>
    </row>
    <row r="76" spans="1:12" ht="15.75" customHeight="1" x14ac:dyDescent="0.25">
      <c r="A76" t="s">
        <v>921</v>
      </c>
      <c r="B76" t="s">
        <v>1007</v>
      </c>
      <c r="C76" s="69">
        <v>1300000</v>
      </c>
      <c r="D76" s="13">
        <v>46240</v>
      </c>
      <c r="E76" s="66">
        <v>46195.000138888892</v>
      </c>
      <c r="F76" s="40">
        <f t="shared" si="1"/>
        <v>46197.000138888892</v>
      </c>
      <c r="G76" s="27"/>
      <c r="L76" s="67"/>
    </row>
    <row r="77" spans="1:12" ht="15.75" customHeight="1" x14ac:dyDescent="0.25">
      <c r="A77" t="s">
        <v>915</v>
      </c>
      <c r="B77" t="s">
        <v>1008</v>
      </c>
      <c r="C77" s="69">
        <v>3050000</v>
      </c>
      <c r="D77" s="13">
        <v>46241</v>
      </c>
      <c r="E77" s="66">
        <v>46195.000138888892</v>
      </c>
      <c r="F77" s="40">
        <f t="shared" si="1"/>
        <v>46197.000138888892</v>
      </c>
      <c r="G77" s="27"/>
      <c r="L77" s="67"/>
    </row>
    <row r="78" spans="1:12" ht="15.75" customHeight="1" x14ac:dyDescent="0.25">
      <c r="A78" t="s">
        <v>915</v>
      </c>
      <c r="B78" t="s">
        <v>1009</v>
      </c>
      <c r="C78" s="69">
        <v>3050000</v>
      </c>
      <c r="D78" s="13">
        <v>46242</v>
      </c>
      <c r="E78" s="66">
        <v>46194.000138888892</v>
      </c>
      <c r="F78" s="40">
        <f t="shared" si="1"/>
        <v>46196.000138888892</v>
      </c>
      <c r="G78" s="27"/>
      <c r="L78" s="67"/>
    </row>
    <row r="79" spans="1:12" ht="15.75" customHeight="1" x14ac:dyDescent="0.25">
      <c r="A79" t="s">
        <v>927</v>
      </c>
      <c r="B79" t="s">
        <v>1010</v>
      </c>
      <c r="C79" s="69">
        <v>14000000</v>
      </c>
      <c r="D79" s="13">
        <v>46243</v>
      </c>
      <c r="E79" s="66">
        <v>46193.000138888892</v>
      </c>
      <c r="F79" s="40">
        <f t="shared" si="1"/>
        <v>46195.000138888892</v>
      </c>
      <c r="G79" s="27"/>
      <c r="L79" s="67"/>
    </row>
    <row r="80" spans="1:12" ht="15.75" customHeight="1" x14ac:dyDescent="0.25">
      <c r="A80" t="s">
        <v>927</v>
      </c>
      <c r="B80" t="s">
        <v>1011</v>
      </c>
      <c r="C80" s="69">
        <v>12277397.439999999</v>
      </c>
      <c r="D80" s="13">
        <v>46244</v>
      </c>
      <c r="E80" s="66">
        <v>46193.000138888892</v>
      </c>
      <c r="F80" s="40">
        <f t="shared" si="1"/>
        <v>46195.000138888892</v>
      </c>
      <c r="G80" s="27"/>
      <c r="L80" s="67"/>
    </row>
    <row r="81" spans="1:12" ht="15.75" customHeight="1" x14ac:dyDescent="0.25">
      <c r="A81" t="s">
        <v>926</v>
      </c>
      <c r="B81" t="s">
        <v>1012</v>
      </c>
      <c r="C81" s="69">
        <v>28000000</v>
      </c>
      <c r="D81" s="13">
        <v>46245</v>
      </c>
      <c r="E81" s="66">
        <v>46193.000138888892</v>
      </c>
      <c r="F81" s="40">
        <f t="shared" si="1"/>
        <v>46195.000138888892</v>
      </c>
      <c r="G81" s="27"/>
      <c r="L81" s="67"/>
    </row>
    <row r="82" spans="1:12" ht="15.75" customHeight="1" x14ac:dyDescent="0.25">
      <c r="A82" t="s">
        <v>918</v>
      </c>
      <c r="B82" t="s">
        <v>1013</v>
      </c>
      <c r="C82" s="69">
        <v>6526515</v>
      </c>
      <c r="D82" s="13">
        <v>46246</v>
      </c>
      <c r="E82" s="66">
        <v>46193.000138888892</v>
      </c>
      <c r="F82" s="40">
        <f t="shared" si="1"/>
        <v>46195.000138888892</v>
      </c>
      <c r="G82" s="27"/>
      <c r="L82" s="67"/>
    </row>
    <row r="83" spans="1:12" ht="15.75" customHeight="1" x14ac:dyDescent="0.25">
      <c r="A83" t="s">
        <v>918</v>
      </c>
      <c r="B83" t="s">
        <v>1014</v>
      </c>
      <c r="C83" s="69">
        <v>10000000</v>
      </c>
      <c r="D83" s="13">
        <v>46247</v>
      </c>
      <c r="E83" s="66">
        <v>46193.000138888892</v>
      </c>
      <c r="F83" s="40">
        <f t="shared" si="1"/>
        <v>46195.000138888892</v>
      </c>
      <c r="G83" s="27"/>
      <c r="L83" s="67"/>
    </row>
    <row r="84" spans="1:12" ht="15.75" customHeight="1" x14ac:dyDescent="0.25">
      <c r="A84" t="s">
        <v>918</v>
      </c>
      <c r="B84" t="s">
        <v>1015</v>
      </c>
      <c r="C84" s="69">
        <v>10000000</v>
      </c>
      <c r="D84" s="13">
        <v>46248</v>
      </c>
      <c r="E84" s="66">
        <v>46193.000138888892</v>
      </c>
      <c r="F84" s="40">
        <f t="shared" si="1"/>
        <v>46195.000138888892</v>
      </c>
      <c r="G84" s="27"/>
      <c r="L84" s="67"/>
    </row>
    <row r="85" spans="1:12" ht="15.75" customHeight="1" x14ac:dyDescent="0.25">
      <c r="A85" t="s">
        <v>918</v>
      </c>
      <c r="B85" t="s">
        <v>1016</v>
      </c>
      <c r="C85" s="69">
        <v>10000000</v>
      </c>
      <c r="D85" s="13">
        <v>46249</v>
      </c>
      <c r="E85" s="66">
        <v>46193.000138888892</v>
      </c>
      <c r="F85" s="40">
        <f t="shared" si="1"/>
        <v>46195.000138888892</v>
      </c>
      <c r="G85" s="27"/>
      <c r="L85" s="67"/>
    </row>
    <row r="86" spans="1:12" ht="15.75" customHeight="1" x14ac:dyDescent="0.25">
      <c r="A86" t="s">
        <v>918</v>
      </c>
      <c r="B86" t="s">
        <v>1017</v>
      </c>
      <c r="C86" s="69">
        <v>10000000</v>
      </c>
      <c r="D86" s="13">
        <v>46250</v>
      </c>
      <c r="E86" s="66">
        <v>46193.000138888892</v>
      </c>
      <c r="F86" s="40">
        <f t="shared" si="1"/>
        <v>46195.000138888892</v>
      </c>
      <c r="G86" s="27"/>
      <c r="L86" s="67"/>
    </row>
    <row r="87" spans="1:12" ht="15.75" customHeight="1" x14ac:dyDescent="0.25">
      <c r="A87" t="s">
        <v>922</v>
      </c>
      <c r="B87" t="s">
        <v>1018</v>
      </c>
      <c r="C87" s="69">
        <v>14268870</v>
      </c>
      <c r="D87" s="13">
        <v>46251</v>
      </c>
      <c r="E87" s="66">
        <v>46193.000138888892</v>
      </c>
      <c r="F87" s="40">
        <f t="shared" si="1"/>
        <v>46195.000138888892</v>
      </c>
      <c r="G87" s="27"/>
      <c r="L87" s="67"/>
    </row>
    <row r="88" spans="1:12" ht="15.75" customHeight="1" x14ac:dyDescent="0.25">
      <c r="A88" t="s">
        <v>918</v>
      </c>
      <c r="B88" t="s">
        <v>1019</v>
      </c>
      <c r="C88" s="69">
        <v>10000000</v>
      </c>
      <c r="D88" s="13">
        <v>46252</v>
      </c>
      <c r="E88" s="66">
        <v>46193.000138888892</v>
      </c>
      <c r="F88" s="40">
        <f t="shared" si="1"/>
        <v>46195.000138888892</v>
      </c>
      <c r="G88" s="27"/>
      <c r="L88" s="67"/>
    </row>
    <row r="89" spans="1:12" ht="15.75" customHeight="1" x14ac:dyDescent="0.25">
      <c r="A89" t="s">
        <v>918</v>
      </c>
      <c r="B89" t="s">
        <v>1020</v>
      </c>
      <c r="C89" s="69">
        <v>10000000</v>
      </c>
      <c r="D89" s="13">
        <v>46253</v>
      </c>
      <c r="E89" s="66">
        <v>46193.000138888892</v>
      </c>
      <c r="F89" s="40">
        <f t="shared" si="1"/>
        <v>46195.000138888892</v>
      </c>
      <c r="G89" s="27"/>
      <c r="L89" s="67"/>
    </row>
    <row r="90" spans="1:12" ht="15.75" customHeight="1" x14ac:dyDescent="0.25">
      <c r="A90" t="s">
        <v>917</v>
      </c>
      <c r="B90" t="s">
        <v>1021</v>
      </c>
      <c r="C90" s="69">
        <v>3000380</v>
      </c>
      <c r="D90" s="13">
        <v>46254</v>
      </c>
      <c r="E90" s="66">
        <v>46193.000138888892</v>
      </c>
      <c r="F90" s="40">
        <f t="shared" si="1"/>
        <v>46195.000138888892</v>
      </c>
      <c r="G90" s="27"/>
      <c r="L90" s="67"/>
    </row>
    <row r="91" spans="1:12" ht="15.75" customHeight="1" x14ac:dyDescent="0.25">
      <c r="A91" t="s">
        <v>917</v>
      </c>
      <c r="B91" t="s">
        <v>1022</v>
      </c>
      <c r="C91" s="69">
        <v>3019000</v>
      </c>
      <c r="D91" s="13">
        <v>46255</v>
      </c>
      <c r="E91" s="66">
        <v>46193.000138888892</v>
      </c>
      <c r="F91" s="40">
        <f t="shared" si="1"/>
        <v>46195.000138888892</v>
      </c>
      <c r="G91" s="27"/>
      <c r="L91" s="67"/>
    </row>
    <row r="92" spans="1:12" ht="15.75" customHeight="1" x14ac:dyDescent="0.25">
      <c r="A92" t="s">
        <v>915</v>
      </c>
      <c r="B92" t="s">
        <v>1023</v>
      </c>
      <c r="C92" s="69">
        <v>3050000</v>
      </c>
      <c r="D92" s="13">
        <v>46256</v>
      </c>
      <c r="E92" s="66">
        <v>46193.000138888892</v>
      </c>
      <c r="F92" s="40">
        <f t="shared" si="1"/>
        <v>46195.000138888892</v>
      </c>
      <c r="G92" s="27"/>
      <c r="L92" s="67"/>
    </row>
    <row r="93" spans="1:12" ht="15.75" customHeight="1" x14ac:dyDescent="0.25">
      <c r="A93" t="s">
        <v>920</v>
      </c>
      <c r="B93" t="s">
        <v>1024</v>
      </c>
      <c r="C93" s="69">
        <v>1400000</v>
      </c>
      <c r="D93" s="13">
        <v>46257</v>
      </c>
      <c r="E93" s="66">
        <v>46192.000138888892</v>
      </c>
      <c r="F93" s="40">
        <f t="shared" si="1"/>
        <v>46194.000138888892</v>
      </c>
      <c r="G93" s="27"/>
      <c r="L93" s="67"/>
    </row>
    <row r="94" spans="1:12" ht="15.75" customHeight="1" x14ac:dyDescent="0.25">
      <c r="A94" t="s">
        <v>920</v>
      </c>
      <c r="B94" t="s">
        <v>1025</v>
      </c>
      <c r="C94" s="69">
        <v>1500000</v>
      </c>
      <c r="D94" s="13">
        <v>46258</v>
      </c>
      <c r="E94" s="66">
        <v>46192.000138888892</v>
      </c>
      <c r="F94" s="40">
        <f t="shared" si="1"/>
        <v>46194.000138888892</v>
      </c>
      <c r="G94" s="27"/>
      <c r="L94" s="67"/>
    </row>
    <row r="95" spans="1:12" ht="15.75" customHeight="1" x14ac:dyDescent="0.25">
      <c r="A95" t="s">
        <v>921</v>
      </c>
      <c r="B95" t="s">
        <v>1026</v>
      </c>
      <c r="C95" s="69">
        <v>1700000</v>
      </c>
      <c r="D95" s="13">
        <v>46259</v>
      </c>
      <c r="E95" s="66">
        <v>46192.000138888892</v>
      </c>
      <c r="F95" s="40">
        <f t="shared" si="1"/>
        <v>46194.000138888892</v>
      </c>
      <c r="G95" s="27"/>
      <c r="L95" s="67"/>
    </row>
    <row r="96" spans="1:12" ht="15.75" customHeight="1" x14ac:dyDescent="0.25">
      <c r="A96" t="s">
        <v>921</v>
      </c>
      <c r="B96" t="s">
        <v>1027</v>
      </c>
      <c r="C96" s="69">
        <v>1300000</v>
      </c>
      <c r="D96" s="13">
        <v>46260</v>
      </c>
      <c r="E96" s="66">
        <v>46192.000138888892</v>
      </c>
      <c r="F96" s="40">
        <f t="shared" si="1"/>
        <v>46194.000138888892</v>
      </c>
      <c r="G96" s="27"/>
      <c r="L96" s="67"/>
    </row>
    <row r="97" spans="1:12" ht="15.75" customHeight="1" x14ac:dyDescent="0.25">
      <c r="A97" t="s">
        <v>924</v>
      </c>
      <c r="B97" t="s">
        <v>1028</v>
      </c>
      <c r="C97" s="69">
        <v>21096432.5</v>
      </c>
      <c r="D97" s="13">
        <v>46261</v>
      </c>
      <c r="E97" s="66">
        <v>46192.000138888892</v>
      </c>
      <c r="F97" s="40">
        <f t="shared" si="1"/>
        <v>46194.000138888892</v>
      </c>
      <c r="G97" s="27"/>
      <c r="L97" s="67"/>
    </row>
    <row r="98" spans="1:12" ht="15.75" customHeight="1" x14ac:dyDescent="0.25">
      <c r="A98" t="s">
        <v>917</v>
      </c>
      <c r="B98" t="s">
        <v>1029</v>
      </c>
      <c r="C98" s="69">
        <v>3000060</v>
      </c>
      <c r="D98" s="13">
        <v>46262</v>
      </c>
      <c r="E98" s="66">
        <v>46192.000138888892</v>
      </c>
      <c r="F98" s="40">
        <f t="shared" si="1"/>
        <v>46194.000138888892</v>
      </c>
      <c r="G98" s="27"/>
      <c r="L98" s="67"/>
    </row>
    <row r="99" spans="1:12" ht="15.75" customHeight="1" x14ac:dyDescent="0.25">
      <c r="A99" t="s">
        <v>917</v>
      </c>
      <c r="B99" t="s">
        <v>1030</v>
      </c>
      <c r="C99" s="69">
        <v>2364000</v>
      </c>
      <c r="D99" s="13">
        <v>46263</v>
      </c>
      <c r="E99" s="66">
        <v>46192.000138888892</v>
      </c>
      <c r="F99" s="40">
        <f t="shared" si="1"/>
        <v>46194.000138888892</v>
      </c>
      <c r="G99" s="27"/>
      <c r="L99" s="67"/>
    </row>
    <row r="100" spans="1:12" ht="15.75" customHeight="1" x14ac:dyDescent="0.25">
      <c r="A100" t="s">
        <v>917</v>
      </c>
      <c r="B100" t="s">
        <v>1031</v>
      </c>
      <c r="C100" s="69">
        <v>3000900</v>
      </c>
      <c r="D100" s="13">
        <v>46264</v>
      </c>
      <c r="E100" s="66">
        <v>46192.000138888892</v>
      </c>
      <c r="F100" s="40">
        <f t="shared" si="1"/>
        <v>46194.000138888892</v>
      </c>
      <c r="G100" s="27"/>
      <c r="L100" s="67"/>
    </row>
    <row r="101" spans="1:12" ht="15.75" customHeight="1" x14ac:dyDescent="0.25">
      <c r="A101" t="s">
        <v>928</v>
      </c>
      <c r="B101" t="s">
        <v>1032</v>
      </c>
      <c r="C101" s="69">
        <v>1339800</v>
      </c>
      <c r="D101" s="13">
        <v>46265</v>
      </c>
      <c r="E101" s="66">
        <v>46192.000138888892</v>
      </c>
      <c r="F101" s="40">
        <f t="shared" si="1"/>
        <v>46194.000138888892</v>
      </c>
      <c r="G101" s="27"/>
      <c r="L101" s="67"/>
    </row>
    <row r="102" spans="1:12" ht="15.75" customHeight="1" x14ac:dyDescent="0.25">
      <c r="A102" t="s">
        <v>915</v>
      </c>
      <c r="B102" t="s">
        <v>1033</v>
      </c>
      <c r="C102" s="69">
        <v>3050000</v>
      </c>
      <c r="D102" s="13">
        <v>46266</v>
      </c>
      <c r="E102" s="66">
        <v>46192.000138888892</v>
      </c>
      <c r="F102" s="40">
        <f t="shared" si="1"/>
        <v>46194.000138888892</v>
      </c>
      <c r="G102" s="27"/>
      <c r="L102" s="67"/>
    </row>
    <row r="103" spans="1:12" ht="15.75" customHeight="1" x14ac:dyDescent="0.25">
      <c r="A103" t="s">
        <v>919</v>
      </c>
      <c r="B103" t="s">
        <v>1034</v>
      </c>
      <c r="C103" s="69">
        <v>28375270</v>
      </c>
      <c r="D103" s="13">
        <v>46267</v>
      </c>
      <c r="E103" s="66">
        <v>46192.000138888892</v>
      </c>
      <c r="F103" s="40">
        <f t="shared" si="1"/>
        <v>46194.000138888892</v>
      </c>
      <c r="G103" s="27"/>
      <c r="L103" s="67"/>
    </row>
    <row r="104" spans="1:12" ht="15.75" customHeight="1" x14ac:dyDescent="0.25">
      <c r="A104" t="s">
        <v>920</v>
      </c>
      <c r="B104" t="s">
        <v>1035</v>
      </c>
      <c r="C104" s="69">
        <v>1400000</v>
      </c>
      <c r="D104" s="13">
        <v>46268</v>
      </c>
      <c r="E104" s="66">
        <v>46191.000138888892</v>
      </c>
      <c r="F104" s="40">
        <f t="shared" si="1"/>
        <v>46193.000138888892</v>
      </c>
      <c r="G104" s="27"/>
      <c r="L104" s="67"/>
    </row>
    <row r="105" spans="1:12" ht="15.75" customHeight="1" x14ac:dyDescent="0.25">
      <c r="A105" t="s">
        <v>920</v>
      </c>
      <c r="B105" t="s">
        <v>1036</v>
      </c>
      <c r="C105" s="69">
        <v>1420740</v>
      </c>
      <c r="D105" s="13">
        <v>46269</v>
      </c>
      <c r="E105" s="66">
        <v>46191.000138888892</v>
      </c>
      <c r="F105" s="40">
        <f t="shared" si="1"/>
        <v>46193.000138888892</v>
      </c>
      <c r="G105" s="27"/>
      <c r="L105" s="67"/>
    </row>
    <row r="106" spans="1:12" ht="15.75" customHeight="1" x14ac:dyDescent="0.25">
      <c r="A106" t="s">
        <v>915</v>
      </c>
      <c r="B106" t="s">
        <v>1037</v>
      </c>
      <c r="C106" s="69">
        <v>3050000</v>
      </c>
      <c r="D106" s="13">
        <v>46270</v>
      </c>
      <c r="E106" s="66">
        <v>46191.000138888892</v>
      </c>
      <c r="F106" s="40">
        <f t="shared" si="1"/>
        <v>46193.000138888892</v>
      </c>
      <c r="G106" s="27"/>
      <c r="L106" s="67"/>
    </row>
    <row r="107" spans="1:12" ht="15.75" customHeight="1" x14ac:dyDescent="0.25">
      <c r="A107" t="s">
        <v>920</v>
      </c>
      <c r="B107" t="s">
        <v>1038</v>
      </c>
      <c r="C107" s="69">
        <v>1460205</v>
      </c>
      <c r="D107" s="13">
        <v>46271</v>
      </c>
      <c r="E107" s="66">
        <v>46191.000138888892</v>
      </c>
      <c r="F107" s="40">
        <f t="shared" si="1"/>
        <v>46193.000138888892</v>
      </c>
      <c r="G107" s="27"/>
      <c r="L107" s="67"/>
    </row>
    <row r="108" spans="1:12" ht="15.75" customHeight="1" x14ac:dyDescent="0.25">
      <c r="A108" t="s">
        <v>920</v>
      </c>
      <c r="B108" t="s">
        <v>1039</v>
      </c>
      <c r="C108" s="69">
        <v>1500000</v>
      </c>
      <c r="D108" s="13">
        <v>46272</v>
      </c>
      <c r="E108" s="66">
        <v>46190.000138888892</v>
      </c>
      <c r="F108" s="40">
        <f t="shared" si="1"/>
        <v>46192.000138888892</v>
      </c>
      <c r="G108" s="27"/>
      <c r="L108" s="67"/>
    </row>
    <row r="109" spans="1:12" ht="15.75" customHeight="1" x14ac:dyDescent="0.25">
      <c r="A109" t="s">
        <v>920</v>
      </c>
      <c r="B109" t="s">
        <v>1040</v>
      </c>
      <c r="C109" s="69">
        <v>1400000</v>
      </c>
      <c r="D109" s="13">
        <v>46273</v>
      </c>
      <c r="E109" s="66">
        <v>46190.000138888892</v>
      </c>
      <c r="F109" s="40">
        <f t="shared" si="1"/>
        <v>46192.000138888892</v>
      </c>
      <c r="G109" s="27"/>
      <c r="L109" s="67"/>
    </row>
    <row r="110" spans="1:12" ht="15.75" customHeight="1" x14ac:dyDescent="0.25">
      <c r="A110" t="s">
        <v>924</v>
      </c>
      <c r="B110" t="s">
        <v>1041</v>
      </c>
      <c r="C110" s="69">
        <v>18000000</v>
      </c>
      <c r="D110" s="13">
        <v>46274</v>
      </c>
      <c r="E110" s="66">
        <v>46190.000138888892</v>
      </c>
      <c r="F110" s="40">
        <f t="shared" si="1"/>
        <v>46192.000138888892</v>
      </c>
      <c r="G110" s="27"/>
      <c r="L110" s="67"/>
    </row>
    <row r="111" spans="1:12" ht="15.75" customHeight="1" x14ac:dyDescent="0.25">
      <c r="A111" t="s">
        <v>921</v>
      </c>
      <c r="B111" t="s">
        <v>1042</v>
      </c>
      <c r="C111" s="69">
        <v>1700000</v>
      </c>
      <c r="D111" s="13">
        <v>46275</v>
      </c>
      <c r="E111" s="66">
        <v>46190.000138888892</v>
      </c>
      <c r="F111" s="40">
        <f t="shared" si="1"/>
        <v>46192.000138888892</v>
      </c>
      <c r="G111" s="27"/>
      <c r="L111" s="67"/>
    </row>
    <row r="112" spans="1:12" ht="15.75" customHeight="1" x14ac:dyDescent="0.25">
      <c r="A112" t="s">
        <v>921</v>
      </c>
      <c r="B112" t="s">
        <v>1043</v>
      </c>
      <c r="C112" s="69">
        <v>1300000</v>
      </c>
      <c r="D112" s="13">
        <v>46276</v>
      </c>
      <c r="E112" s="66">
        <v>46190.000138888892</v>
      </c>
      <c r="F112" s="40">
        <f t="shared" si="1"/>
        <v>46192.000138888892</v>
      </c>
      <c r="G112" s="27"/>
      <c r="L112" s="67"/>
    </row>
    <row r="113" spans="1:12" ht="15.75" customHeight="1" x14ac:dyDescent="0.25">
      <c r="A113" t="s">
        <v>920</v>
      </c>
      <c r="B113" t="s">
        <v>1044</v>
      </c>
      <c r="C113" s="69">
        <v>1440000</v>
      </c>
      <c r="D113" s="13">
        <v>46277</v>
      </c>
      <c r="E113" s="66">
        <v>46190.000138888892</v>
      </c>
      <c r="F113" s="40">
        <f t="shared" si="1"/>
        <v>46192.000138888892</v>
      </c>
      <c r="G113" s="27"/>
      <c r="L113" s="67"/>
    </row>
    <row r="114" spans="1:12" ht="15.75" customHeight="1" x14ac:dyDescent="0.25">
      <c r="A114" t="s">
        <v>915</v>
      </c>
      <c r="B114" t="s">
        <v>1045</v>
      </c>
      <c r="C114" s="69">
        <v>3050000</v>
      </c>
      <c r="D114" s="13">
        <v>46278</v>
      </c>
      <c r="E114" s="66">
        <v>46190.000138888892</v>
      </c>
      <c r="F114" s="40">
        <f t="shared" si="1"/>
        <v>46192.000138888892</v>
      </c>
      <c r="G114" s="27"/>
      <c r="L114" s="67"/>
    </row>
    <row r="115" spans="1:12" ht="15.75" customHeight="1" x14ac:dyDescent="0.25">
      <c r="A115" t="s">
        <v>920</v>
      </c>
      <c r="B115" t="s">
        <v>1046</v>
      </c>
      <c r="C115" s="69">
        <v>1480000</v>
      </c>
      <c r="D115" s="13">
        <v>46279</v>
      </c>
      <c r="E115" s="66">
        <v>46190.000138888892</v>
      </c>
      <c r="F115" s="40">
        <f t="shared" si="1"/>
        <v>46192.000138888892</v>
      </c>
      <c r="G115" s="27"/>
      <c r="L115" s="67"/>
    </row>
    <row r="116" spans="1:12" ht="15.75" customHeight="1" x14ac:dyDescent="0.25">
      <c r="A116" t="s">
        <v>920</v>
      </c>
      <c r="B116" t="s">
        <v>1047</v>
      </c>
      <c r="C116" s="69">
        <v>1400000</v>
      </c>
      <c r="D116" s="13">
        <v>46280</v>
      </c>
      <c r="E116" s="66">
        <v>46189.000138888892</v>
      </c>
      <c r="F116" s="40">
        <f t="shared" si="1"/>
        <v>46191.000138888892</v>
      </c>
      <c r="G116" s="27"/>
      <c r="L116" s="67"/>
    </row>
    <row r="117" spans="1:12" ht="15.75" customHeight="1" x14ac:dyDescent="0.25">
      <c r="A117" t="s">
        <v>920</v>
      </c>
      <c r="B117" t="s">
        <v>1048</v>
      </c>
      <c r="C117" s="69">
        <v>1500000</v>
      </c>
      <c r="D117" s="13">
        <v>46281</v>
      </c>
      <c r="E117" s="66">
        <v>46189.000138888892</v>
      </c>
      <c r="F117" s="40">
        <f t="shared" si="1"/>
        <v>46191.000138888892</v>
      </c>
      <c r="G117" s="27"/>
      <c r="L117" s="67"/>
    </row>
    <row r="118" spans="1:12" ht="15.75" customHeight="1" x14ac:dyDescent="0.25">
      <c r="A118" t="s">
        <v>921</v>
      </c>
      <c r="B118" t="s">
        <v>1049</v>
      </c>
      <c r="C118" s="69">
        <v>1300000</v>
      </c>
      <c r="D118" s="13">
        <v>46282</v>
      </c>
      <c r="E118" s="66">
        <v>46189.000138888892</v>
      </c>
      <c r="F118" s="40">
        <f t="shared" si="1"/>
        <v>46191.000138888892</v>
      </c>
      <c r="G118" s="27"/>
      <c r="L118" s="67"/>
    </row>
    <row r="119" spans="1:12" ht="15.75" customHeight="1" x14ac:dyDescent="0.25">
      <c r="A119" t="s">
        <v>920</v>
      </c>
      <c r="B119" t="s">
        <v>1050</v>
      </c>
      <c r="C119" s="69">
        <v>1440000</v>
      </c>
      <c r="D119" s="13">
        <v>46283</v>
      </c>
      <c r="E119" s="66">
        <v>46189.000138888892</v>
      </c>
      <c r="F119" s="40">
        <f t="shared" si="1"/>
        <v>46191.000138888892</v>
      </c>
      <c r="G119" s="27"/>
      <c r="L119" s="67"/>
    </row>
    <row r="120" spans="1:12" ht="15.75" customHeight="1" x14ac:dyDescent="0.25">
      <c r="A120" t="s">
        <v>920</v>
      </c>
      <c r="B120" t="s">
        <v>1051</v>
      </c>
      <c r="C120" s="69">
        <v>1480000</v>
      </c>
      <c r="D120" s="13">
        <v>46284</v>
      </c>
      <c r="E120" s="66">
        <v>46189.000138888892</v>
      </c>
      <c r="F120" s="40">
        <f t="shared" si="1"/>
        <v>46191.000138888892</v>
      </c>
      <c r="G120" s="27"/>
      <c r="L120" s="67"/>
    </row>
    <row r="121" spans="1:12" ht="15.75" customHeight="1" x14ac:dyDescent="0.25">
      <c r="A121" t="s">
        <v>915</v>
      </c>
      <c r="B121" t="s">
        <v>1052</v>
      </c>
      <c r="C121" s="69">
        <v>2983045</v>
      </c>
      <c r="D121" s="13">
        <v>46285</v>
      </c>
      <c r="E121" s="66">
        <v>46189.000138888892</v>
      </c>
      <c r="F121" s="40">
        <f t="shared" si="1"/>
        <v>46191.000138888892</v>
      </c>
      <c r="G121" s="27"/>
      <c r="L121" s="67"/>
    </row>
    <row r="122" spans="1:12" ht="15.75" customHeight="1" x14ac:dyDescent="0.25">
      <c r="A122" t="s">
        <v>923</v>
      </c>
      <c r="B122" t="s">
        <v>1053</v>
      </c>
      <c r="C122" s="69">
        <v>11744287.5</v>
      </c>
      <c r="D122" s="13">
        <v>46286</v>
      </c>
      <c r="E122" s="66">
        <v>46189.000138888892</v>
      </c>
      <c r="F122" s="40">
        <f t="shared" si="1"/>
        <v>46191.000138888892</v>
      </c>
      <c r="G122" s="27"/>
      <c r="L122" s="67"/>
    </row>
    <row r="123" spans="1:12" ht="15.75" customHeight="1" x14ac:dyDescent="0.25">
      <c r="A123" t="s">
        <v>929</v>
      </c>
      <c r="B123" t="s">
        <v>1054</v>
      </c>
      <c r="C123" s="69">
        <v>6000000</v>
      </c>
      <c r="D123" s="13">
        <v>46287</v>
      </c>
      <c r="E123" s="66">
        <v>46188.000138888892</v>
      </c>
      <c r="F123" s="40">
        <f t="shared" si="1"/>
        <v>46190.000138888892</v>
      </c>
      <c r="G123" s="27"/>
      <c r="L123" s="67"/>
    </row>
    <row r="124" spans="1:12" ht="15.75" customHeight="1" x14ac:dyDescent="0.25">
      <c r="A124" t="s">
        <v>929</v>
      </c>
      <c r="B124" t="s">
        <v>1055</v>
      </c>
      <c r="C124" s="69">
        <v>6000000</v>
      </c>
      <c r="D124" s="13">
        <v>46288</v>
      </c>
      <c r="E124" s="66">
        <v>46188.000138888892</v>
      </c>
      <c r="F124" s="40">
        <f t="shared" si="1"/>
        <v>46190.000138888892</v>
      </c>
      <c r="G124" s="27"/>
      <c r="L124" s="67"/>
    </row>
    <row r="125" spans="1:12" ht="15.75" customHeight="1" x14ac:dyDescent="0.25">
      <c r="A125" t="s">
        <v>929</v>
      </c>
      <c r="B125" t="s">
        <v>1056</v>
      </c>
      <c r="C125" s="69">
        <v>4658569</v>
      </c>
      <c r="D125" s="13">
        <v>46289</v>
      </c>
      <c r="E125" s="66">
        <v>46188.000138888892</v>
      </c>
      <c r="F125" s="40">
        <f t="shared" si="1"/>
        <v>46190.000138888892</v>
      </c>
      <c r="G125" s="27"/>
      <c r="L125" s="67"/>
    </row>
    <row r="126" spans="1:12" ht="15.75" customHeight="1" x14ac:dyDescent="0.25">
      <c r="A126" t="s">
        <v>917</v>
      </c>
      <c r="B126" t="s">
        <v>1057</v>
      </c>
      <c r="C126" s="69">
        <v>3004000</v>
      </c>
      <c r="D126" s="13">
        <v>46290</v>
      </c>
      <c r="E126" s="66">
        <v>46187.000138888892</v>
      </c>
      <c r="F126" s="40">
        <f t="shared" si="1"/>
        <v>46189.000138888892</v>
      </c>
      <c r="G126" s="27"/>
      <c r="L126" s="67"/>
    </row>
    <row r="127" spans="1:12" ht="15.75" customHeight="1" x14ac:dyDescent="0.25">
      <c r="A127" t="s">
        <v>917</v>
      </c>
      <c r="B127" t="s">
        <v>1058</v>
      </c>
      <c r="C127" s="69">
        <v>1200000</v>
      </c>
      <c r="D127" s="13">
        <v>46291</v>
      </c>
      <c r="E127" s="66">
        <v>46187.000138888892</v>
      </c>
      <c r="F127" s="40">
        <f t="shared" si="1"/>
        <v>46189.000138888892</v>
      </c>
      <c r="G127" s="27"/>
      <c r="L127" s="67"/>
    </row>
    <row r="128" spans="1:12" ht="15.75" customHeight="1" x14ac:dyDescent="0.25">
      <c r="A128" t="s">
        <v>917</v>
      </c>
      <c r="B128" t="s">
        <v>1059</v>
      </c>
      <c r="C128" s="69">
        <v>3050000</v>
      </c>
      <c r="D128" s="13">
        <v>46292</v>
      </c>
      <c r="E128" s="66">
        <v>46187.000138888892</v>
      </c>
      <c r="F128" s="40">
        <f t="shared" si="1"/>
        <v>46189.000138888892</v>
      </c>
      <c r="G128" s="27"/>
      <c r="L128" s="67"/>
    </row>
    <row r="129" spans="1:12" ht="15.75" customHeight="1" x14ac:dyDescent="0.25">
      <c r="A129" t="s">
        <v>927</v>
      </c>
      <c r="B129" t="s">
        <v>1060</v>
      </c>
      <c r="C129" s="69">
        <v>10000000</v>
      </c>
      <c r="D129" s="13">
        <v>46293</v>
      </c>
      <c r="E129" s="66">
        <v>46186.000138888892</v>
      </c>
      <c r="F129" s="40">
        <f t="shared" si="1"/>
        <v>46188.000138888892</v>
      </c>
      <c r="G129" s="27"/>
      <c r="L129" s="67"/>
    </row>
    <row r="130" spans="1:12" ht="15.75" customHeight="1" x14ac:dyDescent="0.25">
      <c r="A130" t="s">
        <v>927</v>
      </c>
      <c r="B130" t="s">
        <v>1061</v>
      </c>
      <c r="C130" s="69">
        <v>14000000</v>
      </c>
      <c r="D130" s="13">
        <v>46294</v>
      </c>
      <c r="E130" s="66">
        <v>46186.000138888892</v>
      </c>
      <c r="F130" s="40">
        <f t="shared" si="1"/>
        <v>46188.000138888892</v>
      </c>
      <c r="G130" s="27"/>
      <c r="L130" s="67"/>
    </row>
    <row r="131" spans="1:12" ht="15.75" customHeight="1" x14ac:dyDescent="0.25">
      <c r="A131" t="s">
        <v>923</v>
      </c>
      <c r="B131" t="s">
        <v>1062</v>
      </c>
      <c r="C131" s="69">
        <v>9263100</v>
      </c>
      <c r="D131" s="13">
        <v>46295</v>
      </c>
      <c r="E131" s="66">
        <v>46186.000138888892</v>
      </c>
      <c r="F131" s="40">
        <f t="shared" si="1"/>
        <v>46188.000138888892</v>
      </c>
      <c r="G131" s="27"/>
      <c r="L131" s="67"/>
    </row>
    <row r="132" spans="1:12" ht="15.75" customHeight="1" x14ac:dyDescent="0.25">
      <c r="A132" t="s">
        <v>930</v>
      </c>
      <c r="B132" t="s">
        <v>1063</v>
      </c>
      <c r="C132" s="69">
        <v>12240330</v>
      </c>
      <c r="D132" s="13">
        <v>46296</v>
      </c>
      <c r="E132" s="66">
        <v>46185.000138888892</v>
      </c>
      <c r="F132" s="40">
        <f t="shared" si="1"/>
        <v>46187.000138888892</v>
      </c>
      <c r="G132" s="27"/>
      <c r="L132" s="67"/>
    </row>
    <row r="133" spans="1:12" ht="15.75" customHeight="1" x14ac:dyDescent="0.25">
      <c r="A133" t="s">
        <v>930</v>
      </c>
      <c r="B133" t="s">
        <v>1064</v>
      </c>
      <c r="C133" s="69">
        <v>12295800</v>
      </c>
      <c r="D133" s="13">
        <v>46297</v>
      </c>
      <c r="E133" s="66">
        <v>46185.000138888892</v>
      </c>
      <c r="F133" s="40">
        <f t="shared" ref="F133:F196" si="2">+E133+2</f>
        <v>46187.000138888892</v>
      </c>
      <c r="G133" s="27"/>
      <c r="L133" s="67"/>
    </row>
    <row r="134" spans="1:12" ht="15.75" customHeight="1" x14ac:dyDescent="0.25">
      <c r="A134" t="s">
        <v>931</v>
      </c>
      <c r="B134" t="s">
        <v>1065</v>
      </c>
      <c r="C134" s="69">
        <v>7286515</v>
      </c>
      <c r="D134" s="13">
        <v>46298</v>
      </c>
      <c r="E134" s="66">
        <v>46185.000138888892</v>
      </c>
      <c r="F134" s="40">
        <f t="shared" si="2"/>
        <v>46187.000138888892</v>
      </c>
      <c r="G134" s="27"/>
      <c r="L134" s="67"/>
    </row>
    <row r="135" spans="1:12" ht="15.75" customHeight="1" x14ac:dyDescent="0.25">
      <c r="A135" t="s">
        <v>924</v>
      </c>
      <c r="B135" t="s">
        <v>1066</v>
      </c>
      <c r="C135" s="69">
        <v>21500000</v>
      </c>
      <c r="D135" s="13">
        <v>46299</v>
      </c>
      <c r="E135" s="66">
        <v>46185.000138888892</v>
      </c>
      <c r="F135" s="40">
        <f t="shared" si="2"/>
        <v>46187.000138888892</v>
      </c>
      <c r="G135" s="27"/>
      <c r="L135" s="67"/>
    </row>
    <row r="136" spans="1:12" ht="15.75" customHeight="1" x14ac:dyDescent="0.25">
      <c r="A136" t="s">
        <v>928</v>
      </c>
      <c r="B136" t="s">
        <v>1067</v>
      </c>
      <c r="C136" s="69">
        <v>1339800</v>
      </c>
      <c r="D136" s="13">
        <v>46300</v>
      </c>
      <c r="E136" s="66">
        <v>46185.000138888892</v>
      </c>
      <c r="F136" s="40">
        <f t="shared" si="2"/>
        <v>46187.000138888892</v>
      </c>
      <c r="G136" s="27"/>
      <c r="L136" s="67"/>
    </row>
    <row r="137" spans="1:12" ht="15.75" customHeight="1" x14ac:dyDescent="0.25">
      <c r="A137" t="s">
        <v>920</v>
      </c>
      <c r="B137" t="s">
        <v>1068</v>
      </c>
      <c r="C137" s="69">
        <v>1440000</v>
      </c>
      <c r="D137" s="13">
        <v>46301</v>
      </c>
      <c r="E137" s="66">
        <v>46185.000138888892</v>
      </c>
      <c r="F137" s="40">
        <f t="shared" si="2"/>
        <v>46187.000138888892</v>
      </c>
      <c r="G137" s="27"/>
      <c r="L137" s="67"/>
    </row>
    <row r="138" spans="1:12" ht="15.75" customHeight="1" x14ac:dyDescent="0.25">
      <c r="A138" t="s">
        <v>920</v>
      </c>
      <c r="B138" t="s">
        <v>1069</v>
      </c>
      <c r="C138" s="69">
        <v>1480000</v>
      </c>
      <c r="D138" s="13">
        <v>46302</v>
      </c>
      <c r="E138" s="66">
        <v>46185.000138888892</v>
      </c>
      <c r="F138" s="40">
        <f t="shared" si="2"/>
        <v>46187.000138888892</v>
      </c>
      <c r="G138" s="27"/>
      <c r="L138" s="67"/>
    </row>
    <row r="139" spans="1:12" ht="15.75" customHeight="1" x14ac:dyDescent="0.25">
      <c r="A139" t="s">
        <v>920</v>
      </c>
      <c r="B139" t="s">
        <v>1070</v>
      </c>
      <c r="C139" s="69">
        <v>1148175</v>
      </c>
      <c r="D139" s="13">
        <v>46303</v>
      </c>
      <c r="E139" s="66">
        <v>46185.000138888892</v>
      </c>
      <c r="F139" s="40">
        <f t="shared" si="2"/>
        <v>46187.000138888892</v>
      </c>
      <c r="G139" s="27"/>
      <c r="L139" s="67"/>
    </row>
    <row r="140" spans="1:12" ht="15.75" customHeight="1" x14ac:dyDescent="0.25">
      <c r="A140" t="s">
        <v>916</v>
      </c>
      <c r="B140" t="s">
        <v>1071</v>
      </c>
      <c r="C140" s="69">
        <v>4000000</v>
      </c>
      <c r="D140" s="13">
        <v>46304</v>
      </c>
      <c r="E140" s="66">
        <v>46185.000138888892</v>
      </c>
      <c r="F140" s="40">
        <f t="shared" si="2"/>
        <v>46187.000138888892</v>
      </c>
      <c r="G140" s="27"/>
      <c r="L140" s="67"/>
    </row>
    <row r="141" spans="1:12" ht="15.75" customHeight="1" x14ac:dyDescent="0.25">
      <c r="A141" t="s">
        <v>919</v>
      </c>
      <c r="B141" t="s">
        <v>1072</v>
      </c>
      <c r="C141" s="69">
        <v>43814020</v>
      </c>
      <c r="D141" s="13">
        <v>46305</v>
      </c>
      <c r="E141" s="66">
        <v>46185.000138888892</v>
      </c>
      <c r="F141" s="40">
        <f t="shared" si="2"/>
        <v>46187.000138888892</v>
      </c>
      <c r="G141" s="27"/>
      <c r="L141" s="67"/>
    </row>
    <row r="142" spans="1:12" ht="15.75" customHeight="1" x14ac:dyDescent="0.25">
      <c r="A142" t="s">
        <v>916</v>
      </c>
      <c r="B142" t="s">
        <v>1073</v>
      </c>
      <c r="C142" s="69">
        <v>250230</v>
      </c>
      <c r="D142" s="13">
        <v>46306</v>
      </c>
      <c r="E142" s="66">
        <v>46185.000138888892</v>
      </c>
      <c r="F142" s="40">
        <f t="shared" si="2"/>
        <v>46187.000138888892</v>
      </c>
      <c r="G142" s="27"/>
      <c r="L142" s="67"/>
    </row>
    <row r="143" spans="1:12" ht="15.75" customHeight="1" x14ac:dyDescent="0.25">
      <c r="A143" t="s">
        <v>921</v>
      </c>
      <c r="B143" t="s">
        <v>1074</v>
      </c>
      <c r="C143" s="69">
        <v>1269025</v>
      </c>
      <c r="D143" s="13">
        <v>46307</v>
      </c>
      <c r="E143" s="66">
        <v>46185.000138888892</v>
      </c>
      <c r="F143" s="40">
        <f t="shared" si="2"/>
        <v>46187.000138888892</v>
      </c>
      <c r="G143" s="27"/>
      <c r="L143" s="67"/>
    </row>
    <row r="144" spans="1:12" ht="15.75" customHeight="1" x14ac:dyDescent="0.25">
      <c r="A144" t="s">
        <v>932</v>
      </c>
      <c r="B144" t="s">
        <v>1075</v>
      </c>
      <c r="C144" s="69">
        <v>40518212.380000003</v>
      </c>
      <c r="D144" s="13">
        <v>46308</v>
      </c>
      <c r="E144" s="66">
        <v>46184.000138888892</v>
      </c>
      <c r="F144" s="40">
        <f t="shared" si="2"/>
        <v>46186.000138888892</v>
      </c>
      <c r="G144" s="27"/>
      <c r="L144" s="67"/>
    </row>
    <row r="145" spans="1:12" ht="15.75" customHeight="1" x14ac:dyDescent="0.25">
      <c r="A145" t="s">
        <v>920</v>
      </c>
      <c r="B145" t="s">
        <v>1076</v>
      </c>
      <c r="C145" s="69">
        <v>1440000</v>
      </c>
      <c r="D145" s="13">
        <v>46309</v>
      </c>
      <c r="E145" s="66">
        <v>46184.000138888892</v>
      </c>
      <c r="F145" s="40">
        <f t="shared" si="2"/>
        <v>46186.000138888892</v>
      </c>
      <c r="G145" s="27"/>
      <c r="L145" s="67"/>
    </row>
    <row r="146" spans="1:12" ht="15.75" customHeight="1" x14ac:dyDescent="0.25">
      <c r="A146" t="s">
        <v>920</v>
      </c>
      <c r="B146" t="s">
        <v>1077</v>
      </c>
      <c r="C146" s="69">
        <v>1130000</v>
      </c>
      <c r="D146" s="13">
        <v>46310</v>
      </c>
      <c r="E146" s="66">
        <v>46184.000138888892</v>
      </c>
      <c r="F146" s="40">
        <f t="shared" si="2"/>
        <v>46186.000138888892</v>
      </c>
      <c r="G146" s="27"/>
      <c r="L146" s="67"/>
    </row>
    <row r="147" spans="1:12" ht="15.75" customHeight="1" x14ac:dyDescent="0.25">
      <c r="A147" t="s">
        <v>920</v>
      </c>
      <c r="B147" t="s">
        <v>1078</v>
      </c>
      <c r="C147" s="69">
        <v>1480000</v>
      </c>
      <c r="D147" s="13">
        <v>46311</v>
      </c>
      <c r="E147" s="66">
        <v>46184.000138888892</v>
      </c>
      <c r="F147" s="40">
        <f t="shared" si="2"/>
        <v>46186.000138888892</v>
      </c>
      <c r="G147" s="27"/>
      <c r="L147" s="67"/>
    </row>
    <row r="148" spans="1:12" ht="15.75" customHeight="1" x14ac:dyDescent="0.25">
      <c r="A148" t="s">
        <v>932</v>
      </c>
      <c r="B148" t="s">
        <v>1079</v>
      </c>
      <c r="C148" s="69">
        <v>7500000</v>
      </c>
      <c r="D148" s="13">
        <v>46312</v>
      </c>
      <c r="E148" s="66">
        <v>46183.000138888892</v>
      </c>
      <c r="F148" s="40">
        <f t="shared" si="2"/>
        <v>46185.000138888892</v>
      </c>
      <c r="G148" s="27"/>
      <c r="L148" s="67"/>
    </row>
    <row r="149" spans="1:12" ht="15.75" customHeight="1" x14ac:dyDescent="0.25">
      <c r="A149" t="s">
        <v>924</v>
      </c>
      <c r="B149" t="s">
        <v>1080</v>
      </c>
      <c r="C149" s="69">
        <v>22500000</v>
      </c>
      <c r="D149" s="13">
        <v>46313</v>
      </c>
      <c r="E149" s="66">
        <v>46183.000138888892</v>
      </c>
      <c r="F149" s="40">
        <f t="shared" si="2"/>
        <v>46185.000138888892</v>
      </c>
      <c r="G149" s="27"/>
      <c r="L149" s="67"/>
    </row>
    <row r="150" spans="1:12" ht="15.75" customHeight="1" x14ac:dyDescent="0.25">
      <c r="A150" t="s">
        <v>922</v>
      </c>
      <c r="B150" t="s">
        <v>1081</v>
      </c>
      <c r="C150" s="69">
        <v>26628525</v>
      </c>
      <c r="D150" s="13">
        <v>46314</v>
      </c>
      <c r="E150" s="66">
        <v>46183.000138888892</v>
      </c>
      <c r="F150" s="40">
        <f t="shared" si="2"/>
        <v>46185.000138888892</v>
      </c>
      <c r="G150" s="27"/>
      <c r="L150" s="67"/>
    </row>
    <row r="151" spans="1:12" ht="15.75" customHeight="1" x14ac:dyDescent="0.25">
      <c r="A151" t="s">
        <v>922</v>
      </c>
      <c r="B151" t="s">
        <v>1082</v>
      </c>
      <c r="C151" s="69">
        <v>26628525</v>
      </c>
      <c r="D151" s="13">
        <v>46315</v>
      </c>
      <c r="E151" s="66">
        <v>46183.000138888892</v>
      </c>
      <c r="F151" s="40">
        <f t="shared" si="2"/>
        <v>46185.000138888892</v>
      </c>
      <c r="G151" s="27"/>
      <c r="L151" s="67"/>
    </row>
    <row r="152" spans="1:12" ht="15.75" customHeight="1" x14ac:dyDescent="0.25">
      <c r="A152" t="s">
        <v>921</v>
      </c>
      <c r="B152" t="s">
        <v>1083</v>
      </c>
      <c r="C152" s="69">
        <v>1162600</v>
      </c>
      <c r="D152" s="13">
        <v>46316</v>
      </c>
      <c r="E152" s="66">
        <v>46183.000138888892</v>
      </c>
      <c r="F152" s="40">
        <f t="shared" si="2"/>
        <v>46185.000138888892</v>
      </c>
      <c r="G152" s="27"/>
      <c r="L152" s="67"/>
    </row>
    <row r="153" spans="1:12" ht="15.75" customHeight="1" x14ac:dyDescent="0.25">
      <c r="A153" t="s">
        <v>916</v>
      </c>
      <c r="B153" t="s">
        <v>1084</v>
      </c>
      <c r="C153" s="69">
        <v>4000000</v>
      </c>
      <c r="D153" s="13">
        <v>46317</v>
      </c>
      <c r="E153" s="66">
        <v>46183.000138888892</v>
      </c>
      <c r="F153" s="40">
        <f t="shared" si="2"/>
        <v>46185.000138888892</v>
      </c>
      <c r="G153" s="27"/>
      <c r="L153" s="67"/>
    </row>
    <row r="154" spans="1:12" ht="15.75" customHeight="1" x14ac:dyDescent="0.25">
      <c r="A154" t="s">
        <v>921</v>
      </c>
      <c r="B154" t="s">
        <v>1085</v>
      </c>
      <c r="C154" s="69">
        <v>1300000</v>
      </c>
      <c r="D154" s="13">
        <v>46318</v>
      </c>
      <c r="E154" s="66">
        <v>46183.000138888892</v>
      </c>
      <c r="F154" s="40">
        <f t="shared" si="2"/>
        <v>46185.000138888892</v>
      </c>
      <c r="G154" s="27"/>
      <c r="L154" s="67"/>
    </row>
    <row r="155" spans="1:12" ht="15.75" customHeight="1" x14ac:dyDescent="0.25">
      <c r="A155" t="s">
        <v>920</v>
      </c>
      <c r="B155" t="s">
        <v>1086</v>
      </c>
      <c r="C155" s="69">
        <v>1440000</v>
      </c>
      <c r="D155" s="13">
        <v>46319</v>
      </c>
      <c r="E155" s="66">
        <v>46182.000138888892</v>
      </c>
      <c r="F155" s="40">
        <f t="shared" si="2"/>
        <v>46184.000138888892</v>
      </c>
      <c r="G155" s="27"/>
      <c r="L155" s="67"/>
    </row>
    <row r="156" spans="1:12" ht="15.75" customHeight="1" x14ac:dyDescent="0.25">
      <c r="A156" t="s">
        <v>920</v>
      </c>
      <c r="B156" t="s">
        <v>1087</v>
      </c>
      <c r="C156" s="69">
        <v>1480000</v>
      </c>
      <c r="D156" s="13">
        <v>46320</v>
      </c>
      <c r="E156" s="66">
        <v>46182.000138888892</v>
      </c>
      <c r="F156" s="40">
        <f t="shared" si="2"/>
        <v>46184.000138888892</v>
      </c>
      <c r="G156" s="27"/>
      <c r="L156" s="67"/>
    </row>
    <row r="157" spans="1:12" ht="15.75" customHeight="1" x14ac:dyDescent="0.25">
      <c r="A157" t="s">
        <v>920</v>
      </c>
      <c r="B157" t="s">
        <v>1088</v>
      </c>
      <c r="C157" s="69">
        <v>1130000</v>
      </c>
      <c r="D157" s="13">
        <v>46321</v>
      </c>
      <c r="E157" s="66">
        <v>46182.000138888892</v>
      </c>
      <c r="F157" s="40">
        <f t="shared" si="2"/>
        <v>46184.000138888892</v>
      </c>
      <c r="G157" s="27"/>
      <c r="L157" s="67"/>
    </row>
    <row r="158" spans="1:12" ht="15.75" customHeight="1" x14ac:dyDescent="0.25">
      <c r="A158" t="s">
        <v>921</v>
      </c>
      <c r="B158" t="s">
        <v>1089</v>
      </c>
      <c r="C158" s="69">
        <v>1300000</v>
      </c>
      <c r="D158" s="13">
        <v>46322</v>
      </c>
      <c r="E158" s="66">
        <v>46182.000138888892</v>
      </c>
      <c r="F158" s="40">
        <f t="shared" si="2"/>
        <v>46184.000138888892</v>
      </c>
      <c r="G158" s="27"/>
      <c r="L158" s="67"/>
    </row>
    <row r="159" spans="1:12" ht="15.75" customHeight="1" x14ac:dyDescent="0.25">
      <c r="A159" t="s">
        <v>920</v>
      </c>
      <c r="B159" t="s">
        <v>1090</v>
      </c>
      <c r="C159" s="69">
        <v>1143500</v>
      </c>
      <c r="D159" s="13">
        <v>46323</v>
      </c>
      <c r="E159" s="66">
        <v>46182.000138888892</v>
      </c>
      <c r="F159" s="40">
        <f t="shared" si="2"/>
        <v>46184.000138888892</v>
      </c>
      <c r="G159" s="27"/>
      <c r="L159" s="67"/>
    </row>
    <row r="160" spans="1:12" ht="15.75" customHeight="1" x14ac:dyDescent="0.25">
      <c r="A160" t="s">
        <v>921</v>
      </c>
      <c r="B160" t="s">
        <v>1091</v>
      </c>
      <c r="C160" s="69">
        <v>1300000</v>
      </c>
      <c r="D160" s="13">
        <v>46324</v>
      </c>
      <c r="E160" s="66">
        <v>46182.000138888892</v>
      </c>
      <c r="F160" s="40">
        <f t="shared" si="2"/>
        <v>46184.000138888892</v>
      </c>
      <c r="G160" s="27"/>
      <c r="L160" s="67"/>
    </row>
    <row r="161" spans="1:12" ht="15.75" customHeight="1" x14ac:dyDescent="0.25">
      <c r="A161" t="s">
        <v>926</v>
      </c>
      <c r="B161" t="s">
        <v>1092</v>
      </c>
      <c r="C161" s="69">
        <v>31000000</v>
      </c>
      <c r="D161" s="13">
        <v>46325</v>
      </c>
      <c r="E161" s="66">
        <v>46181.000138888892</v>
      </c>
      <c r="F161" s="40">
        <f t="shared" si="2"/>
        <v>46183.000138888892</v>
      </c>
      <c r="G161" s="27"/>
      <c r="L161" s="67"/>
    </row>
    <row r="162" spans="1:12" ht="15.75" customHeight="1" x14ac:dyDescent="0.25">
      <c r="A162" t="s">
        <v>920</v>
      </c>
      <c r="B162" t="s">
        <v>1093</v>
      </c>
      <c r="C162" s="69">
        <v>1440000</v>
      </c>
      <c r="D162" s="13">
        <v>46326</v>
      </c>
      <c r="E162" s="66">
        <v>46181.000138888892</v>
      </c>
      <c r="F162" s="40">
        <f t="shared" si="2"/>
        <v>46183.000138888892</v>
      </c>
      <c r="G162" s="27"/>
      <c r="L162" s="67"/>
    </row>
    <row r="163" spans="1:12" ht="15.75" customHeight="1" x14ac:dyDescent="0.25">
      <c r="A163" t="s">
        <v>920</v>
      </c>
      <c r="B163" t="s">
        <v>1094</v>
      </c>
      <c r="C163" s="69">
        <v>1130000</v>
      </c>
      <c r="D163" s="13">
        <v>46327</v>
      </c>
      <c r="E163" s="66">
        <v>46181.000138888892</v>
      </c>
      <c r="F163" s="40">
        <f t="shared" si="2"/>
        <v>46183.000138888892</v>
      </c>
      <c r="G163" s="27"/>
      <c r="L163" s="67"/>
    </row>
    <row r="164" spans="1:12" ht="15.75" customHeight="1" x14ac:dyDescent="0.25">
      <c r="A164" t="s">
        <v>920</v>
      </c>
      <c r="B164" t="s">
        <v>1095</v>
      </c>
      <c r="C164" s="69">
        <v>1480000</v>
      </c>
      <c r="D164" s="13">
        <v>46328</v>
      </c>
      <c r="E164" s="66">
        <v>46181.000138888892</v>
      </c>
      <c r="F164" s="40">
        <f t="shared" si="2"/>
        <v>46183.000138888892</v>
      </c>
      <c r="G164" s="27"/>
      <c r="L164" s="67"/>
    </row>
    <row r="165" spans="1:12" ht="15.75" customHeight="1" x14ac:dyDescent="0.25">
      <c r="A165" t="s">
        <v>921</v>
      </c>
      <c r="B165" t="s">
        <v>1096</v>
      </c>
      <c r="C165" s="69">
        <v>1300000</v>
      </c>
      <c r="D165" s="13">
        <v>46329</v>
      </c>
      <c r="E165" s="66">
        <v>46181.000138888892</v>
      </c>
      <c r="F165" s="40">
        <f t="shared" si="2"/>
        <v>46183.000138888892</v>
      </c>
      <c r="G165" s="27"/>
      <c r="L165" s="67"/>
    </row>
    <row r="166" spans="1:12" ht="15.75" customHeight="1" x14ac:dyDescent="0.25">
      <c r="A166" t="s">
        <v>920</v>
      </c>
      <c r="B166" t="s">
        <v>1097</v>
      </c>
      <c r="C166" s="69">
        <v>1130000</v>
      </c>
      <c r="D166" s="13">
        <v>46330</v>
      </c>
      <c r="E166" s="66">
        <v>46181.000138888892</v>
      </c>
      <c r="F166" s="40">
        <f t="shared" si="2"/>
        <v>46183.000138888892</v>
      </c>
      <c r="G166" s="27"/>
      <c r="L166" s="67"/>
    </row>
    <row r="167" spans="1:12" ht="15.75" customHeight="1" x14ac:dyDescent="0.25">
      <c r="A167" t="s">
        <v>921</v>
      </c>
      <c r="B167" t="s">
        <v>1098</v>
      </c>
      <c r="C167" s="69">
        <v>1300000</v>
      </c>
      <c r="D167" s="13">
        <v>46331</v>
      </c>
      <c r="E167" s="66">
        <v>46181.000138888892</v>
      </c>
      <c r="F167" s="40">
        <f t="shared" si="2"/>
        <v>46183.000138888892</v>
      </c>
      <c r="G167" s="27"/>
      <c r="L167" s="67"/>
    </row>
    <row r="168" spans="1:12" ht="15.75" customHeight="1" x14ac:dyDescent="0.25">
      <c r="A168" t="s">
        <v>921</v>
      </c>
      <c r="B168" t="s">
        <v>1099</v>
      </c>
      <c r="C168" s="69">
        <v>949750</v>
      </c>
      <c r="D168" s="13">
        <v>46332</v>
      </c>
      <c r="E168" s="66">
        <v>46181.000138888892</v>
      </c>
      <c r="F168" s="40">
        <f t="shared" si="2"/>
        <v>46183.000138888892</v>
      </c>
      <c r="G168" s="27"/>
      <c r="L168" s="67"/>
    </row>
    <row r="169" spans="1:12" ht="15.75" customHeight="1" x14ac:dyDescent="0.25">
      <c r="A169" t="s">
        <v>917</v>
      </c>
      <c r="B169" t="s">
        <v>1100</v>
      </c>
      <c r="C169" s="69">
        <v>3000070</v>
      </c>
      <c r="D169" s="13">
        <v>46333</v>
      </c>
      <c r="E169" s="66">
        <v>46181.000138888892</v>
      </c>
      <c r="F169" s="40">
        <f t="shared" si="2"/>
        <v>46183.000138888892</v>
      </c>
      <c r="G169" s="27"/>
      <c r="L169" s="67"/>
    </row>
    <row r="170" spans="1:12" ht="15.75" customHeight="1" x14ac:dyDescent="0.25">
      <c r="A170" t="s">
        <v>917</v>
      </c>
      <c r="B170" t="s">
        <v>1101</v>
      </c>
      <c r="C170" s="69">
        <v>3000007.69</v>
      </c>
      <c r="D170" s="13">
        <v>46334</v>
      </c>
      <c r="E170" s="66">
        <v>46181.000138888892</v>
      </c>
      <c r="F170" s="40">
        <f t="shared" si="2"/>
        <v>46183.000138888892</v>
      </c>
      <c r="G170" s="27"/>
      <c r="L170" s="67"/>
    </row>
    <row r="171" spans="1:12" ht="15.75" customHeight="1" x14ac:dyDescent="0.25">
      <c r="A171" t="s">
        <v>917</v>
      </c>
      <c r="B171" t="s">
        <v>1102</v>
      </c>
      <c r="C171" s="69">
        <v>2000100</v>
      </c>
      <c r="D171" s="13">
        <v>46335</v>
      </c>
      <c r="E171" s="66">
        <v>46181.000138888892</v>
      </c>
      <c r="F171" s="40">
        <f t="shared" si="2"/>
        <v>46183.000138888892</v>
      </c>
      <c r="G171" s="27"/>
      <c r="L171" s="67"/>
    </row>
    <row r="172" spans="1:12" ht="15.75" customHeight="1" x14ac:dyDescent="0.25">
      <c r="A172" t="s">
        <v>917</v>
      </c>
      <c r="B172" t="s">
        <v>1103</v>
      </c>
      <c r="C172" s="69">
        <v>2015000</v>
      </c>
      <c r="D172" s="13">
        <v>46336</v>
      </c>
      <c r="E172" s="66">
        <v>46181.000138888892</v>
      </c>
      <c r="F172" s="40">
        <f t="shared" si="2"/>
        <v>46183.000138888892</v>
      </c>
      <c r="G172" s="27"/>
      <c r="L172" s="67"/>
    </row>
    <row r="173" spans="1:12" ht="15.75" customHeight="1" x14ac:dyDescent="0.25">
      <c r="A173" t="s">
        <v>932</v>
      </c>
      <c r="B173" t="s">
        <v>1104</v>
      </c>
      <c r="C173" s="69">
        <v>5540000</v>
      </c>
      <c r="D173" s="13">
        <v>46337</v>
      </c>
      <c r="E173" s="66">
        <v>46180.000138888892</v>
      </c>
      <c r="F173" s="40">
        <f t="shared" si="2"/>
        <v>46182.000138888892</v>
      </c>
      <c r="G173" s="27"/>
      <c r="L173" s="67"/>
    </row>
    <row r="174" spans="1:12" ht="15.75" customHeight="1" x14ac:dyDescent="0.25">
      <c r="A174" t="s">
        <v>915</v>
      </c>
      <c r="B174" t="s">
        <v>1105</v>
      </c>
      <c r="C174" s="69">
        <v>2250000</v>
      </c>
      <c r="D174" s="13">
        <v>46338</v>
      </c>
      <c r="E174" s="66">
        <v>46180.000138888892</v>
      </c>
      <c r="F174" s="40">
        <f t="shared" si="2"/>
        <v>46182.000138888892</v>
      </c>
      <c r="G174" s="27"/>
      <c r="L174" s="67"/>
    </row>
    <row r="175" spans="1:12" ht="15.75" customHeight="1" x14ac:dyDescent="0.25">
      <c r="A175" t="s">
        <v>925</v>
      </c>
      <c r="B175" t="s">
        <v>1106</v>
      </c>
      <c r="C175" s="69">
        <v>14826240</v>
      </c>
      <c r="D175" s="13">
        <v>46339</v>
      </c>
      <c r="E175" s="66">
        <v>46180.000138888892</v>
      </c>
      <c r="F175" s="40">
        <f t="shared" si="2"/>
        <v>46182.000138888892</v>
      </c>
      <c r="G175" s="27"/>
      <c r="L175" s="67"/>
    </row>
    <row r="176" spans="1:12" ht="15.75" customHeight="1" x14ac:dyDescent="0.25">
      <c r="A176" t="s">
        <v>916</v>
      </c>
      <c r="B176" t="s">
        <v>1107</v>
      </c>
      <c r="C176" s="69">
        <v>4000000</v>
      </c>
      <c r="D176" s="13">
        <v>46340</v>
      </c>
      <c r="E176" s="66">
        <v>46180.000138888892</v>
      </c>
      <c r="F176" s="40">
        <f t="shared" si="2"/>
        <v>46182.000138888892</v>
      </c>
      <c r="G176" s="27"/>
      <c r="L176" s="67"/>
    </row>
    <row r="177" spans="1:12" ht="15.75" customHeight="1" x14ac:dyDescent="0.25">
      <c r="A177" t="s">
        <v>926</v>
      </c>
      <c r="B177" t="s">
        <v>1108</v>
      </c>
      <c r="C177" s="69">
        <v>24000000</v>
      </c>
      <c r="D177" s="13">
        <v>46341</v>
      </c>
      <c r="E177" s="66">
        <v>46179.000138888892</v>
      </c>
      <c r="F177" s="40">
        <f t="shared" si="2"/>
        <v>46181.000138888892</v>
      </c>
      <c r="G177" s="27"/>
      <c r="L177" s="67"/>
    </row>
    <row r="178" spans="1:12" ht="15.75" customHeight="1" x14ac:dyDescent="0.25">
      <c r="A178" t="s">
        <v>927</v>
      </c>
      <c r="B178" t="s">
        <v>1109</v>
      </c>
      <c r="C178" s="69">
        <v>10503121.210000001</v>
      </c>
      <c r="D178" s="13">
        <v>46342</v>
      </c>
      <c r="E178" s="66">
        <v>46179.000138888892</v>
      </c>
      <c r="F178" s="40">
        <f t="shared" si="2"/>
        <v>46181.000138888892</v>
      </c>
      <c r="G178" s="27"/>
      <c r="L178" s="67"/>
    </row>
    <row r="179" spans="1:12" ht="15.75" customHeight="1" x14ac:dyDescent="0.25">
      <c r="A179" t="s">
        <v>915</v>
      </c>
      <c r="B179" t="s">
        <v>1110</v>
      </c>
      <c r="C179" s="69">
        <v>2250000</v>
      </c>
      <c r="D179" s="13">
        <v>46343</v>
      </c>
      <c r="E179" s="66">
        <v>46179.000138888892</v>
      </c>
      <c r="F179" s="40">
        <f t="shared" si="2"/>
        <v>46181.000138888892</v>
      </c>
      <c r="G179" s="27"/>
      <c r="L179" s="67"/>
    </row>
    <row r="180" spans="1:12" ht="15.75" customHeight="1" x14ac:dyDescent="0.25">
      <c r="A180" t="s">
        <v>918</v>
      </c>
      <c r="B180" t="s">
        <v>1111</v>
      </c>
      <c r="C180" s="69">
        <v>6348840</v>
      </c>
      <c r="D180" s="13">
        <v>46344</v>
      </c>
      <c r="E180" s="66">
        <v>46179.000138888892</v>
      </c>
      <c r="F180" s="40">
        <f t="shared" si="2"/>
        <v>46181.000138888892</v>
      </c>
      <c r="G180" s="27"/>
      <c r="L180" s="67"/>
    </row>
    <row r="181" spans="1:12" ht="15.75" customHeight="1" x14ac:dyDescent="0.25">
      <c r="A181" t="s">
        <v>918</v>
      </c>
      <c r="B181" t="s">
        <v>1112</v>
      </c>
      <c r="C181" s="69">
        <v>6000000</v>
      </c>
      <c r="D181" s="13">
        <v>46345</v>
      </c>
      <c r="E181" s="66">
        <v>46179.000138888892</v>
      </c>
      <c r="F181" s="40">
        <f t="shared" si="2"/>
        <v>46181.000138888892</v>
      </c>
      <c r="G181" s="27"/>
      <c r="L181" s="67"/>
    </row>
    <row r="182" spans="1:12" ht="15.75" customHeight="1" x14ac:dyDescent="0.25">
      <c r="A182" t="s">
        <v>918</v>
      </c>
      <c r="B182" t="s">
        <v>1113</v>
      </c>
      <c r="C182" s="69">
        <v>6000000</v>
      </c>
      <c r="D182" s="13">
        <v>46346</v>
      </c>
      <c r="E182" s="66">
        <v>46179.000138888892</v>
      </c>
      <c r="F182" s="40">
        <f t="shared" si="2"/>
        <v>46181.000138888892</v>
      </c>
      <c r="G182" s="27"/>
      <c r="L182" s="67"/>
    </row>
    <row r="183" spans="1:12" ht="15.75" customHeight="1" x14ac:dyDescent="0.25">
      <c r="A183" t="s">
        <v>918</v>
      </c>
      <c r="B183" t="s">
        <v>1114</v>
      </c>
      <c r="C183" s="69">
        <v>6000000</v>
      </c>
      <c r="D183" s="13">
        <v>46347</v>
      </c>
      <c r="E183" s="66">
        <v>46179.000138888892</v>
      </c>
      <c r="F183" s="40">
        <f t="shared" si="2"/>
        <v>46181.000138888892</v>
      </c>
      <c r="G183" s="27"/>
      <c r="L183" s="67"/>
    </row>
    <row r="184" spans="1:12" ht="15.75" customHeight="1" x14ac:dyDescent="0.25">
      <c r="A184" t="s">
        <v>918</v>
      </c>
      <c r="B184" t="s">
        <v>1115</v>
      </c>
      <c r="C184" s="69">
        <v>6000000</v>
      </c>
      <c r="D184" s="13">
        <v>46348</v>
      </c>
      <c r="E184" s="66">
        <v>46179.000138888892</v>
      </c>
      <c r="F184" s="40">
        <f t="shared" si="2"/>
        <v>46181.000138888892</v>
      </c>
      <c r="G184" s="27"/>
      <c r="L184" s="67"/>
    </row>
    <row r="185" spans="1:12" ht="15.75" customHeight="1" x14ac:dyDescent="0.25">
      <c r="A185" t="s">
        <v>918</v>
      </c>
      <c r="B185" t="s">
        <v>1116</v>
      </c>
      <c r="C185" s="69">
        <v>6000000</v>
      </c>
      <c r="D185" s="13">
        <v>46349</v>
      </c>
      <c r="E185" s="66">
        <v>46179.000138888892</v>
      </c>
      <c r="F185" s="40">
        <f t="shared" si="2"/>
        <v>46181.000138888892</v>
      </c>
      <c r="G185" s="27"/>
      <c r="L185" s="67"/>
    </row>
    <row r="186" spans="1:12" ht="15.75" customHeight="1" x14ac:dyDescent="0.25">
      <c r="A186" t="s">
        <v>922</v>
      </c>
      <c r="B186" t="s">
        <v>1117</v>
      </c>
      <c r="C186" s="69">
        <v>18288270</v>
      </c>
      <c r="D186" s="13">
        <v>46350</v>
      </c>
      <c r="E186" s="66">
        <v>46179.000138888892</v>
      </c>
      <c r="F186" s="40">
        <f t="shared" si="2"/>
        <v>46181.000138888892</v>
      </c>
      <c r="G186" s="27"/>
      <c r="L186" s="67"/>
    </row>
    <row r="187" spans="1:12" ht="15.75" customHeight="1" x14ac:dyDescent="0.25">
      <c r="A187" t="s">
        <v>933</v>
      </c>
      <c r="B187" t="s">
        <v>1118</v>
      </c>
      <c r="C187" s="69">
        <v>13467723.99</v>
      </c>
      <c r="D187" s="13">
        <v>46351</v>
      </c>
      <c r="E187" s="66">
        <v>46179.000138888892</v>
      </c>
      <c r="F187" s="40">
        <f t="shared" si="2"/>
        <v>46181.000138888892</v>
      </c>
      <c r="G187" s="27"/>
      <c r="L187" s="67"/>
    </row>
    <row r="188" spans="1:12" ht="15.75" customHeight="1" x14ac:dyDescent="0.25">
      <c r="A188" t="s">
        <v>918</v>
      </c>
      <c r="B188" t="s">
        <v>1119</v>
      </c>
      <c r="C188" s="69">
        <v>4700000</v>
      </c>
      <c r="D188" s="13">
        <v>46352</v>
      </c>
      <c r="E188" s="66">
        <v>46179.000138888892</v>
      </c>
      <c r="F188" s="40">
        <f t="shared" si="2"/>
        <v>46181.000138888892</v>
      </c>
      <c r="G188" s="27"/>
      <c r="L188" s="67"/>
    </row>
    <row r="189" spans="1:12" ht="15.75" customHeight="1" x14ac:dyDescent="0.25">
      <c r="A189" t="s">
        <v>918</v>
      </c>
      <c r="B189" t="s">
        <v>1120</v>
      </c>
      <c r="C189" s="69">
        <v>4851540</v>
      </c>
      <c r="D189" s="13">
        <v>46353</v>
      </c>
      <c r="E189" s="66">
        <v>46179.000138888892</v>
      </c>
      <c r="F189" s="40">
        <f t="shared" si="2"/>
        <v>46181.000138888892</v>
      </c>
      <c r="G189" s="27"/>
      <c r="L189" s="67"/>
    </row>
    <row r="190" spans="1:12" ht="15.75" customHeight="1" x14ac:dyDescent="0.25">
      <c r="A190" t="s">
        <v>918</v>
      </c>
      <c r="B190" t="s">
        <v>1121</v>
      </c>
      <c r="C190" s="69">
        <v>4700000</v>
      </c>
      <c r="D190" s="13">
        <v>46354</v>
      </c>
      <c r="E190" s="66">
        <v>46179.000138888892</v>
      </c>
      <c r="F190" s="40">
        <f t="shared" si="2"/>
        <v>46181.000138888892</v>
      </c>
      <c r="G190" s="27"/>
      <c r="L190" s="67"/>
    </row>
    <row r="191" spans="1:12" ht="15.75" customHeight="1" x14ac:dyDescent="0.25">
      <c r="A191" t="s">
        <v>918</v>
      </c>
      <c r="B191" t="s">
        <v>1122</v>
      </c>
      <c r="C191" s="69">
        <v>4700000</v>
      </c>
      <c r="D191" s="13">
        <v>46355</v>
      </c>
      <c r="E191" s="66">
        <v>46179.000138888892</v>
      </c>
      <c r="F191" s="40">
        <f t="shared" si="2"/>
        <v>46181.000138888892</v>
      </c>
      <c r="G191" s="27"/>
      <c r="L191" s="67"/>
    </row>
    <row r="192" spans="1:12" ht="15.75" customHeight="1" x14ac:dyDescent="0.25">
      <c r="A192" t="s">
        <v>917</v>
      </c>
      <c r="B192" t="s">
        <v>1123</v>
      </c>
      <c r="C192" s="69">
        <v>3004000</v>
      </c>
      <c r="D192" s="13">
        <v>46356</v>
      </c>
      <c r="E192" s="66">
        <v>46179.000138888892</v>
      </c>
      <c r="F192" s="40">
        <f t="shared" si="2"/>
        <v>46181.000138888892</v>
      </c>
      <c r="G192" s="27"/>
      <c r="L192" s="67"/>
    </row>
    <row r="193" spans="1:12" ht="15.75" customHeight="1" x14ac:dyDescent="0.25">
      <c r="A193" t="s">
        <v>917</v>
      </c>
      <c r="B193" t="s">
        <v>1124</v>
      </c>
      <c r="C193" s="69">
        <v>3000818.18</v>
      </c>
      <c r="D193" s="13">
        <v>46357</v>
      </c>
      <c r="E193" s="66">
        <v>46179.000138888892</v>
      </c>
      <c r="F193" s="40">
        <f t="shared" si="2"/>
        <v>46181.000138888892</v>
      </c>
      <c r="G193" s="27"/>
      <c r="L193" s="67"/>
    </row>
    <row r="194" spans="1:12" ht="15.75" customHeight="1" x14ac:dyDescent="0.25">
      <c r="A194" t="s">
        <v>917</v>
      </c>
      <c r="B194" t="s">
        <v>1125</v>
      </c>
      <c r="C194" s="69">
        <v>3050000</v>
      </c>
      <c r="D194" s="13">
        <v>46358</v>
      </c>
      <c r="E194" s="66">
        <v>46179.000138888892</v>
      </c>
      <c r="F194" s="40">
        <f t="shared" si="2"/>
        <v>46181.000138888892</v>
      </c>
      <c r="G194" s="27"/>
      <c r="L194" s="67"/>
    </row>
    <row r="195" spans="1:12" ht="15.75" customHeight="1" x14ac:dyDescent="0.25">
      <c r="A195" t="s">
        <v>931</v>
      </c>
      <c r="B195" t="s">
        <v>1126</v>
      </c>
      <c r="C195" s="69">
        <v>7200000</v>
      </c>
      <c r="D195" s="13">
        <v>46359</v>
      </c>
      <c r="E195" s="66">
        <v>46178.000138888892</v>
      </c>
      <c r="F195" s="40">
        <f t="shared" si="2"/>
        <v>46180.000138888892</v>
      </c>
      <c r="G195" s="27"/>
      <c r="L195" s="67"/>
    </row>
    <row r="196" spans="1:12" ht="15.75" customHeight="1" x14ac:dyDescent="0.25">
      <c r="A196" t="s">
        <v>915</v>
      </c>
      <c r="B196" t="s">
        <v>1127</v>
      </c>
      <c r="C196" s="69">
        <v>2250000</v>
      </c>
      <c r="D196" s="13">
        <v>46360</v>
      </c>
      <c r="E196" s="66">
        <v>46178.000138888892</v>
      </c>
      <c r="F196" s="40">
        <f t="shared" si="2"/>
        <v>46180.000138888892</v>
      </c>
      <c r="G196" s="27"/>
      <c r="L196" s="67"/>
    </row>
    <row r="197" spans="1:12" ht="15.75" customHeight="1" x14ac:dyDescent="0.25">
      <c r="A197" t="s">
        <v>920</v>
      </c>
      <c r="B197" t="s">
        <v>1128</v>
      </c>
      <c r="C197" s="69">
        <v>1440000</v>
      </c>
      <c r="D197" s="13">
        <v>46361</v>
      </c>
      <c r="E197" s="66">
        <v>46178.000138888892</v>
      </c>
      <c r="F197" s="40">
        <f t="shared" ref="F197:F224" si="3">+E197+2</f>
        <v>46180.000138888892</v>
      </c>
      <c r="G197" s="27"/>
      <c r="L197" s="67"/>
    </row>
    <row r="198" spans="1:12" ht="15.75" customHeight="1" x14ac:dyDescent="0.25">
      <c r="A198" t="s">
        <v>934</v>
      </c>
      <c r="B198" t="s">
        <v>1129</v>
      </c>
      <c r="C198" s="69">
        <v>465356.51</v>
      </c>
      <c r="D198" s="13">
        <v>46362</v>
      </c>
      <c r="E198" s="66">
        <v>46178.000138888892</v>
      </c>
      <c r="F198" s="40">
        <f t="shared" si="3"/>
        <v>46180.000138888892</v>
      </c>
      <c r="G198" s="27"/>
      <c r="L198" s="67"/>
    </row>
    <row r="199" spans="1:12" ht="15.75" customHeight="1" x14ac:dyDescent="0.25">
      <c r="A199" t="s">
        <v>920</v>
      </c>
      <c r="B199" t="s">
        <v>1130</v>
      </c>
      <c r="C199" s="69">
        <v>1130000</v>
      </c>
      <c r="D199" s="13">
        <v>46363</v>
      </c>
      <c r="E199" s="66">
        <v>46178.000138888892</v>
      </c>
      <c r="F199" s="40">
        <f t="shared" si="3"/>
        <v>46180.000138888892</v>
      </c>
      <c r="G199" s="27"/>
      <c r="L199" s="67"/>
    </row>
    <row r="200" spans="1:12" ht="15.75" customHeight="1" x14ac:dyDescent="0.25">
      <c r="A200" t="s">
        <v>920</v>
      </c>
      <c r="B200" t="s">
        <v>1131</v>
      </c>
      <c r="C200" s="69">
        <v>1480000</v>
      </c>
      <c r="D200" s="13">
        <v>46364</v>
      </c>
      <c r="E200" s="66">
        <v>46178.000138888892</v>
      </c>
      <c r="F200" s="40">
        <f t="shared" si="3"/>
        <v>46180.000138888892</v>
      </c>
      <c r="G200" s="27"/>
      <c r="L200" s="67"/>
    </row>
    <row r="201" spans="1:12" ht="15.75" customHeight="1" x14ac:dyDescent="0.25">
      <c r="A201" t="s">
        <v>925</v>
      </c>
      <c r="B201" t="s">
        <v>1132</v>
      </c>
      <c r="C201" s="69">
        <v>10296000</v>
      </c>
      <c r="D201" s="13">
        <v>46365</v>
      </c>
      <c r="E201" s="66">
        <v>46178.000138888892</v>
      </c>
      <c r="F201" s="40">
        <f t="shared" si="3"/>
        <v>46180.000138888892</v>
      </c>
      <c r="G201" s="27"/>
      <c r="L201" s="67"/>
    </row>
    <row r="202" spans="1:12" ht="15.75" customHeight="1" x14ac:dyDescent="0.25">
      <c r="A202" t="s">
        <v>921</v>
      </c>
      <c r="B202" t="s">
        <v>1133</v>
      </c>
      <c r="C202" s="69">
        <v>953100</v>
      </c>
      <c r="D202" s="13">
        <v>46366</v>
      </c>
      <c r="E202" s="66">
        <v>46178.000138888892</v>
      </c>
      <c r="F202" s="40">
        <f t="shared" si="3"/>
        <v>46180.000138888892</v>
      </c>
      <c r="G202" s="27"/>
      <c r="L202" s="67"/>
    </row>
    <row r="203" spans="1:12" ht="15.75" customHeight="1" x14ac:dyDescent="0.25">
      <c r="A203" t="s">
        <v>920</v>
      </c>
      <c r="B203" t="s">
        <v>1134</v>
      </c>
      <c r="C203" s="69">
        <v>1130000</v>
      </c>
      <c r="D203" s="13">
        <v>46367</v>
      </c>
      <c r="E203" s="66">
        <v>46178.000138888892</v>
      </c>
      <c r="F203" s="40">
        <f t="shared" si="3"/>
        <v>46180.000138888892</v>
      </c>
      <c r="G203" s="27"/>
      <c r="L203" s="67"/>
    </row>
    <row r="204" spans="1:12" ht="15.75" customHeight="1" x14ac:dyDescent="0.25">
      <c r="A204" t="s">
        <v>934</v>
      </c>
      <c r="B204" t="s">
        <v>1135</v>
      </c>
      <c r="C204" s="69">
        <v>8077630</v>
      </c>
      <c r="D204" s="13">
        <v>46368</v>
      </c>
      <c r="E204" s="66">
        <v>46178.000138888892</v>
      </c>
      <c r="F204" s="40">
        <f t="shared" si="3"/>
        <v>46180.000138888892</v>
      </c>
      <c r="G204" s="27"/>
      <c r="L204" s="67"/>
    </row>
    <row r="205" spans="1:12" ht="15.75" customHeight="1" x14ac:dyDescent="0.25">
      <c r="A205" t="s">
        <v>919</v>
      </c>
      <c r="B205" t="s">
        <v>1136</v>
      </c>
      <c r="C205" s="69">
        <v>17842880</v>
      </c>
      <c r="D205" s="13">
        <v>46369</v>
      </c>
      <c r="E205" s="66">
        <v>46178.000138888892</v>
      </c>
      <c r="F205" s="40">
        <f t="shared" si="3"/>
        <v>46180.000138888892</v>
      </c>
      <c r="G205" s="27"/>
      <c r="L205" s="67"/>
    </row>
    <row r="206" spans="1:12" ht="15.75" customHeight="1" x14ac:dyDescent="0.25">
      <c r="A206" t="s">
        <v>921</v>
      </c>
      <c r="B206" t="s">
        <v>1137</v>
      </c>
      <c r="C206" s="69">
        <v>1300000</v>
      </c>
      <c r="D206" s="13">
        <v>46370</v>
      </c>
      <c r="E206" s="66">
        <v>46178.000138888892</v>
      </c>
      <c r="F206" s="40">
        <f t="shared" si="3"/>
        <v>46180.000138888892</v>
      </c>
      <c r="G206" s="27"/>
      <c r="L206" s="67"/>
    </row>
    <row r="207" spans="1:12" ht="15.75" customHeight="1" x14ac:dyDescent="0.25">
      <c r="A207" t="s">
        <v>915</v>
      </c>
      <c r="B207" t="s">
        <v>1138</v>
      </c>
      <c r="C207" s="69">
        <v>2342680</v>
      </c>
      <c r="D207" s="13">
        <v>46371</v>
      </c>
      <c r="E207" s="66">
        <v>46177.000138888892</v>
      </c>
      <c r="F207" s="40">
        <f t="shared" si="3"/>
        <v>46179.000138888892</v>
      </c>
      <c r="G207" s="27"/>
      <c r="L207" s="67"/>
    </row>
    <row r="208" spans="1:12" ht="15.75" customHeight="1" x14ac:dyDescent="0.25">
      <c r="A208" t="s">
        <v>920</v>
      </c>
      <c r="B208" t="s">
        <v>1139</v>
      </c>
      <c r="C208" s="69">
        <v>1440000</v>
      </c>
      <c r="D208" s="13">
        <v>46372</v>
      </c>
      <c r="E208" s="66">
        <v>46177.000138888892</v>
      </c>
      <c r="F208" s="40">
        <f t="shared" si="3"/>
        <v>46179.000138888892</v>
      </c>
      <c r="G208" s="27"/>
      <c r="L208" s="67"/>
    </row>
    <row r="209" spans="1:12" ht="15.75" customHeight="1" x14ac:dyDescent="0.25">
      <c r="A209" t="s">
        <v>920</v>
      </c>
      <c r="B209" t="s">
        <v>1140</v>
      </c>
      <c r="C209" s="69">
        <v>1130000</v>
      </c>
      <c r="D209" s="13">
        <v>46373</v>
      </c>
      <c r="E209" s="66">
        <v>46177.000138888892</v>
      </c>
      <c r="F209" s="40">
        <f t="shared" si="3"/>
        <v>46179.000138888892</v>
      </c>
      <c r="G209" s="27"/>
      <c r="L209" s="67"/>
    </row>
    <row r="210" spans="1:12" ht="15.75" customHeight="1" x14ac:dyDescent="0.25">
      <c r="A210" t="s">
        <v>920</v>
      </c>
      <c r="B210" t="s">
        <v>1141</v>
      </c>
      <c r="C210" s="69">
        <v>1480000</v>
      </c>
      <c r="D210" s="13">
        <v>46374</v>
      </c>
      <c r="E210" s="66">
        <v>46177.000138888892</v>
      </c>
      <c r="F210" s="40">
        <f t="shared" si="3"/>
        <v>46179.000138888892</v>
      </c>
      <c r="G210" s="27"/>
      <c r="L210" s="67"/>
    </row>
    <row r="211" spans="1:12" ht="15.75" customHeight="1" x14ac:dyDescent="0.25">
      <c r="A211" t="s">
        <v>920</v>
      </c>
      <c r="B211" t="s">
        <v>1142</v>
      </c>
      <c r="C211" s="69">
        <v>1130000</v>
      </c>
      <c r="D211" s="13">
        <v>46375</v>
      </c>
      <c r="E211" s="66">
        <v>46177.000138888892</v>
      </c>
      <c r="F211" s="40">
        <f t="shared" si="3"/>
        <v>46179.000138888892</v>
      </c>
      <c r="G211" s="27"/>
      <c r="L211" s="67"/>
    </row>
    <row r="212" spans="1:12" ht="15.75" customHeight="1" x14ac:dyDescent="0.25">
      <c r="A212" t="s">
        <v>921</v>
      </c>
      <c r="B212" t="s">
        <v>1143</v>
      </c>
      <c r="C212" s="69">
        <v>1200000</v>
      </c>
      <c r="D212" s="13">
        <v>46376</v>
      </c>
      <c r="E212" s="66">
        <v>46177.000138888892</v>
      </c>
      <c r="F212" s="40">
        <f t="shared" si="3"/>
        <v>46179.000138888892</v>
      </c>
      <c r="G212" s="27"/>
      <c r="L212" s="67"/>
    </row>
    <row r="213" spans="1:12" ht="15.75" customHeight="1" x14ac:dyDescent="0.25">
      <c r="A213" t="s">
        <v>934</v>
      </c>
      <c r="B213" t="s">
        <v>1144</v>
      </c>
      <c r="C213" s="69">
        <v>10000000</v>
      </c>
      <c r="D213" s="13">
        <v>46377</v>
      </c>
      <c r="E213" s="66">
        <v>46177.000138888892</v>
      </c>
      <c r="F213" s="40">
        <f t="shared" si="3"/>
        <v>46179.000138888892</v>
      </c>
      <c r="G213" s="27"/>
      <c r="L213" s="67"/>
    </row>
    <row r="214" spans="1:12" ht="15.75" customHeight="1" x14ac:dyDescent="0.25">
      <c r="A214" t="s">
        <v>921</v>
      </c>
      <c r="B214" t="s">
        <v>1145</v>
      </c>
      <c r="C214" s="69">
        <v>1300000</v>
      </c>
      <c r="D214" s="13">
        <v>46378</v>
      </c>
      <c r="E214" s="66">
        <v>46176.000138888892</v>
      </c>
      <c r="F214" s="40">
        <f t="shared" si="3"/>
        <v>46178.000138888892</v>
      </c>
      <c r="G214" s="27"/>
      <c r="L214" s="67"/>
    </row>
    <row r="215" spans="1:12" ht="15.75" customHeight="1" x14ac:dyDescent="0.25">
      <c r="A215" t="s">
        <v>925</v>
      </c>
      <c r="B215" t="s">
        <v>1146</v>
      </c>
      <c r="C215" s="69">
        <v>11202048</v>
      </c>
      <c r="D215" s="13">
        <v>46379</v>
      </c>
      <c r="E215" s="66">
        <v>46176.000138888892</v>
      </c>
      <c r="F215" s="40">
        <f t="shared" si="3"/>
        <v>46178.000138888892</v>
      </c>
      <c r="G215" s="27"/>
      <c r="L215" s="67"/>
    </row>
    <row r="216" spans="1:12" ht="15.75" customHeight="1" x14ac:dyDescent="0.25">
      <c r="A216" t="s">
        <v>921</v>
      </c>
      <c r="B216" t="s">
        <v>1147</v>
      </c>
      <c r="C216" s="69">
        <v>1200000</v>
      </c>
      <c r="D216" s="13">
        <v>46380</v>
      </c>
      <c r="E216" s="66">
        <v>46176.000138888892</v>
      </c>
      <c r="F216" s="40">
        <f t="shared" si="3"/>
        <v>46178.000138888892</v>
      </c>
      <c r="G216" s="27"/>
      <c r="L216" s="67"/>
    </row>
    <row r="217" spans="1:12" ht="15.75" customHeight="1" x14ac:dyDescent="0.25">
      <c r="A217" t="s">
        <v>916</v>
      </c>
      <c r="B217" t="s">
        <v>1148</v>
      </c>
      <c r="C217" s="69">
        <v>4400000</v>
      </c>
      <c r="D217" s="13">
        <v>46381</v>
      </c>
      <c r="E217" s="66">
        <v>46176.000138888892</v>
      </c>
      <c r="F217" s="40">
        <f t="shared" si="3"/>
        <v>46178.000138888892</v>
      </c>
      <c r="G217" s="27"/>
      <c r="L217" s="67"/>
    </row>
    <row r="218" spans="1:12" ht="15.75" customHeight="1" x14ac:dyDescent="0.25">
      <c r="A218" t="s">
        <v>920</v>
      </c>
      <c r="B218" t="s">
        <v>1149</v>
      </c>
      <c r="C218" s="69">
        <v>1440000</v>
      </c>
      <c r="D218" s="13">
        <v>46382</v>
      </c>
      <c r="E218" s="66">
        <v>46175.000138888892</v>
      </c>
      <c r="F218" s="40">
        <f t="shared" si="3"/>
        <v>46177.000138888892</v>
      </c>
      <c r="G218" s="27"/>
      <c r="L218" s="67"/>
    </row>
    <row r="219" spans="1:12" ht="15.75" customHeight="1" x14ac:dyDescent="0.25">
      <c r="A219" t="s">
        <v>920</v>
      </c>
      <c r="B219" t="s">
        <v>1150</v>
      </c>
      <c r="C219" s="69">
        <v>1480000</v>
      </c>
      <c r="D219" s="13">
        <v>46383</v>
      </c>
      <c r="E219" s="66">
        <v>46175.000138888892</v>
      </c>
      <c r="F219" s="40">
        <f t="shared" si="3"/>
        <v>46177.000138888892</v>
      </c>
      <c r="G219" s="27"/>
      <c r="L219" s="67"/>
    </row>
    <row r="220" spans="1:12" ht="15.75" customHeight="1" x14ac:dyDescent="0.25">
      <c r="A220" t="s">
        <v>920</v>
      </c>
      <c r="B220" t="s">
        <v>1151</v>
      </c>
      <c r="C220" s="69">
        <v>1130000</v>
      </c>
      <c r="D220" s="13">
        <v>46384</v>
      </c>
      <c r="E220" s="66">
        <v>46175.000138888892</v>
      </c>
      <c r="F220" s="40">
        <f t="shared" si="3"/>
        <v>46177.000138888892</v>
      </c>
      <c r="G220" s="27"/>
      <c r="L220" s="67"/>
    </row>
    <row r="221" spans="1:12" ht="15.75" customHeight="1" x14ac:dyDescent="0.25">
      <c r="A221" t="s">
        <v>921</v>
      </c>
      <c r="B221" t="s">
        <v>1152</v>
      </c>
      <c r="C221" s="69">
        <v>1300000</v>
      </c>
      <c r="D221" s="13">
        <v>46385</v>
      </c>
      <c r="E221" s="66">
        <v>46175.000138888892</v>
      </c>
      <c r="F221" s="40">
        <f t="shared" si="3"/>
        <v>46177.000138888892</v>
      </c>
      <c r="G221" s="27"/>
      <c r="L221" s="67"/>
    </row>
    <row r="222" spans="1:12" ht="15.75" customHeight="1" x14ac:dyDescent="0.25">
      <c r="A222" t="s">
        <v>920</v>
      </c>
      <c r="B222" t="s">
        <v>1153</v>
      </c>
      <c r="C222" s="69">
        <v>1130000</v>
      </c>
      <c r="D222" s="13">
        <v>46386</v>
      </c>
      <c r="E222" s="66">
        <v>46175.000138888892</v>
      </c>
      <c r="F222" s="40">
        <f t="shared" si="3"/>
        <v>46177.000138888892</v>
      </c>
      <c r="G222" s="27"/>
      <c r="L222" s="67"/>
    </row>
    <row r="223" spans="1:12" ht="15.75" customHeight="1" x14ac:dyDescent="0.25">
      <c r="A223" t="s">
        <v>916</v>
      </c>
      <c r="B223" t="s">
        <v>1154</v>
      </c>
      <c r="C223" s="69">
        <v>4457800</v>
      </c>
      <c r="D223" s="13">
        <v>46387</v>
      </c>
      <c r="E223" s="66">
        <v>46175.000138888892</v>
      </c>
      <c r="F223" s="40">
        <f t="shared" si="3"/>
        <v>46177.000138888892</v>
      </c>
      <c r="G223" s="27"/>
      <c r="L223" s="67"/>
    </row>
    <row r="224" spans="1:12" ht="15.75" customHeight="1" x14ac:dyDescent="0.25">
      <c r="A224" t="s">
        <v>920</v>
      </c>
      <c r="B224" t="s">
        <v>1155</v>
      </c>
      <c r="C224" s="69">
        <v>943200</v>
      </c>
      <c r="D224" s="13">
        <v>46388</v>
      </c>
      <c r="E224" s="66">
        <v>46175.000138888892</v>
      </c>
      <c r="F224" s="40">
        <f t="shared" si="3"/>
        <v>46177.000138888892</v>
      </c>
      <c r="G224" s="27"/>
      <c r="L224" s="67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1" t="s">
        <v>156</v>
      </c>
      <c r="B232" s="81"/>
      <c r="C232" s="81"/>
      <c r="D232" s="81"/>
      <c r="E232" s="81"/>
      <c r="F232" s="81"/>
      <c r="G232" s="81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52"/>
  <sheetViews>
    <sheetView showGridLines="0" zoomScaleNormal="100" workbookViewId="0">
      <pane ySplit="4" topLeftCell="A5" activePane="bottomLeft" state="frozen"/>
      <selection pane="bottomLeft" activeCell="J257" sqref="J25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630</v>
      </c>
      <c r="B5" t="s">
        <v>629</v>
      </c>
      <c r="C5" s="68">
        <v>26438.41</v>
      </c>
      <c r="D5" s="24">
        <v>18.88457857142857</v>
      </c>
      <c r="E5" s="50">
        <v>5.9094953584221699E-6</v>
      </c>
      <c r="F5" s="51"/>
    </row>
    <row r="6" spans="1:6" ht="15.75" customHeight="1" x14ac:dyDescent="0.25">
      <c r="A6" t="s">
        <v>183</v>
      </c>
      <c r="B6" t="s">
        <v>182</v>
      </c>
      <c r="C6" s="68">
        <v>27147557.600000001</v>
      </c>
      <c r="D6" s="24">
        <v>19391.112571428574</v>
      </c>
      <c r="E6" s="50">
        <v>6.0680035459658331E-3</v>
      </c>
      <c r="F6" s="51"/>
    </row>
    <row r="7" spans="1:6" ht="15.75" customHeight="1" x14ac:dyDescent="0.25">
      <c r="A7" t="s">
        <v>185</v>
      </c>
      <c r="B7" t="s">
        <v>184</v>
      </c>
      <c r="C7" s="68">
        <v>21389136.260000002</v>
      </c>
      <c r="D7" s="24">
        <v>15277.954471428573</v>
      </c>
      <c r="E7" s="50">
        <v>4.7808851382942228E-3</v>
      </c>
      <c r="F7" s="51"/>
    </row>
    <row r="8" spans="1:6" ht="15.75" customHeight="1" x14ac:dyDescent="0.25">
      <c r="A8" t="s">
        <v>187</v>
      </c>
      <c r="B8" t="s">
        <v>186</v>
      </c>
      <c r="C8" s="68">
        <v>1.08</v>
      </c>
      <c r="D8" s="24">
        <v>7.7142857142857145E-4</v>
      </c>
      <c r="E8" s="50">
        <v>2.414008628770015E-10</v>
      </c>
      <c r="F8" s="51"/>
    </row>
    <row r="9" spans="1:6" ht="15.75" customHeight="1" x14ac:dyDescent="0.25">
      <c r="A9" t="s">
        <v>189</v>
      </c>
      <c r="B9" t="s">
        <v>188</v>
      </c>
      <c r="C9" s="68">
        <v>990404.36</v>
      </c>
      <c r="D9" s="24">
        <v>707.43168571428566</v>
      </c>
      <c r="E9" s="50">
        <v>2.2137450657513369E-4</v>
      </c>
      <c r="F9" s="51"/>
    </row>
    <row r="10" spans="1:6" ht="15.75" customHeight="1" x14ac:dyDescent="0.25">
      <c r="A10" t="s">
        <v>191</v>
      </c>
      <c r="B10" t="s">
        <v>190</v>
      </c>
      <c r="C10" s="68">
        <v>5468655.5</v>
      </c>
      <c r="D10" s="24">
        <v>3906.1824999999999</v>
      </c>
      <c r="E10" s="50">
        <v>1.2223501448861665E-3</v>
      </c>
      <c r="F10" s="51"/>
    </row>
    <row r="11" spans="1:6" ht="15.75" customHeight="1" x14ac:dyDescent="0.25">
      <c r="A11" t="s">
        <v>193</v>
      </c>
      <c r="B11" t="s">
        <v>192</v>
      </c>
      <c r="C11" s="68">
        <v>560000</v>
      </c>
      <c r="D11" s="24">
        <v>400</v>
      </c>
      <c r="E11" s="50">
        <v>1.2517081778807483E-4</v>
      </c>
      <c r="F11" s="51"/>
    </row>
    <row r="12" spans="1:6" ht="15.75" customHeight="1" x14ac:dyDescent="0.25">
      <c r="A12" t="s">
        <v>645</v>
      </c>
      <c r="B12" t="s">
        <v>644</v>
      </c>
      <c r="C12" s="68">
        <v>2611543</v>
      </c>
      <c r="D12" s="24">
        <v>1865.3878571428572</v>
      </c>
      <c r="E12" s="50">
        <v>5.837303089262899E-4</v>
      </c>
      <c r="F12" s="51"/>
    </row>
    <row r="13" spans="1:6" ht="15.75" customHeight="1" x14ac:dyDescent="0.25">
      <c r="A13" t="s">
        <v>649</v>
      </c>
      <c r="B13" t="s">
        <v>648</v>
      </c>
      <c r="C13" s="68">
        <v>8763369.8200000003</v>
      </c>
      <c r="D13" s="24">
        <v>6259.5498714285714</v>
      </c>
      <c r="E13" s="50">
        <v>1.9587824409798824E-3</v>
      </c>
      <c r="F13" s="51"/>
    </row>
    <row r="14" spans="1:6" ht="15.75" customHeight="1" x14ac:dyDescent="0.25">
      <c r="A14" t="s">
        <v>195</v>
      </c>
      <c r="B14" t="s">
        <v>194</v>
      </c>
      <c r="C14" s="68">
        <v>2424771.2200000002</v>
      </c>
      <c r="D14" s="24">
        <v>1731.9794428571431</v>
      </c>
      <c r="E14" s="50">
        <v>5.4198320813640709E-4</v>
      </c>
      <c r="F14" s="51"/>
    </row>
    <row r="15" spans="1:6" ht="15.75" customHeight="1" x14ac:dyDescent="0.25">
      <c r="A15" t="s">
        <v>548</v>
      </c>
      <c r="B15" t="s">
        <v>547</v>
      </c>
      <c r="C15" s="68">
        <v>861101.34</v>
      </c>
      <c r="D15" s="24">
        <v>615.0723857142857</v>
      </c>
      <c r="E15" s="50">
        <v>1.9247278379679836E-4</v>
      </c>
      <c r="F15" s="51"/>
    </row>
    <row r="16" spans="1:6" ht="15.75" customHeight="1" x14ac:dyDescent="0.25">
      <c r="A16" t="s">
        <v>655</v>
      </c>
      <c r="B16" t="s">
        <v>654</v>
      </c>
      <c r="C16" s="68">
        <v>508200</v>
      </c>
      <c r="D16" s="24">
        <v>363</v>
      </c>
      <c r="E16" s="50">
        <v>1.1359251714267792E-4</v>
      </c>
      <c r="F16" s="51"/>
    </row>
    <row r="17" spans="1:6" ht="15.75" customHeight="1" x14ac:dyDescent="0.25">
      <c r="A17" t="s">
        <v>197</v>
      </c>
      <c r="B17" t="s">
        <v>196</v>
      </c>
      <c r="C17" s="68">
        <v>267606.52</v>
      </c>
      <c r="D17" s="24">
        <v>191.14751428571429</v>
      </c>
      <c r="E17" s="50">
        <v>5.9815226703251443E-5</v>
      </c>
      <c r="F17" s="51"/>
    </row>
    <row r="18" spans="1:6" ht="15.75" customHeight="1" x14ac:dyDescent="0.25">
      <c r="A18" t="s">
        <v>199</v>
      </c>
      <c r="B18" t="s">
        <v>198</v>
      </c>
      <c r="C18" s="68">
        <v>204884.16</v>
      </c>
      <c r="D18" s="24">
        <v>146.34582857142857</v>
      </c>
      <c r="E18" s="50">
        <v>4.5795567605397807E-5</v>
      </c>
      <c r="F18" s="51"/>
    </row>
    <row r="19" spans="1:6" ht="15.75" customHeight="1" x14ac:dyDescent="0.25">
      <c r="A19" t="s">
        <v>663</v>
      </c>
      <c r="B19" t="s">
        <v>662</v>
      </c>
      <c r="C19" s="68">
        <v>4000000</v>
      </c>
      <c r="D19" s="24">
        <v>2857.1428571428573</v>
      </c>
      <c r="E19" s="50">
        <v>8.9407726991482038E-4</v>
      </c>
      <c r="F19" s="51"/>
    </row>
    <row r="20" spans="1:6" ht="15.75" customHeight="1" x14ac:dyDescent="0.25">
      <c r="A20" t="s">
        <v>201</v>
      </c>
      <c r="B20" t="s">
        <v>200</v>
      </c>
      <c r="C20" s="68">
        <v>4026000</v>
      </c>
      <c r="D20" s="24">
        <v>2875.7142857142858</v>
      </c>
      <c r="E20" s="50">
        <v>8.9988877216926663E-4</v>
      </c>
      <c r="F20" s="51"/>
    </row>
    <row r="21" spans="1:6" ht="15.75" customHeight="1" x14ac:dyDescent="0.25">
      <c r="A21" t="s">
        <v>550</v>
      </c>
      <c r="B21" t="s">
        <v>549</v>
      </c>
      <c r="C21" s="68">
        <v>343156</v>
      </c>
      <c r="D21" s="24">
        <v>245.11142857142858</v>
      </c>
      <c r="E21" s="50">
        <v>7.6701994908722515E-5</v>
      </c>
      <c r="F21" s="51"/>
    </row>
    <row r="22" spans="1:6" ht="15.75" customHeight="1" x14ac:dyDescent="0.25">
      <c r="A22" t="s">
        <v>552</v>
      </c>
      <c r="B22" t="s">
        <v>551</v>
      </c>
      <c r="C22" s="68">
        <v>13387941.35</v>
      </c>
      <c r="D22" s="24">
        <v>9562.8152499999997</v>
      </c>
      <c r="E22" s="50">
        <v>2.992463512996933E-3</v>
      </c>
      <c r="F22" s="51"/>
    </row>
    <row r="23" spans="1:6" ht="15.75" customHeight="1" x14ac:dyDescent="0.25">
      <c r="A23" t="s">
        <v>673</v>
      </c>
      <c r="B23" t="s">
        <v>672</v>
      </c>
      <c r="C23" s="68">
        <v>36000</v>
      </c>
      <c r="D23" s="24">
        <v>25.714285714285715</v>
      </c>
      <c r="E23" s="50">
        <v>8.0466954292333836E-6</v>
      </c>
      <c r="F23" s="51"/>
    </row>
    <row r="24" spans="1:6" ht="15.75" customHeight="1" x14ac:dyDescent="0.25">
      <c r="A24" t="s">
        <v>203</v>
      </c>
      <c r="B24" t="s">
        <v>202</v>
      </c>
      <c r="C24" s="68">
        <v>28069976.960000001</v>
      </c>
      <c r="D24" s="24">
        <v>20049.983542857142</v>
      </c>
      <c r="E24" s="50">
        <v>6.274182091742176E-3</v>
      </c>
      <c r="F24" s="51"/>
    </row>
    <row r="25" spans="1:6" ht="15.75" customHeight="1" x14ac:dyDescent="0.25">
      <c r="A25" t="s">
        <v>205</v>
      </c>
      <c r="B25" t="s">
        <v>204</v>
      </c>
      <c r="C25" s="68">
        <v>70000</v>
      </c>
      <c r="D25" s="24">
        <v>50</v>
      </c>
      <c r="E25" s="50">
        <v>1.5646352223509354E-5</v>
      </c>
      <c r="F25" s="51"/>
    </row>
    <row r="26" spans="1:6" ht="15.75" customHeight="1" x14ac:dyDescent="0.25">
      <c r="A26" t="s">
        <v>207</v>
      </c>
      <c r="B26" t="s">
        <v>206</v>
      </c>
      <c r="C26" s="68">
        <v>15185500</v>
      </c>
      <c r="D26" s="24">
        <v>10846.785714285714</v>
      </c>
      <c r="E26" s="50">
        <v>3.3942525955728757E-3</v>
      </c>
      <c r="F26" s="51"/>
    </row>
    <row r="27" spans="1:6" ht="15.75" customHeight="1" x14ac:dyDescent="0.25">
      <c r="A27" t="s">
        <v>681</v>
      </c>
      <c r="B27" t="s">
        <v>680</v>
      </c>
      <c r="C27" s="68">
        <v>349929</v>
      </c>
      <c r="D27" s="24">
        <v>249.94928571428571</v>
      </c>
      <c r="E27" s="50">
        <v>7.8215891246005784E-5</v>
      </c>
      <c r="F27" s="51"/>
    </row>
    <row r="28" spans="1:6" ht="15.75" customHeight="1" x14ac:dyDescent="0.25">
      <c r="A28" t="s">
        <v>554</v>
      </c>
      <c r="B28" t="s">
        <v>553</v>
      </c>
      <c r="C28" s="68">
        <v>5397392.4000000004</v>
      </c>
      <c r="D28" s="24">
        <v>3855.280285714286</v>
      </c>
      <c r="E28" s="50">
        <v>1.2064214654127501E-3</v>
      </c>
      <c r="F28" s="51"/>
    </row>
    <row r="29" spans="1:6" ht="15.75" customHeight="1" x14ac:dyDescent="0.25">
      <c r="A29" t="s">
        <v>685</v>
      </c>
      <c r="B29" t="s">
        <v>684</v>
      </c>
      <c r="C29" s="68">
        <v>1827342</v>
      </c>
      <c r="D29" s="24">
        <v>1305.2442857142858</v>
      </c>
      <c r="E29" s="50">
        <v>4.0844623664017189E-4</v>
      </c>
      <c r="F29" s="51"/>
    </row>
    <row r="30" spans="1:6" ht="15.75" customHeight="1" x14ac:dyDescent="0.25">
      <c r="A30" t="s">
        <v>689</v>
      </c>
      <c r="B30" t="s">
        <v>688</v>
      </c>
      <c r="C30" s="68">
        <v>245000</v>
      </c>
      <c r="D30" s="24">
        <v>175</v>
      </c>
      <c r="E30" s="50">
        <v>5.4762232782282743E-5</v>
      </c>
      <c r="F30" s="51"/>
    </row>
    <row r="31" spans="1:6" ht="15.75" customHeight="1" x14ac:dyDescent="0.25">
      <c r="A31" t="s">
        <v>209</v>
      </c>
      <c r="B31" t="s">
        <v>208</v>
      </c>
      <c r="C31" s="68">
        <v>2790260</v>
      </c>
      <c r="D31" s="24">
        <v>1993.0428571428572</v>
      </c>
      <c r="E31" s="50">
        <v>6.2367701078813167E-4</v>
      </c>
      <c r="F31" s="51"/>
    </row>
    <row r="32" spans="1:6" ht="15.75" customHeight="1" x14ac:dyDescent="0.25">
      <c r="A32" t="s">
        <v>211</v>
      </c>
      <c r="B32" t="s">
        <v>210</v>
      </c>
      <c r="C32" s="68">
        <v>1259999.8600000001</v>
      </c>
      <c r="D32" s="24">
        <v>899.99990000000003</v>
      </c>
      <c r="E32" s="50">
        <v>2.8163430873046394E-4</v>
      </c>
      <c r="F32" s="51"/>
    </row>
    <row r="33" spans="1:6" ht="15.75" customHeight="1" x14ac:dyDescent="0.25">
      <c r="A33" t="s">
        <v>697</v>
      </c>
      <c r="B33" t="s">
        <v>696</v>
      </c>
      <c r="C33" s="68">
        <v>500000</v>
      </c>
      <c r="D33" s="24">
        <v>357.14285714285717</v>
      </c>
      <c r="E33" s="50">
        <v>1.1175965873935255E-4</v>
      </c>
      <c r="F33" s="51"/>
    </row>
    <row r="34" spans="1:6" ht="15.75" customHeight="1" x14ac:dyDescent="0.25">
      <c r="A34" t="s">
        <v>213</v>
      </c>
      <c r="B34" t="s">
        <v>212</v>
      </c>
      <c r="C34" s="68">
        <v>3000000</v>
      </c>
      <c r="D34" s="24">
        <v>2142.8571428571427</v>
      </c>
      <c r="E34" s="50">
        <v>6.7055795243611512E-4</v>
      </c>
      <c r="F34" s="51"/>
    </row>
    <row r="35" spans="1:6" ht="15.75" customHeight="1" x14ac:dyDescent="0.25">
      <c r="A35" t="s">
        <v>556</v>
      </c>
      <c r="B35" t="s">
        <v>555</v>
      </c>
      <c r="C35" s="68">
        <v>118465.57</v>
      </c>
      <c r="D35" s="24">
        <v>84.618264285714289</v>
      </c>
      <c r="E35" s="50">
        <v>2.6479343351125762E-5</v>
      </c>
      <c r="F35" s="51"/>
    </row>
    <row r="36" spans="1:6" ht="15.75" customHeight="1" x14ac:dyDescent="0.25">
      <c r="A36" t="s">
        <v>215</v>
      </c>
      <c r="B36" t="s">
        <v>214</v>
      </c>
      <c r="C36" s="68">
        <v>17286278.059999999</v>
      </c>
      <c r="D36" s="24">
        <v>12347.34147142857</v>
      </c>
      <c r="E36" s="50">
        <v>3.8638170737183134E-3</v>
      </c>
      <c r="F36" s="51"/>
    </row>
    <row r="37" spans="1:6" ht="15.75" customHeight="1" x14ac:dyDescent="0.25">
      <c r="A37" t="s">
        <v>217</v>
      </c>
      <c r="B37" t="s">
        <v>216</v>
      </c>
      <c r="C37" s="68">
        <v>1038252.6</v>
      </c>
      <c r="D37" s="24">
        <v>741.60900000000004</v>
      </c>
      <c r="E37" s="50">
        <v>2.32069512522491E-4</v>
      </c>
      <c r="F37" s="51"/>
    </row>
    <row r="38" spans="1:6" ht="15.75" customHeight="1" x14ac:dyDescent="0.25">
      <c r="A38" t="s">
        <v>219</v>
      </c>
      <c r="B38" t="s">
        <v>218</v>
      </c>
      <c r="C38" s="68">
        <v>3640289.03</v>
      </c>
      <c r="D38" s="24">
        <v>2600.2064499999997</v>
      </c>
      <c r="E38" s="50">
        <v>8.1367491941081724E-4</v>
      </c>
      <c r="F38" s="51"/>
    </row>
    <row r="39" spans="1:6" ht="15.75" customHeight="1" x14ac:dyDescent="0.25">
      <c r="A39" t="s">
        <v>707</v>
      </c>
      <c r="B39" t="s">
        <v>706</v>
      </c>
      <c r="C39" s="68">
        <v>360000</v>
      </c>
      <c r="D39" s="24">
        <v>257.14285714285717</v>
      </c>
      <c r="E39" s="50">
        <v>8.0466954292333833E-5</v>
      </c>
      <c r="F39" s="51"/>
    </row>
    <row r="40" spans="1:6" ht="15.75" customHeight="1" x14ac:dyDescent="0.25">
      <c r="A40" t="s">
        <v>221</v>
      </c>
      <c r="B40" t="s">
        <v>220</v>
      </c>
      <c r="C40" s="68">
        <v>-0.01</v>
      </c>
      <c r="D40" s="24">
        <v>-7.1428571428571427E-6</v>
      </c>
      <c r="E40" s="50">
        <v>-2.2351931747870508E-12</v>
      </c>
      <c r="F40" s="51"/>
    </row>
    <row r="41" spans="1:6" ht="15.75" customHeight="1" x14ac:dyDescent="0.25">
      <c r="A41" t="s">
        <v>709</v>
      </c>
      <c r="B41" t="s">
        <v>708</v>
      </c>
      <c r="C41" s="68">
        <v>955400</v>
      </c>
      <c r="D41" s="24">
        <v>682.42857142857144</v>
      </c>
      <c r="E41" s="50">
        <v>2.1355035591915484E-4</v>
      </c>
      <c r="F41" s="51"/>
    </row>
    <row r="42" spans="1:6" ht="15.75" customHeight="1" x14ac:dyDescent="0.25">
      <c r="A42" t="s">
        <v>711</v>
      </c>
      <c r="B42" t="s">
        <v>710</v>
      </c>
      <c r="C42" s="68">
        <v>532400</v>
      </c>
      <c r="D42" s="24">
        <v>380.28571428571428</v>
      </c>
      <c r="E42" s="50">
        <v>1.1900168462566258E-4</v>
      </c>
      <c r="F42" s="51"/>
    </row>
    <row r="43" spans="1:6" ht="15.75" customHeight="1" x14ac:dyDescent="0.25">
      <c r="A43" t="s">
        <v>223</v>
      </c>
      <c r="B43" t="s">
        <v>222</v>
      </c>
      <c r="C43" s="68">
        <v>7289101.6900000004</v>
      </c>
      <c r="D43" s="24">
        <v>5206.5012071428573</v>
      </c>
      <c r="E43" s="50">
        <v>1.6292550347816756E-3</v>
      </c>
      <c r="F43" s="51"/>
    </row>
    <row r="44" spans="1:6" ht="15.75" customHeight="1" x14ac:dyDescent="0.25">
      <c r="A44" t="s">
        <v>717</v>
      </c>
      <c r="B44" t="s">
        <v>716</v>
      </c>
      <c r="C44" s="68">
        <v>154726.57</v>
      </c>
      <c r="D44" s="24">
        <v>110.51897857142858</v>
      </c>
      <c r="E44" s="50">
        <v>3.4584377322221082E-5</v>
      </c>
      <c r="F44" s="51"/>
    </row>
    <row r="45" spans="1:6" ht="15.75" customHeight="1" x14ac:dyDescent="0.25">
      <c r="A45" t="s">
        <v>721</v>
      </c>
      <c r="B45" t="s">
        <v>720</v>
      </c>
      <c r="C45" s="68">
        <v>899999</v>
      </c>
      <c r="D45" s="24">
        <v>642.85642857142852</v>
      </c>
      <c r="E45" s="50">
        <v>2.0116716221151707E-4</v>
      </c>
      <c r="F45" s="51"/>
    </row>
    <row r="46" spans="1:6" ht="15.75" customHeight="1" x14ac:dyDescent="0.25">
      <c r="A46" t="s">
        <v>225</v>
      </c>
      <c r="B46" t="s">
        <v>224</v>
      </c>
      <c r="C46" s="68">
        <v>217</v>
      </c>
      <c r="D46" s="24">
        <v>0.155</v>
      </c>
      <c r="E46" s="50">
        <v>4.8503691892879002E-8</v>
      </c>
      <c r="F46" s="51"/>
    </row>
    <row r="47" spans="1:6" ht="15.75" customHeight="1" x14ac:dyDescent="0.25">
      <c r="A47" t="s">
        <v>558</v>
      </c>
      <c r="B47" t="s">
        <v>557</v>
      </c>
      <c r="C47" s="68">
        <v>268800</v>
      </c>
      <c r="D47" s="24">
        <v>192</v>
      </c>
      <c r="E47" s="50">
        <v>6.0081992538275923E-5</v>
      </c>
      <c r="F47" s="51"/>
    </row>
    <row r="48" spans="1:6" ht="15.75" customHeight="1" x14ac:dyDescent="0.25">
      <c r="A48" t="s">
        <v>227</v>
      </c>
      <c r="B48" t="s">
        <v>226</v>
      </c>
      <c r="C48" s="68">
        <v>347086.08000000002</v>
      </c>
      <c r="D48" s="24">
        <v>247.91862857142857</v>
      </c>
      <c r="E48" s="50">
        <v>7.7580443707959222E-5</v>
      </c>
      <c r="F48" s="51"/>
    </row>
    <row r="49" spans="1:6" ht="15.75" customHeight="1" x14ac:dyDescent="0.25">
      <c r="A49" t="s">
        <v>229</v>
      </c>
      <c r="B49" t="s">
        <v>228</v>
      </c>
      <c r="C49" s="68">
        <v>37161117.090000004</v>
      </c>
      <c r="D49" s="24">
        <v>26543.655064285718</v>
      </c>
      <c r="E49" s="50">
        <v>8.3062275287030442E-3</v>
      </c>
      <c r="F49" s="51"/>
    </row>
    <row r="50" spans="1:6" ht="15.75" customHeight="1" x14ac:dyDescent="0.25">
      <c r="A50" t="s">
        <v>729</v>
      </c>
      <c r="B50" t="s">
        <v>728</v>
      </c>
      <c r="C50" s="68">
        <v>278300</v>
      </c>
      <c r="D50" s="24">
        <v>198.78571428571428</v>
      </c>
      <c r="E50" s="50">
        <v>6.2205426054323621E-5</v>
      </c>
      <c r="F50" s="51"/>
    </row>
    <row r="51" spans="1:6" ht="15.75" customHeight="1" x14ac:dyDescent="0.25">
      <c r="A51" t="s">
        <v>231</v>
      </c>
      <c r="B51" t="s">
        <v>230</v>
      </c>
      <c r="C51" s="68">
        <v>201234750</v>
      </c>
      <c r="D51" s="24">
        <v>143739.10714285713</v>
      </c>
      <c r="E51" s="50">
        <v>4.4979853972997842E-2</v>
      </c>
      <c r="F51" s="51"/>
    </row>
    <row r="52" spans="1:6" ht="15.75" customHeight="1" x14ac:dyDescent="0.25">
      <c r="A52" t="s">
        <v>233</v>
      </c>
      <c r="B52" t="s">
        <v>232</v>
      </c>
      <c r="C52" s="68">
        <v>578279855.59000003</v>
      </c>
      <c r="D52" s="24">
        <v>413057.03970714286</v>
      </c>
      <c r="E52" s="50">
        <v>0.12925671863316093</v>
      </c>
      <c r="F52" s="51"/>
    </row>
    <row r="53" spans="1:6" ht="15.75" customHeight="1" x14ac:dyDescent="0.25">
      <c r="A53" t="s">
        <v>233</v>
      </c>
      <c r="B53" t="s">
        <v>234</v>
      </c>
      <c r="C53" s="68">
        <v>62399883.490000002</v>
      </c>
      <c r="D53" s="24">
        <v>44571.345350000003</v>
      </c>
      <c r="E53" s="50">
        <v>1.3947579368435518E-2</v>
      </c>
      <c r="F53" s="51"/>
    </row>
    <row r="54" spans="1:6" ht="15.75" customHeight="1" x14ac:dyDescent="0.25">
      <c r="A54" t="s">
        <v>233</v>
      </c>
      <c r="B54" t="s">
        <v>235</v>
      </c>
      <c r="C54" s="68">
        <v>274157288.83999997</v>
      </c>
      <c r="D54" s="24">
        <v>195826.63488571427</v>
      </c>
      <c r="E54" s="50">
        <v>6.1279450083329003E-2</v>
      </c>
      <c r="F54" s="51"/>
    </row>
    <row r="55" spans="1:6" ht="15.75" customHeight="1" x14ac:dyDescent="0.25">
      <c r="A55" t="s">
        <v>237</v>
      </c>
      <c r="B55" t="s">
        <v>236</v>
      </c>
      <c r="C55" s="68">
        <v>4157535.95</v>
      </c>
      <c r="D55" s="24">
        <v>2969.668535714286</v>
      </c>
      <c r="E55" s="50">
        <v>9.2928959793717983E-4</v>
      </c>
      <c r="F55" s="51"/>
    </row>
    <row r="56" spans="1:6" ht="15.75" customHeight="1" x14ac:dyDescent="0.25">
      <c r="A56" t="s">
        <v>239</v>
      </c>
      <c r="B56" t="s">
        <v>238</v>
      </c>
      <c r="C56" s="68">
        <v>5480131.2000000002</v>
      </c>
      <c r="D56" s="24">
        <v>3914.3794285714289</v>
      </c>
      <c r="E56" s="50">
        <v>1.224915185517757E-3</v>
      </c>
      <c r="F56" s="51"/>
    </row>
    <row r="57" spans="1:6" ht="15.75" customHeight="1" x14ac:dyDescent="0.25">
      <c r="A57" t="s">
        <v>241</v>
      </c>
      <c r="B57" t="s">
        <v>240</v>
      </c>
      <c r="C57" s="68">
        <v>2431084.48</v>
      </c>
      <c r="D57" s="24">
        <v>1736.4889142857144</v>
      </c>
      <c r="E57" s="50">
        <v>5.4339434370267265E-4</v>
      </c>
      <c r="F57" s="51"/>
    </row>
    <row r="58" spans="1:6" ht="15.75" customHeight="1" x14ac:dyDescent="0.25">
      <c r="A58" t="s">
        <v>243</v>
      </c>
      <c r="B58" t="s">
        <v>242</v>
      </c>
      <c r="C58" s="68">
        <v>-204.43</v>
      </c>
      <c r="D58" s="24">
        <v>-0.14602142857142858</v>
      </c>
      <c r="E58" s="50">
        <v>-4.5694054072171683E-8</v>
      </c>
      <c r="F58" s="51"/>
    </row>
    <row r="59" spans="1:6" ht="15.75" customHeight="1" x14ac:dyDescent="0.25">
      <c r="A59" t="s">
        <v>245</v>
      </c>
      <c r="B59" t="s">
        <v>244</v>
      </c>
      <c r="C59" s="68">
        <v>4667405.5999999996</v>
      </c>
      <c r="D59" s="24">
        <v>3333.8611428571426</v>
      </c>
      <c r="E59" s="50">
        <v>1.0432553141082859E-3</v>
      </c>
      <c r="F59" s="51"/>
    </row>
    <row r="60" spans="1:6" ht="15.75" customHeight="1" x14ac:dyDescent="0.25">
      <c r="A60" t="s">
        <v>247</v>
      </c>
      <c r="B60" t="s">
        <v>246</v>
      </c>
      <c r="C60" s="68">
        <v>18715356.550000001</v>
      </c>
      <c r="D60" s="24">
        <v>13368.111821428573</v>
      </c>
      <c r="E60" s="50">
        <v>4.183243722426613E-3</v>
      </c>
      <c r="F60" s="51"/>
    </row>
    <row r="61" spans="1:6" ht="15.75" customHeight="1" x14ac:dyDescent="0.25">
      <c r="A61" t="s">
        <v>249</v>
      </c>
      <c r="B61" t="s">
        <v>248</v>
      </c>
      <c r="C61" s="68">
        <v>-106108.29</v>
      </c>
      <c r="D61" s="24">
        <v>-75.791635714285704</v>
      </c>
      <c r="E61" s="50">
        <v>-2.3717252559632503E-5</v>
      </c>
      <c r="F61" s="51"/>
    </row>
    <row r="62" spans="1:6" ht="15.75" customHeight="1" x14ac:dyDescent="0.25">
      <c r="A62" t="s">
        <v>251</v>
      </c>
      <c r="B62" t="s">
        <v>250</v>
      </c>
      <c r="C62" s="68">
        <v>2336068.37</v>
      </c>
      <c r="D62" s="24">
        <v>1668.6202642857143</v>
      </c>
      <c r="E62" s="50">
        <v>5.2215640764599104E-4</v>
      </c>
      <c r="F62" s="51"/>
    </row>
    <row r="63" spans="1:6" ht="15.75" customHeight="1" x14ac:dyDescent="0.25">
      <c r="A63" t="s">
        <v>745</v>
      </c>
      <c r="B63" t="s">
        <v>744</v>
      </c>
      <c r="C63" s="68">
        <v>5280000</v>
      </c>
      <c r="D63" s="24">
        <v>3771.4285714285716</v>
      </c>
      <c r="E63" s="50">
        <v>1.1801819962875628E-3</v>
      </c>
      <c r="F63" s="51"/>
    </row>
    <row r="64" spans="1:6" ht="15.75" customHeight="1" x14ac:dyDescent="0.25">
      <c r="A64" t="s">
        <v>253</v>
      </c>
      <c r="B64" t="s">
        <v>252</v>
      </c>
      <c r="C64" s="68">
        <v>9962346.4399999995</v>
      </c>
      <c r="D64" s="24">
        <v>7115.9617428571428</v>
      </c>
      <c r="E64" s="50">
        <v>2.2267768767552073E-3</v>
      </c>
      <c r="F64" s="51"/>
    </row>
    <row r="65" spans="1:6" ht="15.75" customHeight="1" x14ac:dyDescent="0.25">
      <c r="A65" t="s">
        <v>255</v>
      </c>
      <c r="B65" t="s">
        <v>254</v>
      </c>
      <c r="C65" s="68">
        <v>2306958.25</v>
      </c>
      <c r="D65" s="24">
        <v>1647.8273214285714</v>
      </c>
      <c r="E65" s="50">
        <v>5.156497334918678E-4</v>
      </c>
      <c r="F65" s="51"/>
    </row>
    <row r="66" spans="1:6" ht="15.75" customHeight="1" x14ac:dyDescent="0.25">
      <c r="A66" t="s">
        <v>257</v>
      </c>
      <c r="B66" t="s">
        <v>256</v>
      </c>
      <c r="C66" s="68">
        <v>2740168.14</v>
      </c>
      <c r="D66" s="24">
        <v>1957.2629571428572</v>
      </c>
      <c r="E66" s="50">
        <v>6.1248051242969274E-4</v>
      </c>
      <c r="F66" s="51"/>
    </row>
    <row r="67" spans="1:6" ht="15.75" customHeight="1" x14ac:dyDescent="0.25">
      <c r="A67" t="s">
        <v>560</v>
      </c>
      <c r="B67" t="s">
        <v>559</v>
      </c>
      <c r="C67" s="68">
        <v>433107.4</v>
      </c>
      <c r="D67" s="24">
        <v>309.36242857142861</v>
      </c>
      <c r="E67" s="50">
        <v>9.6807870442976523E-5</v>
      </c>
      <c r="F67" s="51"/>
    </row>
    <row r="68" spans="1:6" ht="15.75" customHeight="1" x14ac:dyDescent="0.25">
      <c r="A68" t="s">
        <v>259</v>
      </c>
      <c r="B68" t="s">
        <v>258</v>
      </c>
      <c r="C68" s="68">
        <v>1308456.1100000001</v>
      </c>
      <c r="D68" s="24">
        <v>934.61150714285725</v>
      </c>
      <c r="E68" s="50">
        <v>2.924652166580415E-4</v>
      </c>
      <c r="F68" s="51"/>
    </row>
    <row r="69" spans="1:6" ht="15.75" customHeight="1" x14ac:dyDescent="0.25">
      <c r="A69" t="s">
        <v>261</v>
      </c>
      <c r="B69" t="s">
        <v>260</v>
      </c>
      <c r="C69" s="68">
        <v>5189513.66</v>
      </c>
      <c r="D69" s="24">
        <v>3706.7954714285715</v>
      </c>
      <c r="E69" s="50">
        <v>1.1599565513296167E-3</v>
      </c>
      <c r="F69" s="51"/>
    </row>
    <row r="70" spans="1:6" ht="15.75" customHeight="1" x14ac:dyDescent="0.25">
      <c r="A70" t="s">
        <v>755</v>
      </c>
      <c r="B70" t="s">
        <v>754</v>
      </c>
      <c r="C70" s="68">
        <v>6174880</v>
      </c>
      <c r="D70" s="24">
        <v>4410.6285714285714</v>
      </c>
      <c r="E70" s="50">
        <v>1.3802049631129064E-3</v>
      </c>
      <c r="F70" s="51"/>
    </row>
    <row r="71" spans="1:6" ht="15.75" customHeight="1" x14ac:dyDescent="0.25">
      <c r="A71" t="s">
        <v>263</v>
      </c>
      <c r="B71" t="s">
        <v>262</v>
      </c>
      <c r="C71" s="68">
        <v>58024614.920000002</v>
      </c>
      <c r="D71" s="24">
        <v>41446.153514285717</v>
      </c>
      <c r="E71" s="50">
        <v>1.2969622323883087E-2</v>
      </c>
      <c r="F71" s="51"/>
    </row>
    <row r="72" spans="1:6" ht="15.75" customHeight="1" x14ac:dyDescent="0.25">
      <c r="A72" t="s">
        <v>265</v>
      </c>
      <c r="B72" t="s">
        <v>264</v>
      </c>
      <c r="C72" s="68">
        <v>60000</v>
      </c>
      <c r="D72" s="24">
        <v>42.857142857142854</v>
      </c>
      <c r="E72" s="50">
        <v>1.3411159048722303E-5</v>
      </c>
      <c r="F72" s="51"/>
    </row>
    <row r="73" spans="1:6" ht="15.75" customHeight="1" x14ac:dyDescent="0.25">
      <c r="A73" t="s">
        <v>267</v>
      </c>
      <c r="B73" t="s">
        <v>266</v>
      </c>
      <c r="C73" s="68">
        <v>4237741.8600000003</v>
      </c>
      <c r="D73" s="24">
        <v>3026.9584714285716</v>
      </c>
      <c r="E73" s="50">
        <v>9.4721716819813812E-4</v>
      </c>
      <c r="F73" s="51"/>
    </row>
    <row r="74" spans="1:6" ht="15.75" customHeight="1" x14ac:dyDescent="0.25">
      <c r="A74" t="s">
        <v>269</v>
      </c>
      <c r="B74" t="s">
        <v>268</v>
      </c>
      <c r="C74" s="68">
        <v>11499840</v>
      </c>
      <c r="D74" s="24">
        <v>8214.1714285714279</v>
      </c>
      <c r="E74" s="50">
        <v>2.5704363879143115E-3</v>
      </c>
      <c r="F74" s="51"/>
    </row>
    <row r="75" spans="1:6" ht="15.75" customHeight="1" x14ac:dyDescent="0.25">
      <c r="A75" t="s">
        <v>271</v>
      </c>
      <c r="B75" t="s">
        <v>270</v>
      </c>
      <c r="C75" s="68">
        <v>5170000</v>
      </c>
      <c r="D75" s="24">
        <v>3692.8571428571427</v>
      </c>
      <c r="E75" s="50">
        <v>1.1555948713649052E-3</v>
      </c>
      <c r="F75" s="51"/>
    </row>
    <row r="76" spans="1:6" ht="15.75" customHeight="1" x14ac:dyDescent="0.25">
      <c r="A76" t="s">
        <v>273</v>
      </c>
      <c r="B76" t="s">
        <v>272</v>
      </c>
      <c r="C76" s="68">
        <v>24422204.399999999</v>
      </c>
      <c r="D76" s="24">
        <v>17444.431714285714</v>
      </c>
      <c r="E76" s="50">
        <v>5.4588344588134283E-3</v>
      </c>
      <c r="F76" s="51"/>
    </row>
    <row r="77" spans="1:6" ht="15.75" customHeight="1" x14ac:dyDescent="0.25">
      <c r="A77" t="s">
        <v>275</v>
      </c>
      <c r="B77" t="s">
        <v>274</v>
      </c>
      <c r="C77" s="68">
        <v>10060882.66</v>
      </c>
      <c r="D77" s="24">
        <v>7186.3447571428569</v>
      </c>
      <c r="E77" s="50">
        <v>2.2488016253965387E-3</v>
      </c>
      <c r="F77" s="51"/>
    </row>
    <row r="78" spans="1:6" ht="15.75" customHeight="1" x14ac:dyDescent="0.25">
      <c r="A78" t="s">
        <v>277</v>
      </c>
      <c r="B78" t="s">
        <v>276</v>
      </c>
      <c r="C78" s="68">
        <v>5314099.8</v>
      </c>
      <c r="D78" s="24">
        <v>3795.7855714285711</v>
      </c>
      <c r="E78" s="50">
        <v>1.1878039603097231E-3</v>
      </c>
      <c r="F78" s="51"/>
    </row>
    <row r="79" spans="1:6" ht="15.75" customHeight="1" x14ac:dyDescent="0.25">
      <c r="A79" t="s">
        <v>279</v>
      </c>
      <c r="B79" t="s">
        <v>278</v>
      </c>
      <c r="C79" s="68">
        <v>1615718.04</v>
      </c>
      <c r="D79" s="24">
        <v>1154.0843142857143</v>
      </c>
      <c r="E79" s="50">
        <v>3.611441935388311E-4</v>
      </c>
      <c r="F79" s="51"/>
    </row>
    <row r="80" spans="1:6" ht="15.75" customHeight="1" x14ac:dyDescent="0.25">
      <c r="A80" t="s">
        <v>281</v>
      </c>
      <c r="B80" t="s">
        <v>280</v>
      </c>
      <c r="C80" s="68">
        <v>90750</v>
      </c>
      <c r="D80" s="24">
        <v>64.821428571428569</v>
      </c>
      <c r="E80" s="50">
        <v>2.0284378061192484E-5</v>
      </c>
      <c r="F80" s="51"/>
    </row>
    <row r="81" spans="1:6" ht="15.75" customHeight="1" x14ac:dyDescent="0.25">
      <c r="A81" t="s">
        <v>562</v>
      </c>
      <c r="B81" t="s">
        <v>561</v>
      </c>
      <c r="C81" s="68">
        <v>223999.99</v>
      </c>
      <c r="D81" s="24">
        <v>159.99999285714284</v>
      </c>
      <c r="E81" s="50">
        <v>5.0068324880036755E-5</v>
      </c>
      <c r="F81" s="51"/>
    </row>
    <row r="82" spans="1:6" ht="15.75" customHeight="1" x14ac:dyDescent="0.25">
      <c r="A82" t="s">
        <v>769</v>
      </c>
      <c r="B82" t="s">
        <v>768</v>
      </c>
      <c r="C82" s="68">
        <v>477348.15</v>
      </c>
      <c r="D82" s="24">
        <v>340.96296428571429</v>
      </c>
      <c r="E82" s="50">
        <v>1.0669653268772253E-4</v>
      </c>
      <c r="F82" s="51"/>
    </row>
    <row r="83" spans="1:6" ht="15.75" customHeight="1" x14ac:dyDescent="0.25">
      <c r="A83" t="s">
        <v>283</v>
      </c>
      <c r="B83" t="s">
        <v>282</v>
      </c>
      <c r="C83" s="68">
        <v>715981.2</v>
      </c>
      <c r="D83" s="24">
        <v>511.41514285714283</v>
      </c>
      <c r="E83" s="50">
        <v>1.6003562915158423E-4</v>
      </c>
      <c r="F83" s="51"/>
    </row>
    <row r="84" spans="1:6" ht="15.75" customHeight="1" x14ac:dyDescent="0.25">
      <c r="A84" t="s">
        <v>285</v>
      </c>
      <c r="B84" t="s">
        <v>284</v>
      </c>
      <c r="C84" s="68">
        <v>290181.01</v>
      </c>
      <c r="D84" s="24">
        <v>207.27215000000001</v>
      </c>
      <c r="E84" s="50">
        <v>6.4861061300481294E-5</v>
      </c>
      <c r="F84" s="51"/>
    </row>
    <row r="85" spans="1:6" ht="15.75" customHeight="1" x14ac:dyDescent="0.25">
      <c r="A85" t="s">
        <v>287</v>
      </c>
      <c r="B85" t="s">
        <v>286</v>
      </c>
      <c r="C85" s="68">
        <v>6409121.7400000002</v>
      </c>
      <c r="D85" s="24">
        <v>4577.9440999999997</v>
      </c>
      <c r="E85" s="50">
        <v>1.4325625169627305E-3</v>
      </c>
      <c r="F85" s="51"/>
    </row>
    <row r="86" spans="1:6" ht="15.75" customHeight="1" x14ac:dyDescent="0.25">
      <c r="A86" t="s">
        <v>289</v>
      </c>
      <c r="B86" t="s">
        <v>288</v>
      </c>
      <c r="C86" s="68">
        <v>1005421.38</v>
      </c>
      <c r="D86" s="24">
        <v>718.15812857142862</v>
      </c>
      <c r="E86" s="50">
        <v>2.2473110063609778E-4</v>
      </c>
      <c r="F86" s="51"/>
    </row>
    <row r="87" spans="1:6" ht="15.75" customHeight="1" x14ac:dyDescent="0.25">
      <c r="A87" t="s">
        <v>291</v>
      </c>
      <c r="B87" t="s">
        <v>290</v>
      </c>
      <c r="C87" s="68">
        <v>86993905.680000007</v>
      </c>
      <c r="D87" s="24">
        <v>62138.504057142862</v>
      </c>
      <c r="E87" s="50">
        <v>1.9444818422400447E-2</v>
      </c>
      <c r="F87" s="51"/>
    </row>
    <row r="88" spans="1:6" ht="15.75" customHeight="1" x14ac:dyDescent="0.25">
      <c r="A88" t="s">
        <v>293</v>
      </c>
      <c r="B88" t="s">
        <v>292</v>
      </c>
      <c r="C88" s="68">
        <v>3103880.01</v>
      </c>
      <c r="D88" s="24">
        <v>2217.0571499999996</v>
      </c>
      <c r="E88" s="50">
        <v>6.937771413709962E-4</v>
      </c>
      <c r="F88" s="51"/>
    </row>
    <row r="89" spans="1:6" ht="15.75" customHeight="1" x14ac:dyDescent="0.25">
      <c r="A89" t="s">
        <v>295</v>
      </c>
      <c r="B89" t="s">
        <v>294</v>
      </c>
      <c r="C89" s="68">
        <v>780000</v>
      </c>
      <c r="D89" s="24">
        <v>557.14285714285711</v>
      </c>
      <c r="E89" s="50">
        <v>1.7434506763338995E-4</v>
      </c>
      <c r="F89" s="51"/>
    </row>
    <row r="90" spans="1:6" ht="15.75" customHeight="1" x14ac:dyDescent="0.25">
      <c r="A90" t="s">
        <v>297</v>
      </c>
      <c r="B90" t="s">
        <v>296</v>
      </c>
      <c r="C90" s="68">
        <v>180000</v>
      </c>
      <c r="D90" s="24">
        <v>128.57142857142858</v>
      </c>
      <c r="E90" s="50">
        <v>4.0233477146166916E-5</v>
      </c>
      <c r="F90" s="51"/>
    </row>
    <row r="91" spans="1:6" ht="15.75" customHeight="1" x14ac:dyDescent="0.25">
      <c r="A91" t="s">
        <v>299</v>
      </c>
      <c r="B91" t="s">
        <v>298</v>
      </c>
      <c r="C91" s="68">
        <v>0.02</v>
      </c>
      <c r="D91" s="24">
        <v>1.4285714285714285E-5</v>
      </c>
      <c r="E91" s="50">
        <v>4.4703863495741016E-12</v>
      </c>
      <c r="F91" s="51"/>
    </row>
    <row r="92" spans="1:6" ht="15.75" customHeight="1" x14ac:dyDescent="0.25">
      <c r="A92" t="s">
        <v>301</v>
      </c>
      <c r="B92" t="s">
        <v>300</v>
      </c>
      <c r="C92" s="68">
        <v>3388121</v>
      </c>
      <c r="D92" s="24">
        <v>2420.0864285714288</v>
      </c>
      <c r="E92" s="50">
        <v>7.5731049345526772E-4</v>
      </c>
      <c r="F92" s="51"/>
    </row>
    <row r="93" spans="1:6" ht="15.75" customHeight="1" x14ac:dyDescent="0.25">
      <c r="A93" t="s">
        <v>303</v>
      </c>
      <c r="B93" t="s">
        <v>302</v>
      </c>
      <c r="C93" s="68">
        <v>2860198</v>
      </c>
      <c r="D93" s="24">
        <v>2042.9985714285715</v>
      </c>
      <c r="E93" s="50">
        <v>6.3930950481395725E-4</v>
      </c>
      <c r="F93" s="51"/>
    </row>
    <row r="94" spans="1:6" ht="15.75" customHeight="1" x14ac:dyDescent="0.25">
      <c r="A94" t="s">
        <v>305</v>
      </c>
      <c r="B94" t="s">
        <v>304</v>
      </c>
      <c r="C94" s="68">
        <v>259372.83</v>
      </c>
      <c r="D94" s="24">
        <v>185.26630714285713</v>
      </c>
      <c r="E94" s="50">
        <v>5.7974837934120193E-5</v>
      </c>
      <c r="F94" s="51"/>
    </row>
    <row r="95" spans="1:6" ht="15.75" customHeight="1" x14ac:dyDescent="0.25">
      <c r="A95" t="s">
        <v>564</v>
      </c>
      <c r="B95" t="s">
        <v>563</v>
      </c>
      <c r="C95" s="68">
        <v>790000</v>
      </c>
      <c r="D95" s="24">
        <v>564.28571428571433</v>
      </c>
      <c r="E95" s="50">
        <v>1.7658026080817702E-4</v>
      </c>
      <c r="F95" s="51"/>
    </row>
    <row r="96" spans="1:6" ht="15.75" customHeight="1" x14ac:dyDescent="0.25">
      <c r="A96" t="s">
        <v>785</v>
      </c>
      <c r="B96" t="s">
        <v>784</v>
      </c>
      <c r="C96" s="68">
        <v>3100000</v>
      </c>
      <c r="D96" s="24">
        <v>2214.2857142857142</v>
      </c>
      <c r="E96" s="50">
        <v>6.929098841839857E-4</v>
      </c>
      <c r="F96" s="51"/>
    </row>
    <row r="97" spans="1:6" ht="15.75" customHeight="1" x14ac:dyDescent="0.25">
      <c r="A97" t="s">
        <v>307</v>
      </c>
      <c r="B97" t="s">
        <v>306</v>
      </c>
      <c r="C97" s="68">
        <v>5203943.8</v>
      </c>
      <c r="D97" s="24">
        <v>3717.1027142857142</v>
      </c>
      <c r="E97" s="50">
        <v>1.1631819663735388E-3</v>
      </c>
      <c r="F97" s="51"/>
    </row>
    <row r="98" spans="1:6" ht="15.75" customHeight="1" x14ac:dyDescent="0.25">
      <c r="A98" t="s">
        <v>309</v>
      </c>
      <c r="B98" t="s">
        <v>308</v>
      </c>
      <c r="C98" s="68">
        <v>-3904.38</v>
      </c>
      <c r="D98" s="24">
        <v>-2.7888428571428574</v>
      </c>
      <c r="E98" s="50">
        <v>-8.7270435277750661E-7</v>
      </c>
      <c r="F98" s="51"/>
    </row>
    <row r="99" spans="1:6" ht="15.75" customHeight="1" x14ac:dyDescent="0.25">
      <c r="A99" t="s">
        <v>566</v>
      </c>
      <c r="B99" t="s">
        <v>565</v>
      </c>
      <c r="C99" s="68">
        <v>659181.49</v>
      </c>
      <c r="D99" s="24">
        <v>470.84392142857143</v>
      </c>
      <c r="E99" s="50">
        <v>1.4733979673939586E-4</v>
      </c>
      <c r="F99" s="51"/>
    </row>
    <row r="100" spans="1:6" ht="15.75" customHeight="1" x14ac:dyDescent="0.25">
      <c r="A100" t="s">
        <v>311</v>
      </c>
      <c r="B100" t="s">
        <v>310</v>
      </c>
      <c r="C100" s="68">
        <v>811093.25</v>
      </c>
      <c r="D100" s="24">
        <v>579.35232142857137</v>
      </c>
      <c r="E100" s="50">
        <v>1.8129500965158467E-4</v>
      </c>
      <c r="F100" s="51"/>
    </row>
    <row r="101" spans="1:6" ht="15.75" customHeight="1" x14ac:dyDescent="0.25">
      <c r="A101" t="s">
        <v>313</v>
      </c>
      <c r="B101" t="s">
        <v>312</v>
      </c>
      <c r="C101" s="68">
        <v>1728535.96</v>
      </c>
      <c r="D101" s="24">
        <v>1234.6685428571429</v>
      </c>
      <c r="E101" s="50">
        <v>3.8636117801659826E-4</v>
      </c>
      <c r="F101" s="51"/>
    </row>
    <row r="102" spans="1:6" ht="15.75" customHeight="1" x14ac:dyDescent="0.25">
      <c r="A102" t="s">
        <v>315</v>
      </c>
      <c r="B102" t="s">
        <v>314</v>
      </c>
      <c r="C102" s="68">
        <v>40367.35</v>
      </c>
      <c r="D102" s="24">
        <v>28.833821428571426</v>
      </c>
      <c r="E102" s="50">
        <v>9.0228825204240041E-6</v>
      </c>
      <c r="F102" s="51"/>
    </row>
    <row r="103" spans="1:6" ht="15.75" customHeight="1" x14ac:dyDescent="0.25">
      <c r="A103" t="s">
        <v>568</v>
      </c>
      <c r="B103" t="s">
        <v>567</v>
      </c>
      <c r="C103" s="68">
        <v>152460</v>
      </c>
      <c r="D103" s="24">
        <v>108.9</v>
      </c>
      <c r="E103" s="50">
        <v>3.4077755142803376E-5</v>
      </c>
      <c r="F103" s="51"/>
    </row>
    <row r="104" spans="1:6" ht="15.75" customHeight="1" x14ac:dyDescent="0.25">
      <c r="A104" t="s">
        <v>317</v>
      </c>
      <c r="B104" t="s">
        <v>316</v>
      </c>
      <c r="C104" s="68">
        <v>210995.48</v>
      </c>
      <c r="D104" s="24">
        <v>150.71105714285716</v>
      </c>
      <c r="E104" s="50">
        <v>4.7161565680691774E-5</v>
      </c>
      <c r="F104" s="51"/>
    </row>
    <row r="105" spans="1:6" ht="15.75" customHeight="1" x14ac:dyDescent="0.25">
      <c r="A105" t="s">
        <v>791</v>
      </c>
      <c r="B105" t="s">
        <v>790</v>
      </c>
      <c r="C105" s="68">
        <v>1485325.16</v>
      </c>
      <c r="D105" s="24">
        <v>1060.9465428571427</v>
      </c>
      <c r="E105" s="50">
        <v>3.3199886599714836E-4</v>
      </c>
      <c r="F105" s="51"/>
    </row>
    <row r="106" spans="1:6" ht="15.75" customHeight="1" x14ac:dyDescent="0.25">
      <c r="A106" t="s">
        <v>319</v>
      </c>
      <c r="B106" t="s">
        <v>318</v>
      </c>
      <c r="C106" s="68">
        <v>1698831.22</v>
      </c>
      <c r="D106" s="24">
        <v>1213.4508714285714</v>
      </c>
      <c r="E106" s="50">
        <v>3.7972159480591586E-4</v>
      </c>
      <c r="F106" s="51"/>
    </row>
    <row r="107" spans="1:6" ht="15.75" customHeight="1" x14ac:dyDescent="0.25">
      <c r="A107" t="s">
        <v>321</v>
      </c>
      <c r="B107" t="s">
        <v>320</v>
      </c>
      <c r="C107" s="68">
        <v>-387219.15</v>
      </c>
      <c r="D107" s="24">
        <v>-276.58510714285717</v>
      </c>
      <c r="E107" s="50">
        <v>-8.6550960122684322E-5</v>
      </c>
      <c r="F107" s="51"/>
    </row>
    <row r="108" spans="1:6" ht="15.75" customHeight="1" x14ac:dyDescent="0.25">
      <c r="A108" t="s">
        <v>323</v>
      </c>
      <c r="B108" t="s">
        <v>322</v>
      </c>
      <c r="C108" s="68">
        <v>44102.080000000002</v>
      </c>
      <c r="D108" s="24">
        <v>31.501485714285714</v>
      </c>
      <c r="E108" s="50">
        <v>9.8576668209912488E-6</v>
      </c>
      <c r="F108" s="51"/>
    </row>
    <row r="109" spans="1:6" ht="15.75" customHeight="1" x14ac:dyDescent="0.25">
      <c r="A109" t="s">
        <v>325</v>
      </c>
      <c r="B109" t="s">
        <v>324</v>
      </c>
      <c r="C109" s="68">
        <v>871200</v>
      </c>
      <c r="D109" s="24">
        <v>622.28571428571433</v>
      </c>
      <c r="E109" s="50">
        <v>1.9473002938744788E-4</v>
      </c>
      <c r="F109" s="51"/>
    </row>
    <row r="110" spans="1:6" ht="15.75" customHeight="1" x14ac:dyDescent="0.25">
      <c r="A110" t="s">
        <v>327</v>
      </c>
      <c r="B110" t="s">
        <v>326</v>
      </c>
      <c r="C110" s="68">
        <v>3755751.5</v>
      </c>
      <c r="D110" s="24">
        <v>2682.6796428571429</v>
      </c>
      <c r="E110" s="50">
        <v>8.3948301189962281E-4</v>
      </c>
      <c r="F110" s="51"/>
    </row>
    <row r="111" spans="1:6" ht="15.75" customHeight="1" x14ac:dyDescent="0.25">
      <c r="A111" t="s">
        <v>329</v>
      </c>
      <c r="B111" t="s">
        <v>328</v>
      </c>
      <c r="C111" s="68">
        <v>21780</v>
      </c>
      <c r="D111" s="24">
        <v>15.557142857142857</v>
      </c>
      <c r="E111" s="50">
        <v>4.8682507346861965E-6</v>
      </c>
      <c r="F111" s="51"/>
    </row>
    <row r="112" spans="1:6" ht="15.75" customHeight="1" x14ac:dyDescent="0.25">
      <c r="A112" t="s">
        <v>331</v>
      </c>
      <c r="B112" t="s">
        <v>330</v>
      </c>
      <c r="C112" s="68">
        <v>4102015.65</v>
      </c>
      <c r="D112" s="24">
        <v>2930.0111785714284</v>
      </c>
      <c r="E112" s="50">
        <v>9.1687973837496675E-4</v>
      </c>
      <c r="F112" s="51"/>
    </row>
    <row r="113" spans="1:6" ht="15.75" customHeight="1" x14ac:dyDescent="0.25">
      <c r="A113" t="s">
        <v>795</v>
      </c>
      <c r="B113" t="s">
        <v>794</v>
      </c>
      <c r="C113" s="68">
        <v>314600</v>
      </c>
      <c r="D113" s="24">
        <v>224.71428571428572</v>
      </c>
      <c r="E113" s="50">
        <v>7.0319177278800623E-5</v>
      </c>
      <c r="F113" s="51"/>
    </row>
    <row r="114" spans="1:6" ht="15.75" customHeight="1" x14ac:dyDescent="0.25">
      <c r="A114" t="s">
        <v>333</v>
      </c>
      <c r="B114" t="s">
        <v>332</v>
      </c>
      <c r="C114" s="68">
        <v>232994.79</v>
      </c>
      <c r="D114" s="24">
        <v>166.42484999999999</v>
      </c>
      <c r="E114" s="50">
        <v>5.2078836436894212E-5</v>
      </c>
      <c r="F114" s="51"/>
    </row>
    <row r="115" spans="1:6" ht="15.75" customHeight="1" x14ac:dyDescent="0.25">
      <c r="A115" t="s">
        <v>797</v>
      </c>
      <c r="B115" t="s">
        <v>796</v>
      </c>
      <c r="C115" s="68">
        <v>2800000</v>
      </c>
      <c r="D115" s="24">
        <v>2000</v>
      </c>
      <c r="E115" s="50">
        <v>6.2585408894037418E-4</v>
      </c>
      <c r="F115" s="51"/>
    </row>
    <row r="116" spans="1:6" ht="15.75" customHeight="1" x14ac:dyDescent="0.25">
      <c r="A116" t="s">
        <v>570</v>
      </c>
      <c r="B116" t="s">
        <v>569</v>
      </c>
      <c r="C116" s="68">
        <v>78000</v>
      </c>
      <c r="D116" s="24">
        <v>55.714285714285715</v>
      </c>
      <c r="E116" s="50">
        <v>1.7434506763338994E-5</v>
      </c>
      <c r="F116" s="51"/>
    </row>
    <row r="117" spans="1:6" ht="15.75" customHeight="1" x14ac:dyDescent="0.25">
      <c r="A117" t="s">
        <v>335</v>
      </c>
      <c r="B117" t="s">
        <v>334</v>
      </c>
      <c r="C117" s="68">
        <v>1332000</v>
      </c>
      <c r="D117" s="24">
        <v>951.42857142857144</v>
      </c>
      <c r="E117" s="50">
        <v>2.9772773088163518E-4</v>
      </c>
      <c r="F117" s="51"/>
    </row>
    <row r="118" spans="1:6" ht="15.75" customHeight="1" x14ac:dyDescent="0.25">
      <c r="A118" t="s">
        <v>337</v>
      </c>
      <c r="B118" t="s">
        <v>336</v>
      </c>
      <c r="C118" s="68">
        <v>50231000.009999998</v>
      </c>
      <c r="D118" s="24">
        <v>35879.285721428569</v>
      </c>
      <c r="E118" s="50">
        <v>1.1227598838508027E-2</v>
      </c>
      <c r="F118" s="51"/>
    </row>
    <row r="119" spans="1:6" ht="15.75" customHeight="1" x14ac:dyDescent="0.25">
      <c r="A119" t="s">
        <v>339</v>
      </c>
      <c r="B119" t="s">
        <v>338</v>
      </c>
      <c r="C119" s="68">
        <v>701943.97</v>
      </c>
      <c r="D119" s="24">
        <v>501.38854999999995</v>
      </c>
      <c r="E119" s="50">
        <v>1.5689803708269262E-4</v>
      </c>
      <c r="F119" s="51"/>
    </row>
    <row r="120" spans="1:6" ht="15.75" customHeight="1" x14ac:dyDescent="0.25">
      <c r="A120" t="s">
        <v>341</v>
      </c>
      <c r="B120" t="s">
        <v>340</v>
      </c>
      <c r="C120" s="68">
        <v>13964803.24</v>
      </c>
      <c r="D120" s="24">
        <v>9974.8594571428566</v>
      </c>
      <c r="E120" s="50">
        <v>3.1214032889292091E-3</v>
      </c>
      <c r="F120" s="51"/>
    </row>
    <row r="121" spans="1:6" ht="15.75" customHeight="1" x14ac:dyDescent="0.25">
      <c r="A121" t="s">
        <v>807</v>
      </c>
      <c r="B121" t="s">
        <v>806</v>
      </c>
      <c r="C121" s="68">
        <v>6706404.4500000002</v>
      </c>
      <c r="D121" s="24">
        <v>4790.2888928571429</v>
      </c>
      <c r="E121" s="50">
        <v>1.4990109454001504E-3</v>
      </c>
      <c r="F121" s="51"/>
    </row>
    <row r="122" spans="1:6" ht="15.75" customHeight="1" x14ac:dyDescent="0.25">
      <c r="A122" t="s">
        <v>572</v>
      </c>
      <c r="B122" t="s">
        <v>571</v>
      </c>
      <c r="C122" s="68">
        <v>4935696.3600000003</v>
      </c>
      <c r="D122" s="24">
        <v>3525.4974000000002</v>
      </c>
      <c r="E122" s="50">
        <v>1.103223481669329E-3</v>
      </c>
      <c r="F122" s="51"/>
    </row>
    <row r="123" spans="1:6" ht="15.75" customHeight="1" x14ac:dyDescent="0.25">
      <c r="A123" t="s">
        <v>343</v>
      </c>
      <c r="B123" t="s">
        <v>342</v>
      </c>
      <c r="C123" s="68">
        <v>3904368.77</v>
      </c>
      <c r="D123" s="24">
        <v>2788.8348357142859</v>
      </c>
      <c r="E123" s="50">
        <v>8.7270184265557122E-4</v>
      </c>
      <c r="F123" s="51"/>
    </row>
    <row r="124" spans="1:6" ht="15.75" customHeight="1" x14ac:dyDescent="0.25">
      <c r="A124" t="s">
        <v>345</v>
      </c>
      <c r="B124" t="s">
        <v>344</v>
      </c>
      <c r="C124" s="68">
        <v>21886.18</v>
      </c>
      <c r="D124" s="24">
        <v>15.632985714285715</v>
      </c>
      <c r="E124" s="50">
        <v>4.8919840158160858E-6</v>
      </c>
      <c r="F124" s="51"/>
    </row>
    <row r="125" spans="1:6" ht="15.75" customHeight="1" x14ac:dyDescent="0.25">
      <c r="A125" t="s">
        <v>347</v>
      </c>
      <c r="B125" t="s">
        <v>346</v>
      </c>
      <c r="C125" s="68">
        <v>56774720.850000001</v>
      </c>
      <c r="D125" s="24">
        <v>40553.372035714288</v>
      </c>
      <c r="E125" s="50">
        <v>1.2690246854436007E-2</v>
      </c>
      <c r="F125" s="51"/>
    </row>
    <row r="126" spans="1:6" ht="15.75" customHeight="1" x14ac:dyDescent="0.25">
      <c r="A126" t="s">
        <v>349</v>
      </c>
      <c r="B126" t="s">
        <v>348</v>
      </c>
      <c r="C126" s="68">
        <v>-258135.9</v>
      </c>
      <c r="D126" s="24">
        <v>-184.38278571428572</v>
      </c>
      <c r="E126" s="50">
        <v>-5.7698360184751262E-5</v>
      </c>
      <c r="F126" s="51"/>
    </row>
    <row r="127" spans="1:6" ht="15.75" customHeight="1" x14ac:dyDescent="0.25">
      <c r="A127" t="s">
        <v>351</v>
      </c>
      <c r="B127" t="s">
        <v>350</v>
      </c>
      <c r="C127" s="68">
        <v>11882120.890000001</v>
      </c>
      <c r="D127" s="24">
        <v>8487.2292071428583</v>
      </c>
      <c r="E127" s="50">
        <v>2.6558835515322638E-3</v>
      </c>
      <c r="F127" s="51"/>
    </row>
    <row r="128" spans="1:6" ht="15.75" customHeight="1" x14ac:dyDescent="0.25">
      <c r="A128" t="s">
        <v>353</v>
      </c>
      <c r="B128" t="s">
        <v>352</v>
      </c>
      <c r="C128" s="68">
        <v>688490</v>
      </c>
      <c r="D128" s="24">
        <v>491.77857142857141</v>
      </c>
      <c r="E128" s="50">
        <v>1.5389081489091365E-4</v>
      </c>
      <c r="F128" s="51"/>
    </row>
    <row r="129" spans="1:6" ht="15.75" customHeight="1" x14ac:dyDescent="0.25">
      <c r="A129" t="s">
        <v>355</v>
      </c>
      <c r="B129" t="s">
        <v>354</v>
      </c>
      <c r="C129" s="68">
        <v>88538261.290000007</v>
      </c>
      <c r="D129" s="24">
        <v>63241.615207142859</v>
      </c>
      <c r="E129" s="50">
        <v>1.9790011734292054E-2</v>
      </c>
      <c r="F129" s="51"/>
    </row>
    <row r="130" spans="1:6" ht="15.75" customHeight="1" x14ac:dyDescent="0.25">
      <c r="A130" t="s">
        <v>574</v>
      </c>
      <c r="B130" t="s">
        <v>573</v>
      </c>
      <c r="C130" s="68">
        <v>1130297.45</v>
      </c>
      <c r="D130" s="24">
        <v>807.35532142857141</v>
      </c>
      <c r="E130" s="50">
        <v>2.5264331457192074E-4</v>
      </c>
      <c r="F130" s="51"/>
    </row>
    <row r="131" spans="1:6" ht="15.75" customHeight="1" x14ac:dyDescent="0.25">
      <c r="A131" t="s">
        <v>813</v>
      </c>
      <c r="B131" t="s">
        <v>812</v>
      </c>
      <c r="C131" s="68">
        <v>1173884.3700000001</v>
      </c>
      <c r="D131" s="24">
        <v>838.48883571428576</v>
      </c>
      <c r="E131" s="50">
        <v>2.6238583318131969E-4</v>
      </c>
      <c r="F131" s="51"/>
    </row>
    <row r="132" spans="1:6" ht="15.75" customHeight="1" x14ac:dyDescent="0.25">
      <c r="A132" t="s">
        <v>357</v>
      </c>
      <c r="B132" t="s">
        <v>356</v>
      </c>
      <c r="C132" s="68">
        <v>5896891</v>
      </c>
      <c r="D132" s="24">
        <v>4212.0649999999996</v>
      </c>
      <c r="E132" s="50">
        <v>1.3180690515663185E-3</v>
      </c>
      <c r="F132" s="51"/>
    </row>
    <row r="133" spans="1:6" ht="15.75" customHeight="1" x14ac:dyDescent="0.25">
      <c r="A133" t="s">
        <v>359</v>
      </c>
      <c r="B133" t="s">
        <v>358</v>
      </c>
      <c r="C133" s="68">
        <v>4033491.61</v>
      </c>
      <c r="D133" s="24">
        <v>2881.0654357142857</v>
      </c>
      <c r="E133" s="50">
        <v>9.0156329172328331E-4</v>
      </c>
      <c r="F133" s="51"/>
    </row>
    <row r="134" spans="1:6" ht="15.75" customHeight="1" x14ac:dyDescent="0.25">
      <c r="A134" t="s">
        <v>361</v>
      </c>
      <c r="B134" t="s">
        <v>360</v>
      </c>
      <c r="C134" s="68">
        <v>-0.01</v>
      </c>
      <c r="D134" s="24">
        <v>-7.1428571428571427E-6</v>
      </c>
      <c r="E134" s="50">
        <v>-2.2351931747870508E-12</v>
      </c>
      <c r="F134" s="51"/>
    </row>
    <row r="135" spans="1:6" ht="15.75" customHeight="1" x14ac:dyDescent="0.25">
      <c r="A135" t="s">
        <v>363</v>
      </c>
      <c r="B135" t="s">
        <v>362</v>
      </c>
      <c r="C135" s="68">
        <v>45491833.200000003</v>
      </c>
      <c r="D135" s="24">
        <v>32494.166571428574</v>
      </c>
      <c r="E135" s="50">
        <v>1.0168303507719096E-2</v>
      </c>
      <c r="F135" s="51"/>
    </row>
    <row r="136" spans="1:6" ht="15.75" customHeight="1" x14ac:dyDescent="0.25">
      <c r="A136" t="s">
        <v>365</v>
      </c>
      <c r="B136" t="s">
        <v>364</v>
      </c>
      <c r="C136" s="68">
        <v>824011.81</v>
      </c>
      <c r="D136" s="24">
        <v>588.57986428571428</v>
      </c>
      <c r="E136" s="50">
        <v>1.8418255736559239E-4</v>
      </c>
      <c r="F136" s="51"/>
    </row>
    <row r="137" spans="1:6" ht="15.75" customHeight="1" x14ac:dyDescent="0.25">
      <c r="A137" t="s">
        <v>367</v>
      </c>
      <c r="B137" t="s">
        <v>366</v>
      </c>
      <c r="C137" s="68">
        <v>7793411.4699999997</v>
      </c>
      <c r="D137" s="24">
        <v>5566.7224785714288</v>
      </c>
      <c r="E137" s="50">
        <v>1.7419780126051115E-3</v>
      </c>
      <c r="F137" s="51"/>
    </row>
    <row r="138" spans="1:6" ht="15.75" customHeight="1" x14ac:dyDescent="0.25">
      <c r="A138" t="s">
        <v>817</v>
      </c>
      <c r="B138" t="s">
        <v>816</v>
      </c>
      <c r="C138" s="68">
        <v>473715</v>
      </c>
      <c r="D138" s="24">
        <v>338.36785714285713</v>
      </c>
      <c r="E138" s="50">
        <v>1.0588445347942477E-4</v>
      </c>
      <c r="F138" s="51"/>
    </row>
    <row r="139" spans="1:6" ht="15.75" customHeight="1" x14ac:dyDescent="0.25">
      <c r="A139" t="s">
        <v>369</v>
      </c>
      <c r="B139" t="s">
        <v>368</v>
      </c>
      <c r="C139" s="68">
        <v>57437320.18</v>
      </c>
      <c r="D139" s="24">
        <v>41026.657271428572</v>
      </c>
      <c r="E139" s="50">
        <v>1.2838350604439453E-2</v>
      </c>
      <c r="F139" s="51"/>
    </row>
    <row r="140" spans="1:6" ht="15.75" customHeight="1" x14ac:dyDescent="0.25">
      <c r="A140" t="s">
        <v>371</v>
      </c>
      <c r="B140" t="s">
        <v>370</v>
      </c>
      <c r="C140" s="68">
        <v>335045.59999999998</v>
      </c>
      <c r="D140" s="24">
        <v>239.31828571428571</v>
      </c>
      <c r="E140" s="50">
        <v>7.4889163836243231E-5</v>
      </c>
      <c r="F140" s="51"/>
    </row>
    <row r="141" spans="1:6" ht="15.75" customHeight="1" x14ac:dyDescent="0.25">
      <c r="A141" t="s">
        <v>373</v>
      </c>
      <c r="B141" t="s">
        <v>372</v>
      </c>
      <c r="C141" s="68">
        <v>1782642.4</v>
      </c>
      <c r="D141" s="24">
        <v>1273.316</v>
      </c>
      <c r="E141" s="50">
        <v>3.9845501255660076E-4</v>
      </c>
      <c r="F141" s="51"/>
    </row>
    <row r="142" spans="1:6" ht="15.75" customHeight="1" x14ac:dyDescent="0.25">
      <c r="A142" t="s">
        <v>375</v>
      </c>
      <c r="B142" t="s">
        <v>374</v>
      </c>
      <c r="C142" s="68">
        <v>7800000</v>
      </c>
      <c r="D142" s="24">
        <v>5571.4285714285716</v>
      </c>
      <c r="E142" s="50">
        <v>1.7434506763338996E-3</v>
      </c>
      <c r="F142" s="51"/>
    </row>
    <row r="143" spans="1:6" ht="15.75" customHeight="1" x14ac:dyDescent="0.25">
      <c r="A143" t="s">
        <v>377</v>
      </c>
      <c r="B143" t="s">
        <v>376</v>
      </c>
      <c r="C143" s="68">
        <v>3927175</v>
      </c>
      <c r="D143" s="24">
        <v>2805.125</v>
      </c>
      <c r="E143" s="50">
        <v>8.7779947561943356E-4</v>
      </c>
      <c r="F143" s="51"/>
    </row>
    <row r="144" spans="1:6" ht="15.75" customHeight="1" x14ac:dyDescent="0.25">
      <c r="A144" t="s">
        <v>576</v>
      </c>
      <c r="B144" t="s">
        <v>575</v>
      </c>
      <c r="C144" s="68">
        <v>1352938.87</v>
      </c>
      <c r="D144" s="24">
        <v>966.38490714285717</v>
      </c>
      <c r="E144" s="50">
        <v>3.0240797281281048E-4</v>
      </c>
      <c r="F144" s="51"/>
    </row>
    <row r="145" spans="1:6" ht="15.75" customHeight="1" x14ac:dyDescent="0.25">
      <c r="A145" t="s">
        <v>578</v>
      </c>
      <c r="B145" t="s">
        <v>577</v>
      </c>
      <c r="C145" s="68">
        <v>229900</v>
      </c>
      <c r="D145" s="24">
        <v>164.21428571428572</v>
      </c>
      <c r="E145" s="50">
        <v>5.1387091088354295E-5</v>
      </c>
      <c r="F145" s="51"/>
    </row>
    <row r="146" spans="1:6" ht="15.75" customHeight="1" x14ac:dyDescent="0.25">
      <c r="A146" t="s">
        <v>379</v>
      </c>
      <c r="B146" t="s">
        <v>378</v>
      </c>
      <c r="C146" s="68">
        <v>7617500</v>
      </c>
      <c r="D146" s="24">
        <v>5441.0714285714284</v>
      </c>
      <c r="E146" s="50">
        <v>1.7026584008940358E-3</v>
      </c>
      <c r="F146" s="51"/>
    </row>
    <row r="147" spans="1:6" ht="15.75" customHeight="1" x14ac:dyDescent="0.25">
      <c r="A147" t="s">
        <v>381</v>
      </c>
      <c r="B147" t="s">
        <v>380</v>
      </c>
      <c r="C147" s="68">
        <v>304483.67</v>
      </c>
      <c r="D147" s="24">
        <v>217.48833571428571</v>
      </c>
      <c r="E147" s="50">
        <v>6.8057982101811268E-5</v>
      </c>
      <c r="F147" s="51"/>
    </row>
    <row r="148" spans="1:6" ht="15.75" customHeight="1" x14ac:dyDescent="0.25">
      <c r="A148" t="s">
        <v>383</v>
      </c>
      <c r="B148" t="s">
        <v>382</v>
      </c>
      <c r="C148" s="68">
        <v>19439041.550000001</v>
      </c>
      <c r="D148" s="24">
        <v>13885.029678571429</v>
      </c>
      <c r="E148" s="50">
        <v>4.3450012996961891E-3</v>
      </c>
      <c r="F148" s="51"/>
    </row>
    <row r="149" spans="1:6" ht="15.75" customHeight="1" x14ac:dyDescent="0.25">
      <c r="A149" t="s">
        <v>385</v>
      </c>
      <c r="B149" t="s">
        <v>384</v>
      </c>
      <c r="C149" s="68">
        <v>2915177</v>
      </c>
      <c r="D149" s="24">
        <v>2082.2692857142856</v>
      </c>
      <c r="E149" s="50">
        <v>6.5159837336961895E-4</v>
      </c>
      <c r="F149" s="51"/>
    </row>
    <row r="150" spans="1:6" ht="15.75" customHeight="1" x14ac:dyDescent="0.25">
      <c r="A150" t="s">
        <v>387</v>
      </c>
      <c r="B150" t="s">
        <v>386</v>
      </c>
      <c r="C150" s="68">
        <v>11727544.720000001</v>
      </c>
      <c r="D150" s="24">
        <v>8376.8176571428576</v>
      </c>
      <c r="E150" s="50">
        <v>2.6213327915153915E-3</v>
      </c>
      <c r="F150" s="51"/>
    </row>
    <row r="151" spans="1:6" ht="15.75" customHeight="1" x14ac:dyDescent="0.25">
      <c r="A151" t="s">
        <v>389</v>
      </c>
      <c r="B151" t="s">
        <v>388</v>
      </c>
      <c r="C151" s="68">
        <v>147285141.06</v>
      </c>
      <c r="D151" s="24">
        <v>105203.67218571428</v>
      </c>
      <c r="E151" s="50">
        <v>3.2921074204485999E-2</v>
      </c>
      <c r="F151" s="51"/>
    </row>
    <row r="152" spans="1:6" ht="15.75" customHeight="1" x14ac:dyDescent="0.25">
      <c r="A152" t="s">
        <v>391</v>
      </c>
      <c r="B152" t="s">
        <v>390</v>
      </c>
      <c r="C152" s="68">
        <v>630252.1</v>
      </c>
      <c r="D152" s="24">
        <v>450.18007142857141</v>
      </c>
      <c r="E152" s="50">
        <v>1.4087351923152056E-4</v>
      </c>
      <c r="F152" s="51"/>
    </row>
    <row r="153" spans="1:6" ht="15.75" customHeight="1" x14ac:dyDescent="0.25">
      <c r="A153" t="s">
        <v>393</v>
      </c>
      <c r="B153" t="s">
        <v>392</v>
      </c>
      <c r="C153" s="68">
        <v>35394057.5</v>
      </c>
      <c r="D153" s="24">
        <v>25281.469642857144</v>
      </c>
      <c r="E153" s="50">
        <v>7.911255575202043E-3</v>
      </c>
      <c r="F153" s="51"/>
    </row>
    <row r="154" spans="1:6" ht="15.75" customHeight="1" x14ac:dyDescent="0.25">
      <c r="A154" t="s">
        <v>395</v>
      </c>
      <c r="B154" t="s">
        <v>394</v>
      </c>
      <c r="C154" s="68">
        <v>82539.429999999993</v>
      </c>
      <c r="D154" s="24">
        <v>58.956735714285706</v>
      </c>
      <c r="E154" s="50">
        <v>1.844915705868135E-5</v>
      </c>
      <c r="F154" s="51"/>
    </row>
    <row r="155" spans="1:6" ht="15.75" customHeight="1" x14ac:dyDescent="0.25">
      <c r="A155" t="s">
        <v>580</v>
      </c>
      <c r="B155" t="s">
        <v>579</v>
      </c>
      <c r="C155" s="68">
        <v>2640220</v>
      </c>
      <c r="D155" s="24">
        <v>1885.8714285714286</v>
      </c>
      <c r="E155" s="50">
        <v>5.9014017239362667E-4</v>
      </c>
      <c r="F155" s="51"/>
    </row>
    <row r="156" spans="1:6" ht="15.75" customHeight="1" x14ac:dyDescent="0.25">
      <c r="A156" t="s">
        <v>397</v>
      </c>
      <c r="B156" t="s">
        <v>396</v>
      </c>
      <c r="C156" s="68">
        <v>1101100</v>
      </c>
      <c r="D156" s="24">
        <v>786.5</v>
      </c>
      <c r="E156" s="50">
        <v>2.4611712047580215E-4</v>
      </c>
      <c r="F156" s="51"/>
    </row>
    <row r="157" spans="1:6" ht="15.75" customHeight="1" x14ac:dyDescent="0.25">
      <c r="A157" t="s">
        <v>399</v>
      </c>
      <c r="B157" t="s">
        <v>398</v>
      </c>
      <c r="C157" s="68">
        <v>13623137.300000001</v>
      </c>
      <c r="D157" s="24">
        <v>9730.8123571428569</v>
      </c>
      <c r="E157" s="50">
        <v>3.0450343512146887E-3</v>
      </c>
      <c r="F157" s="51"/>
    </row>
    <row r="158" spans="1:6" ht="15.75" customHeight="1" x14ac:dyDescent="0.25">
      <c r="A158" t="s">
        <v>401</v>
      </c>
      <c r="B158" t="s">
        <v>400</v>
      </c>
      <c r="C158" s="68">
        <v>5555528.6799999997</v>
      </c>
      <c r="D158" s="24">
        <v>3968.2347714285711</v>
      </c>
      <c r="E158" s="50">
        <v>1.2417679787869711E-3</v>
      </c>
      <c r="F158" s="51"/>
    </row>
    <row r="159" spans="1:6" ht="15.75" customHeight="1" x14ac:dyDescent="0.25">
      <c r="A159" t="s">
        <v>403</v>
      </c>
      <c r="B159" t="s">
        <v>402</v>
      </c>
      <c r="C159" s="68">
        <v>16248000</v>
      </c>
      <c r="D159" s="24">
        <v>11605.714285714286</v>
      </c>
      <c r="E159" s="50">
        <v>3.6317418703940003E-3</v>
      </c>
      <c r="F159" s="51"/>
    </row>
    <row r="160" spans="1:6" ht="15.75" customHeight="1" x14ac:dyDescent="0.25">
      <c r="A160" t="s">
        <v>405</v>
      </c>
      <c r="B160" t="s">
        <v>404</v>
      </c>
      <c r="C160" s="68">
        <v>58760</v>
      </c>
      <c r="D160" s="24">
        <v>41.971428571428568</v>
      </c>
      <c r="E160" s="50">
        <v>1.3133995095048709E-5</v>
      </c>
      <c r="F160" s="51"/>
    </row>
    <row r="161" spans="1:6" ht="15.75" customHeight="1" x14ac:dyDescent="0.25">
      <c r="A161" t="s">
        <v>831</v>
      </c>
      <c r="B161" t="s">
        <v>830</v>
      </c>
      <c r="C161" s="68">
        <v>550000</v>
      </c>
      <c r="D161" s="24">
        <v>392.85714285714283</v>
      </c>
      <c r="E161" s="50">
        <v>1.2293562461328778E-4</v>
      </c>
      <c r="F161" s="51"/>
    </row>
    <row r="162" spans="1:6" ht="15.75" customHeight="1" x14ac:dyDescent="0.25">
      <c r="A162" t="s">
        <v>407</v>
      </c>
      <c r="B162" t="s">
        <v>406</v>
      </c>
      <c r="C162" s="68">
        <v>0.01</v>
      </c>
      <c r="D162" s="24">
        <v>7.1428571428571427E-6</v>
      </c>
      <c r="E162" s="50">
        <v>2.2351931747870508E-12</v>
      </c>
      <c r="F162" s="51"/>
    </row>
    <row r="163" spans="1:6" ht="15.75" customHeight="1" x14ac:dyDescent="0.25">
      <c r="A163" t="s">
        <v>582</v>
      </c>
      <c r="B163" t="s">
        <v>581</v>
      </c>
      <c r="C163" s="68">
        <v>2255142.36</v>
      </c>
      <c r="D163" s="24">
        <v>1610.8159714285714</v>
      </c>
      <c r="E163" s="50">
        <v>5.040678811245162E-4</v>
      </c>
      <c r="F163" s="51"/>
    </row>
    <row r="164" spans="1:6" ht="15.75" customHeight="1" x14ac:dyDescent="0.25">
      <c r="A164" t="s">
        <v>409</v>
      </c>
      <c r="B164" t="s">
        <v>408</v>
      </c>
      <c r="C164" s="68">
        <v>31478871.100000001</v>
      </c>
      <c r="D164" s="24">
        <v>22484.907928571429</v>
      </c>
      <c r="E164" s="50">
        <v>7.0361357832721336E-3</v>
      </c>
      <c r="F164" s="51"/>
    </row>
    <row r="165" spans="1:6" ht="15.75" customHeight="1" x14ac:dyDescent="0.25">
      <c r="A165" t="s">
        <v>833</v>
      </c>
      <c r="B165" t="s">
        <v>832</v>
      </c>
      <c r="C165" s="68">
        <v>2638139</v>
      </c>
      <c r="D165" s="24">
        <v>1884.385</v>
      </c>
      <c r="E165" s="50">
        <v>5.8967502869395347E-4</v>
      </c>
      <c r="F165" s="51"/>
    </row>
    <row r="166" spans="1:6" ht="15.75" customHeight="1" x14ac:dyDescent="0.25">
      <c r="A166" t="s">
        <v>411</v>
      </c>
      <c r="B166" t="s">
        <v>410</v>
      </c>
      <c r="C166" s="68">
        <v>109004484.64</v>
      </c>
      <c r="D166" s="24">
        <v>77860.346171428566</v>
      </c>
      <c r="E166" s="50">
        <v>2.4364608008850788E-2</v>
      </c>
      <c r="F166" s="51"/>
    </row>
    <row r="167" spans="1:6" ht="15.75" customHeight="1" x14ac:dyDescent="0.25">
      <c r="A167" t="s">
        <v>837</v>
      </c>
      <c r="B167" t="s">
        <v>836</v>
      </c>
      <c r="C167" s="68">
        <v>617100</v>
      </c>
      <c r="D167" s="24">
        <v>440.78571428571428</v>
      </c>
      <c r="E167" s="50">
        <v>1.3793377081610891E-4</v>
      </c>
      <c r="F167" s="51"/>
    </row>
    <row r="168" spans="1:6" ht="15.75" customHeight="1" x14ac:dyDescent="0.25">
      <c r="A168" t="s">
        <v>413</v>
      </c>
      <c r="B168" t="s">
        <v>412</v>
      </c>
      <c r="C168" s="68">
        <v>5128107.5999999996</v>
      </c>
      <c r="D168" s="24">
        <v>3662.9339999999997</v>
      </c>
      <c r="E168" s="50">
        <v>1.1462311107093602E-3</v>
      </c>
      <c r="F168" s="51"/>
    </row>
    <row r="169" spans="1:6" ht="15.75" customHeight="1" x14ac:dyDescent="0.25">
      <c r="A169" t="s">
        <v>415</v>
      </c>
      <c r="B169" t="s">
        <v>414</v>
      </c>
      <c r="C169" s="68">
        <v>1560000</v>
      </c>
      <c r="D169" s="24">
        <v>1114.2857142857142</v>
      </c>
      <c r="E169" s="50">
        <v>3.486901352667799E-4</v>
      </c>
      <c r="F169" s="51"/>
    </row>
    <row r="170" spans="1:6" ht="15.75" customHeight="1" x14ac:dyDescent="0.25">
      <c r="A170" t="s">
        <v>417</v>
      </c>
      <c r="B170" t="s">
        <v>416</v>
      </c>
      <c r="C170" s="68">
        <v>154138.26999999999</v>
      </c>
      <c r="D170" s="24">
        <v>110.09876428571428</v>
      </c>
      <c r="E170" s="50">
        <v>3.4452880907748359E-5</v>
      </c>
      <c r="F170" s="51"/>
    </row>
    <row r="171" spans="1:6" ht="15.75" customHeight="1" x14ac:dyDescent="0.25">
      <c r="A171" t="s">
        <v>419</v>
      </c>
      <c r="B171" t="s">
        <v>418</v>
      </c>
      <c r="C171" s="68">
        <v>13351649.470000001</v>
      </c>
      <c r="D171" s="24">
        <v>9536.8924785714298</v>
      </c>
      <c r="E171" s="50">
        <v>2.9843515767493146E-3</v>
      </c>
      <c r="F171" s="51"/>
    </row>
    <row r="172" spans="1:6" ht="15.75" customHeight="1" x14ac:dyDescent="0.25">
      <c r="A172" t="s">
        <v>421</v>
      </c>
      <c r="B172" t="s">
        <v>420</v>
      </c>
      <c r="C172" s="68">
        <v>1579156.25</v>
      </c>
      <c r="D172" s="24">
        <v>1127.96875</v>
      </c>
      <c r="E172" s="50">
        <v>3.5297192719223135E-4</v>
      </c>
      <c r="F172" s="51"/>
    </row>
    <row r="173" spans="1:6" ht="15.75" customHeight="1" x14ac:dyDescent="0.25">
      <c r="A173" t="s">
        <v>423</v>
      </c>
      <c r="B173" t="s">
        <v>422</v>
      </c>
      <c r="C173" s="68">
        <v>5160000</v>
      </c>
      <c r="D173" s="24">
        <v>3685.7142857142858</v>
      </c>
      <c r="E173" s="50">
        <v>1.1533596781901183E-3</v>
      </c>
      <c r="F173" s="51"/>
    </row>
    <row r="174" spans="1:6" ht="15.75" customHeight="1" x14ac:dyDescent="0.25">
      <c r="A174" t="s">
        <v>425</v>
      </c>
      <c r="B174" t="s">
        <v>424</v>
      </c>
      <c r="C174" s="68">
        <v>15009821.289999999</v>
      </c>
      <c r="D174" s="24">
        <v>10721.30092142857</v>
      </c>
      <c r="E174" s="50">
        <v>3.3549850102181362E-3</v>
      </c>
      <c r="F174" s="51"/>
    </row>
    <row r="175" spans="1:6" ht="15.75" customHeight="1" x14ac:dyDescent="0.25">
      <c r="A175" t="s">
        <v>427</v>
      </c>
      <c r="B175" t="s">
        <v>426</v>
      </c>
      <c r="C175" s="68">
        <v>916817</v>
      </c>
      <c r="D175" s="24">
        <v>654.86928571428575</v>
      </c>
      <c r="E175" s="50">
        <v>2.0492631009287395E-4</v>
      </c>
      <c r="F175" s="51"/>
    </row>
    <row r="176" spans="1:6" ht="15.75" customHeight="1" x14ac:dyDescent="0.25">
      <c r="A176" t="s">
        <v>429</v>
      </c>
      <c r="B176" t="s">
        <v>428</v>
      </c>
      <c r="C176" s="68">
        <v>32391221.800000001</v>
      </c>
      <c r="D176" s="24">
        <v>23136.587</v>
      </c>
      <c r="E176" s="50">
        <v>7.2400637890373525E-3</v>
      </c>
      <c r="F176" s="51"/>
    </row>
    <row r="177" spans="1:6" ht="15.75" customHeight="1" x14ac:dyDescent="0.25">
      <c r="A177" t="s">
        <v>845</v>
      </c>
      <c r="B177" t="s">
        <v>844</v>
      </c>
      <c r="C177" s="68">
        <v>1278000</v>
      </c>
      <c r="D177" s="24">
        <v>912.85714285714289</v>
      </c>
      <c r="E177" s="50">
        <v>2.856576877377851E-4</v>
      </c>
      <c r="F177" s="51"/>
    </row>
    <row r="178" spans="1:6" ht="15.75" customHeight="1" x14ac:dyDescent="0.25">
      <c r="A178" t="s">
        <v>847</v>
      </c>
      <c r="B178" t="s">
        <v>846</v>
      </c>
      <c r="C178" s="68">
        <v>10410703.32</v>
      </c>
      <c r="D178" s="24">
        <v>7436.216657142857</v>
      </c>
      <c r="E178" s="50">
        <v>2.326993300559689E-3</v>
      </c>
      <c r="F178" s="51"/>
    </row>
    <row r="179" spans="1:6" ht="15.75" customHeight="1" x14ac:dyDescent="0.25">
      <c r="A179" t="s">
        <v>431</v>
      </c>
      <c r="B179" t="s">
        <v>430</v>
      </c>
      <c r="C179" s="68">
        <v>9656601.3399999999</v>
      </c>
      <c r="D179" s="24">
        <v>6897.5723857142857</v>
      </c>
      <c r="E179" s="50">
        <v>2.1584369406807487E-3</v>
      </c>
      <c r="F179" s="51"/>
    </row>
    <row r="180" spans="1:6" ht="15.75" customHeight="1" x14ac:dyDescent="0.25">
      <c r="A180" t="s">
        <v>433</v>
      </c>
      <c r="B180" t="s">
        <v>432</v>
      </c>
      <c r="C180" s="68">
        <v>1886650</v>
      </c>
      <c r="D180" s="24">
        <v>1347.6071428571429</v>
      </c>
      <c r="E180" s="50">
        <v>4.2170272032119894E-4</v>
      </c>
      <c r="F180" s="51"/>
    </row>
    <row r="181" spans="1:6" ht="15.75" customHeight="1" x14ac:dyDescent="0.25">
      <c r="A181" t="s">
        <v>435</v>
      </c>
      <c r="B181" t="s">
        <v>434</v>
      </c>
      <c r="C181" s="68">
        <v>21798090.789999999</v>
      </c>
      <c r="D181" s="24">
        <v>15570.064849999999</v>
      </c>
      <c r="E181" s="50">
        <v>4.8722943757196465E-3</v>
      </c>
      <c r="F181" s="51"/>
    </row>
    <row r="182" spans="1:6" ht="15.75" customHeight="1" x14ac:dyDescent="0.25">
      <c r="A182" t="s">
        <v>584</v>
      </c>
      <c r="B182" t="s">
        <v>583</v>
      </c>
      <c r="C182" s="68">
        <v>3527150</v>
      </c>
      <c r="D182" s="24">
        <v>2519.3928571428573</v>
      </c>
      <c r="E182" s="50">
        <v>7.8838616064501462E-4</v>
      </c>
      <c r="F182" s="51"/>
    </row>
    <row r="183" spans="1:6" ht="15.75" customHeight="1" x14ac:dyDescent="0.25">
      <c r="A183" t="s">
        <v>437</v>
      </c>
      <c r="B183" t="s">
        <v>436</v>
      </c>
      <c r="C183" s="68">
        <v>-2698.26</v>
      </c>
      <c r="D183" s="24">
        <v>-1.9273285714285715</v>
      </c>
      <c r="E183" s="50">
        <v>-6.0311323358009076E-7</v>
      </c>
      <c r="F183" s="51"/>
    </row>
    <row r="184" spans="1:6" ht="15.75" customHeight="1" x14ac:dyDescent="0.25">
      <c r="A184" t="s">
        <v>586</v>
      </c>
      <c r="B184" t="s">
        <v>585</v>
      </c>
      <c r="C184" s="68">
        <v>1676977.72</v>
      </c>
      <c r="D184" s="24">
        <v>1197.8412285714285</v>
      </c>
      <c r="E184" s="50">
        <v>3.7483691540139496E-4</v>
      </c>
      <c r="F184" s="51"/>
    </row>
    <row r="185" spans="1:6" ht="15.75" customHeight="1" x14ac:dyDescent="0.25">
      <c r="A185" t="s">
        <v>439</v>
      </c>
      <c r="B185" t="s">
        <v>438</v>
      </c>
      <c r="C185" s="68">
        <v>1277500</v>
      </c>
      <c r="D185" s="24">
        <v>912.5</v>
      </c>
      <c r="E185" s="50">
        <v>2.8554592807904575E-4</v>
      </c>
      <c r="F185" s="51"/>
    </row>
    <row r="186" spans="1:6" ht="15.75" customHeight="1" x14ac:dyDescent="0.25">
      <c r="A186" t="s">
        <v>855</v>
      </c>
      <c r="B186" t="s">
        <v>854</v>
      </c>
      <c r="C186" s="68">
        <v>218000</v>
      </c>
      <c r="D186" s="24">
        <v>155.71428571428572</v>
      </c>
      <c r="E186" s="50">
        <v>4.8727211210357705E-5</v>
      </c>
      <c r="F186" s="51"/>
    </row>
    <row r="187" spans="1:6" ht="15.75" customHeight="1" x14ac:dyDescent="0.25">
      <c r="A187" t="s">
        <v>857</v>
      </c>
      <c r="B187" t="s">
        <v>856</v>
      </c>
      <c r="C187" s="68">
        <v>690000</v>
      </c>
      <c r="D187" s="24">
        <v>492.85714285714283</v>
      </c>
      <c r="E187" s="50">
        <v>1.542283290603065E-4</v>
      </c>
      <c r="F187" s="51"/>
    </row>
    <row r="188" spans="1:6" ht="15.75" customHeight="1" x14ac:dyDescent="0.25">
      <c r="A188" t="s">
        <v>441</v>
      </c>
      <c r="B188" t="s">
        <v>440</v>
      </c>
      <c r="C188" s="68">
        <v>23699258.440000001</v>
      </c>
      <c r="D188" s="24">
        <v>16928.041742857145</v>
      </c>
      <c r="E188" s="50">
        <v>5.2972420712602414E-3</v>
      </c>
      <c r="F188" s="51"/>
    </row>
    <row r="189" spans="1:6" ht="15.75" customHeight="1" x14ac:dyDescent="0.25">
      <c r="A189" t="s">
        <v>861</v>
      </c>
      <c r="B189" t="s">
        <v>860</v>
      </c>
      <c r="C189" s="68">
        <v>5766285.6100000003</v>
      </c>
      <c r="D189" s="24">
        <v>4118.7754357142858</v>
      </c>
      <c r="E189" s="50">
        <v>1.2888762239344786E-3</v>
      </c>
      <c r="F189" s="51"/>
    </row>
    <row r="190" spans="1:6" ht="15.75" customHeight="1" x14ac:dyDescent="0.25">
      <c r="A190" t="s">
        <v>443</v>
      </c>
      <c r="B190" t="s">
        <v>442</v>
      </c>
      <c r="C190" s="68">
        <v>2724613.55</v>
      </c>
      <c r="D190" s="24">
        <v>1946.1525357142855</v>
      </c>
      <c r="E190" s="50">
        <v>6.0900376108923157E-4</v>
      </c>
      <c r="F190" s="51"/>
    </row>
    <row r="191" spans="1:6" ht="15.75" customHeight="1" x14ac:dyDescent="0.25">
      <c r="A191" t="s">
        <v>445</v>
      </c>
      <c r="B191" t="s">
        <v>444</v>
      </c>
      <c r="C191" s="68">
        <v>3655885.37</v>
      </c>
      <c r="D191" s="24">
        <v>2611.3466928571429</v>
      </c>
      <c r="E191" s="50">
        <v>8.171610026827832E-4</v>
      </c>
      <c r="F191" s="51"/>
    </row>
    <row r="192" spans="1:6" ht="15.75" customHeight="1" x14ac:dyDescent="0.25">
      <c r="A192" t="s">
        <v>447</v>
      </c>
      <c r="B192" t="s">
        <v>446</v>
      </c>
      <c r="C192" s="68">
        <v>6507600</v>
      </c>
      <c r="D192" s="24">
        <v>4648.2857142857147</v>
      </c>
      <c r="E192" s="50">
        <v>1.4545743104244213E-3</v>
      </c>
      <c r="F192" s="51"/>
    </row>
    <row r="193" spans="1:6" ht="15.75" customHeight="1" x14ac:dyDescent="0.25">
      <c r="A193" t="s">
        <v>449</v>
      </c>
      <c r="B193" t="s">
        <v>448</v>
      </c>
      <c r="C193" s="68">
        <v>724029.73</v>
      </c>
      <c r="D193" s="24">
        <v>517.1640928571428</v>
      </c>
      <c r="E193" s="50">
        <v>1.6183463108389109E-4</v>
      </c>
      <c r="F193" s="51"/>
    </row>
    <row r="194" spans="1:6" ht="15.75" customHeight="1" x14ac:dyDescent="0.25">
      <c r="A194" t="s">
        <v>588</v>
      </c>
      <c r="B194" t="s">
        <v>587</v>
      </c>
      <c r="C194" s="68">
        <v>395670</v>
      </c>
      <c r="D194" s="24">
        <v>282.62142857142857</v>
      </c>
      <c r="E194" s="50">
        <v>8.8439888346799236E-5</v>
      </c>
      <c r="F194" s="51"/>
    </row>
    <row r="195" spans="1:6" ht="15.75" customHeight="1" x14ac:dyDescent="0.25">
      <c r="A195" t="s">
        <v>590</v>
      </c>
      <c r="B195" t="s">
        <v>589</v>
      </c>
      <c r="C195" s="68">
        <v>950319.81</v>
      </c>
      <c r="D195" s="24">
        <v>678.79986428571431</v>
      </c>
      <c r="E195" s="50">
        <v>2.1241483531769269E-4</v>
      </c>
      <c r="F195" s="51"/>
    </row>
    <row r="196" spans="1:6" ht="15.75" customHeight="1" x14ac:dyDescent="0.25">
      <c r="A196" t="s">
        <v>451</v>
      </c>
      <c r="B196" t="s">
        <v>450</v>
      </c>
      <c r="C196" s="68">
        <v>9364916</v>
      </c>
      <c r="D196" s="24">
        <v>6689.2257142857143</v>
      </c>
      <c r="E196" s="50">
        <v>2.0932396325654048E-3</v>
      </c>
      <c r="F196" s="51"/>
    </row>
    <row r="197" spans="1:6" ht="15.75" customHeight="1" x14ac:dyDescent="0.25">
      <c r="A197" t="s">
        <v>453</v>
      </c>
      <c r="B197" t="s">
        <v>452</v>
      </c>
      <c r="C197" s="68">
        <v>7073773.7800000003</v>
      </c>
      <c r="D197" s="24">
        <v>5052.6955571428571</v>
      </c>
      <c r="E197" s="50">
        <v>1.5811250873043596E-3</v>
      </c>
      <c r="F197" s="51"/>
    </row>
    <row r="198" spans="1:6" ht="15.75" customHeight="1" x14ac:dyDescent="0.25">
      <c r="A198" t="s">
        <v>455</v>
      </c>
      <c r="B198" t="s">
        <v>454</v>
      </c>
      <c r="C198" s="68">
        <v>2261177</v>
      </c>
      <c r="D198" s="24">
        <v>1615.1264285714285</v>
      </c>
      <c r="E198" s="50">
        <v>5.0541673973854588E-4</v>
      </c>
      <c r="F198" s="51"/>
    </row>
    <row r="199" spans="1:6" ht="15.75" customHeight="1" x14ac:dyDescent="0.25">
      <c r="A199" t="s">
        <v>592</v>
      </c>
      <c r="B199" t="s">
        <v>591</v>
      </c>
      <c r="C199" s="68">
        <v>144499.99</v>
      </c>
      <c r="D199" s="24">
        <v>103.21427857142857</v>
      </c>
      <c r="E199" s="50">
        <v>3.2298539140479705E-5</v>
      </c>
      <c r="F199" s="51"/>
    </row>
    <row r="200" spans="1:6" ht="15.75" customHeight="1" x14ac:dyDescent="0.25">
      <c r="A200" t="s">
        <v>867</v>
      </c>
      <c r="B200" t="s">
        <v>866</v>
      </c>
      <c r="C200" s="68">
        <v>3300000</v>
      </c>
      <c r="D200" s="24">
        <v>2357.1428571428573</v>
      </c>
      <c r="E200" s="50">
        <v>7.3761374767972675E-4</v>
      </c>
      <c r="F200" s="51"/>
    </row>
    <row r="201" spans="1:6" ht="15.75" customHeight="1" x14ac:dyDescent="0.25">
      <c r="A201" t="s">
        <v>457</v>
      </c>
      <c r="B201" t="s">
        <v>456</v>
      </c>
      <c r="C201" s="68">
        <v>13487352.119999999</v>
      </c>
      <c r="D201" s="24">
        <v>9633.8229428571431</v>
      </c>
      <c r="E201" s="50">
        <v>3.0146837404573658E-3</v>
      </c>
      <c r="F201" s="51"/>
    </row>
    <row r="202" spans="1:6" ht="15.75" customHeight="1" x14ac:dyDescent="0.25">
      <c r="A202" t="s">
        <v>459</v>
      </c>
      <c r="B202" t="s">
        <v>458</v>
      </c>
      <c r="C202" s="68">
        <v>2560211.65</v>
      </c>
      <c r="D202" s="24">
        <v>1828.722607142857</v>
      </c>
      <c r="E202" s="50">
        <v>5.7225676060902926E-4</v>
      </c>
      <c r="F202" s="51"/>
    </row>
    <row r="203" spans="1:6" ht="15.75" customHeight="1" x14ac:dyDescent="0.25">
      <c r="A203" t="s">
        <v>461</v>
      </c>
      <c r="B203" t="s">
        <v>460</v>
      </c>
      <c r="C203" s="68">
        <v>143199.87</v>
      </c>
      <c r="D203" s="24">
        <v>102.28562142857143</v>
      </c>
      <c r="E203" s="50">
        <v>3.2007937205439293E-5</v>
      </c>
      <c r="F203" s="51"/>
    </row>
    <row r="204" spans="1:6" ht="15.75" customHeight="1" x14ac:dyDescent="0.25">
      <c r="A204" t="s">
        <v>463</v>
      </c>
      <c r="B204" t="s">
        <v>462</v>
      </c>
      <c r="C204" s="68">
        <v>16855300</v>
      </c>
      <c r="D204" s="24">
        <v>12039.5</v>
      </c>
      <c r="E204" s="50">
        <v>3.7674851518988174E-3</v>
      </c>
      <c r="F204" s="51"/>
    </row>
    <row r="205" spans="1:6" ht="15.75" customHeight="1" x14ac:dyDescent="0.25">
      <c r="A205" t="s">
        <v>465</v>
      </c>
      <c r="B205" t="s">
        <v>464</v>
      </c>
      <c r="C205" s="68">
        <v>1419700</v>
      </c>
      <c r="D205" s="24">
        <v>1014.0714285714286</v>
      </c>
      <c r="E205" s="50">
        <v>3.1733037502451757E-4</v>
      </c>
      <c r="F205" s="51"/>
    </row>
    <row r="206" spans="1:6" ht="15.75" customHeight="1" x14ac:dyDescent="0.25">
      <c r="A206" t="s">
        <v>871</v>
      </c>
      <c r="B206" t="s">
        <v>870</v>
      </c>
      <c r="C206" s="68">
        <v>1331000</v>
      </c>
      <c r="D206" s="24">
        <v>950.71428571428567</v>
      </c>
      <c r="E206" s="50">
        <v>2.9750421156415641E-4</v>
      </c>
      <c r="F206" s="51"/>
    </row>
    <row r="207" spans="1:6" ht="15.75" customHeight="1" x14ac:dyDescent="0.25">
      <c r="A207" t="s">
        <v>467</v>
      </c>
      <c r="B207" t="s">
        <v>466</v>
      </c>
      <c r="C207" s="68">
        <v>17693998</v>
      </c>
      <c r="D207" s="24">
        <v>12638.57</v>
      </c>
      <c r="E207" s="50">
        <v>3.9549503564295721E-3</v>
      </c>
      <c r="F207" s="51"/>
    </row>
    <row r="208" spans="1:6" ht="15.75" customHeight="1" x14ac:dyDescent="0.25">
      <c r="A208" t="s">
        <v>469</v>
      </c>
      <c r="B208" t="s">
        <v>468</v>
      </c>
      <c r="C208" s="68">
        <v>3584279.55</v>
      </c>
      <c r="D208" s="24">
        <v>2560.1996785714286</v>
      </c>
      <c r="E208" s="50">
        <v>8.0115571866888017E-4</v>
      </c>
      <c r="F208" s="51"/>
    </row>
    <row r="209" spans="1:6" ht="15.75" customHeight="1" x14ac:dyDescent="0.25">
      <c r="A209" t="s">
        <v>471</v>
      </c>
      <c r="B209" t="s">
        <v>470</v>
      </c>
      <c r="C209" s="68">
        <v>3702160</v>
      </c>
      <c r="D209" s="24">
        <v>2644.4</v>
      </c>
      <c r="E209" s="50">
        <v>8.2750427639696278E-4</v>
      </c>
      <c r="F209" s="51"/>
    </row>
    <row r="210" spans="1:6" ht="15.75" customHeight="1" x14ac:dyDescent="0.25">
      <c r="A210" t="s">
        <v>473</v>
      </c>
      <c r="B210" t="s">
        <v>472</v>
      </c>
      <c r="C210" s="68">
        <v>8422034.7799999993</v>
      </c>
      <c r="D210" s="24">
        <v>6015.7391285714284</v>
      </c>
      <c r="E210" s="50">
        <v>1.882487465807516E-3</v>
      </c>
      <c r="F210" s="51"/>
    </row>
    <row r="211" spans="1:6" ht="15.75" customHeight="1" x14ac:dyDescent="0.25">
      <c r="A211" t="s">
        <v>475</v>
      </c>
      <c r="B211" t="s">
        <v>474</v>
      </c>
      <c r="C211" s="68">
        <v>1074310</v>
      </c>
      <c r="D211" s="24">
        <v>767.36428571428576</v>
      </c>
      <c r="E211" s="50">
        <v>2.4012903796054766E-4</v>
      </c>
      <c r="F211" s="51"/>
    </row>
    <row r="212" spans="1:6" ht="15.75" customHeight="1" x14ac:dyDescent="0.25">
      <c r="A212" t="s">
        <v>875</v>
      </c>
      <c r="B212" t="s">
        <v>874</v>
      </c>
      <c r="C212" s="68">
        <v>105000</v>
      </c>
      <c r="D212" s="24">
        <v>75</v>
      </c>
      <c r="E212" s="50">
        <v>2.3469528335264032E-5</v>
      </c>
      <c r="F212" s="51"/>
    </row>
    <row r="213" spans="1:6" ht="15.75" customHeight="1" x14ac:dyDescent="0.25">
      <c r="A213" t="s">
        <v>477</v>
      </c>
      <c r="B213" t="s">
        <v>476</v>
      </c>
      <c r="C213" s="68">
        <v>1271600</v>
      </c>
      <c r="D213" s="24">
        <v>908.28571428571433</v>
      </c>
      <c r="E213" s="50">
        <v>2.8422716410592136E-4</v>
      </c>
      <c r="F213" s="51"/>
    </row>
    <row r="214" spans="1:6" ht="15.75" customHeight="1" x14ac:dyDescent="0.25">
      <c r="A214" t="s">
        <v>594</v>
      </c>
      <c r="B214" t="s">
        <v>593</v>
      </c>
      <c r="C214" s="68">
        <v>3476817.02</v>
      </c>
      <c r="D214" s="24">
        <v>2483.4407285714287</v>
      </c>
      <c r="E214" s="50">
        <v>7.7713576730874527E-4</v>
      </c>
      <c r="F214" s="51"/>
    </row>
    <row r="215" spans="1:6" ht="15.75" customHeight="1" x14ac:dyDescent="0.25">
      <c r="A215" t="s">
        <v>479</v>
      </c>
      <c r="B215" t="s">
        <v>478</v>
      </c>
      <c r="C215" s="68">
        <v>308126.71999999997</v>
      </c>
      <c r="D215" s="24">
        <v>220.09051428571428</v>
      </c>
      <c r="E215" s="50">
        <v>6.8872274151352065E-5</v>
      </c>
      <c r="F215" s="51"/>
    </row>
    <row r="216" spans="1:6" ht="15.75" customHeight="1" x14ac:dyDescent="0.25">
      <c r="A216" t="s">
        <v>481</v>
      </c>
      <c r="B216" t="s">
        <v>480</v>
      </c>
      <c r="C216" s="68">
        <v>76030000</v>
      </c>
      <c r="D216" s="24">
        <v>54307.142857142855</v>
      </c>
      <c r="E216" s="50">
        <v>1.6994173707905947E-2</v>
      </c>
      <c r="F216" s="51"/>
    </row>
    <row r="217" spans="1:6" ht="15.75" customHeight="1" x14ac:dyDescent="0.25">
      <c r="A217" t="s">
        <v>483</v>
      </c>
      <c r="B217" t="s">
        <v>482</v>
      </c>
      <c r="C217" s="68">
        <v>8115779.6100000003</v>
      </c>
      <c r="D217" s="24">
        <v>5796.9854357142858</v>
      </c>
      <c r="E217" s="50">
        <v>1.8140335192347913E-3</v>
      </c>
      <c r="F217" s="51"/>
    </row>
    <row r="218" spans="1:6" ht="15.75" customHeight="1" x14ac:dyDescent="0.25">
      <c r="A218" t="s">
        <v>596</v>
      </c>
      <c r="B218" t="s">
        <v>595</v>
      </c>
      <c r="C218" s="68">
        <v>668261.64</v>
      </c>
      <c r="D218" s="24">
        <v>477.32974285714289</v>
      </c>
      <c r="E218" s="50">
        <v>1.4936938567000011E-4</v>
      </c>
      <c r="F218" s="51"/>
    </row>
    <row r="219" spans="1:6" ht="15.75" customHeight="1" x14ac:dyDescent="0.25">
      <c r="A219" t="s">
        <v>485</v>
      </c>
      <c r="B219" t="s">
        <v>484</v>
      </c>
      <c r="C219" s="68">
        <v>8034400</v>
      </c>
      <c r="D219" s="24">
        <v>5738.8571428571431</v>
      </c>
      <c r="E219" s="50">
        <v>1.7958436043509082E-3</v>
      </c>
      <c r="F219" s="51"/>
    </row>
    <row r="220" spans="1:6" ht="15.75" customHeight="1" x14ac:dyDescent="0.25">
      <c r="A220" t="s">
        <v>487</v>
      </c>
      <c r="B220" t="s">
        <v>486</v>
      </c>
      <c r="C220" s="68">
        <v>2998380</v>
      </c>
      <c r="D220" s="24">
        <v>2141.6999999999998</v>
      </c>
      <c r="E220" s="50">
        <v>6.7019585114179968E-4</v>
      </c>
      <c r="F220" s="51"/>
    </row>
    <row r="221" spans="1:6" ht="15.75" customHeight="1" x14ac:dyDescent="0.25">
      <c r="A221" t="s">
        <v>598</v>
      </c>
      <c r="B221" t="s">
        <v>597</v>
      </c>
      <c r="C221" s="68">
        <v>33011550</v>
      </c>
      <c r="D221" s="24">
        <v>23579.678571428572</v>
      </c>
      <c r="E221" s="50">
        <v>7.3787191249141465E-3</v>
      </c>
      <c r="F221" s="51"/>
    </row>
    <row r="222" spans="1:6" ht="15.75" customHeight="1" x14ac:dyDescent="0.25">
      <c r="A222" t="s">
        <v>489</v>
      </c>
      <c r="B222" t="s">
        <v>488</v>
      </c>
      <c r="C222" s="68">
        <v>25876207.34</v>
      </c>
      <c r="D222" s="24">
        <v>18483.005242857143</v>
      </c>
      <c r="E222" s="50">
        <v>5.7838322035742582E-3</v>
      </c>
      <c r="F222" s="51"/>
    </row>
    <row r="223" spans="1:6" ht="15.75" customHeight="1" x14ac:dyDescent="0.25">
      <c r="A223" t="s">
        <v>600</v>
      </c>
      <c r="B223" t="s">
        <v>599</v>
      </c>
      <c r="C223" s="68">
        <v>3618300</v>
      </c>
      <c r="D223" s="24">
        <v>2584.5</v>
      </c>
      <c r="E223" s="50">
        <v>8.0875994643319856E-4</v>
      </c>
      <c r="F223" s="51"/>
    </row>
    <row r="224" spans="1:6" ht="15.75" customHeight="1" x14ac:dyDescent="0.25">
      <c r="A224" t="s">
        <v>491</v>
      </c>
      <c r="B224" t="s">
        <v>490</v>
      </c>
      <c r="C224" s="68">
        <v>1331</v>
      </c>
      <c r="D224" s="24">
        <v>0.95071428571428573</v>
      </c>
      <c r="E224" s="50">
        <v>2.9750421156415643E-7</v>
      </c>
      <c r="F224" s="51"/>
    </row>
    <row r="225" spans="1:6" ht="15.75" customHeight="1" x14ac:dyDescent="0.25">
      <c r="A225" t="s">
        <v>881</v>
      </c>
      <c r="B225" t="s">
        <v>880</v>
      </c>
      <c r="C225" s="68">
        <v>1557590</v>
      </c>
      <c r="D225" s="24">
        <v>1112.5642857142857</v>
      </c>
      <c r="E225" s="50">
        <v>3.4815145371165624E-4</v>
      </c>
      <c r="F225" s="51"/>
    </row>
    <row r="226" spans="1:6" ht="15.75" customHeight="1" x14ac:dyDescent="0.25">
      <c r="A226" t="s">
        <v>493</v>
      </c>
      <c r="B226" t="s">
        <v>492</v>
      </c>
      <c r="C226" s="68">
        <v>1174895.77</v>
      </c>
      <c r="D226" s="24">
        <v>839.21126428571426</v>
      </c>
      <c r="E226" s="50">
        <v>2.6261190061901762E-4</v>
      </c>
      <c r="F226" s="51"/>
    </row>
    <row r="227" spans="1:6" ht="15.75" customHeight="1" x14ac:dyDescent="0.25">
      <c r="A227" t="s">
        <v>495</v>
      </c>
      <c r="B227" t="s">
        <v>494</v>
      </c>
      <c r="C227" s="68">
        <v>4089800</v>
      </c>
      <c r="D227" s="24">
        <v>2921.2857142857142</v>
      </c>
      <c r="E227" s="50">
        <v>9.1414930462440801E-4</v>
      </c>
      <c r="F227" s="51"/>
    </row>
    <row r="228" spans="1:6" ht="15.75" customHeight="1" x14ac:dyDescent="0.25">
      <c r="A228" t="s">
        <v>602</v>
      </c>
      <c r="B228" t="s">
        <v>601</v>
      </c>
      <c r="C228" s="68">
        <v>556600</v>
      </c>
      <c r="D228" s="24">
        <v>397.57142857142856</v>
      </c>
      <c r="E228" s="50">
        <v>1.2441085210864724E-4</v>
      </c>
      <c r="F228" s="51"/>
    </row>
    <row r="229" spans="1:6" ht="15.75" customHeight="1" x14ac:dyDescent="0.25">
      <c r="A229" t="s">
        <v>497</v>
      </c>
      <c r="B229" t="s">
        <v>496</v>
      </c>
      <c r="C229" s="68">
        <v>16443900</v>
      </c>
      <c r="D229" s="24">
        <v>11745.642857142857</v>
      </c>
      <c r="E229" s="50">
        <v>3.675529304688078E-3</v>
      </c>
      <c r="F229" s="51"/>
    </row>
    <row r="230" spans="1:6" ht="15.75" customHeight="1" x14ac:dyDescent="0.25">
      <c r="A230" t="s">
        <v>604</v>
      </c>
      <c r="B230" t="s">
        <v>603</v>
      </c>
      <c r="C230" s="68">
        <v>4471155.84</v>
      </c>
      <c r="D230" s="24">
        <v>3193.6827428571428</v>
      </c>
      <c r="E230" s="50">
        <v>9.9938970169772623E-4</v>
      </c>
      <c r="F230" s="51"/>
    </row>
    <row r="231" spans="1:6" ht="15.75" customHeight="1" x14ac:dyDescent="0.25">
      <c r="A231" t="s">
        <v>499</v>
      </c>
      <c r="B231" t="s">
        <v>498</v>
      </c>
      <c r="C231" s="68">
        <v>94650</v>
      </c>
      <c r="D231" s="24">
        <v>67.607142857142861</v>
      </c>
      <c r="E231" s="50">
        <v>2.1156103399359437E-5</v>
      </c>
      <c r="F231" s="51"/>
    </row>
    <row r="232" spans="1:6" ht="15.75" customHeight="1" x14ac:dyDescent="0.25">
      <c r="A232" t="s">
        <v>501</v>
      </c>
      <c r="B232" t="s">
        <v>500</v>
      </c>
      <c r="C232" s="68">
        <v>5454380.2699999996</v>
      </c>
      <c r="D232" s="24">
        <v>3895.9859071428568</v>
      </c>
      <c r="E232" s="50">
        <v>1.219159355219715E-3</v>
      </c>
      <c r="F232" s="51"/>
    </row>
    <row r="233" spans="1:6" ht="15.75" customHeight="1" x14ac:dyDescent="0.25">
      <c r="A233" t="s">
        <v>503</v>
      </c>
      <c r="B233" t="s">
        <v>502</v>
      </c>
      <c r="C233" s="68">
        <v>7263780</v>
      </c>
      <c r="D233" s="24">
        <v>5188.4142857142861</v>
      </c>
      <c r="E233" s="50">
        <v>1.6235951479154683E-3</v>
      </c>
      <c r="F233" s="51"/>
    </row>
    <row r="234" spans="1:6" ht="15.75" customHeight="1" x14ac:dyDescent="0.25">
      <c r="A234" t="s">
        <v>606</v>
      </c>
      <c r="B234" t="s">
        <v>605</v>
      </c>
      <c r="C234" s="68">
        <v>1445042.13</v>
      </c>
      <c r="D234" s="24">
        <v>1032.1729499999999</v>
      </c>
      <c r="E234" s="50">
        <v>3.2299483062557419E-4</v>
      </c>
      <c r="F234" s="51"/>
    </row>
    <row r="235" spans="1:6" ht="15.75" customHeight="1" x14ac:dyDescent="0.25">
      <c r="A235" t="s">
        <v>884</v>
      </c>
      <c r="B235" t="s">
        <v>883</v>
      </c>
      <c r="C235" s="68">
        <v>1478381.01</v>
      </c>
      <c r="D235" s="24">
        <v>1055.9864357142858</v>
      </c>
      <c r="E235" s="50">
        <v>3.304467143286787E-4</v>
      </c>
      <c r="F235" s="51"/>
    </row>
    <row r="236" spans="1:6" ht="15.75" customHeight="1" x14ac:dyDescent="0.25">
      <c r="A236" t="s">
        <v>505</v>
      </c>
      <c r="B236" t="s">
        <v>504</v>
      </c>
      <c r="C236" s="68">
        <v>830000</v>
      </c>
      <c r="D236" s="24">
        <v>592.85714285714289</v>
      </c>
      <c r="E236" s="50">
        <v>1.8552103350732521E-4</v>
      </c>
      <c r="F236" s="51"/>
    </row>
    <row r="237" spans="1:6" ht="15.75" customHeight="1" x14ac:dyDescent="0.25">
      <c r="A237" t="s">
        <v>888</v>
      </c>
      <c r="B237" t="s">
        <v>887</v>
      </c>
      <c r="C237" s="68">
        <v>657417.41</v>
      </c>
      <c r="D237" s="24">
        <v>469.5838642857143</v>
      </c>
      <c r="E237" s="50">
        <v>1.4694549078181801E-4</v>
      </c>
      <c r="F237" s="51"/>
    </row>
    <row r="238" spans="1:6" ht="15.75" customHeight="1" x14ac:dyDescent="0.25">
      <c r="A238" t="s">
        <v>507</v>
      </c>
      <c r="B238" t="s">
        <v>506</v>
      </c>
      <c r="C238" s="68">
        <v>2669255.2400000002</v>
      </c>
      <c r="D238" s="24">
        <v>1906.6108857142858</v>
      </c>
      <c r="E238" s="50">
        <v>5.9663010942125711E-4</v>
      </c>
      <c r="F238" s="51"/>
    </row>
    <row r="239" spans="1:6" ht="15.75" customHeight="1" x14ac:dyDescent="0.25">
      <c r="A239" t="s">
        <v>509</v>
      </c>
      <c r="B239" t="s">
        <v>508</v>
      </c>
      <c r="C239" s="68">
        <v>-0.01</v>
      </c>
      <c r="D239" s="24">
        <v>-7.1428571428571427E-6</v>
      </c>
      <c r="E239" s="50">
        <v>-2.2351931747870508E-12</v>
      </c>
      <c r="F239" s="51"/>
    </row>
    <row r="240" spans="1:6" ht="15.75" customHeight="1" x14ac:dyDescent="0.25">
      <c r="A240" t="s">
        <v>892</v>
      </c>
      <c r="B240" t="s">
        <v>891</v>
      </c>
      <c r="C240" s="68">
        <v>620575.87</v>
      </c>
      <c r="D240" s="24">
        <v>443.26847857142855</v>
      </c>
      <c r="E240" s="50">
        <v>1.3871069490615359E-4</v>
      </c>
      <c r="F240" s="51"/>
    </row>
    <row r="241" spans="1:6" ht="15.75" customHeight="1" x14ac:dyDescent="0.25">
      <c r="A241" t="s">
        <v>511</v>
      </c>
      <c r="B241" t="s">
        <v>510</v>
      </c>
      <c r="C241" s="68">
        <v>1098438</v>
      </c>
      <c r="D241" s="24">
        <v>784.5985714285714</v>
      </c>
      <c r="E241" s="50">
        <v>2.4552211205267381E-4</v>
      </c>
      <c r="F241" s="51"/>
    </row>
    <row r="242" spans="1:6" ht="15.75" customHeight="1" x14ac:dyDescent="0.25">
      <c r="A242" t="s">
        <v>608</v>
      </c>
      <c r="B242" t="s">
        <v>607</v>
      </c>
      <c r="C242" s="68">
        <v>193600</v>
      </c>
      <c r="D242" s="24">
        <v>138.28571428571428</v>
      </c>
      <c r="E242" s="50">
        <v>4.32733398638773E-5</v>
      </c>
      <c r="F242" s="51"/>
    </row>
    <row r="243" spans="1:6" ht="15.75" customHeight="1" x14ac:dyDescent="0.25">
      <c r="A243" t="s">
        <v>513</v>
      </c>
      <c r="B243" t="s">
        <v>512</v>
      </c>
      <c r="C243" s="68">
        <v>8905600</v>
      </c>
      <c r="D243" s="24">
        <v>6361.1428571428569</v>
      </c>
      <c r="E243" s="50">
        <v>1.9905736337383559E-3</v>
      </c>
      <c r="F243" s="51"/>
    </row>
    <row r="244" spans="1:6" ht="15.75" customHeight="1" x14ac:dyDescent="0.25">
      <c r="A244" t="s">
        <v>610</v>
      </c>
      <c r="B244" t="s">
        <v>609</v>
      </c>
      <c r="C244" s="68">
        <v>6077500</v>
      </c>
      <c r="D244" s="24">
        <v>4341.0714285714284</v>
      </c>
      <c r="E244" s="50">
        <v>1.35843865197683E-3</v>
      </c>
      <c r="F244" s="51"/>
    </row>
    <row r="245" spans="1:6" ht="15.75" customHeight="1" x14ac:dyDescent="0.25">
      <c r="A245" t="s">
        <v>515</v>
      </c>
      <c r="B245" t="s">
        <v>514</v>
      </c>
      <c r="C245" s="68">
        <v>12821563.85</v>
      </c>
      <c r="D245" s="24">
        <v>9158.2598928571424</v>
      </c>
      <c r="E245" s="50">
        <v>2.865867200761638E-3</v>
      </c>
      <c r="F245" s="51"/>
    </row>
    <row r="246" spans="1:6" ht="15.75" customHeight="1" x14ac:dyDescent="0.25">
      <c r="A246" t="s">
        <v>612</v>
      </c>
      <c r="B246" t="s">
        <v>611</v>
      </c>
      <c r="C246" s="68">
        <v>4121960.17</v>
      </c>
      <c r="D246" s="24">
        <v>2944.2572642857144</v>
      </c>
      <c r="E246" s="50">
        <v>9.2133772387280712E-4</v>
      </c>
      <c r="F246" s="51"/>
    </row>
    <row r="247" spans="1:6" ht="15.75" customHeight="1" x14ac:dyDescent="0.25">
      <c r="A247" t="s">
        <v>517</v>
      </c>
      <c r="B247" t="s">
        <v>516</v>
      </c>
      <c r="C247" s="68">
        <v>3824713.2</v>
      </c>
      <c r="D247" s="24">
        <v>2731.9380000000001</v>
      </c>
      <c r="E247" s="50">
        <v>8.5489728401579403E-4</v>
      </c>
      <c r="F247" s="51"/>
    </row>
    <row r="248" spans="1:6" ht="15.75" customHeight="1" x14ac:dyDescent="0.25">
      <c r="A248" t="s">
        <v>519</v>
      </c>
      <c r="B248" t="s">
        <v>518</v>
      </c>
      <c r="C248" s="68">
        <v>-653801.14</v>
      </c>
      <c r="D248" s="24">
        <v>-467.00081428571428</v>
      </c>
      <c r="E248" s="50">
        <v>-1.4613718457959931E-4</v>
      </c>
      <c r="F248" s="51"/>
    </row>
    <row r="249" spans="1:6" ht="15.75" customHeight="1" x14ac:dyDescent="0.25">
      <c r="A249" t="s">
        <v>614</v>
      </c>
      <c r="B249" t="s">
        <v>613</v>
      </c>
      <c r="C249" s="68">
        <v>969400.17</v>
      </c>
      <c r="D249" s="24">
        <v>692.42869285714289</v>
      </c>
      <c r="E249" s="50">
        <v>2.1667966436214069E-4</v>
      </c>
      <c r="F249" s="51"/>
    </row>
    <row r="250" spans="1:6" ht="15.75" customHeight="1" x14ac:dyDescent="0.25">
      <c r="A250" t="s">
        <v>521</v>
      </c>
      <c r="B250" t="s">
        <v>520</v>
      </c>
      <c r="C250" s="68">
        <v>1715262.12</v>
      </c>
      <c r="D250" s="24">
        <v>1225.1872285714287</v>
      </c>
      <c r="E250" s="50">
        <v>3.8339421835947678E-4</v>
      </c>
      <c r="F250" s="51"/>
    </row>
    <row r="251" spans="1:6" ht="15.75" customHeight="1" x14ac:dyDescent="0.25">
      <c r="A251" t="s">
        <v>523</v>
      </c>
      <c r="B251" t="s">
        <v>522</v>
      </c>
      <c r="C251" s="68">
        <v>43200964.079999998</v>
      </c>
      <c r="D251" s="24">
        <v>30857.831485714283</v>
      </c>
      <c r="E251" s="50">
        <v>9.6562500055836532E-3</v>
      </c>
      <c r="F251" s="51"/>
    </row>
    <row r="252" spans="1:6" ht="15.75" customHeight="1" x14ac:dyDescent="0.25">
      <c r="A252" t="s">
        <v>525</v>
      </c>
      <c r="B252" t="s">
        <v>524</v>
      </c>
      <c r="C252" s="68">
        <v>787623.42</v>
      </c>
      <c r="D252" s="24">
        <v>562.5881571428572</v>
      </c>
      <c r="E252" s="50">
        <v>1.7604904926864348E-4</v>
      </c>
      <c r="F252" s="51"/>
    </row>
    <row r="253" spans="1:6" ht="15.75" customHeight="1" x14ac:dyDescent="0.25">
      <c r="A253" t="s">
        <v>902</v>
      </c>
      <c r="B253" t="s">
        <v>901</v>
      </c>
      <c r="C253" s="68">
        <v>7118732.5</v>
      </c>
      <c r="D253" s="24">
        <v>5084.8089285714286</v>
      </c>
      <c r="E253" s="50">
        <v>1.5911742297134758E-3</v>
      </c>
      <c r="F253" s="51"/>
    </row>
    <row r="254" spans="1:6" ht="15.75" customHeight="1" x14ac:dyDescent="0.25">
      <c r="A254" t="s">
        <v>527</v>
      </c>
      <c r="B254" t="s">
        <v>526</v>
      </c>
      <c r="C254" s="68">
        <v>16607798.4</v>
      </c>
      <c r="D254" s="24">
        <v>11862.713142857143</v>
      </c>
      <c r="E254" s="50">
        <v>3.7121637631919299E-3</v>
      </c>
      <c r="F254" s="51"/>
    </row>
    <row r="255" spans="1:6" ht="15.75" customHeight="1" x14ac:dyDescent="0.25">
      <c r="A255" t="s">
        <v>616</v>
      </c>
      <c r="B255" t="s">
        <v>615</v>
      </c>
      <c r="C255" s="68">
        <v>7400000</v>
      </c>
      <c r="D255" s="24">
        <v>5285.7142857142853</v>
      </c>
      <c r="E255" s="50">
        <v>1.6540429493424175E-3</v>
      </c>
      <c r="F255" s="51"/>
    </row>
    <row r="256" spans="1:6" ht="15.75" customHeight="1" x14ac:dyDescent="0.25">
      <c r="A256" t="s">
        <v>529</v>
      </c>
      <c r="B256" t="s">
        <v>528</v>
      </c>
      <c r="C256" s="68">
        <v>19628712</v>
      </c>
      <c r="D256" s="24">
        <v>14020.508571428571</v>
      </c>
      <c r="E256" s="50">
        <v>4.3873963092260675E-3</v>
      </c>
      <c r="F256" s="51"/>
    </row>
    <row r="257" spans="1:6" ht="15.75" customHeight="1" x14ac:dyDescent="0.25">
      <c r="A257" t="s">
        <v>531</v>
      </c>
      <c r="B257" t="s">
        <v>530</v>
      </c>
      <c r="C257" s="68">
        <v>33572307.890000001</v>
      </c>
      <c r="D257" s="24">
        <v>23980.219921428572</v>
      </c>
      <c r="E257" s="50">
        <v>7.5040593457577449E-3</v>
      </c>
      <c r="F257" s="51"/>
    </row>
    <row r="258" spans="1:6" ht="15.75" customHeight="1" x14ac:dyDescent="0.25">
      <c r="A258" t="s">
        <v>533</v>
      </c>
      <c r="B258" t="s">
        <v>532</v>
      </c>
      <c r="C258" s="68">
        <v>-1.1100000000000001</v>
      </c>
      <c r="D258" s="24">
        <v>-7.9285714285714289E-4</v>
      </c>
      <c r="E258" s="50">
        <v>-2.4810644240136265E-10</v>
      </c>
      <c r="F258" s="51"/>
    </row>
    <row r="259" spans="1:6" ht="15.75" customHeight="1" x14ac:dyDescent="0.25">
      <c r="A259" t="s">
        <v>535</v>
      </c>
      <c r="B259" t="s">
        <v>534</v>
      </c>
      <c r="C259" s="68">
        <v>240911</v>
      </c>
      <c r="D259" s="24">
        <v>172.0792857142857</v>
      </c>
      <c r="E259" s="50">
        <v>5.3848262293112316E-5</v>
      </c>
      <c r="F259" s="51"/>
    </row>
    <row r="260" spans="1:6" ht="15.75" customHeight="1" x14ac:dyDescent="0.25">
      <c r="A260" t="s">
        <v>910</v>
      </c>
      <c r="B260" t="s">
        <v>909</v>
      </c>
      <c r="C260" s="68">
        <v>3291313</v>
      </c>
      <c r="D260" s="24">
        <v>2350.937857142857</v>
      </c>
      <c r="E260" s="50">
        <v>7.3567203536878921E-4</v>
      </c>
      <c r="F260" s="51"/>
    </row>
    <row r="261" spans="1:6" ht="15.75" customHeight="1" x14ac:dyDescent="0.25">
      <c r="A261" t="s">
        <v>618</v>
      </c>
      <c r="B261" t="s">
        <v>617</v>
      </c>
      <c r="C261" s="68">
        <v>1577601.83</v>
      </c>
      <c r="D261" s="24">
        <v>1126.8584499999999</v>
      </c>
      <c r="E261" s="50">
        <v>3.526244842947561E-4</v>
      </c>
      <c r="F261" s="51"/>
    </row>
    <row r="262" spans="1:6" ht="15.75" customHeight="1" x14ac:dyDescent="0.25">
      <c r="A262" t="s">
        <v>537</v>
      </c>
      <c r="B262" t="s">
        <v>536</v>
      </c>
      <c r="C262" s="68">
        <v>8560835.2300000004</v>
      </c>
      <c r="D262" s="24">
        <v>6114.8823071428578</v>
      </c>
      <c r="E262" s="50">
        <v>1.9135120476572534E-3</v>
      </c>
      <c r="F262" s="51"/>
    </row>
    <row r="263" spans="1:6" ht="15.75" customHeight="1" x14ac:dyDescent="0.25">
      <c r="A263" t="s">
        <v>539</v>
      </c>
      <c r="B263" t="s">
        <v>538</v>
      </c>
      <c r="C263" s="68">
        <v>1485120</v>
      </c>
      <c r="D263" s="24">
        <v>1060.8</v>
      </c>
      <c r="E263" s="50">
        <v>3.3195300877397445E-4</v>
      </c>
      <c r="F263" s="51"/>
    </row>
    <row r="264" spans="1:6" ht="15.75" customHeight="1" x14ac:dyDescent="0.25">
      <c r="A264" t="s">
        <v>541</v>
      </c>
      <c r="B264" t="s">
        <v>540</v>
      </c>
      <c r="C264" s="68">
        <v>1357879029.99</v>
      </c>
      <c r="D264" s="24">
        <v>969913.59285000002</v>
      </c>
      <c r="E264" s="50">
        <v>0.3035121940020109</v>
      </c>
      <c r="F264" s="51"/>
    </row>
    <row r="265" spans="1:6" ht="15.75" customHeight="1" x14ac:dyDescent="0.25">
      <c r="A265" t="s">
        <v>543</v>
      </c>
      <c r="B265" t="s">
        <v>542</v>
      </c>
      <c r="C265" s="68">
        <v>2271569.94</v>
      </c>
      <c r="D265" s="24">
        <v>1622.549957142857</v>
      </c>
      <c r="E265" s="50">
        <v>5.0773976259394296E-4</v>
      </c>
      <c r="F265" s="51"/>
    </row>
    <row r="266" spans="1:6" ht="18" customHeight="1" x14ac:dyDescent="0.25">
      <c r="A266" s="41" t="s">
        <v>166</v>
      </c>
      <c r="B266" s="42"/>
      <c r="C266" s="43">
        <v>4473886245.1799994</v>
      </c>
      <c r="D266" s="43">
        <v>3195633.032271428</v>
      </c>
      <c r="E266" s="53">
        <v>1</v>
      </c>
      <c r="F266" s="42"/>
    </row>
    <row r="268" spans="1:6" ht="15" customHeight="1" x14ac:dyDescent="0.25">
      <c r="A268" s="81" t="s">
        <v>167</v>
      </c>
      <c r="B268" s="81"/>
      <c r="C268" s="81"/>
      <c r="D268" s="81"/>
      <c r="E268" s="81"/>
      <c r="F268" s="81"/>
    </row>
    <row r="483" spans="1:11" x14ac:dyDescent="0.25">
      <c r="A483" t="s">
        <v>619</v>
      </c>
    </row>
    <row r="484" spans="1:11" x14ac:dyDescent="0.25">
      <c r="A484" t="s">
        <v>544</v>
      </c>
    </row>
    <row r="485" spans="1:11" x14ac:dyDescent="0.25">
      <c r="A485" t="s">
        <v>545</v>
      </c>
    </row>
    <row r="486" spans="1:11" x14ac:dyDescent="0.25">
      <c r="A486" t="s">
        <v>620</v>
      </c>
      <c r="B486" t="s">
        <v>621</v>
      </c>
      <c r="C486" t="s">
        <v>622</v>
      </c>
      <c r="D486" t="s">
        <v>4</v>
      </c>
      <c r="E486" t="s">
        <v>623</v>
      </c>
      <c r="F486" t="s">
        <v>624</v>
      </c>
      <c r="G486" t="s">
        <v>625</v>
      </c>
      <c r="H486" t="s">
        <v>626</v>
      </c>
      <c r="I486" t="s">
        <v>627</v>
      </c>
      <c r="J486" t="s">
        <v>628</v>
      </c>
      <c r="K486" t="s">
        <v>155</v>
      </c>
    </row>
    <row r="487" spans="1:11" x14ac:dyDescent="0.25">
      <c r="A487" t="s">
        <v>629</v>
      </c>
      <c r="B487" t="s">
        <v>630</v>
      </c>
      <c r="C487" t="s">
        <v>631</v>
      </c>
      <c r="D487" t="s">
        <v>632</v>
      </c>
      <c r="E487">
        <v>0</v>
      </c>
      <c r="F487" t="s">
        <v>633</v>
      </c>
      <c r="G487">
        <v>26766.34</v>
      </c>
      <c r="H487">
        <v>0</v>
      </c>
      <c r="I487">
        <v>-327.93</v>
      </c>
      <c r="J487">
        <v>0</v>
      </c>
      <c r="K487">
        <v>26438.41</v>
      </c>
    </row>
    <row r="488" spans="1:11" x14ac:dyDescent="0.25">
      <c r="A488" t="s">
        <v>182</v>
      </c>
      <c r="B488" t="s">
        <v>183</v>
      </c>
      <c r="C488" t="s">
        <v>631</v>
      </c>
      <c r="D488" t="s">
        <v>634</v>
      </c>
      <c r="E488">
        <v>0</v>
      </c>
      <c r="F488" t="s">
        <v>635</v>
      </c>
      <c r="G488">
        <v>11514934.75</v>
      </c>
      <c r="H488">
        <v>15632622.85</v>
      </c>
      <c r="I488">
        <v>0</v>
      </c>
      <c r="J488">
        <v>0</v>
      </c>
      <c r="K488">
        <v>27147557.600000001</v>
      </c>
    </row>
    <row r="489" spans="1:11" x14ac:dyDescent="0.25">
      <c r="A489" t="s">
        <v>184</v>
      </c>
      <c r="B489" t="s">
        <v>185</v>
      </c>
      <c r="C489" t="s">
        <v>631</v>
      </c>
      <c r="D489" t="s">
        <v>636</v>
      </c>
      <c r="E489">
        <v>0</v>
      </c>
      <c r="F489" t="s">
        <v>637</v>
      </c>
      <c r="G489">
        <v>9750000</v>
      </c>
      <c r="H489">
        <v>11639136.26</v>
      </c>
      <c r="I489">
        <v>0</v>
      </c>
      <c r="J489">
        <v>0</v>
      </c>
      <c r="K489">
        <v>21389136.260000002</v>
      </c>
    </row>
    <row r="490" spans="1:11" x14ac:dyDescent="0.25">
      <c r="A490" t="s">
        <v>186</v>
      </c>
      <c r="B490" t="s">
        <v>187</v>
      </c>
      <c r="C490" t="s">
        <v>631</v>
      </c>
      <c r="D490" t="s">
        <v>638</v>
      </c>
      <c r="E490">
        <v>0</v>
      </c>
      <c r="F490" t="s">
        <v>639</v>
      </c>
      <c r="G490">
        <v>0</v>
      </c>
      <c r="H490">
        <v>0</v>
      </c>
      <c r="I490">
        <v>0</v>
      </c>
      <c r="J490">
        <v>1.08</v>
      </c>
      <c r="K490">
        <v>1.08</v>
      </c>
    </row>
    <row r="491" spans="1:11" x14ac:dyDescent="0.25">
      <c r="A491" t="s">
        <v>188</v>
      </c>
      <c r="B491" t="s">
        <v>189</v>
      </c>
      <c r="C491" t="s">
        <v>631</v>
      </c>
      <c r="D491" t="s">
        <v>640</v>
      </c>
      <c r="E491">
        <v>0</v>
      </c>
      <c r="F491" t="s">
        <v>641</v>
      </c>
      <c r="G491">
        <v>990404.36</v>
      </c>
      <c r="H491">
        <v>0</v>
      </c>
      <c r="I491">
        <v>0</v>
      </c>
      <c r="J491">
        <v>0</v>
      </c>
      <c r="K491">
        <v>990404.36</v>
      </c>
    </row>
    <row r="492" spans="1:11" x14ac:dyDescent="0.25">
      <c r="A492" t="s">
        <v>190</v>
      </c>
      <c r="B492" t="s">
        <v>191</v>
      </c>
      <c r="C492" t="s">
        <v>631</v>
      </c>
      <c r="D492" t="s">
        <v>638</v>
      </c>
      <c r="E492">
        <v>0</v>
      </c>
      <c r="F492" t="s">
        <v>639</v>
      </c>
      <c r="G492">
        <v>5468655.5</v>
      </c>
      <c r="H492">
        <v>0</v>
      </c>
      <c r="I492">
        <v>0</v>
      </c>
      <c r="J492">
        <v>0</v>
      </c>
      <c r="K492">
        <v>5468655.5</v>
      </c>
    </row>
    <row r="493" spans="1:11" x14ac:dyDescent="0.25">
      <c r="A493" t="s">
        <v>192</v>
      </c>
      <c r="B493" t="s">
        <v>193</v>
      </c>
      <c r="C493" t="s">
        <v>631</v>
      </c>
      <c r="D493" t="s">
        <v>642</v>
      </c>
      <c r="E493">
        <v>0</v>
      </c>
      <c r="F493" t="s">
        <v>643</v>
      </c>
      <c r="G493">
        <v>560000</v>
      </c>
      <c r="H493">
        <v>0</v>
      </c>
      <c r="I493">
        <v>0</v>
      </c>
      <c r="J493">
        <v>0</v>
      </c>
      <c r="K493">
        <v>560000</v>
      </c>
    </row>
    <row r="494" spans="1:11" x14ac:dyDescent="0.25">
      <c r="A494" t="s">
        <v>644</v>
      </c>
      <c r="B494" t="s">
        <v>645</v>
      </c>
      <c r="C494" t="s">
        <v>631</v>
      </c>
      <c r="D494" t="s">
        <v>646</v>
      </c>
      <c r="E494">
        <v>0</v>
      </c>
      <c r="F494" t="s">
        <v>647</v>
      </c>
      <c r="G494">
        <v>2611543</v>
      </c>
      <c r="H494">
        <v>0</v>
      </c>
      <c r="I494">
        <v>0</v>
      </c>
      <c r="J494">
        <v>0</v>
      </c>
      <c r="K494">
        <v>2611543</v>
      </c>
    </row>
    <row r="495" spans="1:11" x14ac:dyDescent="0.25">
      <c r="A495" t="s">
        <v>648</v>
      </c>
      <c r="B495" t="s">
        <v>649</v>
      </c>
      <c r="C495" t="s">
        <v>631</v>
      </c>
      <c r="D495" t="s">
        <v>650</v>
      </c>
      <c r="E495">
        <v>0</v>
      </c>
      <c r="F495" t="s">
        <v>651</v>
      </c>
      <c r="G495">
        <v>8763369.8200000003</v>
      </c>
      <c r="H495">
        <v>0</v>
      </c>
      <c r="I495">
        <v>0</v>
      </c>
      <c r="J495">
        <v>0</v>
      </c>
      <c r="K495">
        <v>8763369.8200000003</v>
      </c>
    </row>
    <row r="496" spans="1:11" x14ac:dyDescent="0.25">
      <c r="A496" t="s">
        <v>194</v>
      </c>
      <c r="B496" t="s">
        <v>195</v>
      </c>
      <c r="C496" t="s">
        <v>631</v>
      </c>
      <c r="D496" t="s">
        <v>638</v>
      </c>
      <c r="E496">
        <v>0</v>
      </c>
      <c r="F496" t="s">
        <v>639</v>
      </c>
      <c r="G496">
        <v>1048053.67</v>
      </c>
      <c r="H496">
        <v>1376717.55</v>
      </c>
      <c r="I496">
        <v>0</v>
      </c>
      <c r="J496">
        <v>0</v>
      </c>
      <c r="K496">
        <v>2424771.2200000002</v>
      </c>
    </row>
    <row r="497" spans="1:11" x14ac:dyDescent="0.25">
      <c r="A497" t="s">
        <v>547</v>
      </c>
      <c r="B497" t="s">
        <v>548</v>
      </c>
      <c r="C497" t="s">
        <v>631</v>
      </c>
      <c r="D497" t="s">
        <v>652</v>
      </c>
      <c r="E497">
        <v>0</v>
      </c>
      <c r="F497" t="s">
        <v>653</v>
      </c>
      <c r="G497">
        <v>797673.14</v>
      </c>
      <c r="H497">
        <v>63428.2</v>
      </c>
      <c r="I497">
        <v>0</v>
      </c>
      <c r="J497">
        <v>0</v>
      </c>
      <c r="K497">
        <v>861101.34</v>
      </c>
    </row>
    <row r="498" spans="1:11" x14ac:dyDescent="0.25">
      <c r="A498" t="s">
        <v>654</v>
      </c>
      <c r="B498" t="s">
        <v>655</v>
      </c>
      <c r="C498" t="s">
        <v>631</v>
      </c>
      <c r="D498" t="s">
        <v>656</v>
      </c>
      <c r="E498">
        <v>0</v>
      </c>
      <c r="F498" t="s">
        <v>657</v>
      </c>
      <c r="G498">
        <v>508200</v>
      </c>
      <c r="H498">
        <v>0</v>
      </c>
      <c r="I498">
        <v>0</v>
      </c>
      <c r="J498">
        <v>0</v>
      </c>
      <c r="K498">
        <v>508200</v>
      </c>
    </row>
    <row r="499" spans="1:11" x14ac:dyDescent="0.25">
      <c r="A499" t="s">
        <v>196</v>
      </c>
      <c r="B499" t="s">
        <v>197</v>
      </c>
      <c r="C499" t="s">
        <v>631</v>
      </c>
      <c r="D499" t="s">
        <v>658</v>
      </c>
      <c r="E499">
        <v>0</v>
      </c>
      <c r="F499" t="s">
        <v>659</v>
      </c>
      <c r="G499">
        <v>267606.52</v>
      </c>
      <c r="H499">
        <v>0</v>
      </c>
      <c r="I499">
        <v>0</v>
      </c>
      <c r="J499">
        <v>0</v>
      </c>
      <c r="K499">
        <v>267606.52</v>
      </c>
    </row>
    <row r="500" spans="1:11" x14ac:dyDescent="0.25">
      <c r="A500" t="s">
        <v>198</v>
      </c>
      <c r="B500" t="s">
        <v>199</v>
      </c>
      <c r="C500" t="s">
        <v>631</v>
      </c>
      <c r="D500" t="s">
        <v>660</v>
      </c>
      <c r="E500">
        <v>0</v>
      </c>
      <c r="F500" t="s">
        <v>661</v>
      </c>
      <c r="G500">
        <v>204884.16</v>
      </c>
      <c r="H500">
        <v>0</v>
      </c>
      <c r="I500">
        <v>0</v>
      </c>
      <c r="J500">
        <v>0</v>
      </c>
      <c r="K500">
        <v>204884.16</v>
      </c>
    </row>
    <row r="501" spans="1:11" x14ac:dyDescent="0.25">
      <c r="A501" t="s">
        <v>662</v>
      </c>
      <c r="B501" t="s">
        <v>663</v>
      </c>
      <c r="C501" t="s">
        <v>631</v>
      </c>
      <c r="D501" t="s">
        <v>664</v>
      </c>
      <c r="E501">
        <v>4000000</v>
      </c>
      <c r="F501" t="s">
        <v>665</v>
      </c>
      <c r="G501">
        <v>0</v>
      </c>
      <c r="H501">
        <v>0</v>
      </c>
      <c r="I501">
        <v>0</v>
      </c>
      <c r="J501">
        <v>0</v>
      </c>
      <c r="K501">
        <v>4000000</v>
      </c>
    </row>
    <row r="502" spans="1:11" x14ac:dyDescent="0.25">
      <c r="A502" t="s">
        <v>200</v>
      </c>
      <c r="B502" t="s">
        <v>201</v>
      </c>
      <c r="C502" t="s">
        <v>631</v>
      </c>
      <c r="D502" t="s">
        <v>666</v>
      </c>
      <c r="E502">
        <v>0</v>
      </c>
      <c r="F502" t="s">
        <v>667</v>
      </c>
      <c r="G502">
        <v>2299000</v>
      </c>
      <c r="H502">
        <v>1727000</v>
      </c>
      <c r="I502">
        <v>0</v>
      </c>
      <c r="J502">
        <v>0</v>
      </c>
      <c r="K502">
        <v>4026000</v>
      </c>
    </row>
    <row r="503" spans="1:11" x14ac:dyDescent="0.25">
      <c r="A503" t="s">
        <v>549</v>
      </c>
      <c r="B503" t="s">
        <v>550</v>
      </c>
      <c r="C503" t="s">
        <v>631</v>
      </c>
      <c r="D503" t="s">
        <v>668</v>
      </c>
      <c r="E503">
        <v>0</v>
      </c>
      <c r="F503" t="s">
        <v>669</v>
      </c>
      <c r="G503">
        <v>343156</v>
      </c>
      <c r="H503">
        <v>0</v>
      </c>
      <c r="I503">
        <v>0</v>
      </c>
      <c r="J503">
        <v>0</v>
      </c>
      <c r="K503">
        <v>343156</v>
      </c>
    </row>
    <row r="504" spans="1:11" x14ac:dyDescent="0.25">
      <c r="A504" t="s">
        <v>551</v>
      </c>
      <c r="B504" t="s">
        <v>552</v>
      </c>
      <c r="C504" t="s">
        <v>631</v>
      </c>
      <c r="D504" t="s">
        <v>670</v>
      </c>
      <c r="E504">
        <v>0</v>
      </c>
      <c r="F504" t="s">
        <v>671</v>
      </c>
      <c r="G504">
        <v>13387941.35</v>
      </c>
      <c r="H504">
        <v>0</v>
      </c>
      <c r="I504">
        <v>0</v>
      </c>
      <c r="J504">
        <v>0</v>
      </c>
      <c r="K504">
        <v>13387941.35</v>
      </c>
    </row>
    <row r="505" spans="1:11" x14ac:dyDescent="0.25">
      <c r="A505" t="s">
        <v>672</v>
      </c>
      <c r="B505" t="s">
        <v>673</v>
      </c>
      <c r="C505" t="s">
        <v>631</v>
      </c>
      <c r="D505" t="s">
        <v>674</v>
      </c>
      <c r="E505">
        <v>0</v>
      </c>
      <c r="F505" t="s">
        <v>675</v>
      </c>
      <c r="G505">
        <v>36000</v>
      </c>
      <c r="H505">
        <v>0</v>
      </c>
      <c r="I505">
        <v>0</v>
      </c>
      <c r="J505">
        <v>0</v>
      </c>
      <c r="K505">
        <v>36000</v>
      </c>
    </row>
    <row r="506" spans="1:11" x14ac:dyDescent="0.25">
      <c r="A506" t="s">
        <v>202</v>
      </c>
      <c r="B506" t="s">
        <v>203</v>
      </c>
      <c r="C506" t="s">
        <v>631</v>
      </c>
      <c r="D506" t="s">
        <v>676</v>
      </c>
      <c r="E506">
        <v>0</v>
      </c>
      <c r="F506" t="s">
        <v>677</v>
      </c>
      <c r="G506">
        <v>0</v>
      </c>
      <c r="H506">
        <v>0</v>
      </c>
      <c r="I506">
        <v>28043800</v>
      </c>
      <c r="J506">
        <v>26176.959999999999</v>
      </c>
      <c r="K506">
        <v>28069976.960000001</v>
      </c>
    </row>
    <row r="507" spans="1:11" x14ac:dyDescent="0.25">
      <c r="A507" t="s">
        <v>204</v>
      </c>
      <c r="B507" t="s">
        <v>205</v>
      </c>
      <c r="C507" t="s">
        <v>631</v>
      </c>
      <c r="D507" t="s">
        <v>678</v>
      </c>
      <c r="E507">
        <v>70000</v>
      </c>
      <c r="F507" t="s">
        <v>679</v>
      </c>
      <c r="G507">
        <v>0</v>
      </c>
      <c r="H507">
        <v>0</v>
      </c>
      <c r="I507">
        <v>0</v>
      </c>
      <c r="J507">
        <v>0</v>
      </c>
      <c r="K507">
        <v>70000</v>
      </c>
    </row>
    <row r="508" spans="1:11" x14ac:dyDescent="0.25">
      <c r="A508" t="s">
        <v>206</v>
      </c>
      <c r="B508" t="s">
        <v>207</v>
      </c>
      <c r="C508" t="s">
        <v>631</v>
      </c>
      <c r="D508" t="s">
        <v>668</v>
      </c>
      <c r="E508">
        <v>10708500</v>
      </c>
      <c r="F508" t="s">
        <v>669</v>
      </c>
      <c r="G508">
        <v>0</v>
      </c>
      <c r="H508">
        <v>0</v>
      </c>
      <c r="I508">
        <v>0</v>
      </c>
      <c r="J508">
        <v>4477000</v>
      </c>
      <c r="K508">
        <v>15185500</v>
      </c>
    </row>
    <row r="509" spans="1:11" x14ac:dyDescent="0.25">
      <c r="A509" t="s">
        <v>680</v>
      </c>
      <c r="B509" t="s">
        <v>681</v>
      </c>
      <c r="C509" t="s">
        <v>631</v>
      </c>
      <c r="D509" t="s">
        <v>668</v>
      </c>
      <c r="E509">
        <v>0</v>
      </c>
      <c r="F509" t="s">
        <v>669</v>
      </c>
      <c r="G509">
        <v>349929</v>
      </c>
      <c r="H509">
        <v>0</v>
      </c>
      <c r="I509">
        <v>0</v>
      </c>
      <c r="J509">
        <v>0</v>
      </c>
      <c r="K509">
        <v>349929</v>
      </c>
    </row>
    <row r="510" spans="1:11" x14ac:dyDescent="0.25">
      <c r="A510" t="s">
        <v>553</v>
      </c>
      <c r="B510" t="s">
        <v>554</v>
      </c>
      <c r="C510" t="s">
        <v>631</v>
      </c>
      <c r="D510" t="s">
        <v>682</v>
      </c>
      <c r="E510">
        <v>0</v>
      </c>
      <c r="F510" t="s">
        <v>683</v>
      </c>
      <c r="G510">
        <v>5397392.4000000004</v>
      </c>
      <c r="H510">
        <v>0</v>
      </c>
      <c r="I510">
        <v>0</v>
      </c>
      <c r="J510">
        <v>0</v>
      </c>
      <c r="K510">
        <v>5397392.4000000004</v>
      </c>
    </row>
    <row r="511" spans="1:11" x14ac:dyDescent="0.25">
      <c r="A511" t="s">
        <v>684</v>
      </c>
      <c r="B511" t="s">
        <v>685</v>
      </c>
      <c r="C511" t="s">
        <v>631</v>
      </c>
      <c r="D511" t="s">
        <v>686</v>
      </c>
      <c r="E511">
        <v>0</v>
      </c>
      <c r="F511" t="s">
        <v>687</v>
      </c>
      <c r="G511">
        <v>1827342</v>
      </c>
      <c r="H511">
        <v>0</v>
      </c>
      <c r="I511">
        <v>0</v>
      </c>
      <c r="J511">
        <v>0</v>
      </c>
      <c r="K511">
        <v>1827342</v>
      </c>
    </row>
    <row r="512" spans="1:11" x14ac:dyDescent="0.25">
      <c r="A512" t="s">
        <v>688</v>
      </c>
      <c r="B512" t="s">
        <v>689</v>
      </c>
      <c r="C512" t="s">
        <v>631</v>
      </c>
      <c r="D512" t="s">
        <v>690</v>
      </c>
      <c r="E512">
        <v>0</v>
      </c>
      <c r="F512" t="s">
        <v>691</v>
      </c>
      <c r="G512">
        <v>245000</v>
      </c>
      <c r="H512">
        <v>0</v>
      </c>
      <c r="I512">
        <v>0</v>
      </c>
      <c r="J512">
        <v>0</v>
      </c>
      <c r="K512">
        <v>245000</v>
      </c>
    </row>
    <row r="513" spans="1:11" x14ac:dyDescent="0.25">
      <c r="A513" t="s">
        <v>208</v>
      </c>
      <c r="B513" t="s">
        <v>209</v>
      </c>
      <c r="C513" t="s">
        <v>631</v>
      </c>
      <c r="D513" t="s">
        <v>692</v>
      </c>
      <c r="E513">
        <v>0</v>
      </c>
      <c r="F513" t="s">
        <v>693</v>
      </c>
      <c r="G513">
        <v>2790260</v>
      </c>
      <c r="H513">
        <v>0</v>
      </c>
      <c r="I513">
        <v>0</v>
      </c>
      <c r="J513">
        <v>0</v>
      </c>
      <c r="K513">
        <v>2790260</v>
      </c>
    </row>
    <row r="514" spans="1:11" x14ac:dyDescent="0.25">
      <c r="A514" t="s">
        <v>210</v>
      </c>
      <c r="B514" t="s">
        <v>211</v>
      </c>
      <c r="C514" t="s">
        <v>631</v>
      </c>
      <c r="D514" t="s">
        <v>694</v>
      </c>
      <c r="E514">
        <v>0</v>
      </c>
      <c r="F514" t="s">
        <v>695</v>
      </c>
      <c r="G514">
        <v>629999.93000000005</v>
      </c>
      <c r="H514">
        <v>629999.93000000005</v>
      </c>
      <c r="I514">
        <v>0</v>
      </c>
      <c r="J514">
        <v>0</v>
      </c>
      <c r="K514">
        <v>1259999.8600000001</v>
      </c>
    </row>
    <row r="515" spans="1:11" x14ac:dyDescent="0.25">
      <c r="A515" t="s">
        <v>696</v>
      </c>
      <c r="B515" t="s">
        <v>697</v>
      </c>
      <c r="C515" t="s">
        <v>631</v>
      </c>
      <c r="D515" t="s">
        <v>698</v>
      </c>
      <c r="E515">
        <v>500000</v>
      </c>
      <c r="F515" t="s">
        <v>699</v>
      </c>
      <c r="G515">
        <v>0</v>
      </c>
      <c r="H515">
        <v>0</v>
      </c>
      <c r="I515">
        <v>0</v>
      </c>
      <c r="J515">
        <v>0</v>
      </c>
      <c r="K515">
        <v>500000</v>
      </c>
    </row>
    <row r="516" spans="1:11" x14ac:dyDescent="0.25">
      <c r="A516" t="s">
        <v>212</v>
      </c>
      <c r="B516" t="s">
        <v>213</v>
      </c>
      <c r="C516" t="s">
        <v>631</v>
      </c>
      <c r="D516" t="s">
        <v>700</v>
      </c>
      <c r="E516">
        <v>0</v>
      </c>
      <c r="F516" t="s">
        <v>701</v>
      </c>
      <c r="G516">
        <v>0</v>
      </c>
      <c r="H516">
        <v>3000000</v>
      </c>
      <c r="I516">
        <v>0</v>
      </c>
      <c r="J516">
        <v>0</v>
      </c>
      <c r="K516">
        <v>3000000</v>
      </c>
    </row>
    <row r="517" spans="1:11" x14ac:dyDescent="0.25">
      <c r="A517" t="s">
        <v>555</v>
      </c>
      <c r="B517" t="s">
        <v>556</v>
      </c>
      <c r="C517" t="s">
        <v>631</v>
      </c>
      <c r="D517" t="s">
        <v>676</v>
      </c>
      <c r="E517">
        <v>0</v>
      </c>
      <c r="F517" t="s">
        <v>677</v>
      </c>
      <c r="G517">
        <v>118465.57</v>
      </c>
      <c r="H517">
        <v>0</v>
      </c>
      <c r="I517">
        <v>0</v>
      </c>
      <c r="J517">
        <v>0</v>
      </c>
      <c r="K517">
        <v>118465.57</v>
      </c>
    </row>
    <row r="518" spans="1:11" x14ac:dyDescent="0.25">
      <c r="A518" t="s">
        <v>214</v>
      </c>
      <c r="B518" t="s">
        <v>215</v>
      </c>
      <c r="C518" t="s">
        <v>631</v>
      </c>
      <c r="D518" t="s">
        <v>702</v>
      </c>
      <c r="E518">
        <v>0</v>
      </c>
      <c r="F518" t="s">
        <v>703</v>
      </c>
      <c r="G518">
        <v>13716989.08</v>
      </c>
      <c r="H518">
        <v>3569288.98</v>
      </c>
      <c r="I518">
        <v>0</v>
      </c>
      <c r="J518">
        <v>0</v>
      </c>
      <c r="K518">
        <v>17286278.059999999</v>
      </c>
    </row>
    <row r="519" spans="1:11" x14ac:dyDescent="0.25">
      <c r="A519" t="s">
        <v>216</v>
      </c>
      <c r="B519" t="s">
        <v>217</v>
      </c>
      <c r="C519" t="s">
        <v>631</v>
      </c>
      <c r="D519" t="s">
        <v>704</v>
      </c>
      <c r="E519">
        <v>0</v>
      </c>
      <c r="F519" t="s">
        <v>705</v>
      </c>
      <c r="G519">
        <v>1038252.6</v>
      </c>
      <c r="H519">
        <v>0</v>
      </c>
      <c r="I519">
        <v>0</v>
      </c>
      <c r="J519">
        <v>0</v>
      </c>
      <c r="K519">
        <v>1038252.6</v>
      </c>
    </row>
    <row r="520" spans="1:11" x14ac:dyDescent="0.25">
      <c r="A520" t="s">
        <v>218</v>
      </c>
      <c r="B520" t="s">
        <v>219</v>
      </c>
      <c r="C520" t="s">
        <v>631</v>
      </c>
      <c r="D520" t="s">
        <v>638</v>
      </c>
      <c r="E520">
        <v>99816.71</v>
      </c>
      <c r="F520" t="s">
        <v>639</v>
      </c>
      <c r="G520">
        <v>3540472.32</v>
      </c>
      <c r="H520">
        <v>0</v>
      </c>
      <c r="I520">
        <v>0</v>
      </c>
      <c r="J520">
        <v>0</v>
      </c>
      <c r="K520">
        <v>3640289.03</v>
      </c>
    </row>
    <row r="521" spans="1:11" x14ac:dyDescent="0.25">
      <c r="A521" t="s">
        <v>706</v>
      </c>
      <c r="B521" t="s">
        <v>707</v>
      </c>
      <c r="C521" t="s">
        <v>631</v>
      </c>
      <c r="D521" t="s">
        <v>704</v>
      </c>
      <c r="E521">
        <v>0</v>
      </c>
      <c r="F521" t="s">
        <v>705</v>
      </c>
      <c r="G521">
        <v>360000</v>
      </c>
      <c r="H521">
        <v>0</v>
      </c>
      <c r="I521">
        <v>0</v>
      </c>
      <c r="J521">
        <v>0</v>
      </c>
      <c r="K521">
        <v>360000</v>
      </c>
    </row>
    <row r="522" spans="1:11" x14ac:dyDescent="0.25">
      <c r="A522" t="s">
        <v>220</v>
      </c>
      <c r="B522" t="s">
        <v>221</v>
      </c>
      <c r="C522" t="s">
        <v>631</v>
      </c>
      <c r="D522" t="s">
        <v>676</v>
      </c>
      <c r="E522">
        <v>0</v>
      </c>
      <c r="F522" t="s">
        <v>677</v>
      </c>
      <c r="G522">
        <v>0</v>
      </c>
      <c r="H522">
        <v>0</v>
      </c>
      <c r="I522">
        <v>0</v>
      </c>
      <c r="J522">
        <v>-0.01</v>
      </c>
      <c r="K522">
        <v>-0.01</v>
      </c>
    </row>
    <row r="523" spans="1:11" x14ac:dyDescent="0.25">
      <c r="A523" t="s">
        <v>708</v>
      </c>
      <c r="B523" t="s">
        <v>709</v>
      </c>
      <c r="C523" t="s">
        <v>631</v>
      </c>
      <c r="D523" t="s">
        <v>676</v>
      </c>
      <c r="E523">
        <v>0</v>
      </c>
      <c r="F523" t="s">
        <v>677</v>
      </c>
      <c r="G523">
        <v>955400</v>
      </c>
      <c r="H523">
        <v>0</v>
      </c>
      <c r="I523">
        <v>0</v>
      </c>
      <c r="J523">
        <v>0</v>
      </c>
      <c r="K523">
        <v>955400</v>
      </c>
    </row>
    <row r="524" spans="1:11" x14ac:dyDescent="0.25">
      <c r="A524" t="s">
        <v>710</v>
      </c>
      <c r="B524" t="s">
        <v>711</v>
      </c>
      <c r="C524" t="s">
        <v>631</v>
      </c>
      <c r="D524" t="s">
        <v>712</v>
      </c>
      <c r="E524">
        <v>0</v>
      </c>
      <c r="F524" t="s">
        <v>713</v>
      </c>
      <c r="G524">
        <v>532400</v>
      </c>
      <c r="H524">
        <v>0</v>
      </c>
      <c r="I524">
        <v>0</v>
      </c>
      <c r="J524">
        <v>0</v>
      </c>
      <c r="K524">
        <v>532400</v>
      </c>
    </row>
    <row r="525" spans="1:11" x14ac:dyDescent="0.25">
      <c r="A525" t="s">
        <v>222</v>
      </c>
      <c r="B525" t="s">
        <v>223</v>
      </c>
      <c r="C525" t="s">
        <v>631</v>
      </c>
      <c r="D525" t="s">
        <v>714</v>
      </c>
      <c r="E525">
        <v>48549.43</v>
      </c>
      <c r="F525" t="s">
        <v>715</v>
      </c>
      <c r="G525">
        <v>7240552.2599999998</v>
      </c>
      <c r="H525">
        <v>0</v>
      </c>
      <c r="I525">
        <v>0</v>
      </c>
      <c r="J525">
        <v>0</v>
      </c>
      <c r="K525">
        <v>7289101.6900000004</v>
      </c>
    </row>
    <row r="526" spans="1:11" x14ac:dyDescent="0.25">
      <c r="A526" t="s">
        <v>716</v>
      </c>
      <c r="B526" t="s">
        <v>717</v>
      </c>
      <c r="C526" t="s">
        <v>631</v>
      </c>
      <c r="D526" t="s">
        <v>718</v>
      </c>
      <c r="E526">
        <v>0</v>
      </c>
      <c r="F526" t="s">
        <v>719</v>
      </c>
      <c r="G526">
        <v>154726.57</v>
      </c>
      <c r="H526">
        <v>0</v>
      </c>
      <c r="I526">
        <v>0</v>
      </c>
      <c r="J526">
        <v>0</v>
      </c>
      <c r="K526">
        <v>154726.57</v>
      </c>
    </row>
    <row r="527" spans="1:11" x14ac:dyDescent="0.25">
      <c r="A527" t="s">
        <v>720</v>
      </c>
      <c r="B527" t="s">
        <v>721</v>
      </c>
      <c r="C527" t="s">
        <v>631</v>
      </c>
      <c r="D527" t="s">
        <v>658</v>
      </c>
      <c r="E527">
        <v>0</v>
      </c>
      <c r="F527" t="s">
        <v>659</v>
      </c>
      <c r="G527">
        <v>899999</v>
      </c>
      <c r="H527">
        <v>0</v>
      </c>
      <c r="I527">
        <v>0</v>
      </c>
      <c r="J527">
        <v>0</v>
      </c>
      <c r="K527">
        <v>899999</v>
      </c>
    </row>
    <row r="528" spans="1:11" x14ac:dyDescent="0.25">
      <c r="A528" t="s">
        <v>224</v>
      </c>
      <c r="B528" t="s">
        <v>225</v>
      </c>
      <c r="C528" t="s">
        <v>631</v>
      </c>
      <c r="D528" t="s">
        <v>676</v>
      </c>
      <c r="E528">
        <v>0</v>
      </c>
      <c r="F528" t="s">
        <v>677</v>
      </c>
      <c r="G528">
        <v>0</v>
      </c>
      <c r="H528">
        <v>0</v>
      </c>
      <c r="I528">
        <v>0</v>
      </c>
      <c r="J528">
        <v>217</v>
      </c>
      <c r="K528">
        <v>217</v>
      </c>
    </row>
    <row r="529" spans="1:11" x14ac:dyDescent="0.25">
      <c r="A529" t="s">
        <v>557</v>
      </c>
      <c r="B529" t="s">
        <v>558</v>
      </c>
      <c r="C529" t="s">
        <v>631</v>
      </c>
      <c r="D529" t="s">
        <v>722</v>
      </c>
      <c r="E529">
        <v>0</v>
      </c>
      <c r="F529" t="s">
        <v>723</v>
      </c>
      <c r="G529">
        <v>268800</v>
      </c>
      <c r="H529">
        <v>0</v>
      </c>
      <c r="I529">
        <v>0</v>
      </c>
      <c r="J529">
        <v>0</v>
      </c>
      <c r="K529">
        <v>268800</v>
      </c>
    </row>
    <row r="530" spans="1:11" x14ac:dyDescent="0.25">
      <c r="A530" t="s">
        <v>226</v>
      </c>
      <c r="B530" t="s">
        <v>227</v>
      </c>
      <c r="C530" t="s">
        <v>631</v>
      </c>
      <c r="D530" t="s">
        <v>724</v>
      </c>
      <c r="E530">
        <v>0</v>
      </c>
      <c r="F530" t="s">
        <v>725</v>
      </c>
      <c r="G530">
        <v>347086.08000000002</v>
      </c>
      <c r="H530">
        <v>0</v>
      </c>
      <c r="I530">
        <v>0</v>
      </c>
      <c r="J530">
        <v>0</v>
      </c>
      <c r="K530">
        <v>347086.08000000002</v>
      </c>
    </row>
    <row r="531" spans="1:11" x14ac:dyDescent="0.25">
      <c r="A531" t="s">
        <v>228</v>
      </c>
      <c r="B531" t="s">
        <v>229</v>
      </c>
      <c r="C531" t="s">
        <v>631</v>
      </c>
      <c r="D531" t="s">
        <v>726</v>
      </c>
      <c r="E531">
        <v>0</v>
      </c>
      <c r="F531" t="s">
        <v>727</v>
      </c>
      <c r="G531">
        <v>37161117.090000004</v>
      </c>
      <c r="H531">
        <v>0</v>
      </c>
      <c r="I531">
        <v>0</v>
      </c>
      <c r="J531">
        <v>0</v>
      </c>
      <c r="K531">
        <v>37161117.090000004</v>
      </c>
    </row>
    <row r="532" spans="1:11" x14ac:dyDescent="0.25">
      <c r="A532" t="s">
        <v>728</v>
      </c>
      <c r="B532" t="s">
        <v>729</v>
      </c>
      <c r="C532" t="s">
        <v>631</v>
      </c>
      <c r="D532" t="s">
        <v>730</v>
      </c>
      <c r="E532">
        <v>0</v>
      </c>
      <c r="F532" t="s">
        <v>731</v>
      </c>
      <c r="G532">
        <v>278300</v>
      </c>
      <c r="H532">
        <v>0</v>
      </c>
      <c r="I532">
        <v>0</v>
      </c>
      <c r="J532">
        <v>0</v>
      </c>
      <c r="K532">
        <v>278300</v>
      </c>
    </row>
    <row r="533" spans="1:11" x14ac:dyDescent="0.25">
      <c r="A533" t="s">
        <v>230</v>
      </c>
      <c r="B533" t="s">
        <v>231</v>
      </c>
      <c r="C533" t="s">
        <v>631</v>
      </c>
      <c r="D533" t="s">
        <v>732</v>
      </c>
      <c r="E533">
        <v>0</v>
      </c>
      <c r="F533" t="s">
        <v>733</v>
      </c>
      <c r="G533">
        <v>50140000</v>
      </c>
      <c r="H533">
        <v>51094750</v>
      </c>
      <c r="I533">
        <v>100000000</v>
      </c>
      <c r="J533">
        <v>0</v>
      </c>
      <c r="K533">
        <v>201234750</v>
      </c>
    </row>
    <row r="534" spans="1:11" x14ac:dyDescent="0.25">
      <c r="A534" t="s">
        <v>232</v>
      </c>
      <c r="B534" t="s">
        <v>233</v>
      </c>
      <c r="C534" t="s">
        <v>631</v>
      </c>
      <c r="D534" t="s">
        <v>734</v>
      </c>
      <c r="E534">
        <v>0</v>
      </c>
      <c r="F534" t="s">
        <v>735</v>
      </c>
      <c r="G534">
        <v>173328118.06999999</v>
      </c>
      <c r="H534">
        <v>404951737.51999998</v>
      </c>
      <c r="I534">
        <v>0</v>
      </c>
      <c r="J534">
        <v>0</v>
      </c>
      <c r="K534">
        <v>578279855.59000003</v>
      </c>
    </row>
    <row r="535" spans="1:11" x14ac:dyDescent="0.25">
      <c r="A535" t="s">
        <v>234</v>
      </c>
      <c r="B535" t="s">
        <v>233</v>
      </c>
      <c r="C535" t="s">
        <v>631</v>
      </c>
      <c r="D535" t="s">
        <v>734</v>
      </c>
      <c r="E535">
        <v>0</v>
      </c>
      <c r="F535" t="s">
        <v>735</v>
      </c>
      <c r="G535">
        <v>62399883.490000002</v>
      </c>
      <c r="H535">
        <v>0</v>
      </c>
      <c r="I535">
        <v>0</v>
      </c>
      <c r="J535">
        <v>0</v>
      </c>
      <c r="K535">
        <v>62399883.490000002</v>
      </c>
    </row>
    <row r="536" spans="1:11" x14ac:dyDescent="0.25">
      <c r="A536" t="s">
        <v>235</v>
      </c>
      <c r="B536" t="s">
        <v>233</v>
      </c>
      <c r="C536" t="s">
        <v>631</v>
      </c>
      <c r="D536" t="s">
        <v>734</v>
      </c>
      <c r="E536">
        <v>0</v>
      </c>
      <c r="F536" t="s">
        <v>735</v>
      </c>
      <c r="G536">
        <v>66715242.869999997</v>
      </c>
      <c r="H536">
        <v>207442045.97</v>
      </c>
      <c r="I536">
        <v>0</v>
      </c>
      <c r="J536">
        <v>0</v>
      </c>
      <c r="K536">
        <v>274157288.83999997</v>
      </c>
    </row>
    <row r="537" spans="1:11" x14ac:dyDescent="0.25">
      <c r="A537" t="s">
        <v>236</v>
      </c>
      <c r="B537" t="s">
        <v>237</v>
      </c>
      <c r="C537" t="s">
        <v>631</v>
      </c>
      <c r="D537" t="s">
        <v>736</v>
      </c>
      <c r="E537">
        <v>0</v>
      </c>
      <c r="F537" t="s">
        <v>737</v>
      </c>
      <c r="G537">
        <v>0</v>
      </c>
      <c r="H537">
        <v>0</v>
      </c>
      <c r="I537">
        <v>0</v>
      </c>
      <c r="J537">
        <v>4157535.95</v>
      </c>
      <c r="K537">
        <v>4157535.95</v>
      </c>
    </row>
    <row r="538" spans="1:11" x14ac:dyDescent="0.25">
      <c r="A538" t="s">
        <v>238</v>
      </c>
      <c r="B538" t="s">
        <v>239</v>
      </c>
      <c r="C538" t="s">
        <v>631</v>
      </c>
      <c r="D538" t="s">
        <v>668</v>
      </c>
      <c r="E538">
        <v>0</v>
      </c>
      <c r="F538" t="s">
        <v>669</v>
      </c>
      <c r="G538">
        <v>508200</v>
      </c>
      <c r="H538">
        <v>4971931.2</v>
      </c>
      <c r="I538">
        <v>0</v>
      </c>
      <c r="J538">
        <v>0</v>
      </c>
      <c r="K538">
        <v>5480131.2000000002</v>
      </c>
    </row>
    <row r="539" spans="1:11" x14ac:dyDescent="0.25">
      <c r="A539" t="s">
        <v>240</v>
      </c>
      <c r="B539" t="s">
        <v>241</v>
      </c>
      <c r="C539" t="s">
        <v>631</v>
      </c>
      <c r="D539" t="s">
        <v>738</v>
      </c>
      <c r="E539">
        <v>0</v>
      </c>
      <c r="F539" t="s">
        <v>739</v>
      </c>
      <c r="G539">
        <v>1757684.48</v>
      </c>
      <c r="H539">
        <v>673400</v>
      </c>
      <c r="I539">
        <v>0</v>
      </c>
      <c r="J539">
        <v>0</v>
      </c>
      <c r="K539">
        <v>2431084.48</v>
      </c>
    </row>
    <row r="540" spans="1:11" x14ac:dyDescent="0.25">
      <c r="A540" t="s">
        <v>242</v>
      </c>
      <c r="B540" t="s">
        <v>243</v>
      </c>
      <c r="C540" t="s">
        <v>631</v>
      </c>
      <c r="D540" t="s">
        <v>740</v>
      </c>
      <c r="E540">
        <v>0</v>
      </c>
      <c r="F540" t="s">
        <v>741</v>
      </c>
      <c r="G540">
        <v>0</v>
      </c>
      <c r="H540">
        <v>0</v>
      </c>
      <c r="I540">
        <v>0</v>
      </c>
      <c r="J540">
        <v>-204.43</v>
      </c>
      <c r="K540">
        <v>-204.43</v>
      </c>
    </row>
    <row r="541" spans="1:11" x14ac:dyDescent="0.25">
      <c r="A541" t="s">
        <v>244</v>
      </c>
      <c r="B541" t="s">
        <v>245</v>
      </c>
      <c r="C541" t="s">
        <v>631</v>
      </c>
      <c r="D541" t="s">
        <v>658</v>
      </c>
      <c r="E541">
        <v>0</v>
      </c>
      <c r="F541" t="s">
        <v>659</v>
      </c>
      <c r="G541">
        <v>-99244.2</v>
      </c>
      <c r="H541">
        <v>4766649.8</v>
      </c>
      <c r="I541">
        <v>0</v>
      </c>
      <c r="J541">
        <v>0</v>
      </c>
      <c r="K541">
        <v>4667405.5999999996</v>
      </c>
    </row>
    <row r="542" spans="1:11" x14ac:dyDescent="0.25">
      <c r="A542" t="s">
        <v>246</v>
      </c>
      <c r="B542" t="s">
        <v>247</v>
      </c>
      <c r="C542" t="s">
        <v>631</v>
      </c>
      <c r="D542" t="s">
        <v>658</v>
      </c>
      <c r="E542">
        <v>0</v>
      </c>
      <c r="F542" t="s">
        <v>659</v>
      </c>
      <c r="G542">
        <v>18715356.550000001</v>
      </c>
      <c r="H542">
        <v>0</v>
      </c>
      <c r="I542">
        <v>0</v>
      </c>
      <c r="J542">
        <v>0</v>
      </c>
      <c r="K542">
        <v>18715356.550000001</v>
      </c>
    </row>
    <row r="543" spans="1:11" x14ac:dyDescent="0.25">
      <c r="A543" t="s">
        <v>248</v>
      </c>
      <c r="B543" t="s">
        <v>249</v>
      </c>
      <c r="C543" t="s">
        <v>631</v>
      </c>
      <c r="D543" t="s">
        <v>640</v>
      </c>
      <c r="E543">
        <v>0</v>
      </c>
      <c r="F543" t="s">
        <v>641</v>
      </c>
      <c r="G543">
        <v>3870971.5</v>
      </c>
      <c r="H543">
        <v>561739.11</v>
      </c>
      <c r="I543">
        <v>-8090168.9000000004</v>
      </c>
      <c r="J543">
        <v>3551350</v>
      </c>
      <c r="K543">
        <v>-106108.29</v>
      </c>
    </row>
    <row r="544" spans="1:11" x14ac:dyDescent="0.25">
      <c r="A544" t="s">
        <v>250</v>
      </c>
      <c r="B544" t="s">
        <v>251</v>
      </c>
      <c r="C544" t="s">
        <v>631</v>
      </c>
      <c r="D544" t="s">
        <v>742</v>
      </c>
      <c r="E544">
        <v>1857725.12</v>
      </c>
      <c r="F544" t="s">
        <v>743</v>
      </c>
      <c r="G544">
        <v>0</v>
      </c>
      <c r="H544">
        <v>478343.25</v>
      </c>
      <c r="I544">
        <v>0</v>
      </c>
      <c r="J544">
        <v>0</v>
      </c>
      <c r="K544">
        <v>2336068.37</v>
      </c>
    </row>
    <row r="545" spans="1:11" x14ac:dyDescent="0.25">
      <c r="A545" t="s">
        <v>744</v>
      </c>
      <c r="B545" t="s">
        <v>745</v>
      </c>
      <c r="C545" t="s">
        <v>631</v>
      </c>
      <c r="D545" t="s">
        <v>746</v>
      </c>
      <c r="E545">
        <v>3900000</v>
      </c>
      <c r="F545" t="s">
        <v>747</v>
      </c>
      <c r="G545">
        <v>1380000</v>
      </c>
      <c r="H545">
        <v>0</v>
      </c>
      <c r="I545">
        <v>0</v>
      </c>
      <c r="J545">
        <v>0</v>
      </c>
      <c r="K545">
        <v>5280000</v>
      </c>
    </row>
    <row r="546" spans="1:11" x14ac:dyDescent="0.25">
      <c r="A546" t="s">
        <v>252</v>
      </c>
      <c r="B546" t="s">
        <v>253</v>
      </c>
      <c r="C546" t="s">
        <v>631</v>
      </c>
      <c r="D546" t="s">
        <v>748</v>
      </c>
      <c r="E546">
        <v>0</v>
      </c>
      <c r="F546" t="s">
        <v>749</v>
      </c>
      <c r="G546">
        <v>9962346.4399999995</v>
      </c>
      <c r="H546">
        <v>0</v>
      </c>
      <c r="I546">
        <v>0</v>
      </c>
      <c r="J546">
        <v>0</v>
      </c>
      <c r="K546">
        <v>9962346.4399999995</v>
      </c>
    </row>
    <row r="547" spans="1:11" x14ac:dyDescent="0.25">
      <c r="A547" t="s">
        <v>254</v>
      </c>
      <c r="B547" t="s">
        <v>255</v>
      </c>
      <c r="C547" t="s">
        <v>631</v>
      </c>
      <c r="D547" t="s">
        <v>750</v>
      </c>
      <c r="E547">
        <v>0</v>
      </c>
      <c r="F547" t="s">
        <v>751</v>
      </c>
      <c r="G547">
        <v>2306958.25</v>
      </c>
      <c r="H547">
        <v>0</v>
      </c>
      <c r="I547">
        <v>0</v>
      </c>
      <c r="J547">
        <v>0</v>
      </c>
      <c r="K547">
        <v>2306958.25</v>
      </c>
    </row>
    <row r="548" spans="1:11" x14ac:dyDescent="0.25">
      <c r="A548" t="s">
        <v>256</v>
      </c>
      <c r="B548" t="s">
        <v>257</v>
      </c>
      <c r="C548" t="s">
        <v>631</v>
      </c>
      <c r="D548" t="s">
        <v>694</v>
      </c>
      <c r="E548">
        <v>0</v>
      </c>
      <c r="F548" t="s">
        <v>695</v>
      </c>
      <c r="G548">
        <v>1246324.94</v>
      </c>
      <c r="H548">
        <v>1493843.2</v>
      </c>
      <c r="I548">
        <v>0</v>
      </c>
      <c r="J548">
        <v>0</v>
      </c>
      <c r="K548">
        <v>2740168.14</v>
      </c>
    </row>
    <row r="549" spans="1:11" x14ac:dyDescent="0.25">
      <c r="A549" t="s">
        <v>559</v>
      </c>
      <c r="B549" t="s">
        <v>560</v>
      </c>
      <c r="C549" t="s">
        <v>631</v>
      </c>
      <c r="D549" t="s">
        <v>752</v>
      </c>
      <c r="E549">
        <v>0</v>
      </c>
      <c r="F549" t="s">
        <v>753</v>
      </c>
      <c r="G549">
        <v>433107.4</v>
      </c>
      <c r="H549">
        <v>0</v>
      </c>
      <c r="I549">
        <v>0</v>
      </c>
      <c r="J549">
        <v>0</v>
      </c>
      <c r="K549">
        <v>433107.4</v>
      </c>
    </row>
    <row r="550" spans="1:11" x14ac:dyDescent="0.25">
      <c r="A550" t="s">
        <v>258</v>
      </c>
      <c r="B550" t="s">
        <v>259</v>
      </c>
      <c r="C550" t="s">
        <v>631</v>
      </c>
      <c r="D550" t="s">
        <v>658</v>
      </c>
      <c r="E550">
        <v>0</v>
      </c>
      <c r="F550" t="s">
        <v>659</v>
      </c>
      <c r="G550">
        <v>1308456.1100000001</v>
      </c>
      <c r="H550">
        <v>0</v>
      </c>
      <c r="I550">
        <v>0</v>
      </c>
      <c r="J550">
        <v>0</v>
      </c>
      <c r="K550">
        <v>1308456.1100000001</v>
      </c>
    </row>
    <row r="551" spans="1:11" x14ac:dyDescent="0.25">
      <c r="A551" t="s">
        <v>260</v>
      </c>
      <c r="B551" t="s">
        <v>261</v>
      </c>
      <c r="C551" t="s">
        <v>631</v>
      </c>
      <c r="D551" t="s">
        <v>658</v>
      </c>
      <c r="E551">
        <v>0</v>
      </c>
      <c r="F551" t="s">
        <v>659</v>
      </c>
      <c r="G551">
        <v>5189513.66</v>
      </c>
      <c r="H551">
        <v>0</v>
      </c>
      <c r="I551">
        <v>0</v>
      </c>
      <c r="J551">
        <v>0</v>
      </c>
      <c r="K551">
        <v>5189513.66</v>
      </c>
    </row>
    <row r="552" spans="1:11" x14ac:dyDescent="0.25">
      <c r="A552" t="s">
        <v>754</v>
      </c>
      <c r="B552" t="s">
        <v>755</v>
      </c>
      <c r="C552" t="s">
        <v>631</v>
      </c>
      <c r="D552" t="s">
        <v>756</v>
      </c>
      <c r="E552">
        <v>0</v>
      </c>
      <c r="F552" t="s">
        <v>757</v>
      </c>
      <c r="G552">
        <v>0</v>
      </c>
      <c r="H552">
        <v>6174880</v>
      </c>
      <c r="I552">
        <v>0</v>
      </c>
      <c r="J552">
        <v>0</v>
      </c>
      <c r="K552">
        <v>6174880</v>
      </c>
    </row>
    <row r="553" spans="1:11" x14ac:dyDescent="0.25">
      <c r="A553" t="s">
        <v>262</v>
      </c>
      <c r="B553" t="s">
        <v>263</v>
      </c>
      <c r="C553" t="s">
        <v>631</v>
      </c>
      <c r="D553" t="s">
        <v>758</v>
      </c>
      <c r="E553">
        <v>22990</v>
      </c>
      <c r="F553" t="s">
        <v>759</v>
      </c>
      <c r="G553">
        <v>27970384.989999998</v>
      </c>
      <c r="H553">
        <v>30031239.93</v>
      </c>
      <c r="I553">
        <v>0</v>
      </c>
      <c r="J553">
        <v>0</v>
      </c>
      <c r="K553">
        <v>58024614.920000002</v>
      </c>
    </row>
    <row r="554" spans="1:11" x14ac:dyDescent="0.25">
      <c r="A554" t="s">
        <v>264</v>
      </c>
      <c r="B554" t="s">
        <v>265</v>
      </c>
      <c r="C554" t="s">
        <v>631</v>
      </c>
      <c r="D554" t="s">
        <v>760</v>
      </c>
      <c r="E554">
        <v>0</v>
      </c>
      <c r="F554" t="s">
        <v>761</v>
      </c>
      <c r="G554">
        <v>60000</v>
      </c>
      <c r="H554">
        <v>0</v>
      </c>
      <c r="I554">
        <v>0</v>
      </c>
      <c r="J554">
        <v>0</v>
      </c>
      <c r="K554">
        <v>60000</v>
      </c>
    </row>
    <row r="555" spans="1:11" x14ac:dyDescent="0.25">
      <c r="A555" t="s">
        <v>266</v>
      </c>
      <c r="B555" t="s">
        <v>267</v>
      </c>
      <c r="C555" t="s">
        <v>631</v>
      </c>
      <c r="D555" t="s">
        <v>742</v>
      </c>
      <c r="E555">
        <v>481096</v>
      </c>
      <c r="F555" t="s">
        <v>743</v>
      </c>
      <c r="G555">
        <v>3756645.86</v>
      </c>
      <c r="H555">
        <v>0</v>
      </c>
      <c r="I555">
        <v>0</v>
      </c>
      <c r="J555">
        <v>0</v>
      </c>
      <c r="K555">
        <v>4237741.8600000003</v>
      </c>
    </row>
    <row r="556" spans="1:11" x14ac:dyDescent="0.25">
      <c r="A556" t="s">
        <v>268</v>
      </c>
      <c r="B556" t="s">
        <v>269</v>
      </c>
      <c r="C556" t="s">
        <v>631</v>
      </c>
      <c r="D556" t="s">
        <v>718</v>
      </c>
      <c r="E556">
        <v>0</v>
      </c>
      <c r="F556" t="s">
        <v>719</v>
      </c>
      <c r="G556">
        <v>0</v>
      </c>
      <c r="H556">
        <v>11499840</v>
      </c>
      <c r="I556">
        <v>0</v>
      </c>
      <c r="J556">
        <v>0</v>
      </c>
      <c r="K556">
        <v>11499840</v>
      </c>
    </row>
    <row r="557" spans="1:11" x14ac:dyDescent="0.25">
      <c r="A557" t="s">
        <v>270</v>
      </c>
      <c r="B557" t="s">
        <v>271</v>
      </c>
      <c r="C557" t="s">
        <v>631</v>
      </c>
      <c r="D557" t="s">
        <v>676</v>
      </c>
      <c r="E557">
        <v>0</v>
      </c>
      <c r="F557" t="s">
        <v>677</v>
      </c>
      <c r="G557">
        <v>2090000</v>
      </c>
      <c r="H557">
        <v>3080000</v>
      </c>
      <c r="I557">
        <v>0</v>
      </c>
      <c r="J557">
        <v>0</v>
      </c>
      <c r="K557">
        <v>5170000</v>
      </c>
    </row>
    <row r="558" spans="1:11" x14ac:dyDescent="0.25">
      <c r="A558" t="s">
        <v>272</v>
      </c>
      <c r="B558" t="s">
        <v>273</v>
      </c>
      <c r="C558" t="s">
        <v>631</v>
      </c>
      <c r="D558" t="s">
        <v>756</v>
      </c>
      <c r="E558">
        <v>0</v>
      </c>
      <c r="F558" t="s">
        <v>757</v>
      </c>
      <c r="G558">
        <v>19514203.609999999</v>
      </c>
      <c r="H558">
        <v>4908000.79</v>
      </c>
      <c r="I558">
        <v>0</v>
      </c>
      <c r="J558">
        <v>0</v>
      </c>
      <c r="K558">
        <v>24422204.399999999</v>
      </c>
    </row>
    <row r="559" spans="1:11" x14ac:dyDescent="0.25">
      <c r="A559" t="s">
        <v>274</v>
      </c>
      <c r="B559" t="s">
        <v>275</v>
      </c>
      <c r="C559" t="s">
        <v>631</v>
      </c>
      <c r="D559" t="s">
        <v>762</v>
      </c>
      <c r="E559">
        <v>0</v>
      </c>
      <c r="F559" t="s">
        <v>763</v>
      </c>
      <c r="G559">
        <v>10060882.66</v>
      </c>
      <c r="H559">
        <v>0</v>
      </c>
      <c r="I559">
        <v>0</v>
      </c>
      <c r="J559">
        <v>0</v>
      </c>
      <c r="K559">
        <v>10060882.66</v>
      </c>
    </row>
    <row r="560" spans="1:11" x14ac:dyDescent="0.25">
      <c r="A560" t="s">
        <v>276</v>
      </c>
      <c r="B560" t="s">
        <v>277</v>
      </c>
      <c r="C560" t="s">
        <v>631</v>
      </c>
      <c r="D560" t="s">
        <v>764</v>
      </c>
      <c r="E560">
        <v>0</v>
      </c>
      <c r="F560" t="s">
        <v>765</v>
      </c>
      <c r="G560">
        <v>5314099.8</v>
      </c>
      <c r="H560">
        <v>0</v>
      </c>
      <c r="I560">
        <v>0</v>
      </c>
      <c r="J560">
        <v>0</v>
      </c>
      <c r="K560">
        <v>5314099.8</v>
      </c>
    </row>
    <row r="561" spans="1:11" x14ac:dyDescent="0.25">
      <c r="A561" t="s">
        <v>278</v>
      </c>
      <c r="B561" t="s">
        <v>279</v>
      </c>
      <c r="C561" t="s">
        <v>631</v>
      </c>
      <c r="D561" t="s">
        <v>638</v>
      </c>
      <c r="E561">
        <v>0</v>
      </c>
      <c r="F561" t="s">
        <v>639</v>
      </c>
      <c r="G561">
        <v>1615718.04</v>
      </c>
      <c r="H561">
        <v>0</v>
      </c>
      <c r="I561">
        <v>0</v>
      </c>
      <c r="J561">
        <v>0</v>
      </c>
      <c r="K561">
        <v>1615718.04</v>
      </c>
    </row>
    <row r="562" spans="1:11" x14ac:dyDescent="0.25">
      <c r="A562" t="s">
        <v>280</v>
      </c>
      <c r="B562" t="s">
        <v>281</v>
      </c>
      <c r="C562" t="s">
        <v>631</v>
      </c>
      <c r="D562" t="s">
        <v>676</v>
      </c>
      <c r="E562">
        <v>0</v>
      </c>
      <c r="F562" t="s">
        <v>677</v>
      </c>
      <c r="G562">
        <v>0</v>
      </c>
      <c r="H562">
        <v>90750</v>
      </c>
      <c r="I562">
        <v>0</v>
      </c>
      <c r="J562">
        <v>0</v>
      </c>
      <c r="K562">
        <v>90750</v>
      </c>
    </row>
    <row r="563" spans="1:11" x14ac:dyDescent="0.25">
      <c r="A563" t="s">
        <v>561</v>
      </c>
      <c r="B563" t="s">
        <v>562</v>
      </c>
      <c r="C563" t="s">
        <v>631</v>
      </c>
      <c r="D563" t="s">
        <v>766</v>
      </c>
      <c r="E563">
        <v>0</v>
      </c>
      <c r="F563" t="s">
        <v>767</v>
      </c>
      <c r="G563">
        <v>223999.99</v>
      </c>
      <c r="H563">
        <v>0</v>
      </c>
      <c r="I563">
        <v>0</v>
      </c>
      <c r="J563">
        <v>0</v>
      </c>
      <c r="K563">
        <v>223999.99</v>
      </c>
    </row>
    <row r="564" spans="1:11" x14ac:dyDescent="0.25">
      <c r="A564" t="s">
        <v>768</v>
      </c>
      <c r="B564" t="s">
        <v>769</v>
      </c>
      <c r="C564" t="s">
        <v>631</v>
      </c>
      <c r="D564" t="s">
        <v>770</v>
      </c>
      <c r="E564">
        <v>0</v>
      </c>
      <c r="F564" t="s">
        <v>771</v>
      </c>
      <c r="G564">
        <v>477348.15</v>
      </c>
      <c r="H564">
        <v>0</v>
      </c>
      <c r="I564">
        <v>0</v>
      </c>
      <c r="J564">
        <v>0</v>
      </c>
      <c r="K564">
        <v>477348.15</v>
      </c>
    </row>
    <row r="565" spans="1:11" x14ac:dyDescent="0.25">
      <c r="A565" t="s">
        <v>282</v>
      </c>
      <c r="B565" t="s">
        <v>283</v>
      </c>
      <c r="C565" t="s">
        <v>631</v>
      </c>
      <c r="D565" t="s">
        <v>634</v>
      </c>
      <c r="E565">
        <v>0</v>
      </c>
      <c r="F565" t="s">
        <v>635</v>
      </c>
      <c r="G565">
        <v>715981.2</v>
      </c>
      <c r="H565">
        <v>0</v>
      </c>
      <c r="I565">
        <v>0</v>
      </c>
      <c r="J565">
        <v>0</v>
      </c>
      <c r="K565">
        <v>715981.2</v>
      </c>
    </row>
    <row r="566" spans="1:11" x14ac:dyDescent="0.25">
      <c r="A566" t="s">
        <v>284</v>
      </c>
      <c r="B566" t="s">
        <v>285</v>
      </c>
      <c r="C566" t="s">
        <v>631</v>
      </c>
      <c r="D566" t="s">
        <v>738</v>
      </c>
      <c r="E566">
        <v>0</v>
      </c>
      <c r="F566" t="s">
        <v>739</v>
      </c>
      <c r="G566">
        <v>0</v>
      </c>
      <c r="H566">
        <v>0</v>
      </c>
      <c r="I566">
        <v>290181.01</v>
      </c>
      <c r="J566">
        <v>0</v>
      </c>
      <c r="K566">
        <v>290181.01</v>
      </c>
    </row>
    <row r="567" spans="1:11" x14ac:dyDescent="0.25">
      <c r="A567" t="s">
        <v>286</v>
      </c>
      <c r="B567" t="s">
        <v>287</v>
      </c>
      <c r="C567" t="s">
        <v>631</v>
      </c>
      <c r="D567" t="s">
        <v>694</v>
      </c>
      <c r="E567">
        <v>0</v>
      </c>
      <c r="F567" t="s">
        <v>695</v>
      </c>
      <c r="G567">
        <v>6409121.7400000002</v>
      </c>
      <c r="H567">
        <v>0</v>
      </c>
      <c r="I567">
        <v>0</v>
      </c>
      <c r="J567">
        <v>0</v>
      </c>
      <c r="K567">
        <v>6409121.7400000002</v>
      </c>
    </row>
    <row r="568" spans="1:11" x14ac:dyDescent="0.25">
      <c r="A568" t="s">
        <v>288</v>
      </c>
      <c r="B568" t="s">
        <v>289</v>
      </c>
      <c r="C568" t="s">
        <v>631</v>
      </c>
      <c r="D568" t="s">
        <v>702</v>
      </c>
      <c r="E568">
        <v>0</v>
      </c>
      <c r="F568" t="s">
        <v>703</v>
      </c>
      <c r="G568">
        <v>1005421.38</v>
      </c>
      <c r="H568">
        <v>0</v>
      </c>
      <c r="I568">
        <v>0</v>
      </c>
      <c r="J568">
        <v>0</v>
      </c>
      <c r="K568">
        <v>1005421.38</v>
      </c>
    </row>
    <row r="569" spans="1:11" x14ac:dyDescent="0.25">
      <c r="A569" t="s">
        <v>290</v>
      </c>
      <c r="B569" t="s">
        <v>291</v>
      </c>
      <c r="C569" t="s">
        <v>631</v>
      </c>
      <c r="D569" t="s">
        <v>772</v>
      </c>
      <c r="E569">
        <v>0</v>
      </c>
      <c r="F569" t="s">
        <v>773</v>
      </c>
      <c r="G569">
        <v>86993905.680000007</v>
      </c>
      <c r="H569">
        <v>0</v>
      </c>
      <c r="I569">
        <v>0</v>
      </c>
      <c r="J569">
        <v>0</v>
      </c>
      <c r="K569">
        <v>86993905.680000007</v>
      </c>
    </row>
    <row r="570" spans="1:11" x14ac:dyDescent="0.25">
      <c r="A570" t="s">
        <v>292</v>
      </c>
      <c r="B570" t="s">
        <v>293</v>
      </c>
      <c r="C570" t="s">
        <v>631</v>
      </c>
      <c r="D570" t="s">
        <v>774</v>
      </c>
      <c r="E570">
        <v>0</v>
      </c>
      <c r="F570" t="s">
        <v>775</v>
      </c>
      <c r="G570">
        <v>3103880.01</v>
      </c>
      <c r="H570">
        <v>0</v>
      </c>
      <c r="I570">
        <v>0</v>
      </c>
      <c r="J570">
        <v>0</v>
      </c>
      <c r="K570">
        <v>3103880.01</v>
      </c>
    </row>
    <row r="571" spans="1:11" x14ac:dyDescent="0.25">
      <c r="A571" t="s">
        <v>294</v>
      </c>
      <c r="B571" t="s">
        <v>295</v>
      </c>
      <c r="C571" t="s">
        <v>631</v>
      </c>
      <c r="D571" t="s">
        <v>668</v>
      </c>
      <c r="E571">
        <v>0</v>
      </c>
      <c r="F571" t="s">
        <v>669</v>
      </c>
      <c r="G571">
        <v>780000</v>
      </c>
      <c r="H571">
        <v>0</v>
      </c>
      <c r="I571">
        <v>0</v>
      </c>
      <c r="J571">
        <v>0</v>
      </c>
      <c r="K571">
        <v>780000</v>
      </c>
    </row>
    <row r="572" spans="1:11" x14ac:dyDescent="0.25">
      <c r="A572" t="s">
        <v>296</v>
      </c>
      <c r="B572" t="s">
        <v>297</v>
      </c>
      <c r="C572" t="s">
        <v>631</v>
      </c>
      <c r="D572" t="s">
        <v>776</v>
      </c>
      <c r="E572">
        <v>0</v>
      </c>
      <c r="F572" t="s">
        <v>777</v>
      </c>
      <c r="G572">
        <v>180000</v>
      </c>
      <c r="H572">
        <v>0</v>
      </c>
      <c r="I572">
        <v>0</v>
      </c>
      <c r="J572">
        <v>0</v>
      </c>
      <c r="K572">
        <v>180000</v>
      </c>
    </row>
    <row r="573" spans="1:11" x14ac:dyDescent="0.25">
      <c r="A573" t="s">
        <v>298</v>
      </c>
      <c r="B573" t="s">
        <v>299</v>
      </c>
      <c r="C573" t="s">
        <v>631</v>
      </c>
      <c r="D573" t="s">
        <v>778</v>
      </c>
      <c r="E573">
        <v>0</v>
      </c>
      <c r="F573" t="s">
        <v>779</v>
      </c>
      <c r="G573">
        <v>0</v>
      </c>
      <c r="H573">
        <v>0</v>
      </c>
      <c r="I573">
        <v>0.02</v>
      </c>
      <c r="J573">
        <v>0</v>
      </c>
      <c r="K573">
        <v>0.02</v>
      </c>
    </row>
    <row r="574" spans="1:11" x14ac:dyDescent="0.25">
      <c r="A574" t="s">
        <v>300</v>
      </c>
      <c r="B574" t="s">
        <v>301</v>
      </c>
      <c r="C574" t="s">
        <v>631</v>
      </c>
      <c r="D574" t="s">
        <v>780</v>
      </c>
      <c r="E574">
        <v>0</v>
      </c>
      <c r="F574" t="s">
        <v>781</v>
      </c>
      <c r="G574">
        <v>755040</v>
      </c>
      <c r="H574">
        <v>2633081</v>
      </c>
      <c r="I574">
        <v>0</v>
      </c>
      <c r="J574">
        <v>0</v>
      </c>
      <c r="K574">
        <v>3388121</v>
      </c>
    </row>
    <row r="575" spans="1:11" x14ac:dyDescent="0.25">
      <c r="A575" t="s">
        <v>302</v>
      </c>
      <c r="B575" t="s">
        <v>303</v>
      </c>
      <c r="C575" t="s">
        <v>631</v>
      </c>
      <c r="D575" t="s">
        <v>760</v>
      </c>
      <c r="E575">
        <v>0</v>
      </c>
      <c r="F575" t="s">
        <v>761</v>
      </c>
      <c r="G575">
        <v>1089968</v>
      </c>
      <c r="H575">
        <v>1770230</v>
      </c>
      <c r="I575">
        <v>0</v>
      </c>
      <c r="J575">
        <v>0</v>
      </c>
      <c r="K575">
        <v>2860198</v>
      </c>
    </row>
    <row r="576" spans="1:11" x14ac:dyDescent="0.25">
      <c r="A576" t="s">
        <v>304</v>
      </c>
      <c r="B576" t="s">
        <v>305</v>
      </c>
      <c r="C576" t="s">
        <v>631</v>
      </c>
      <c r="D576" t="s">
        <v>764</v>
      </c>
      <c r="E576">
        <v>0</v>
      </c>
      <c r="F576" t="s">
        <v>765</v>
      </c>
      <c r="G576">
        <v>196641.25</v>
      </c>
      <c r="H576">
        <v>62731.58</v>
      </c>
      <c r="I576">
        <v>0</v>
      </c>
      <c r="J576">
        <v>0</v>
      </c>
      <c r="K576">
        <v>259372.83</v>
      </c>
    </row>
    <row r="577" spans="1:11" x14ac:dyDescent="0.25">
      <c r="A577" t="s">
        <v>563</v>
      </c>
      <c r="B577" t="s">
        <v>564</v>
      </c>
      <c r="C577" t="s">
        <v>631</v>
      </c>
      <c r="D577" t="s">
        <v>782</v>
      </c>
      <c r="E577">
        <v>0</v>
      </c>
      <c r="F577" t="s">
        <v>783</v>
      </c>
      <c r="G577">
        <v>790000</v>
      </c>
      <c r="H577">
        <v>0</v>
      </c>
      <c r="I577">
        <v>0</v>
      </c>
      <c r="J577">
        <v>0</v>
      </c>
      <c r="K577">
        <v>790000</v>
      </c>
    </row>
    <row r="578" spans="1:11" x14ac:dyDescent="0.25">
      <c r="A578" t="s">
        <v>784</v>
      </c>
      <c r="B578" t="s">
        <v>785</v>
      </c>
      <c r="C578" t="s">
        <v>631</v>
      </c>
      <c r="D578" t="s">
        <v>668</v>
      </c>
      <c r="E578">
        <v>3100000</v>
      </c>
      <c r="F578" t="s">
        <v>669</v>
      </c>
      <c r="G578">
        <v>0</v>
      </c>
      <c r="H578">
        <v>0</v>
      </c>
      <c r="I578">
        <v>0</v>
      </c>
      <c r="J578">
        <v>0</v>
      </c>
      <c r="K578">
        <v>3100000</v>
      </c>
    </row>
    <row r="579" spans="1:11" x14ac:dyDescent="0.25">
      <c r="A579" t="s">
        <v>306</v>
      </c>
      <c r="B579" t="s">
        <v>307</v>
      </c>
      <c r="C579" t="s">
        <v>631</v>
      </c>
      <c r="D579" t="s">
        <v>652</v>
      </c>
      <c r="E579">
        <v>0</v>
      </c>
      <c r="F579" t="s">
        <v>653</v>
      </c>
      <c r="G579">
        <v>1633500</v>
      </c>
      <c r="H579">
        <v>3570443.8</v>
      </c>
      <c r="I579">
        <v>0</v>
      </c>
      <c r="J579">
        <v>0</v>
      </c>
      <c r="K579">
        <v>5203943.8</v>
      </c>
    </row>
    <row r="580" spans="1:11" x14ac:dyDescent="0.25">
      <c r="A580" t="s">
        <v>308</v>
      </c>
      <c r="B580" t="s">
        <v>309</v>
      </c>
      <c r="C580" t="s">
        <v>631</v>
      </c>
      <c r="D580" t="s">
        <v>724</v>
      </c>
      <c r="E580">
        <v>0</v>
      </c>
      <c r="F580" t="s">
        <v>725</v>
      </c>
      <c r="G580">
        <v>0</v>
      </c>
      <c r="H580">
        <v>0</v>
      </c>
      <c r="I580">
        <v>0</v>
      </c>
      <c r="J580">
        <v>-3904.38</v>
      </c>
      <c r="K580">
        <v>-3904.38</v>
      </c>
    </row>
    <row r="581" spans="1:11" x14ac:dyDescent="0.25">
      <c r="A581" t="s">
        <v>565</v>
      </c>
      <c r="B581" t="s">
        <v>566</v>
      </c>
      <c r="C581" t="s">
        <v>631</v>
      </c>
      <c r="D581" t="s">
        <v>786</v>
      </c>
      <c r="E581">
        <v>0</v>
      </c>
      <c r="F581" t="s">
        <v>787</v>
      </c>
      <c r="G581">
        <v>125900.5</v>
      </c>
      <c r="H581">
        <v>533280.99</v>
      </c>
      <c r="I581">
        <v>0</v>
      </c>
      <c r="J581">
        <v>0</v>
      </c>
      <c r="K581">
        <v>659181.49</v>
      </c>
    </row>
    <row r="582" spans="1:11" x14ac:dyDescent="0.25">
      <c r="A582" t="s">
        <v>310</v>
      </c>
      <c r="B582" t="s">
        <v>311</v>
      </c>
      <c r="C582" t="s">
        <v>631</v>
      </c>
      <c r="D582" t="s">
        <v>718</v>
      </c>
      <c r="E582">
        <v>0</v>
      </c>
      <c r="F582" t="s">
        <v>719</v>
      </c>
      <c r="G582">
        <v>811093.25</v>
      </c>
      <c r="H582">
        <v>0</v>
      </c>
      <c r="I582">
        <v>0</v>
      </c>
      <c r="J582">
        <v>0</v>
      </c>
      <c r="K582">
        <v>811093.25</v>
      </c>
    </row>
    <row r="583" spans="1:11" x14ac:dyDescent="0.25">
      <c r="A583" t="s">
        <v>312</v>
      </c>
      <c r="B583" t="s">
        <v>313</v>
      </c>
      <c r="C583" t="s">
        <v>631</v>
      </c>
      <c r="D583" t="s">
        <v>658</v>
      </c>
      <c r="E583">
        <v>0</v>
      </c>
      <c r="F583" t="s">
        <v>659</v>
      </c>
      <c r="G583">
        <v>0</v>
      </c>
      <c r="H583">
        <v>1728535.96</v>
      </c>
      <c r="I583">
        <v>0</v>
      </c>
      <c r="J583">
        <v>0</v>
      </c>
      <c r="K583">
        <v>1728535.96</v>
      </c>
    </row>
    <row r="584" spans="1:11" x14ac:dyDescent="0.25">
      <c r="A584" t="s">
        <v>314</v>
      </c>
      <c r="B584" t="s">
        <v>315</v>
      </c>
      <c r="C584" t="s">
        <v>631</v>
      </c>
      <c r="D584" t="s">
        <v>788</v>
      </c>
      <c r="E584">
        <v>0</v>
      </c>
      <c r="F584" t="s">
        <v>789</v>
      </c>
      <c r="G584">
        <v>0</v>
      </c>
      <c r="H584">
        <v>0</v>
      </c>
      <c r="I584">
        <v>0</v>
      </c>
      <c r="J584">
        <v>40367.35</v>
      </c>
      <c r="K584">
        <v>40367.35</v>
      </c>
    </row>
    <row r="585" spans="1:11" x14ac:dyDescent="0.25">
      <c r="A585" t="s">
        <v>567</v>
      </c>
      <c r="B585" t="s">
        <v>568</v>
      </c>
      <c r="C585" t="s">
        <v>631</v>
      </c>
      <c r="D585" t="s">
        <v>786</v>
      </c>
      <c r="E585">
        <v>0</v>
      </c>
      <c r="F585" t="s">
        <v>787</v>
      </c>
      <c r="G585">
        <v>152460</v>
      </c>
      <c r="H585">
        <v>0</v>
      </c>
      <c r="I585">
        <v>0</v>
      </c>
      <c r="J585">
        <v>0</v>
      </c>
      <c r="K585">
        <v>152460</v>
      </c>
    </row>
    <row r="586" spans="1:11" x14ac:dyDescent="0.25">
      <c r="A586" t="s">
        <v>316</v>
      </c>
      <c r="B586" t="s">
        <v>317</v>
      </c>
      <c r="C586" t="s">
        <v>631</v>
      </c>
      <c r="D586" t="s">
        <v>702</v>
      </c>
      <c r="E586">
        <v>0</v>
      </c>
      <c r="F586" t="s">
        <v>703</v>
      </c>
      <c r="G586">
        <v>210995.48</v>
      </c>
      <c r="H586">
        <v>0</v>
      </c>
      <c r="I586">
        <v>0</v>
      </c>
      <c r="J586">
        <v>0</v>
      </c>
      <c r="K586">
        <v>210995.48</v>
      </c>
    </row>
    <row r="587" spans="1:11" x14ac:dyDescent="0.25">
      <c r="A587" t="s">
        <v>790</v>
      </c>
      <c r="B587" t="s">
        <v>791</v>
      </c>
      <c r="C587" t="s">
        <v>631</v>
      </c>
      <c r="D587" t="s">
        <v>682</v>
      </c>
      <c r="E587">
        <v>0</v>
      </c>
      <c r="F587" t="s">
        <v>683</v>
      </c>
      <c r="G587">
        <v>1485325.16</v>
      </c>
      <c r="H587">
        <v>0</v>
      </c>
      <c r="I587">
        <v>0</v>
      </c>
      <c r="J587">
        <v>0</v>
      </c>
      <c r="K587">
        <v>1485325.16</v>
      </c>
    </row>
    <row r="588" spans="1:11" x14ac:dyDescent="0.25">
      <c r="A588" t="s">
        <v>318</v>
      </c>
      <c r="B588" t="s">
        <v>319</v>
      </c>
      <c r="C588" t="s">
        <v>631</v>
      </c>
      <c r="D588" t="s">
        <v>776</v>
      </c>
      <c r="E588">
        <v>0</v>
      </c>
      <c r="F588" t="s">
        <v>777</v>
      </c>
      <c r="G588">
        <v>522544.55</v>
      </c>
      <c r="H588">
        <v>332638.37</v>
      </c>
      <c r="I588">
        <v>843648.3</v>
      </c>
      <c r="J588">
        <v>0</v>
      </c>
      <c r="K588">
        <v>1698831.22</v>
      </c>
    </row>
    <row r="589" spans="1:11" x14ac:dyDescent="0.25">
      <c r="A589" t="s">
        <v>320</v>
      </c>
      <c r="B589" t="s">
        <v>321</v>
      </c>
      <c r="C589" t="s">
        <v>631</v>
      </c>
      <c r="D589" t="s">
        <v>762</v>
      </c>
      <c r="E589">
        <v>0</v>
      </c>
      <c r="F589" t="s">
        <v>763</v>
      </c>
      <c r="G589">
        <v>0</v>
      </c>
      <c r="H589">
        <v>0</v>
      </c>
      <c r="I589">
        <v>0</v>
      </c>
      <c r="J589">
        <v>-387219.15</v>
      </c>
      <c r="K589">
        <v>-387219.15</v>
      </c>
    </row>
    <row r="590" spans="1:11" x14ac:dyDescent="0.25">
      <c r="A590" t="s">
        <v>322</v>
      </c>
      <c r="B590" t="s">
        <v>323</v>
      </c>
      <c r="C590" t="s">
        <v>631</v>
      </c>
      <c r="D590" t="s">
        <v>676</v>
      </c>
      <c r="E590">
        <v>0</v>
      </c>
      <c r="F590" t="s">
        <v>677</v>
      </c>
      <c r="G590">
        <v>0</v>
      </c>
      <c r="H590">
        <v>44102.080000000002</v>
      </c>
      <c r="I590">
        <v>0</v>
      </c>
      <c r="J590">
        <v>0</v>
      </c>
      <c r="K590">
        <v>44102.080000000002</v>
      </c>
    </row>
    <row r="591" spans="1:11" x14ac:dyDescent="0.25">
      <c r="A591" t="s">
        <v>324</v>
      </c>
      <c r="B591" t="s">
        <v>325</v>
      </c>
      <c r="C591" t="s">
        <v>631</v>
      </c>
      <c r="D591" t="s">
        <v>658</v>
      </c>
      <c r="E591">
        <v>0</v>
      </c>
      <c r="F591" t="s">
        <v>659</v>
      </c>
      <c r="G591">
        <v>871200</v>
      </c>
      <c r="H591">
        <v>0</v>
      </c>
      <c r="I591">
        <v>0</v>
      </c>
      <c r="J591">
        <v>0</v>
      </c>
      <c r="K591">
        <v>871200</v>
      </c>
    </row>
    <row r="592" spans="1:11" x14ac:dyDescent="0.25">
      <c r="A592" t="s">
        <v>326</v>
      </c>
      <c r="B592" t="s">
        <v>327</v>
      </c>
      <c r="C592" t="s">
        <v>631</v>
      </c>
      <c r="D592" t="s">
        <v>646</v>
      </c>
      <c r="E592">
        <v>0</v>
      </c>
      <c r="F592" t="s">
        <v>647</v>
      </c>
      <c r="G592">
        <v>1468168.93</v>
      </c>
      <c r="H592">
        <v>2287582.5699999998</v>
      </c>
      <c r="I592">
        <v>0</v>
      </c>
      <c r="J592">
        <v>0</v>
      </c>
      <c r="K592">
        <v>3755751.5</v>
      </c>
    </row>
    <row r="593" spans="1:11" x14ac:dyDescent="0.25">
      <c r="A593" t="s">
        <v>328</v>
      </c>
      <c r="B593" t="s">
        <v>329</v>
      </c>
      <c r="C593" t="s">
        <v>631</v>
      </c>
      <c r="D593" t="s">
        <v>668</v>
      </c>
      <c r="E593">
        <v>0</v>
      </c>
      <c r="F593" t="s">
        <v>669</v>
      </c>
      <c r="G593">
        <v>21780</v>
      </c>
      <c r="H593">
        <v>0</v>
      </c>
      <c r="I593">
        <v>0</v>
      </c>
      <c r="J593">
        <v>0</v>
      </c>
      <c r="K593">
        <v>21780</v>
      </c>
    </row>
    <row r="594" spans="1:11" x14ac:dyDescent="0.25">
      <c r="A594" t="s">
        <v>330</v>
      </c>
      <c r="B594" t="s">
        <v>331</v>
      </c>
      <c r="C594" t="s">
        <v>631</v>
      </c>
      <c r="D594" t="s">
        <v>792</v>
      </c>
      <c r="E594">
        <v>0</v>
      </c>
      <c r="F594" t="s">
        <v>793</v>
      </c>
      <c r="G594">
        <v>4102015.65</v>
      </c>
      <c r="H594">
        <v>0</v>
      </c>
      <c r="I594">
        <v>0</v>
      </c>
      <c r="J594">
        <v>0</v>
      </c>
      <c r="K594">
        <v>4102015.65</v>
      </c>
    </row>
    <row r="595" spans="1:11" x14ac:dyDescent="0.25">
      <c r="A595" t="s">
        <v>794</v>
      </c>
      <c r="B595" t="s">
        <v>795</v>
      </c>
      <c r="C595" t="s">
        <v>631</v>
      </c>
      <c r="D595" t="s">
        <v>740</v>
      </c>
      <c r="E595">
        <v>0</v>
      </c>
      <c r="F595" t="s">
        <v>741</v>
      </c>
      <c r="G595">
        <v>314600</v>
      </c>
      <c r="H595">
        <v>0</v>
      </c>
      <c r="I595">
        <v>0</v>
      </c>
      <c r="J595">
        <v>0</v>
      </c>
      <c r="K595">
        <v>314600</v>
      </c>
    </row>
    <row r="596" spans="1:11" x14ac:dyDescent="0.25">
      <c r="A596" t="s">
        <v>332</v>
      </c>
      <c r="B596" t="s">
        <v>333</v>
      </c>
      <c r="C596" t="s">
        <v>631</v>
      </c>
      <c r="D596" t="s">
        <v>748</v>
      </c>
      <c r="E596">
        <v>0</v>
      </c>
      <c r="F596" t="s">
        <v>749</v>
      </c>
      <c r="G596">
        <v>205951.29</v>
      </c>
      <c r="H596">
        <v>27043.5</v>
      </c>
      <c r="I596">
        <v>0</v>
      </c>
      <c r="J596">
        <v>0</v>
      </c>
      <c r="K596">
        <v>232994.79</v>
      </c>
    </row>
    <row r="597" spans="1:11" x14ac:dyDescent="0.25">
      <c r="A597" t="s">
        <v>796</v>
      </c>
      <c r="B597" t="s">
        <v>797</v>
      </c>
      <c r="C597" t="s">
        <v>631</v>
      </c>
      <c r="D597" t="s">
        <v>690</v>
      </c>
      <c r="E597">
        <v>0</v>
      </c>
      <c r="F597" t="s">
        <v>691</v>
      </c>
      <c r="G597">
        <v>2800000</v>
      </c>
      <c r="H597">
        <v>0</v>
      </c>
      <c r="I597">
        <v>0</v>
      </c>
      <c r="J597">
        <v>0</v>
      </c>
      <c r="K597">
        <v>2800000</v>
      </c>
    </row>
    <row r="598" spans="1:11" x14ac:dyDescent="0.25">
      <c r="A598" t="s">
        <v>569</v>
      </c>
      <c r="B598" t="s">
        <v>570</v>
      </c>
      <c r="C598" t="s">
        <v>631</v>
      </c>
      <c r="D598" t="s">
        <v>798</v>
      </c>
      <c r="E598">
        <v>0</v>
      </c>
      <c r="F598" t="s">
        <v>799</v>
      </c>
      <c r="G598">
        <v>78000</v>
      </c>
      <c r="H598">
        <v>0</v>
      </c>
      <c r="I598">
        <v>0</v>
      </c>
      <c r="J598">
        <v>0</v>
      </c>
      <c r="K598">
        <v>78000</v>
      </c>
    </row>
    <row r="599" spans="1:11" x14ac:dyDescent="0.25">
      <c r="A599" t="s">
        <v>334</v>
      </c>
      <c r="B599" t="s">
        <v>335</v>
      </c>
      <c r="C599" t="s">
        <v>631</v>
      </c>
      <c r="D599" t="s">
        <v>800</v>
      </c>
      <c r="E599">
        <v>0</v>
      </c>
      <c r="F599" t="s">
        <v>801</v>
      </c>
      <c r="G599">
        <v>1332000</v>
      </c>
      <c r="H599">
        <v>0</v>
      </c>
      <c r="I599">
        <v>0</v>
      </c>
      <c r="J599">
        <v>0</v>
      </c>
      <c r="K599">
        <v>1332000</v>
      </c>
    </row>
    <row r="600" spans="1:11" x14ac:dyDescent="0.25">
      <c r="A600" t="s">
        <v>336</v>
      </c>
      <c r="B600" t="s">
        <v>337</v>
      </c>
      <c r="C600" t="s">
        <v>631</v>
      </c>
      <c r="D600" t="s">
        <v>802</v>
      </c>
      <c r="E600">
        <v>0</v>
      </c>
      <c r="F600" t="s">
        <v>803</v>
      </c>
      <c r="G600">
        <v>50076000</v>
      </c>
      <c r="H600">
        <v>155000.01</v>
      </c>
      <c r="I600">
        <v>0</v>
      </c>
      <c r="J600">
        <v>0</v>
      </c>
      <c r="K600">
        <v>50231000.009999998</v>
      </c>
    </row>
    <row r="601" spans="1:11" x14ac:dyDescent="0.25">
      <c r="A601" t="s">
        <v>338</v>
      </c>
      <c r="B601" t="s">
        <v>339</v>
      </c>
      <c r="C601" t="s">
        <v>631</v>
      </c>
      <c r="D601" t="s">
        <v>658</v>
      </c>
      <c r="E601">
        <v>0</v>
      </c>
      <c r="F601" t="s">
        <v>659</v>
      </c>
      <c r="G601">
        <v>0</v>
      </c>
      <c r="H601">
        <v>701943.97</v>
      </c>
      <c r="I601">
        <v>0</v>
      </c>
      <c r="J601">
        <v>0</v>
      </c>
      <c r="K601">
        <v>701943.97</v>
      </c>
    </row>
    <row r="602" spans="1:11" x14ac:dyDescent="0.25">
      <c r="A602" t="s">
        <v>340</v>
      </c>
      <c r="B602" t="s">
        <v>341</v>
      </c>
      <c r="C602" t="s">
        <v>631</v>
      </c>
      <c r="D602" t="s">
        <v>804</v>
      </c>
      <c r="E602">
        <v>0</v>
      </c>
      <c r="F602" t="s">
        <v>805</v>
      </c>
      <c r="G602">
        <v>9519907.0099999998</v>
      </c>
      <c r="H602">
        <v>4444896.2300000004</v>
      </c>
      <c r="I602">
        <v>0</v>
      </c>
      <c r="J602">
        <v>0</v>
      </c>
      <c r="K602">
        <v>13964803.24</v>
      </c>
    </row>
    <row r="603" spans="1:11" x14ac:dyDescent="0.25">
      <c r="A603" t="s">
        <v>806</v>
      </c>
      <c r="B603" t="s">
        <v>807</v>
      </c>
      <c r="C603" t="s">
        <v>631</v>
      </c>
      <c r="D603" t="s">
        <v>740</v>
      </c>
      <c r="E603">
        <v>0</v>
      </c>
      <c r="F603" t="s">
        <v>741</v>
      </c>
      <c r="G603">
        <v>6706404.4500000002</v>
      </c>
      <c r="H603">
        <v>0</v>
      </c>
      <c r="I603">
        <v>0</v>
      </c>
      <c r="J603">
        <v>0</v>
      </c>
      <c r="K603">
        <v>6706404.4500000002</v>
      </c>
    </row>
    <row r="604" spans="1:11" x14ac:dyDescent="0.25">
      <c r="A604" t="s">
        <v>571</v>
      </c>
      <c r="B604" t="s">
        <v>572</v>
      </c>
      <c r="C604" t="s">
        <v>631</v>
      </c>
      <c r="D604" t="s">
        <v>764</v>
      </c>
      <c r="E604">
        <v>0</v>
      </c>
      <c r="F604" t="s">
        <v>765</v>
      </c>
      <c r="G604">
        <v>4935696.3600000003</v>
      </c>
      <c r="H604">
        <v>0</v>
      </c>
      <c r="I604">
        <v>0</v>
      </c>
      <c r="J604">
        <v>0</v>
      </c>
      <c r="K604">
        <v>4935696.3600000003</v>
      </c>
    </row>
    <row r="605" spans="1:11" x14ac:dyDescent="0.25">
      <c r="A605" t="s">
        <v>342</v>
      </c>
      <c r="B605" t="s">
        <v>343</v>
      </c>
      <c r="C605" t="s">
        <v>631</v>
      </c>
      <c r="D605" t="s">
        <v>658</v>
      </c>
      <c r="E605">
        <v>0</v>
      </c>
      <c r="F605" t="s">
        <v>659</v>
      </c>
      <c r="G605">
        <v>2739940.81</v>
      </c>
      <c r="H605">
        <v>1164427.96</v>
      </c>
      <c r="I605">
        <v>0</v>
      </c>
      <c r="J605">
        <v>0</v>
      </c>
      <c r="K605">
        <v>3904368.77</v>
      </c>
    </row>
    <row r="606" spans="1:11" x14ac:dyDescent="0.25">
      <c r="A606" t="s">
        <v>344</v>
      </c>
      <c r="B606" t="s">
        <v>345</v>
      </c>
      <c r="C606" t="s">
        <v>631</v>
      </c>
      <c r="D606" t="s">
        <v>748</v>
      </c>
      <c r="E606">
        <v>0</v>
      </c>
      <c r="F606" t="s">
        <v>749</v>
      </c>
      <c r="G606">
        <v>21886.18</v>
      </c>
      <c r="H606">
        <v>0</v>
      </c>
      <c r="I606">
        <v>0</v>
      </c>
      <c r="J606">
        <v>0</v>
      </c>
      <c r="K606">
        <v>21886.18</v>
      </c>
    </row>
    <row r="607" spans="1:11" x14ac:dyDescent="0.25">
      <c r="A607" t="s">
        <v>346</v>
      </c>
      <c r="B607" t="s">
        <v>347</v>
      </c>
      <c r="C607" t="s">
        <v>631</v>
      </c>
      <c r="D607" t="s">
        <v>724</v>
      </c>
      <c r="E607">
        <v>0</v>
      </c>
      <c r="F607" t="s">
        <v>725</v>
      </c>
      <c r="G607">
        <v>47766</v>
      </c>
      <c r="H607">
        <v>0</v>
      </c>
      <c r="I607">
        <v>0</v>
      </c>
      <c r="J607">
        <v>56726954.850000001</v>
      </c>
      <c r="K607">
        <v>56774720.850000001</v>
      </c>
    </row>
    <row r="608" spans="1:11" x14ac:dyDescent="0.25">
      <c r="A608" t="s">
        <v>348</v>
      </c>
      <c r="B608" t="s">
        <v>349</v>
      </c>
      <c r="C608" t="s">
        <v>631</v>
      </c>
      <c r="D608" t="s">
        <v>686</v>
      </c>
      <c r="E608">
        <v>0</v>
      </c>
      <c r="F608" t="s">
        <v>687</v>
      </c>
      <c r="G608">
        <v>0</v>
      </c>
      <c r="H608">
        <v>0</v>
      </c>
      <c r="I608">
        <v>0</v>
      </c>
      <c r="J608">
        <v>-258135.9</v>
      </c>
      <c r="K608">
        <v>-258135.9</v>
      </c>
    </row>
    <row r="609" spans="1:11" x14ac:dyDescent="0.25">
      <c r="A609" t="s">
        <v>350</v>
      </c>
      <c r="B609" t="s">
        <v>351</v>
      </c>
      <c r="C609" t="s">
        <v>631</v>
      </c>
      <c r="D609" t="s">
        <v>808</v>
      </c>
      <c r="E609">
        <v>0</v>
      </c>
      <c r="F609" t="s">
        <v>809</v>
      </c>
      <c r="G609">
        <v>11882120.890000001</v>
      </c>
      <c r="H609">
        <v>0</v>
      </c>
      <c r="I609">
        <v>0</v>
      </c>
      <c r="J609">
        <v>0</v>
      </c>
      <c r="K609">
        <v>11882120.890000001</v>
      </c>
    </row>
    <row r="610" spans="1:11" x14ac:dyDescent="0.25">
      <c r="A610" t="s">
        <v>352</v>
      </c>
      <c r="B610" t="s">
        <v>353</v>
      </c>
      <c r="C610" t="s">
        <v>631</v>
      </c>
      <c r="D610" t="s">
        <v>810</v>
      </c>
      <c r="E610">
        <v>0</v>
      </c>
      <c r="F610" t="s">
        <v>811</v>
      </c>
      <c r="G610">
        <v>329120</v>
      </c>
      <c r="H610">
        <v>359370</v>
      </c>
      <c r="I610">
        <v>0</v>
      </c>
      <c r="J610">
        <v>0</v>
      </c>
      <c r="K610">
        <v>688490</v>
      </c>
    </row>
    <row r="611" spans="1:11" x14ac:dyDescent="0.25">
      <c r="A611" t="s">
        <v>354</v>
      </c>
      <c r="B611" t="s">
        <v>355</v>
      </c>
      <c r="C611" t="s">
        <v>631</v>
      </c>
      <c r="D611" t="s">
        <v>740</v>
      </c>
      <c r="E611">
        <v>0</v>
      </c>
      <c r="F611" t="s">
        <v>741</v>
      </c>
      <c r="G611">
        <v>0</v>
      </c>
      <c r="H611">
        <v>0</v>
      </c>
      <c r="I611">
        <v>0</v>
      </c>
      <c r="J611">
        <v>88538261.290000007</v>
      </c>
      <c r="K611">
        <v>88538261.290000007</v>
      </c>
    </row>
    <row r="612" spans="1:11" x14ac:dyDescent="0.25">
      <c r="A612" t="s">
        <v>573</v>
      </c>
      <c r="B612" t="s">
        <v>574</v>
      </c>
      <c r="C612" t="s">
        <v>631</v>
      </c>
      <c r="D612" t="s">
        <v>724</v>
      </c>
      <c r="E612">
        <v>0</v>
      </c>
      <c r="F612" t="s">
        <v>725</v>
      </c>
      <c r="G612">
        <v>1130297.45</v>
      </c>
      <c r="H612">
        <v>0</v>
      </c>
      <c r="I612">
        <v>0</v>
      </c>
      <c r="J612">
        <v>0</v>
      </c>
      <c r="K612">
        <v>1130297.45</v>
      </c>
    </row>
    <row r="613" spans="1:11" x14ac:dyDescent="0.25">
      <c r="A613" t="s">
        <v>812</v>
      </c>
      <c r="B613" t="s">
        <v>813</v>
      </c>
      <c r="C613" t="s">
        <v>631</v>
      </c>
      <c r="D613" t="s">
        <v>804</v>
      </c>
      <c r="E613">
        <v>0</v>
      </c>
      <c r="F613" t="s">
        <v>805</v>
      </c>
      <c r="G613">
        <v>1173884.3700000001</v>
      </c>
      <c r="H613">
        <v>0</v>
      </c>
      <c r="I613">
        <v>0</v>
      </c>
      <c r="J613">
        <v>0</v>
      </c>
      <c r="K613">
        <v>1173884.3700000001</v>
      </c>
    </row>
    <row r="614" spans="1:11" x14ac:dyDescent="0.25">
      <c r="A614" t="s">
        <v>356</v>
      </c>
      <c r="B614" t="s">
        <v>357</v>
      </c>
      <c r="C614" t="s">
        <v>631</v>
      </c>
      <c r="D614" t="s">
        <v>740</v>
      </c>
      <c r="E614">
        <v>0</v>
      </c>
      <c r="F614" t="s">
        <v>741</v>
      </c>
      <c r="G614">
        <v>0</v>
      </c>
      <c r="H614">
        <v>0</v>
      </c>
      <c r="I614">
        <v>0</v>
      </c>
      <c r="J614">
        <v>5896891</v>
      </c>
      <c r="K614">
        <v>5896891</v>
      </c>
    </row>
    <row r="615" spans="1:11" x14ac:dyDescent="0.25">
      <c r="A615" t="s">
        <v>358</v>
      </c>
      <c r="B615" t="s">
        <v>359</v>
      </c>
      <c r="C615" t="s">
        <v>631</v>
      </c>
      <c r="D615" t="s">
        <v>814</v>
      </c>
      <c r="E615">
        <v>0</v>
      </c>
      <c r="F615" t="s">
        <v>815</v>
      </c>
      <c r="G615">
        <v>2354757.2599999998</v>
      </c>
      <c r="H615">
        <v>1678734.35</v>
      </c>
      <c r="I615">
        <v>0</v>
      </c>
      <c r="J615">
        <v>0</v>
      </c>
      <c r="K615">
        <v>4033491.61</v>
      </c>
    </row>
    <row r="616" spans="1:11" x14ac:dyDescent="0.25">
      <c r="A616" t="s">
        <v>360</v>
      </c>
      <c r="B616" t="s">
        <v>361</v>
      </c>
      <c r="C616" t="s">
        <v>631</v>
      </c>
      <c r="D616" t="s">
        <v>658</v>
      </c>
      <c r="E616">
        <v>0</v>
      </c>
      <c r="F616" t="s">
        <v>659</v>
      </c>
      <c r="G616">
        <v>0</v>
      </c>
      <c r="H616">
        <v>0</v>
      </c>
      <c r="I616">
        <v>0</v>
      </c>
      <c r="J616">
        <v>-0.01</v>
      </c>
      <c r="K616">
        <v>-0.01</v>
      </c>
    </row>
    <row r="617" spans="1:11" x14ac:dyDescent="0.25">
      <c r="A617" t="s">
        <v>362</v>
      </c>
      <c r="B617" t="s">
        <v>363</v>
      </c>
      <c r="C617" t="s">
        <v>631</v>
      </c>
      <c r="D617" t="s">
        <v>738</v>
      </c>
      <c r="E617">
        <v>0</v>
      </c>
      <c r="F617" t="s">
        <v>739</v>
      </c>
      <c r="G617">
        <v>7967137.2699999996</v>
      </c>
      <c r="H617">
        <v>37524695.93</v>
      </c>
      <c r="I617">
        <v>0</v>
      </c>
      <c r="J617">
        <v>0</v>
      </c>
      <c r="K617">
        <v>45491833.200000003</v>
      </c>
    </row>
    <row r="618" spans="1:11" x14ac:dyDescent="0.25">
      <c r="A618" t="s">
        <v>364</v>
      </c>
      <c r="B618" t="s">
        <v>365</v>
      </c>
      <c r="C618" t="s">
        <v>631</v>
      </c>
      <c r="D618" t="s">
        <v>752</v>
      </c>
      <c r="E618">
        <v>0</v>
      </c>
      <c r="F618" t="s">
        <v>753</v>
      </c>
      <c r="G618">
        <v>824011.81</v>
      </c>
      <c r="H618">
        <v>0</v>
      </c>
      <c r="I618">
        <v>0</v>
      </c>
      <c r="J618">
        <v>0</v>
      </c>
      <c r="K618">
        <v>824011.81</v>
      </c>
    </row>
    <row r="619" spans="1:11" x14ac:dyDescent="0.25">
      <c r="A619" t="s">
        <v>366</v>
      </c>
      <c r="B619" t="s">
        <v>367</v>
      </c>
      <c r="C619" t="s">
        <v>631</v>
      </c>
      <c r="D619" t="s">
        <v>658</v>
      </c>
      <c r="E619">
        <v>0</v>
      </c>
      <c r="F619" t="s">
        <v>659</v>
      </c>
      <c r="G619">
        <v>7793411.4699999997</v>
      </c>
      <c r="H619">
        <v>0</v>
      </c>
      <c r="I619">
        <v>0</v>
      </c>
      <c r="J619">
        <v>0</v>
      </c>
      <c r="K619">
        <v>7793411.4699999997</v>
      </c>
    </row>
    <row r="620" spans="1:11" x14ac:dyDescent="0.25">
      <c r="A620" t="s">
        <v>816</v>
      </c>
      <c r="B620" t="s">
        <v>817</v>
      </c>
      <c r="C620" t="s">
        <v>631</v>
      </c>
      <c r="D620" t="s">
        <v>818</v>
      </c>
      <c r="E620">
        <v>473715</v>
      </c>
      <c r="F620" t="s">
        <v>819</v>
      </c>
      <c r="G620">
        <v>0</v>
      </c>
      <c r="H620">
        <v>0</v>
      </c>
      <c r="I620">
        <v>0</v>
      </c>
      <c r="J620">
        <v>0</v>
      </c>
      <c r="K620">
        <v>473715</v>
      </c>
    </row>
    <row r="621" spans="1:11" x14ac:dyDescent="0.25">
      <c r="A621" t="s">
        <v>368</v>
      </c>
      <c r="B621" t="s">
        <v>369</v>
      </c>
      <c r="C621" t="s">
        <v>631</v>
      </c>
      <c r="D621" t="s">
        <v>820</v>
      </c>
      <c r="E621">
        <v>0</v>
      </c>
      <c r="F621" t="s">
        <v>821</v>
      </c>
      <c r="G621">
        <v>32887354.66</v>
      </c>
      <c r="H621">
        <v>24549964.350000001</v>
      </c>
      <c r="I621">
        <v>0</v>
      </c>
      <c r="J621">
        <v>1.17</v>
      </c>
      <c r="K621">
        <v>57437320.18</v>
      </c>
    </row>
    <row r="622" spans="1:11" x14ac:dyDescent="0.25">
      <c r="A622" t="s">
        <v>370</v>
      </c>
      <c r="B622" t="s">
        <v>371</v>
      </c>
      <c r="C622" t="s">
        <v>631</v>
      </c>
      <c r="D622" t="s">
        <v>740</v>
      </c>
      <c r="E622">
        <v>0</v>
      </c>
      <c r="F622" t="s">
        <v>741</v>
      </c>
      <c r="G622">
        <v>0</v>
      </c>
      <c r="H622">
        <v>0</v>
      </c>
      <c r="I622">
        <v>0</v>
      </c>
      <c r="J622">
        <v>335045.59999999998</v>
      </c>
      <c r="K622">
        <v>335045.59999999998</v>
      </c>
    </row>
    <row r="623" spans="1:11" x14ac:dyDescent="0.25">
      <c r="A623" t="s">
        <v>372</v>
      </c>
      <c r="B623" t="s">
        <v>373</v>
      </c>
      <c r="C623" t="s">
        <v>631</v>
      </c>
      <c r="D623" t="s">
        <v>740</v>
      </c>
      <c r="E623">
        <v>0</v>
      </c>
      <c r="F623" t="s">
        <v>741</v>
      </c>
      <c r="G623">
        <v>0</v>
      </c>
      <c r="H623">
        <v>0</v>
      </c>
      <c r="I623">
        <v>0</v>
      </c>
      <c r="J623">
        <v>1782642.4</v>
      </c>
      <c r="K623">
        <v>1782642.4</v>
      </c>
    </row>
    <row r="624" spans="1:11" x14ac:dyDescent="0.25">
      <c r="A624" t="s">
        <v>374</v>
      </c>
      <c r="B624" t="s">
        <v>375</v>
      </c>
      <c r="C624" t="s">
        <v>631</v>
      </c>
      <c r="D624" t="s">
        <v>822</v>
      </c>
      <c r="E624">
        <v>0</v>
      </c>
      <c r="F624" t="s">
        <v>823</v>
      </c>
      <c r="G624">
        <v>7800000</v>
      </c>
      <c r="H624">
        <v>0</v>
      </c>
      <c r="I624">
        <v>0</v>
      </c>
      <c r="J624">
        <v>0</v>
      </c>
      <c r="K624">
        <v>7800000</v>
      </c>
    </row>
    <row r="625" spans="1:11" x14ac:dyDescent="0.25">
      <c r="A625" t="s">
        <v>376</v>
      </c>
      <c r="B625" t="s">
        <v>377</v>
      </c>
      <c r="C625" t="s">
        <v>631</v>
      </c>
      <c r="D625" t="s">
        <v>652</v>
      </c>
      <c r="E625">
        <v>0</v>
      </c>
      <c r="F625" t="s">
        <v>653</v>
      </c>
      <c r="G625">
        <v>3927175</v>
      </c>
      <c r="H625">
        <v>0</v>
      </c>
      <c r="I625">
        <v>0</v>
      </c>
      <c r="J625">
        <v>0</v>
      </c>
      <c r="K625">
        <v>3927175</v>
      </c>
    </row>
    <row r="626" spans="1:11" x14ac:dyDescent="0.25">
      <c r="A626" t="s">
        <v>575</v>
      </c>
      <c r="B626" t="s">
        <v>576</v>
      </c>
      <c r="C626" t="s">
        <v>631</v>
      </c>
      <c r="D626" t="s">
        <v>658</v>
      </c>
      <c r="E626">
        <v>0</v>
      </c>
      <c r="F626" t="s">
        <v>659</v>
      </c>
      <c r="G626">
        <v>1352938.87</v>
      </c>
      <c r="H626">
        <v>0</v>
      </c>
      <c r="I626">
        <v>0</v>
      </c>
      <c r="J626">
        <v>0</v>
      </c>
      <c r="K626">
        <v>1352938.87</v>
      </c>
    </row>
    <row r="627" spans="1:11" x14ac:dyDescent="0.25">
      <c r="A627" t="s">
        <v>577</v>
      </c>
      <c r="B627" t="s">
        <v>578</v>
      </c>
      <c r="C627" t="s">
        <v>631</v>
      </c>
      <c r="D627" t="s">
        <v>634</v>
      </c>
      <c r="E627">
        <v>0</v>
      </c>
      <c r="F627" t="s">
        <v>635</v>
      </c>
      <c r="G627">
        <v>229900</v>
      </c>
      <c r="H627">
        <v>0</v>
      </c>
      <c r="I627">
        <v>0</v>
      </c>
      <c r="J627">
        <v>0</v>
      </c>
      <c r="K627">
        <v>229900</v>
      </c>
    </row>
    <row r="628" spans="1:11" x14ac:dyDescent="0.25">
      <c r="A628" t="s">
        <v>378</v>
      </c>
      <c r="B628" t="s">
        <v>379</v>
      </c>
      <c r="C628" t="s">
        <v>631</v>
      </c>
      <c r="D628" t="s">
        <v>778</v>
      </c>
      <c r="E628">
        <v>0</v>
      </c>
      <c r="F628" t="s">
        <v>779</v>
      </c>
      <c r="G628">
        <v>3526500</v>
      </c>
      <c r="H628">
        <v>4091000</v>
      </c>
      <c r="I628">
        <v>0</v>
      </c>
      <c r="J628">
        <v>0</v>
      </c>
      <c r="K628">
        <v>7617500</v>
      </c>
    </row>
    <row r="629" spans="1:11" x14ac:dyDescent="0.25">
      <c r="A629" t="s">
        <v>380</v>
      </c>
      <c r="B629" t="s">
        <v>381</v>
      </c>
      <c r="C629" t="s">
        <v>631</v>
      </c>
      <c r="D629" t="s">
        <v>780</v>
      </c>
      <c r="E629">
        <v>0</v>
      </c>
      <c r="F629" t="s">
        <v>781</v>
      </c>
      <c r="G629">
        <v>304483.67</v>
      </c>
      <c r="H629">
        <v>0</v>
      </c>
      <c r="I629">
        <v>0</v>
      </c>
      <c r="J629">
        <v>0</v>
      </c>
      <c r="K629">
        <v>304483.67</v>
      </c>
    </row>
    <row r="630" spans="1:11" x14ac:dyDescent="0.25">
      <c r="A630" t="s">
        <v>382</v>
      </c>
      <c r="B630" t="s">
        <v>383</v>
      </c>
      <c r="C630" t="s">
        <v>631</v>
      </c>
      <c r="D630" t="s">
        <v>824</v>
      </c>
      <c r="E630">
        <v>0</v>
      </c>
      <c r="F630" t="s">
        <v>825</v>
      </c>
      <c r="G630">
        <v>7531931.04</v>
      </c>
      <c r="H630">
        <v>11907110.51</v>
      </c>
      <c r="I630">
        <v>0</v>
      </c>
      <c r="J630">
        <v>0</v>
      </c>
      <c r="K630">
        <v>19439041.550000001</v>
      </c>
    </row>
    <row r="631" spans="1:11" x14ac:dyDescent="0.25">
      <c r="A631" t="s">
        <v>384</v>
      </c>
      <c r="B631" t="s">
        <v>385</v>
      </c>
      <c r="C631" t="s">
        <v>631</v>
      </c>
      <c r="D631" t="s">
        <v>682</v>
      </c>
      <c r="E631">
        <v>0</v>
      </c>
      <c r="F631" t="s">
        <v>683</v>
      </c>
      <c r="G631">
        <v>2915177</v>
      </c>
      <c r="H631">
        <v>0</v>
      </c>
      <c r="I631">
        <v>0</v>
      </c>
      <c r="J631">
        <v>0</v>
      </c>
      <c r="K631">
        <v>2915177</v>
      </c>
    </row>
    <row r="632" spans="1:11" x14ac:dyDescent="0.25">
      <c r="A632" t="s">
        <v>386</v>
      </c>
      <c r="B632" t="s">
        <v>387</v>
      </c>
      <c r="C632" t="s">
        <v>631</v>
      </c>
      <c r="D632" t="s">
        <v>636</v>
      </c>
      <c r="E632">
        <v>0</v>
      </c>
      <c r="F632" t="s">
        <v>637</v>
      </c>
      <c r="G632">
        <v>11727544.720000001</v>
      </c>
      <c r="H632">
        <v>0</v>
      </c>
      <c r="I632">
        <v>0</v>
      </c>
      <c r="J632">
        <v>0</v>
      </c>
      <c r="K632">
        <v>11727544.720000001</v>
      </c>
    </row>
    <row r="633" spans="1:11" x14ac:dyDescent="0.25">
      <c r="A633" t="s">
        <v>388</v>
      </c>
      <c r="B633" t="s">
        <v>389</v>
      </c>
      <c r="C633" t="s">
        <v>631</v>
      </c>
      <c r="D633" t="s">
        <v>826</v>
      </c>
      <c r="E633">
        <v>0</v>
      </c>
      <c r="F633" t="s">
        <v>827</v>
      </c>
      <c r="G633">
        <v>2546823.13</v>
      </c>
      <c r="H633">
        <v>10142295.630000001</v>
      </c>
      <c r="I633">
        <v>43979576.030000001</v>
      </c>
      <c r="J633">
        <v>90616446.269999996</v>
      </c>
      <c r="K633">
        <v>147285141.06</v>
      </c>
    </row>
    <row r="634" spans="1:11" x14ac:dyDescent="0.25">
      <c r="A634" t="s">
        <v>390</v>
      </c>
      <c r="B634" t="s">
        <v>391</v>
      </c>
      <c r="C634" t="s">
        <v>631</v>
      </c>
      <c r="D634" t="s">
        <v>658</v>
      </c>
      <c r="E634">
        <v>0</v>
      </c>
      <c r="F634" t="s">
        <v>659</v>
      </c>
      <c r="G634">
        <v>156412.93</v>
      </c>
      <c r="H634">
        <v>473839.17</v>
      </c>
      <c r="I634">
        <v>0</v>
      </c>
      <c r="J634">
        <v>0</v>
      </c>
      <c r="K634">
        <v>630252.1</v>
      </c>
    </row>
    <row r="635" spans="1:11" x14ac:dyDescent="0.25">
      <c r="A635" t="s">
        <v>392</v>
      </c>
      <c r="B635" t="s">
        <v>393</v>
      </c>
      <c r="C635" t="s">
        <v>631</v>
      </c>
      <c r="D635" t="s">
        <v>762</v>
      </c>
      <c r="E635">
        <v>0</v>
      </c>
      <c r="F635" t="s">
        <v>763</v>
      </c>
      <c r="G635">
        <v>0</v>
      </c>
      <c r="H635">
        <v>0</v>
      </c>
      <c r="I635">
        <v>35394057.5</v>
      </c>
      <c r="J635">
        <v>0</v>
      </c>
      <c r="K635">
        <v>35394057.5</v>
      </c>
    </row>
    <row r="636" spans="1:11" x14ac:dyDescent="0.25">
      <c r="A636" t="s">
        <v>394</v>
      </c>
      <c r="B636" t="s">
        <v>395</v>
      </c>
      <c r="C636" t="s">
        <v>631</v>
      </c>
      <c r="D636" t="s">
        <v>780</v>
      </c>
      <c r="E636">
        <v>0</v>
      </c>
      <c r="F636" t="s">
        <v>781</v>
      </c>
      <c r="G636">
        <v>82539.429999999993</v>
      </c>
      <c r="H636">
        <v>0</v>
      </c>
      <c r="I636">
        <v>0</v>
      </c>
      <c r="J636">
        <v>0</v>
      </c>
      <c r="K636">
        <v>82539.429999999993</v>
      </c>
    </row>
    <row r="637" spans="1:11" x14ac:dyDescent="0.25">
      <c r="A637" t="s">
        <v>579</v>
      </c>
      <c r="B637" t="s">
        <v>580</v>
      </c>
      <c r="C637" t="s">
        <v>631</v>
      </c>
      <c r="D637" t="s">
        <v>828</v>
      </c>
      <c r="E637">
        <v>0</v>
      </c>
      <c r="F637" t="s">
        <v>829</v>
      </c>
      <c r="G637">
        <v>1207580</v>
      </c>
      <c r="H637">
        <v>1432640</v>
      </c>
      <c r="I637">
        <v>0</v>
      </c>
      <c r="J637">
        <v>0</v>
      </c>
      <c r="K637">
        <v>2640220</v>
      </c>
    </row>
    <row r="638" spans="1:11" x14ac:dyDescent="0.25">
      <c r="A638" t="s">
        <v>396</v>
      </c>
      <c r="B638" t="s">
        <v>397</v>
      </c>
      <c r="C638" t="s">
        <v>631</v>
      </c>
      <c r="D638" t="s">
        <v>786</v>
      </c>
      <c r="E638">
        <v>0</v>
      </c>
      <c r="F638" t="s">
        <v>787</v>
      </c>
      <c r="G638">
        <v>1101100</v>
      </c>
      <c r="H638">
        <v>0</v>
      </c>
      <c r="I638">
        <v>0</v>
      </c>
      <c r="J638">
        <v>0</v>
      </c>
      <c r="K638">
        <v>1101100</v>
      </c>
    </row>
    <row r="639" spans="1:11" x14ac:dyDescent="0.25">
      <c r="A639" t="s">
        <v>398</v>
      </c>
      <c r="B639" t="s">
        <v>399</v>
      </c>
      <c r="C639" t="s">
        <v>631</v>
      </c>
      <c r="D639" t="s">
        <v>724</v>
      </c>
      <c r="E639">
        <v>0</v>
      </c>
      <c r="F639" t="s">
        <v>725</v>
      </c>
      <c r="G639">
        <v>13623137.300000001</v>
      </c>
      <c r="H639">
        <v>0</v>
      </c>
      <c r="I639">
        <v>0</v>
      </c>
      <c r="J639">
        <v>0</v>
      </c>
      <c r="K639">
        <v>13623137.300000001</v>
      </c>
    </row>
    <row r="640" spans="1:11" x14ac:dyDescent="0.25">
      <c r="A640" t="s">
        <v>400</v>
      </c>
      <c r="B640" t="s">
        <v>401</v>
      </c>
      <c r="C640" t="s">
        <v>631</v>
      </c>
      <c r="D640" t="s">
        <v>702</v>
      </c>
      <c r="E640">
        <v>0</v>
      </c>
      <c r="F640" t="s">
        <v>703</v>
      </c>
      <c r="G640">
        <v>0</v>
      </c>
      <c r="H640">
        <v>5729478.6200000001</v>
      </c>
      <c r="I640">
        <v>0</v>
      </c>
      <c r="J640">
        <v>-173949.94</v>
      </c>
      <c r="K640">
        <v>5555528.6799999997</v>
      </c>
    </row>
    <row r="641" spans="1:11" x14ac:dyDescent="0.25">
      <c r="A641" t="s">
        <v>402</v>
      </c>
      <c r="B641" t="s">
        <v>403</v>
      </c>
      <c r="C641" t="s">
        <v>631</v>
      </c>
      <c r="D641" t="s">
        <v>700</v>
      </c>
      <c r="E641">
        <v>0</v>
      </c>
      <c r="F641" t="s">
        <v>701</v>
      </c>
      <c r="G641">
        <v>16248000</v>
      </c>
      <c r="H641">
        <v>0</v>
      </c>
      <c r="I641">
        <v>0</v>
      </c>
      <c r="J641">
        <v>0</v>
      </c>
      <c r="K641">
        <v>16248000</v>
      </c>
    </row>
    <row r="642" spans="1:11" x14ac:dyDescent="0.25">
      <c r="A642" t="s">
        <v>404</v>
      </c>
      <c r="B642" t="s">
        <v>405</v>
      </c>
      <c r="C642" t="s">
        <v>631</v>
      </c>
      <c r="D642" t="s">
        <v>676</v>
      </c>
      <c r="E642">
        <v>0</v>
      </c>
      <c r="F642" t="s">
        <v>677</v>
      </c>
      <c r="G642">
        <v>0</v>
      </c>
      <c r="H642">
        <v>0</v>
      </c>
      <c r="I642">
        <v>0</v>
      </c>
      <c r="J642">
        <v>58760</v>
      </c>
      <c r="K642">
        <v>58760</v>
      </c>
    </row>
    <row r="643" spans="1:11" x14ac:dyDescent="0.25">
      <c r="A643" t="s">
        <v>830</v>
      </c>
      <c r="B643" t="s">
        <v>831</v>
      </c>
      <c r="C643" t="s">
        <v>631</v>
      </c>
      <c r="D643" t="s">
        <v>668</v>
      </c>
      <c r="E643">
        <v>0</v>
      </c>
      <c r="F643" t="s">
        <v>669</v>
      </c>
      <c r="G643">
        <v>550000</v>
      </c>
      <c r="H643">
        <v>0</v>
      </c>
      <c r="I643">
        <v>0</v>
      </c>
      <c r="J643">
        <v>0</v>
      </c>
      <c r="K643">
        <v>550000</v>
      </c>
    </row>
    <row r="644" spans="1:11" x14ac:dyDescent="0.25">
      <c r="A644" t="s">
        <v>406</v>
      </c>
      <c r="B644" t="s">
        <v>407</v>
      </c>
      <c r="C644" t="s">
        <v>631</v>
      </c>
      <c r="D644" t="s">
        <v>758</v>
      </c>
      <c r="E644">
        <v>0</v>
      </c>
      <c r="F644" t="s">
        <v>759</v>
      </c>
      <c r="G644">
        <v>0</v>
      </c>
      <c r="H644">
        <v>0</v>
      </c>
      <c r="I644">
        <v>0</v>
      </c>
      <c r="J644">
        <v>0.01</v>
      </c>
      <c r="K644">
        <v>0.01</v>
      </c>
    </row>
    <row r="645" spans="1:11" x14ac:dyDescent="0.25">
      <c r="A645" t="s">
        <v>581</v>
      </c>
      <c r="B645" t="s">
        <v>582</v>
      </c>
      <c r="C645" t="s">
        <v>631</v>
      </c>
      <c r="D645" t="s">
        <v>652</v>
      </c>
      <c r="E645">
        <v>0</v>
      </c>
      <c r="F645" t="s">
        <v>653</v>
      </c>
      <c r="G645">
        <v>2255142.36</v>
      </c>
      <c r="H645">
        <v>0</v>
      </c>
      <c r="I645">
        <v>0</v>
      </c>
      <c r="J645">
        <v>0</v>
      </c>
      <c r="K645">
        <v>2255142.36</v>
      </c>
    </row>
    <row r="646" spans="1:11" x14ac:dyDescent="0.25">
      <c r="A646" t="s">
        <v>408</v>
      </c>
      <c r="B646" t="s">
        <v>409</v>
      </c>
      <c r="C646" t="s">
        <v>631</v>
      </c>
      <c r="D646" t="s">
        <v>702</v>
      </c>
      <c r="E646">
        <v>0</v>
      </c>
      <c r="F646" t="s">
        <v>703</v>
      </c>
      <c r="G646">
        <v>25119702.789999999</v>
      </c>
      <c r="H646">
        <v>6359168.3099999996</v>
      </c>
      <c r="I646">
        <v>0</v>
      </c>
      <c r="J646">
        <v>0</v>
      </c>
      <c r="K646">
        <v>31478871.100000001</v>
      </c>
    </row>
    <row r="647" spans="1:11" x14ac:dyDescent="0.25">
      <c r="A647" t="s">
        <v>832</v>
      </c>
      <c r="B647" t="s">
        <v>833</v>
      </c>
      <c r="C647" t="s">
        <v>631</v>
      </c>
      <c r="D647" t="s">
        <v>664</v>
      </c>
      <c r="E647">
        <v>2638139</v>
      </c>
      <c r="F647" t="s">
        <v>665</v>
      </c>
      <c r="G647">
        <v>0</v>
      </c>
      <c r="H647">
        <v>0</v>
      </c>
      <c r="I647">
        <v>0</v>
      </c>
      <c r="J647">
        <v>0</v>
      </c>
      <c r="K647">
        <v>2638139</v>
      </c>
    </row>
    <row r="648" spans="1:11" x14ac:dyDescent="0.25">
      <c r="A648" t="s">
        <v>410</v>
      </c>
      <c r="B648" t="s">
        <v>411</v>
      </c>
      <c r="C648" t="s">
        <v>631</v>
      </c>
      <c r="D648" t="s">
        <v>834</v>
      </c>
      <c r="E648">
        <v>0</v>
      </c>
      <c r="F648" t="s">
        <v>835</v>
      </c>
      <c r="G648">
        <v>53028393.32</v>
      </c>
      <c r="H648">
        <v>55976091.32</v>
      </c>
      <c r="I648">
        <v>0</v>
      </c>
      <c r="J648">
        <v>0</v>
      </c>
      <c r="K648">
        <v>109004484.64</v>
      </c>
    </row>
    <row r="649" spans="1:11" x14ac:dyDescent="0.25">
      <c r="A649" t="s">
        <v>836</v>
      </c>
      <c r="B649" t="s">
        <v>837</v>
      </c>
      <c r="C649" t="s">
        <v>631</v>
      </c>
      <c r="D649" t="s">
        <v>686</v>
      </c>
      <c r="E649">
        <v>0</v>
      </c>
      <c r="F649" t="s">
        <v>687</v>
      </c>
      <c r="G649">
        <v>0</v>
      </c>
      <c r="H649">
        <v>617100</v>
      </c>
      <c r="I649">
        <v>0</v>
      </c>
      <c r="J649">
        <v>0</v>
      </c>
      <c r="K649">
        <v>617100</v>
      </c>
    </row>
    <row r="650" spans="1:11" x14ac:dyDescent="0.25">
      <c r="A650" t="s">
        <v>412</v>
      </c>
      <c r="B650" t="s">
        <v>413</v>
      </c>
      <c r="C650" t="s">
        <v>631</v>
      </c>
      <c r="D650" t="s">
        <v>814</v>
      </c>
      <c r="E650">
        <v>0</v>
      </c>
      <c r="F650" t="s">
        <v>815</v>
      </c>
      <c r="G650">
        <v>1783098.9</v>
      </c>
      <c r="H650">
        <v>3345008.7</v>
      </c>
      <c r="I650">
        <v>0</v>
      </c>
      <c r="J650">
        <v>0</v>
      </c>
      <c r="K650">
        <v>5128107.5999999996</v>
      </c>
    </row>
    <row r="651" spans="1:11" x14ac:dyDescent="0.25">
      <c r="A651" t="s">
        <v>414</v>
      </c>
      <c r="B651" t="s">
        <v>415</v>
      </c>
      <c r="C651" t="s">
        <v>631</v>
      </c>
      <c r="D651" t="s">
        <v>838</v>
      </c>
      <c r="E651">
        <v>0</v>
      </c>
      <c r="F651" t="s">
        <v>839</v>
      </c>
      <c r="G651">
        <v>624000</v>
      </c>
      <c r="H651">
        <v>936000</v>
      </c>
      <c r="I651">
        <v>0</v>
      </c>
      <c r="J651">
        <v>0</v>
      </c>
      <c r="K651">
        <v>1560000</v>
      </c>
    </row>
    <row r="652" spans="1:11" x14ac:dyDescent="0.25">
      <c r="A652" t="s">
        <v>416</v>
      </c>
      <c r="B652" t="s">
        <v>417</v>
      </c>
      <c r="C652" t="s">
        <v>631</v>
      </c>
      <c r="D652" t="s">
        <v>840</v>
      </c>
      <c r="E652">
        <v>0</v>
      </c>
      <c r="F652" t="s">
        <v>841</v>
      </c>
      <c r="G652">
        <v>154138.26999999999</v>
      </c>
      <c r="H652">
        <v>0</v>
      </c>
      <c r="I652">
        <v>0</v>
      </c>
      <c r="J652">
        <v>0</v>
      </c>
      <c r="K652">
        <v>154138.26999999999</v>
      </c>
    </row>
    <row r="653" spans="1:11" x14ac:dyDescent="0.25">
      <c r="A653" t="s">
        <v>418</v>
      </c>
      <c r="B653" t="s">
        <v>419</v>
      </c>
      <c r="C653" t="s">
        <v>631</v>
      </c>
      <c r="D653" t="s">
        <v>740</v>
      </c>
      <c r="E653">
        <v>0</v>
      </c>
      <c r="F653" t="s">
        <v>741</v>
      </c>
      <c r="G653">
        <v>0</v>
      </c>
      <c r="H653">
        <v>0</v>
      </c>
      <c r="I653">
        <v>0</v>
      </c>
      <c r="J653">
        <v>13351649.470000001</v>
      </c>
      <c r="K653">
        <v>13351649.470000001</v>
      </c>
    </row>
    <row r="654" spans="1:11" x14ac:dyDescent="0.25">
      <c r="A654" t="s">
        <v>420</v>
      </c>
      <c r="B654" t="s">
        <v>421</v>
      </c>
      <c r="C654" t="s">
        <v>631</v>
      </c>
      <c r="D654" t="s">
        <v>658</v>
      </c>
      <c r="E654">
        <v>0</v>
      </c>
      <c r="F654" t="s">
        <v>659</v>
      </c>
      <c r="G654">
        <v>1579156.25</v>
      </c>
      <c r="H654">
        <v>0</v>
      </c>
      <c r="I654">
        <v>0</v>
      </c>
      <c r="J654">
        <v>0</v>
      </c>
      <c r="K654">
        <v>1579156.25</v>
      </c>
    </row>
    <row r="655" spans="1:11" x14ac:dyDescent="0.25">
      <c r="A655" t="s">
        <v>422</v>
      </c>
      <c r="B655" t="s">
        <v>423</v>
      </c>
      <c r="C655" t="s">
        <v>631</v>
      </c>
      <c r="D655" t="s">
        <v>636</v>
      </c>
      <c r="E655">
        <v>0</v>
      </c>
      <c r="F655" t="s">
        <v>637</v>
      </c>
      <c r="G655">
        <v>630000</v>
      </c>
      <c r="H655">
        <v>4530000</v>
      </c>
      <c r="I655">
        <v>0</v>
      </c>
      <c r="J655">
        <v>0</v>
      </c>
      <c r="K655">
        <v>5160000</v>
      </c>
    </row>
    <row r="656" spans="1:11" x14ac:dyDescent="0.25">
      <c r="A656" t="s">
        <v>424</v>
      </c>
      <c r="B656" t="s">
        <v>425</v>
      </c>
      <c r="C656" t="s">
        <v>631</v>
      </c>
      <c r="D656" t="s">
        <v>842</v>
      </c>
      <c r="E656">
        <v>0</v>
      </c>
      <c r="F656" t="s">
        <v>843</v>
      </c>
      <c r="G656">
        <v>150709.85999999999</v>
      </c>
      <c r="H656">
        <v>14859111.43</v>
      </c>
      <c r="I656">
        <v>0</v>
      </c>
      <c r="J656">
        <v>0</v>
      </c>
      <c r="K656">
        <v>15009821.289999999</v>
      </c>
    </row>
    <row r="657" spans="1:11" x14ac:dyDescent="0.25">
      <c r="A657" t="s">
        <v>426</v>
      </c>
      <c r="B657" t="s">
        <v>427</v>
      </c>
      <c r="C657" t="s">
        <v>631</v>
      </c>
      <c r="D657" t="s">
        <v>666</v>
      </c>
      <c r="E657">
        <v>0</v>
      </c>
      <c r="F657" t="s">
        <v>667</v>
      </c>
      <c r="G657">
        <v>0</v>
      </c>
      <c r="H657">
        <v>916817</v>
      </c>
      <c r="I657">
        <v>0</v>
      </c>
      <c r="J657">
        <v>0</v>
      </c>
      <c r="K657">
        <v>916817</v>
      </c>
    </row>
    <row r="658" spans="1:11" x14ac:dyDescent="0.25">
      <c r="A658" t="s">
        <v>428</v>
      </c>
      <c r="B658" t="s">
        <v>429</v>
      </c>
      <c r="C658" t="s">
        <v>631</v>
      </c>
      <c r="D658" t="s">
        <v>738</v>
      </c>
      <c r="E658">
        <v>0</v>
      </c>
      <c r="F658" t="s">
        <v>739</v>
      </c>
      <c r="G658">
        <v>13905140.85</v>
      </c>
      <c r="H658">
        <v>18486080.949999999</v>
      </c>
      <c r="I658">
        <v>0</v>
      </c>
      <c r="J658">
        <v>0</v>
      </c>
      <c r="K658">
        <v>32391221.800000001</v>
      </c>
    </row>
    <row r="659" spans="1:11" x14ac:dyDescent="0.25">
      <c r="A659" t="s">
        <v>844</v>
      </c>
      <c r="B659" t="s">
        <v>845</v>
      </c>
      <c r="C659" t="s">
        <v>631</v>
      </c>
      <c r="D659" t="s">
        <v>668</v>
      </c>
      <c r="E659">
        <v>1278000</v>
      </c>
      <c r="F659" t="s">
        <v>669</v>
      </c>
      <c r="G659">
        <v>0</v>
      </c>
      <c r="H659">
        <v>0</v>
      </c>
      <c r="I659">
        <v>0</v>
      </c>
      <c r="J659">
        <v>0</v>
      </c>
      <c r="K659">
        <v>1278000</v>
      </c>
    </row>
    <row r="660" spans="1:11" x14ac:dyDescent="0.25">
      <c r="A660" t="s">
        <v>846</v>
      </c>
      <c r="B660" t="s">
        <v>847</v>
      </c>
      <c r="C660" t="s">
        <v>631</v>
      </c>
      <c r="D660" t="s">
        <v>632</v>
      </c>
      <c r="E660">
        <v>0</v>
      </c>
      <c r="F660" t="s">
        <v>633</v>
      </c>
      <c r="G660">
        <v>10410703.32</v>
      </c>
      <c r="H660">
        <v>0</v>
      </c>
      <c r="I660">
        <v>0</v>
      </c>
      <c r="J660">
        <v>0</v>
      </c>
      <c r="K660">
        <v>10410703.32</v>
      </c>
    </row>
    <row r="661" spans="1:11" x14ac:dyDescent="0.25">
      <c r="A661" t="s">
        <v>430</v>
      </c>
      <c r="B661" t="s">
        <v>431</v>
      </c>
      <c r="C661" t="s">
        <v>631</v>
      </c>
      <c r="D661" t="s">
        <v>774</v>
      </c>
      <c r="E661">
        <v>0</v>
      </c>
      <c r="F661" t="s">
        <v>775</v>
      </c>
      <c r="G661">
        <v>5623737.3700000001</v>
      </c>
      <c r="H661">
        <v>4032863.97</v>
      </c>
      <c r="I661">
        <v>0</v>
      </c>
      <c r="J661">
        <v>0</v>
      </c>
      <c r="K661">
        <v>9656601.3399999999</v>
      </c>
    </row>
    <row r="662" spans="1:11" x14ac:dyDescent="0.25">
      <c r="A662" t="s">
        <v>432</v>
      </c>
      <c r="B662" t="s">
        <v>433</v>
      </c>
      <c r="C662" t="s">
        <v>631</v>
      </c>
      <c r="D662" t="s">
        <v>668</v>
      </c>
      <c r="E662">
        <v>0</v>
      </c>
      <c r="F662" t="s">
        <v>669</v>
      </c>
      <c r="G662">
        <v>1886650</v>
      </c>
      <c r="H662">
        <v>0</v>
      </c>
      <c r="I662">
        <v>0</v>
      </c>
      <c r="J662">
        <v>0</v>
      </c>
      <c r="K662">
        <v>1886650</v>
      </c>
    </row>
    <row r="663" spans="1:11" x14ac:dyDescent="0.25">
      <c r="A663" t="s">
        <v>434</v>
      </c>
      <c r="B663" t="s">
        <v>435</v>
      </c>
      <c r="C663" t="s">
        <v>631</v>
      </c>
      <c r="D663" t="s">
        <v>848</v>
      </c>
      <c r="E663">
        <v>0</v>
      </c>
      <c r="F663" t="s">
        <v>849</v>
      </c>
      <c r="G663">
        <v>18868793.030000001</v>
      </c>
      <c r="H663">
        <v>2929297.71</v>
      </c>
      <c r="I663">
        <v>0</v>
      </c>
      <c r="J663">
        <v>0.05</v>
      </c>
      <c r="K663">
        <v>21798090.789999999</v>
      </c>
    </row>
    <row r="664" spans="1:11" x14ac:dyDescent="0.25">
      <c r="A664" t="s">
        <v>583</v>
      </c>
      <c r="B664" t="s">
        <v>584</v>
      </c>
      <c r="C664" t="s">
        <v>631</v>
      </c>
      <c r="D664" t="s">
        <v>850</v>
      </c>
      <c r="E664">
        <v>0</v>
      </c>
      <c r="F664" t="s">
        <v>851</v>
      </c>
      <c r="G664">
        <v>3527150</v>
      </c>
      <c r="H664">
        <v>0</v>
      </c>
      <c r="I664">
        <v>0</v>
      </c>
      <c r="J664">
        <v>0</v>
      </c>
      <c r="K664">
        <v>3527150</v>
      </c>
    </row>
    <row r="665" spans="1:11" x14ac:dyDescent="0.25">
      <c r="A665" t="s">
        <v>436</v>
      </c>
      <c r="B665" t="s">
        <v>437</v>
      </c>
      <c r="C665" t="s">
        <v>631</v>
      </c>
      <c r="D665" t="s">
        <v>668</v>
      </c>
      <c r="E665">
        <v>0</v>
      </c>
      <c r="F665" t="s">
        <v>669</v>
      </c>
      <c r="G665">
        <v>0</v>
      </c>
      <c r="H665">
        <v>0</v>
      </c>
      <c r="I665">
        <v>0</v>
      </c>
      <c r="J665">
        <v>-2698.26</v>
      </c>
      <c r="K665">
        <v>-2698.26</v>
      </c>
    </row>
    <row r="666" spans="1:11" x14ac:dyDescent="0.25">
      <c r="A666" t="s">
        <v>585</v>
      </c>
      <c r="B666" t="s">
        <v>586</v>
      </c>
      <c r="C666" t="s">
        <v>631</v>
      </c>
      <c r="D666" t="s">
        <v>718</v>
      </c>
      <c r="E666">
        <v>0</v>
      </c>
      <c r="F666" t="s">
        <v>719</v>
      </c>
      <c r="G666">
        <v>1676977.72</v>
      </c>
      <c r="H666">
        <v>0</v>
      </c>
      <c r="I666">
        <v>0</v>
      </c>
      <c r="J666">
        <v>0</v>
      </c>
      <c r="K666">
        <v>1676977.72</v>
      </c>
    </row>
    <row r="667" spans="1:11" x14ac:dyDescent="0.25">
      <c r="A667" t="s">
        <v>438</v>
      </c>
      <c r="B667" t="s">
        <v>439</v>
      </c>
      <c r="C667" t="s">
        <v>631</v>
      </c>
      <c r="D667" t="s">
        <v>852</v>
      </c>
      <c r="E667">
        <v>0</v>
      </c>
      <c r="F667" t="s">
        <v>853</v>
      </c>
      <c r="G667">
        <v>1277500</v>
      </c>
      <c r="H667">
        <v>0</v>
      </c>
      <c r="I667">
        <v>0</v>
      </c>
      <c r="J667">
        <v>0</v>
      </c>
      <c r="K667">
        <v>1277500</v>
      </c>
    </row>
    <row r="668" spans="1:11" x14ac:dyDescent="0.25">
      <c r="A668" t="s">
        <v>854</v>
      </c>
      <c r="B668" t="s">
        <v>855</v>
      </c>
      <c r="C668" t="s">
        <v>631</v>
      </c>
      <c r="D668" t="s">
        <v>668</v>
      </c>
      <c r="E668">
        <v>218000</v>
      </c>
      <c r="F668" t="s">
        <v>669</v>
      </c>
      <c r="G668">
        <v>0</v>
      </c>
      <c r="H668">
        <v>0</v>
      </c>
      <c r="I668">
        <v>0</v>
      </c>
      <c r="J668">
        <v>0</v>
      </c>
      <c r="K668">
        <v>218000</v>
      </c>
    </row>
    <row r="669" spans="1:11" x14ac:dyDescent="0.25">
      <c r="A669" t="s">
        <v>856</v>
      </c>
      <c r="B669" t="s">
        <v>857</v>
      </c>
      <c r="C669" t="s">
        <v>631</v>
      </c>
      <c r="D669" t="s">
        <v>668</v>
      </c>
      <c r="E669">
        <v>0</v>
      </c>
      <c r="F669" t="s">
        <v>669</v>
      </c>
      <c r="G669">
        <v>690000</v>
      </c>
      <c r="H669">
        <v>0</v>
      </c>
      <c r="I669">
        <v>0</v>
      </c>
      <c r="J669">
        <v>0</v>
      </c>
      <c r="K669">
        <v>690000</v>
      </c>
    </row>
    <row r="670" spans="1:11" x14ac:dyDescent="0.25">
      <c r="A670" t="s">
        <v>440</v>
      </c>
      <c r="B670" t="s">
        <v>441</v>
      </c>
      <c r="C670" t="s">
        <v>631</v>
      </c>
      <c r="D670" t="s">
        <v>858</v>
      </c>
      <c r="E670">
        <v>0</v>
      </c>
      <c r="F670" t="s">
        <v>859</v>
      </c>
      <c r="G670">
        <v>22360357.140000001</v>
      </c>
      <c r="H670">
        <v>1338901.3</v>
      </c>
      <c r="I670">
        <v>0</v>
      </c>
      <c r="J670">
        <v>0</v>
      </c>
      <c r="K670">
        <v>23699258.440000001</v>
      </c>
    </row>
    <row r="671" spans="1:11" x14ac:dyDescent="0.25">
      <c r="A671" t="s">
        <v>860</v>
      </c>
      <c r="B671" t="s">
        <v>861</v>
      </c>
      <c r="C671" t="s">
        <v>631</v>
      </c>
      <c r="D671" t="s">
        <v>862</v>
      </c>
      <c r="E671">
        <v>1926618.02</v>
      </c>
      <c r="F671" t="s">
        <v>863</v>
      </c>
      <c r="G671">
        <v>0</v>
      </c>
      <c r="H671">
        <v>3839667.59</v>
      </c>
      <c r="I671">
        <v>0</v>
      </c>
      <c r="J671">
        <v>0</v>
      </c>
      <c r="K671">
        <v>5766285.6100000003</v>
      </c>
    </row>
    <row r="672" spans="1:11" x14ac:dyDescent="0.25">
      <c r="A672" t="s">
        <v>442</v>
      </c>
      <c r="B672" t="s">
        <v>443</v>
      </c>
      <c r="C672" t="s">
        <v>631</v>
      </c>
      <c r="D672" t="s">
        <v>756</v>
      </c>
      <c r="E672">
        <v>0</v>
      </c>
      <c r="F672" t="s">
        <v>757</v>
      </c>
      <c r="G672">
        <v>1589587.24</v>
      </c>
      <c r="H672">
        <v>1135026.31</v>
      </c>
      <c r="I672">
        <v>0</v>
      </c>
      <c r="J672">
        <v>0</v>
      </c>
      <c r="K672">
        <v>2724613.55</v>
      </c>
    </row>
    <row r="673" spans="1:11" x14ac:dyDescent="0.25">
      <c r="A673" t="s">
        <v>444</v>
      </c>
      <c r="B673" t="s">
        <v>445</v>
      </c>
      <c r="C673" t="s">
        <v>631</v>
      </c>
      <c r="D673" t="s">
        <v>858</v>
      </c>
      <c r="E673">
        <v>0</v>
      </c>
      <c r="F673" t="s">
        <v>859</v>
      </c>
      <c r="G673">
        <v>1973770.08</v>
      </c>
      <c r="H673">
        <v>1682115.29</v>
      </c>
      <c r="I673">
        <v>0</v>
      </c>
      <c r="J673">
        <v>0</v>
      </c>
      <c r="K673">
        <v>3655885.37</v>
      </c>
    </row>
    <row r="674" spans="1:11" x14ac:dyDescent="0.25">
      <c r="A674" t="s">
        <v>446</v>
      </c>
      <c r="B674" t="s">
        <v>447</v>
      </c>
      <c r="C674" t="s">
        <v>631</v>
      </c>
      <c r="D674" t="s">
        <v>848</v>
      </c>
      <c r="E674">
        <v>6507600</v>
      </c>
      <c r="F674" t="s">
        <v>849</v>
      </c>
      <c r="G674">
        <v>0</v>
      </c>
      <c r="H674">
        <v>0</v>
      </c>
      <c r="I674">
        <v>0</v>
      </c>
      <c r="J674">
        <v>0</v>
      </c>
      <c r="K674">
        <v>6507600</v>
      </c>
    </row>
    <row r="675" spans="1:11" x14ac:dyDescent="0.25">
      <c r="A675" t="s">
        <v>448</v>
      </c>
      <c r="B675" t="s">
        <v>449</v>
      </c>
      <c r="C675" t="s">
        <v>631</v>
      </c>
      <c r="D675" t="s">
        <v>776</v>
      </c>
      <c r="E675">
        <v>0</v>
      </c>
      <c r="F675" t="s">
        <v>777</v>
      </c>
      <c r="G675">
        <v>724029.73</v>
      </c>
      <c r="H675">
        <v>0</v>
      </c>
      <c r="I675">
        <v>0</v>
      </c>
      <c r="J675">
        <v>0</v>
      </c>
      <c r="K675">
        <v>724029.73</v>
      </c>
    </row>
    <row r="676" spans="1:11" x14ac:dyDescent="0.25">
      <c r="A676" t="s">
        <v>587</v>
      </c>
      <c r="B676" t="s">
        <v>588</v>
      </c>
      <c r="C676" t="s">
        <v>631</v>
      </c>
      <c r="D676" t="s">
        <v>776</v>
      </c>
      <c r="E676">
        <v>0</v>
      </c>
      <c r="F676" t="s">
        <v>777</v>
      </c>
      <c r="G676">
        <v>166980</v>
      </c>
      <c r="H676">
        <v>228690</v>
      </c>
      <c r="I676">
        <v>0</v>
      </c>
      <c r="J676">
        <v>0</v>
      </c>
      <c r="K676">
        <v>395670</v>
      </c>
    </row>
    <row r="677" spans="1:11" x14ac:dyDescent="0.25">
      <c r="A677" t="s">
        <v>589</v>
      </c>
      <c r="B677" t="s">
        <v>590</v>
      </c>
      <c r="C677" t="s">
        <v>631</v>
      </c>
      <c r="D677" t="s">
        <v>658</v>
      </c>
      <c r="E677">
        <v>0</v>
      </c>
      <c r="F677" t="s">
        <v>659</v>
      </c>
      <c r="G677">
        <v>950319.81</v>
      </c>
      <c r="H677">
        <v>0</v>
      </c>
      <c r="I677">
        <v>0</v>
      </c>
      <c r="J677">
        <v>0</v>
      </c>
      <c r="K677">
        <v>950319.81</v>
      </c>
    </row>
    <row r="678" spans="1:11" x14ac:dyDescent="0.25">
      <c r="A678" t="s">
        <v>450</v>
      </c>
      <c r="B678" t="s">
        <v>451</v>
      </c>
      <c r="C678" t="s">
        <v>631</v>
      </c>
      <c r="D678" t="s">
        <v>668</v>
      </c>
      <c r="E678">
        <v>0</v>
      </c>
      <c r="F678" t="s">
        <v>669</v>
      </c>
      <c r="G678">
        <v>6804072</v>
      </c>
      <c r="H678">
        <v>2560844</v>
      </c>
      <c r="I678">
        <v>0</v>
      </c>
      <c r="J678">
        <v>0</v>
      </c>
      <c r="K678">
        <v>9364916</v>
      </c>
    </row>
    <row r="679" spans="1:11" x14ac:dyDescent="0.25">
      <c r="A679" t="s">
        <v>452</v>
      </c>
      <c r="B679" t="s">
        <v>453</v>
      </c>
      <c r="C679" t="s">
        <v>631</v>
      </c>
      <c r="D679" t="s">
        <v>848</v>
      </c>
      <c r="E679">
        <v>0</v>
      </c>
      <c r="F679" t="s">
        <v>849</v>
      </c>
      <c r="G679">
        <v>3551488.68</v>
      </c>
      <c r="H679">
        <v>3522285.1</v>
      </c>
      <c r="I679">
        <v>0</v>
      </c>
      <c r="J679">
        <v>0</v>
      </c>
      <c r="K679">
        <v>7073773.7800000003</v>
      </c>
    </row>
    <row r="680" spans="1:11" x14ac:dyDescent="0.25">
      <c r="A680" t="s">
        <v>454</v>
      </c>
      <c r="B680" t="s">
        <v>455</v>
      </c>
      <c r="C680" t="s">
        <v>631</v>
      </c>
      <c r="D680" t="s">
        <v>658</v>
      </c>
      <c r="E680">
        <v>0</v>
      </c>
      <c r="F680" t="s">
        <v>659</v>
      </c>
      <c r="G680">
        <v>2261177</v>
      </c>
      <c r="H680">
        <v>0</v>
      </c>
      <c r="I680">
        <v>0</v>
      </c>
      <c r="J680">
        <v>0</v>
      </c>
      <c r="K680">
        <v>2261177</v>
      </c>
    </row>
    <row r="681" spans="1:11" x14ac:dyDescent="0.25">
      <c r="A681" t="s">
        <v>591</v>
      </c>
      <c r="B681" t="s">
        <v>592</v>
      </c>
      <c r="C681" t="s">
        <v>631</v>
      </c>
      <c r="D681" t="s">
        <v>864</v>
      </c>
      <c r="E681">
        <v>0</v>
      </c>
      <c r="F681" t="s">
        <v>865</v>
      </c>
      <c r="G681">
        <v>144499.99</v>
      </c>
      <c r="H681">
        <v>0</v>
      </c>
      <c r="I681">
        <v>0</v>
      </c>
      <c r="J681">
        <v>0</v>
      </c>
      <c r="K681">
        <v>144499.99</v>
      </c>
    </row>
    <row r="682" spans="1:11" x14ac:dyDescent="0.25">
      <c r="A682" t="s">
        <v>866</v>
      </c>
      <c r="B682" t="s">
        <v>867</v>
      </c>
      <c r="C682" t="s">
        <v>631</v>
      </c>
      <c r="D682" t="s">
        <v>668</v>
      </c>
      <c r="E682">
        <v>3300000</v>
      </c>
      <c r="F682" t="s">
        <v>669</v>
      </c>
      <c r="G682">
        <v>0</v>
      </c>
      <c r="H682">
        <v>0</v>
      </c>
      <c r="I682">
        <v>0</v>
      </c>
      <c r="J682">
        <v>0</v>
      </c>
      <c r="K682">
        <v>3300000</v>
      </c>
    </row>
    <row r="683" spans="1:11" x14ac:dyDescent="0.25">
      <c r="A683" t="s">
        <v>456</v>
      </c>
      <c r="B683" t="s">
        <v>457</v>
      </c>
      <c r="C683" t="s">
        <v>631</v>
      </c>
      <c r="D683" t="s">
        <v>718</v>
      </c>
      <c r="E683">
        <v>0</v>
      </c>
      <c r="F683" t="s">
        <v>719</v>
      </c>
      <c r="G683">
        <v>6468021.1200000001</v>
      </c>
      <c r="H683">
        <v>7019331</v>
      </c>
      <c r="I683">
        <v>0</v>
      </c>
      <c r="J683">
        <v>0</v>
      </c>
      <c r="K683">
        <v>13487352.119999999</v>
      </c>
    </row>
    <row r="684" spans="1:11" x14ac:dyDescent="0.25">
      <c r="A684" t="s">
        <v>458</v>
      </c>
      <c r="B684" t="s">
        <v>459</v>
      </c>
      <c r="C684" t="s">
        <v>631</v>
      </c>
      <c r="D684" t="s">
        <v>792</v>
      </c>
      <c r="E684">
        <v>0</v>
      </c>
      <c r="F684" t="s">
        <v>793</v>
      </c>
      <c r="G684">
        <v>2560211.65</v>
      </c>
      <c r="H684">
        <v>0</v>
      </c>
      <c r="I684">
        <v>0</v>
      </c>
      <c r="J684">
        <v>0</v>
      </c>
      <c r="K684">
        <v>2560211.65</v>
      </c>
    </row>
    <row r="685" spans="1:11" x14ac:dyDescent="0.25">
      <c r="A685" t="s">
        <v>460</v>
      </c>
      <c r="B685" t="s">
        <v>461</v>
      </c>
      <c r="C685" t="s">
        <v>631</v>
      </c>
      <c r="D685" t="s">
        <v>638</v>
      </c>
      <c r="E685">
        <v>0</v>
      </c>
      <c r="F685" t="s">
        <v>639</v>
      </c>
      <c r="G685">
        <v>143199.87</v>
      </c>
      <c r="H685">
        <v>0</v>
      </c>
      <c r="I685">
        <v>0</v>
      </c>
      <c r="J685">
        <v>0</v>
      </c>
      <c r="K685">
        <v>143199.87</v>
      </c>
    </row>
    <row r="686" spans="1:11" x14ac:dyDescent="0.25">
      <c r="A686" t="s">
        <v>462</v>
      </c>
      <c r="B686" t="s">
        <v>463</v>
      </c>
      <c r="C686" t="s">
        <v>631</v>
      </c>
      <c r="D686" t="s">
        <v>868</v>
      </c>
      <c r="E686">
        <v>0</v>
      </c>
      <c r="F686" t="s">
        <v>869</v>
      </c>
      <c r="G686">
        <v>0</v>
      </c>
      <c r="H686">
        <v>16855300</v>
      </c>
      <c r="I686">
        <v>0</v>
      </c>
      <c r="J686">
        <v>0</v>
      </c>
      <c r="K686">
        <v>16855300</v>
      </c>
    </row>
    <row r="687" spans="1:11" x14ac:dyDescent="0.25">
      <c r="A687" t="s">
        <v>464</v>
      </c>
      <c r="B687" t="s">
        <v>465</v>
      </c>
      <c r="C687" t="s">
        <v>631</v>
      </c>
      <c r="D687" t="s">
        <v>658</v>
      </c>
      <c r="E687">
        <v>0</v>
      </c>
      <c r="F687" t="s">
        <v>659</v>
      </c>
      <c r="G687">
        <v>826550</v>
      </c>
      <c r="H687">
        <v>593150</v>
      </c>
      <c r="I687">
        <v>0</v>
      </c>
      <c r="J687">
        <v>0</v>
      </c>
      <c r="K687">
        <v>1419700</v>
      </c>
    </row>
    <row r="688" spans="1:11" x14ac:dyDescent="0.25">
      <c r="A688" t="s">
        <v>870</v>
      </c>
      <c r="B688" t="s">
        <v>871</v>
      </c>
      <c r="C688" t="s">
        <v>631</v>
      </c>
      <c r="D688" t="s">
        <v>676</v>
      </c>
      <c r="E688">
        <v>0</v>
      </c>
      <c r="F688" t="s">
        <v>677</v>
      </c>
      <c r="G688">
        <v>1331000</v>
      </c>
      <c r="H688">
        <v>0</v>
      </c>
      <c r="I688">
        <v>0</v>
      </c>
      <c r="J688">
        <v>0</v>
      </c>
      <c r="K688">
        <v>1331000</v>
      </c>
    </row>
    <row r="689" spans="1:11" x14ac:dyDescent="0.25">
      <c r="A689" t="s">
        <v>466</v>
      </c>
      <c r="B689" t="s">
        <v>467</v>
      </c>
      <c r="C689" t="s">
        <v>631</v>
      </c>
      <c r="D689" t="s">
        <v>758</v>
      </c>
      <c r="E689">
        <v>0</v>
      </c>
      <c r="F689" t="s">
        <v>759</v>
      </c>
      <c r="G689">
        <v>9029998</v>
      </c>
      <c r="H689">
        <v>8664000</v>
      </c>
      <c r="I689">
        <v>0</v>
      </c>
      <c r="J689">
        <v>0</v>
      </c>
      <c r="K689">
        <v>17693998</v>
      </c>
    </row>
    <row r="690" spans="1:11" x14ac:dyDescent="0.25">
      <c r="A690" t="s">
        <v>468</v>
      </c>
      <c r="B690" t="s">
        <v>469</v>
      </c>
      <c r="C690" t="s">
        <v>631</v>
      </c>
      <c r="D690" t="s">
        <v>814</v>
      </c>
      <c r="E690">
        <v>0</v>
      </c>
      <c r="F690" t="s">
        <v>815</v>
      </c>
      <c r="G690">
        <v>788032</v>
      </c>
      <c r="H690">
        <v>2796247.55</v>
      </c>
      <c r="I690">
        <v>0</v>
      </c>
      <c r="J690">
        <v>0</v>
      </c>
      <c r="K690">
        <v>3584279.55</v>
      </c>
    </row>
    <row r="691" spans="1:11" x14ac:dyDescent="0.25">
      <c r="A691" t="s">
        <v>470</v>
      </c>
      <c r="B691" t="s">
        <v>471</v>
      </c>
      <c r="C691" t="s">
        <v>631</v>
      </c>
      <c r="D691" t="s">
        <v>872</v>
      </c>
      <c r="E691">
        <v>0</v>
      </c>
      <c r="F691" t="s">
        <v>873</v>
      </c>
      <c r="G691">
        <v>1851080</v>
      </c>
      <c r="H691">
        <v>1851080</v>
      </c>
      <c r="I691">
        <v>0</v>
      </c>
      <c r="J691">
        <v>0</v>
      </c>
      <c r="K691">
        <v>3702160</v>
      </c>
    </row>
    <row r="692" spans="1:11" x14ac:dyDescent="0.25">
      <c r="A692" t="s">
        <v>472</v>
      </c>
      <c r="B692" t="s">
        <v>473</v>
      </c>
      <c r="C692" t="s">
        <v>631</v>
      </c>
      <c r="D692" t="s">
        <v>652</v>
      </c>
      <c r="E692">
        <v>0</v>
      </c>
      <c r="F692" t="s">
        <v>653</v>
      </c>
      <c r="G692">
        <v>0</v>
      </c>
      <c r="H692">
        <v>8422034.7799999993</v>
      </c>
      <c r="I692">
        <v>0</v>
      </c>
      <c r="J692">
        <v>0</v>
      </c>
      <c r="K692">
        <v>8422034.7799999993</v>
      </c>
    </row>
    <row r="693" spans="1:11" x14ac:dyDescent="0.25">
      <c r="A693" t="s">
        <v>474</v>
      </c>
      <c r="B693" t="s">
        <v>475</v>
      </c>
      <c r="C693" t="s">
        <v>631</v>
      </c>
      <c r="D693" t="s">
        <v>740</v>
      </c>
      <c r="E693">
        <v>0</v>
      </c>
      <c r="F693" t="s">
        <v>741</v>
      </c>
      <c r="G693">
        <v>0</v>
      </c>
      <c r="H693">
        <v>0</v>
      </c>
      <c r="I693">
        <v>0</v>
      </c>
      <c r="J693">
        <v>1074310</v>
      </c>
      <c r="K693">
        <v>1074310</v>
      </c>
    </row>
    <row r="694" spans="1:11" x14ac:dyDescent="0.25">
      <c r="A694" t="s">
        <v>874</v>
      </c>
      <c r="B694" t="s">
        <v>875</v>
      </c>
      <c r="C694" t="s">
        <v>631</v>
      </c>
      <c r="D694" t="s">
        <v>818</v>
      </c>
      <c r="E694">
        <v>0</v>
      </c>
      <c r="F694" t="s">
        <v>819</v>
      </c>
      <c r="G694">
        <v>105000</v>
      </c>
      <c r="H694">
        <v>0</v>
      </c>
      <c r="I694">
        <v>0</v>
      </c>
      <c r="J694">
        <v>0</v>
      </c>
      <c r="K694">
        <v>105000</v>
      </c>
    </row>
    <row r="695" spans="1:11" x14ac:dyDescent="0.25">
      <c r="A695" t="s">
        <v>476</v>
      </c>
      <c r="B695" t="s">
        <v>477</v>
      </c>
      <c r="C695" t="s">
        <v>631</v>
      </c>
      <c r="D695" t="s">
        <v>678</v>
      </c>
      <c r="E695">
        <v>0</v>
      </c>
      <c r="F695" t="s">
        <v>679</v>
      </c>
      <c r="G695">
        <v>0</v>
      </c>
      <c r="H695">
        <v>1271600</v>
      </c>
      <c r="I695">
        <v>0</v>
      </c>
      <c r="J695">
        <v>0</v>
      </c>
      <c r="K695">
        <v>1271600</v>
      </c>
    </row>
    <row r="696" spans="1:11" x14ac:dyDescent="0.25">
      <c r="A696" t="s">
        <v>593</v>
      </c>
      <c r="B696" t="s">
        <v>594</v>
      </c>
      <c r="C696" t="s">
        <v>631</v>
      </c>
      <c r="D696" t="s">
        <v>876</v>
      </c>
      <c r="E696">
        <v>0</v>
      </c>
      <c r="F696" t="s">
        <v>877</v>
      </c>
      <c r="G696">
        <v>3228555.27</v>
      </c>
      <c r="H696">
        <v>248261.75</v>
      </c>
      <c r="I696">
        <v>0</v>
      </c>
      <c r="J696">
        <v>0</v>
      </c>
      <c r="K696">
        <v>3476817.02</v>
      </c>
    </row>
    <row r="697" spans="1:11" x14ac:dyDescent="0.25">
      <c r="A697" t="s">
        <v>478</v>
      </c>
      <c r="B697" t="s">
        <v>479</v>
      </c>
      <c r="C697" t="s">
        <v>631</v>
      </c>
      <c r="D697" t="s">
        <v>764</v>
      </c>
      <c r="E697">
        <v>0</v>
      </c>
      <c r="F697" t="s">
        <v>765</v>
      </c>
      <c r="G697">
        <v>308126.71999999997</v>
      </c>
      <c r="H697">
        <v>0</v>
      </c>
      <c r="I697">
        <v>0</v>
      </c>
      <c r="J697">
        <v>0</v>
      </c>
      <c r="K697">
        <v>308126.71999999997</v>
      </c>
    </row>
    <row r="698" spans="1:11" x14ac:dyDescent="0.25">
      <c r="A698" t="s">
        <v>480</v>
      </c>
      <c r="B698" t="s">
        <v>481</v>
      </c>
      <c r="C698" t="s">
        <v>631</v>
      </c>
      <c r="D698" t="s">
        <v>670</v>
      </c>
      <c r="E698">
        <v>0</v>
      </c>
      <c r="F698" t="s">
        <v>671</v>
      </c>
      <c r="G698">
        <v>43990000</v>
      </c>
      <c r="H698">
        <v>32040000</v>
      </c>
      <c r="I698">
        <v>0</v>
      </c>
      <c r="J698">
        <v>0</v>
      </c>
      <c r="K698">
        <v>76030000</v>
      </c>
    </row>
    <row r="699" spans="1:11" x14ac:dyDescent="0.25">
      <c r="A699" t="s">
        <v>482</v>
      </c>
      <c r="B699" t="s">
        <v>483</v>
      </c>
      <c r="C699" t="s">
        <v>631</v>
      </c>
      <c r="D699" t="s">
        <v>740</v>
      </c>
      <c r="E699">
        <v>0</v>
      </c>
      <c r="F699" t="s">
        <v>741</v>
      </c>
      <c r="G699">
        <v>0</v>
      </c>
      <c r="H699">
        <v>0</v>
      </c>
      <c r="I699">
        <v>0</v>
      </c>
      <c r="J699">
        <v>8115779.6100000003</v>
      </c>
      <c r="K699">
        <v>8115779.6100000003</v>
      </c>
    </row>
    <row r="700" spans="1:11" x14ac:dyDescent="0.25">
      <c r="A700" t="s">
        <v>595</v>
      </c>
      <c r="B700" t="s">
        <v>596</v>
      </c>
      <c r="C700" t="s">
        <v>631</v>
      </c>
      <c r="D700" t="s">
        <v>740</v>
      </c>
      <c r="E700">
        <v>0</v>
      </c>
      <c r="F700" t="s">
        <v>741</v>
      </c>
      <c r="G700">
        <v>668261.64</v>
      </c>
      <c r="H700">
        <v>0</v>
      </c>
      <c r="I700">
        <v>0</v>
      </c>
      <c r="J700">
        <v>0</v>
      </c>
      <c r="K700">
        <v>668261.64</v>
      </c>
    </row>
    <row r="701" spans="1:11" x14ac:dyDescent="0.25">
      <c r="A701" t="s">
        <v>484</v>
      </c>
      <c r="B701" t="s">
        <v>485</v>
      </c>
      <c r="C701" t="s">
        <v>631</v>
      </c>
      <c r="D701" t="s">
        <v>738</v>
      </c>
      <c r="E701">
        <v>0</v>
      </c>
      <c r="F701" t="s">
        <v>739</v>
      </c>
      <c r="G701">
        <v>0</v>
      </c>
      <c r="H701">
        <v>8034400</v>
      </c>
      <c r="I701">
        <v>0</v>
      </c>
      <c r="J701">
        <v>0</v>
      </c>
      <c r="K701">
        <v>8034400</v>
      </c>
    </row>
    <row r="702" spans="1:11" x14ac:dyDescent="0.25">
      <c r="A702" t="s">
        <v>486</v>
      </c>
      <c r="B702" t="s">
        <v>487</v>
      </c>
      <c r="C702" t="s">
        <v>631</v>
      </c>
      <c r="D702" t="s">
        <v>718</v>
      </c>
      <c r="E702">
        <v>0</v>
      </c>
      <c r="F702" t="s">
        <v>719</v>
      </c>
      <c r="G702">
        <v>0</v>
      </c>
      <c r="H702">
        <v>2998380</v>
      </c>
      <c r="I702">
        <v>0</v>
      </c>
      <c r="J702">
        <v>0</v>
      </c>
      <c r="K702">
        <v>2998380</v>
      </c>
    </row>
    <row r="703" spans="1:11" x14ac:dyDescent="0.25">
      <c r="A703" t="s">
        <v>597</v>
      </c>
      <c r="B703" t="s">
        <v>598</v>
      </c>
      <c r="C703" t="s">
        <v>631</v>
      </c>
      <c r="D703" t="s">
        <v>700</v>
      </c>
      <c r="E703">
        <v>0</v>
      </c>
      <c r="F703" t="s">
        <v>701</v>
      </c>
      <c r="G703">
        <v>33011550</v>
      </c>
      <c r="H703">
        <v>0</v>
      </c>
      <c r="I703">
        <v>0</v>
      </c>
      <c r="J703">
        <v>0</v>
      </c>
      <c r="K703">
        <v>33011550</v>
      </c>
    </row>
    <row r="704" spans="1:11" x14ac:dyDescent="0.25">
      <c r="A704" t="s">
        <v>488</v>
      </c>
      <c r="B704" t="s">
        <v>489</v>
      </c>
      <c r="C704" t="s">
        <v>631</v>
      </c>
      <c r="D704" t="s">
        <v>740</v>
      </c>
      <c r="E704">
        <v>0</v>
      </c>
      <c r="F704" t="s">
        <v>741</v>
      </c>
      <c r="G704">
        <v>0</v>
      </c>
      <c r="H704">
        <v>0</v>
      </c>
      <c r="I704">
        <v>0</v>
      </c>
      <c r="J704">
        <v>25876207.34</v>
      </c>
      <c r="K704">
        <v>25876207.34</v>
      </c>
    </row>
    <row r="705" spans="1:11" x14ac:dyDescent="0.25">
      <c r="A705" t="s">
        <v>599</v>
      </c>
      <c r="B705" t="s">
        <v>600</v>
      </c>
      <c r="C705" t="s">
        <v>631</v>
      </c>
      <c r="D705" t="s">
        <v>878</v>
      </c>
      <c r="E705">
        <v>0</v>
      </c>
      <c r="F705" t="s">
        <v>879</v>
      </c>
      <c r="G705">
        <v>3618300</v>
      </c>
      <c r="H705">
        <v>0</v>
      </c>
      <c r="I705">
        <v>0</v>
      </c>
      <c r="J705">
        <v>0</v>
      </c>
      <c r="K705">
        <v>3618300</v>
      </c>
    </row>
    <row r="706" spans="1:11" x14ac:dyDescent="0.25">
      <c r="A706" t="s">
        <v>490</v>
      </c>
      <c r="B706" t="s">
        <v>491</v>
      </c>
      <c r="C706" t="s">
        <v>631</v>
      </c>
      <c r="D706" t="s">
        <v>778</v>
      </c>
      <c r="E706">
        <v>0</v>
      </c>
      <c r="F706" t="s">
        <v>779</v>
      </c>
      <c r="G706">
        <v>0</v>
      </c>
      <c r="H706">
        <v>0</v>
      </c>
      <c r="I706">
        <v>0</v>
      </c>
      <c r="J706">
        <v>1331</v>
      </c>
      <c r="K706">
        <v>1331</v>
      </c>
    </row>
    <row r="707" spans="1:11" x14ac:dyDescent="0.25">
      <c r="A707" t="s">
        <v>880</v>
      </c>
      <c r="B707" t="s">
        <v>881</v>
      </c>
      <c r="C707" t="s">
        <v>631</v>
      </c>
      <c r="D707" t="s">
        <v>664</v>
      </c>
      <c r="E707">
        <v>0</v>
      </c>
      <c r="F707" t="s">
        <v>665</v>
      </c>
      <c r="G707">
        <v>1557590</v>
      </c>
      <c r="H707">
        <v>0</v>
      </c>
      <c r="I707">
        <v>0</v>
      </c>
      <c r="J707">
        <v>0</v>
      </c>
      <c r="K707">
        <v>1557590</v>
      </c>
    </row>
    <row r="708" spans="1:11" x14ac:dyDescent="0.25">
      <c r="A708" t="s">
        <v>492</v>
      </c>
      <c r="B708" t="s">
        <v>493</v>
      </c>
      <c r="C708" t="s">
        <v>631</v>
      </c>
      <c r="D708" t="s">
        <v>752</v>
      </c>
      <c r="E708">
        <v>0</v>
      </c>
      <c r="F708" t="s">
        <v>753</v>
      </c>
      <c r="G708">
        <v>1174895.77</v>
      </c>
      <c r="H708">
        <v>0</v>
      </c>
      <c r="I708">
        <v>0</v>
      </c>
      <c r="J708">
        <v>0</v>
      </c>
      <c r="K708">
        <v>1174895.77</v>
      </c>
    </row>
    <row r="709" spans="1:11" x14ac:dyDescent="0.25">
      <c r="A709" t="s">
        <v>494</v>
      </c>
      <c r="B709" t="s">
        <v>495</v>
      </c>
      <c r="C709" t="s">
        <v>631</v>
      </c>
      <c r="D709" t="s">
        <v>828</v>
      </c>
      <c r="E709">
        <v>0</v>
      </c>
      <c r="F709" t="s">
        <v>882</v>
      </c>
      <c r="G709">
        <v>4089800</v>
      </c>
      <c r="H709">
        <v>0</v>
      </c>
      <c r="I709">
        <v>0</v>
      </c>
      <c r="J709">
        <v>0</v>
      </c>
      <c r="K709">
        <v>4089800</v>
      </c>
    </row>
    <row r="710" spans="1:11" x14ac:dyDescent="0.25">
      <c r="A710" t="s">
        <v>601</v>
      </c>
      <c r="B710" t="s">
        <v>602</v>
      </c>
      <c r="C710" t="s">
        <v>631</v>
      </c>
      <c r="D710" t="s">
        <v>682</v>
      </c>
      <c r="E710">
        <v>0</v>
      </c>
      <c r="F710" t="s">
        <v>683</v>
      </c>
      <c r="G710">
        <v>556600</v>
      </c>
      <c r="H710">
        <v>0</v>
      </c>
      <c r="I710">
        <v>0</v>
      </c>
      <c r="J710">
        <v>0</v>
      </c>
      <c r="K710">
        <v>556600</v>
      </c>
    </row>
    <row r="711" spans="1:11" x14ac:dyDescent="0.25">
      <c r="A711" t="s">
        <v>496</v>
      </c>
      <c r="B711" t="s">
        <v>497</v>
      </c>
      <c r="C711" t="s">
        <v>631</v>
      </c>
      <c r="D711" t="s">
        <v>808</v>
      </c>
      <c r="E711">
        <v>0</v>
      </c>
      <c r="F711" t="s">
        <v>809</v>
      </c>
      <c r="G711">
        <v>16443900</v>
      </c>
      <c r="H711">
        <v>0</v>
      </c>
      <c r="I711">
        <v>0</v>
      </c>
      <c r="J711">
        <v>0</v>
      </c>
      <c r="K711">
        <v>16443900</v>
      </c>
    </row>
    <row r="712" spans="1:11" x14ac:dyDescent="0.25">
      <c r="A712" t="s">
        <v>603</v>
      </c>
      <c r="B712" t="s">
        <v>604</v>
      </c>
      <c r="C712" t="s">
        <v>631</v>
      </c>
      <c r="D712" t="s">
        <v>718</v>
      </c>
      <c r="E712">
        <v>0</v>
      </c>
      <c r="F712" t="s">
        <v>719</v>
      </c>
      <c r="G712">
        <v>4471155.84</v>
      </c>
      <c r="H712">
        <v>0</v>
      </c>
      <c r="I712">
        <v>0</v>
      </c>
      <c r="J712">
        <v>0</v>
      </c>
      <c r="K712">
        <v>4471155.84</v>
      </c>
    </row>
    <row r="713" spans="1:11" x14ac:dyDescent="0.25">
      <c r="A713" t="s">
        <v>498</v>
      </c>
      <c r="B713" t="s">
        <v>499</v>
      </c>
      <c r="C713" t="s">
        <v>631</v>
      </c>
      <c r="D713" t="s">
        <v>852</v>
      </c>
      <c r="E713">
        <v>0</v>
      </c>
      <c r="F713" t="s">
        <v>853</v>
      </c>
      <c r="G713">
        <v>0</v>
      </c>
      <c r="H713">
        <v>94650</v>
      </c>
      <c r="I713">
        <v>0</v>
      </c>
      <c r="J713">
        <v>0</v>
      </c>
      <c r="K713">
        <v>94650</v>
      </c>
    </row>
    <row r="714" spans="1:11" x14ac:dyDescent="0.25">
      <c r="A714" t="s">
        <v>500</v>
      </c>
      <c r="B714" t="s">
        <v>501</v>
      </c>
      <c r="C714" t="s">
        <v>631</v>
      </c>
      <c r="D714" t="s">
        <v>646</v>
      </c>
      <c r="E714">
        <v>0</v>
      </c>
      <c r="F714" t="s">
        <v>647</v>
      </c>
      <c r="G714">
        <v>5454380.2699999996</v>
      </c>
      <c r="H714">
        <v>0</v>
      </c>
      <c r="I714">
        <v>0</v>
      </c>
      <c r="J714">
        <v>0</v>
      </c>
      <c r="K714">
        <v>5454380.2699999996</v>
      </c>
    </row>
    <row r="715" spans="1:11" x14ac:dyDescent="0.25">
      <c r="A715" t="s">
        <v>502</v>
      </c>
      <c r="B715" t="s">
        <v>503</v>
      </c>
      <c r="C715" t="s">
        <v>631</v>
      </c>
      <c r="D715" t="s">
        <v>848</v>
      </c>
      <c r="E715">
        <v>0</v>
      </c>
      <c r="F715" t="s">
        <v>849</v>
      </c>
      <c r="G715">
        <v>263780</v>
      </c>
      <c r="H715">
        <v>7000000</v>
      </c>
      <c r="I715">
        <v>0</v>
      </c>
      <c r="J715">
        <v>0</v>
      </c>
      <c r="K715">
        <v>7263780</v>
      </c>
    </row>
    <row r="716" spans="1:11" x14ac:dyDescent="0.25">
      <c r="A716" t="s">
        <v>605</v>
      </c>
      <c r="B716" t="s">
        <v>606</v>
      </c>
      <c r="C716" t="s">
        <v>631</v>
      </c>
      <c r="D716" t="s">
        <v>660</v>
      </c>
      <c r="E716">
        <v>0</v>
      </c>
      <c r="F716" t="s">
        <v>661</v>
      </c>
      <c r="G716">
        <v>1445042.13</v>
      </c>
      <c r="H716">
        <v>0</v>
      </c>
      <c r="I716">
        <v>0</v>
      </c>
      <c r="J716">
        <v>0</v>
      </c>
      <c r="K716">
        <v>1445042.13</v>
      </c>
    </row>
    <row r="717" spans="1:11" x14ac:dyDescent="0.25">
      <c r="A717" t="s">
        <v>883</v>
      </c>
      <c r="B717" t="s">
        <v>884</v>
      </c>
      <c r="C717" t="s">
        <v>631</v>
      </c>
      <c r="D717" t="s">
        <v>885</v>
      </c>
      <c r="E717">
        <v>0</v>
      </c>
      <c r="F717" t="s">
        <v>886</v>
      </c>
      <c r="G717">
        <v>1478381.01</v>
      </c>
      <c r="H717">
        <v>0</v>
      </c>
      <c r="I717">
        <v>0</v>
      </c>
      <c r="J717">
        <v>0</v>
      </c>
      <c r="K717">
        <v>1478381.01</v>
      </c>
    </row>
    <row r="718" spans="1:11" x14ac:dyDescent="0.25">
      <c r="A718" t="s">
        <v>504</v>
      </c>
      <c r="B718" t="s">
        <v>505</v>
      </c>
      <c r="C718" t="s">
        <v>631</v>
      </c>
      <c r="D718" t="s">
        <v>668</v>
      </c>
      <c r="E718">
        <v>0</v>
      </c>
      <c r="F718" t="s">
        <v>669</v>
      </c>
      <c r="G718">
        <v>590000</v>
      </c>
      <c r="H718">
        <v>240000</v>
      </c>
      <c r="I718">
        <v>0</v>
      </c>
      <c r="J718">
        <v>0</v>
      </c>
      <c r="K718">
        <v>830000</v>
      </c>
    </row>
    <row r="719" spans="1:11" x14ac:dyDescent="0.25">
      <c r="A719" t="s">
        <v>887</v>
      </c>
      <c r="B719" t="s">
        <v>888</v>
      </c>
      <c r="C719" t="s">
        <v>631</v>
      </c>
      <c r="D719" t="s">
        <v>724</v>
      </c>
      <c r="E719">
        <v>0</v>
      </c>
      <c r="F719" t="s">
        <v>725</v>
      </c>
      <c r="G719">
        <v>657417.41</v>
      </c>
      <c r="H719">
        <v>0</v>
      </c>
      <c r="I719">
        <v>0</v>
      </c>
      <c r="J719">
        <v>0</v>
      </c>
      <c r="K719">
        <v>657417.41</v>
      </c>
    </row>
    <row r="720" spans="1:11" x14ac:dyDescent="0.25">
      <c r="A720" t="s">
        <v>506</v>
      </c>
      <c r="B720" t="s">
        <v>507</v>
      </c>
      <c r="C720" t="s">
        <v>631</v>
      </c>
      <c r="D720" t="s">
        <v>889</v>
      </c>
      <c r="E720">
        <v>0</v>
      </c>
      <c r="F720" t="s">
        <v>890</v>
      </c>
      <c r="G720">
        <v>2669255.2400000002</v>
      </c>
      <c r="H720">
        <v>0</v>
      </c>
      <c r="I720">
        <v>0</v>
      </c>
      <c r="J720">
        <v>0</v>
      </c>
      <c r="K720">
        <v>2669255.2400000002</v>
      </c>
    </row>
    <row r="721" spans="1:11" x14ac:dyDescent="0.25">
      <c r="A721" t="s">
        <v>508</v>
      </c>
      <c r="B721" t="s">
        <v>509</v>
      </c>
      <c r="C721" t="s">
        <v>631</v>
      </c>
      <c r="D721" t="s">
        <v>818</v>
      </c>
      <c r="E721">
        <v>0</v>
      </c>
      <c r="F721" t="s">
        <v>819</v>
      </c>
      <c r="G721">
        <v>0</v>
      </c>
      <c r="H721">
        <v>-0.01</v>
      </c>
      <c r="I721">
        <v>0</v>
      </c>
      <c r="J721">
        <v>0</v>
      </c>
      <c r="K721">
        <v>-0.01</v>
      </c>
    </row>
    <row r="722" spans="1:11" x14ac:dyDescent="0.25">
      <c r="A722" t="s">
        <v>891</v>
      </c>
      <c r="B722" t="s">
        <v>892</v>
      </c>
      <c r="C722" t="s">
        <v>631</v>
      </c>
      <c r="D722" t="s">
        <v>893</v>
      </c>
      <c r="E722">
        <v>620575.87</v>
      </c>
      <c r="F722" t="s">
        <v>894</v>
      </c>
      <c r="G722">
        <v>0</v>
      </c>
      <c r="H722">
        <v>0</v>
      </c>
      <c r="I722">
        <v>0</v>
      </c>
      <c r="J722">
        <v>0</v>
      </c>
      <c r="K722">
        <v>620575.87</v>
      </c>
    </row>
    <row r="723" spans="1:11" x14ac:dyDescent="0.25">
      <c r="A723" t="s">
        <v>510</v>
      </c>
      <c r="B723" t="s">
        <v>511</v>
      </c>
      <c r="C723" t="s">
        <v>631</v>
      </c>
      <c r="D723" t="s">
        <v>724</v>
      </c>
      <c r="E723">
        <v>0</v>
      </c>
      <c r="F723" t="s">
        <v>725</v>
      </c>
      <c r="G723">
        <v>1098438</v>
      </c>
      <c r="H723">
        <v>0</v>
      </c>
      <c r="I723">
        <v>0</v>
      </c>
      <c r="J723">
        <v>0</v>
      </c>
      <c r="K723">
        <v>1098438</v>
      </c>
    </row>
    <row r="724" spans="1:11" x14ac:dyDescent="0.25">
      <c r="A724" t="s">
        <v>607</v>
      </c>
      <c r="B724" t="s">
        <v>608</v>
      </c>
      <c r="C724" t="s">
        <v>631</v>
      </c>
      <c r="D724" t="s">
        <v>676</v>
      </c>
      <c r="E724">
        <v>0</v>
      </c>
      <c r="F724" t="s">
        <v>677</v>
      </c>
      <c r="G724">
        <v>193600</v>
      </c>
      <c r="H724">
        <v>0</v>
      </c>
      <c r="I724">
        <v>0</v>
      </c>
      <c r="J724">
        <v>0</v>
      </c>
      <c r="K724">
        <v>193600</v>
      </c>
    </row>
    <row r="725" spans="1:11" x14ac:dyDescent="0.25">
      <c r="A725" t="s">
        <v>512</v>
      </c>
      <c r="B725" t="s">
        <v>513</v>
      </c>
      <c r="C725" t="s">
        <v>631</v>
      </c>
      <c r="D725" t="s">
        <v>676</v>
      </c>
      <c r="E725">
        <v>0</v>
      </c>
      <c r="F725" t="s">
        <v>677</v>
      </c>
      <c r="G725">
        <v>8905600</v>
      </c>
      <c r="H725">
        <v>0</v>
      </c>
      <c r="I725">
        <v>0</v>
      </c>
      <c r="J725">
        <v>0</v>
      </c>
      <c r="K725">
        <v>8905600</v>
      </c>
    </row>
    <row r="726" spans="1:11" x14ac:dyDescent="0.25">
      <c r="A726" t="s">
        <v>609</v>
      </c>
      <c r="B726" t="s">
        <v>610</v>
      </c>
      <c r="C726" t="s">
        <v>631</v>
      </c>
      <c r="D726" t="s">
        <v>895</v>
      </c>
      <c r="E726">
        <v>0</v>
      </c>
      <c r="F726" t="s">
        <v>896</v>
      </c>
      <c r="G726">
        <v>6077500</v>
      </c>
      <c r="H726">
        <v>0</v>
      </c>
      <c r="I726">
        <v>0</v>
      </c>
      <c r="J726">
        <v>0</v>
      </c>
      <c r="K726">
        <v>6077500</v>
      </c>
    </row>
    <row r="727" spans="1:11" x14ac:dyDescent="0.25">
      <c r="A727" t="s">
        <v>514</v>
      </c>
      <c r="B727" t="s">
        <v>515</v>
      </c>
      <c r="C727" t="s">
        <v>631</v>
      </c>
      <c r="D727" t="s">
        <v>676</v>
      </c>
      <c r="E727">
        <v>0</v>
      </c>
      <c r="F727" t="s">
        <v>677</v>
      </c>
      <c r="G727">
        <v>0</v>
      </c>
      <c r="H727">
        <v>12821563.85</v>
      </c>
      <c r="I727">
        <v>0</v>
      </c>
      <c r="J727">
        <v>0</v>
      </c>
      <c r="K727">
        <v>12821563.85</v>
      </c>
    </row>
    <row r="728" spans="1:11" x14ac:dyDescent="0.25">
      <c r="A728" t="s">
        <v>611</v>
      </c>
      <c r="B728" t="s">
        <v>612</v>
      </c>
      <c r="C728" t="s">
        <v>631</v>
      </c>
      <c r="D728" t="s">
        <v>658</v>
      </c>
      <c r="E728">
        <v>0</v>
      </c>
      <c r="F728" t="s">
        <v>659</v>
      </c>
      <c r="G728">
        <v>4121960.17</v>
      </c>
      <c r="H728">
        <v>0</v>
      </c>
      <c r="I728">
        <v>0</v>
      </c>
      <c r="J728">
        <v>0</v>
      </c>
      <c r="K728">
        <v>4121960.17</v>
      </c>
    </row>
    <row r="729" spans="1:11" x14ac:dyDescent="0.25">
      <c r="A729" t="s">
        <v>516</v>
      </c>
      <c r="B729" t="s">
        <v>517</v>
      </c>
      <c r="C729" t="s">
        <v>631</v>
      </c>
      <c r="D729" t="s">
        <v>724</v>
      </c>
      <c r="E729">
        <v>0</v>
      </c>
      <c r="F729" t="s">
        <v>725</v>
      </c>
      <c r="G729">
        <v>3824713.2</v>
      </c>
      <c r="H729">
        <v>0</v>
      </c>
      <c r="I729">
        <v>0</v>
      </c>
      <c r="J729">
        <v>0</v>
      </c>
      <c r="K729">
        <v>3824713.2</v>
      </c>
    </row>
    <row r="730" spans="1:11" x14ac:dyDescent="0.25">
      <c r="A730" t="s">
        <v>518</v>
      </c>
      <c r="B730" t="s">
        <v>519</v>
      </c>
      <c r="C730" t="s">
        <v>631</v>
      </c>
      <c r="D730" t="s">
        <v>748</v>
      </c>
      <c r="E730">
        <v>0</v>
      </c>
      <c r="F730" t="s">
        <v>749</v>
      </c>
      <c r="G730">
        <v>17500</v>
      </c>
      <c r="H730">
        <v>0</v>
      </c>
      <c r="I730">
        <v>0</v>
      </c>
      <c r="J730">
        <v>-671301.14</v>
      </c>
      <c r="K730">
        <v>-653801.14</v>
      </c>
    </row>
    <row r="731" spans="1:11" x14ac:dyDescent="0.25">
      <c r="A731" t="s">
        <v>613</v>
      </c>
      <c r="B731" t="s">
        <v>614</v>
      </c>
      <c r="C731" t="s">
        <v>631</v>
      </c>
      <c r="D731" t="s">
        <v>740</v>
      </c>
      <c r="E731">
        <v>0</v>
      </c>
      <c r="F731" t="s">
        <v>741</v>
      </c>
      <c r="G731">
        <v>969400.17</v>
      </c>
      <c r="H731">
        <v>0</v>
      </c>
      <c r="I731">
        <v>0</v>
      </c>
      <c r="J731">
        <v>0</v>
      </c>
      <c r="K731">
        <v>969400.17</v>
      </c>
    </row>
    <row r="732" spans="1:11" x14ac:dyDescent="0.25">
      <c r="A732" t="s">
        <v>520</v>
      </c>
      <c r="B732" t="s">
        <v>521</v>
      </c>
      <c r="C732" t="s">
        <v>631</v>
      </c>
      <c r="D732" t="s">
        <v>897</v>
      </c>
      <c r="E732">
        <v>0</v>
      </c>
      <c r="F732" t="s">
        <v>898</v>
      </c>
      <c r="G732">
        <v>1715262.12</v>
      </c>
      <c r="H732">
        <v>0</v>
      </c>
      <c r="I732">
        <v>0</v>
      </c>
      <c r="J732">
        <v>0</v>
      </c>
      <c r="K732">
        <v>1715262.12</v>
      </c>
    </row>
    <row r="733" spans="1:11" x14ac:dyDescent="0.25">
      <c r="A733" t="s">
        <v>522</v>
      </c>
      <c r="B733" t="s">
        <v>523</v>
      </c>
      <c r="C733" t="s">
        <v>631</v>
      </c>
      <c r="D733" t="s">
        <v>899</v>
      </c>
      <c r="E733">
        <v>0</v>
      </c>
      <c r="F733" t="s">
        <v>900</v>
      </c>
      <c r="G733">
        <v>0</v>
      </c>
      <c r="H733">
        <v>43200964.079999998</v>
      </c>
      <c r="I733">
        <v>0</v>
      </c>
      <c r="J733">
        <v>0</v>
      </c>
      <c r="K733">
        <v>43200964.079999998</v>
      </c>
    </row>
    <row r="734" spans="1:11" x14ac:dyDescent="0.25">
      <c r="A734" t="s">
        <v>524</v>
      </c>
      <c r="B734" t="s">
        <v>525</v>
      </c>
      <c r="C734" t="s">
        <v>631</v>
      </c>
      <c r="D734" t="s">
        <v>694</v>
      </c>
      <c r="E734">
        <v>0</v>
      </c>
      <c r="F734" t="s">
        <v>695</v>
      </c>
      <c r="G734">
        <v>0</v>
      </c>
      <c r="H734">
        <v>787623.42</v>
      </c>
      <c r="I734">
        <v>0</v>
      </c>
      <c r="J734">
        <v>0</v>
      </c>
      <c r="K734">
        <v>787623.42</v>
      </c>
    </row>
    <row r="735" spans="1:11" x14ac:dyDescent="0.25">
      <c r="A735" t="s">
        <v>901</v>
      </c>
      <c r="B735" t="s">
        <v>902</v>
      </c>
      <c r="C735" t="s">
        <v>631</v>
      </c>
      <c r="D735" t="s">
        <v>903</v>
      </c>
      <c r="E735">
        <v>0</v>
      </c>
      <c r="F735" t="s">
        <v>904</v>
      </c>
      <c r="G735">
        <v>7118732.5</v>
      </c>
      <c r="H735">
        <v>0</v>
      </c>
      <c r="I735">
        <v>0</v>
      </c>
      <c r="J735">
        <v>0</v>
      </c>
      <c r="K735">
        <v>7118732.5</v>
      </c>
    </row>
    <row r="736" spans="1:11" x14ac:dyDescent="0.25">
      <c r="A736" t="s">
        <v>526</v>
      </c>
      <c r="B736" t="s">
        <v>527</v>
      </c>
      <c r="C736" t="s">
        <v>631</v>
      </c>
      <c r="D736" t="s">
        <v>724</v>
      </c>
      <c r="E736">
        <v>0</v>
      </c>
      <c r="F736" t="s">
        <v>725</v>
      </c>
      <c r="G736">
        <v>16607798.4</v>
      </c>
      <c r="H736">
        <v>0</v>
      </c>
      <c r="I736">
        <v>0</v>
      </c>
      <c r="J736">
        <v>0</v>
      </c>
      <c r="K736">
        <v>16607798.4</v>
      </c>
    </row>
    <row r="737" spans="1:11" x14ac:dyDescent="0.25">
      <c r="A737" t="s">
        <v>615</v>
      </c>
      <c r="B737" t="s">
        <v>616</v>
      </c>
      <c r="C737" t="s">
        <v>631</v>
      </c>
      <c r="D737" t="s">
        <v>838</v>
      </c>
      <c r="E737">
        <v>0</v>
      </c>
      <c r="F737" t="s">
        <v>839</v>
      </c>
      <c r="G737">
        <v>0</v>
      </c>
      <c r="H737">
        <v>7400000</v>
      </c>
      <c r="I737">
        <v>0</v>
      </c>
      <c r="J737">
        <v>0</v>
      </c>
      <c r="K737">
        <v>7400000</v>
      </c>
    </row>
    <row r="738" spans="1:11" x14ac:dyDescent="0.25">
      <c r="A738" t="s">
        <v>528</v>
      </c>
      <c r="B738" t="s">
        <v>529</v>
      </c>
      <c r="C738" t="s">
        <v>631</v>
      </c>
      <c r="D738" t="s">
        <v>905</v>
      </c>
      <c r="E738">
        <v>0</v>
      </c>
      <c r="F738" t="s">
        <v>906</v>
      </c>
      <c r="G738">
        <v>0</v>
      </c>
      <c r="H738">
        <v>19628712</v>
      </c>
      <c r="I738">
        <v>0</v>
      </c>
      <c r="J738">
        <v>0</v>
      </c>
      <c r="K738">
        <v>19628712</v>
      </c>
    </row>
    <row r="739" spans="1:11" x14ac:dyDescent="0.25">
      <c r="A739" t="s">
        <v>530</v>
      </c>
      <c r="B739" t="s">
        <v>531</v>
      </c>
      <c r="C739" t="s">
        <v>631</v>
      </c>
      <c r="D739" t="s">
        <v>907</v>
      </c>
      <c r="E739">
        <v>20542381.149999999</v>
      </c>
      <c r="F739" t="s">
        <v>908</v>
      </c>
      <c r="G739">
        <v>13029926.74</v>
      </c>
      <c r="H739">
        <v>0</v>
      </c>
      <c r="I739">
        <v>0</v>
      </c>
      <c r="J739">
        <v>0</v>
      </c>
      <c r="K739">
        <v>33572307.890000001</v>
      </c>
    </row>
    <row r="740" spans="1:11" x14ac:dyDescent="0.25">
      <c r="A740" t="s">
        <v>532</v>
      </c>
      <c r="B740" t="s">
        <v>533</v>
      </c>
      <c r="C740" t="s">
        <v>631</v>
      </c>
      <c r="D740" t="s">
        <v>676</v>
      </c>
      <c r="E740">
        <v>0</v>
      </c>
      <c r="F740" t="s">
        <v>677</v>
      </c>
      <c r="G740">
        <v>0</v>
      </c>
      <c r="H740">
        <v>0</v>
      </c>
      <c r="I740">
        <v>0</v>
      </c>
      <c r="J740">
        <v>-1.1100000000000001</v>
      </c>
      <c r="K740">
        <v>-1.1100000000000001</v>
      </c>
    </row>
    <row r="741" spans="1:11" x14ac:dyDescent="0.25">
      <c r="A741" t="s">
        <v>534</v>
      </c>
      <c r="B741" t="s">
        <v>535</v>
      </c>
      <c r="C741" t="s">
        <v>631</v>
      </c>
      <c r="D741" t="s">
        <v>658</v>
      </c>
      <c r="E741">
        <v>0</v>
      </c>
      <c r="F741" t="s">
        <v>659</v>
      </c>
      <c r="G741">
        <v>240911</v>
      </c>
      <c r="H741">
        <v>0</v>
      </c>
      <c r="I741">
        <v>0</v>
      </c>
      <c r="J741">
        <v>0</v>
      </c>
      <c r="K741">
        <v>240911</v>
      </c>
    </row>
    <row r="742" spans="1:11" x14ac:dyDescent="0.25">
      <c r="A742" t="s">
        <v>909</v>
      </c>
      <c r="B742" t="s">
        <v>910</v>
      </c>
      <c r="C742" t="s">
        <v>631</v>
      </c>
      <c r="D742" t="s">
        <v>668</v>
      </c>
      <c r="E742">
        <v>3291313</v>
      </c>
      <c r="F742" t="s">
        <v>669</v>
      </c>
      <c r="G742">
        <v>0</v>
      </c>
      <c r="H742">
        <v>0</v>
      </c>
      <c r="I742">
        <v>0</v>
      </c>
      <c r="J742">
        <v>0</v>
      </c>
      <c r="K742">
        <v>3291313</v>
      </c>
    </row>
    <row r="743" spans="1:11" x14ac:dyDescent="0.25">
      <c r="A743" t="s">
        <v>617</v>
      </c>
      <c r="B743" t="s">
        <v>618</v>
      </c>
      <c r="C743" t="s">
        <v>631</v>
      </c>
      <c r="D743" t="s">
        <v>694</v>
      </c>
      <c r="E743">
        <v>0</v>
      </c>
      <c r="F743" t="s">
        <v>695</v>
      </c>
      <c r="G743">
        <v>1577601.83</v>
      </c>
      <c r="H743">
        <v>0</v>
      </c>
      <c r="I743">
        <v>0</v>
      </c>
      <c r="J743">
        <v>0</v>
      </c>
      <c r="K743">
        <v>1577601.83</v>
      </c>
    </row>
    <row r="744" spans="1:11" x14ac:dyDescent="0.25">
      <c r="A744" t="s">
        <v>536</v>
      </c>
      <c r="B744" t="s">
        <v>537</v>
      </c>
      <c r="C744" t="s">
        <v>631</v>
      </c>
      <c r="D744" t="s">
        <v>848</v>
      </c>
      <c r="E744">
        <v>0</v>
      </c>
      <c r="F744" t="s">
        <v>849</v>
      </c>
      <c r="G744">
        <v>2280920.4</v>
      </c>
      <c r="H744">
        <v>6279914.8300000001</v>
      </c>
      <c r="I744">
        <v>0</v>
      </c>
      <c r="J744">
        <v>0</v>
      </c>
      <c r="K744">
        <v>8560835.2300000004</v>
      </c>
    </row>
    <row r="745" spans="1:11" x14ac:dyDescent="0.25">
      <c r="A745" t="s">
        <v>538</v>
      </c>
      <c r="B745" t="s">
        <v>539</v>
      </c>
      <c r="C745" t="s">
        <v>631</v>
      </c>
      <c r="D745" t="s">
        <v>778</v>
      </c>
      <c r="E745">
        <v>0</v>
      </c>
      <c r="F745" t="s">
        <v>779</v>
      </c>
      <c r="G745">
        <v>0</v>
      </c>
      <c r="H745">
        <v>1485120</v>
      </c>
      <c r="I745">
        <v>0</v>
      </c>
      <c r="J745">
        <v>0</v>
      </c>
      <c r="K745">
        <v>1485120</v>
      </c>
    </row>
    <row r="746" spans="1:11" x14ac:dyDescent="0.25">
      <c r="A746" t="s">
        <v>540</v>
      </c>
      <c r="B746" t="s">
        <v>541</v>
      </c>
      <c r="C746" t="s">
        <v>631</v>
      </c>
      <c r="D746" t="s">
        <v>852</v>
      </c>
      <c r="E746">
        <v>0</v>
      </c>
      <c r="F746" t="s">
        <v>853</v>
      </c>
      <c r="G746">
        <v>1357879029.99</v>
      </c>
      <c r="H746">
        <v>0</v>
      </c>
      <c r="I746">
        <v>0</v>
      </c>
      <c r="J746">
        <v>0</v>
      </c>
      <c r="K746">
        <v>1357879029.99</v>
      </c>
    </row>
    <row r="747" spans="1:11" x14ac:dyDescent="0.25">
      <c r="A747" t="s">
        <v>542</v>
      </c>
      <c r="B747" t="s">
        <v>543</v>
      </c>
      <c r="C747" t="s">
        <v>631</v>
      </c>
      <c r="D747" t="s">
        <v>756</v>
      </c>
      <c r="E747">
        <v>0</v>
      </c>
      <c r="F747" t="s">
        <v>757</v>
      </c>
      <c r="G747">
        <v>2271569.94</v>
      </c>
      <c r="H747">
        <v>0</v>
      </c>
      <c r="I747">
        <v>0</v>
      </c>
      <c r="J747">
        <v>0</v>
      </c>
      <c r="K747">
        <v>2271569.94</v>
      </c>
    </row>
    <row r="748" spans="1:11" x14ac:dyDescent="0.25">
      <c r="A748" t="s">
        <v>545</v>
      </c>
    </row>
    <row r="749" spans="1:11" x14ac:dyDescent="0.25">
      <c r="A749" t="s">
        <v>546</v>
      </c>
    </row>
    <row r="750" spans="1:11" x14ac:dyDescent="0.25">
      <c r="A750" t="s">
        <v>911</v>
      </c>
    </row>
    <row r="751" spans="1:11" x14ac:dyDescent="0.25">
      <c r="A751" t="s">
        <v>912</v>
      </c>
    </row>
    <row r="752" spans="1:11" x14ac:dyDescent="0.25">
      <c r="A752" t="s">
        <v>913</v>
      </c>
    </row>
  </sheetData>
  <mergeCells count="3">
    <mergeCell ref="A1:F1"/>
    <mergeCell ref="A2:F2"/>
    <mergeCell ref="A268:F26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100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116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78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46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-3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4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11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74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88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152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-46181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-46181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-46181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-46181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-46181</v>
      </c>
      <c r="J20" s="44"/>
    </row>
    <row r="22" spans="1:10" x14ac:dyDescent="0.25">
      <c r="A22" s="81" t="s">
        <v>180</v>
      </c>
      <c r="B22" s="81"/>
      <c r="C22" s="81"/>
      <c r="D22" s="81"/>
      <c r="E22" s="81"/>
      <c r="F22" s="81"/>
      <c r="G22" s="81"/>
      <c r="H22" s="81"/>
      <c r="I22" s="81"/>
      <c r="J22" s="81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2026-06-08T14:53:36Z</dcterms:modified>
  <dc:language>en-US</dc:language>
</cp:coreProperties>
</file>